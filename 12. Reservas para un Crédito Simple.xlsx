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Biblioteca\Descargas\"/>
    </mc:Choice>
  </mc:AlternateContent>
  <xr:revisionPtr revIDLastSave="0" documentId="13_ncr:1_{03D5F9E2-B727-46BC-BFB5-E0A823F5A502}" xr6:coauthVersionLast="47" xr6:coauthVersionMax="47" xr10:uidLastSave="{00000000-0000-0000-0000-000000000000}"/>
  <bookViews>
    <workbookView xWindow="-120" yWindow="-120" windowWidth="20730" windowHeight="11040" xr2:uid="{9C9C63F4-7CD9-45D5-8309-C92C3240C272}"/>
  </bookViews>
  <sheets>
    <sheet name="Tabla de Amorticación" sheetId="2" r:id="rId1"/>
    <sheet name="Modelo de Supervivencia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C8" i="2" l="1"/>
  <c r="D8" i="2"/>
  <c r="D18" i="2" l="1"/>
  <c r="J18" i="2" s="1"/>
  <c r="F9" i="1"/>
  <c r="F10" i="1"/>
  <c r="F11" i="1" s="1"/>
  <c r="F12" i="1" s="1"/>
  <c r="F13" i="1" s="1"/>
  <c r="F14" i="1" s="1"/>
  <c r="F15" i="1" s="1"/>
  <c r="F16" i="1" s="1"/>
  <c r="F17" i="1" s="1"/>
  <c r="F18" i="1" s="1"/>
  <c r="F19" i="1" s="1"/>
  <c r="F20" i="1" s="1"/>
  <c r="F21" i="1" s="1"/>
  <c r="F22" i="1" s="1"/>
  <c r="F23" i="1" s="1"/>
  <c r="F24" i="1" s="1"/>
  <c r="F25" i="1" s="1"/>
  <c r="F26" i="1" s="1"/>
  <c r="F27" i="1" s="1"/>
  <c r="F28" i="1" s="1"/>
  <c r="F29" i="1" s="1"/>
  <c r="F30" i="1" s="1"/>
  <c r="F8" i="1"/>
  <c r="F7" i="1"/>
  <c r="I23" i="2"/>
  <c r="I11" i="2"/>
  <c r="H11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12" i="2"/>
  <c r="C11" i="2"/>
  <c r="B11" i="2"/>
  <c r="C7" i="1" s="1"/>
  <c r="B2" i="1"/>
  <c r="B11" i="1" s="1"/>
  <c r="D11" i="1" s="1"/>
  <c r="A8" i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E11" i="2" l="1"/>
  <c r="D13" i="2"/>
  <c r="J13" i="2" s="1"/>
  <c r="D30" i="2"/>
  <c r="J30" i="2" s="1"/>
  <c r="D22" i="2"/>
  <c r="J22" i="2" s="1"/>
  <c r="D14" i="2"/>
  <c r="J14" i="2" s="1"/>
  <c r="D11" i="2"/>
  <c r="J11" i="2" s="1"/>
  <c r="K11" i="2" s="1"/>
  <c r="D28" i="2"/>
  <c r="J28" i="2" s="1"/>
  <c r="D20" i="2"/>
  <c r="J20" i="2" s="1"/>
  <c r="D32" i="2"/>
  <c r="J32" i="2" s="1"/>
  <c r="D24" i="2"/>
  <c r="J24" i="2" s="1"/>
  <c r="D16" i="2"/>
  <c r="J16" i="2" s="1"/>
  <c r="D34" i="2"/>
  <c r="J34" i="2" s="1"/>
  <c r="D26" i="2"/>
  <c r="J26" i="2" s="1"/>
  <c r="F11" i="2"/>
  <c r="G11" i="2" s="1"/>
  <c r="B12" i="2" s="1"/>
  <c r="D12" i="2"/>
  <c r="J12" i="2" s="1"/>
  <c r="D33" i="2"/>
  <c r="J33" i="2" s="1"/>
  <c r="D31" i="2"/>
  <c r="J31" i="2" s="1"/>
  <c r="D29" i="2"/>
  <c r="J29" i="2" s="1"/>
  <c r="D27" i="2"/>
  <c r="J27" i="2" s="1"/>
  <c r="D25" i="2"/>
  <c r="J25" i="2" s="1"/>
  <c r="D23" i="2"/>
  <c r="J23" i="2" s="1"/>
  <c r="D21" i="2"/>
  <c r="J21" i="2" s="1"/>
  <c r="D19" i="2"/>
  <c r="J19" i="2" s="1"/>
  <c r="D17" i="2"/>
  <c r="J17" i="2" s="1"/>
  <c r="D15" i="2"/>
  <c r="J15" i="2" s="1"/>
  <c r="B25" i="1"/>
  <c r="D25" i="1" s="1"/>
  <c r="B9" i="1"/>
  <c r="D9" i="1" s="1"/>
  <c r="B30" i="1"/>
  <c r="D30" i="1" s="1"/>
  <c r="B26" i="1"/>
  <c r="D26" i="1" s="1"/>
  <c r="B22" i="1"/>
  <c r="D22" i="1" s="1"/>
  <c r="B18" i="1"/>
  <c r="D18" i="1" s="1"/>
  <c r="B14" i="1"/>
  <c r="D14" i="1" s="1"/>
  <c r="B10" i="1"/>
  <c r="D10" i="1" s="1"/>
  <c r="B29" i="1"/>
  <c r="D29" i="1" s="1"/>
  <c r="B17" i="1"/>
  <c r="D17" i="1" s="1"/>
  <c r="B28" i="1"/>
  <c r="D28" i="1" s="1"/>
  <c r="B24" i="1"/>
  <c r="D24" i="1" s="1"/>
  <c r="B20" i="1"/>
  <c r="D20" i="1" s="1"/>
  <c r="B16" i="1"/>
  <c r="D16" i="1" s="1"/>
  <c r="B12" i="1"/>
  <c r="D12" i="1" s="1"/>
  <c r="B8" i="1"/>
  <c r="D8" i="1" s="1"/>
  <c r="B21" i="1"/>
  <c r="D21" i="1" s="1"/>
  <c r="B13" i="1"/>
  <c r="D13" i="1" s="1"/>
  <c r="B7" i="1"/>
  <c r="D7" i="1" s="1"/>
  <c r="H7" i="1" s="1"/>
  <c r="B27" i="1"/>
  <c r="D27" i="1" s="1"/>
  <c r="B23" i="1"/>
  <c r="D23" i="1" s="1"/>
  <c r="B19" i="1"/>
  <c r="D19" i="1" s="1"/>
  <c r="B15" i="1"/>
  <c r="D15" i="1" s="1"/>
  <c r="A12" i="2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K23" i="2" l="1"/>
  <c r="K26" i="2"/>
  <c r="K32" i="2"/>
  <c r="K18" i="2"/>
  <c r="K25" i="2"/>
  <c r="K34" i="2"/>
  <c r="K22" i="2"/>
  <c r="K19" i="2"/>
  <c r="K27" i="2"/>
  <c r="K12" i="2"/>
  <c r="K16" i="2"/>
  <c r="K28" i="2"/>
  <c r="K30" i="2"/>
  <c r="K15" i="2"/>
  <c r="K31" i="2"/>
  <c r="K14" i="2"/>
  <c r="K17" i="2"/>
  <c r="K33" i="2"/>
  <c r="K20" i="2"/>
  <c r="K21" i="2"/>
  <c r="K29" i="2"/>
  <c r="K24" i="2"/>
  <c r="K13" i="2"/>
  <c r="E12" i="2"/>
  <c r="F12" i="2" s="1"/>
  <c r="G12" i="2" s="1"/>
  <c r="B13" i="2" s="1"/>
  <c r="C8" i="1"/>
  <c r="H8" i="1" s="1"/>
  <c r="K9" i="2" l="1"/>
  <c r="C9" i="1"/>
  <c r="H9" i="1" s="1"/>
  <c r="E13" i="2"/>
  <c r="F13" i="2" s="1"/>
  <c r="G13" i="2" s="1"/>
  <c r="B14" i="2" s="1"/>
  <c r="C10" i="1" l="1"/>
  <c r="H10" i="1" s="1"/>
  <c r="E14" i="2"/>
  <c r="F14" i="2" s="1"/>
  <c r="G14" i="2" s="1"/>
  <c r="B15" i="2" s="1"/>
  <c r="C11" i="1" l="1"/>
  <c r="H11" i="1" s="1"/>
  <c r="E15" i="2"/>
  <c r="F15" i="2" s="1"/>
  <c r="G15" i="2" s="1"/>
  <c r="B16" i="2" s="1"/>
  <c r="C12" i="1" l="1"/>
  <c r="H12" i="1" s="1"/>
  <c r="E16" i="2"/>
  <c r="F16" i="2" s="1"/>
  <c r="G16" i="2" s="1"/>
  <c r="B17" i="2" s="1"/>
  <c r="C13" i="1" l="1"/>
  <c r="H13" i="1" s="1"/>
  <c r="E17" i="2"/>
  <c r="F17" i="2" s="1"/>
  <c r="G17" i="2" s="1"/>
  <c r="B18" i="2" s="1"/>
  <c r="C14" i="1" l="1"/>
  <c r="H14" i="1" s="1"/>
  <c r="E18" i="2"/>
  <c r="F18" i="2" s="1"/>
  <c r="G18" i="2" s="1"/>
  <c r="B19" i="2" s="1"/>
  <c r="C15" i="1" l="1"/>
  <c r="H15" i="1" s="1"/>
  <c r="E19" i="2"/>
  <c r="F19" i="2" s="1"/>
  <c r="G19" i="2" s="1"/>
  <c r="B20" i="2" s="1"/>
  <c r="C16" i="1" l="1"/>
  <c r="H16" i="1" s="1"/>
  <c r="E20" i="2"/>
  <c r="F20" i="2" s="1"/>
  <c r="G20" i="2" s="1"/>
  <c r="B21" i="2" s="1"/>
  <c r="C17" i="1" l="1"/>
  <c r="H17" i="1" s="1"/>
  <c r="E21" i="2"/>
  <c r="F21" i="2" s="1"/>
  <c r="G21" i="2" s="1"/>
  <c r="B22" i="2" s="1"/>
  <c r="C18" i="1" l="1"/>
  <c r="H18" i="1" s="1"/>
  <c r="H35" i="1" s="1"/>
  <c r="E22" i="2"/>
  <c r="F22" i="2" s="1"/>
  <c r="G22" i="2" s="1"/>
  <c r="B23" i="2" s="1"/>
  <c r="C19" i="1" l="1"/>
  <c r="H19" i="1" s="1"/>
  <c r="E23" i="2"/>
  <c r="F23" i="2" s="1"/>
  <c r="G23" i="2" s="1"/>
  <c r="B24" i="2" s="1"/>
  <c r="C20" i="1" l="1"/>
  <c r="H20" i="1" s="1"/>
  <c r="E24" i="2"/>
  <c r="F24" i="2" s="1"/>
  <c r="G24" i="2" s="1"/>
  <c r="B25" i="2" s="1"/>
  <c r="C21" i="1" l="1"/>
  <c r="H21" i="1" s="1"/>
  <c r="E25" i="2"/>
  <c r="F25" i="2" s="1"/>
  <c r="G25" i="2" s="1"/>
  <c r="B26" i="2" s="1"/>
  <c r="C22" i="1" l="1"/>
  <c r="H22" i="1" s="1"/>
  <c r="E26" i="2"/>
  <c r="F26" i="2" s="1"/>
  <c r="G26" i="2" s="1"/>
  <c r="B27" i="2" s="1"/>
  <c r="C23" i="1" l="1"/>
  <c r="H23" i="1" s="1"/>
  <c r="E27" i="2"/>
  <c r="F27" i="2" s="1"/>
  <c r="G27" i="2" s="1"/>
  <c r="B28" i="2" s="1"/>
  <c r="C24" i="1" l="1"/>
  <c r="H24" i="1" s="1"/>
  <c r="E28" i="2"/>
  <c r="F28" i="2" s="1"/>
  <c r="G28" i="2" s="1"/>
  <c r="B29" i="2" s="1"/>
  <c r="C25" i="1" l="1"/>
  <c r="H25" i="1" s="1"/>
  <c r="E29" i="2"/>
  <c r="F29" i="2" s="1"/>
  <c r="G29" i="2" s="1"/>
  <c r="B30" i="2" s="1"/>
  <c r="C26" i="1" l="1"/>
  <c r="H26" i="1" s="1"/>
  <c r="E30" i="2"/>
  <c r="F30" i="2" s="1"/>
  <c r="G30" i="2" s="1"/>
  <c r="B31" i="2" s="1"/>
  <c r="C27" i="1" l="1"/>
  <c r="H27" i="1" s="1"/>
  <c r="E31" i="2"/>
  <c r="F31" i="2" s="1"/>
  <c r="G31" i="2" s="1"/>
  <c r="B32" i="2" s="1"/>
  <c r="C28" i="1" l="1"/>
  <c r="H28" i="1" s="1"/>
  <c r="E32" i="2"/>
  <c r="F32" i="2" s="1"/>
  <c r="G32" i="2" s="1"/>
  <c r="B33" i="2" s="1"/>
  <c r="C29" i="1" l="1"/>
  <c r="H29" i="1" s="1"/>
  <c r="E33" i="2"/>
  <c r="F33" i="2" s="1"/>
  <c r="G33" i="2" s="1"/>
  <c r="B34" i="2" s="1"/>
  <c r="C30" i="1" l="1"/>
  <c r="H30" i="1" s="1"/>
  <c r="H32" i="1" s="1"/>
  <c r="E34" i="2"/>
  <c r="F34" i="2" s="1"/>
  <c r="G34" i="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tc={36942647-A046-47D8-BADE-0839FFB67E6C}</author>
    <author>tc={6FE63D29-74D0-4654-931D-463039FD3181}</author>
    <author>tc={784CB5FD-4F5C-4C22-AAE4-41E6A0514488}</author>
    <author>tc={6A684781-40BF-42FC-BDE9-8BAC09F7E104}</author>
    <author>tc={C5617A8C-D073-4EB5-9A31-68CE2EB25DEC}</author>
    <author>tc={39B98DF3-ACEB-4E9D-BEB3-6B08C2140070}</author>
    <author>tc={6206DCAF-6F19-418E-A388-C9A70C4D4ADA}</author>
    <author>tc={DF2C5F96-12C9-41F4-8AD4-EE39CA53BA5F}</author>
    <author>tc={2FE5C6DA-E7CC-40F0-AA86-5658A85418BA}</author>
    <author>tc={0ACDE42B-C6E5-4B08-ADDF-707D9ECD760E}</author>
    <author>tc={770B2CC3-3021-4B1A-A74C-69281739923B}</author>
    <author>tc={29527E08-A0E3-43A5-8CBE-B974C88EBF12}</author>
    <author>tc={F21EFBF7-49EA-4125-9827-5BDBD0AD16E2}</author>
    <author>tc={ED7FD0E3-7BBE-4D1F-9098-DCE171C18EC0}</author>
    <author>tc={EF65109B-AF44-4093-8516-5E38E9506FAD}</author>
    <author>tc={D2EE4F12-BCC1-4CE0-8737-CE710CD06C00}</author>
  </authors>
  <commentList>
    <comment ref="A3" authorId="0" shapeId="0" xr:uid="{36942647-A046-47D8-BADE-0839FFB67E6C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Es la cantidad de dinero que ofrece (presta) la entidad financiera un usuario</t>
      </text>
    </comment>
    <comment ref="A4" authorId="1" shapeId="0" xr:uid="{6FE63D29-74D0-4654-931D-463039FD3181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La tasa de interes que debe de pagar el usuario</t>
      </text>
    </comment>
    <comment ref="A5" authorId="2" shapeId="0" xr:uid="{784CB5FD-4F5C-4C22-AAE4-41E6A0514488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El numero de plazo para pagar el prestamo</t>
      </text>
    </comment>
    <comment ref="A6" authorId="3" shapeId="0" xr:uid="{6A684781-40BF-42FC-BDE9-8BAC09F7E104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Precio que tiene que pagar el usuario por pedir el prestamo</t>
      </text>
    </comment>
    <comment ref="I6" authorId="4" shapeId="0" xr:uid="{C5617A8C-D073-4EB5-9A31-68CE2EB25DEC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Es el % real de este credito (a diferencias de la tasa de credito inicial)</t>
      </text>
    </comment>
    <comment ref="A7" authorId="5" shapeId="0" xr:uid="{39B98DF3-ACEB-4E9D-BEB3-6B08C2140070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Una forma de que la entidad financiera se asegure en caso de que el usuario no pague el prestamo</t>
      </text>
    </comment>
    <comment ref="A8" authorId="6" shapeId="0" xr:uid="{6206DCAF-6F19-418E-A388-C9A70C4D4ADA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Lo que el usuario debe pagar periodicamente; en este caso es con la funcion: "PAGO" o por medio de aplicar un despeje R</t>
      </text>
    </comment>
    <comment ref="B10" authorId="7" shapeId="0" xr:uid="{DF2C5F96-12C9-41F4-8AD4-EE39CA53BA5F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La cantidad de la linea de credito que se maneja en dicho periodo</t>
      </text>
    </comment>
    <comment ref="C10" authorId="8" shapeId="0" xr:uid="{2FE5C6DA-E7CC-40F0-AA86-5658A85418BA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Es la tasa de credito que maneja para cada periodo; en este caso tenemos que es  el mismo y mensual (por eso se divide)</t>
      </text>
    </comment>
    <comment ref="D10" authorId="9" shapeId="0" xr:uid="{0ACDE42B-C6E5-4B08-ADDF-707D9ECD760E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Es el pago mensual calculado</t>
      </text>
    </comment>
    <comment ref="E10" authorId="10" shapeId="0" xr:uid="{770B2CC3-3021-4B1A-A74C-69281739923B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La cantidad por interes generada en este periodo: SI inicio * Tasa</t>
      </text>
    </comment>
    <comment ref="F10" authorId="11" shapeId="0" xr:uid="{29527E08-A0E3-43A5-8CBE-B974C88EBF12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Sera nuestro pago - la cantidad de interes</t>
      </text>
    </comment>
    <comment ref="G10" authorId="12" shapeId="0" xr:uid="{F21EFBF7-49EA-4125-9827-5BDBD0AD16E2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La linea de credito actual - el pago real (lo que lo va reduciendo con el tiempo)</t>
      </text>
    </comment>
    <comment ref="H10" authorId="13" shapeId="0" xr:uid="{ED7FD0E3-7BBE-4D1F-9098-DCE171C18EC0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Es el pago por apertura que se contempla: linea de credito * tasa de comision por apertura (solo se aplica al comienzo del prestamo)</t>
      </text>
    </comment>
    <comment ref="I10" authorId="14" shapeId="0" xr:uid="{EF65109B-AF44-4093-8516-5E38E9506FAD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Como por cada ano; entonces nos devuelve esta cantidad cada 12 periodos (porque esta en meses los periodos)</t>
      </text>
    </comment>
    <comment ref="J10" authorId="15" shapeId="0" xr:uid="{D2EE4F12-BCC1-4CE0-8737-CE710CD06C00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Nos referimos a lo que se da realmente que es pago + Comision por apertura + Seguro de vida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tc={E38573C7-91DC-46AA-A0A6-2E3DC5659C41}</author>
    <author>tc={55DC544B-2399-49BC-8D22-5CE7B769CA8F}</author>
    <author>tc={6475C02B-7805-4011-8BE5-07765F38663C}</author>
    <author>tc={1E1BBFE5-DABE-4AEA-9EBD-3FADBB4B8913}</author>
    <author>tc={FFC2F9BE-E4E1-4ABB-B44E-8E7ACF56B607}</author>
    <author>tc={F92A1A99-789C-4B79-B447-FC2C52421D75}</author>
    <author>tc={F172DE97-E3E1-4514-A525-DD0C79A825BB}</author>
  </authors>
  <commentList>
    <comment ref="B6" authorId="0" shapeId="0" xr:uid="{E38573C7-91DC-46AA-A0A6-2E3DC5659C41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Es la tasa efectiva pero como esta anualizada pues calculamos mensualmente</t>
      </text>
    </comment>
    <comment ref="C6" authorId="1" shapeId="0" xr:uid="{55DC544B-2399-49BC-8D22-5CE7B769CA8F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Es la exposicion del imcumplimiento (EI) en este periodo; para este caso vamos va ser nuestro "SI inicio</t>
      </text>
    </comment>
    <comment ref="D6" authorId="2" shapeId="0" xr:uid="{6475C02B-7805-4011-8BE5-07765F38663C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Es la tasa de descuento de nuestra tasa r bajo el periodo</t>
      </text>
    </comment>
    <comment ref="E6" authorId="3" shapeId="0" xr:uid="{1E1BBFE5-DABE-4AEA-9EBD-3FADBB4B8913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La probabilidad de Incumplimiento</t>
      </text>
    </comment>
    <comment ref="F6" authorId="4" shapeId="0" xr:uid="{FFC2F9BE-E4E1-4ABB-B44E-8E7ACF56B607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La probabilidad de supervivencia </t>
      </text>
    </comment>
    <comment ref="G6" authorId="5" shapeId="0" xr:uid="{F92A1A99-789C-4B79-B447-FC2C52421D75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Severidad de la perdida</t>
      </text>
    </comment>
    <comment ref="H6" authorId="6" shapeId="0" xr:uid="{F172DE97-E3E1-4514-A525-DD0C79A825BB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Es el producto de las columnas Eit hasta SP</t>
      </text>
    </comment>
  </commentList>
</comments>
</file>

<file path=xl/sharedStrings.xml><?xml version="1.0" encoding="utf-8"?>
<sst xmlns="http://schemas.openxmlformats.org/spreadsheetml/2006/main" count="37" uniqueCount="35">
  <si>
    <t>Modelo de Supervivencia</t>
  </si>
  <si>
    <r>
      <t xml:space="preserve">Tasa </t>
    </r>
    <r>
      <rPr>
        <b/>
        <i/>
        <sz val="11"/>
        <color theme="0"/>
        <rFont val="EYInterstate Light"/>
      </rPr>
      <t>r</t>
    </r>
  </si>
  <si>
    <r>
      <t>EI</t>
    </r>
    <r>
      <rPr>
        <b/>
        <sz val="8"/>
        <color theme="0"/>
        <rFont val="EYInterstate Light"/>
      </rPr>
      <t>t</t>
    </r>
  </si>
  <si>
    <t>Factor de Descuento</t>
  </si>
  <si>
    <t>PI</t>
  </si>
  <si>
    <r>
      <t>PS</t>
    </r>
    <r>
      <rPr>
        <b/>
        <sz val="8"/>
        <color theme="0"/>
        <rFont val="EYInterstate Light"/>
      </rPr>
      <t>t-1</t>
    </r>
  </si>
  <si>
    <t>SP</t>
  </si>
  <si>
    <t>Reserva</t>
  </si>
  <si>
    <t>Tiempo</t>
  </si>
  <si>
    <t>SI Inicio</t>
  </si>
  <si>
    <t>Tasa</t>
  </si>
  <si>
    <t>Pago a Capital</t>
  </si>
  <si>
    <t>SI Final</t>
  </si>
  <si>
    <t>Tabla de Amortización del Crédito</t>
  </si>
  <si>
    <t>Línea de 
Crédito</t>
  </si>
  <si>
    <t>Tasa del 
Crédito (Anual)</t>
  </si>
  <si>
    <t>Tiempo (n)</t>
  </si>
  <si>
    <t>meses</t>
  </si>
  <si>
    <t>Pago = Cap + Int</t>
  </si>
  <si>
    <t xml:space="preserve">Tasa Comisión 
por Apertura </t>
  </si>
  <si>
    <t>Pagar Seguro (Anual)</t>
  </si>
  <si>
    <t>Comisión por
 Apertura</t>
  </si>
  <si>
    <t>Seguro 
de Vida</t>
  </si>
  <si>
    <t>Pago Final</t>
  </si>
  <si>
    <t>Flujos a VP</t>
  </si>
  <si>
    <t>Supuesto</t>
  </si>
  <si>
    <t>Reserva lifetime =</t>
  </si>
  <si>
    <t>Reserva 12m =</t>
  </si>
  <si>
    <t>Tasa Efectiva =</t>
  </si>
  <si>
    <t>Probabilidad de Incumplimiento calculada con Puntajes</t>
  </si>
  <si>
    <t>Severidad de la Pérdidad mediante la fórmula de las notas</t>
  </si>
  <si>
    <t>Pago Mensual</t>
  </si>
  <si>
    <t>Intereses</t>
  </si>
  <si>
    <t>Flujos Totales</t>
  </si>
  <si>
    <t>Tasa Efectiva (anualizada)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</si>
</sst>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&quot;$&quot;* #,##0.00_-;\-&quot;$&quot;* #,##0.00_-;_-&quot;$&quot;* &quot;-&quot;??_-;_-@_-"/>
    <numFmt numFmtId="43" formatCode="_-* #,##0.00_-;\-* #,##0.00_-;_-* &quot;-&quot;??_-;_-@_-"/>
    <numFmt numFmtId="164" formatCode="0.0%"/>
    <numFmt numFmtId="165" formatCode="#,##0.00_ ;\-#,##0.00\ "/>
  </numFmts>
  <fonts count="1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EYInterstate Light"/>
    </font>
    <font>
      <b/>
      <sz val="11"/>
      <color theme="0"/>
      <name val="EYInterstate Light"/>
    </font>
    <font>
      <b/>
      <i/>
      <sz val="11"/>
      <color theme="0"/>
      <name val="EYInterstate Light"/>
    </font>
    <font>
      <b/>
      <sz val="8"/>
      <color theme="0"/>
      <name val="EYInterstate Light"/>
    </font>
    <font>
      <b/>
      <sz val="11"/>
      <color rgb="FFFF0000"/>
      <name val="Calibri"/>
      <family val="2"/>
      <scheme val="minor"/>
    </font>
    <font>
      <sz val="8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9"/>
      <color indexed="81"/>
      <name val="Tahoma"/>
      <family val="2"/>
    </font>
  </fonts>
  <fills count="7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92D050"/>
        <bgColor indexed="64"/>
      </patternFill>
    </fill>
  </fills>
  <borders count="17">
    <border>
      <left/>
      <right/>
      <top/>
      <bottom/>
      <diagonal/>
    </border>
    <border>
      <left style="mediumDashed">
        <color theme="0" tint="-0.24994659260841701"/>
      </left>
      <right style="mediumDashed">
        <color theme="0" tint="-0.24994659260841701"/>
      </right>
      <top style="mediumDashed">
        <color theme="0" tint="-0.24994659260841701"/>
      </top>
      <bottom style="mediumDashed">
        <color theme="0" tint="-0.24994659260841701"/>
      </bottom>
      <diagonal/>
    </border>
    <border>
      <left style="mediumDashed">
        <color theme="0" tint="-0.34998626667073579"/>
      </left>
      <right style="mediumDashed">
        <color theme="0" tint="-0.34998626667073579"/>
      </right>
      <top/>
      <bottom style="mediumDashed">
        <color theme="0" tint="-0.34998626667073579"/>
      </bottom>
      <diagonal/>
    </border>
    <border>
      <left style="mediumDashed">
        <color theme="0" tint="-0.34998626667073579"/>
      </left>
      <right style="mediumDashed">
        <color theme="0" tint="-0.34998626667073579"/>
      </right>
      <top style="mediumDashed">
        <color theme="0" tint="-0.34998626667073579"/>
      </top>
      <bottom style="mediumDashed">
        <color theme="0" tint="-0.34998626667073579"/>
      </bottom>
      <diagonal/>
    </border>
    <border>
      <left/>
      <right style="mediumDashed">
        <color theme="5"/>
      </right>
      <top/>
      <bottom/>
      <diagonal/>
    </border>
    <border>
      <left style="mediumDashed">
        <color theme="5"/>
      </left>
      <right style="mediumDashed">
        <color theme="5"/>
      </right>
      <top style="mediumDashed">
        <color theme="5"/>
      </top>
      <bottom/>
      <diagonal/>
    </border>
    <border>
      <left style="mediumDashed">
        <color theme="5"/>
      </left>
      <right style="mediumDashed">
        <color theme="5"/>
      </right>
      <top/>
      <bottom style="mediumDashed">
        <color theme="5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double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54">
    <xf numFmtId="0" fontId="0" fillId="0" borderId="0" xfId="0"/>
    <xf numFmtId="0" fontId="4" fillId="0" borderId="0" xfId="0" applyFont="1"/>
    <xf numFmtId="0" fontId="5" fillId="2" borderId="1" xfId="0" applyFont="1" applyFill="1" applyBorder="1" applyAlignment="1">
      <alignment horizontal="center" vertical="center" wrapText="1"/>
    </xf>
    <xf numFmtId="0" fontId="0" fillId="0" borderId="7" xfId="0" applyBorder="1" applyAlignment="1">
      <alignment horizontal="center"/>
    </xf>
    <xf numFmtId="43" fontId="0" fillId="0" borderId="7" xfId="1" applyFont="1" applyBorder="1"/>
    <xf numFmtId="43" fontId="0" fillId="0" borderId="7" xfId="0" applyNumberFormat="1" applyBorder="1"/>
    <xf numFmtId="43" fontId="0" fillId="0" borderId="0" xfId="1" applyFont="1" applyAlignment="1">
      <alignment vertical="center"/>
    </xf>
    <xf numFmtId="0" fontId="0" fillId="0" borderId="0" xfId="0" applyAlignment="1">
      <alignment horizontal="center"/>
    </xf>
    <xf numFmtId="164" fontId="0" fillId="0" borderId="7" xfId="2" applyNumberFormat="1" applyFont="1" applyBorder="1" applyAlignment="1">
      <alignment horizontal="center"/>
    </xf>
    <xf numFmtId="0" fontId="2" fillId="3" borderId="7" xfId="0" applyFont="1" applyFill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 wrapText="1"/>
    </xf>
    <xf numFmtId="0" fontId="2" fillId="3" borderId="8" xfId="0" applyFont="1" applyFill="1" applyBorder="1" applyAlignment="1">
      <alignment horizontal="center" vertical="center"/>
    </xf>
    <xf numFmtId="0" fontId="2" fillId="3" borderId="8" xfId="0" applyFont="1" applyFill="1" applyBorder="1" applyAlignment="1">
      <alignment horizontal="center" vertical="center" wrapText="1"/>
    </xf>
    <xf numFmtId="0" fontId="3" fillId="5" borderId="0" xfId="0" applyFont="1" applyFill="1" applyAlignment="1">
      <alignment horizontal="center"/>
    </xf>
    <xf numFmtId="0" fontId="9" fillId="0" borderId="0" xfId="0" applyFont="1" applyAlignment="1">
      <alignment horizontal="left" vertical="center"/>
    </xf>
    <xf numFmtId="10" fontId="3" fillId="4" borderId="0" xfId="0" applyNumberFormat="1" applyFont="1" applyFill="1" applyAlignment="1">
      <alignment horizontal="center"/>
    </xf>
    <xf numFmtId="0" fontId="3" fillId="0" borderId="0" xfId="0" applyFont="1"/>
    <xf numFmtId="0" fontId="0" fillId="0" borderId="0" xfId="0" applyAlignment="1">
      <alignment vertical="center"/>
    </xf>
    <xf numFmtId="164" fontId="3" fillId="0" borderId="2" xfId="0" applyNumberFormat="1" applyFont="1" applyBorder="1" applyAlignment="1">
      <alignment horizontal="center"/>
    </xf>
    <xf numFmtId="3" fontId="3" fillId="0" borderId="2" xfId="0" applyNumberFormat="1" applyFont="1" applyBorder="1" applyAlignment="1">
      <alignment horizontal="center"/>
    </xf>
    <xf numFmtId="2" fontId="3" fillId="0" borderId="2" xfId="0" applyNumberFormat="1" applyFont="1" applyBorder="1" applyAlignment="1">
      <alignment horizontal="center"/>
    </xf>
    <xf numFmtId="9" fontId="3" fillId="0" borderId="2" xfId="0" applyNumberFormat="1" applyFont="1" applyBorder="1" applyAlignment="1">
      <alignment horizontal="center"/>
    </xf>
    <xf numFmtId="165" fontId="8" fillId="0" borderId="2" xfId="1" applyNumberFormat="1" applyFont="1" applyFill="1" applyBorder="1" applyAlignment="1">
      <alignment horizontal="center"/>
    </xf>
    <xf numFmtId="0" fontId="3" fillId="0" borderId="3" xfId="0" applyFont="1" applyBorder="1" applyAlignment="1">
      <alignment horizontal="center"/>
    </xf>
    <xf numFmtId="9" fontId="3" fillId="0" borderId="3" xfId="0" applyNumberFormat="1" applyFont="1" applyBorder="1" applyAlignment="1">
      <alignment horizontal="center"/>
    </xf>
    <xf numFmtId="0" fontId="0" fillId="0" borderId="0" xfId="0" applyAlignment="1">
      <alignment horizontal="left" vertical="center"/>
    </xf>
    <xf numFmtId="10" fontId="3" fillId="4" borderId="0" xfId="0" applyNumberFormat="1" applyFont="1" applyFill="1" applyAlignment="1">
      <alignment horizontal="center" vertical="center"/>
    </xf>
    <xf numFmtId="0" fontId="8" fillId="0" borderId="0" xfId="0" applyFont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165" fontId="8" fillId="0" borderId="5" xfId="1" applyNumberFormat="1" applyFont="1" applyBorder="1" applyAlignment="1">
      <alignment horizontal="center" vertical="center" wrapText="1"/>
    </xf>
    <xf numFmtId="165" fontId="8" fillId="0" borderId="6" xfId="1" applyNumberFormat="1" applyFont="1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0" fontId="0" fillId="0" borderId="9" xfId="0" applyBorder="1" applyAlignment="1">
      <alignment horizontal="center" wrapText="1"/>
    </xf>
    <xf numFmtId="0" fontId="0" fillId="0" borderId="10" xfId="0" applyBorder="1" applyAlignment="1">
      <alignment horizontal="center" wrapText="1"/>
    </xf>
    <xf numFmtId="0" fontId="0" fillId="0" borderId="11" xfId="0" applyBorder="1" applyAlignment="1">
      <alignment horizontal="center" wrapText="1"/>
    </xf>
    <xf numFmtId="0" fontId="0" fillId="0" borderId="12" xfId="0" applyBorder="1" applyAlignment="1">
      <alignment horizontal="center" wrapText="1"/>
    </xf>
    <xf numFmtId="0" fontId="0" fillId="0" borderId="13" xfId="0" applyBorder="1" applyAlignment="1">
      <alignment horizontal="center" wrapText="1"/>
    </xf>
    <xf numFmtId="0" fontId="0" fillId="0" borderId="14" xfId="0" applyBorder="1" applyAlignment="1">
      <alignment horizontal="center" wrapText="1"/>
    </xf>
    <xf numFmtId="0" fontId="4" fillId="0" borderId="1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/>
    </xf>
    <xf numFmtId="43" fontId="0" fillId="6" borderId="0" xfId="1" applyFont="1" applyFill="1" applyAlignment="1">
      <alignment vertical="center"/>
    </xf>
    <xf numFmtId="9" fontId="0" fillId="6" borderId="0" xfId="0" applyNumberFormat="1" applyFill="1" applyAlignment="1">
      <alignment horizontal="center" vertical="center"/>
    </xf>
    <xf numFmtId="0" fontId="0" fillId="6" borderId="0" xfId="0" applyFill="1" applyAlignment="1">
      <alignment horizontal="center"/>
    </xf>
    <xf numFmtId="44" fontId="0" fillId="4" borderId="0" xfId="3" applyFont="1" applyFill="1"/>
    <xf numFmtId="44" fontId="0" fillId="4" borderId="0" xfId="3" applyFont="1" applyFill="1" applyAlignment="1">
      <alignment vertical="center"/>
    </xf>
    <xf numFmtId="0" fontId="10" fillId="3" borderId="8" xfId="0" applyFont="1" applyFill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</cellXfs>
  <cellStyles count="4">
    <cellStyle name="Millares" xfId="1" builtinId="3"/>
    <cellStyle name="Moneda" xfId="3" builtinId="4"/>
    <cellStyle name="Normal" xfId="0" builtinId="0"/>
    <cellStyle name="Porcentaje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366345</xdr:colOff>
      <xdr:row>2</xdr:row>
      <xdr:rowOff>366345</xdr:rowOff>
    </xdr:from>
    <xdr:to>
      <xdr:col>7</xdr:col>
      <xdr:colOff>5661</xdr:colOff>
      <xdr:row>5</xdr:row>
      <xdr:rowOff>188405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2B7F5F4D-8282-8A28-5912-4D16A452611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6667"/>
        <a:stretch/>
      </xdr:blipFill>
      <xdr:spPr bwMode="auto">
        <a:xfrm>
          <a:off x="4406620" y="868763"/>
          <a:ext cx="2161871" cy="764093"/>
        </a:xfrm>
        <a:prstGeom prst="rect">
          <a:avLst/>
        </a:prstGeom>
        <a:noFill/>
        <a:ln w="12700">
          <a:solidFill>
            <a:schemeClr val="tx1"/>
          </a:solidFill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</xdr:col>
      <xdr:colOff>962968</xdr:colOff>
      <xdr:row>5</xdr:row>
      <xdr:rowOff>188405</xdr:rowOff>
    </xdr:from>
    <xdr:to>
      <xdr:col>5</xdr:col>
      <xdr:colOff>693655</xdr:colOff>
      <xdr:row>7</xdr:row>
      <xdr:rowOff>83737</xdr:rowOff>
    </xdr:to>
    <xdr:cxnSp macro="">
      <xdr:nvCxnSpPr>
        <xdr:cNvPr id="4" name="Conector: angular 3">
          <a:extLst>
            <a:ext uri="{FF2B5EF4-FFF2-40B4-BE49-F238E27FC236}">
              <a16:creationId xmlns:a16="http://schemas.microsoft.com/office/drawing/2014/main" id="{85F3D9C7-3337-0518-142A-EA9A0A016CD5}"/>
            </a:ext>
          </a:extLst>
        </xdr:cNvPr>
        <xdr:cNvCxnSpPr>
          <a:stCxn id="2" idx="2"/>
        </xdr:cNvCxnSpPr>
      </xdr:nvCxnSpPr>
      <xdr:spPr>
        <a:xfrm rot="5400000">
          <a:off x="4669712" y="1129024"/>
          <a:ext cx="460551" cy="1468215"/>
        </a:xfrm>
        <a:prstGeom prst="bentConnector2">
          <a:avLst/>
        </a:prstGeom>
        <a:ln w="19050" cap="flat" cmpd="sng" algn="ctr">
          <a:solidFill>
            <a:schemeClr val="dk1"/>
          </a:solidFill>
          <a:prstDash val="solid"/>
          <a:round/>
          <a:headEnd type="none" w="med" len="med"/>
          <a:tailEnd type="arrow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9</xdr:col>
      <xdr:colOff>261675</xdr:colOff>
      <xdr:row>1</xdr:row>
      <xdr:rowOff>52333</xdr:rowOff>
    </xdr:from>
    <xdr:to>
      <xdr:col>15</xdr:col>
      <xdr:colOff>481484</xdr:colOff>
      <xdr:row>3</xdr:row>
      <xdr:rowOff>334943</xdr:rowOff>
    </xdr:to>
    <xdr:sp macro="" textlink="">
      <xdr:nvSpPr>
        <xdr:cNvPr id="5" name="CuadroTexto 4">
          <a:extLst>
            <a:ext uri="{FF2B5EF4-FFF2-40B4-BE49-F238E27FC236}">
              <a16:creationId xmlns:a16="http://schemas.microsoft.com/office/drawing/2014/main" id="{2B47AAE6-EA51-1DAF-079F-98F6977837DD}"/>
            </a:ext>
          </a:extLst>
        </xdr:cNvPr>
        <xdr:cNvSpPr txBox="1"/>
      </xdr:nvSpPr>
      <xdr:spPr>
        <a:xfrm>
          <a:off x="8572499" y="355877"/>
          <a:ext cx="4281018" cy="858297"/>
        </a:xfrm>
        <a:prstGeom prst="rect">
          <a:avLst/>
        </a:prstGeom>
        <a:solidFill>
          <a:schemeClr val="lt1"/>
        </a:solidFill>
        <a:ln w="9525" cmpd="sng">
          <a:solidFill>
            <a:srgbClr val="0070C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MX" sz="1400">
              <a:latin typeface="Abadi Extra Light" panose="020B0204020104020204" pitchFamily="34" charset="0"/>
            </a:rPr>
            <a:t>La tasa efectiva</a:t>
          </a:r>
          <a:r>
            <a:rPr lang="es-MX" sz="1400" baseline="0">
              <a:latin typeface="Abadi Extra Light" panose="020B0204020104020204" pitchFamily="34" charset="0"/>
            </a:rPr>
            <a:t> se calcula con la funcion  de </a:t>
          </a:r>
          <a:r>
            <a:rPr lang="es-MX" sz="1400" b="1" baseline="0">
              <a:latin typeface="Abadi Extra Light" panose="020B0204020104020204" pitchFamily="34" charset="0"/>
            </a:rPr>
            <a:t>"Analisis de Hipotesis" </a:t>
          </a:r>
          <a:r>
            <a:rPr lang="es-MX" sz="1400" baseline="0">
              <a:latin typeface="Abadi Extra Light" panose="020B0204020104020204" pitchFamily="34" charset="0"/>
            </a:rPr>
            <a:t>(en datos) como objetivo los flujos totales y a linea de credito y cambiando al celda en amarillo</a:t>
          </a:r>
          <a:endParaRPr lang="es-MX" sz="1400">
            <a:latin typeface="Abadi Extra Light" panose="020B0204020104020204" pitchFamily="34" charset="0"/>
          </a:endParaRPr>
        </a:p>
      </xdr:txBody>
    </xdr:sp>
    <xdr:clientData/>
  </xdr:twoCellAnchor>
  <xdr:twoCellAnchor>
    <xdr:from>
      <xdr:col>10</xdr:col>
      <xdr:colOff>795495</xdr:colOff>
      <xdr:row>3</xdr:row>
      <xdr:rowOff>334944</xdr:rowOff>
    </xdr:from>
    <xdr:to>
      <xdr:col>12</xdr:col>
      <xdr:colOff>99437</xdr:colOff>
      <xdr:row>5</xdr:row>
      <xdr:rowOff>198876</xdr:rowOff>
    </xdr:to>
    <xdr:cxnSp macro="">
      <xdr:nvCxnSpPr>
        <xdr:cNvPr id="6" name="Conector: angular 5">
          <a:extLst>
            <a:ext uri="{FF2B5EF4-FFF2-40B4-BE49-F238E27FC236}">
              <a16:creationId xmlns:a16="http://schemas.microsoft.com/office/drawing/2014/main" id="{407A9E94-09D2-4617-9B69-30EBD1580C56}"/>
            </a:ext>
          </a:extLst>
        </xdr:cNvPr>
        <xdr:cNvCxnSpPr>
          <a:stCxn id="5" idx="2"/>
        </xdr:cNvCxnSpPr>
      </xdr:nvCxnSpPr>
      <xdr:spPr>
        <a:xfrm rot="5400000">
          <a:off x="10098069" y="1028387"/>
          <a:ext cx="429152" cy="800727"/>
        </a:xfrm>
        <a:prstGeom prst="bentConnector2">
          <a:avLst/>
        </a:prstGeom>
        <a:ln w="19050" cap="flat" cmpd="sng" algn="ctr">
          <a:solidFill>
            <a:schemeClr val="dk1"/>
          </a:solidFill>
          <a:prstDash val="solid"/>
          <a:round/>
          <a:headEnd type="none" w="med" len="med"/>
          <a:tailEnd type="arrow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240082</xdr:colOff>
      <xdr:row>1</xdr:row>
      <xdr:rowOff>167014</xdr:rowOff>
    </xdr:from>
    <xdr:to>
      <xdr:col>5</xdr:col>
      <xdr:colOff>52191</xdr:colOff>
      <xdr:row>3</xdr:row>
      <xdr:rowOff>240082</xdr:rowOff>
    </xdr:to>
    <xdr:cxnSp macro="">
      <xdr:nvCxnSpPr>
        <xdr:cNvPr id="2" name="Conector recto de flecha 1">
          <a:extLst>
            <a:ext uri="{FF2B5EF4-FFF2-40B4-BE49-F238E27FC236}">
              <a16:creationId xmlns:a16="http://schemas.microsoft.com/office/drawing/2014/main" id="{67A178B6-D6A8-49D6-AB54-98BF0DB9A134}"/>
            </a:ext>
          </a:extLst>
        </xdr:cNvPr>
        <xdr:cNvCxnSpPr/>
      </xdr:nvCxnSpPr>
      <xdr:spPr>
        <a:xfrm flipV="1">
          <a:off x="4055301" y="349685"/>
          <a:ext cx="422753" cy="438411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DAVID MENDIETA LOPEZ" id="{50F7D9D3-86A3-4E49-AC3E-60E52A5B72D3}" userId="S::mendieta_lopez_david@comunidad.unam.mx::50135692-ec2c-489a-957d-9bedbfc7b984" providerId="AD"/>
</personList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3" dT="2024-04-25T18:45:58.21" personId="{50F7D9D3-86A3-4E49-AC3E-60E52A5B72D3}" id="{36942647-A046-47D8-BADE-0839FFB67E6C}">
    <text>Es la cantidad de dinero que ofrece (presta) la entidad financiera un usuario</text>
  </threadedComment>
  <threadedComment ref="A4" dT="2024-04-25T18:48:37.34" personId="{50F7D9D3-86A3-4E49-AC3E-60E52A5B72D3}" id="{6FE63D29-74D0-4654-931D-463039FD3181}">
    <text>La tasa de interes que debe de pagar el usuario</text>
  </threadedComment>
  <threadedComment ref="A5" dT="2024-04-25T18:49:18.85" personId="{50F7D9D3-86A3-4E49-AC3E-60E52A5B72D3}" id="{784CB5FD-4F5C-4C22-AAE4-41E6A0514488}">
    <text>El numero de plazo para pagar el prestamo</text>
  </threadedComment>
  <threadedComment ref="A6" dT="2024-04-25T18:50:24.58" personId="{50F7D9D3-86A3-4E49-AC3E-60E52A5B72D3}" id="{6A684781-40BF-42FC-BDE9-8BAC09F7E104}">
    <text>Precio que tiene que pagar el usuario por pedir el prestamo</text>
  </threadedComment>
  <threadedComment ref="I6" dT="2024-04-25T20:31:37.38" personId="{50F7D9D3-86A3-4E49-AC3E-60E52A5B72D3}" id="{C5617A8C-D073-4EB5-9A31-68CE2EB25DEC}">
    <text>Es el % real de este credito (a diferencias de la tasa de credito inicial)</text>
  </threadedComment>
  <threadedComment ref="A7" dT="2024-04-25T18:54:46.31" personId="{50F7D9D3-86A3-4E49-AC3E-60E52A5B72D3}" id="{39B98DF3-ACEB-4E9D-BEB3-6B08C2140070}">
    <text>Una forma de que la entidad financiera se asegure en caso de que el usuario no pague el prestamo</text>
  </threadedComment>
  <threadedComment ref="A8" dT="2024-04-25T18:55:36.26" personId="{50F7D9D3-86A3-4E49-AC3E-60E52A5B72D3}" id="{6206DCAF-6F19-418E-A388-C9A70C4D4ADA}">
    <text>Lo que el usuario debe pagar periodicamente; en este caso es con la funcion: "PAGO" o por medio de aplicar un despeje R</text>
  </threadedComment>
  <threadedComment ref="B10" dT="2024-04-25T19:46:28.64" personId="{50F7D9D3-86A3-4E49-AC3E-60E52A5B72D3}" id="{DF2C5F96-12C9-41F4-8AD4-EE39CA53BA5F}">
    <text>La cantidad de la linea de credito que se maneja en dicho periodo</text>
  </threadedComment>
  <threadedComment ref="C10" dT="2024-04-25T19:47:24.25" personId="{50F7D9D3-86A3-4E49-AC3E-60E52A5B72D3}" id="{2FE5C6DA-E7CC-40F0-AA86-5658A85418BA}">
    <text>Es la tasa de credito que maneja para cada periodo; en este caso tenemos que es  el mismo y mensual (por eso se divide)</text>
  </threadedComment>
  <threadedComment ref="D10" dT="2024-04-25T19:49:18.39" personId="{50F7D9D3-86A3-4E49-AC3E-60E52A5B72D3}" id="{0ACDE42B-C6E5-4B08-ADDF-707D9ECD760E}">
    <text>Es el pago mensual calculado</text>
  </threadedComment>
  <threadedComment ref="E10" dT="2024-04-25T19:58:16.89" personId="{50F7D9D3-86A3-4E49-AC3E-60E52A5B72D3}" id="{770B2CC3-3021-4B1A-A74C-69281739923B}">
    <text>La cantidad por interes generada en este periodo: SI inicio * Tasa</text>
  </threadedComment>
  <threadedComment ref="F10" dT="2024-04-25T19:59:08.55" personId="{50F7D9D3-86A3-4E49-AC3E-60E52A5B72D3}" id="{29527E08-A0E3-43A5-8CBE-B974C88EBF12}">
    <text>Sera nuestro pago - la cantidad de interes</text>
  </threadedComment>
  <threadedComment ref="G10" dT="2024-04-25T20:03:46.17" personId="{50F7D9D3-86A3-4E49-AC3E-60E52A5B72D3}" id="{F21EFBF7-49EA-4125-9827-5BDBD0AD16E2}">
    <text>La linea de credito actual - el pago real (lo que lo va reduciendo con el tiempo)</text>
  </threadedComment>
  <threadedComment ref="H10" dT="2024-04-25T20:13:49.13" personId="{50F7D9D3-86A3-4E49-AC3E-60E52A5B72D3}" id="{ED7FD0E3-7BBE-4D1F-9098-DCE171C18EC0}">
    <text>Es el pago por apertura que se contempla: linea de credito * tasa de comision por apertura (solo se aplica al comienzo del prestamo)</text>
  </threadedComment>
  <threadedComment ref="I10" dT="2024-04-25T20:15:29.33" personId="{50F7D9D3-86A3-4E49-AC3E-60E52A5B72D3}" id="{EF65109B-AF44-4093-8516-5E38E9506FAD}">
    <text>Como por cada ano; entonces nos devuelve esta cantidad cada 12 periodos (porque esta en meses los periodos)</text>
  </threadedComment>
  <threadedComment ref="J10" dT="2024-04-25T20:16:23.22" personId="{50F7D9D3-86A3-4E49-AC3E-60E52A5B72D3}" id="{D2EE4F12-BCC1-4CE0-8737-CE710CD06C00}">
    <text>Nos referimos a lo que se da realmente que es pago + Comision por apertura + Seguro de vida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B6" dT="2024-04-25T20:34:12.79" personId="{50F7D9D3-86A3-4E49-AC3E-60E52A5B72D3}" id="{E38573C7-91DC-46AA-A0A6-2E3DC5659C41}">
    <text>Es la tasa efectiva pero como esta anualizada pues calculamos mensualmente</text>
  </threadedComment>
  <threadedComment ref="C6" dT="2024-04-25T20:35:41.26" personId="{50F7D9D3-86A3-4E49-AC3E-60E52A5B72D3}" id="{55DC544B-2399-49BC-8D22-5CE7B769CA8F}">
    <text>Es la exposicion del imcumplimiento (EI) en este periodo; para este caso vamos va ser nuestro "SI inicio</text>
  </threadedComment>
  <threadedComment ref="D6" dT="2024-04-25T20:36:49.25" personId="{50F7D9D3-86A3-4E49-AC3E-60E52A5B72D3}" id="{6475C02B-7805-4011-8BE5-07765F38663C}">
    <text>Es la tasa de descuento de nuestra tasa r bajo el periodo</text>
  </threadedComment>
  <threadedComment ref="E6" dT="2024-04-25T20:37:08.76" personId="{50F7D9D3-86A3-4E49-AC3E-60E52A5B72D3}" id="{1E1BBFE5-DABE-4AEA-9EBD-3FADBB4B8913}">
    <text>La probabilidad de Incumplimiento</text>
  </threadedComment>
  <threadedComment ref="F6" dT="2024-04-25T20:38:23.64" personId="{50F7D9D3-86A3-4E49-AC3E-60E52A5B72D3}" id="{FFC2F9BE-E4E1-4ABB-B44E-8E7ACF56B607}">
    <text xml:space="preserve">La probabilidad de supervivencia </text>
  </threadedComment>
  <threadedComment ref="G6" dT="2024-04-25T20:37:58.91" personId="{50F7D9D3-86A3-4E49-AC3E-60E52A5B72D3}" id="{F92A1A99-789C-4B79-B447-FC2C52421D75}">
    <text>Severidad de la perdida</text>
  </threadedComment>
  <threadedComment ref="H6" dT="2024-04-25T20:39:40.69" personId="{50F7D9D3-86A3-4E49-AC3E-60E52A5B72D3}" id="{F172DE97-E3E1-4514-A525-DD0C79A825BB}">
    <text>Es el producto de las columnas Eit hasta SP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5" Type="http://schemas.microsoft.com/office/2017/10/relationships/threadedComment" Target="../threadedComments/threadedComment2.xml"/><Relationship Id="rId4" Type="http://schemas.openxmlformats.org/officeDocument/2006/relationships/comments" Target="../comments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8B5696-B45F-4D44-B88E-EA1C9290AB7E}">
  <sheetPr codeName="Sheet6"/>
  <dimension ref="A1:L34"/>
  <sheetViews>
    <sheetView tabSelected="1" zoomScale="91" zoomScaleNormal="70" workbookViewId="0">
      <selection activeCell="P8" sqref="P8"/>
    </sheetView>
  </sheetViews>
  <sheetFormatPr baseColWidth="10" defaultColWidth="8.85546875" defaultRowHeight="15"/>
  <cols>
    <col min="1" max="1" width="18.7109375" customWidth="1"/>
    <col min="2" max="2" width="13.5703125" bestFit="1" customWidth="1"/>
    <col min="3" max="3" width="15.85546875" bestFit="1" customWidth="1"/>
    <col min="4" max="4" width="14.7109375" customWidth="1"/>
    <col min="5" max="5" width="11.28515625" bestFit="1" customWidth="1"/>
    <col min="6" max="6" width="12.5703125" bestFit="1" customWidth="1"/>
    <col min="7" max="7" width="14" bestFit="1" customWidth="1"/>
    <col min="8" max="8" width="12.7109375" customWidth="1"/>
    <col min="9" max="9" width="11.28515625" customWidth="1"/>
    <col min="10" max="10" width="12.140625" customWidth="1"/>
    <col min="11" max="11" width="13.7109375" bestFit="1" customWidth="1"/>
  </cols>
  <sheetData>
    <row r="1" spans="1:12" ht="24" thickBot="1">
      <c r="D1" s="44" t="s">
        <v>13</v>
      </c>
      <c r="E1" s="44"/>
      <c r="F1" s="44"/>
      <c r="G1" s="44"/>
      <c r="H1" s="44"/>
      <c r="I1" s="44"/>
    </row>
    <row r="2" spans="1:12" ht="15.75" thickTop="1"/>
    <row r="3" spans="1:12" ht="30">
      <c r="A3" s="45" t="s">
        <v>14</v>
      </c>
      <c r="C3" s="47">
        <v>1000000</v>
      </c>
    </row>
    <row r="4" spans="1:12" ht="30">
      <c r="A4" s="45" t="s">
        <v>15</v>
      </c>
      <c r="C4" s="48">
        <v>0.12</v>
      </c>
    </row>
    <row r="5" spans="1:12">
      <c r="A5" s="46" t="s">
        <v>16</v>
      </c>
      <c r="B5" s="3" t="s">
        <v>17</v>
      </c>
      <c r="C5" s="49">
        <v>24</v>
      </c>
    </row>
    <row r="6" spans="1:12" ht="30">
      <c r="A6" s="45" t="s">
        <v>19</v>
      </c>
      <c r="C6" s="48">
        <v>0.02</v>
      </c>
      <c r="D6" s="7"/>
      <c r="I6" s="53" t="s">
        <v>34</v>
      </c>
      <c r="J6" s="53"/>
      <c r="K6" s="26">
        <v>0.15940040467455743</v>
      </c>
      <c r="L6" s="25"/>
    </row>
    <row r="7" spans="1:12">
      <c r="A7" s="46" t="s">
        <v>20</v>
      </c>
      <c r="C7" s="47">
        <v>10000</v>
      </c>
      <c r="D7" s="7"/>
    </row>
    <row r="8" spans="1:12">
      <c r="A8" s="46" t="s">
        <v>31</v>
      </c>
      <c r="C8" s="51">
        <f xml:space="preserve"> - PMT(C4 / 12,C5,C3,0,0)</f>
        <v>47073.472223264704</v>
      </c>
      <c r="D8" s="50">
        <f xml:space="preserve"> C3 / ( (1 - (1+C4/12)^(-C5) ) / (C4/12) )</f>
        <v>47073.472223264645</v>
      </c>
      <c r="K8" s="52" t="s">
        <v>33</v>
      </c>
    </row>
    <row r="9" spans="1:12">
      <c r="B9" s="6"/>
      <c r="K9" s="5">
        <f xml:space="preserve"> SUM(K11:K34)</f>
        <v>1000000.0000001442</v>
      </c>
    </row>
    <row r="10" spans="1:12" ht="30">
      <c r="A10" s="9" t="s">
        <v>8</v>
      </c>
      <c r="B10" s="9" t="s">
        <v>9</v>
      </c>
      <c r="C10" s="9" t="s">
        <v>10</v>
      </c>
      <c r="D10" s="9" t="s">
        <v>18</v>
      </c>
      <c r="E10" s="9" t="s">
        <v>32</v>
      </c>
      <c r="F10" s="9" t="s">
        <v>11</v>
      </c>
      <c r="G10" s="9" t="s">
        <v>12</v>
      </c>
      <c r="H10" s="10" t="s">
        <v>21</v>
      </c>
      <c r="I10" s="12" t="s">
        <v>22</v>
      </c>
      <c r="J10" s="11" t="s">
        <v>23</v>
      </c>
      <c r="K10" s="11" t="s">
        <v>24</v>
      </c>
    </row>
    <row r="11" spans="1:12">
      <c r="A11" s="3">
        <v>1</v>
      </c>
      <c r="B11" s="4">
        <f xml:space="preserve"> C3</f>
        <v>1000000</v>
      </c>
      <c r="C11" s="8">
        <f xml:space="preserve"> $C$4 / 12</f>
        <v>0.01</v>
      </c>
      <c r="D11" s="4">
        <f xml:space="preserve"> $C$8</f>
        <v>47073.472223264704</v>
      </c>
      <c r="E11" s="4">
        <f xml:space="preserve"> B11 * C11</f>
        <v>10000</v>
      </c>
      <c r="F11" s="5">
        <f xml:space="preserve"> D11 - E11</f>
        <v>37073.472223264704</v>
      </c>
      <c r="G11" s="5">
        <f xml:space="preserve"> B11 - F11</f>
        <v>962926.52777673525</v>
      </c>
      <c r="H11" s="5">
        <f xml:space="preserve"> C3 * C6</f>
        <v>20000</v>
      </c>
      <c r="I11" s="5">
        <f xml:space="preserve"> C7</f>
        <v>10000</v>
      </c>
      <c r="J11" s="5">
        <f xml:space="preserve"> D11 + H11 + I11</f>
        <v>77073.472223264704</v>
      </c>
      <c r="K11" s="5">
        <f xml:space="preserve"> J11 / (1 + $K$6/12)^A11</f>
        <v>76063.098170828816</v>
      </c>
    </row>
    <row r="12" spans="1:12">
      <c r="A12" s="3">
        <f>+A11+1</f>
        <v>2</v>
      </c>
      <c r="B12" s="5">
        <f xml:space="preserve"> G11</f>
        <v>962926.52777673525</v>
      </c>
      <c r="C12" s="8">
        <f xml:space="preserve"> $C$4 / 12</f>
        <v>0.01</v>
      </c>
      <c r="D12" s="4">
        <f xml:space="preserve"> $C$8</f>
        <v>47073.472223264704</v>
      </c>
      <c r="E12" s="4">
        <f xml:space="preserve"> B12 * C12</f>
        <v>9629.265277767352</v>
      </c>
      <c r="F12" s="5">
        <f xml:space="preserve"> D12 - E12</f>
        <v>37444.206945497353</v>
      </c>
      <c r="G12" s="5">
        <f xml:space="preserve"> B12 - F12</f>
        <v>925482.32083123794</v>
      </c>
      <c r="H12" s="5"/>
      <c r="I12" s="5"/>
      <c r="J12" s="5">
        <f t="shared" ref="J12:J34" si="0" xml:space="preserve"> D12 + H12 + I12</f>
        <v>47073.472223264704</v>
      </c>
      <c r="K12" s="5">
        <f t="shared" ref="K12:K34" si="1" xml:space="preserve"> J12 / (1 + $K$6/12)^A12</f>
        <v>45847.367726109507</v>
      </c>
    </row>
    <row r="13" spans="1:12">
      <c r="A13" s="3">
        <f t="shared" ref="A13:A34" si="2">+A12+1</f>
        <v>3</v>
      </c>
      <c r="B13" s="5">
        <f t="shared" ref="B13:B34" si="3" xml:space="preserve"> G12</f>
        <v>925482.32083123794</v>
      </c>
      <c r="C13" s="8">
        <f xml:space="preserve"> $C$4 / 12</f>
        <v>0.01</v>
      </c>
      <c r="D13" s="4">
        <f xml:space="preserve"> $C$8</f>
        <v>47073.472223264704</v>
      </c>
      <c r="E13" s="4">
        <f t="shared" ref="E13:E34" si="4" xml:space="preserve"> B13 * C13</f>
        <v>9254.8232083123803</v>
      </c>
      <c r="F13" s="5">
        <f t="shared" ref="F13:F34" si="5" xml:space="preserve"> D13 - E13</f>
        <v>37818.649014952323</v>
      </c>
      <c r="G13" s="5">
        <f t="shared" ref="G13:G34" si="6" xml:space="preserve"> B13 - F13</f>
        <v>887663.67181628558</v>
      </c>
      <c r="H13" s="5"/>
      <c r="I13" s="5"/>
      <c r="J13" s="5">
        <f t="shared" si="0"/>
        <v>47073.472223264704</v>
      </c>
      <c r="K13" s="5">
        <f t="shared" si="1"/>
        <v>45246.343931712909</v>
      </c>
    </row>
    <row r="14" spans="1:12">
      <c r="A14" s="3">
        <f t="shared" si="2"/>
        <v>4</v>
      </c>
      <c r="B14" s="5">
        <f t="shared" si="3"/>
        <v>887663.67181628558</v>
      </c>
      <c r="C14" s="8">
        <f xml:space="preserve"> $C$4 / 12</f>
        <v>0.01</v>
      </c>
      <c r="D14" s="4">
        <f xml:space="preserve"> $C$8</f>
        <v>47073.472223264704</v>
      </c>
      <c r="E14" s="4">
        <f t="shared" si="4"/>
        <v>8876.6367181628557</v>
      </c>
      <c r="F14" s="5">
        <f t="shared" si="5"/>
        <v>38196.835505101844</v>
      </c>
      <c r="G14" s="5">
        <f t="shared" si="6"/>
        <v>849466.83631118375</v>
      </c>
      <c r="H14" s="5"/>
      <c r="I14" s="5"/>
      <c r="J14" s="5">
        <f t="shared" si="0"/>
        <v>47073.472223264704</v>
      </c>
      <c r="K14" s="5">
        <f t="shared" si="1"/>
        <v>44653.199097861834</v>
      </c>
    </row>
    <row r="15" spans="1:12">
      <c r="A15" s="3">
        <f t="shared" si="2"/>
        <v>5</v>
      </c>
      <c r="B15" s="5">
        <f t="shared" si="3"/>
        <v>849466.83631118375</v>
      </c>
      <c r="C15" s="8">
        <f xml:space="preserve"> $C$4 / 12</f>
        <v>0.01</v>
      </c>
      <c r="D15" s="4">
        <f xml:space="preserve"> $C$8</f>
        <v>47073.472223264704</v>
      </c>
      <c r="E15" s="4">
        <f t="shared" si="4"/>
        <v>8494.6683631118376</v>
      </c>
      <c r="F15" s="5">
        <f t="shared" si="5"/>
        <v>38578.803860152868</v>
      </c>
      <c r="G15" s="5">
        <f t="shared" si="6"/>
        <v>810888.03245103091</v>
      </c>
      <c r="H15" s="5"/>
      <c r="I15" s="5"/>
      <c r="J15" s="5">
        <f t="shared" si="0"/>
        <v>47073.472223264704</v>
      </c>
      <c r="K15" s="5">
        <f t="shared" si="1"/>
        <v>44067.82993743215</v>
      </c>
    </row>
    <row r="16" spans="1:12">
      <c r="A16" s="3">
        <f t="shared" si="2"/>
        <v>6</v>
      </c>
      <c r="B16" s="5">
        <f t="shared" si="3"/>
        <v>810888.03245103091</v>
      </c>
      <c r="C16" s="8">
        <f xml:space="preserve"> $C$4 / 12</f>
        <v>0.01</v>
      </c>
      <c r="D16" s="4">
        <f xml:space="preserve"> $C$8</f>
        <v>47073.472223264704</v>
      </c>
      <c r="E16" s="4">
        <f t="shared" si="4"/>
        <v>8108.880324510309</v>
      </c>
      <c r="F16" s="5">
        <f t="shared" si="5"/>
        <v>38964.591898754392</v>
      </c>
      <c r="G16" s="5">
        <f t="shared" si="6"/>
        <v>771923.44055227656</v>
      </c>
      <c r="H16" s="5"/>
      <c r="I16" s="5"/>
      <c r="J16" s="5">
        <f t="shared" si="0"/>
        <v>47073.472223264704</v>
      </c>
      <c r="K16" s="5">
        <f t="shared" si="1"/>
        <v>43490.134517314567</v>
      </c>
    </row>
    <row r="17" spans="1:11">
      <c r="A17" s="3">
        <f t="shared" si="2"/>
        <v>7</v>
      </c>
      <c r="B17" s="5">
        <f t="shared" si="3"/>
        <v>771923.44055227656</v>
      </c>
      <c r="C17" s="8">
        <f xml:space="preserve"> $C$4 / 12</f>
        <v>0.01</v>
      </c>
      <c r="D17" s="4">
        <f xml:space="preserve"> $C$8</f>
        <v>47073.472223264704</v>
      </c>
      <c r="E17" s="4">
        <f t="shared" si="4"/>
        <v>7719.2344055227659</v>
      </c>
      <c r="F17" s="5">
        <f t="shared" si="5"/>
        <v>39354.237817741938</v>
      </c>
      <c r="G17" s="5">
        <f t="shared" si="6"/>
        <v>732569.20273453463</v>
      </c>
      <c r="H17" s="5"/>
      <c r="I17" s="5"/>
      <c r="J17" s="5">
        <f t="shared" si="0"/>
        <v>47073.472223264704</v>
      </c>
      <c r="K17" s="5">
        <f t="shared" si="1"/>
        <v>42920.012240664662</v>
      </c>
    </row>
    <row r="18" spans="1:11">
      <c r="A18" s="3">
        <f t="shared" si="2"/>
        <v>8</v>
      </c>
      <c r="B18" s="5">
        <f t="shared" si="3"/>
        <v>732569.20273453463</v>
      </c>
      <c r="C18" s="8">
        <f xml:space="preserve"> $C$4 / 12</f>
        <v>0.01</v>
      </c>
      <c r="D18" s="4">
        <f xml:space="preserve"> $C$8</f>
        <v>47073.472223264704</v>
      </c>
      <c r="E18" s="4">
        <f t="shared" si="4"/>
        <v>7325.6920273453461</v>
      </c>
      <c r="F18" s="5">
        <f t="shared" si="5"/>
        <v>39747.78019591936</v>
      </c>
      <c r="G18" s="5">
        <f t="shared" si="6"/>
        <v>692821.4225386153</v>
      </c>
      <c r="H18" s="5"/>
      <c r="I18" s="5"/>
      <c r="J18" s="5">
        <f t="shared" si="0"/>
        <v>47073.472223264704</v>
      </c>
      <c r="K18" s="5">
        <f t="shared" si="1"/>
        <v>42357.363829385373</v>
      </c>
    </row>
    <row r="19" spans="1:11">
      <c r="A19" s="3">
        <f t="shared" si="2"/>
        <v>9</v>
      </c>
      <c r="B19" s="5">
        <f t="shared" si="3"/>
        <v>692821.4225386153</v>
      </c>
      <c r="C19" s="8">
        <f xml:space="preserve"> $C$4 / 12</f>
        <v>0.01</v>
      </c>
      <c r="D19" s="4">
        <f xml:space="preserve"> $C$8</f>
        <v>47073.472223264704</v>
      </c>
      <c r="E19" s="4">
        <f t="shared" si="4"/>
        <v>6928.214225386153</v>
      </c>
      <c r="F19" s="5">
        <f t="shared" si="5"/>
        <v>40145.257997878551</v>
      </c>
      <c r="G19" s="5">
        <f t="shared" si="6"/>
        <v>652676.1645407367</v>
      </c>
      <c r="H19" s="5"/>
      <c r="I19" s="5"/>
      <c r="J19" s="5">
        <f t="shared" si="0"/>
        <v>47073.472223264704</v>
      </c>
      <c r="K19" s="5">
        <f t="shared" si="1"/>
        <v>41802.091306839291</v>
      </c>
    </row>
    <row r="20" spans="1:11">
      <c r="A20" s="3">
        <f t="shared" si="2"/>
        <v>10</v>
      </c>
      <c r="B20" s="5">
        <f t="shared" si="3"/>
        <v>652676.1645407367</v>
      </c>
      <c r="C20" s="8">
        <f xml:space="preserve"> $C$4 / 12</f>
        <v>0.01</v>
      </c>
      <c r="D20" s="4">
        <f xml:space="preserve"> $C$8</f>
        <v>47073.472223264704</v>
      </c>
      <c r="E20" s="4">
        <f t="shared" si="4"/>
        <v>6526.7616454073668</v>
      </c>
      <c r="F20" s="5">
        <f t="shared" si="5"/>
        <v>40546.710577857339</v>
      </c>
      <c r="G20" s="5">
        <f t="shared" si="6"/>
        <v>612129.45396287937</v>
      </c>
      <c r="H20" s="5"/>
      <c r="I20" s="5"/>
      <c r="J20" s="5">
        <f t="shared" si="0"/>
        <v>47073.472223264704</v>
      </c>
      <c r="K20" s="5">
        <f t="shared" si="1"/>
        <v>41254.097980787512</v>
      </c>
    </row>
    <row r="21" spans="1:11">
      <c r="A21" s="3">
        <f t="shared" si="2"/>
        <v>11</v>
      </c>
      <c r="B21" s="5">
        <f t="shared" si="3"/>
        <v>612129.45396287937</v>
      </c>
      <c r="C21" s="8">
        <f xml:space="preserve"> $C$4 / 12</f>
        <v>0.01</v>
      </c>
      <c r="D21" s="4">
        <f xml:space="preserve"> $C$8</f>
        <v>47073.472223264704</v>
      </c>
      <c r="E21" s="4">
        <f t="shared" si="4"/>
        <v>6121.2945396287942</v>
      </c>
      <c r="F21" s="5">
        <f t="shared" si="5"/>
        <v>40952.177683635906</v>
      </c>
      <c r="G21" s="5">
        <f t="shared" si="6"/>
        <v>571177.27627924341</v>
      </c>
      <c r="H21" s="5"/>
      <c r="I21" s="5"/>
      <c r="J21" s="5">
        <f t="shared" si="0"/>
        <v>47073.472223264704</v>
      </c>
      <c r="K21" s="5">
        <f t="shared" si="1"/>
        <v>40713.288426552142</v>
      </c>
    </row>
    <row r="22" spans="1:11">
      <c r="A22" s="3">
        <f t="shared" si="2"/>
        <v>12</v>
      </c>
      <c r="B22" s="5">
        <f t="shared" si="3"/>
        <v>571177.27627924341</v>
      </c>
      <c r="C22" s="8">
        <f xml:space="preserve"> $C$4 / 12</f>
        <v>0.01</v>
      </c>
      <c r="D22" s="4">
        <f xml:space="preserve"> $C$8</f>
        <v>47073.472223264704</v>
      </c>
      <c r="E22" s="4">
        <f t="shared" si="4"/>
        <v>5711.7727627924342</v>
      </c>
      <c r="F22" s="5">
        <f t="shared" si="5"/>
        <v>41361.699460472271</v>
      </c>
      <c r="G22" s="5">
        <f t="shared" si="6"/>
        <v>529815.57681877119</v>
      </c>
      <c r="H22" s="5"/>
      <c r="I22" s="5"/>
      <c r="J22" s="5">
        <f t="shared" si="0"/>
        <v>47073.472223264704</v>
      </c>
      <c r="K22" s="5">
        <f t="shared" si="1"/>
        <v>40179.568470399565</v>
      </c>
    </row>
    <row r="23" spans="1:11">
      <c r="A23" s="3">
        <f t="shared" si="2"/>
        <v>13</v>
      </c>
      <c r="B23" s="5">
        <f t="shared" si="3"/>
        <v>529815.57681877119</v>
      </c>
      <c r="C23" s="8">
        <f xml:space="preserve"> $C$4 / 12</f>
        <v>0.01</v>
      </c>
      <c r="D23" s="4">
        <f xml:space="preserve"> $C$8</f>
        <v>47073.472223264704</v>
      </c>
      <c r="E23" s="4">
        <f t="shared" si="4"/>
        <v>5298.1557681877121</v>
      </c>
      <c r="F23" s="5">
        <f t="shared" si="5"/>
        <v>41775.316455076994</v>
      </c>
      <c r="G23" s="5">
        <f t="shared" si="6"/>
        <v>488040.26036369422</v>
      </c>
      <c r="H23" s="5"/>
      <c r="I23" s="5">
        <f xml:space="preserve"> C7</f>
        <v>10000</v>
      </c>
      <c r="J23" s="5">
        <f t="shared" si="0"/>
        <v>57073.472223264704</v>
      </c>
      <c r="K23" s="5">
        <f t="shared" si="1"/>
        <v>48076.452631939595</v>
      </c>
    </row>
    <row r="24" spans="1:11">
      <c r="A24" s="3">
        <f t="shared" si="2"/>
        <v>14</v>
      </c>
      <c r="B24" s="5">
        <f t="shared" si="3"/>
        <v>488040.26036369422</v>
      </c>
      <c r="C24" s="8">
        <f xml:space="preserve"> $C$4 / 12</f>
        <v>0.01</v>
      </c>
      <c r="D24" s="4">
        <f xml:space="preserve"> $C$8</f>
        <v>47073.472223264704</v>
      </c>
      <c r="E24" s="4">
        <f t="shared" si="4"/>
        <v>4880.4026036369423</v>
      </c>
      <c r="F24" s="5">
        <f t="shared" si="5"/>
        <v>42193.069619627764</v>
      </c>
      <c r="G24" s="5">
        <f t="shared" si="6"/>
        <v>445847.19074406644</v>
      </c>
      <c r="H24" s="5"/>
      <c r="I24" s="5"/>
      <c r="J24" s="5">
        <f t="shared" si="0"/>
        <v>47073.472223264704</v>
      </c>
      <c r="K24" s="5">
        <f t="shared" si="1"/>
        <v>39133.026813951197</v>
      </c>
    </row>
    <row r="25" spans="1:11">
      <c r="A25" s="3">
        <f t="shared" si="2"/>
        <v>15</v>
      </c>
      <c r="B25" s="5">
        <f t="shared" si="3"/>
        <v>445847.19074406644</v>
      </c>
      <c r="C25" s="8">
        <f xml:space="preserve"> $C$4 / 12</f>
        <v>0.01</v>
      </c>
      <c r="D25" s="4">
        <f xml:space="preserve"> $C$8</f>
        <v>47073.472223264704</v>
      </c>
      <c r="E25" s="4">
        <f t="shared" si="4"/>
        <v>4458.4719074406648</v>
      </c>
      <c r="F25" s="5">
        <f t="shared" si="5"/>
        <v>42615.000315824036</v>
      </c>
      <c r="G25" s="5">
        <f t="shared" si="6"/>
        <v>403232.19042824238</v>
      </c>
      <c r="H25" s="5"/>
      <c r="I25" s="5"/>
      <c r="J25" s="5">
        <f t="shared" si="0"/>
        <v>47073.472223264704</v>
      </c>
      <c r="K25" s="5">
        <f t="shared" si="1"/>
        <v>38620.02287439131</v>
      </c>
    </row>
    <row r="26" spans="1:11">
      <c r="A26" s="3">
        <f t="shared" si="2"/>
        <v>16</v>
      </c>
      <c r="B26" s="5">
        <f t="shared" si="3"/>
        <v>403232.19042824238</v>
      </c>
      <c r="C26" s="8">
        <f xml:space="preserve"> $C$4 / 12</f>
        <v>0.01</v>
      </c>
      <c r="D26" s="4">
        <f xml:space="preserve"> $C$8</f>
        <v>47073.472223264704</v>
      </c>
      <c r="E26" s="4">
        <f t="shared" si="4"/>
        <v>4032.3219042824239</v>
      </c>
      <c r="F26" s="5">
        <f t="shared" si="5"/>
        <v>43041.150318982283</v>
      </c>
      <c r="G26" s="5">
        <f t="shared" si="6"/>
        <v>360191.04010926012</v>
      </c>
      <c r="H26" s="5"/>
      <c r="I26" s="5"/>
      <c r="J26" s="5">
        <f t="shared" si="0"/>
        <v>47073.472223264704</v>
      </c>
      <c r="K26" s="5">
        <f t="shared" si="1"/>
        <v>38113.744022651874</v>
      </c>
    </row>
    <row r="27" spans="1:11">
      <c r="A27" s="3">
        <f t="shared" si="2"/>
        <v>17</v>
      </c>
      <c r="B27" s="5">
        <f t="shared" si="3"/>
        <v>360191.04010926012</v>
      </c>
      <c r="C27" s="8">
        <f xml:space="preserve"> $C$4 / 12</f>
        <v>0.01</v>
      </c>
      <c r="D27" s="4">
        <f xml:space="preserve"> $C$8</f>
        <v>47073.472223264704</v>
      </c>
      <c r="E27" s="4">
        <f t="shared" si="4"/>
        <v>3601.9104010926012</v>
      </c>
      <c r="F27" s="5">
        <f t="shared" si="5"/>
        <v>43471.561822172102</v>
      </c>
      <c r="G27" s="5">
        <f t="shared" si="6"/>
        <v>316719.47828708804</v>
      </c>
      <c r="H27" s="5"/>
      <c r="I27" s="5"/>
      <c r="J27" s="5">
        <f t="shared" si="0"/>
        <v>47073.472223264704</v>
      </c>
      <c r="K27" s="5">
        <f t="shared" si="1"/>
        <v>37614.102097994342</v>
      </c>
    </row>
    <row r="28" spans="1:11">
      <c r="A28" s="3">
        <f t="shared" si="2"/>
        <v>18</v>
      </c>
      <c r="B28" s="5">
        <f t="shared" si="3"/>
        <v>316719.47828708804</v>
      </c>
      <c r="C28" s="8">
        <f xml:space="preserve"> $C$4 / 12</f>
        <v>0.01</v>
      </c>
      <c r="D28" s="4">
        <f xml:space="preserve"> $C$8</f>
        <v>47073.472223264704</v>
      </c>
      <c r="E28" s="4">
        <f t="shared" si="4"/>
        <v>3167.1947828708803</v>
      </c>
      <c r="F28" s="5">
        <f t="shared" si="5"/>
        <v>43906.277440393824</v>
      </c>
      <c r="G28" s="5">
        <f t="shared" si="6"/>
        <v>272813.20084669424</v>
      </c>
      <c r="H28" s="5"/>
      <c r="I28" s="5"/>
      <c r="J28" s="5">
        <f t="shared" si="0"/>
        <v>47073.472223264704</v>
      </c>
      <c r="K28" s="5">
        <f t="shared" si="1"/>
        <v>37121.010095399753</v>
      </c>
    </row>
    <row r="29" spans="1:11">
      <c r="A29" s="3">
        <f t="shared" si="2"/>
        <v>19</v>
      </c>
      <c r="B29" s="5">
        <f t="shared" si="3"/>
        <v>272813.20084669424</v>
      </c>
      <c r="C29" s="8">
        <f xml:space="preserve"> $C$4 / 12</f>
        <v>0.01</v>
      </c>
      <c r="D29" s="4">
        <f xml:space="preserve"> $C$8</f>
        <v>47073.472223264704</v>
      </c>
      <c r="E29" s="4">
        <f t="shared" si="4"/>
        <v>2728.1320084669424</v>
      </c>
      <c r="F29" s="5">
        <f t="shared" si="5"/>
        <v>44345.340214797761</v>
      </c>
      <c r="G29" s="5">
        <f t="shared" si="6"/>
        <v>228467.86063189647</v>
      </c>
      <c r="H29" s="5"/>
      <c r="I29" s="5"/>
      <c r="J29" s="5">
        <f t="shared" si="0"/>
        <v>47073.472223264704</v>
      </c>
      <c r="K29" s="5">
        <f t="shared" si="1"/>
        <v>36634.382150418161</v>
      </c>
    </row>
    <row r="30" spans="1:11">
      <c r="A30" s="3">
        <f t="shared" si="2"/>
        <v>20</v>
      </c>
      <c r="B30" s="5">
        <f t="shared" si="3"/>
        <v>228467.86063189647</v>
      </c>
      <c r="C30" s="8">
        <f xml:space="preserve"> $C$4 / 12</f>
        <v>0.01</v>
      </c>
      <c r="D30" s="4">
        <f xml:space="preserve"> $C$8</f>
        <v>47073.472223264704</v>
      </c>
      <c r="E30" s="4">
        <f t="shared" si="4"/>
        <v>2284.6786063189647</v>
      </c>
      <c r="F30" s="5">
        <f t="shared" si="5"/>
        <v>44788.793616945739</v>
      </c>
      <c r="G30" s="5">
        <f t="shared" si="6"/>
        <v>183679.06701495074</v>
      </c>
      <c r="H30" s="5"/>
      <c r="I30" s="5"/>
      <c r="J30" s="5">
        <f t="shared" si="0"/>
        <v>47073.472223264704</v>
      </c>
      <c r="K30" s="5">
        <f t="shared" si="1"/>
        <v>36154.133524216653</v>
      </c>
    </row>
    <row r="31" spans="1:11">
      <c r="A31" s="3">
        <f t="shared" si="2"/>
        <v>21</v>
      </c>
      <c r="B31" s="5">
        <f t="shared" si="3"/>
        <v>183679.06701495074</v>
      </c>
      <c r="C31" s="8">
        <f xml:space="preserve"> $C$4 / 12</f>
        <v>0.01</v>
      </c>
      <c r="D31" s="4">
        <f xml:space="preserve"> $C$8</f>
        <v>47073.472223264704</v>
      </c>
      <c r="E31" s="4">
        <f t="shared" si="4"/>
        <v>1836.7906701495074</v>
      </c>
      <c r="F31" s="5">
        <f t="shared" si="5"/>
        <v>45236.681553115195</v>
      </c>
      <c r="G31" s="5">
        <f t="shared" si="6"/>
        <v>138442.38546183554</v>
      </c>
      <c r="H31" s="5"/>
      <c r="I31" s="5"/>
      <c r="J31" s="5">
        <f t="shared" si="0"/>
        <v>47073.472223264704</v>
      </c>
      <c r="K31" s="5">
        <f t="shared" si="1"/>
        <v>35680.180588823343</v>
      </c>
    </row>
    <row r="32" spans="1:11">
      <c r="A32" s="3">
        <f t="shared" si="2"/>
        <v>22</v>
      </c>
      <c r="B32" s="5">
        <f t="shared" si="3"/>
        <v>138442.38546183554</v>
      </c>
      <c r="C32" s="8">
        <f xml:space="preserve"> $C$4 / 12</f>
        <v>0.01</v>
      </c>
      <c r="D32" s="4">
        <f xml:space="preserve"> $C$8</f>
        <v>47073.472223264704</v>
      </c>
      <c r="E32" s="4">
        <f t="shared" si="4"/>
        <v>1384.4238546183553</v>
      </c>
      <c r="F32" s="5">
        <f t="shared" si="5"/>
        <v>45689.048368646349</v>
      </c>
      <c r="G32" s="5">
        <f t="shared" si="6"/>
        <v>92753.337093189184</v>
      </c>
      <c r="H32" s="5"/>
      <c r="I32" s="5"/>
      <c r="J32" s="5">
        <f t="shared" si="0"/>
        <v>47073.472223264704</v>
      </c>
      <c r="K32" s="5">
        <f t="shared" si="1"/>
        <v>35212.440812564855</v>
      </c>
    </row>
    <row r="33" spans="1:11">
      <c r="A33" s="3">
        <f t="shared" si="2"/>
        <v>23</v>
      </c>
      <c r="B33" s="5">
        <f t="shared" si="3"/>
        <v>92753.337093189184</v>
      </c>
      <c r="C33" s="8">
        <f xml:space="preserve"> $C$4 / 12</f>
        <v>0.01</v>
      </c>
      <c r="D33" s="4">
        <f xml:space="preserve"> $C$8</f>
        <v>47073.472223264704</v>
      </c>
      <c r="E33" s="4">
        <f t="shared" si="4"/>
        <v>927.53337093189191</v>
      </c>
      <c r="F33" s="5">
        <f t="shared" si="5"/>
        <v>46145.938852332809</v>
      </c>
      <c r="G33" s="5">
        <f t="shared" si="6"/>
        <v>46607.398240856375</v>
      </c>
      <c r="H33" s="5"/>
      <c r="I33" s="5"/>
      <c r="J33" s="5">
        <f t="shared" si="0"/>
        <v>47073.472223264704</v>
      </c>
      <c r="K33" s="5">
        <f t="shared" si="1"/>
        <v>34750.832745694723</v>
      </c>
    </row>
    <row r="34" spans="1:11">
      <c r="A34" s="3">
        <f t="shared" si="2"/>
        <v>24</v>
      </c>
      <c r="B34" s="5">
        <f t="shared" si="3"/>
        <v>46607.398240856375</v>
      </c>
      <c r="C34" s="8">
        <f xml:space="preserve"> $C$4 / 12</f>
        <v>0.01</v>
      </c>
      <c r="D34" s="4">
        <f xml:space="preserve"> $C$8</f>
        <v>47073.472223264704</v>
      </c>
      <c r="E34" s="4">
        <f t="shared" si="4"/>
        <v>466.07398240856378</v>
      </c>
      <c r="F34" s="5">
        <f t="shared" si="5"/>
        <v>46607.398240856142</v>
      </c>
      <c r="G34" s="5">
        <f t="shared" si="6"/>
        <v>2.3283064365386963E-10</v>
      </c>
      <c r="H34" s="5"/>
      <c r="I34" s="5"/>
      <c r="J34" s="5">
        <f t="shared" si="0"/>
        <v>47073.472223264704</v>
      </c>
      <c r="K34" s="5">
        <f t="shared" si="1"/>
        <v>34295.276006210101</v>
      </c>
    </row>
  </sheetData>
  <mergeCells count="2">
    <mergeCell ref="D1:I1"/>
    <mergeCell ref="I6:J6"/>
  </mergeCells>
  <pageMargins left="0.7" right="0.7" top="0.75" bottom="0.75" header="0.3" footer="0.3"/>
  <pageSetup orientation="portrait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F220CF-5D1C-47AF-888C-C37330AD9B03}">
  <sheetPr codeName="Sheet5"/>
  <dimension ref="A1:L36"/>
  <sheetViews>
    <sheetView showGridLines="0" zoomScaleNormal="100" workbookViewId="0">
      <selection activeCell="H35" sqref="H35:H36"/>
    </sheetView>
  </sheetViews>
  <sheetFormatPr baseColWidth="10" defaultColWidth="8.85546875" defaultRowHeight="15"/>
  <cols>
    <col min="1" max="1" width="13.140625" customWidth="1"/>
    <col min="2" max="2" width="12.7109375" customWidth="1"/>
    <col min="3" max="3" width="16.7109375" customWidth="1"/>
    <col min="4" max="4" width="13.28515625" customWidth="1"/>
    <col min="8" max="8" width="20.7109375" customWidth="1"/>
    <col min="12" max="12" width="10" customWidth="1"/>
  </cols>
  <sheetData>
    <row r="1" spans="1:12">
      <c r="F1" s="31" t="s">
        <v>29</v>
      </c>
      <c r="G1" s="32"/>
      <c r="H1" s="32"/>
      <c r="I1" s="32"/>
      <c r="J1" s="33"/>
    </row>
    <row r="2" spans="1:12">
      <c r="A2" s="16" t="s">
        <v>28</v>
      </c>
      <c r="B2" s="15">
        <f>+'Tabla de Amorticación'!K6</f>
        <v>0.15940040467455743</v>
      </c>
      <c r="F2" s="34"/>
      <c r="G2" s="35"/>
      <c r="H2" s="36"/>
      <c r="I2" s="36"/>
      <c r="J2" s="37"/>
    </row>
    <row r="3" spans="1:12">
      <c r="H3" s="38" t="s">
        <v>30</v>
      </c>
      <c r="I3" s="39"/>
      <c r="J3" s="39"/>
      <c r="K3" s="40"/>
    </row>
    <row r="4" spans="1:12" ht="23.25">
      <c r="A4" s="1" t="s">
        <v>0</v>
      </c>
      <c r="H4" s="41"/>
      <c r="I4" s="42"/>
      <c r="J4" s="42"/>
      <c r="K4" s="43"/>
      <c r="L4" s="17"/>
    </row>
    <row r="5" spans="1:12" ht="15.75" thickBot="1">
      <c r="E5" s="13" t="s">
        <v>25</v>
      </c>
      <c r="G5" s="13" t="s">
        <v>25</v>
      </c>
      <c r="I5" s="17"/>
      <c r="J5" s="17"/>
      <c r="K5" s="17"/>
      <c r="L5" s="17"/>
    </row>
    <row r="6" spans="1:12" ht="38.450000000000003" customHeight="1" thickBot="1">
      <c r="A6" s="2" t="s">
        <v>8</v>
      </c>
      <c r="B6" s="2" t="s">
        <v>1</v>
      </c>
      <c r="C6" s="2" t="s">
        <v>2</v>
      </c>
      <c r="D6" s="2" t="s">
        <v>3</v>
      </c>
      <c r="E6" s="2" t="s">
        <v>4</v>
      </c>
      <c r="F6" s="2" t="s">
        <v>5</v>
      </c>
      <c r="G6" s="2" t="s">
        <v>6</v>
      </c>
      <c r="H6" s="2" t="s">
        <v>7</v>
      </c>
      <c r="K6" s="14"/>
    </row>
    <row r="7" spans="1:12" ht="15.75" thickBot="1">
      <c r="A7" s="23">
        <v>1</v>
      </c>
      <c r="B7" s="18">
        <f xml:space="preserve"> $B$2 / 12</f>
        <v>1.328336705621312E-2</v>
      </c>
      <c r="C7" s="19">
        <f xml:space="preserve"> 'Tabla de Amorticación'!B11</f>
        <v>1000000</v>
      </c>
      <c r="D7" s="20">
        <f xml:space="preserve"> 1 / (1 + B7)^A7</f>
        <v>0.98689076768840689</v>
      </c>
      <c r="E7" s="21">
        <v>0.25</v>
      </c>
      <c r="F7" s="24">
        <f xml:space="preserve"> 1 - E7</f>
        <v>0.75</v>
      </c>
      <c r="G7" s="21">
        <v>0.45</v>
      </c>
      <c r="H7" s="22">
        <f xml:space="preserve"> (E7 * G7) * F7 * (C7 * D7)</f>
        <v>83268.908523709339</v>
      </c>
    </row>
    <row r="8" spans="1:12" ht="15.75" thickBot="1">
      <c r="A8" s="23">
        <f>+A7+1</f>
        <v>2</v>
      </c>
      <c r="B8" s="18">
        <f t="shared" ref="B8:B30" si="0" xml:space="preserve"> $B$2 / 12</f>
        <v>1.328336705621312E-2</v>
      </c>
      <c r="C8" s="19">
        <f xml:space="preserve"> 'Tabla de Amorticación'!B12</f>
        <v>962926.52777673525</v>
      </c>
      <c r="D8" s="20">
        <f t="shared" ref="D8:D30" si="1" xml:space="preserve"> 1 / (1 + B8)^A8</f>
        <v>0.97395338734861314</v>
      </c>
      <c r="E8" s="21">
        <v>0.25</v>
      </c>
      <c r="F8" s="24">
        <f xml:space="preserve"> F7 * (1 - E8)</f>
        <v>0.5625</v>
      </c>
      <c r="G8" s="21">
        <v>0.45</v>
      </c>
      <c r="H8" s="22">
        <f t="shared" ref="H8:H30" si="2" xml:space="preserve"> (E8 * G8) * F8 * (C8 * D8)</f>
        <v>59348.0389321681</v>
      </c>
    </row>
    <row r="9" spans="1:12" ht="15.75" thickBot="1">
      <c r="A9" s="23">
        <f t="shared" ref="A9:A30" si="3">+A8+1</f>
        <v>3</v>
      </c>
      <c r="B9" s="18">
        <f t="shared" si="0"/>
        <v>1.328336705621312E-2</v>
      </c>
      <c r="C9" s="19">
        <f xml:space="preserve"> 'Tabla de Amorticación'!B13</f>
        <v>925482.32083123794</v>
      </c>
      <c r="D9" s="20">
        <f t="shared" si="1"/>
        <v>0.96118560613319726</v>
      </c>
      <c r="E9" s="21">
        <v>0.25</v>
      </c>
      <c r="F9" s="24">
        <f t="shared" ref="F9:F30" si="4" xml:space="preserve"> F8 * (1 - E9)</f>
        <v>0.421875</v>
      </c>
      <c r="G9" s="21">
        <v>0.45</v>
      </c>
      <c r="H9" s="22">
        <f t="shared" si="2"/>
        <v>42219.365113249369</v>
      </c>
    </row>
    <row r="10" spans="1:12" ht="15.75" thickBot="1">
      <c r="A10" s="23">
        <f t="shared" si="3"/>
        <v>4</v>
      </c>
      <c r="B10" s="18">
        <f t="shared" si="0"/>
        <v>1.328336705621312E-2</v>
      </c>
      <c r="C10" s="19">
        <f xml:space="preserve"> 'Tabla de Amorticación'!B14</f>
        <v>887663.67181628558</v>
      </c>
      <c r="D10" s="20">
        <f t="shared" si="1"/>
        <v>0.94858520072783759</v>
      </c>
      <c r="E10" s="21">
        <v>0.25</v>
      </c>
      <c r="F10" s="24">
        <f t="shared" si="4"/>
        <v>0.31640625</v>
      </c>
      <c r="G10" s="21">
        <v>0.45</v>
      </c>
      <c r="H10" s="22">
        <f t="shared" si="2"/>
        <v>29972.458479639339</v>
      </c>
    </row>
    <row r="11" spans="1:12" ht="15.75" thickBot="1">
      <c r="A11" s="23">
        <f t="shared" si="3"/>
        <v>5</v>
      </c>
      <c r="B11" s="18">
        <f t="shared" si="0"/>
        <v>1.328336705621312E-2</v>
      </c>
      <c r="C11" s="19">
        <f xml:space="preserve"> 'Tabla de Amorticación'!B15</f>
        <v>849466.83631118375</v>
      </c>
      <c r="D11" s="20">
        <f t="shared" si="1"/>
        <v>0.93614997696415725</v>
      </c>
      <c r="E11" s="21">
        <v>0.25</v>
      </c>
      <c r="F11" s="24">
        <f t="shared" si="4"/>
        <v>0.2373046875</v>
      </c>
      <c r="G11" s="21">
        <v>0.45</v>
      </c>
      <c r="H11" s="22">
        <f t="shared" si="2"/>
        <v>21230.034444186862</v>
      </c>
    </row>
    <row r="12" spans="1:12" ht="15.75" thickBot="1">
      <c r="A12" s="23">
        <f t="shared" si="3"/>
        <v>6</v>
      </c>
      <c r="B12" s="18">
        <f t="shared" si="0"/>
        <v>1.328336705621312E-2</v>
      </c>
      <c r="C12" s="19">
        <f xml:space="preserve"> 'Tabla de Amorticación'!B16</f>
        <v>810888.03245103091</v>
      </c>
      <c r="D12" s="20">
        <f t="shared" si="1"/>
        <v>0.92387776943764155</v>
      </c>
      <c r="E12" s="21">
        <v>0.25</v>
      </c>
      <c r="F12" s="24">
        <f t="shared" si="4"/>
        <v>0.177978515625</v>
      </c>
      <c r="G12" s="21">
        <v>0.45</v>
      </c>
      <c r="H12" s="22">
        <f t="shared" si="2"/>
        <v>15000.14685204237</v>
      </c>
    </row>
    <row r="13" spans="1:12" ht="15.75" thickBot="1">
      <c r="A13" s="23">
        <f t="shared" si="3"/>
        <v>7</v>
      </c>
      <c r="B13" s="18">
        <f t="shared" si="0"/>
        <v>1.328336705621312E-2</v>
      </c>
      <c r="C13" s="19">
        <f xml:space="preserve"> 'Tabla de Amorticación'!B17</f>
        <v>771923.44055227656</v>
      </c>
      <c r="D13" s="20">
        <f t="shared" si="1"/>
        <v>0.91176644113056704</v>
      </c>
      <c r="E13" s="21">
        <v>0.25</v>
      </c>
      <c r="F13" s="24">
        <f t="shared" si="4"/>
        <v>0.13348388671875</v>
      </c>
      <c r="G13" s="21">
        <v>0.45</v>
      </c>
      <c r="H13" s="22">
        <f t="shared" si="2"/>
        <v>10569.128999166303</v>
      </c>
    </row>
    <row r="14" spans="1:12" ht="15.75" thickBot="1">
      <c r="A14" s="23">
        <f t="shared" si="3"/>
        <v>8</v>
      </c>
      <c r="B14" s="18">
        <f t="shared" si="0"/>
        <v>1.328336705621312E-2</v>
      </c>
      <c r="C14" s="19">
        <f xml:space="preserve"> 'Tabla de Amorticación'!B18</f>
        <v>732569.20273453463</v>
      </c>
      <c r="D14" s="20">
        <f t="shared" si="1"/>
        <v>0.89981388303987209</v>
      </c>
      <c r="E14" s="21">
        <v>0.25</v>
      </c>
      <c r="F14" s="24">
        <f t="shared" si="4"/>
        <v>0.1001129150390625</v>
      </c>
      <c r="G14" s="21">
        <v>0.45</v>
      </c>
      <c r="H14" s="22">
        <f t="shared" si="2"/>
        <v>7424.1027863650515</v>
      </c>
    </row>
    <row r="15" spans="1:12" ht="15.75" thickBot="1">
      <c r="A15" s="23">
        <f t="shared" si="3"/>
        <v>9</v>
      </c>
      <c r="B15" s="18">
        <f t="shared" si="0"/>
        <v>1.328336705621312E-2</v>
      </c>
      <c r="C15" s="19">
        <f xml:space="preserve"> 'Tabla de Amorticación'!B19</f>
        <v>692821.4225386153</v>
      </c>
      <c r="D15" s="20">
        <f t="shared" si="1"/>
        <v>0.88801801380990575</v>
      </c>
      <c r="E15" s="21">
        <v>0.25</v>
      </c>
      <c r="F15" s="24">
        <f t="shared" si="4"/>
        <v>7.5084686279296875E-2</v>
      </c>
      <c r="G15" s="21">
        <v>0.45</v>
      </c>
      <c r="H15" s="22">
        <f t="shared" si="2"/>
        <v>5196.931309857674</v>
      </c>
    </row>
    <row r="16" spans="1:12" ht="15.75" thickBot="1">
      <c r="A16" s="23">
        <f t="shared" si="3"/>
        <v>10</v>
      </c>
      <c r="B16" s="18">
        <f t="shared" si="0"/>
        <v>1.328336705621312E-2</v>
      </c>
      <c r="C16" s="19">
        <f xml:space="preserve"> 'Tabla de Amorticación'!B20</f>
        <v>652676.1645407367</v>
      </c>
      <c r="D16" s="20">
        <f t="shared" si="1"/>
        <v>0.87637677936999225</v>
      </c>
      <c r="E16" s="21">
        <v>0.25</v>
      </c>
      <c r="F16" s="24">
        <f t="shared" si="4"/>
        <v>5.6313514709472656E-2</v>
      </c>
      <c r="G16" s="21">
        <v>0.45</v>
      </c>
      <c r="H16" s="22">
        <f t="shared" si="2"/>
        <v>3623.7128079670392</v>
      </c>
    </row>
    <row r="17" spans="1:8" ht="15.75" thickBot="1">
      <c r="A17" s="23">
        <f t="shared" si="3"/>
        <v>11</v>
      </c>
      <c r="B17" s="18">
        <f t="shared" si="0"/>
        <v>1.328336705621312E-2</v>
      </c>
      <c r="C17" s="19">
        <f xml:space="preserve"> 'Tabla de Amorticación'!B21</f>
        <v>612129.45396287937</v>
      </c>
      <c r="D17" s="20">
        <f t="shared" si="1"/>
        <v>0.86488815257674534</v>
      </c>
      <c r="E17" s="21">
        <v>0.25</v>
      </c>
      <c r="F17" s="24">
        <f t="shared" si="4"/>
        <v>4.2235136032104492E-2</v>
      </c>
      <c r="G17" s="21">
        <v>0.45</v>
      </c>
      <c r="H17" s="22">
        <f t="shared" si="2"/>
        <v>2515.5308331261103</v>
      </c>
    </row>
    <row r="18" spans="1:8" ht="15.75" thickBot="1">
      <c r="A18" s="23">
        <f t="shared" si="3"/>
        <v>12</v>
      </c>
      <c r="B18" s="18">
        <f t="shared" si="0"/>
        <v>1.328336705621312E-2</v>
      </c>
      <c r="C18" s="19">
        <f xml:space="preserve"> 'Tabla de Amorticación'!B22</f>
        <v>571177.27627924341</v>
      </c>
      <c r="D18" s="20">
        <f t="shared" si="1"/>
        <v>0.85355013286107195</v>
      </c>
      <c r="E18" s="21">
        <v>0.25</v>
      </c>
      <c r="F18" s="24">
        <f t="shared" si="4"/>
        <v>3.1676352024078369E-2</v>
      </c>
      <c r="G18" s="21">
        <v>0.45</v>
      </c>
      <c r="H18" s="22">
        <f t="shared" si="2"/>
        <v>1737.3512800061774</v>
      </c>
    </row>
    <row r="19" spans="1:8" ht="15.75" thickBot="1">
      <c r="A19" s="23">
        <f t="shared" si="3"/>
        <v>13</v>
      </c>
      <c r="B19" s="18">
        <f t="shared" si="0"/>
        <v>1.328336705621312E-2</v>
      </c>
      <c r="C19" s="19">
        <f xml:space="preserve"> 'Tabla de Amorticación'!B23</f>
        <v>529815.57681877119</v>
      </c>
      <c r="D19" s="20">
        <f t="shared" si="1"/>
        <v>0.84236074587980514</v>
      </c>
      <c r="E19" s="21">
        <v>0.25</v>
      </c>
      <c r="F19" s="24">
        <f t="shared" si="4"/>
        <v>2.3757264018058777E-2</v>
      </c>
      <c r="G19" s="21">
        <v>0.45</v>
      </c>
      <c r="H19" s="22">
        <f t="shared" si="2"/>
        <v>1192.8114233082003</v>
      </c>
    </row>
    <row r="20" spans="1:8" ht="15.75" thickBot="1">
      <c r="A20" s="23">
        <f t="shared" si="3"/>
        <v>14</v>
      </c>
      <c r="B20" s="18">
        <f t="shared" si="0"/>
        <v>1.328336705621312E-2</v>
      </c>
      <c r="C20" s="19">
        <f xml:space="preserve"> 'Tabla de Amorticación'!B24</f>
        <v>488040.26036369422</v>
      </c>
      <c r="D20" s="20">
        <f t="shared" si="1"/>
        <v>0.83131804317189983</v>
      </c>
      <c r="E20" s="21">
        <v>0.25</v>
      </c>
      <c r="F20" s="24">
        <f t="shared" si="4"/>
        <v>1.7817948013544083E-2</v>
      </c>
      <c r="G20" s="21">
        <v>0.45</v>
      </c>
      <c r="H20" s="22">
        <f t="shared" si="2"/>
        <v>813.26684359586352</v>
      </c>
    </row>
    <row r="21" spans="1:8" ht="15.75" thickBot="1">
      <c r="A21" s="23">
        <f t="shared" si="3"/>
        <v>15</v>
      </c>
      <c r="B21" s="18">
        <f t="shared" si="0"/>
        <v>1.328336705621312E-2</v>
      </c>
      <c r="C21" s="19">
        <f xml:space="preserve"> 'Tabla de Amorticación'!B25</f>
        <v>445847.19074406644</v>
      </c>
      <c r="D21" s="20">
        <f t="shared" si="1"/>
        <v>0.82042010181914049</v>
      </c>
      <c r="E21" s="21">
        <v>0.25</v>
      </c>
      <c r="F21" s="24">
        <f t="shared" si="4"/>
        <v>1.3363461010158062E-2</v>
      </c>
      <c r="G21" s="21">
        <v>0.45</v>
      </c>
      <c r="H21" s="22">
        <f t="shared" si="2"/>
        <v>549.91276464297493</v>
      </c>
    </row>
    <row r="22" spans="1:8" ht="15.75" thickBot="1">
      <c r="A22" s="23">
        <f t="shared" si="3"/>
        <v>16</v>
      </c>
      <c r="B22" s="18">
        <f t="shared" si="0"/>
        <v>1.328336705621312E-2</v>
      </c>
      <c r="C22" s="19">
        <f xml:space="preserve"> 'Tabla de Amorticación'!B26</f>
        <v>403232.19042824238</v>
      </c>
      <c r="D22" s="20">
        <f t="shared" si="1"/>
        <v>0.80966502411129249</v>
      </c>
      <c r="E22" s="21">
        <v>0.25</v>
      </c>
      <c r="F22" s="24">
        <f t="shared" si="4"/>
        <v>1.0022595757618546E-2</v>
      </c>
      <c r="G22" s="21">
        <v>0.45</v>
      </c>
      <c r="H22" s="22">
        <f t="shared" si="2"/>
        <v>368.12330354437705</v>
      </c>
    </row>
    <row r="23" spans="1:8" ht="15.75" thickBot="1">
      <c r="A23" s="23">
        <f t="shared" si="3"/>
        <v>17</v>
      </c>
      <c r="B23" s="18">
        <f t="shared" si="0"/>
        <v>1.328336705621312E-2</v>
      </c>
      <c r="C23" s="19">
        <f xml:space="preserve"> 'Tabla de Amorticación'!B27</f>
        <v>360191.04010926012</v>
      </c>
      <c r="D23" s="20">
        <f t="shared" si="1"/>
        <v>0.79905093721564602</v>
      </c>
      <c r="E23" s="21">
        <v>0.25</v>
      </c>
      <c r="F23" s="24">
        <f t="shared" si="4"/>
        <v>7.5169468182139099E-3</v>
      </c>
      <c r="G23" s="21">
        <v>0.45</v>
      </c>
      <c r="H23" s="22">
        <f t="shared" si="2"/>
        <v>243.38923782935109</v>
      </c>
    </row>
    <row r="24" spans="1:8" ht="15.75" thickBot="1">
      <c r="A24" s="23">
        <f t="shared" si="3"/>
        <v>18</v>
      </c>
      <c r="B24" s="18">
        <f t="shared" si="0"/>
        <v>1.328336705621312E-2</v>
      </c>
      <c r="C24" s="19">
        <f xml:space="preserve"> 'Tabla de Amorticación'!B28</f>
        <v>316719.47828708804</v>
      </c>
      <c r="D24" s="20">
        <f t="shared" si="1"/>
        <v>0.78857599285088997</v>
      </c>
      <c r="E24" s="21">
        <v>0.25</v>
      </c>
      <c r="F24" s="24">
        <f t="shared" si="4"/>
        <v>5.6377101136604324E-3</v>
      </c>
      <c r="G24" s="21">
        <v>0.45</v>
      </c>
      <c r="H24" s="22">
        <f t="shared" si="2"/>
        <v>158.40671518467801</v>
      </c>
    </row>
    <row r="25" spans="1:8" ht="15.75" thickBot="1">
      <c r="A25" s="23">
        <f t="shared" si="3"/>
        <v>19</v>
      </c>
      <c r="B25" s="18">
        <f t="shared" si="0"/>
        <v>1.328336705621312E-2</v>
      </c>
      <c r="C25" s="19">
        <f xml:space="preserve"> 'Tabla de Amorticación'!B29</f>
        <v>272813.20084669424</v>
      </c>
      <c r="D25" s="20">
        <f t="shared" si="1"/>
        <v>0.77823836696526238</v>
      </c>
      <c r="E25" s="21">
        <v>0.25</v>
      </c>
      <c r="F25" s="24">
        <f t="shared" si="4"/>
        <v>4.2282825852453243E-3</v>
      </c>
      <c r="G25" s="21">
        <v>0.45</v>
      </c>
      <c r="H25" s="22">
        <f t="shared" si="2"/>
        <v>100.99376099473984</v>
      </c>
    </row>
    <row r="26" spans="1:8" ht="15.75" thickBot="1">
      <c r="A26" s="23">
        <f t="shared" si="3"/>
        <v>20</v>
      </c>
      <c r="B26" s="18">
        <f t="shared" si="0"/>
        <v>1.328336705621312E-2</v>
      </c>
      <c r="C26" s="19">
        <f xml:space="preserve"> 'Tabla de Amorticación'!B30</f>
        <v>228467.86063189647</v>
      </c>
      <c r="D26" s="20">
        <f t="shared" si="1"/>
        <v>0.76803625941891995</v>
      </c>
      <c r="E26" s="21">
        <v>0.25</v>
      </c>
      <c r="F26" s="24">
        <f t="shared" si="4"/>
        <v>3.1712119389339932E-3</v>
      </c>
      <c r="G26" s="21">
        <v>0.45</v>
      </c>
      <c r="H26" s="22">
        <f t="shared" si="2"/>
        <v>62.601484081473934</v>
      </c>
    </row>
    <row r="27" spans="1:8" ht="15.75" thickBot="1">
      <c r="A27" s="23">
        <f t="shared" si="3"/>
        <v>21</v>
      </c>
      <c r="B27" s="18">
        <f t="shared" si="0"/>
        <v>1.328336705621312E-2</v>
      </c>
      <c r="C27" s="19">
        <f xml:space="preserve"> 'Tabla de Amorticación'!B31</f>
        <v>183679.06701495074</v>
      </c>
      <c r="D27" s="20">
        <f t="shared" si="1"/>
        <v>0.75796789367047035</v>
      </c>
      <c r="E27" s="21">
        <v>0.25</v>
      </c>
      <c r="F27" s="24">
        <f t="shared" si="4"/>
        <v>2.3784089542004949E-3</v>
      </c>
      <c r="G27" s="21">
        <v>0.45</v>
      </c>
      <c r="H27" s="22">
        <f t="shared" si="2"/>
        <v>37.251994350332374</v>
      </c>
    </row>
    <row r="28" spans="1:8" ht="15.75" thickBot="1">
      <c r="A28" s="23">
        <f t="shared" si="3"/>
        <v>22</v>
      </c>
      <c r="B28" s="18">
        <f t="shared" si="0"/>
        <v>1.328336705621312E-2</v>
      </c>
      <c r="C28" s="19">
        <f xml:space="preserve"> 'Tabla de Amorticación'!B32</f>
        <v>138442.38546183554</v>
      </c>
      <c r="D28" s="20">
        <f t="shared" si="1"/>
        <v>0.74803151646761512</v>
      </c>
      <c r="E28" s="21">
        <v>0.25</v>
      </c>
      <c r="F28" s="24">
        <f t="shared" si="4"/>
        <v>1.7838067156503712E-3</v>
      </c>
      <c r="G28" s="21">
        <v>0.45</v>
      </c>
      <c r="H28" s="22">
        <f t="shared" si="2"/>
        <v>20.782093151972088</v>
      </c>
    </row>
    <row r="29" spans="1:8" ht="15.75" thickBot="1">
      <c r="A29" s="23">
        <f t="shared" si="3"/>
        <v>23</v>
      </c>
      <c r="B29" s="18">
        <f t="shared" si="0"/>
        <v>1.328336705621312E-2</v>
      </c>
      <c r="C29" s="19">
        <f xml:space="preserve"> 'Tabla de Amorticación'!B33</f>
        <v>92753.337093189184</v>
      </c>
      <c r="D29" s="20">
        <f t="shared" si="1"/>
        <v>0.73822539754184802</v>
      </c>
      <c r="E29" s="21">
        <v>0.25</v>
      </c>
      <c r="F29" s="24">
        <f t="shared" si="4"/>
        <v>1.3378550367377784E-3</v>
      </c>
      <c r="G29" s="21">
        <v>0.45</v>
      </c>
      <c r="H29" s="22">
        <f t="shared" si="2"/>
        <v>10.305761947966475</v>
      </c>
    </row>
    <row r="30" spans="1:8" ht="15.75" thickBot="1">
      <c r="A30" s="23">
        <f t="shared" si="3"/>
        <v>24</v>
      </c>
      <c r="B30" s="18">
        <f t="shared" si="0"/>
        <v>1.328336705621312E-2</v>
      </c>
      <c r="C30" s="19">
        <f xml:space="preserve"> 'Tabla de Amorticación'!B34</f>
        <v>46607.398240856375</v>
      </c>
      <c r="D30" s="20">
        <f t="shared" si="1"/>
        <v>0.72854782930715378</v>
      </c>
      <c r="E30" s="21">
        <v>0.25</v>
      </c>
      <c r="F30" s="24">
        <f t="shared" si="4"/>
        <v>1.0033912775533338E-3</v>
      </c>
      <c r="G30" s="21">
        <v>0.45</v>
      </c>
      <c r="H30" s="22">
        <f t="shared" si="2"/>
        <v>3.8329731095697976</v>
      </c>
    </row>
    <row r="31" spans="1:8" ht="15.75" thickBot="1"/>
    <row r="32" spans="1:8" ht="14.45" customHeight="1">
      <c r="F32" s="27" t="s">
        <v>26</v>
      </c>
      <c r="G32" s="28"/>
      <c r="H32" s="29">
        <f xml:space="preserve"> SUM(H7:H30)</f>
        <v>285667.38871722535</v>
      </c>
    </row>
    <row r="33" spans="6:8" ht="15.75" thickBot="1">
      <c r="F33" s="27"/>
      <c r="G33" s="28"/>
      <c r="H33" s="30"/>
    </row>
    <row r="34" spans="6:8" ht="15.75" thickBot="1"/>
    <row r="35" spans="6:8">
      <c r="F35" s="27" t="s">
        <v>27</v>
      </c>
      <c r="G35" s="28"/>
      <c r="H35" s="29">
        <f xml:space="preserve"> SUM(H7:H18)</f>
        <v>282105.71036148374</v>
      </c>
    </row>
    <row r="36" spans="6:8" ht="15.75" thickBot="1">
      <c r="F36" s="27"/>
      <c r="G36" s="28"/>
      <c r="H36" s="30"/>
    </row>
  </sheetData>
  <mergeCells count="6">
    <mergeCell ref="F35:G36"/>
    <mergeCell ref="H35:H36"/>
    <mergeCell ref="H32:H33"/>
    <mergeCell ref="F32:G33"/>
    <mergeCell ref="F1:J2"/>
    <mergeCell ref="H3:K4"/>
  </mergeCells>
  <pageMargins left="0.7" right="0.7" top="0.75" bottom="0.75" header="0.3" footer="0.3"/>
  <pageSetup orientation="portrait" r:id="rId1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 de Amorticación</vt:lpstr>
      <vt:lpstr>Modelo de Supervivencia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DAVID MENDIETA LOPEZ</cp:lastModifiedBy>
  <dcterms:created xsi:type="dcterms:W3CDTF">2022-05-13T01:13:41Z</dcterms:created>
  <dcterms:modified xsi:type="dcterms:W3CDTF">2024-04-25T20:40:53Z</dcterms:modified>
</cp:coreProperties>
</file>