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iblioteca\Descargas\Administracion de Riesgo\Practicas\"/>
    </mc:Choice>
  </mc:AlternateContent>
  <xr:revisionPtr revIDLastSave="0" documentId="13_ncr:1_{529DD408-B3F2-45D9-BF58-81FF6BBF5E9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nstrucciones" sheetId="14" r:id="rId1"/>
    <sheet name="Portafolio" sheetId="11" r:id="rId2"/>
    <sheet name="VaR Paramétrico" sheetId="12" r:id="rId3"/>
    <sheet name="VaR Histórico" sheetId="13" r:id="rId4"/>
    <sheet name="Histograma_VaR_Historico 1)" sheetId="15" r:id="rId5"/>
    <sheet name="VaR Simulación" sheetId="1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6" l="1"/>
  <c r="G12" i="16"/>
  <c r="C6" i="16" l="1"/>
  <c r="D6" i="16"/>
  <c r="E6" i="16"/>
  <c r="B6" i="16"/>
  <c r="C5" i="13" a="1"/>
  <c r="C5" i="13" l="1"/>
  <c r="B5" i="16" s="1"/>
  <c r="E12" i="12" l="1"/>
  <c r="J12" i="12" s="1"/>
  <c r="E11" i="12"/>
  <c r="J11" i="12" s="1"/>
  <c r="E10" i="12"/>
  <c r="J10" i="12" s="1"/>
  <c r="E9" i="12"/>
  <c r="A256" i="13"/>
  <c r="A255" i="13" s="1"/>
  <c r="A254" i="13" s="1"/>
  <c r="A253" i="13" s="1"/>
  <c r="A252" i="13" s="1"/>
  <c r="A251" i="13" s="1"/>
  <c r="A250" i="13" s="1"/>
  <c r="A249" i="13" s="1"/>
  <c r="A248" i="13" s="1"/>
  <c r="A247" i="13" s="1"/>
  <c r="A246" i="13" s="1"/>
  <c r="A245" i="13" s="1"/>
  <c r="A244" i="13" s="1"/>
  <c r="A243" i="13" s="1"/>
  <c r="A242" i="13" s="1"/>
  <c r="A241" i="13" s="1"/>
  <c r="A240" i="13" s="1"/>
  <c r="A239" i="13" s="1"/>
  <c r="A238" i="13" s="1"/>
  <c r="A237" i="13" s="1"/>
  <c r="A236" i="13" s="1"/>
  <c r="A235" i="13" s="1"/>
  <c r="A234" i="13" s="1"/>
  <c r="A233" i="13" s="1"/>
  <c r="A232" i="13" s="1"/>
  <c r="A231" i="13" s="1"/>
  <c r="A230" i="13" s="1"/>
  <c r="A229" i="13" s="1"/>
  <c r="A228" i="13" s="1"/>
  <c r="A227" i="13" s="1"/>
  <c r="A226" i="13" s="1"/>
  <c r="A225" i="13" s="1"/>
  <c r="A224" i="13" s="1"/>
  <c r="A223" i="13" s="1"/>
  <c r="A222" i="13" s="1"/>
  <c r="A221" i="13" s="1"/>
  <c r="A220" i="13" s="1"/>
  <c r="A219" i="13" s="1"/>
  <c r="A218" i="13" s="1"/>
  <c r="A217" i="13" s="1"/>
  <c r="A216" i="13" s="1"/>
  <c r="A215" i="13" s="1"/>
  <c r="A214" i="13" s="1"/>
  <c r="A213" i="13" s="1"/>
  <c r="A212" i="13" s="1"/>
  <c r="A211" i="13" s="1"/>
  <c r="A210" i="13" s="1"/>
  <c r="A209" i="13" s="1"/>
  <c r="A208" i="13" s="1"/>
  <c r="A207" i="13" s="1"/>
  <c r="A206" i="13" s="1"/>
  <c r="A205" i="13" s="1"/>
  <c r="A204" i="13" s="1"/>
  <c r="A203" i="13" s="1"/>
  <c r="A202" i="13" s="1"/>
  <c r="A201" i="13" s="1"/>
  <c r="A200" i="13" s="1"/>
  <c r="A199" i="13" s="1"/>
  <c r="A198" i="13" s="1"/>
  <c r="A197" i="13" s="1"/>
  <c r="A196" i="13" s="1"/>
  <c r="A195" i="13" s="1"/>
  <c r="A194" i="13" s="1"/>
  <c r="A193" i="13" s="1"/>
  <c r="A192" i="13" s="1"/>
  <c r="A191" i="13" s="1"/>
  <c r="A190" i="13" s="1"/>
  <c r="A189" i="13" s="1"/>
  <c r="A188" i="13" s="1"/>
  <c r="A187" i="13" s="1"/>
  <c r="A186" i="13" s="1"/>
  <c r="A185" i="13" s="1"/>
  <c r="A184" i="13" s="1"/>
  <c r="A183" i="13" s="1"/>
  <c r="A182" i="13" s="1"/>
  <c r="A181" i="13" s="1"/>
  <c r="A180" i="13" s="1"/>
  <c r="A179" i="13" s="1"/>
  <c r="A178" i="13" s="1"/>
  <c r="A177" i="13" s="1"/>
  <c r="A176" i="13" s="1"/>
  <c r="A175" i="13" s="1"/>
  <c r="A174" i="13" s="1"/>
  <c r="A173" i="13" s="1"/>
  <c r="A172" i="13" s="1"/>
  <c r="A171" i="13" s="1"/>
  <c r="A170" i="13" s="1"/>
  <c r="A169" i="13" s="1"/>
  <c r="A168" i="13" s="1"/>
  <c r="A167" i="13" s="1"/>
  <c r="A166" i="13" s="1"/>
  <c r="A165" i="13" s="1"/>
  <c r="A164" i="13" s="1"/>
  <c r="A163" i="13" s="1"/>
  <c r="A162" i="13" s="1"/>
  <c r="A161" i="13" s="1"/>
  <c r="A160" i="13" s="1"/>
  <c r="A159" i="13" s="1"/>
  <c r="A158" i="13" s="1"/>
  <c r="A157" i="13" s="1"/>
  <c r="A156" i="13" s="1"/>
  <c r="A155" i="13" s="1"/>
  <c r="A154" i="13" s="1"/>
  <c r="A153" i="13" s="1"/>
  <c r="A152" i="13" s="1"/>
  <c r="A151" i="13" s="1"/>
  <c r="A150" i="13" s="1"/>
  <c r="A149" i="13" s="1"/>
  <c r="A148" i="13" s="1"/>
  <c r="A147" i="13" s="1"/>
  <c r="A146" i="13" s="1"/>
  <c r="A145" i="13" s="1"/>
  <c r="A144" i="13" s="1"/>
  <c r="A143" i="13" s="1"/>
  <c r="A142" i="13" s="1"/>
  <c r="A141" i="13" s="1"/>
  <c r="A140" i="13" s="1"/>
  <c r="A139" i="13" s="1"/>
  <c r="A138" i="13" s="1"/>
  <c r="A137" i="13" s="1"/>
  <c r="A136" i="13" s="1"/>
  <c r="A135" i="13" s="1"/>
  <c r="A134" i="13" s="1"/>
  <c r="A133" i="13" s="1"/>
  <c r="A132" i="13" s="1"/>
  <c r="A131" i="13" s="1"/>
  <c r="A130" i="13" s="1"/>
  <c r="A129" i="13" s="1"/>
  <c r="A128" i="13" s="1"/>
  <c r="A127" i="13" s="1"/>
  <c r="A126" i="13" s="1"/>
  <c r="A125" i="13" s="1"/>
  <c r="A124" i="13" s="1"/>
  <c r="A123" i="13" s="1"/>
  <c r="A122" i="13" s="1"/>
  <c r="A121" i="13" s="1"/>
  <c r="A120" i="13" s="1"/>
  <c r="A119" i="13" s="1"/>
  <c r="A118" i="13" s="1"/>
  <c r="A117" i="13" s="1"/>
  <c r="A116" i="13" s="1"/>
  <c r="A115" i="13" s="1"/>
  <c r="A114" i="13" s="1"/>
  <c r="A113" i="13" s="1"/>
  <c r="A112" i="13" s="1"/>
  <c r="A111" i="13" s="1"/>
  <c r="A110" i="13" s="1"/>
  <c r="A109" i="13" s="1"/>
  <c r="A108" i="13" s="1"/>
  <c r="A107" i="13" s="1"/>
  <c r="A106" i="13" s="1"/>
  <c r="A105" i="13" s="1"/>
  <c r="A104" i="13" s="1"/>
  <c r="A103" i="13" s="1"/>
  <c r="A102" i="13" s="1"/>
  <c r="A101" i="13" s="1"/>
  <c r="A100" i="13" s="1"/>
  <c r="A99" i="13" s="1"/>
  <c r="A98" i="13" s="1"/>
  <c r="A97" i="13" s="1"/>
  <c r="A96" i="13" s="1"/>
  <c r="A95" i="13" s="1"/>
  <c r="A94" i="13" s="1"/>
  <c r="A93" i="13" s="1"/>
  <c r="A92" i="13" s="1"/>
  <c r="A91" i="13" s="1"/>
  <c r="A90" i="13" s="1"/>
  <c r="A89" i="13" s="1"/>
  <c r="A88" i="13" s="1"/>
  <c r="A87" i="13" s="1"/>
  <c r="A86" i="13" s="1"/>
  <c r="A85" i="13" s="1"/>
  <c r="A84" i="13" s="1"/>
  <c r="A83" i="13" s="1"/>
  <c r="A82" i="13" s="1"/>
  <c r="A81" i="13" s="1"/>
  <c r="A80" i="13" s="1"/>
  <c r="A79" i="13" s="1"/>
  <c r="A78" i="13" s="1"/>
  <c r="A77" i="13" s="1"/>
  <c r="A76" i="13" s="1"/>
  <c r="A75" i="13" s="1"/>
  <c r="A74" i="13" s="1"/>
  <c r="A73" i="13" s="1"/>
  <c r="A72" i="13" s="1"/>
  <c r="A71" i="13" s="1"/>
  <c r="A70" i="13" s="1"/>
  <c r="A69" i="13" s="1"/>
  <c r="A68" i="13" s="1"/>
  <c r="A67" i="13" s="1"/>
  <c r="A66" i="13" s="1"/>
  <c r="A65" i="13" s="1"/>
  <c r="A64" i="13" s="1"/>
  <c r="A63" i="13" s="1"/>
  <c r="A62" i="13" s="1"/>
  <c r="A61" i="13" s="1"/>
  <c r="A60" i="13" s="1"/>
  <c r="A59" i="13" s="1"/>
  <c r="A58" i="13" s="1"/>
  <c r="A57" i="13" s="1"/>
  <c r="A56" i="13" s="1"/>
  <c r="A55" i="13" s="1"/>
  <c r="A54" i="13" s="1"/>
  <c r="A53" i="13" s="1"/>
  <c r="A52" i="13" s="1"/>
  <c r="A51" i="13" s="1"/>
  <c r="A50" i="13" s="1"/>
  <c r="A49" i="13" s="1"/>
  <c r="A48" i="13" s="1"/>
  <c r="A47" i="13" s="1"/>
  <c r="A46" i="13" s="1"/>
  <c r="A45" i="13" s="1"/>
  <c r="A44" i="13" s="1"/>
  <c r="A43" i="13" s="1"/>
  <c r="A42" i="13" s="1"/>
  <c r="A41" i="13" s="1"/>
  <c r="A40" i="13" s="1"/>
  <c r="A39" i="13" s="1"/>
  <c r="A38" i="13" s="1"/>
  <c r="A37" i="13" s="1"/>
  <c r="A36" i="13" s="1"/>
  <c r="A35" i="13" s="1"/>
  <c r="A34" i="13" s="1"/>
  <c r="A33" i="13" s="1"/>
  <c r="A32" i="13" s="1"/>
  <c r="A31" i="13" s="1"/>
  <c r="A30" i="13" s="1"/>
  <c r="A29" i="13" s="1"/>
  <c r="A28" i="13" s="1"/>
  <c r="A27" i="13" s="1"/>
  <c r="A26" i="13" s="1"/>
  <c r="A25" i="13" s="1"/>
  <c r="A24" i="13" s="1"/>
  <c r="A23" i="13" s="1"/>
  <c r="A22" i="13" s="1"/>
  <c r="A21" i="13" s="1"/>
  <c r="A20" i="13" s="1"/>
  <c r="A19" i="13" s="1"/>
  <c r="A18" i="13" s="1"/>
  <c r="A17" i="13" s="1"/>
  <c r="A16" i="13" s="1"/>
  <c r="A15" i="13" s="1"/>
  <c r="A14" i="13" s="1"/>
  <c r="A13" i="13" s="1"/>
  <c r="A12" i="13" s="1"/>
  <c r="A11" i="13" s="1"/>
  <c r="A10" i="13" s="1"/>
  <c r="A9" i="13" s="1"/>
  <c r="A8" i="13" s="1"/>
  <c r="A7" i="13" s="1"/>
  <c r="A6" i="13" s="1"/>
  <c r="A5" i="13" s="1"/>
  <c r="J4" i="13"/>
  <c r="N4" i="13" s="1"/>
  <c r="R4" i="13" s="1"/>
  <c r="I4" i="13"/>
  <c r="M4" i="13" s="1"/>
  <c r="Q4" i="13" s="1"/>
  <c r="H4" i="13"/>
  <c r="L4" i="13" s="1"/>
  <c r="P4" i="13" s="1"/>
  <c r="G4" i="13"/>
  <c r="K4" i="13" s="1"/>
  <c r="O4" i="13" s="1"/>
  <c r="F9" i="12" a="1"/>
  <c r="F9" i="12" l="1"/>
  <c r="H9" i="12" s="1"/>
  <c r="J9" i="12"/>
  <c r="O1" i="13"/>
  <c r="C7" i="13" a="1"/>
  <c r="C9" i="13" a="1"/>
  <c r="D7" i="13" a="1"/>
  <c r="E11" i="13" a="1"/>
  <c r="E15" i="13" a="1"/>
  <c r="E19" i="13" a="1"/>
  <c r="E23" i="13" a="1"/>
  <c r="E27" i="13" a="1"/>
  <c r="E31" i="13" a="1"/>
  <c r="E35" i="13" a="1"/>
  <c r="E39" i="13" a="1"/>
  <c r="E43" i="13" a="1"/>
  <c r="E47" i="13" a="1"/>
  <c r="F49" i="13" a="1"/>
  <c r="F51" i="13" a="1"/>
  <c r="F53" i="13" a="1"/>
  <c r="F55" i="13" a="1"/>
  <c r="F57" i="13" a="1"/>
  <c r="C13" i="13" a="1"/>
  <c r="C17" i="13" a="1"/>
  <c r="C21" i="13" a="1"/>
  <c r="C25" i="13" a="1"/>
  <c r="C29" i="13" a="1"/>
  <c r="C33" i="13" a="1"/>
  <c r="C37" i="13" a="1"/>
  <c r="C41" i="13" a="1"/>
  <c r="C45" i="13" a="1"/>
  <c r="F6" i="13" a="1"/>
  <c r="E10" i="13" a="1"/>
  <c r="E14" i="13" a="1"/>
  <c r="E18" i="13" a="1"/>
  <c r="E22" i="13" a="1"/>
  <c r="E26" i="13" a="1"/>
  <c r="E30" i="13" a="1"/>
  <c r="E34" i="13" a="1"/>
  <c r="E38" i="13" a="1"/>
  <c r="E42" i="13" a="1"/>
  <c r="E46" i="13" a="1"/>
  <c r="E49" i="13" a="1"/>
  <c r="E51" i="13" a="1"/>
  <c r="E53" i="13" a="1"/>
  <c r="E55" i="13" a="1"/>
  <c r="E57" i="13" a="1"/>
  <c r="E59" i="13" a="1"/>
  <c r="E61" i="13" a="1"/>
  <c r="E63" i="13" a="1"/>
  <c r="F18" i="13" a="1"/>
  <c r="F34" i="13" a="1"/>
  <c r="D59" i="13" a="1"/>
  <c r="D63" i="13" a="1"/>
  <c r="C67" i="13" a="1"/>
  <c r="C71" i="13" a="1"/>
  <c r="C75" i="13" a="1"/>
  <c r="C79" i="13" a="1"/>
  <c r="C83" i="13" a="1"/>
  <c r="C87" i="13" a="1"/>
  <c r="C91" i="13" a="1"/>
  <c r="C95" i="13" a="1"/>
  <c r="C99" i="13" a="1"/>
  <c r="C103" i="13" a="1"/>
  <c r="C107" i="13" a="1"/>
  <c r="C110" i="13" a="1"/>
  <c r="C112" i="13" a="1"/>
  <c r="C114" i="13" a="1"/>
  <c r="C116" i="13" a="1"/>
  <c r="C14" i="13" a="1"/>
  <c r="C30" i="13" a="1"/>
  <c r="C46" i="13" a="1"/>
  <c r="F67" i="13" a="1"/>
  <c r="F71" i="13" a="1"/>
  <c r="F75" i="13" a="1"/>
  <c r="F79" i="13" a="1"/>
  <c r="F83" i="13" a="1"/>
  <c r="F87" i="13" a="1"/>
  <c r="F91" i="13" a="1"/>
  <c r="F95" i="13" a="1"/>
  <c r="F99" i="13" a="1"/>
  <c r="F103" i="13" a="1"/>
  <c r="F107" i="13" a="1"/>
  <c r="C20" i="13" a="1"/>
  <c r="C36" i="13" a="1"/>
  <c r="F58" i="13" a="1"/>
  <c r="F62" i="13" a="1"/>
  <c r="D67" i="13" a="1"/>
  <c r="D71" i="13" a="1"/>
  <c r="D75" i="13" a="1"/>
  <c r="D79" i="13" a="1"/>
  <c r="D83" i="13" a="1"/>
  <c r="D87" i="13" a="1"/>
  <c r="D91" i="13" a="1"/>
  <c r="D95" i="13" a="1"/>
  <c r="D99" i="13" a="1"/>
  <c r="D103" i="13" a="1"/>
  <c r="D107" i="13" a="1"/>
  <c r="F20" i="13" a="1"/>
  <c r="F76" i="13" a="1"/>
  <c r="F92" i="13" a="1"/>
  <c r="F108" i="13" a="1"/>
  <c r="E121" i="13" a="1"/>
  <c r="E125" i="13" a="1"/>
  <c r="E129" i="13" a="1"/>
  <c r="E133" i="13" a="1"/>
  <c r="E137" i="13" a="1"/>
  <c r="E141" i="13" a="1"/>
  <c r="F66" i="13" a="1"/>
  <c r="F82" i="13" a="1"/>
  <c r="F98" i="13" a="1"/>
  <c r="F111" i="13" a="1"/>
  <c r="F115" i="13" a="1"/>
  <c r="F119" i="13" a="1"/>
  <c r="F123" i="13" a="1"/>
  <c r="F127" i="13" a="1"/>
  <c r="F131" i="13" a="1"/>
  <c r="F135" i="13" a="1"/>
  <c r="F139" i="13" a="1"/>
  <c r="F143" i="13" a="1"/>
  <c r="F147" i="13" a="1"/>
  <c r="F151" i="13" a="1"/>
  <c r="F153" i="13" a="1"/>
  <c r="F155" i="13" a="1"/>
  <c r="F157" i="13" a="1"/>
  <c r="F36" i="13" a="1"/>
  <c r="E75" i="13" a="1"/>
  <c r="E91" i="13" a="1"/>
  <c r="E107" i="13" a="1"/>
  <c r="D121" i="13" a="1"/>
  <c r="D125" i="13" a="1"/>
  <c r="E7" i="13" a="1"/>
  <c r="E9" i="13" a="1"/>
  <c r="D8" i="13" a="1"/>
  <c r="D12" i="13" a="1"/>
  <c r="D16" i="13" a="1"/>
  <c r="D20" i="13" a="1"/>
  <c r="D24" i="13" a="1"/>
  <c r="D28" i="13" a="1"/>
  <c r="D32" i="13" a="1"/>
  <c r="D36" i="13" a="1"/>
  <c r="D40" i="13" a="1"/>
  <c r="D44" i="13" a="1"/>
  <c r="D48" i="13" a="1"/>
  <c r="D50" i="13" a="1"/>
  <c r="D52" i="13" a="1"/>
  <c r="D54" i="13" a="1"/>
  <c r="D56" i="13" a="1"/>
  <c r="D58" i="13" a="1"/>
  <c r="F13" i="13" a="1"/>
  <c r="F17" i="13" a="1"/>
  <c r="F21" i="13" a="1"/>
  <c r="F25" i="13" a="1"/>
  <c r="F29" i="13" a="1"/>
  <c r="F33" i="13" a="1"/>
  <c r="F37" i="13" a="1"/>
  <c r="F41" i="13" a="1"/>
  <c r="F45" i="13" a="1"/>
  <c r="F7" i="13" a="1"/>
  <c r="D11" i="13" a="1"/>
  <c r="D15" i="13" a="1"/>
  <c r="D19" i="13" a="1"/>
  <c r="D23" i="13" a="1"/>
  <c r="D27" i="13" a="1"/>
  <c r="D31" i="13" a="1"/>
  <c r="D35" i="13" a="1"/>
  <c r="D39" i="13" a="1"/>
  <c r="D43" i="13" a="1"/>
  <c r="D47" i="13" a="1"/>
  <c r="C50" i="13" a="1"/>
  <c r="C52" i="13" a="1"/>
  <c r="C54" i="13" a="1"/>
  <c r="C56" i="13" a="1"/>
  <c r="C58" i="13" a="1"/>
  <c r="C60" i="13" a="1"/>
  <c r="C62" i="13" a="1"/>
  <c r="C64" i="13" a="1"/>
  <c r="C24" i="13" a="1"/>
  <c r="C40" i="13" a="1"/>
  <c r="D60" i="13" a="1"/>
  <c r="D64" i="13" a="1"/>
  <c r="D68" i="13" a="1"/>
  <c r="D72" i="13" a="1"/>
  <c r="D76" i="13" a="1"/>
  <c r="D80" i="13" a="1"/>
  <c r="D84" i="13" a="1"/>
  <c r="D88" i="13" a="1"/>
  <c r="D92" i="13" a="1"/>
  <c r="D96" i="13" a="1"/>
  <c r="D100" i="13" a="1"/>
  <c r="D104" i="13" a="1"/>
  <c r="D108" i="13" a="1"/>
  <c r="E110" i="13" a="1"/>
  <c r="E112" i="13" a="1"/>
  <c r="E114" i="13" a="1"/>
  <c r="C6" i="13" a="1"/>
  <c r="C8" i="13" a="1"/>
  <c r="C10" i="13" a="1"/>
  <c r="D9" i="13" a="1"/>
  <c r="E13" i="13" a="1"/>
  <c r="E17" i="13" a="1"/>
  <c r="E21" i="13" a="1"/>
  <c r="E25" i="13" a="1"/>
  <c r="E29" i="13" a="1"/>
  <c r="E33" i="13" a="1"/>
  <c r="E37" i="13" a="1"/>
  <c r="E41" i="13" a="1"/>
  <c r="E45" i="13" a="1"/>
  <c r="F48" i="13" a="1"/>
  <c r="F50" i="13" a="1"/>
  <c r="F52" i="13" a="1"/>
  <c r="F54" i="13" a="1"/>
  <c r="F56" i="13" a="1"/>
  <c r="C11" i="13" a="1"/>
  <c r="C15" i="13" a="1"/>
  <c r="C19" i="13" a="1"/>
  <c r="C23" i="13" a="1"/>
  <c r="C27" i="13" a="1"/>
  <c r="C31" i="13" a="1"/>
  <c r="C35" i="13" a="1"/>
  <c r="C39" i="13" a="1"/>
  <c r="C43" i="13" a="1"/>
  <c r="C47" i="13" a="1"/>
  <c r="F8" i="13" a="1"/>
  <c r="E12" i="13" a="1"/>
  <c r="E16" i="13" a="1"/>
  <c r="E20" i="13" a="1"/>
  <c r="E24" i="13" a="1"/>
  <c r="E28" i="13" a="1"/>
  <c r="E32" i="13" a="1"/>
  <c r="E36" i="13" a="1"/>
  <c r="E40" i="13" a="1"/>
  <c r="E44" i="13" a="1"/>
  <c r="E48" i="13" a="1"/>
  <c r="E50" i="13" a="1"/>
  <c r="E52" i="13" a="1"/>
  <c r="E54" i="13" a="1"/>
  <c r="E56" i="13" a="1"/>
  <c r="E58" i="13" a="1"/>
  <c r="E60" i="13" a="1"/>
  <c r="E62" i="13" a="1"/>
  <c r="F10" i="13" a="1"/>
  <c r="F26" i="13" a="1"/>
  <c r="F42" i="13" a="1"/>
  <c r="D61" i="13" a="1"/>
  <c r="C65" i="13" a="1"/>
  <c r="C69" i="13" a="1"/>
  <c r="C73" i="13" a="1"/>
  <c r="C77" i="13" a="1"/>
  <c r="C81" i="13" a="1"/>
  <c r="C85" i="13" a="1"/>
  <c r="C89" i="13" a="1"/>
  <c r="C93" i="13" a="1"/>
  <c r="C97" i="13" a="1"/>
  <c r="C101" i="13" a="1"/>
  <c r="C105" i="13" a="1"/>
  <c r="C109" i="13" a="1"/>
  <c r="C111" i="13" a="1"/>
  <c r="C113" i="13" a="1"/>
  <c r="C115" i="13" a="1"/>
  <c r="C117" i="13" a="1"/>
  <c r="C22" i="13" a="1"/>
  <c r="C38" i="13" a="1"/>
  <c r="F65" i="13" a="1"/>
  <c r="F69" i="13" a="1"/>
  <c r="F73" i="13" a="1"/>
  <c r="F77" i="13" a="1"/>
  <c r="F81" i="13" a="1"/>
  <c r="F85" i="13" a="1"/>
  <c r="F89" i="13" a="1"/>
  <c r="F93" i="13" a="1"/>
  <c r="F97" i="13" a="1"/>
  <c r="F101" i="13" a="1"/>
  <c r="F105" i="13" a="1"/>
  <c r="C12" i="13" a="1"/>
  <c r="C28" i="13" a="1"/>
  <c r="C44" i="13" a="1"/>
  <c r="F60" i="13" a="1"/>
  <c r="D65" i="13" a="1"/>
  <c r="D69" i="13" a="1"/>
  <c r="D73" i="13" a="1"/>
  <c r="D77" i="13" a="1"/>
  <c r="D81" i="13" a="1"/>
  <c r="D85" i="13" a="1"/>
  <c r="D89" i="13" a="1"/>
  <c r="D93" i="13" a="1"/>
  <c r="D97" i="13" a="1"/>
  <c r="D101" i="13" a="1"/>
  <c r="D105" i="13" a="1"/>
  <c r="D109" i="13" a="1"/>
  <c r="F68" i="13" a="1"/>
  <c r="F84" i="13" a="1"/>
  <c r="F100" i="13" a="1"/>
  <c r="E119" i="13" a="1"/>
  <c r="E123" i="13" a="1"/>
  <c r="E127" i="13" a="1"/>
  <c r="E131" i="13" a="1"/>
  <c r="E135" i="13" a="1"/>
  <c r="E139" i="13" a="1"/>
  <c r="C34" i="13" a="1"/>
  <c r="F74" i="13" a="1"/>
  <c r="F90" i="13" a="1"/>
  <c r="F106" i="13" a="1"/>
  <c r="F113" i="13" a="1"/>
  <c r="F117" i="13" a="1"/>
  <c r="F121" i="13" a="1"/>
  <c r="F125" i="13" a="1"/>
  <c r="F129" i="13" a="1"/>
  <c r="F133" i="13" a="1"/>
  <c r="F137" i="13" a="1"/>
  <c r="F141" i="13" a="1"/>
  <c r="F145" i="13" a="1"/>
  <c r="F149" i="13" a="1"/>
  <c r="F152" i="13" a="1"/>
  <c r="F154" i="13" a="1"/>
  <c r="F156" i="13" a="1"/>
  <c r="F158" i="13" a="1"/>
  <c r="E67" i="13" a="1"/>
  <c r="E83" i="13" a="1"/>
  <c r="E99" i="13" a="1"/>
  <c r="D119" i="13" a="1"/>
  <c r="D123" i="13" a="1"/>
  <c r="E8" i="13" a="1"/>
  <c r="D18" i="13" a="1"/>
  <c r="D34" i="13" a="1"/>
  <c r="D49" i="13" a="1"/>
  <c r="D57" i="13" a="1"/>
  <c r="F23" i="13" a="1"/>
  <c r="F39" i="13" a="1"/>
  <c r="D13" i="13" a="1"/>
  <c r="D29" i="13" a="1"/>
  <c r="D45" i="13" a="1"/>
  <c r="C55" i="13" a="1"/>
  <c r="C63" i="13" a="1"/>
  <c r="D62" i="13" a="1"/>
  <c r="D78" i="13" a="1"/>
  <c r="D94" i="13" a="1"/>
  <c r="E109" i="13" a="1"/>
  <c r="E116" i="13" a="1"/>
  <c r="F32" i="13" a="1"/>
  <c r="E68" i="13" a="1"/>
  <c r="E76" i="13" a="1"/>
  <c r="E84" i="13" a="1"/>
  <c r="E92" i="13" a="1"/>
  <c r="E100" i="13" a="1"/>
  <c r="E108" i="13" a="1"/>
  <c r="F38" i="13" a="1"/>
  <c r="F63" i="13" a="1"/>
  <c r="C72" i="13" a="1"/>
  <c r="C80" i="13" a="1"/>
  <c r="C88" i="13" a="1"/>
  <c r="C96" i="13" a="1"/>
  <c r="C104" i="13" a="1"/>
  <c r="C42" i="13" a="1"/>
  <c r="E95" i="13" a="1"/>
  <c r="D122" i="13" a="1"/>
  <c r="D130" i="13" a="1"/>
  <c r="D138" i="13" a="1"/>
  <c r="E69" i="13" a="1"/>
  <c r="E101" i="13" a="1"/>
  <c r="F116" i="13" a="1"/>
  <c r="C125" i="13" a="1"/>
  <c r="C133" i="13" a="1"/>
  <c r="C141" i="13" a="1"/>
  <c r="C149" i="13" a="1"/>
  <c r="D154" i="13" a="1"/>
  <c r="D158" i="13" a="1"/>
  <c r="F80" i="13" a="1"/>
  <c r="E118" i="13" a="1"/>
  <c r="E126" i="13" a="1"/>
  <c r="E130" i="13" a="1"/>
  <c r="E134" i="13" a="1"/>
  <c r="E138" i="13" a="1"/>
  <c r="E142" i="13" a="1"/>
  <c r="E146" i="13" a="1"/>
  <c r="E150" i="13" a="1"/>
  <c r="E65" i="13" a="1"/>
  <c r="E81" i="13" a="1"/>
  <c r="E97" i="13" a="1"/>
  <c r="D111" i="13" a="1"/>
  <c r="D115" i="13" a="1"/>
  <c r="F118" i="13" a="1"/>
  <c r="F122" i="13" a="1"/>
  <c r="F126" i="13" a="1"/>
  <c r="F130" i="13" a="1"/>
  <c r="F134" i="13" a="1"/>
  <c r="F138" i="13" a="1"/>
  <c r="F142" i="13" a="1"/>
  <c r="D142" i="13" a="1"/>
  <c r="E160" i="13" a="1"/>
  <c r="E152" i="13" a="1"/>
  <c r="E156" i="13" a="1"/>
  <c r="C160" i="13" a="1"/>
  <c r="F162" i="13" a="1"/>
  <c r="F164" i="13" a="1"/>
  <c r="F166" i="13" a="1"/>
  <c r="F168" i="13" a="1"/>
  <c r="F170" i="13" a="1"/>
  <c r="F172" i="13" a="1"/>
  <c r="F174" i="13" a="1"/>
  <c r="F176" i="13" a="1"/>
  <c r="F178" i="13" a="1"/>
  <c r="F180" i="13" a="1"/>
  <c r="F182" i="13" a="1"/>
  <c r="F184" i="13" a="1"/>
  <c r="F186" i="13" a="1"/>
  <c r="F188" i="13" a="1"/>
  <c r="E147" i="13" a="1"/>
  <c r="F160" i="13" a="1"/>
  <c r="F150" i="13" a="1"/>
  <c r="C155" i="13" a="1"/>
  <c r="C159" i="13" a="1"/>
  <c r="C162" i="13" a="1"/>
  <c r="C164" i="13" a="1"/>
  <c r="C166" i="13" a="1"/>
  <c r="C168" i="13" a="1"/>
  <c r="C170" i="13" a="1"/>
  <c r="C172" i="13" a="1"/>
  <c r="C174" i="13" a="1"/>
  <c r="C176" i="13" a="1"/>
  <c r="C178" i="13" a="1"/>
  <c r="C186" i="13" a="1"/>
  <c r="F191" i="13" a="1"/>
  <c r="F195" i="13" a="1"/>
  <c r="F199" i="13" a="1"/>
  <c r="F203" i="13" a="1"/>
  <c r="F207" i="13" a="1"/>
  <c r="F211" i="13" a="1"/>
  <c r="F215" i="13" a="1"/>
  <c r="F219" i="13" a="1"/>
  <c r="F223" i="13" a="1"/>
  <c r="F227" i="13" a="1"/>
  <c r="F231" i="13" a="1"/>
  <c r="F235" i="13" a="1"/>
  <c r="F239" i="13" a="1"/>
  <c r="D247" i="13" a="1"/>
  <c r="E178" i="13" a="1"/>
  <c r="E186" i="13" a="1"/>
  <c r="C192" i="13" a="1"/>
  <c r="C196" i="13" a="1"/>
  <c r="C200" i="13" a="1"/>
  <c r="C204" i="13" a="1"/>
  <c r="C208" i="13" a="1"/>
  <c r="C212" i="13" a="1"/>
  <c r="C216" i="13" a="1"/>
  <c r="C220" i="13" a="1"/>
  <c r="C224" i="13" a="1"/>
  <c r="C228" i="13" a="1"/>
  <c r="C232" i="13" a="1"/>
  <c r="C236" i="13" a="1"/>
  <c r="D230" i="13" a="1"/>
  <c r="D237" i="13" a="1"/>
  <c r="E241" i="13" a="1"/>
  <c r="E244" i="13" a="1"/>
  <c r="C248" i="13" a="1"/>
  <c r="C251" i="13" a="1"/>
  <c r="E254" i="13" a="1"/>
  <c r="D238" i="13" a="1"/>
  <c r="F246" i="13" a="1"/>
  <c r="D252" i="13" a="1"/>
  <c r="D257" i="13" a="1"/>
  <c r="C185" i="13" a="1"/>
  <c r="D191" i="13" a="1"/>
  <c r="D195" i="13" a="1"/>
  <c r="D199" i="13" a="1"/>
  <c r="D203" i="13" a="1"/>
  <c r="D207" i="13" a="1"/>
  <c r="D211" i="13" a="1"/>
  <c r="D215" i="13" a="1"/>
  <c r="D219" i="13" a="1"/>
  <c r="D223" i="13" a="1"/>
  <c r="D227" i="13" a="1"/>
  <c r="D233" i="13" a="1"/>
  <c r="E242" i="13" a="1"/>
  <c r="E247" i="13" a="1"/>
  <c r="E252" i="13" a="1"/>
  <c r="E257" i="13" a="1"/>
  <c r="F245" i="13" a="1"/>
  <c r="D254" i="13" a="1"/>
  <c r="E183" i="13" a="1"/>
  <c r="E190" i="13" a="1"/>
  <c r="E194" i="13" a="1"/>
  <c r="E198" i="13" a="1"/>
  <c r="E202" i="13" a="1"/>
  <c r="E206" i="13" a="1"/>
  <c r="E210" i="13" a="1"/>
  <c r="E214" i="13" a="1"/>
  <c r="E218" i="13" a="1"/>
  <c r="E222" i="13" a="1"/>
  <c r="E226" i="13" a="1"/>
  <c r="E230" i="13" a="1"/>
  <c r="E234" i="13" a="1"/>
  <c r="C239" i="13" a="1"/>
  <c r="F248" i="13" a="1"/>
  <c r="F257" i="13" a="1"/>
  <c r="F12" i="12" a="1"/>
  <c r="E164" i="13" a="1"/>
  <c r="E172" i="13" a="1"/>
  <c r="E176" i="13" a="1"/>
  <c r="C180" i="13" a="1"/>
  <c r="C188" i="13" a="1"/>
  <c r="F196" i="13" a="1"/>
  <c r="F200" i="13" a="1"/>
  <c r="F208" i="13" a="1"/>
  <c r="F212" i="13" a="1"/>
  <c r="F216" i="13" a="1"/>
  <c r="F224" i="13" a="1"/>
  <c r="F228" i="13" a="1"/>
  <c r="F236" i="13" a="1"/>
  <c r="F240" i="13" a="1"/>
  <c r="D250" i="13" a="1"/>
  <c r="E188" i="13" a="1"/>
  <c r="C193" i="13" a="1"/>
  <c r="C197" i="13" a="1"/>
  <c r="C205" i="13" a="1"/>
  <c r="C209" i="13" a="1"/>
  <c r="C217" i="13" a="1"/>
  <c r="C221" i="13" a="1"/>
  <c r="C225" i="13" a="1"/>
  <c r="C233" i="13" a="1"/>
  <c r="C237" i="13" a="1"/>
  <c r="F238" i="13" a="1"/>
  <c r="C242" i="13" a="1"/>
  <c r="C249" i="13" a="1"/>
  <c r="C252" i="13" a="1"/>
  <c r="E255" i="13" a="1"/>
  <c r="D248" i="13" a="1"/>
  <c r="D253" i="13" a="1"/>
  <c r="C187" i="13" a="1"/>
  <c r="D192" i="13" a="1"/>
  <c r="D196" i="13" a="1"/>
  <c r="D204" i="13" a="1"/>
  <c r="D208" i="13" a="1"/>
  <c r="D216" i="13" a="1"/>
  <c r="D220" i="13" a="1"/>
  <c r="D224" i="13" a="1"/>
  <c r="D236" i="13" a="1"/>
  <c r="E243" i="13" a="1"/>
  <c r="E253" i="13" a="1"/>
  <c r="D240" i="13" a="1"/>
  <c r="F247" i="13" a="1"/>
  <c r="E185" i="13" a="1"/>
  <c r="E191" i="13" a="1"/>
  <c r="E199" i="13" a="1"/>
  <c r="E203" i="13" a="1"/>
  <c r="E207" i="13" a="1"/>
  <c r="E215" i="13" a="1"/>
  <c r="E219" i="13" a="1"/>
  <c r="E227" i="13" a="1"/>
  <c r="E231" i="13" a="1"/>
  <c r="D241" i="13" a="1"/>
  <c r="D251" i="13" a="1"/>
  <c r="F10" i="12" a="1"/>
  <c r="F61" i="13" a="1"/>
  <c r="D128" i="13" a="1"/>
  <c r="F114" i="13" a="1"/>
  <c r="C131" i="13" a="1"/>
  <c r="C139" i="13" a="1"/>
  <c r="D157" i="13" a="1"/>
  <c r="F104" i="13" a="1"/>
  <c r="D129" i="13" a="1"/>
  <c r="D141" i="13" a="1"/>
  <c r="D149" i="13" a="1"/>
  <c r="F78" i="13" a="1"/>
  <c r="D110" i="13" a="1"/>
  <c r="C122" i="13" a="1"/>
  <c r="C130" i="13" a="1"/>
  <c r="C142" i="13" a="1"/>
  <c r="F159" i="13" a="1"/>
  <c r="E155" i="13" a="1"/>
  <c r="D162" i="13" a="1"/>
  <c r="D166" i="13" a="1"/>
  <c r="D172" i="13" a="1"/>
  <c r="D176" i="13" a="1"/>
  <c r="D180" i="13" a="1"/>
  <c r="D6" i="13" a="1"/>
  <c r="D22" i="13" a="1"/>
  <c r="D38" i="13" a="1"/>
  <c r="D51" i="13" a="1"/>
  <c r="F11" i="13" a="1"/>
  <c r="F27" i="13" a="1"/>
  <c r="F43" i="13" a="1"/>
  <c r="D17" i="13" a="1"/>
  <c r="D33" i="13" a="1"/>
  <c r="C49" i="13" a="1"/>
  <c r="C57" i="13" a="1"/>
  <c r="C16" i="13" a="1"/>
  <c r="D66" i="13" a="1"/>
  <c r="D82" i="13" a="1"/>
  <c r="D98" i="13" a="1"/>
  <c r="E111" i="13" a="1"/>
  <c r="E117" i="13" a="1"/>
  <c r="F40" i="13" a="1"/>
  <c r="E70" i="13" a="1"/>
  <c r="E78" i="13" a="1"/>
  <c r="E86" i="13" a="1"/>
  <c r="E94" i="13" a="1"/>
  <c r="E102" i="13" a="1"/>
  <c r="F14" i="13" a="1"/>
  <c r="F46" i="13" a="1"/>
  <c r="C66" i="13" a="1"/>
  <c r="C74" i="13" a="1"/>
  <c r="C82" i="13" a="1"/>
  <c r="C90" i="13" a="1"/>
  <c r="C98" i="13" a="1"/>
  <c r="C106" i="13" a="1"/>
  <c r="E71" i="13" a="1"/>
  <c r="E103" i="13" a="1"/>
  <c r="D124" i="13" a="1"/>
  <c r="D132" i="13" a="1"/>
  <c r="D140" i="13" a="1"/>
  <c r="E77" i="13" a="1"/>
  <c r="F110" i="13" a="1"/>
  <c r="C119" i="13" a="1"/>
  <c r="C127" i="13" a="1"/>
  <c r="C135" i="13" a="1"/>
  <c r="C143" i="13" a="1"/>
  <c r="C151" i="13" a="1"/>
  <c r="D155" i="13" a="1"/>
  <c r="C26" i="13" a="1"/>
  <c r="F88" i="13" a="1"/>
  <c r="E120" i="13" a="1"/>
  <c r="D127" i="13" a="1"/>
  <c r="D131" i="13" a="1"/>
  <c r="D135" i="13" a="1"/>
  <c r="D139" i="13" a="1"/>
  <c r="D143" i="13" a="1"/>
  <c r="D147" i="13" a="1"/>
  <c r="D151" i="13" a="1"/>
  <c r="F70" i="13" a="1"/>
  <c r="F86" i="13" a="1"/>
  <c r="F102" i="13" a="1"/>
  <c r="D112" i="13" a="1"/>
  <c r="D116" i="13" a="1"/>
  <c r="C120" i="13" a="1"/>
  <c r="C124" i="13" a="1"/>
  <c r="C128" i="13" a="1"/>
  <c r="C132" i="13" a="1"/>
  <c r="C136" i="13" a="1"/>
  <c r="C140" i="13" a="1"/>
  <c r="C144" i="13" a="1"/>
  <c r="D148" i="13" a="1"/>
  <c r="E145" i="13" a="1"/>
  <c r="E153" i="13" a="1"/>
  <c r="E157" i="13" a="1"/>
  <c r="D161" i="13" a="1"/>
  <c r="D163" i="13" a="1"/>
  <c r="D165" i="13" a="1"/>
  <c r="D167" i="13" a="1"/>
  <c r="D169" i="13" a="1"/>
  <c r="D171" i="13" a="1"/>
  <c r="D173" i="13" a="1"/>
  <c r="D175" i="13" a="1"/>
  <c r="D177" i="13" a="1"/>
  <c r="D179" i="13" a="1"/>
  <c r="D181" i="13" a="1"/>
  <c r="D183" i="13" a="1"/>
  <c r="D185" i="13" a="1"/>
  <c r="D187" i="13" a="1"/>
  <c r="D189" i="13" a="1"/>
  <c r="D150" i="13" a="1"/>
  <c r="D144" i="13" a="1"/>
  <c r="C152" i="13" a="1"/>
  <c r="C156" i="13" a="1"/>
  <c r="D160" i="13" a="1"/>
  <c r="E162" i="13" a="1"/>
  <c r="E166" i="13" a="1"/>
  <c r="E168" i="13" a="1"/>
  <c r="E170" i="13" a="1"/>
  <c r="E174" i="13" a="1"/>
  <c r="F192" i="13" a="1"/>
  <c r="F204" i="13" a="1"/>
  <c r="F220" i="13" a="1"/>
  <c r="F232" i="13" a="1"/>
  <c r="E180" i="13" a="1"/>
  <c r="C201" i="13" a="1"/>
  <c r="C213" i="13" a="1"/>
  <c r="C229" i="13" a="1"/>
  <c r="D232" i="13" a="1"/>
  <c r="E245" i="13" a="1"/>
  <c r="F242" i="13" a="1"/>
  <c r="C179" i="13" a="1"/>
  <c r="D200" i="13" a="1"/>
  <c r="D212" i="13" a="1"/>
  <c r="D228" i="13" a="1"/>
  <c r="E248" i="13" a="1"/>
  <c r="D256" i="13" a="1"/>
  <c r="E195" i="13" a="1"/>
  <c r="E211" i="13" a="1"/>
  <c r="E223" i="13" a="1"/>
  <c r="E235" i="13" a="1"/>
  <c r="D5" i="13" a="1"/>
  <c r="F30" i="13" a="1"/>
  <c r="E93" i="13" a="1"/>
  <c r="D153" i="13" a="1"/>
  <c r="D133" i="13" a="1"/>
  <c r="F28" i="13" a="1"/>
  <c r="C118" i="13" a="1"/>
  <c r="C138" i="13" a="1"/>
  <c r="C150" i="13" a="1"/>
  <c r="D168" i="13" a="1"/>
  <c r="D178" i="13" a="1"/>
  <c r="D10" i="13" a="1"/>
  <c r="D26" i="13" a="1"/>
  <c r="D42" i="13" a="1"/>
  <c r="D53" i="13" a="1"/>
  <c r="F15" i="13" a="1"/>
  <c r="F31" i="13" a="1"/>
  <c r="F47" i="13" a="1"/>
  <c r="D21" i="13" a="1"/>
  <c r="D37" i="13" a="1"/>
  <c r="C51" i="13" a="1"/>
  <c r="C59" i="13" a="1"/>
  <c r="C32" i="13" a="1"/>
  <c r="D70" i="13" a="1"/>
  <c r="D86" i="13" a="1"/>
  <c r="D102" i="13" a="1"/>
  <c r="E113" i="13" a="1"/>
  <c r="F16" i="13" a="1"/>
  <c r="E64" i="13" a="1"/>
  <c r="E72" i="13" a="1"/>
  <c r="E80" i="13" a="1"/>
  <c r="E88" i="13" a="1"/>
  <c r="E96" i="13" a="1"/>
  <c r="E104" i="13" a="1"/>
  <c r="F22" i="13" a="1"/>
  <c r="F59" i="13" a="1"/>
  <c r="C68" i="13" a="1"/>
  <c r="C76" i="13" a="1"/>
  <c r="C84" i="13" a="1"/>
  <c r="C92" i="13" a="1"/>
  <c r="C100" i="13" a="1"/>
  <c r="C108" i="13" a="1"/>
  <c r="E79" i="13" a="1"/>
  <c r="D118" i="13" a="1"/>
  <c r="D126" i="13" a="1"/>
  <c r="D134" i="13" a="1"/>
  <c r="F12" i="13" a="1"/>
  <c r="E85" i="13" a="1"/>
  <c r="F112" i="13" a="1"/>
  <c r="C121" i="13" a="1"/>
  <c r="C129" i="13" a="1"/>
  <c r="C137" i="13" a="1"/>
  <c r="C145" i="13" a="1"/>
  <c r="D152" i="13" a="1"/>
  <c r="D156" i="13" a="1"/>
  <c r="F64" i="13" a="1"/>
  <c r="F96" i="13" a="1"/>
  <c r="E122" i="13" a="1"/>
  <c r="E128" i="13" a="1"/>
  <c r="E132" i="13" a="1"/>
  <c r="E136" i="13" a="1"/>
  <c r="E140" i="13" a="1"/>
  <c r="E144" i="13" a="1"/>
  <c r="E148" i="13" a="1"/>
  <c r="C18" i="13" a="1"/>
  <c r="E73" i="13" a="1"/>
  <c r="E89" i="13" a="1"/>
  <c r="E105" i="13" a="1"/>
  <c r="D113" i="13" a="1"/>
  <c r="D117" i="13" a="1"/>
  <c r="F120" i="13" a="1"/>
  <c r="F124" i="13" a="1"/>
  <c r="F128" i="13" a="1"/>
  <c r="F132" i="13" a="1"/>
  <c r="F136" i="13" a="1"/>
  <c r="F140" i="13" a="1"/>
  <c r="F144" i="13" a="1"/>
  <c r="E149" i="13" a="1"/>
  <c r="F148" i="13" a="1"/>
  <c r="E154" i="13" a="1"/>
  <c r="E158" i="13" a="1"/>
  <c r="F161" i="13" a="1"/>
  <c r="F163" i="13" a="1"/>
  <c r="F165" i="13" a="1"/>
  <c r="F167" i="13" a="1"/>
  <c r="F169" i="13" a="1"/>
  <c r="F171" i="13" a="1"/>
  <c r="F173" i="13" a="1"/>
  <c r="F175" i="13" a="1"/>
  <c r="F177" i="13" a="1"/>
  <c r="F179" i="13" a="1"/>
  <c r="F181" i="13" a="1"/>
  <c r="F183" i="13" a="1"/>
  <c r="F185" i="13" a="1"/>
  <c r="F187" i="13" a="1"/>
  <c r="E143" i="13" a="1"/>
  <c r="E151" i="13" a="1"/>
  <c r="F146" i="13" a="1"/>
  <c r="C153" i="13" a="1"/>
  <c r="C157" i="13" a="1"/>
  <c r="C161" i="13" a="1"/>
  <c r="C163" i="13" a="1"/>
  <c r="C165" i="13" a="1"/>
  <c r="C167" i="13" a="1"/>
  <c r="C169" i="13" a="1"/>
  <c r="C171" i="13" a="1"/>
  <c r="C173" i="13" a="1"/>
  <c r="C175" i="13" a="1"/>
  <c r="C177" i="13" a="1"/>
  <c r="C182" i="13" a="1"/>
  <c r="F189" i="13" a="1"/>
  <c r="F193" i="13" a="1"/>
  <c r="F197" i="13" a="1"/>
  <c r="F201" i="13" a="1"/>
  <c r="F205" i="13" a="1"/>
  <c r="F209" i="13" a="1"/>
  <c r="F213" i="13" a="1"/>
  <c r="F217" i="13" a="1"/>
  <c r="F221" i="13" a="1"/>
  <c r="F225" i="13" a="1"/>
  <c r="F229" i="13" a="1"/>
  <c r="F233" i="13" a="1"/>
  <c r="F237" i="13" a="1"/>
  <c r="D242" i="13" a="1"/>
  <c r="F253" i="13" a="1"/>
  <c r="E182" i="13" a="1"/>
  <c r="C190" i="13" a="1"/>
  <c r="C194" i="13" a="1"/>
  <c r="C198" i="13" a="1"/>
  <c r="C202" i="13" a="1"/>
  <c r="C206" i="13" a="1"/>
  <c r="C210" i="13" a="1"/>
  <c r="C214" i="13" a="1"/>
  <c r="C218" i="13" a="1"/>
  <c r="C222" i="13" a="1"/>
  <c r="C226" i="13" a="1"/>
  <c r="C230" i="13" a="1"/>
  <c r="C234" i="13" a="1"/>
  <c r="C238" i="13" a="1"/>
  <c r="D234" i="13" a="1"/>
  <c r="C240" i="13" a="1"/>
  <c r="C243" i="13" a="1"/>
  <c r="E246" i="13" a="1"/>
  <c r="E249" i="13" a="1"/>
  <c r="C253" i="13" a="1"/>
  <c r="E256" i="13" a="1"/>
  <c r="F244" i="13" a="1"/>
  <c r="D249" i="13" a="1"/>
  <c r="F254" i="13" a="1"/>
  <c r="C181" i="13" a="1"/>
  <c r="C189" i="13" a="1"/>
  <c r="D193" i="13" a="1"/>
  <c r="D197" i="13" a="1"/>
  <c r="D201" i="13" a="1"/>
  <c r="D205" i="13" a="1"/>
  <c r="D209" i="13" a="1"/>
  <c r="D213" i="13" a="1"/>
  <c r="D217" i="13" a="1"/>
  <c r="D221" i="13" a="1"/>
  <c r="D225" i="13" a="1"/>
  <c r="D229" i="13" a="1"/>
  <c r="E239" i="13" a="1"/>
  <c r="C245" i="13" a="1"/>
  <c r="C250" i="13" a="1"/>
  <c r="C255" i="13" a="1"/>
  <c r="F241" i="13" a="1"/>
  <c r="F249" i="13" a="1"/>
  <c r="E179" i="13" a="1"/>
  <c r="E187" i="13" a="1"/>
  <c r="E192" i="13" a="1"/>
  <c r="E196" i="13" a="1"/>
  <c r="E200" i="13" a="1"/>
  <c r="E204" i="13" a="1"/>
  <c r="E208" i="13" a="1"/>
  <c r="E212" i="13" a="1"/>
  <c r="E216" i="13" a="1"/>
  <c r="E220" i="13" a="1"/>
  <c r="E224" i="13" a="1"/>
  <c r="E228" i="13" a="1"/>
  <c r="E232" i="13" a="1"/>
  <c r="E236" i="13" a="1"/>
  <c r="D243" i="13" a="1"/>
  <c r="F252" i="13" a="1"/>
  <c r="F5" i="13" a="1"/>
  <c r="F11" i="12" a="1"/>
  <c r="E6" i="13" a="1"/>
  <c r="D14" i="13" a="1"/>
  <c r="D30" i="13" a="1"/>
  <c r="D46" i="13" a="1"/>
  <c r="D55" i="13" a="1"/>
  <c r="F19" i="13" a="1"/>
  <c r="F35" i="13" a="1"/>
  <c r="F9" i="13" a="1"/>
  <c r="D25" i="13" a="1"/>
  <c r="D41" i="13" a="1"/>
  <c r="C53" i="13" a="1"/>
  <c r="C61" i="13" a="1"/>
  <c r="C48" i="13" a="1"/>
  <c r="D74" i="13" a="1"/>
  <c r="D90" i="13" a="1"/>
  <c r="D106" i="13" a="1"/>
  <c r="E115" i="13" a="1"/>
  <c r="F24" i="13" a="1"/>
  <c r="E66" i="13" a="1"/>
  <c r="E74" i="13" a="1"/>
  <c r="E82" i="13" a="1"/>
  <c r="E90" i="13" a="1"/>
  <c r="E98" i="13" a="1"/>
  <c r="E106" i="13" a="1"/>
  <c r="C70" i="13" a="1"/>
  <c r="C78" i="13" a="1"/>
  <c r="C86" i="13" a="1"/>
  <c r="C94" i="13" a="1"/>
  <c r="C102" i="13" a="1"/>
  <c r="F109" i="13" a="1"/>
  <c r="E87" i="13" a="1"/>
  <c r="D120" i="13" a="1"/>
  <c r="D136" i="13" a="1"/>
  <c r="F44" i="13" a="1"/>
  <c r="C123" i="13" a="1"/>
  <c r="C147" i="13" a="1"/>
  <c r="F72" i="13" a="1"/>
  <c r="E124" i="13" a="1"/>
  <c r="D137" i="13" a="1"/>
  <c r="D145" i="13" a="1"/>
  <c r="F94" i="13" a="1"/>
  <c r="D114" i="13" a="1"/>
  <c r="C126" i="13" a="1"/>
  <c r="C134" i="13" a="1"/>
  <c r="C146" i="13" a="1"/>
  <c r="D159" i="13" a="1"/>
  <c r="D164" i="13" a="1"/>
  <c r="D170" i="13" a="1"/>
  <c r="D174" i="13" a="1"/>
  <c r="D182" i="13" a="1"/>
  <c r="D184" i="13" a="1"/>
  <c r="E159" i="13" a="1"/>
  <c r="E161" i="13" a="1"/>
  <c r="E169" i="13" a="1"/>
  <c r="E177" i="13" a="1"/>
  <c r="F198" i="13" a="1"/>
  <c r="F214" i="13" a="1"/>
  <c r="F230" i="13" a="1"/>
  <c r="F256" i="13" a="1"/>
  <c r="C199" i="13" a="1"/>
  <c r="C215" i="13" a="1"/>
  <c r="C231" i="13" a="1"/>
  <c r="E240" i="13" a="1"/>
  <c r="C254" i="13" a="1"/>
  <c r="F255" i="13" a="1"/>
  <c r="D198" i="13" a="1"/>
  <c r="D214" i="13" a="1"/>
  <c r="D231" i="13" a="1"/>
  <c r="C256" i="13" a="1"/>
  <c r="E189" i="13" a="1"/>
  <c r="E205" i="13" a="1"/>
  <c r="E221" i="13" a="1"/>
  <c r="E237" i="13" a="1"/>
  <c r="C203" i="13" a="1"/>
  <c r="C244" i="13" a="1"/>
  <c r="C257" i="13" a="1"/>
  <c r="D202" i="13" a="1"/>
  <c r="D218" i="13" a="1"/>
  <c r="C241" i="13" a="1"/>
  <c r="E193" i="13" a="1"/>
  <c r="E209" i="13" a="1"/>
  <c r="E225" i="13" a="1"/>
  <c r="E175" i="13" a="1"/>
  <c r="F226" i="13" a="1"/>
  <c r="C211" i="13" a="1"/>
  <c r="D235" i="13" a="1"/>
  <c r="D194" i="13" a="1"/>
  <c r="D226" i="13" a="1"/>
  <c r="E181" i="13" a="1"/>
  <c r="E217" i="13" a="1"/>
  <c r="E5" i="13" a="1"/>
  <c r="D186" i="13" a="1"/>
  <c r="C148" i="13" a="1"/>
  <c r="E163" i="13" a="1"/>
  <c r="E171" i="13" a="1"/>
  <c r="C184" i="13" a="1"/>
  <c r="F202" i="13" a="1"/>
  <c r="F218" i="13" a="1"/>
  <c r="F234" i="13" a="1"/>
  <c r="E184" i="13" a="1"/>
  <c r="C219" i="13" a="1"/>
  <c r="C235" i="13" a="1"/>
  <c r="C183" i="13" a="1"/>
  <c r="F243" i="13" a="1"/>
  <c r="D246" i="13" a="1"/>
  <c r="D244" i="13" a="1"/>
  <c r="E250" i="13" a="1"/>
  <c r="E251" i="13" a="1"/>
  <c r="D188" i="13" a="1"/>
  <c r="C154" i="13" a="1"/>
  <c r="E165" i="13" a="1"/>
  <c r="E173" i="13" a="1"/>
  <c r="F190" i="13" a="1"/>
  <c r="F206" i="13" a="1"/>
  <c r="F222" i="13" a="1"/>
  <c r="E238" i="13" a="1"/>
  <c r="C191" i="13" a="1"/>
  <c r="C207" i="13" a="1"/>
  <c r="C223" i="13" a="1"/>
  <c r="D239" i="13" a="1"/>
  <c r="C247" i="13" a="1"/>
  <c r="D245" i="13" a="1"/>
  <c r="D190" i="13" a="1"/>
  <c r="D206" i="13" a="1"/>
  <c r="D222" i="13" a="1"/>
  <c r="C246" i="13" a="1"/>
  <c r="F251" i="13" a="1"/>
  <c r="E197" i="13" a="1"/>
  <c r="E213" i="13" a="1"/>
  <c r="E229" i="13" a="1"/>
  <c r="D255" i="13" a="1"/>
  <c r="D146" i="13" a="1"/>
  <c r="C158" i="13" a="1"/>
  <c r="E167" i="13" a="1"/>
  <c r="F194" i="13" a="1"/>
  <c r="F210" i="13" a="1"/>
  <c r="C195" i="13" a="1"/>
  <c r="C227" i="13" a="1"/>
  <c r="F250" i="13" a="1"/>
  <c r="D210" i="13" a="1"/>
  <c r="E201" i="13" a="1"/>
  <c r="E233" i="13" a="1"/>
  <c r="E233" i="13" l="1"/>
  <c r="E201" i="13"/>
  <c r="D210" i="13"/>
  <c r="F250" i="13"/>
  <c r="C227" i="13"/>
  <c r="C195" i="13"/>
  <c r="F210" i="13"/>
  <c r="F194" i="13"/>
  <c r="E167" i="13"/>
  <c r="C158" i="13"/>
  <c r="D146" i="13"/>
  <c r="D255" i="13"/>
  <c r="E229" i="13"/>
  <c r="E213" i="13"/>
  <c r="E197" i="13"/>
  <c r="F251" i="13"/>
  <c r="C246" i="13"/>
  <c r="D222" i="13"/>
  <c r="D206" i="13"/>
  <c r="D190" i="13"/>
  <c r="D245" i="13"/>
  <c r="C247" i="13"/>
  <c r="D239" i="13"/>
  <c r="C223" i="13"/>
  <c r="C207" i="13"/>
  <c r="C191" i="13"/>
  <c r="E238" i="13"/>
  <c r="F222" i="13"/>
  <c r="F206" i="13"/>
  <c r="F190" i="13"/>
  <c r="E173" i="13"/>
  <c r="E165" i="13"/>
  <c r="C154" i="13"/>
  <c r="D188" i="13"/>
  <c r="E251" i="13"/>
  <c r="E250" i="13"/>
  <c r="D244" i="13"/>
  <c r="H244" i="13" s="1"/>
  <c r="D246" i="13"/>
  <c r="F243" i="13"/>
  <c r="C183" i="13"/>
  <c r="C235" i="13"/>
  <c r="C219" i="13"/>
  <c r="E184" i="13"/>
  <c r="F234" i="13"/>
  <c r="F218" i="13"/>
  <c r="F202" i="13"/>
  <c r="C184" i="13"/>
  <c r="E171" i="13"/>
  <c r="E163" i="13"/>
  <c r="C148" i="13"/>
  <c r="D186" i="13"/>
  <c r="E5" i="13"/>
  <c r="D5" i="16" s="1"/>
  <c r="E217" i="13"/>
  <c r="E181" i="13"/>
  <c r="D226" i="13"/>
  <c r="D194" i="13"/>
  <c r="D235" i="13"/>
  <c r="C211" i="13"/>
  <c r="F226" i="13"/>
  <c r="E175" i="13"/>
  <c r="E225" i="13"/>
  <c r="E209" i="13"/>
  <c r="E193" i="13"/>
  <c r="C241" i="13"/>
  <c r="D218" i="13"/>
  <c r="D202" i="13"/>
  <c r="C257" i="13"/>
  <c r="C244" i="13"/>
  <c r="C203" i="13"/>
  <c r="E237" i="13"/>
  <c r="E221" i="13"/>
  <c r="E205" i="13"/>
  <c r="E189" i="13"/>
  <c r="C256" i="13"/>
  <c r="D231" i="13"/>
  <c r="D214" i="13"/>
  <c r="D198" i="13"/>
  <c r="F255" i="13"/>
  <c r="C254" i="13"/>
  <c r="E240" i="13"/>
  <c r="C231" i="13"/>
  <c r="C215" i="13"/>
  <c r="C199" i="13"/>
  <c r="F256" i="13"/>
  <c r="F230" i="13"/>
  <c r="F214" i="13"/>
  <c r="F198" i="13"/>
  <c r="E177" i="13"/>
  <c r="E169" i="13"/>
  <c r="E161" i="13"/>
  <c r="E159" i="13"/>
  <c r="D184" i="13"/>
  <c r="D182" i="13"/>
  <c r="D174" i="13"/>
  <c r="D170" i="13"/>
  <c r="D164" i="13"/>
  <c r="D159" i="13"/>
  <c r="C146" i="13"/>
  <c r="C134" i="13"/>
  <c r="C126" i="13"/>
  <c r="D114" i="13"/>
  <c r="F94" i="13"/>
  <c r="D145" i="13"/>
  <c r="D137" i="13"/>
  <c r="E124" i="13"/>
  <c r="F72" i="13"/>
  <c r="C147" i="13"/>
  <c r="C123" i="13"/>
  <c r="F44" i="13"/>
  <c r="D136" i="13"/>
  <c r="D120" i="13"/>
  <c r="E87" i="13"/>
  <c r="F109" i="13"/>
  <c r="C102" i="13"/>
  <c r="C94" i="13"/>
  <c r="C86" i="13"/>
  <c r="C78" i="13"/>
  <c r="C70" i="13"/>
  <c r="E106" i="13"/>
  <c r="E98" i="13"/>
  <c r="E90" i="13"/>
  <c r="E82" i="13"/>
  <c r="E74" i="13"/>
  <c r="E66" i="13"/>
  <c r="F24" i="13"/>
  <c r="E115" i="13"/>
  <c r="D106" i="13"/>
  <c r="D90" i="13"/>
  <c r="D74" i="13"/>
  <c r="C48" i="13"/>
  <c r="C61" i="13"/>
  <c r="C53" i="13"/>
  <c r="D41" i="13"/>
  <c r="D25" i="13"/>
  <c r="F9" i="13"/>
  <c r="F35" i="13"/>
  <c r="F19" i="13"/>
  <c r="D55" i="13"/>
  <c r="D46" i="13"/>
  <c r="D30" i="13"/>
  <c r="D14" i="13"/>
  <c r="E6" i="13"/>
  <c r="F11" i="12"/>
  <c r="H11" i="12" s="1"/>
  <c r="F5" i="13"/>
  <c r="E5" i="16" s="1"/>
  <c r="F252" i="13"/>
  <c r="D243" i="13"/>
  <c r="E236" i="13"/>
  <c r="E232" i="13"/>
  <c r="E228" i="13"/>
  <c r="E224" i="13"/>
  <c r="E220" i="13"/>
  <c r="E216" i="13"/>
  <c r="E212" i="13"/>
  <c r="E208" i="13"/>
  <c r="E204" i="13"/>
  <c r="E200" i="13"/>
  <c r="E196" i="13"/>
  <c r="E192" i="13"/>
  <c r="E187" i="13"/>
  <c r="E179" i="13"/>
  <c r="F249" i="13"/>
  <c r="F241" i="13"/>
  <c r="C255" i="13"/>
  <c r="G254" i="13" s="1"/>
  <c r="K254" i="13" s="1"/>
  <c r="O254" i="13" s="1"/>
  <c r="C250" i="13"/>
  <c r="C245" i="13"/>
  <c r="E239" i="13"/>
  <c r="D229" i="13"/>
  <c r="D225" i="13"/>
  <c r="D221" i="13"/>
  <c r="D217" i="13"/>
  <c r="H217" i="13" s="1"/>
  <c r="D213" i="13"/>
  <c r="D209" i="13"/>
  <c r="D205" i="13"/>
  <c r="D201" i="13"/>
  <c r="D197" i="13"/>
  <c r="D193" i="13"/>
  <c r="C189" i="13"/>
  <c r="C181" i="13"/>
  <c r="F254" i="13"/>
  <c r="D249" i="13"/>
  <c r="F244" i="13"/>
  <c r="E256" i="13"/>
  <c r="C253" i="13"/>
  <c r="E249" i="13"/>
  <c r="I249" i="13" s="1"/>
  <c r="M249" i="13" s="1"/>
  <c r="Q249" i="13" s="1"/>
  <c r="E246" i="13"/>
  <c r="C243" i="13"/>
  <c r="C240" i="13"/>
  <c r="D234" i="13"/>
  <c r="C238" i="13"/>
  <c r="C234" i="13"/>
  <c r="C230" i="13"/>
  <c r="C226" i="13"/>
  <c r="C222" i="13"/>
  <c r="C218" i="13"/>
  <c r="C214" i="13"/>
  <c r="C210" i="13"/>
  <c r="C206" i="13"/>
  <c r="C202" i="13"/>
  <c r="C198" i="13"/>
  <c r="C194" i="13"/>
  <c r="C190" i="13"/>
  <c r="E182" i="13"/>
  <c r="F253" i="13"/>
  <c r="J253" i="13" s="1"/>
  <c r="D242" i="13"/>
  <c r="F237" i="13"/>
  <c r="F233" i="13"/>
  <c r="F229" i="13"/>
  <c r="F225" i="13"/>
  <c r="F221" i="13"/>
  <c r="F217" i="13"/>
  <c r="F213" i="13"/>
  <c r="F209" i="13"/>
  <c r="F205" i="13"/>
  <c r="F201" i="13"/>
  <c r="J201" i="13" s="1"/>
  <c r="F197" i="13"/>
  <c r="F193" i="13"/>
  <c r="J193" i="13" s="1"/>
  <c r="N193" i="13" s="1"/>
  <c r="R193" i="13" s="1"/>
  <c r="F189" i="13"/>
  <c r="C182" i="13"/>
  <c r="C177" i="13"/>
  <c r="C175" i="13"/>
  <c r="C173" i="13"/>
  <c r="C171" i="13"/>
  <c r="C169" i="13"/>
  <c r="C167" i="13"/>
  <c r="C165" i="13"/>
  <c r="C163" i="13"/>
  <c r="C161" i="13"/>
  <c r="C157" i="13"/>
  <c r="C153" i="13"/>
  <c r="F146" i="13"/>
  <c r="E151" i="13"/>
  <c r="E143" i="13"/>
  <c r="F187" i="13"/>
  <c r="F185" i="13"/>
  <c r="F183" i="13"/>
  <c r="F181" i="13"/>
  <c r="F179" i="13"/>
  <c r="F177" i="13"/>
  <c r="F175" i="13"/>
  <c r="F173" i="13"/>
  <c r="F171" i="13"/>
  <c r="F169" i="13"/>
  <c r="F167" i="13"/>
  <c r="F165" i="13"/>
  <c r="F163" i="13"/>
  <c r="F161" i="13"/>
  <c r="E158" i="13"/>
  <c r="E154" i="13"/>
  <c r="F148" i="13"/>
  <c r="E149" i="13"/>
  <c r="F144" i="13"/>
  <c r="F140" i="13"/>
  <c r="F136" i="13"/>
  <c r="F132" i="13"/>
  <c r="F128" i="13"/>
  <c r="F124" i="13"/>
  <c r="F120" i="13"/>
  <c r="D117" i="13"/>
  <c r="D113" i="13"/>
  <c r="H113" i="13" s="1"/>
  <c r="E105" i="13"/>
  <c r="E89" i="13"/>
  <c r="E73" i="13"/>
  <c r="C18" i="13"/>
  <c r="E148" i="13"/>
  <c r="E144" i="13"/>
  <c r="E140" i="13"/>
  <c r="E136" i="13"/>
  <c r="E132" i="13"/>
  <c r="E128" i="13"/>
  <c r="E122" i="13"/>
  <c r="F96" i="13"/>
  <c r="F64" i="13"/>
  <c r="D156" i="13"/>
  <c r="D152" i="13"/>
  <c r="C145" i="13"/>
  <c r="C137" i="13"/>
  <c r="C129" i="13"/>
  <c r="C121" i="13"/>
  <c r="F112" i="13"/>
  <c r="E85" i="13"/>
  <c r="F12" i="13"/>
  <c r="D134" i="13"/>
  <c r="D126" i="13"/>
  <c r="D118" i="13"/>
  <c r="E79" i="13"/>
  <c r="C108" i="13"/>
  <c r="C100" i="13"/>
  <c r="C92" i="13"/>
  <c r="C84" i="13"/>
  <c r="C76" i="13"/>
  <c r="C68" i="13"/>
  <c r="F59" i="13"/>
  <c r="F22" i="13"/>
  <c r="E104" i="13"/>
  <c r="E96" i="13"/>
  <c r="E88" i="13"/>
  <c r="E80" i="13"/>
  <c r="E72" i="13"/>
  <c r="I72" i="13" s="1"/>
  <c r="E64" i="13"/>
  <c r="F16" i="13"/>
  <c r="E113" i="13"/>
  <c r="D102" i="13"/>
  <c r="D86" i="13"/>
  <c r="D70" i="13"/>
  <c r="C32" i="13"/>
  <c r="C59" i="13"/>
  <c r="C51" i="13"/>
  <c r="D37" i="13"/>
  <c r="D21" i="13"/>
  <c r="F47" i="13"/>
  <c r="F31" i="13"/>
  <c r="F15" i="13"/>
  <c r="J15" i="13" s="1"/>
  <c r="N15" i="13" s="1"/>
  <c r="R15" i="13" s="1"/>
  <c r="D53" i="13"/>
  <c r="D42" i="13"/>
  <c r="H41" i="13" s="1"/>
  <c r="D26" i="13"/>
  <c r="D10" i="13"/>
  <c r="D178" i="13"/>
  <c r="D168" i="13"/>
  <c r="C150" i="13"/>
  <c r="C138" i="13"/>
  <c r="C118" i="13"/>
  <c r="F28" i="13"/>
  <c r="D133" i="13"/>
  <c r="D153" i="13"/>
  <c r="E93" i="13"/>
  <c r="F30" i="13"/>
  <c r="D5" i="13"/>
  <c r="C5" i="16" s="1"/>
  <c r="E235" i="13"/>
  <c r="E223" i="13"/>
  <c r="E211" i="13"/>
  <c r="E195" i="13"/>
  <c r="D256" i="13"/>
  <c r="E248" i="13"/>
  <c r="D228" i="13"/>
  <c r="D212" i="13"/>
  <c r="H212" i="13" s="1"/>
  <c r="L212" i="13" s="1"/>
  <c r="P212" i="13" s="1"/>
  <c r="D200" i="13"/>
  <c r="C179" i="13"/>
  <c r="F242" i="13"/>
  <c r="E245" i="13"/>
  <c r="I245" i="13" s="1"/>
  <c r="D232" i="13"/>
  <c r="C229" i="13"/>
  <c r="C213" i="13"/>
  <c r="C201" i="13"/>
  <c r="G201" i="13" s="1"/>
  <c r="K201" i="13" s="1"/>
  <c r="O201" i="13" s="1"/>
  <c r="E180" i="13"/>
  <c r="F232" i="13"/>
  <c r="F220" i="13"/>
  <c r="F204" i="13"/>
  <c r="J204" i="13" s="1"/>
  <c r="F192" i="13"/>
  <c r="J192" i="13" s="1"/>
  <c r="N192" i="13" s="1"/>
  <c r="R192" i="13" s="1"/>
  <c r="E174" i="13"/>
  <c r="E170" i="13"/>
  <c r="E168" i="13"/>
  <c r="I167" i="13" s="1"/>
  <c r="E166" i="13"/>
  <c r="I166" i="13" s="1"/>
  <c r="M166" i="13" s="1"/>
  <c r="Q166" i="13" s="1"/>
  <c r="E162" i="13"/>
  <c r="D160" i="13"/>
  <c r="C156" i="13"/>
  <c r="C152" i="13"/>
  <c r="D144" i="13"/>
  <c r="D150" i="13"/>
  <c r="D189" i="13"/>
  <c r="D187" i="13"/>
  <c r="D185" i="13"/>
  <c r="D183" i="13"/>
  <c r="H182" i="13" s="1"/>
  <c r="D181" i="13"/>
  <c r="D179" i="13"/>
  <c r="D177" i="13"/>
  <c r="D175" i="13"/>
  <c r="D173" i="13"/>
  <c r="D171" i="13"/>
  <c r="D169" i="13"/>
  <c r="D167" i="13"/>
  <c r="D165" i="13"/>
  <c r="D163" i="13"/>
  <c r="H163" i="13" s="1"/>
  <c r="D161" i="13"/>
  <c r="E157" i="13"/>
  <c r="E153" i="13"/>
  <c r="E145" i="13"/>
  <c r="D148" i="13"/>
  <c r="C144" i="13"/>
  <c r="C140" i="13"/>
  <c r="C136" i="13"/>
  <c r="G136" i="13" s="1"/>
  <c r="K136" i="13" s="1"/>
  <c r="O136" i="13" s="1"/>
  <c r="C132" i="13"/>
  <c r="C128" i="13"/>
  <c r="C124" i="13"/>
  <c r="C120" i="13"/>
  <c r="D116" i="13"/>
  <c r="D112" i="13"/>
  <c r="F102" i="13"/>
  <c r="F86" i="13"/>
  <c r="F70" i="13"/>
  <c r="D151" i="13"/>
  <c r="D147" i="13"/>
  <c r="H146" i="13" s="1"/>
  <c r="L146" i="13" s="1"/>
  <c r="P146" i="13" s="1"/>
  <c r="D143" i="13"/>
  <c r="D139" i="13"/>
  <c r="D135" i="13"/>
  <c r="H135" i="13" s="1"/>
  <c r="D131" i="13"/>
  <c r="H131" i="13" s="1"/>
  <c r="L131" i="13" s="1"/>
  <c r="P131" i="13" s="1"/>
  <c r="D127" i="13"/>
  <c r="E120" i="13"/>
  <c r="F88" i="13"/>
  <c r="C26" i="13"/>
  <c r="D155" i="13"/>
  <c r="H155" i="13" s="1"/>
  <c r="C151" i="13"/>
  <c r="C143" i="13"/>
  <c r="C135" i="13"/>
  <c r="C127" i="13"/>
  <c r="C119" i="13"/>
  <c r="F110" i="13"/>
  <c r="E77" i="13"/>
  <c r="D140" i="13"/>
  <c r="D132" i="13"/>
  <c r="D124" i="13"/>
  <c r="E103" i="13"/>
  <c r="I102" i="13" s="1"/>
  <c r="E71" i="13"/>
  <c r="C106" i="13"/>
  <c r="C98" i="13"/>
  <c r="C90" i="13"/>
  <c r="C82" i="13"/>
  <c r="C74" i="13"/>
  <c r="C66" i="13"/>
  <c r="F46" i="13"/>
  <c r="F14" i="13"/>
  <c r="J14" i="13" s="1"/>
  <c r="N14" i="13" s="1"/>
  <c r="R14" i="13" s="1"/>
  <c r="E102" i="13"/>
  <c r="E94" i="13"/>
  <c r="E86" i="13"/>
  <c r="E78" i="13"/>
  <c r="I78" i="13" s="1"/>
  <c r="M78" i="13" s="1"/>
  <c r="Q78" i="13" s="1"/>
  <c r="E70" i="13"/>
  <c r="F40" i="13"/>
  <c r="E117" i="13"/>
  <c r="E111" i="13"/>
  <c r="D98" i="13"/>
  <c r="D82" i="13"/>
  <c r="D66" i="13"/>
  <c r="C16" i="13"/>
  <c r="C57" i="13"/>
  <c r="C49" i="13"/>
  <c r="D33" i="13"/>
  <c r="D17" i="13"/>
  <c r="F43" i="13"/>
  <c r="F27" i="13"/>
  <c r="F11" i="13"/>
  <c r="J11" i="13" s="1"/>
  <c r="D51" i="13"/>
  <c r="D38" i="13"/>
  <c r="D22" i="13"/>
  <c r="D6" i="13"/>
  <c r="D180" i="13"/>
  <c r="D176" i="13"/>
  <c r="D172" i="13"/>
  <c r="D166" i="13"/>
  <c r="H166" i="13" s="1"/>
  <c r="L166" i="13" s="1"/>
  <c r="P166" i="13" s="1"/>
  <c r="D162" i="13"/>
  <c r="E155" i="13"/>
  <c r="F159" i="13"/>
  <c r="C142" i="13"/>
  <c r="G142" i="13" s="1"/>
  <c r="K142" i="13" s="1"/>
  <c r="O142" i="13" s="1"/>
  <c r="C130" i="13"/>
  <c r="C122" i="13"/>
  <c r="D110" i="13"/>
  <c r="F78" i="13"/>
  <c r="D149" i="13"/>
  <c r="D141" i="13"/>
  <c r="D129" i="13"/>
  <c r="F104" i="13"/>
  <c r="D157" i="13"/>
  <c r="C139" i="13"/>
  <c r="C131" i="13"/>
  <c r="G131" i="13" s="1"/>
  <c r="K131" i="13" s="1"/>
  <c r="O131" i="13" s="1"/>
  <c r="F114" i="13"/>
  <c r="D128" i="13"/>
  <c r="F61" i="13"/>
  <c r="F10" i="12"/>
  <c r="H10" i="12" s="1"/>
  <c r="D251" i="13"/>
  <c r="D241" i="13"/>
  <c r="H241" i="13" s="1"/>
  <c r="E231" i="13"/>
  <c r="E227" i="13"/>
  <c r="E219" i="13"/>
  <c r="E215" i="13"/>
  <c r="I215" i="13" s="1"/>
  <c r="M215" i="13" s="1"/>
  <c r="Q215" i="13" s="1"/>
  <c r="E207" i="13"/>
  <c r="E203" i="13"/>
  <c r="E199" i="13"/>
  <c r="E191" i="13"/>
  <c r="E185" i="13"/>
  <c r="F247" i="13"/>
  <c r="D240" i="13"/>
  <c r="E253" i="13"/>
  <c r="E243" i="13"/>
  <c r="D236" i="13"/>
  <c r="H235" i="13" s="1"/>
  <c r="D224" i="13"/>
  <c r="D220" i="13"/>
  <c r="D216" i="13"/>
  <c r="D208" i="13"/>
  <c r="D204" i="13"/>
  <c r="H204" i="13" s="1"/>
  <c r="D196" i="13"/>
  <c r="D192" i="13"/>
  <c r="C187" i="13"/>
  <c r="D253" i="13"/>
  <c r="D248" i="13"/>
  <c r="H248" i="13" s="1"/>
  <c r="E255" i="13"/>
  <c r="C252" i="13"/>
  <c r="C249" i="13"/>
  <c r="C242" i="13"/>
  <c r="F238" i="13"/>
  <c r="C237" i="13"/>
  <c r="G237" i="13" s="1"/>
  <c r="K237" i="13" s="1"/>
  <c r="O237" i="13" s="1"/>
  <c r="C233" i="13"/>
  <c r="G233" i="13" s="1"/>
  <c r="K233" i="13" s="1"/>
  <c r="O233" i="13" s="1"/>
  <c r="C225" i="13"/>
  <c r="G225" i="13" s="1"/>
  <c r="K225" i="13" s="1"/>
  <c r="O225" i="13" s="1"/>
  <c r="C221" i="13"/>
  <c r="C217" i="13"/>
  <c r="G217" i="13" s="1"/>
  <c r="K217" i="13" s="1"/>
  <c r="O217" i="13" s="1"/>
  <c r="C209" i="13"/>
  <c r="C205" i="13"/>
  <c r="G205" i="13" s="1"/>
  <c r="K205" i="13" s="1"/>
  <c r="O205" i="13" s="1"/>
  <c r="C197" i="13"/>
  <c r="C193" i="13"/>
  <c r="E188" i="13"/>
  <c r="I188" i="13" s="1"/>
  <c r="D250" i="13"/>
  <c r="F240" i="13"/>
  <c r="F236" i="13"/>
  <c r="F228" i="13"/>
  <c r="F224" i="13"/>
  <c r="F216" i="13"/>
  <c r="F212" i="13"/>
  <c r="F208" i="13"/>
  <c r="F200" i="13"/>
  <c r="F196" i="13"/>
  <c r="C188" i="13"/>
  <c r="C180" i="13"/>
  <c r="G180" i="13" s="1"/>
  <c r="K180" i="13" s="1"/>
  <c r="O180" i="13" s="1"/>
  <c r="E176" i="13"/>
  <c r="I176" i="13" s="1"/>
  <c r="M176" i="13" s="1"/>
  <c r="Q176" i="13" s="1"/>
  <c r="E172" i="13"/>
  <c r="E164" i="13"/>
  <c r="F12" i="12"/>
  <c r="H12" i="12" s="1"/>
  <c r="F257" i="13"/>
  <c r="F248" i="13"/>
  <c r="C239" i="13"/>
  <c r="G238" i="13" s="1"/>
  <c r="K238" i="13" s="1"/>
  <c r="O238" i="13" s="1"/>
  <c r="E234" i="13"/>
  <c r="E230" i="13"/>
  <c r="I230" i="13" s="1"/>
  <c r="M230" i="13" s="1"/>
  <c r="Q230" i="13" s="1"/>
  <c r="E226" i="13"/>
  <c r="E222" i="13"/>
  <c r="I222" i="13" s="1"/>
  <c r="E218" i="13"/>
  <c r="I218" i="13" s="1"/>
  <c r="E214" i="13"/>
  <c r="I214" i="13" s="1"/>
  <c r="M214" i="13" s="1"/>
  <c r="Q214" i="13" s="1"/>
  <c r="E210" i="13"/>
  <c r="E206" i="13"/>
  <c r="I206" i="13" s="1"/>
  <c r="E202" i="13"/>
  <c r="I202" i="13" s="1"/>
  <c r="E198" i="13"/>
  <c r="E194" i="13"/>
  <c r="E190" i="13"/>
  <c r="E183" i="13"/>
  <c r="D254" i="13"/>
  <c r="H254" i="13" s="1"/>
  <c r="F245" i="13"/>
  <c r="E257" i="13"/>
  <c r="E252" i="13"/>
  <c r="E247" i="13"/>
  <c r="E242" i="13"/>
  <c r="D233" i="13"/>
  <c r="D227" i="13"/>
  <c r="H227" i="13" s="1"/>
  <c r="D223" i="13"/>
  <c r="D219" i="13"/>
  <c r="D215" i="13"/>
  <c r="D211" i="13"/>
  <c r="H211" i="13" s="1"/>
  <c r="L211" i="13" s="1"/>
  <c r="P211" i="13" s="1"/>
  <c r="D207" i="13"/>
  <c r="D203" i="13"/>
  <c r="D199" i="13"/>
  <c r="D195" i="13"/>
  <c r="D191" i="13"/>
  <c r="H191" i="13" s="1"/>
  <c r="C185" i="13"/>
  <c r="D257" i="13"/>
  <c r="D252" i="13"/>
  <c r="F246" i="13"/>
  <c r="D238" i="13"/>
  <c r="E254" i="13"/>
  <c r="C251" i="13"/>
  <c r="C248" i="13"/>
  <c r="E244" i="13"/>
  <c r="E241" i="13"/>
  <c r="I241" i="13" s="1"/>
  <c r="D237" i="13"/>
  <c r="D230" i="13"/>
  <c r="C236" i="13"/>
  <c r="C232" i="13"/>
  <c r="C228" i="13"/>
  <c r="C224" i="13"/>
  <c r="G224" i="13" s="1"/>
  <c r="K224" i="13" s="1"/>
  <c r="O224" i="13" s="1"/>
  <c r="C220" i="13"/>
  <c r="G220" i="13" s="1"/>
  <c r="K220" i="13" s="1"/>
  <c r="O220" i="13" s="1"/>
  <c r="C216" i="13"/>
  <c r="C212" i="13"/>
  <c r="G212" i="13" s="1"/>
  <c r="K212" i="13" s="1"/>
  <c r="O212" i="13" s="1"/>
  <c r="C208" i="13"/>
  <c r="C204" i="13"/>
  <c r="C200" i="13"/>
  <c r="C196" i="13"/>
  <c r="C192" i="13"/>
  <c r="E186" i="13"/>
  <c r="E178" i="13"/>
  <c r="D247" i="13"/>
  <c r="F239" i="13"/>
  <c r="J239" i="13" s="1"/>
  <c r="N239" i="13" s="1"/>
  <c r="R239" i="13" s="1"/>
  <c r="F235" i="13"/>
  <c r="F231" i="13"/>
  <c r="F227" i="13"/>
  <c r="F223" i="13"/>
  <c r="J223" i="13" s="1"/>
  <c r="N223" i="13" s="1"/>
  <c r="R223" i="13" s="1"/>
  <c r="F219" i="13"/>
  <c r="F215" i="13"/>
  <c r="F211" i="13"/>
  <c r="F207" i="13"/>
  <c r="F203" i="13"/>
  <c r="F199" i="13"/>
  <c r="F195" i="13"/>
  <c r="J195" i="13" s="1"/>
  <c r="F191" i="13"/>
  <c r="C186" i="13"/>
  <c r="C178" i="13"/>
  <c r="G178" i="13" s="1"/>
  <c r="K178" i="13" s="1"/>
  <c r="O178" i="13" s="1"/>
  <c r="C176" i="13"/>
  <c r="C174" i="13"/>
  <c r="G174" i="13" s="1"/>
  <c r="K174" i="13" s="1"/>
  <c r="O174" i="13" s="1"/>
  <c r="C172" i="13"/>
  <c r="C170" i="13"/>
  <c r="G170" i="13" s="1"/>
  <c r="K170" i="13" s="1"/>
  <c r="O170" i="13" s="1"/>
  <c r="C168" i="13"/>
  <c r="G168" i="13" s="1"/>
  <c r="K168" i="13" s="1"/>
  <c r="O168" i="13" s="1"/>
  <c r="C166" i="13"/>
  <c r="G165" i="13" s="1"/>
  <c r="K165" i="13" s="1"/>
  <c r="O165" i="13" s="1"/>
  <c r="C164" i="13"/>
  <c r="C162" i="13"/>
  <c r="G162" i="13" s="1"/>
  <c r="K162" i="13" s="1"/>
  <c r="O162" i="13" s="1"/>
  <c r="C159" i="13"/>
  <c r="G158" i="13" s="1"/>
  <c r="K158" i="13" s="1"/>
  <c r="O158" i="13" s="1"/>
  <c r="C155" i="13"/>
  <c r="G154" i="13" s="1"/>
  <c r="K154" i="13" s="1"/>
  <c r="O154" i="13" s="1"/>
  <c r="F150" i="13"/>
  <c r="F160" i="13"/>
  <c r="J159" i="13" s="1"/>
  <c r="E147" i="13"/>
  <c r="F188" i="13"/>
  <c r="J188" i="13" s="1"/>
  <c r="N188" i="13" s="1"/>
  <c r="R188" i="13" s="1"/>
  <c r="F186" i="13"/>
  <c r="J186" i="13" s="1"/>
  <c r="F184" i="13"/>
  <c r="J184" i="13" s="1"/>
  <c r="F182" i="13"/>
  <c r="J182" i="13" s="1"/>
  <c r="F180" i="13"/>
  <c r="J180" i="13" s="1"/>
  <c r="N180" i="13" s="1"/>
  <c r="R180" i="13" s="1"/>
  <c r="F178" i="13"/>
  <c r="J178" i="13" s="1"/>
  <c r="F176" i="13"/>
  <c r="J176" i="13" s="1"/>
  <c r="F174" i="13"/>
  <c r="J174" i="13" s="1"/>
  <c r="F172" i="13"/>
  <c r="J171" i="13" s="1"/>
  <c r="N171" i="13" s="1"/>
  <c r="R171" i="13" s="1"/>
  <c r="F170" i="13"/>
  <c r="J170" i="13" s="1"/>
  <c r="F168" i="13"/>
  <c r="J168" i="13" s="1"/>
  <c r="F166" i="13"/>
  <c r="J166" i="13" s="1"/>
  <c r="F164" i="13"/>
  <c r="J163" i="13" s="1"/>
  <c r="N163" i="13" s="1"/>
  <c r="R163" i="13" s="1"/>
  <c r="F162" i="13"/>
  <c r="J162" i="13" s="1"/>
  <c r="C160" i="13"/>
  <c r="E156" i="13"/>
  <c r="E152" i="13"/>
  <c r="E160" i="13"/>
  <c r="D142" i="13"/>
  <c r="H141" i="13" s="1"/>
  <c r="F142" i="13"/>
  <c r="F138" i="13"/>
  <c r="F134" i="13"/>
  <c r="F130" i="13"/>
  <c r="F126" i="13"/>
  <c r="F122" i="13"/>
  <c r="F118" i="13"/>
  <c r="D115" i="13"/>
  <c r="H115" i="13" s="1"/>
  <c r="D111" i="13"/>
  <c r="H110" i="13" s="1"/>
  <c r="L110" i="13" s="1"/>
  <c r="P110" i="13" s="1"/>
  <c r="E97" i="13"/>
  <c r="I97" i="13" s="1"/>
  <c r="M97" i="13" s="1"/>
  <c r="Q97" i="13" s="1"/>
  <c r="E81" i="13"/>
  <c r="E65" i="13"/>
  <c r="E150" i="13"/>
  <c r="I149" i="13" s="1"/>
  <c r="E146" i="13"/>
  <c r="E142" i="13"/>
  <c r="E138" i="13"/>
  <c r="E134" i="13"/>
  <c r="I134" i="13" s="1"/>
  <c r="E130" i="13"/>
  <c r="E126" i="13"/>
  <c r="E118" i="13"/>
  <c r="F80" i="13"/>
  <c r="D158" i="13"/>
  <c r="D154" i="13"/>
  <c r="C149" i="13"/>
  <c r="C141" i="13"/>
  <c r="G141" i="13" s="1"/>
  <c r="K141" i="13" s="1"/>
  <c r="O141" i="13" s="1"/>
  <c r="C133" i="13"/>
  <c r="C125" i="13"/>
  <c r="F116" i="13"/>
  <c r="E101" i="13"/>
  <c r="I101" i="13" s="1"/>
  <c r="E69" i="13"/>
  <c r="I69" i="13" s="1"/>
  <c r="M69" i="13" s="1"/>
  <c r="Q69" i="13" s="1"/>
  <c r="D138" i="13"/>
  <c r="H138" i="13" s="1"/>
  <c r="D130" i="13"/>
  <c r="D122" i="13"/>
  <c r="H121" i="13" s="1"/>
  <c r="L121" i="13" s="1"/>
  <c r="P121" i="13" s="1"/>
  <c r="E95" i="13"/>
  <c r="C42" i="13"/>
  <c r="C104" i="13"/>
  <c r="C96" i="13"/>
  <c r="G96" i="13" s="1"/>
  <c r="K96" i="13" s="1"/>
  <c r="O96" i="13" s="1"/>
  <c r="C88" i="13"/>
  <c r="C80" i="13"/>
  <c r="C72" i="13"/>
  <c r="F63" i="13"/>
  <c r="F38" i="13"/>
  <c r="E108" i="13"/>
  <c r="E100" i="13"/>
  <c r="E92" i="13"/>
  <c r="I92" i="13" s="1"/>
  <c r="E84" i="13"/>
  <c r="E76" i="13"/>
  <c r="E68" i="13"/>
  <c r="F32" i="13"/>
  <c r="E116" i="13"/>
  <c r="E109" i="13"/>
  <c r="D94" i="13"/>
  <c r="D78" i="13"/>
  <c r="D62" i="13"/>
  <c r="C63" i="13"/>
  <c r="C55" i="13"/>
  <c r="D45" i="13"/>
  <c r="H45" i="13" s="1"/>
  <c r="L45" i="13" s="1"/>
  <c r="P45" i="13" s="1"/>
  <c r="D29" i="13"/>
  <c r="H29" i="13" s="1"/>
  <c r="D13" i="13"/>
  <c r="F39" i="13"/>
  <c r="J39" i="13" s="1"/>
  <c r="F23" i="13"/>
  <c r="J22" i="13" s="1"/>
  <c r="D57" i="13"/>
  <c r="D49" i="13"/>
  <c r="D34" i="13"/>
  <c r="D18" i="13"/>
  <c r="E8" i="13"/>
  <c r="D123" i="13"/>
  <c r="D119" i="13"/>
  <c r="E99" i="13"/>
  <c r="I99" i="13" s="1"/>
  <c r="E83" i="13"/>
  <c r="I83" i="13" s="1"/>
  <c r="M83" i="13" s="1"/>
  <c r="Q83" i="13" s="1"/>
  <c r="E67" i="13"/>
  <c r="F158" i="13"/>
  <c r="J158" i="13" s="1"/>
  <c r="F156" i="13"/>
  <c r="F154" i="13"/>
  <c r="F152" i="13"/>
  <c r="F149" i="13"/>
  <c r="J149" i="13" s="1"/>
  <c r="F145" i="13"/>
  <c r="J145" i="13" s="1"/>
  <c r="F141" i="13"/>
  <c r="F137" i="13"/>
  <c r="F133" i="13"/>
  <c r="J133" i="13" s="1"/>
  <c r="F129" i="13"/>
  <c r="F125" i="13"/>
  <c r="F121" i="13"/>
  <c r="F117" i="13"/>
  <c r="J116" i="13" s="1"/>
  <c r="F113" i="13"/>
  <c r="F106" i="13"/>
  <c r="F90" i="13"/>
  <c r="F74" i="13"/>
  <c r="C34" i="13"/>
  <c r="E139" i="13"/>
  <c r="E135" i="13"/>
  <c r="E131" i="13"/>
  <c r="E127" i="13"/>
  <c r="I127" i="13" s="1"/>
  <c r="E123" i="13"/>
  <c r="E119" i="13"/>
  <c r="I119" i="13" s="1"/>
  <c r="F100" i="13"/>
  <c r="F84" i="13"/>
  <c r="F68" i="13"/>
  <c r="D109" i="13"/>
  <c r="D105" i="13"/>
  <c r="D101" i="13"/>
  <c r="H101" i="13" s="1"/>
  <c r="L101" i="13" s="1"/>
  <c r="P101" i="13" s="1"/>
  <c r="D97" i="13"/>
  <c r="H97" i="13" s="1"/>
  <c r="D93" i="13"/>
  <c r="D89" i="13"/>
  <c r="D85" i="13"/>
  <c r="D81" i="13"/>
  <c r="D77" i="13"/>
  <c r="D73" i="13"/>
  <c r="H73" i="13" s="1"/>
  <c r="L73" i="13" s="1"/>
  <c r="P73" i="13" s="1"/>
  <c r="D69" i="13"/>
  <c r="D65" i="13"/>
  <c r="F60" i="13"/>
  <c r="J60" i="13" s="1"/>
  <c r="C44" i="13"/>
  <c r="C28" i="13"/>
  <c r="C12" i="13"/>
  <c r="F105" i="13"/>
  <c r="F101" i="13"/>
  <c r="F97" i="13"/>
  <c r="J96" i="13" s="1"/>
  <c r="F93" i="13"/>
  <c r="F89" i="13"/>
  <c r="J89" i="13" s="1"/>
  <c r="F85" i="13"/>
  <c r="F81" i="13"/>
  <c r="F77" i="13"/>
  <c r="F73" i="13"/>
  <c r="F69" i="13"/>
  <c r="J69" i="13" s="1"/>
  <c r="F65" i="13"/>
  <c r="C38" i="13"/>
  <c r="C22" i="13"/>
  <c r="C117" i="13"/>
  <c r="G117" i="13" s="1"/>
  <c r="K117" i="13" s="1"/>
  <c r="O117" i="13" s="1"/>
  <c r="C115" i="13"/>
  <c r="C113" i="13"/>
  <c r="C111" i="13"/>
  <c r="C109" i="13"/>
  <c r="C105" i="13"/>
  <c r="G104" i="13" s="1"/>
  <c r="K104" i="13" s="1"/>
  <c r="O104" i="13" s="1"/>
  <c r="C101" i="13"/>
  <c r="C97" i="13"/>
  <c r="C93" i="13"/>
  <c r="G92" i="13" s="1"/>
  <c r="K92" i="13" s="1"/>
  <c r="O92" i="13" s="1"/>
  <c r="C89" i="13"/>
  <c r="G89" i="13" s="1"/>
  <c r="K89" i="13" s="1"/>
  <c r="O89" i="13" s="1"/>
  <c r="C85" i="13"/>
  <c r="C81" i="13"/>
  <c r="C77" i="13"/>
  <c r="G77" i="13" s="1"/>
  <c r="K77" i="13" s="1"/>
  <c r="O77" i="13" s="1"/>
  <c r="C73" i="13"/>
  <c r="G73" i="13" s="1"/>
  <c r="K73" i="13" s="1"/>
  <c r="O73" i="13" s="1"/>
  <c r="C69" i="13"/>
  <c r="C65" i="13"/>
  <c r="D61" i="13"/>
  <c r="F42" i="13"/>
  <c r="J42" i="13" s="1"/>
  <c r="F26" i="13"/>
  <c r="F10" i="13"/>
  <c r="E62" i="13"/>
  <c r="I62" i="13" s="1"/>
  <c r="E60" i="13"/>
  <c r="E58" i="13"/>
  <c r="E56" i="13"/>
  <c r="E54" i="13"/>
  <c r="I54" i="13" s="1"/>
  <c r="E52" i="13"/>
  <c r="E50" i="13"/>
  <c r="E48" i="13"/>
  <c r="E44" i="13"/>
  <c r="E40" i="13"/>
  <c r="E36" i="13"/>
  <c r="I36" i="13" s="1"/>
  <c r="M36" i="13" s="1"/>
  <c r="Q36" i="13" s="1"/>
  <c r="E32" i="13"/>
  <c r="E28" i="13"/>
  <c r="E24" i="13"/>
  <c r="E20" i="13"/>
  <c r="I20" i="13" s="1"/>
  <c r="M20" i="13" s="1"/>
  <c r="Q20" i="13" s="1"/>
  <c r="E16" i="13"/>
  <c r="E12" i="13"/>
  <c r="F8" i="13"/>
  <c r="J8" i="13" s="1"/>
  <c r="C47" i="13"/>
  <c r="C43" i="13"/>
  <c r="C39" i="13"/>
  <c r="C35" i="13"/>
  <c r="C31" i="13"/>
  <c r="G31" i="13" s="1"/>
  <c r="K31" i="13" s="1"/>
  <c r="O31" i="13" s="1"/>
  <c r="C27" i="13"/>
  <c r="C23" i="13"/>
  <c r="G22" i="13" s="1"/>
  <c r="K22" i="13" s="1"/>
  <c r="O22" i="13" s="1"/>
  <c r="C19" i="13"/>
  <c r="G18" i="13" s="1"/>
  <c r="K18" i="13" s="1"/>
  <c r="O18" i="13" s="1"/>
  <c r="C15" i="13"/>
  <c r="C11" i="13"/>
  <c r="F56" i="13"/>
  <c r="F54" i="13"/>
  <c r="F52" i="13"/>
  <c r="F50" i="13"/>
  <c r="F48" i="13"/>
  <c r="J47" i="13" s="1"/>
  <c r="E45" i="13"/>
  <c r="I44" i="13" s="1"/>
  <c r="E41" i="13"/>
  <c r="E37" i="13"/>
  <c r="E33" i="13"/>
  <c r="E29" i="13"/>
  <c r="E25" i="13"/>
  <c r="E21" i="13"/>
  <c r="E17" i="13"/>
  <c r="I16" i="13" s="1"/>
  <c r="E13" i="13"/>
  <c r="D9" i="13"/>
  <c r="C10" i="13"/>
  <c r="G10" i="13" s="1"/>
  <c r="C8" i="13"/>
  <c r="C6" i="13"/>
  <c r="G5" i="13" s="1"/>
  <c r="E114" i="13"/>
  <c r="E112" i="13"/>
  <c r="I112" i="13" s="1"/>
  <c r="E110" i="13"/>
  <c r="D108" i="13"/>
  <c r="H107" i="13" s="1"/>
  <c r="L107" i="13" s="1"/>
  <c r="P107" i="13" s="1"/>
  <c r="D104" i="13"/>
  <c r="D100" i="13"/>
  <c r="D96" i="13"/>
  <c r="D92" i="13"/>
  <c r="H91" i="13" s="1"/>
  <c r="L91" i="13" s="1"/>
  <c r="P91" i="13" s="1"/>
  <c r="D88" i="13"/>
  <c r="D84" i="13"/>
  <c r="D80" i="13"/>
  <c r="D76" i="13"/>
  <c r="H76" i="13" s="1"/>
  <c r="L76" i="13" s="1"/>
  <c r="P76" i="13" s="1"/>
  <c r="D72" i="13"/>
  <c r="D68" i="13"/>
  <c r="D64" i="13"/>
  <c r="H63" i="13" s="1"/>
  <c r="D60" i="13"/>
  <c r="C40" i="13"/>
  <c r="C24" i="13"/>
  <c r="C64" i="13"/>
  <c r="G64" i="13" s="1"/>
  <c r="K64" i="13" s="1"/>
  <c r="O64" i="13" s="1"/>
  <c r="C62" i="13"/>
  <c r="G62" i="13" s="1"/>
  <c r="K62" i="13" s="1"/>
  <c r="O62" i="13" s="1"/>
  <c r="C60" i="13"/>
  <c r="C58" i="13"/>
  <c r="C56" i="13"/>
  <c r="C54" i="13"/>
  <c r="C52" i="13"/>
  <c r="G52" i="13" s="1"/>
  <c r="K52" i="13" s="1"/>
  <c r="O52" i="13" s="1"/>
  <c r="C50" i="13"/>
  <c r="D47" i="13"/>
  <c r="D43" i="13"/>
  <c r="H42" i="13" s="1"/>
  <c r="L42" i="13" s="1"/>
  <c r="P42" i="13" s="1"/>
  <c r="D39" i="13"/>
  <c r="D35" i="13"/>
  <c r="D31" i="13"/>
  <c r="D27" i="13"/>
  <c r="D23" i="13"/>
  <c r="D19" i="13"/>
  <c r="D15" i="13"/>
  <c r="H14" i="13" s="1"/>
  <c r="D11" i="13"/>
  <c r="F7" i="13"/>
  <c r="F45" i="13"/>
  <c r="F41" i="13"/>
  <c r="F37" i="13"/>
  <c r="J36" i="13" s="1"/>
  <c r="F33" i="13"/>
  <c r="F29" i="13"/>
  <c r="F25" i="13"/>
  <c r="J24" i="13" s="1"/>
  <c r="F21" i="13"/>
  <c r="J21" i="13" s="1"/>
  <c r="F17" i="13"/>
  <c r="F13" i="13"/>
  <c r="D58" i="13"/>
  <c r="D56" i="13"/>
  <c r="H55" i="13" s="1"/>
  <c r="L55" i="13" s="1"/>
  <c r="P55" i="13" s="1"/>
  <c r="D54" i="13"/>
  <c r="D52" i="13"/>
  <c r="H52" i="13" s="1"/>
  <c r="D50" i="13"/>
  <c r="H49" i="13" s="1"/>
  <c r="L49" i="13" s="1"/>
  <c r="P49" i="13" s="1"/>
  <c r="D48" i="13"/>
  <c r="D44" i="13"/>
  <c r="D40" i="13"/>
  <c r="H40" i="13" s="1"/>
  <c r="D36" i="13"/>
  <c r="H35" i="13" s="1"/>
  <c r="D32" i="13"/>
  <c r="D28" i="13"/>
  <c r="H28" i="13" s="1"/>
  <c r="D24" i="13"/>
  <c r="D20" i="13"/>
  <c r="H20" i="13" s="1"/>
  <c r="D16" i="13"/>
  <c r="D12" i="13"/>
  <c r="D8" i="13"/>
  <c r="E9" i="13"/>
  <c r="E7" i="13"/>
  <c r="D125" i="13"/>
  <c r="D121" i="13"/>
  <c r="E107" i="13"/>
  <c r="E91" i="13"/>
  <c r="I90" i="13" s="1"/>
  <c r="E75" i="13"/>
  <c r="I75" i="13" s="1"/>
  <c r="M75" i="13" s="1"/>
  <c r="Q75" i="13" s="1"/>
  <c r="F36" i="13"/>
  <c r="F157" i="13"/>
  <c r="J157" i="13" s="1"/>
  <c r="F155" i="13"/>
  <c r="J155" i="13" s="1"/>
  <c r="F153" i="13"/>
  <c r="J153" i="13" s="1"/>
  <c r="N153" i="13" s="1"/>
  <c r="R153" i="13" s="1"/>
  <c r="F151" i="13"/>
  <c r="J151" i="13" s="1"/>
  <c r="F147" i="13"/>
  <c r="J147" i="13" s="1"/>
  <c r="F143" i="13"/>
  <c r="J142" i="13" s="1"/>
  <c r="F139" i="13"/>
  <c r="F135" i="13"/>
  <c r="F131" i="13"/>
  <c r="J131" i="13" s="1"/>
  <c r="F127" i="13"/>
  <c r="F123" i="13"/>
  <c r="J123" i="13" s="1"/>
  <c r="N123" i="13" s="1"/>
  <c r="R123" i="13" s="1"/>
  <c r="F119" i="13"/>
  <c r="J119" i="13" s="1"/>
  <c r="F115" i="13"/>
  <c r="J115" i="13" s="1"/>
  <c r="F111" i="13"/>
  <c r="J110" i="13" s="1"/>
  <c r="F98" i="13"/>
  <c r="F82" i="13"/>
  <c r="F66" i="13"/>
  <c r="E141" i="13"/>
  <c r="I141" i="13" s="1"/>
  <c r="E137" i="13"/>
  <c r="E133" i="13"/>
  <c r="E129" i="13"/>
  <c r="E125" i="13"/>
  <c r="I125" i="13" s="1"/>
  <c r="E121" i="13"/>
  <c r="I121" i="13" s="1"/>
  <c r="M121" i="13" s="1"/>
  <c r="Q121" i="13" s="1"/>
  <c r="F108" i="13"/>
  <c r="J108" i="13" s="1"/>
  <c r="F92" i="13"/>
  <c r="F76" i="13"/>
  <c r="F20" i="13"/>
  <c r="D107" i="13"/>
  <c r="D103" i="13"/>
  <c r="H102" i="13" s="1"/>
  <c r="D99" i="13"/>
  <c r="D95" i="13"/>
  <c r="D91" i="13"/>
  <c r="D87" i="13"/>
  <c r="D83" i="13"/>
  <c r="H83" i="13" s="1"/>
  <c r="L83" i="13" s="1"/>
  <c r="P83" i="13" s="1"/>
  <c r="D79" i="13"/>
  <c r="D75" i="13"/>
  <c r="D71" i="13"/>
  <c r="D67" i="13"/>
  <c r="H67" i="13" s="1"/>
  <c r="L67" i="13" s="1"/>
  <c r="P67" i="13" s="1"/>
  <c r="F62" i="13"/>
  <c r="F58" i="13"/>
  <c r="C36" i="13"/>
  <c r="C20" i="13"/>
  <c r="F107" i="13"/>
  <c r="F103" i="13"/>
  <c r="F99" i="13"/>
  <c r="J99" i="13" s="1"/>
  <c r="F95" i="13"/>
  <c r="F91" i="13"/>
  <c r="J90" i="13" s="1"/>
  <c r="N90" i="13" s="1"/>
  <c r="R90" i="13" s="1"/>
  <c r="F87" i="13"/>
  <c r="F83" i="13"/>
  <c r="F79" i="13"/>
  <c r="J79" i="13" s="1"/>
  <c r="F75" i="13"/>
  <c r="F71" i="13"/>
  <c r="F67" i="13"/>
  <c r="C46" i="13"/>
  <c r="C30" i="13"/>
  <c r="G30" i="13" s="1"/>
  <c r="K30" i="13" s="1"/>
  <c r="O30" i="13" s="1"/>
  <c r="C14" i="13"/>
  <c r="C116" i="13"/>
  <c r="G116" i="13" s="1"/>
  <c r="K116" i="13" s="1"/>
  <c r="O116" i="13" s="1"/>
  <c r="C114" i="13"/>
  <c r="G114" i="13" s="1"/>
  <c r="K114" i="13" s="1"/>
  <c r="O114" i="13" s="1"/>
  <c r="C112" i="13"/>
  <c r="G112" i="13" s="1"/>
  <c r="K112" i="13" s="1"/>
  <c r="O112" i="13" s="1"/>
  <c r="C110" i="13"/>
  <c r="G110" i="13" s="1"/>
  <c r="K110" i="13" s="1"/>
  <c r="O110" i="13" s="1"/>
  <c r="C107" i="13"/>
  <c r="G107" i="13" s="1"/>
  <c r="K107" i="13" s="1"/>
  <c r="O107" i="13" s="1"/>
  <c r="C103" i="13"/>
  <c r="G102" i="13" s="1"/>
  <c r="K102" i="13" s="1"/>
  <c r="O102" i="13" s="1"/>
  <c r="C99" i="13"/>
  <c r="C95" i="13"/>
  <c r="C91" i="13"/>
  <c r="C87" i="13"/>
  <c r="C83" i="13"/>
  <c r="G83" i="13" s="1"/>
  <c r="K83" i="13" s="1"/>
  <c r="O83" i="13" s="1"/>
  <c r="C79" i="13"/>
  <c r="G79" i="13" s="1"/>
  <c r="K79" i="13" s="1"/>
  <c r="O79" i="13" s="1"/>
  <c r="C75" i="13"/>
  <c r="G75" i="13" s="1"/>
  <c r="K75" i="13" s="1"/>
  <c r="O75" i="13" s="1"/>
  <c r="C71" i="13"/>
  <c r="G70" i="13" s="1"/>
  <c r="K70" i="13" s="1"/>
  <c r="O70" i="13" s="1"/>
  <c r="C67" i="13"/>
  <c r="D63" i="13"/>
  <c r="D59" i="13"/>
  <c r="F34" i="13"/>
  <c r="F18" i="13"/>
  <c r="E63" i="13"/>
  <c r="E61" i="13"/>
  <c r="I61" i="13" s="1"/>
  <c r="E59" i="13"/>
  <c r="I59" i="13" s="1"/>
  <c r="E57" i="13"/>
  <c r="I57" i="13" s="1"/>
  <c r="M57" i="13" s="1"/>
  <c r="Q57" i="13" s="1"/>
  <c r="E55" i="13"/>
  <c r="I55" i="13" s="1"/>
  <c r="E53" i="13"/>
  <c r="I53" i="13" s="1"/>
  <c r="E51" i="13"/>
  <c r="I51" i="13" s="1"/>
  <c r="E49" i="13"/>
  <c r="E46" i="13"/>
  <c r="E42" i="13"/>
  <c r="E38" i="13"/>
  <c r="I37" i="13" s="1"/>
  <c r="E34" i="13"/>
  <c r="E30" i="13"/>
  <c r="E26" i="13"/>
  <c r="E22" i="13"/>
  <c r="I21" i="13" s="1"/>
  <c r="E18" i="13"/>
  <c r="E14" i="13"/>
  <c r="E10" i="13"/>
  <c r="I9" i="13" s="1"/>
  <c r="F6" i="13"/>
  <c r="C45" i="13"/>
  <c r="C41" i="13"/>
  <c r="G41" i="13" s="1"/>
  <c r="K41" i="13" s="1"/>
  <c r="O41" i="13" s="1"/>
  <c r="C37" i="13"/>
  <c r="C33" i="13"/>
  <c r="G33" i="13" s="1"/>
  <c r="K33" i="13" s="1"/>
  <c r="O33" i="13" s="1"/>
  <c r="C29" i="13"/>
  <c r="G29" i="13" s="1"/>
  <c r="K29" i="13" s="1"/>
  <c r="O29" i="13" s="1"/>
  <c r="C25" i="13"/>
  <c r="C21" i="13"/>
  <c r="G21" i="13" s="1"/>
  <c r="K21" i="13" s="1"/>
  <c r="O21" i="13" s="1"/>
  <c r="C17" i="13"/>
  <c r="G17" i="13" s="1"/>
  <c r="K17" i="13" s="1"/>
  <c r="O17" i="13" s="1"/>
  <c r="C13" i="13"/>
  <c r="F57" i="13"/>
  <c r="J57" i="13" s="1"/>
  <c r="F55" i="13"/>
  <c r="J55" i="13" s="1"/>
  <c r="F53" i="13"/>
  <c r="J53" i="13" s="1"/>
  <c r="F51" i="13"/>
  <c r="J51" i="13" s="1"/>
  <c r="N51" i="13" s="1"/>
  <c r="R51" i="13" s="1"/>
  <c r="F49" i="13"/>
  <c r="J49" i="13" s="1"/>
  <c r="E47" i="13"/>
  <c r="I47" i="13" s="1"/>
  <c r="E43" i="13"/>
  <c r="I42" i="13" s="1"/>
  <c r="E39" i="13"/>
  <c r="E35" i="13"/>
  <c r="E31" i="13"/>
  <c r="I31" i="13" s="1"/>
  <c r="E27" i="13"/>
  <c r="I26" i="13" s="1"/>
  <c r="E23" i="13"/>
  <c r="E19" i="13"/>
  <c r="E15" i="13"/>
  <c r="I15" i="13" s="1"/>
  <c r="E11" i="13"/>
  <c r="I10" i="13" s="1"/>
  <c r="D7" i="13"/>
  <c r="C9" i="13"/>
  <c r="G9" i="13" s="1"/>
  <c r="K9" i="13" s="1"/>
  <c r="O9" i="13" s="1"/>
  <c r="C7" i="13"/>
  <c r="G7" i="13" s="1"/>
  <c r="K7" i="13" s="1"/>
  <c r="O7" i="13" s="1"/>
  <c r="G105" i="13"/>
  <c r="K105" i="13" s="1"/>
  <c r="O105" i="13" s="1"/>
  <c r="H112" i="13"/>
  <c r="L112" i="13" s="1"/>
  <c r="P112" i="13" s="1"/>
  <c r="H116" i="13"/>
  <c r="G188" i="13"/>
  <c r="K188" i="13" s="1"/>
  <c r="O188" i="13" s="1"/>
  <c r="J220" i="13"/>
  <c r="J232" i="13"/>
  <c r="J236" i="13"/>
  <c r="G221" i="13"/>
  <c r="K221" i="13" s="1"/>
  <c r="O221" i="13" s="1"/>
  <c r="I255" i="13"/>
  <c r="J247" i="13"/>
  <c r="I225" i="13"/>
  <c r="I233" i="13"/>
  <c r="G121" i="13"/>
  <c r="K121" i="13" s="1"/>
  <c r="O121" i="13" s="1"/>
  <c r="J135" i="13"/>
  <c r="G118" i="13"/>
  <c r="K118" i="13" s="1"/>
  <c r="O118" i="13" s="1"/>
  <c r="G150" i="13"/>
  <c r="K150" i="13" s="1"/>
  <c r="O150" i="13" s="1"/>
  <c r="I238" i="13"/>
  <c r="G164" i="13"/>
  <c r="K164" i="13" s="1"/>
  <c r="O164" i="13" s="1"/>
  <c r="G172" i="13"/>
  <c r="K172" i="13" s="1"/>
  <c r="O172" i="13" s="1"/>
  <c r="I186" i="13"/>
  <c r="H134" i="13"/>
  <c r="I160" i="13"/>
  <c r="J215" i="13"/>
  <c r="J231" i="13"/>
  <c r="J235" i="13"/>
  <c r="G216" i="13"/>
  <c r="K216" i="13" s="1"/>
  <c r="O216" i="13" s="1"/>
  <c r="I254" i="13"/>
  <c r="H215" i="13"/>
  <c r="I242" i="13"/>
  <c r="I210" i="13"/>
  <c r="I226" i="13"/>
  <c r="H159" i="13"/>
  <c r="H168" i="13"/>
  <c r="H174" i="13"/>
  <c r="H176" i="13"/>
  <c r="L176" i="13" s="1"/>
  <c r="P176" i="13" s="1"/>
  <c r="I161" i="13"/>
  <c r="I163" i="13"/>
  <c r="I169" i="13"/>
  <c r="H114" i="13"/>
  <c r="J214" i="13"/>
  <c r="J230" i="13"/>
  <c r="G231" i="13"/>
  <c r="K231" i="13" s="1"/>
  <c r="O231" i="13" s="1"/>
  <c r="H198" i="13"/>
  <c r="H202" i="13"/>
  <c r="H218" i="13"/>
  <c r="H216" i="13"/>
  <c r="K10" i="13"/>
  <c r="O10" i="13" s="1"/>
  <c r="J48" i="13"/>
  <c r="J27" i="13"/>
  <c r="H13" i="13"/>
  <c r="H21" i="13"/>
  <c r="G49" i="13"/>
  <c r="K49" i="13" s="1"/>
  <c r="O49" i="13" s="1"/>
  <c r="G57" i="13"/>
  <c r="K57" i="13" s="1"/>
  <c r="O57" i="13" s="1"/>
  <c r="G48" i="13"/>
  <c r="K48" i="13" s="1"/>
  <c r="O48" i="13" s="1"/>
  <c r="H74" i="13"/>
  <c r="H106" i="13"/>
  <c r="L106" i="13" s="1"/>
  <c r="P106" i="13" s="1"/>
  <c r="I109" i="13"/>
  <c r="J46" i="13"/>
  <c r="H132" i="13"/>
  <c r="L132" i="13" s="1"/>
  <c r="P132" i="13" s="1"/>
  <c r="J44" i="13"/>
  <c r="I93" i="13"/>
  <c r="G139" i="13"/>
  <c r="K139" i="13" s="1"/>
  <c r="O139" i="13" s="1"/>
  <c r="G143" i="13"/>
  <c r="K143" i="13" s="1"/>
  <c r="O143" i="13" s="1"/>
  <c r="G26" i="13"/>
  <c r="K26" i="13" s="1"/>
  <c r="O26" i="13" s="1"/>
  <c r="J88" i="13"/>
  <c r="I89" i="13"/>
  <c r="J120" i="13"/>
  <c r="J132" i="13"/>
  <c r="J136" i="13"/>
  <c r="J161" i="13"/>
  <c r="J169" i="13"/>
  <c r="J177" i="13"/>
  <c r="I143" i="13"/>
  <c r="M143" i="13" s="1"/>
  <c r="Q143" i="13" s="1"/>
  <c r="G153" i="13"/>
  <c r="K153" i="13" s="1"/>
  <c r="O153" i="13" s="1"/>
  <c r="G171" i="13"/>
  <c r="K171" i="13" s="1"/>
  <c r="O171" i="13" s="1"/>
  <c r="J189" i="13"/>
  <c r="J197" i="13"/>
  <c r="J205" i="13"/>
  <c r="J213" i="13"/>
  <c r="J217" i="13"/>
  <c r="J237" i="13"/>
  <c r="G190" i="13"/>
  <c r="K190" i="13" s="1"/>
  <c r="O190" i="13" s="1"/>
  <c r="G202" i="13"/>
  <c r="K202" i="13" s="1"/>
  <c r="O202" i="13" s="1"/>
  <c r="G206" i="13"/>
  <c r="K206" i="13" s="1"/>
  <c r="O206" i="13" s="1"/>
  <c r="G218" i="13"/>
  <c r="K218" i="13" s="1"/>
  <c r="O218" i="13" s="1"/>
  <c r="G234" i="13"/>
  <c r="K234" i="13" s="1"/>
  <c r="O234" i="13" s="1"/>
  <c r="G253" i="13"/>
  <c r="K253" i="13" s="1"/>
  <c r="O253" i="13" s="1"/>
  <c r="J244" i="13"/>
  <c r="J254" i="13"/>
  <c r="G181" i="13"/>
  <c r="K181" i="13" s="1"/>
  <c r="O181" i="13" s="1"/>
  <c r="G189" i="13"/>
  <c r="K189" i="13" s="1"/>
  <c r="O189" i="13" s="1"/>
  <c r="H197" i="13"/>
  <c r="L197" i="13" s="1"/>
  <c r="P197" i="13" s="1"/>
  <c r="H201" i="13"/>
  <c r="H205" i="13"/>
  <c r="H221" i="13"/>
  <c r="G245" i="13"/>
  <c r="K245" i="13" s="1"/>
  <c r="O245" i="13" s="1"/>
  <c r="J241" i="13"/>
  <c r="I196" i="13"/>
  <c r="I208" i="13"/>
  <c r="I212" i="13"/>
  <c r="I220" i="13"/>
  <c r="I228" i="13"/>
  <c r="I236" i="13"/>
  <c r="H243" i="13"/>
  <c r="I107" i="13"/>
  <c r="J28" i="13"/>
  <c r="I159" i="13"/>
  <c r="G148" i="13"/>
  <c r="K148" i="13" s="1"/>
  <c r="O148" i="13" s="1"/>
  <c r="G246" i="13"/>
  <c r="K246" i="13" s="1"/>
  <c r="O246" i="13" s="1"/>
  <c r="G256" i="13"/>
  <c r="K256" i="13" s="1"/>
  <c r="O256" i="13" s="1"/>
  <c r="I237" i="13"/>
  <c r="I30" i="13"/>
  <c r="G24" i="13"/>
  <c r="K24" i="13" s="1"/>
  <c r="O24" i="13" s="1"/>
  <c r="G76" i="13"/>
  <c r="K76" i="13" s="1"/>
  <c r="O76" i="13" s="1"/>
  <c r="G80" i="13"/>
  <c r="K80" i="13" s="1"/>
  <c r="O80" i="13" s="1"/>
  <c r="G108" i="13"/>
  <c r="K108" i="13" s="1"/>
  <c r="O108" i="13" s="1"/>
  <c r="G42" i="13"/>
  <c r="K42" i="13" s="1"/>
  <c r="O42" i="13" s="1"/>
  <c r="I79" i="13"/>
  <c r="J12" i="13"/>
  <c r="I118" i="13"/>
  <c r="J118" i="13"/>
  <c r="J134" i="13"/>
  <c r="J150" i="13"/>
  <c r="H238" i="13"/>
  <c r="L238" i="13" s="1"/>
  <c r="P238" i="13" s="1"/>
  <c r="G185" i="13"/>
  <c r="K185" i="13" s="1"/>
  <c r="O185" i="13" s="1"/>
  <c r="I183" i="13"/>
  <c r="G239" i="13"/>
  <c r="K239" i="13" s="1"/>
  <c r="O239" i="13" s="1"/>
  <c r="J248" i="13"/>
  <c r="G6" i="13"/>
  <c r="K6" i="13" s="1"/>
  <c r="O6" i="13" s="1"/>
  <c r="J56" i="13"/>
  <c r="G109" i="13"/>
  <c r="K109" i="13" s="1"/>
  <c r="O109" i="13" s="1"/>
  <c r="J100" i="13"/>
  <c r="I67" i="13"/>
  <c r="H151" i="13"/>
  <c r="L151" i="13" s="1"/>
  <c r="P151" i="13" s="1"/>
  <c r="J70" i="13"/>
  <c r="J102" i="13"/>
  <c r="G128" i="13"/>
  <c r="K128" i="13" s="1"/>
  <c r="O128" i="13" s="1"/>
  <c r="G144" i="13"/>
  <c r="K144" i="13" s="1"/>
  <c r="O144" i="13" s="1"/>
  <c r="H165" i="13"/>
  <c r="L165" i="13" s="1"/>
  <c r="P165" i="13" s="1"/>
  <c r="H167" i="13"/>
  <c r="H169" i="13"/>
  <c r="L169" i="13" s="1"/>
  <c r="P169" i="13" s="1"/>
  <c r="H173" i="13"/>
  <c r="L173" i="13" s="1"/>
  <c r="P173" i="13" s="1"/>
  <c r="H175" i="13"/>
  <c r="L175" i="13" s="1"/>
  <c r="P175" i="13" s="1"/>
  <c r="H177" i="13"/>
  <c r="L177" i="13" s="1"/>
  <c r="P177" i="13" s="1"/>
  <c r="H181" i="13"/>
  <c r="L181" i="13" s="1"/>
  <c r="P181" i="13" s="1"/>
  <c r="H185" i="13"/>
  <c r="L185" i="13" s="1"/>
  <c r="P185" i="13" s="1"/>
  <c r="H150" i="13"/>
  <c r="L150" i="13" s="1"/>
  <c r="P150" i="13" s="1"/>
  <c r="H144" i="13"/>
  <c r="L144" i="13" s="1"/>
  <c r="P144" i="13" s="1"/>
  <c r="H160" i="13"/>
  <c r="L160" i="13" s="1"/>
  <c r="P160" i="13" s="1"/>
  <c r="I162" i="13"/>
  <c r="I168" i="13"/>
  <c r="I172" i="13"/>
  <c r="G179" i="13"/>
  <c r="K179" i="13" s="1"/>
  <c r="O179" i="13" s="1"/>
  <c r="G187" i="13"/>
  <c r="K187" i="13" s="1"/>
  <c r="O187" i="13" s="1"/>
  <c r="H236" i="13"/>
  <c r="L236" i="13" s="1"/>
  <c r="P236" i="13" s="1"/>
  <c r="I243" i="13"/>
  <c r="I185" i="13"/>
  <c r="I195" i="13"/>
  <c r="I203" i="13"/>
  <c r="I207" i="13"/>
  <c r="I211" i="13"/>
  <c r="I219" i="13"/>
  <c r="I223" i="13"/>
  <c r="I227" i="13"/>
  <c r="H251" i="13"/>
  <c r="L251" i="13" s="1"/>
  <c r="P251" i="13" s="1"/>
  <c r="H13" i="12"/>
  <c r="I12" i="12" s="1"/>
  <c r="G5" i="11"/>
  <c r="J256" i="11"/>
  <c r="I256" i="11"/>
  <c r="H256" i="11"/>
  <c r="G256" i="11"/>
  <c r="J255" i="11"/>
  <c r="I255" i="11"/>
  <c r="H255" i="11"/>
  <c r="G255" i="11"/>
  <c r="J254" i="11"/>
  <c r="I254" i="11"/>
  <c r="H254" i="11"/>
  <c r="G254" i="11"/>
  <c r="J253" i="11"/>
  <c r="I253" i="11"/>
  <c r="H253" i="11"/>
  <c r="G253" i="11"/>
  <c r="J252" i="11"/>
  <c r="I252" i="11"/>
  <c r="H252" i="11"/>
  <c r="G252" i="11"/>
  <c r="J251" i="11"/>
  <c r="I251" i="11"/>
  <c r="H251" i="11"/>
  <c r="G251" i="11"/>
  <c r="J250" i="11"/>
  <c r="I250" i="11"/>
  <c r="H250" i="11"/>
  <c r="G250" i="11"/>
  <c r="J249" i="11"/>
  <c r="I249" i="11"/>
  <c r="H249" i="11"/>
  <c r="G249" i="11"/>
  <c r="J248" i="11"/>
  <c r="I248" i="11"/>
  <c r="H248" i="11"/>
  <c r="G248" i="11"/>
  <c r="J247" i="11"/>
  <c r="I247" i="11"/>
  <c r="H247" i="11"/>
  <c r="G247" i="11"/>
  <c r="J246" i="11"/>
  <c r="I246" i="11"/>
  <c r="H246" i="11"/>
  <c r="G246" i="11"/>
  <c r="J245" i="11"/>
  <c r="I245" i="11"/>
  <c r="H245" i="11"/>
  <c r="G245" i="11"/>
  <c r="J244" i="11"/>
  <c r="I244" i="11"/>
  <c r="H244" i="11"/>
  <c r="G244" i="11"/>
  <c r="J243" i="11"/>
  <c r="I243" i="11"/>
  <c r="H243" i="11"/>
  <c r="G243" i="11"/>
  <c r="J242" i="11"/>
  <c r="I242" i="11"/>
  <c r="H242" i="11"/>
  <c r="G242" i="11"/>
  <c r="J241" i="11"/>
  <c r="I241" i="11"/>
  <c r="H241" i="11"/>
  <c r="G241" i="11"/>
  <c r="J240" i="11"/>
  <c r="I240" i="11"/>
  <c r="H240" i="11"/>
  <c r="G240" i="11"/>
  <c r="J239" i="11"/>
  <c r="I239" i="11"/>
  <c r="H239" i="11"/>
  <c r="G239" i="11"/>
  <c r="J238" i="11"/>
  <c r="I238" i="11"/>
  <c r="H238" i="11"/>
  <c r="G238" i="11"/>
  <c r="J237" i="11"/>
  <c r="I237" i="11"/>
  <c r="H237" i="11"/>
  <c r="G237" i="11"/>
  <c r="J236" i="11"/>
  <c r="I236" i="11"/>
  <c r="H236" i="11"/>
  <c r="G236" i="11"/>
  <c r="J235" i="11"/>
  <c r="I235" i="11"/>
  <c r="H235" i="11"/>
  <c r="G235" i="11"/>
  <c r="J234" i="11"/>
  <c r="I234" i="11"/>
  <c r="H234" i="11"/>
  <c r="G234" i="11"/>
  <c r="J233" i="11"/>
  <c r="I233" i="11"/>
  <c r="H233" i="11"/>
  <c r="G233" i="11"/>
  <c r="J232" i="11"/>
  <c r="I232" i="11"/>
  <c r="H232" i="11"/>
  <c r="G232" i="11"/>
  <c r="J231" i="11"/>
  <c r="I231" i="11"/>
  <c r="H231" i="11"/>
  <c r="G231" i="11"/>
  <c r="J230" i="11"/>
  <c r="I230" i="11"/>
  <c r="H230" i="11"/>
  <c r="G230" i="11"/>
  <c r="J229" i="11"/>
  <c r="I229" i="11"/>
  <c r="H229" i="11"/>
  <c r="G229" i="11"/>
  <c r="J228" i="11"/>
  <c r="I228" i="11"/>
  <c r="H228" i="11"/>
  <c r="G228" i="11"/>
  <c r="J227" i="11"/>
  <c r="I227" i="11"/>
  <c r="H227" i="11"/>
  <c r="G227" i="11"/>
  <c r="J226" i="11"/>
  <c r="I226" i="11"/>
  <c r="H226" i="11"/>
  <c r="G226" i="11"/>
  <c r="J225" i="11"/>
  <c r="I225" i="11"/>
  <c r="H225" i="11"/>
  <c r="G225" i="11"/>
  <c r="J224" i="11"/>
  <c r="I224" i="11"/>
  <c r="H224" i="11"/>
  <c r="G224" i="11"/>
  <c r="J223" i="11"/>
  <c r="I223" i="11"/>
  <c r="H223" i="11"/>
  <c r="G223" i="11"/>
  <c r="J222" i="11"/>
  <c r="I222" i="11"/>
  <c r="H222" i="11"/>
  <c r="G222" i="11"/>
  <c r="J221" i="11"/>
  <c r="I221" i="11"/>
  <c r="H221" i="11"/>
  <c r="G221" i="11"/>
  <c r="J220" i="11"/>
  <c r="I220" i="11"/>
  <c r="H220" i="11"/>
  <c r="G220" i="11"/>
  <c r="J219" i="11"/>
  <c r="I219" i="11"/>
  <c r="H219" i="11"/>
  <c r="G219" i="11"/>
  <c r="J218" i="11"/>
  <c r="I218" i="11"/>
  <c r="H218" i="11"/>
  <c r="G218" i="11"/>
  <c r="J217" i="11"/>
  <c r="I217" i="11"/>
  <c r="H217" i="11"/>
  <c r="G217" i="11"/>
  <c r="J216" i="11"/>
  <c r="I216" i="11"/>
  <c r="H216" i="11"/>
  <c r="G216" i="11"/>
  <c r="J215" i="11"/>
  <c r="I215" i="11"/>
  <c r="H215" i="11"/>
  <c r="G215" i="11"/>
  <c r="J214" i="11"/>
  <c r="I214" i="11"/>
  <c r="H214" i="11"/>
  <c r="G214" i="11"/>
  <c r="J213" i="11"/>
  <c r="I213" i="11"/>
  <c r="H213" i="11"/>
  <c r="G213" i="11"/>
  <c r="J212" i="11"/>
  <c r="I212" i="11"/>
  <c r="H212" i="11"/>
  <c r="G212" i="11"/>
  <c r="J211" i="11"/>
  <c r="I211" i="11"/>
  <c r="H211" i="11"/>
  <c r="G211" i="11"/>
  <c r="J210" i="11"/>
  <c r="I210" i="11"/>
  <c r="H210" i="11"/>
  <c r="G210" i="11"/>
  <c r="J209" i="11"/>
  <c r="I209" i="11"/>
  <c r="H209" i="11"/>
  <c r="G209" i="11"/>
  <c r="J208" i="11"/>
  <c r="I208" i="11"/>
  <c r="H208" i="11"/>
  <c r="G208" i="11"/>
  <c r="J207" i="11"/>
  <c r="I207" i="11"/>
  <c r="H207" i="11"/>
  <c r="G207" i="11"/>
  <c r="J206" i="11"/>
  <c r="I206" i="11"/>
  <c r="H206" i="11"/>
  <c r="G206" i="11"/>
  <c r="J205" i="11"/>
  <c r="I205" i="11"/>
  <c r="H205" i="11"/>
  <c r="G205" i="11"/>
  <c r="J204" i="11"/>
  <c r="I204" i="11"/>
  <c r="H204" i="11"/>
  <c r="G204" i="11"/>
  <c r="J203" i="11"/>
  <c r="I203" i="11"/>
  <c r="H203" i="11"/>
  <c r="G203" i="11"/>
  <c r="J202" i="11"/>
  <c r="I202" i="11"/>
  <c r="H202" i="11"/>
  <c r="G202" i="11"/>
  <c r="J201" i="11"/>
  <c r="I201" i="11"/>
  <c r="H201" i="11"/>
  <c r="G201" i="11"/>
  <c r="J200" i="11"/>
  <c r="I200" i="11"/>
  <c r="H200" i="11"/>
  <c r="G200" i="11"/>
  <c r="J199" i="11"/>
  <c r="I199" i="11"/>
  <c r="H199" i="11"/>
  <c r="G199" i="11"/>
  <c r="J198" i="11"/>
  <c r="I198" i="11"/>
  <c r="H198" i="11"/>
  <c r="G198" i="11"/>
  <c r="J197" i="11"/>
  <c r="I197" i="11"/>
  <c r="H197" i="11"/>
  <c r="G197" i="11"/>
  <c r="J196" i="11"/>
  <c r="I196" i="11"/>
  <c r="H196" i="11"/>
  <c r="G196" i="11"/>
  <c r="J195" i="11"/>
  <c r="I195" i="11"/>
  <c r="H195" i="11"/>
  <c r="G195" i="11"/>
  <c r="J194" i="11"/>
  <c r="I194" i="11"/>
  <c r="H194" i="11"/>
  <c r="G194" i="11"/>
  <c r="J193" i="11"/>
  <c r="I193" i="11"/>
  <c r="H193" i="11"/>
  <c r="G193" i="11"/>
  <c r="J192" i="11"/>
  <c r="I192" i="11"/>
  <c r="H192" i="11"/>
  <c r="G192" i="11"/>
  <c r="J191" i="11"/>
  <c r="I191" i="11"/>
  <c r="H191" i="11"/>
  <c r="G191" i="11"/>
  <c r="J190" i="11"/>
  <c r="I190" i="11"/>
  <c r="H190" i="11"/>
  <c r="G190" i="11"/>
  <c r="J189" i="11"/>
  <c r="I189" i="11"/>
  <c r="H189" i="11"/>
  <c r="G189" i="11"/>
  <c r="J188" i="11"/>
  <c r="I188" i="11"/>
  <c r="H188" i="11"/>
  <c r="G188" i="11"/>
  <c r="J187" i="11"/>
  <c r="I187" i="11"/>
  <c r="H187" i="11"/>
  <c r="G187" i="11"/>
  <c r="J186" i="11"/>
  <c r="I186" i="11"/>
  <c r="H186" i="11"/>
  <c r="G186" i="11"/>
  <c r="J185" i="11"/>
  <c r="I185" i="11"/>
  <c r="H185" i="11"/>
  <c r="G185" i="11"/>
  <c r="J184" i="11"/>
  <c r="I184" i="11"/>
  <c r="H184" i="11"/>
  <c r="G184" i="11"/>
  <c r="J183" i="11"/>
  <c r="I183" i="11"/>
  <c r="H183" i="11"/>
  <c r="G183" i="11"/>
  <c r="J182" i="11"/>
  <c r="I182" i="11"/>
  <c r="H182" i="11"/>
  <c r="G182" i="11"/>
  <c r="J181" i="11"/>
  <c r="I181" i="11"/>
  <c r="H181" i="11"/>
  <c r="G181" i="11"/>
  <c r="J180" i="11"/>
  <c r="I180" i="11"/>
  <c r="H180" i="11"/>
  <c r="G180" i="11"/>
  <c r="J179" i="11"/>
  <c r="I179" i="11"/>
  <c r="H179" i="11"/>
  <c r="G179" i="11"/>
  <c r="J178" i="11"/>
  <c r="I178" i="11"/>
  <c r="H178" i="11"/>
  <c r="G178" i="11"/>
  <c r="J177" i="11"/>
  <c r="I177" i="11"/>
  <c r="H177" i="11"/>
  <c r="G177" i="11"/>
  <c r="J176" i="11"/>
  <c r="I176" i="11"/>
  <c r="H176" i="11"/>
  <c r="G176" i="11"/>
  <c r="J175" i="11"/>
  <c r="I175" i="11"/>
  <c r="H175" i="11"/>
  <c r="G175" i="11"/>
  <c r="J174" i="11"/>
  <c r="I174" i="11"/>
  <c r="H174" i="11"/>
  <c r="G174" i="11"/>
  <c r="J173" i="11"/>
  <c r="I173" i="11"/>
  <c r="H173" i="11"/>
  <c r="G173" i="11"/>
  <c r="J172" i="11"/>
  <c r="I172" i="11"/>
  <c r="H172" i="11"/>
  <c r="G172" i="11"/>
  <c r="J171" i="11"/>
  <c r="I171" i="11"/>
  <c r="H171" i="11"/>
  <c r="G171" i="11"/>
  <c r="J170" i="11"/>
  <c r="I170" i="11"/>
  <c r="H170" i="11"/>
  <c r="G170" i="11"/>
  <c r="J169" i="11"/>
  <c r="I169" i="11"/>
  <c r="H169" i="11"/>
  <c r="G169" i="11"/>
  <c r="J168" i="11"/>
  <c r="I168" i="11"/>
  <c r="H168" i="11"/>
  <c r="G168" i="11"/>
  <c r="J167" i="11"/>
  <c r="I167" i="11"/>
  <c r="H167" i="11"/>
  <c r="G167" i="11"/>
  <c r="J166" i="11"/>
  <c r="I166" i="11"/>
  <c r="H166" i="11"/>
  <c r="G166" i="11"/>
  <c r="J165" i="11"/>
  <c r="I165" i="11"/>
  <c r="H165" i="11"/>
  <c r="G165" i="11"/>
  <c r="J164" i="11"/>
  <c r="I164" i="11"/>
  <c r="H164" i="11"/>
  <c r="G164" i="11"/>
  <c r="J163" i="11"/>
  <c r="I163" i="11"/>
  <c r="H163" i="11"/>
  <c r="G163" i="11"/>
  <c r="J162" i="11"/>
  <c r="I162" i="11"/>
  <c r="H162" i="11"/>
  <c r="G162" i="11"/>
  <c r="J161" i="11"/>
  <c r="I161" i="11"/>
  <c r="H161" i="11"/>
  <c r="G161" i="11"/>
  <c r="J160" i="11"/>
  <c r="I160" i="11"/>
  <c r="H160" i="11"/>
  <c r="G160" i="11"/>
  <c r="J159" i="11"/>
  <c r="I159" i="11"/>
  <c r="H159" i="11"/>
  <c r="G159" i="11"/>
  <c r="J158" i="11"/>
  <c r="I158" i="11"/>
  <c r="H158" i="11"/>
  <c r="G158" i="11"/>
  <c r="J157" i="11"/>
  <c r="I157" i="11"/>
  <c r="H157" i="11"/>
  <c r="G157" i="11"/>
  <c r="J156" i="11"/>
  <c r="I156" i="11"/>
  <c r="H156" i="11"/>
  <c r="G156" i="11"/>
  <c r="J155" i="11"/>
  <c r="I155" i="11"/>
  <c r="H155" i="11"/>
  <c r="G155" i="11"/>
  <c r="J154" i="11"/>
  <c r="I154" i="11"/>
  <c r="H154" i="11"/>
  <c r="G154" i="11"/>
  <c r="J153" i="11"/>
  <c r="I153" i="11"/>
  <c r="H153" i="11"/>
  <c r="G153" i="11"/>
  <c r="J152" i="11"/>
  <c r="I152" i="11"/>
  <c r="H152" i="11"/>
  <c r="G152" i="11"/>
  <c r="J151" i="11"/>
  <c r="I151" i="11"/>
  <c r="H151" i="11"/>
  <c r="G151" i="11"/>
  <c r="J150" i="11"/>
  <c r="I150" i="11"/>
  <c r="H150" i="11"/>
  <c r="G150" i="11"/>
  <c r="J149" i="11"/>
  <c r="I149" i="11"/>
  <c r="H149" i="11"/>
  <c r="G149" i="11"/>
  <c r="J148" i="11"/>
  <c r="I148" i="11"/>
  <c r="H148" i="11"/>
  <c r="G148" i="11"/>
  <c r="J147" i="11"/>
  <c r="I147" i="11"/>
  <c r="H147" i="11"/>
  <c r="G147" i="11"/>
  <c r="J146" i="11"/>
  <c r="I146" i="11"/>
  <c r="H146" i="11"/>
  <c r="G146" i="11"/>
  <c r="J145" i="11"/>
  <c r="I145" i="11"/>
  <c r="H145" i="11"/>
  <c r="G145" i="11"/>
  <c r="J144" i="11"/>
  <c r="I144" i="11"/>
  <c r="H144" i="11"/>
  <c r="G144" i="11"/>
  <c r="J143" i="11"/>
  <c r="I143" i="11"/>
  <c r="H143" i="11"/>
  <c r="G143" i="11"/>
  <c r="J142" i="11"/>
  <c r="I142" i="11"/>
  <c r="H142" i="11"/>
  <c r="G142" i="11"/>
  <c r="J141" i="11"/>
  <c r="I141" i="11"/>
  <c r="H141" i="11"/>
  <c r="G141" i="11"/>
  <c r="J140" i="11"/>
  <c r="I140" i="11"/>
  <c r="H140" i="11"/>
  <c r="G140" i="11"/>
  <c r="J139" i="11"/>
  <c r="I139" i="11"/>
  <c r="H139" i="11"/>
  <c r="G139" i="11"/>
  <c r="J138" i="11"/>
  <c r="I138" i="11"/>
  <c r="H138" i="11"/>
  <c r="G138" i="11"/>
  <c r="J137" i="11"/>
  <c r="I137" i="11"/>
  <c r="H137" i="11"/>
  <c r="G137" i="11"/>
  <c r="J136" i="11"/>
  <c r="I136" i="11"/>
  <c r="H136" i="11"/>
  <c r="G136" i="11"/>
  <c r="J135" i="11"/>
  <c r="I135" i="11"/>
  <c r="H135" i="11"/>
  <c r="G135" i="11"/>
  <c r="J134" i="11"/>
  <c r="I134" i="11"/>
  <c r="H134" i="11"/>
  <c r="G134" i="11"/>
  <c r="J133" i="11"/>
  <c r="I133" i="11"/>
  <c r="H133" i="11"/>
  <c r="G133" i="11"/>
  <c r="J132" i="11"/>
  <c r="I132" i="11"/>
  <c r="H132" i="11"/>
  <c r="G132" i="11"/>
  <c r="J131" i="11"/>
  <c r="I131" i="11"/>
  <c r="H131" i="11"/>
  <c r="G131" i="11"/>
  <c r="J130" i="11"/>
  <c r="I130" i="11"/>
  <c r="H130" i="11"/>
  <c r="G130" i="11"/>
  <c r="J129" i="11"/>
  <c r="I129" i="11"/>
  <c r="H129" i="11"/>
  <c r="G129" i="11"/>
  <c r="J128" i="11"/>
  <c r="I128" i="11"/>
  <c r="H128" i="11"/>
  <c r="G128" i="11"/>
  <c r="J127" i="11"/>
  <c r="I127" i="11"/>
  <c r="H127" i="11"/>
  <c r="G127" i="11"/>
  <c r="J126" i="11"/>
  <c r="I126" i="11"/>
  <c r="H126" i="11"/>
  <c r="G126" i="11"/>
  <c r="J125" i="11"/>
  <c r="I125" i="11"/>
  <c r="H125" i="11"/>
  <c r="G125" i="11"/>
  <c r="J124" i="11"/>
  <c r="I124" i="11"/>
  <c r="H124" i="11"/>
  <c r="G124" i="11"/>
  <c r="J123" i="11"/>
  <c r="I123" i="11"/>
  <c r="H123" i="11"/>
  <c r="G123" i="11"/>
  <c r="J122" i="11"/>
  <c r="I122" i="11"/>
  <c r="H122" i="11"/>
  <c r="G122" i="11"/>
  <c r="J121" i="11"/>
  <c r="I121" i="11"/>
  <c r="H121" i="11"/>
  <c r="G121" i="11"/>
  <c r="J120" i="11"/>
  <c r="I120" i="11"/>
  <c r="H120" i="11"/>
  <c r="G120" i="11"/>
  <c r="J119" i="11"/>
  <c r="I119" i="11"/>
  <c r="H119" i="11"/>
  <c r="G119" i="11"/>
  <c r="J118" i="11"/>
  <c r="I118" i="11"/>
  <c r="H118" i="11"/>
  <c r="G118" i="11"/>
  <c r="J117" i="11"/>
  <c r="I117" i="11"/>
  <c r="H117" i="11"/>
  <c r="G117" i="11"/>
  <c r="J116" i="11"/>
  <c r="I116" i="11"/>
  <c r="H116" i="11"/>
  <c r="G116" i="11"/>
  <c r="J115" i="11"/>
  <c r="I115" i="11"/>
  <c r="H115" i="11"/>
  <c r="G115" i="11"/>
  <c r="J114" i="11"/>
  <c r="I114" i="11"/>
  <c r="H114" i="11"/>
  <c r="G114" i="11"/>
  <c r="J113" i="11"/>
  <c r="I113" i="11"/>
  <c r="H113" i="11"/>
  <c r="G113" i="11"/>
  <c r="J112" i="11"/>
  <c r="I112" i="11"/>
  <c r="H112" i="11"/>
  <c r="G112" i="11"/>
  <c r="J111" i="11"/>
  <c r="I111" i="11"/>
  <c r="H111" i="11"/>
  <c r="G111" i="11"/>
  <c r="J110" i="11"/>
  <c r="I110" i="11"/>
  <c r="H110" i="11"/>
  <c r="G110" i="11"/>
  <c r="J109" i="11"/>
  <c r="I109" i="11"/>
  <c r="H109" i="11"/>
  <c r="G109" i="11"/>
  <c r="J108" i="11"/>
  <c r="I108" i="11"/>
  <c r="H108" i="11"/>
  <c r="G108" i="11"/>
  <c r="J107" i="11"/>
  <c r="I107" i="11"/>
  <c r="H107" i="11"/>
  <c r="G107" i="11"/>
  <c r="J106" i="11"/>
  <c r="I106" i="11"/>
  <c r="H106" i="11"/>
  <c r="G106" i="11"/>
  <c r="J105" i="11"/>
  <c r="I105" i="11"/>
  <c r="H105" i="11"/>
  <c r="G105" i="11"/>
  <c r="J104" i="11"/>
  <c r="I104" i="11"/>
  <c r="H104" i="11"/>
  <c r="G104" i="11"/>
  <c r="J103" i="11"/>
  <c r="I103" i="11"/>
  <c r="H103" i="11"/>
  <c r="G103" i="11"/>
  <c r="J102" i="11"/>
  <c r="I102" i="11"/>
  <c r="H102" i="11"/>
  <c r="G102" i="11"/>
  <c r="J101" i="11"/>
  <c r="I101" i="11"/>
  <c r="H101" i="11"/>
  <c r="G101" i="11"/>
  <c r="J100" i="11"/>
  <c r="I100" i="11"/>
  <c r="H100" i="11"/>
  <c r="G100" i="11"/>
  <c r="J99" i="11"/>
  <c r="I99" i="11"/>
  <c r="H99" i="11"/>
  <c r="G99" i="11"/>
  <c r="J98" i="11"/>
  <c r="I98" i="11"/>
  <c r="H98" i="11"/>
  <c r="G98" i="11"/>
  <c r="J97" i="11"/>
  <c r="I97" i="11"/>
  <c r="H97" i="11"/>
  <c r="G97" i="11"/>
  <c r="J96" i="11"/>
  <c r="I96" i="11"/>
  <c r="H96" i="11"/>
  <c r="G96" i="11"/>
  <c r="J95" i="11"/>
  <c r="I95" i="11"/>
  <c r="H95" i="11"/>
  <c r="G95" i="11"/>
  <c r="J94" i="11"/>
  <c r="I94" i="11"/>
  <c r="H94" i="11"/>
  <c r="G94" i="11"/>
  <c r="J93" i="11"/>
  <c r="I93" i="11"/>
  <c r="H93" i="11"/>
  <c r="G93" i="11"/>
  <c r="J92" i="11"/>
  <c r="I92" i="11"/>
  <c r="H92" i="11"/>
  <c r="G92" i="11"/>
  <c r="J91" i="11"/>
  <c r="I91" i="11"/>
  <c r="H91" i="11"/>
  <c r="G91" i="11"/>
  <c r="J90" i="11"/>
  <c r="I90" i="11"/>
  <c r="H90" i="11"/>
  <c r="G90" i="11"/>
  <c r="J89" i="11"/>
  <c r="I89" i="11"/>
  <c r="H89" i="11"/>
  <c r="G89" i="11"/>
  <c r="J88" i="11"/>
  <c r="I88" i="11"/>
  <c r="H88" i="11"/>
  <c r="G88" i="11"/>
  <c r="J87" i="11"/>
  <c r="I87" i="11"/>
  <c r="H87" i="11"/>
  <c r="G87" i="11"/>
  <c r="J86" i="11"/>
  <c r="I86" i="11"/>
  <c r="H86" i="11"/>
  <c r="G86" i="11"/>
  <c r="J85" i="11"/>
  <c r="I85" i="11"/>
  <c r="H85" i="11"/>
  <c r="G85" i="11"/>
  <c r="J84" i="11"/>
  <c r="I84" i="11"/>
  <c r="H84" i="11"/>
  <c r="G84" i="11"/>
  <c r="J83" i="11"/>
  <c r="I83" i="11"/>
  <c r="H83" i="11"/>
  <c r="G83" i="11"/>
  <c r="J82" i="11"/>
  <c r="I82" i="11"/>
  <c r="H82" i="11"/>
  <c r="G82" i="11"/>
  <c r="J81" i="11"/>
  <c r="I81" i="11"/>
  <c r="H81" i="11"/>
  <c r="G81" i="11"/>
  <c r="J80" i="11"/>
  <c r="I80" i="11"/>
  <c r="H80" i="11"/>
  <c r="G80" i="11"/>
  <c r="J79" i="11"/>
  <c r="I79" i="11"/>
  <c r="H79" i="11"/>
  <c r="G79" i="11"/>
  <c r="J78" i="11"/>
  <c r="I78" i="11"/>
  <c r="H78" i="11"/>
  <c r="G78" i="11"/>
  <c r="J77" i="11"/>
  <c r="I77" i="11"/>
  <c r="H77" i="11"/>
  <c r="G77" i="11"/>
  <c r="J76" i="11"/>
  <c r="I76" i="11"/>
  <c r="H76" i="11"/>
  <c r="G76" i="11"/>
  <c r="J75" i="11"/>
  <c r="I75" i="11"/>
  <c r="H75" i="11"/>
  <c r="G75" i="11"/>
  <c r="J74" i="11"/>
  <c r="I74" i="11"/>
  <c r="H74" i="11"/>
  <c r="G74" i="11"/>
  <c r="J73" i="11"/>
  <c r="I73" i="11"/>
  <c r="H73" i="11"/>
  <c r="G73" i="11"/>
  <c r="J72" i="11"/>
  <c r="I72" i="11"/>
  <c r="H72" i="11"/>
  <c r="G72" i="11"/>
  <c r="J71" i="11"/>
  <c r="I71" i="11"/>
  <c r="H71" i="11"/>
  <c r="G71" i="11"/>
  <c r="J70" i="11"/>
  <c r="I70" i="11"/>
  <c r="H70" i="11"/>
  <c r="G70" i="11"/>
  <c r="J69" i="11"/>
  <c r="I69" i="11"/>
  <c r="H69" i="11"/>
  <c r="G69" i="11"/>
  <c r="J68" i="11"/>
  <c r="I68" i="11"/>
  <c r="H68" i="11"/>
  <c r="G68" i="11"/>
  <c r="J67" i="11"/>
  <c r="I67" i="11"/>
  <c r="H67" i="11"/>
  <c r="G67" i="11"/>
  <c r="J66" i="11"/>
  <c r="I66" i="11"/>
  <c r="H66" i="11"/>
  <c r="G66" i="11"/>
  <c r="J65" i="11"/>
  <c r="I65" i="11"/>
  <c r="H65" i="11"/>
  <c r="G65" i="11"/>
  <c r="J64" i="11"/>
  <c r="I64" i="11"/>
  <c r="H64" i="11"/>
  <c r="G64" i="11"/>
  <c r="J63" i="11"/>
  <c r="I63" i="11"/>
  <c r="H63" i="11"/>
  <c r="G63" i="11"/>
  <c r="J62" i="11"/>
  <c r="I62" i="11"/>
  <c r="H62" i="11"/>
  <c r="G62" i="11"/>
  <c r="J61" i="11"/>
  <c r="I61" i="11"/>
  <c r="H61" i="11"/>
  <c r="G61" i="11"/>
  <c r="J60" i="11"/>
  <c r="I60" i="11"/>
  <c r="H60" i="11"/>
  <c r="G60" i="11"/>
  <c r="J59" i="11"/>
  <c r="I59" i="11"/>
  <c r="H59" i="11"/>
  <c r="G59" i="11"/>
  <c r="J58" i="11"/>
  <c r="I58" i="11"/>
  <c r="H58" i="11"/>
  <c r="G58" i="11"/>
  <c r="J57" i="11"/>
  <c r="I57" i="11"/>
  <c r="H57" i="11"/>
  <c r="G57" i="11"/>
  <c r="J56" i="11"/>
  <c r="I56" i="11"/>
  <c r="H56" i="11"/>
  <c r="G56" i="11"/>
  <c r="J55" i="11"/>
  <c r="I55" i="11"/>
  <c r="H55" i="11"/>
  <c r="G55" i="11"/>
  <c r="J54" i="11"/>
  <c r="I54" i="11"/>
  <c r="H54" i="11"/>
  <c r="G54" i="11"/>
  <c r="J53" i="11"/>
  <c r="I53" i="11"/>
  <c r="H53" i="11"/>
  <c r="G53" i="11"/>
  <c r="J52" i="11"/>
  <c r="I52" i="11"/>
  <c r="H52" i="11"/>
  <c r="G52" i="11"/>
  <c r="J51" i="11"/>
  <c r="I51" i="11"/>
  <c r="H51" i="11"/>
  <c r="G51" i="11"/>
  <c r="J50" i="11"/>
  <c r="I50" i="11"/>
  <c r="H50" i="11"/>
  <c r="G50" i="11"/>
  <c r="J49" i="11"/>
  <c r="I49" i="11"/>
  <c r="H49" i="11"/>
  <c r="G49" i="11"/>
  <c r="J48" i="11"/>
  <c r="I48" i="11"/>
  <c r="H48" i="11"/>
  <c r="G48" i="11"/>
  <c r="J47" i="11"/>
  <c r="I47" i="11"/>
  <c r="H47" i="11"/>
  <c r="G47" i="11"/>
  <c r="J46" i="11"/>
  <c r="I46" i="11"/>
  <c r="H46" i="11"/>
  <c r="G46" i="11"/>
  <c r="J45" i="11"/>
  <c r="I45" i="11"/>
  <c r="H45" i="11"/>
  <c r="G45" i="11"/>
  <c r="J44" i="11"/>
  <c r="I44" i="11"/>
  <c r="H44" i="11"/>
  <c r="G44" i="11"/>
  <c r="J43" i="11"/>
  <c r="I43" i="11"/>
  <c r="H43" i="11"/>
  <c r="G43" i="11"/>
  <c r="J42" i="11"/>
  <c r="I42" i="11"/>
  <c r="H42" i="11"/>
  <c r="G42" i="11"/>
  <c r="J41" i="11"/>
  <c r="I41" i="11"/>
  <c r="H41" i="11"/>
  <c r="G41" i="11"/>
  <c r="J40" i="11"/>
  <c r="I40" i="11"/>
  <c r="H40" i="11"/>
  <c r="G40" i="11"/>
  <c r="J39" i="11"/>
  <c r="I39" i="11"/>
  <c r="H39" i="11"/>
  <c r="G39" i="11"/>
  <c r="J38" i="11"/>
  <c r="I38" i="11"/>
  <c r="H38" i="11"/>
  <c r="G38" i="11"/>
  <c r="J37" i="11"/>
  <c r="I37" i="11"/>
  <c r="H37" i="11"/>
  <c r="G37" i="11"/>
  <c r="J36" i="11"/>
  <c r="I36" i="11"/>
  <c r="H36" i="11"/>
  <c r="G36" i="11"/>
  <c r="J35" i="11"/>
  <c r="I35" i="11"/>
  <c r="H35" i="11"/>
  <c r="G35" i="11"/>
  <c r="J34" i="11"/>
  <c r="I34" i="11"/>
  <c r="H34" i="11"/>
  <c r="G34" i="11"/>
  <c r="J33" i="11"/>
  <c r="I33" i="11"/>
  <c r="H33" i="11"/>
  <c r="G33" i="11"/>
  <c r="J32" i="11"/>
  <c r="I32" i="11"/>
  <c r="H32" i="11"/>
  <c r="G32" i="11"/>
  <c r="J31" i="11"/>
  <c r="I31" i="11"/>
  <c r="H31" i="11"/>
  <c r="G31" i="11"/>
  <c r="J30" i="11"/>
  <c r="I30" i="11"/>
  <c r="H30" i="11"/>
  <c r="G30" i="11"/>
  <c r="J29" i="11"/>
  <c r="I29" i="11"/>
  <c r="H29" i="11"/>
  <c r="G29" i="11"/>
  <c r="J28" i="11"/>
  <c r="I28" i="11"/>
  <c r="H28" i="11"/>
  <c r="G28" i="11"/>
  <c r="J27" i="11"/>
  <c r="I27" i="11"/>
  <c r="H27" i="11"/>
  <c r="G27" i="11"/>
  <c r="J26" i="11"/>
  <c r="I26" i="11"/>
  <c r="H26" i="11"/>
  <c r="G26" i="11"/>
  <c r="J25" i="11"/>
  <c r="I25" i="11"/>
  <c r="H25" i="11"/>
  <c r="G25" i="11"/>
  <c r="J24" i="11"/>
  <c r="I24" i="11"/>
  <c r="H24" i="11"/>
  <c r="G24" i="11"/>
  <c r="J23" i="11"/>
  <c r="I23" i="11"/>
  <c r="H23" i="11"/>
  <c r="G23" i="11"/>
  <c r="J22" i="11"/>
  <c r="I22" i="11"/>
  <c r="H22" i="11"/>
  <c r="G22" i="11"/>
  <c r="J21" i="11"/>
  <c r="I21" i="11"/>
  <c r="H21" i="11"/>
  <c r="G21" i="11"/>
  <c r="J20" i="11"/>
  <c r="I20" i="11"/>
  <c r="H20" i="11"/>
  <c r="G20" i="11"/>
  <c r="J19" i="11"/>
  <c r="I19" i="11"/>
  <c r="H19" i="11"/>
  <c r="G19" i="11"/>
  <c r="J18" i="11"/>
  <c r="I18" i="11"/>
  <c r="H18" i="11"/>
  <c r="G18" i="11"/>
  <c r="J17" i="11"/>
  <c r="I17" i="11"/>
  <c r="H17" i="11"/>
  <c r="G17" i="11"/>
  <c r="J16" i="11"/>
  <c r="I16" i="11"/>
  <c r="H16" i="11"/>
  <c r="G16" i="11"/>
  <c r="J15" i="11"/>
  <c r="I15" i="11"/>
  <c r="H15" i="11"/>
  <c r="G15" i="11"/>
  <c r="J14" i="11"/>
  <c r="I14" i="11"/>
  <c r="H14" i="11"/>
  <c r="G14" i="11"/>
  <c r="J13" i="11"/>
  <c r="I13" i="11"/>
  <c r="H13" i="11"/>
  <c r="G13" i="11"/>
  <c r="J12" i="11"/>
  <c r="I12" i="11"/>
  <c r="H12" i="11"/>
  <c r="G12" i="11"/>
  <c r="J11" i="11"/>
  <c r="I11" i="11"/>
  <c r="H11" i="11"/>
  <c r="G11" i="11"/>
  <c r="J10" i="11"/>
  <c r="I10" i="11"/>
  <c r="H10" i="11"/>
  <c r="G10" i="11"/>
  <c r="J9" i="11"/>
  <c r="I9" i="11"/>
  <c r="H9" i="11"/>
  <c r="G9" i="11"/>
  <c r="J8" i="11"/>
  <c r="I8" i="11"/>
  <c r="H8" i="11"/>
  <c r="G8" i="11"/>
  <c r="J7" i="11"/>
  <c r="I7" i="11"/>
  <c r="H7" i="11"/>
  <c r="G7" i="11"/>
  <c r="J6" i="11"/>
  <c r="I6" i="11"/>
  <c r="H6" i="11"/>
  <c r="G6" i="11"/>
  <c r="J5" i="11"/>
  <c r="I5" i="11"/>
  <c r="H5" i="11"/>
  <c r="K9" i="12" a="1"/>
  <c r="K11" i="12" a="1"/>
  <c r="K10" i="12" a="1"/>
  <c r="K12" i="12" a="1"/>
  <c r="J121" i="13" l="1"/>
  <c r="N121" i="13" s="1"/>
  <c r="R121" i="13" s="1"/>
  <c r="J137" i="13"/>
  <c r="N137" i="13" s="1"/>
  <c r="R137" i="13" s="1"/>
  <c r="I144" i="13"/>
  <c r="M144" i="13" s="1"/>
  <c r="Q144" i="13" s="1"/>
  <c r="H178" i="13"/>
  <c r="G115" i="13"/>
  <c r="K115" i="13" s="1"/>
  <c r="O115" i="13" s="1"/>
  <c r="G124" i="13"/>
  <c r="K124" i="13" s="1"/>
  <c r="O124" i="13" s="1"/>
  <c r="J229" i="13"/>
  <c r="G230" i="13"/>
  <c r="K230" i="13" s="1"/>
  <c r="O230" i="13" s="1"/>
  <c r="G186" i="13"/>
  <c r="K186" i="13" s="1"/>
  <c r="O186" i="13" s="1"/>
  <c r="I224" i="13"/>
  <c r="M238" i="13"/>
  <c r="Q238" i="13" s="1"/>
  <c r="G10" i="16"/>
  <c r="H13" i="16" s="1"/>
  <c r="M223" i="13"/>
  <c r="Q223" i="13" s="1"/>
  <c r="N133" i="13"/>
  <c r="R133" i="13" s="1"/>
  <c r="J146" i="13"/>
  <c r="G74" i="13"/>
  <c r="K74" i="13" s="1"/>
  <c r="O74" i="13" s="1"/>
  <c r="I18" i="13"/>
  <c r="M18" i="13" s="1"/>
  <c r="Q18" i="13" s="1"/>
  <c r="I34" i="13"/>
  <c r="M34" i="13" s="1"/>
  <c r="Q34" i="13" s="1"/>
  <c r="G40" i="13"/>
  <c r="K40" i="13" s="1"/>
  <c r="O40" i="13" s="1"/>
  <c r="H62" i="13"/>
  <c r="L62" i="13" s="1"/>
  <c r="P62" i="13" s="1"/>
  <c r="H219" i="13"/>
  <c r="L219" i="13" s="1"/>
  <c r="P219" i="13" s="1"/>
  <c r="G138" i="13"/>
  <c r="K138" i="13" s="1"/>
  <c r="O138" i="13" s="1"/>
  <c r="I88" i="13"/>
  <c r="M88" i="13" s="1"/>
  <c r="Q88" i="13" s="1"/>
  <c r="G226" i="13"/>
  <c r="K226" i="13" s="1"/>
  <c r="O226" i="13" s="1"/>
  <c r="I216" i="13"/>
  <c r="M216" i="13" s="1"/>
  <c r="Q216" i="13" s="1"/>
  <c r="J126" i="13"/>
  <c r="N126" i="13" s="1"/>
  <c r="R126" i="13" s="1"/>
  <c r="I117" i="13"/>
  <c r="L113" i="13"/>
  <c r="P113" i="13" s="1"/>
  <c r="J198" i="13"/>
  <c r="I184" i="13"/>
  <c r="I28" i="13"/>
  <c r="H129" i="13"/>
  <c r="J185" i="13"/>
  <c r="N185" i="13" s="1"/>
  <c r="R185" i="13" s="1"/>
  <c r="G163" i="13"/>
  <c r="K163" i="13" s="1"/>
  <c r="O163" i="13" s="1"/>
  <c r="J216" i="13"/>
  <c r="I256" i="13"/>
  <c r="J240" i="13"/>
  <c r="J72" i="13"/>
  <c r="N72" i="13" s="1"/>
  <c r="R72" i="13" s="1"/>
  <c r="G215" i="13"/>
  <c r="K215" i="13" s="1"/>
  <c r="O215" i="13" s="1"/>
  <c r="G159" i="13"/>
  <c r="K159" i="13" s="1"/>
  <c r="O159" i="13" s="1"/>
  <c r="H75" i="13"/>
  <c r="L75" i="13" s="1"/>
  <c r="P75" i="13" s="1"/>
  <c r="H226" i="13"/>
  <c r="L226" i="13" s="1"/>
  <c r="P226" i="13" s="1"/>
  <c r="I150" i="13"/>
  <c r="I156" i="13"/>
  <c r="I155" i="13"/>
  <c r="M155" i="13" s="1"/>
  <c r="Q155" i="13" s="1"/>
  <c r="G196" i="13"/>
  <c r="K196" i="13" s="1"/>
  <c r="O196" i="13" s="1"/>
  <c r="G195" i="13"/>
  <c r="K195" i="13" s="1"/>
  <c r="O195" i="13" s="1"/>
  <c r="H210" i="13"/>
  <c r="L210" i="13" s="1"/>
  <c r="P210" i="13" s="1"/>
  <c r="G32" i="13"/>
  <c r="K32" i="13" s="1"/>
  <c r="O32" i="13" s="1"/>
  <c r="J66" i="13"/>
  <c r="G56" i="13"/>
  <c r="K56" i="13" s="1"/>
  <c r="O56" i="13" s="1"/>
  <c r="G55" i="13"/>
  <c r="K55" i="13" s="1"/>
  <c r="O55" i="13" s="1"/>
  <c r="I182" i="13"/>
  <c r="M182" i="13" s="1"/>
  <c r="Q182" i="13" s="1"/>
  <c r="I124" i="13"/>
  <c r="M124" i="13" s="1"/>
  <c r="Q124" i="13" s="1"/>
  <c r="J130" i="13"/>
  <c r="G72" i="13"/>
  <c r="K72" i="13" s="1"/>
  <c r="O72" i="13" s="1"/>
  <c r="H82" i="13"/>
  <c r="L82" i="13" s="1"/>
  <c r="P82" i="13" s="1"/>
  <c r="G63" i="13"/>
  <c r="K63" i="13" s="1"/>
  <c r="O63" i="13" s="1"/>
  <c r="J160" i="13"/>
  <c r="J117" i="13"/>
  <c r="H6" i="13"/>
  <c r="L6" i="13" s="1"/>
  <c r="P6" i="13" s="1"/>
  <c r="I23" i="13"/>
  <c r="M23" i="13" s="1"/>
  <c r="Q23" i="13" s="1"/>
  <c r="I39" i="13"/>
  <c r="M39" i="13" s="1"/>
  <c r="Q39" i="13" s="1"/>
  <c r="J75" i="13"/>
  <c r="N75" i="13" s="1"/>
  <c r="R75" i="13" s="1"/>
  <c r="J62" i="13"/>
  <c r="N62" i="13" s="1"/>
  <c r="R62" i="13" s="1"/>
  <c r="H79" i="13"/>
  <c r="L79" i="13" s="1"/>
  <c r="P79" i="13" s="1"/>
  <c r="H94" i="13"/>
  <c r="L94" i="13" s="1"/>
  <c r="P94" i="13" s="1"/>
  <c r="I137" i="13"/>
  <c r="M137" i="13" s="1"/>
  <c r="Q137" i="13" s="1"/>
  <c r="J98" i="13"/>
  <c r="N98" i="13" s="1"/>
  <c r="R98" i="13" s="1"/>
  <c r="H124" i="13"/>
  <c r="L124" i="13" s="1"/>
  <c r="P124" i="13" s="1"/>
  <c r="H11" i="13"/>
  <c r="L11" i="13" s="1"/>
  <c r="P11" i="13" s="1"/>
  <c r="H44" i="13"/>
  <c r="J33" i="13"/>
  <c r="N33" i="13" s="1"/>
  <c r="R33" i="13" s="1"/>
  <c r="J7" i="13"/>
  <c r="N7" i="13" s="1"/>
  <c r="R7" i="13" s="1"/>
  <c r="G60" i="13"/>
  <c r="K60" i="13" s="1"/>
  <c r="O60" i="13" s="1"/>
  <c r="I24" i="13"/>
  <c r="M24" i="13" s="1"/>
  <c r="Q24" i="13" s="1"/>
  <c r="J52" i="13"/>
  <c r="N52" i="13" s="1"/>
  <c r="R52" i="13" s="1"/>
  <c r="G47" i="13"/>
  <c r="K47" i="13" s="1"/>
  <c r="O47" i="13" s="1"/>
  <c r="I50" i="13"/>
  <c r="M50" i="13" s="1"/>
  <c r="Q50" i="13" s="1"/>
  <c r="I58" i="13"/>
  <c r="M58" i="13" s="1"/>
  <c r="Q58" i="13" s="1"/>
  <c r="J26" i="13"/>
  <c r="G69" i="13"/>
  <c r="K69" i="13" s="1"/>
  <c r="O69" i="13" s="1"/>
  <c r="G101" i="13"/>
  <c r="K101" i="13" s="1"/>
  <c r="O101" i="13" s="1"/>
  <c r="G113" i="13"/>
  <c r="K113" i="13" s="1"/>
  <c r="O113" i="13" s="1"/>
  <c r="G38" i="13"/>
  <c r="K38" i="13" s="1"/>
  <c r="O38" i="13" s="1"/>
  <c r="J77" i="13"/>
  <c r="N77" i="13" s="1"/>
  <c r="R77" i="13" s="1"/>
  <c r="J93" i="13"/>
  <c r="N93" i="13" s="1"/>
  <c r="R93" i="13" s="1"/>
  <c r="J68" i="13"/>
  <c r="N68" i="13" s="1"/>
  <c r="R68" i="13" s="1"/>
  <c r="I122" i="13"/>
  <c r="M122" i="13" s="1"/>
  <c r="Q122" i="13" s="1"/>
  <c r="J125" i="13"/>
  <c r="N125" i="13" s="1"/>
  <c r="R125" i="13" s="1"/>
  <c r="J141" i="13"/>
  <c r="N141" i="13" s="1"/>
  <c r="R141" i="13" s="1"/>
  <c r="J154" i="13"/>
  <c r="N154" i="13" s="1"/>
  <c r="R154" i="13" s="1"/>
  <c r="H57" i="13"/>
  <c r="L57" i="13" s="1"/>
  <c r="P57" i="13" s="1"/>
  <c r="L29" i="13"/>
  <c r="P29" i="13" s="1"/>
  <c r="I115" i="13"/>
  <c r="M115" i="13" s="1"/>
  <c r="Q115" i="13" s="1"/>
  <c r="G88" i="13"/>
  <c r="K88" i="13" s="1"/>
  <c r="O88" i="13" s="1"/>
  <c r="I95" i="13"/>
  <c r="M95" i="13" s="1"/>
  <c r="Q95" i="13" s="1"/>
  <c r="G133" i="13"/>
  <c r="K133" i="13" s="1"/>
  <c r="O133" i="13" s="1"/>
  <c r="I130" i="13"/>
  <c r="M130" i="13" s="1"/>
  <c r="Q130" i="13" s="1"/>
  <c r="I152" i="13"/>
  <c r="M152" i="13" s="1"/>
  <c r="Q152" i="13" s="1"/>
  <c r="G192" i="13"/>
  <c r="K192" i="13" s="1"/>
  <c r="O192" i="13" s="1"/>
  <c r="H230" i="13"/>
  <c r="L230" i="13" s="1"/>
  <c r="P230" i="13" s="1"/>
  <c r="H222" i="13"/>
  <c r="L222" i="13" s="1"/>
  <c r="P222" i="13" s="1"/>
  <c r="J200" i="13"/>
  <c r="N200" i="13" s="1"/>
  <c r="R200" i="13" s="1"/>
  <c r="G242" i="13"/>
  <c r="K242" i="13" s="1"/>
  <c r="O242" i="13" s="1"/>
  <c r="L248" i="13"/>
  <c r="P248" i="13" s="1"/>
  <c r="I190" i="13"/>
  <c r="M190" i="13" s="1"/>
  <c r="Q190" i="13" s="1"/>
  <c r="L241" i="13"/>
  <c r="P241" i="13" s="1"/>
  <c r="H149" i="13"/>
  <c r="L149" i="13" s="1"/>
  <c r="P149" i="13" s="1"/>
  <c r="G130" i="13"/>
  <c r="K130" i="13" s="1"/>
  <c r="O130" i="13" s="1"/>
  <c r="H180" i="13"/>
  <c r="L180" i="13" s="1"/>
  <c r="P180" i="13" s="1"/>
  <c r="H51" i="13"/>
  <c r="L51" i="13" s="1"/>
  <c r="P51" i="13" s="1"/>
  <c r="I111" i="13"/>
  <c r="M111" i="13" s="1"/>
  <c r="Q111" i="13" s="1"/>
  <c r="I71" i="13"/>
  <c r="M71" i="13" s="1"/>
  <c r="Q71" i="13" s="1"/>
  <c r="G127" i="13"/>
  <c r="K127" i="13" s="1"/>
  <c r="O127" i="13" s="1"/>
  <c r="L155" i="13"/>
  <c r="P155" i="13" s="1"/>
  <c r="H142" i="13"/>
  <c r="L142" i="13" s="1"/>
  <c r="P142" i="13" s="1"/>
  <c r="J86" i="13"/>
  <c r="N86" i="13" s="1"/>
  <c r="R86" i="13" s="1"/>
  <c r="L163" i="13"/>
  <c r="P163" i="13" s="1"/>
  <c r="H170" i="13"/>
  <c r="L170" i="13" s="1"/>
  <c r="P170" i="13" s="1"/>
  <c r="L178" i="13"/>
  <c r="P178" i="13" s="1"/>
  <c r="H186" i="13"/>
  <c r="L186" i="13" s="1"/>
  <c r="P186" i="13" s="1"/>
  <c r="I180" i="13"/>
  <c r="M180" i="13" s="1"/>
  <c r="Q180" i="13" s="1"/>
  <c r="I235" i="13"/>
  <c r="M235" i="13" s="1"/>
  <c r="Q235" i="13" s="1"/>
  <c r="H117" i="13"/>
  <c r="L117" i="13" s="1"/>
  <c r="P117" i="13" s="1"/>
  <c r="I148" i="13"/>
  <c r="I154" i="13"/>
  <c r="M154" i="13" s="1"/>
  <c r="Q154" i="13" s="1"/>
  <c r="G157" i="13"/>
  <c r="K157" i="13" s="1"/>
  <c r="O157" i="13" s="1"/>
  <c r="H242" i="13"/>
  <c r="G194" i="13"/>
  <c r="K194" i="13" s="1"/>
  <c r="O194" i="13" s="1"/>
  <c r="H225" i="13"/>
  <c r="L225" i="13" s="1"/>
  <c r="P225" i="13" s="1"/>
  <c r="I204" i="13"/>
  <c r="M204" i="13" s="1"/>
  <c r="Q204" i="13" s="1"/>
  <c r="H12" i="16"/>
  <c r="L167" i="13"/>
  <c r="P167" i="13" s="1"/>
  <c r="J252" i="13"/>
  <c r="N252" i="13" s="1"/>
  <c r="R252" i="13" s="1"/>
  <c r="J148" i="13"/>
  <c r="I103" i="13"/>
  <c r="L74" i="13"/>
  <c r="P74" i="13" s="1"/>
  <c r="J71" i="13"/>
  <c r="N71" i="13" s="1"/>
  <c r="R71" i="13" s="1"/>
  <c r="J87" i="13"/>
  <c r="H24" i="13"/>
  <c r="J29" i="13"/>
  <c r="N29" i="13" s="1"/>
  <c r="R29" i="13" s="1"/>
  <c r="G58" i="13"/>
  <c r="K58" i="13" s="1"/>
  <c r="O58" i="13" s="1"/>
  <c r="G65" i="13"/>
  <c r="K65" i="13" s="1"/>
  <c r="O65" i="13" s="1"/>
  <c r="G97" i="13"/>
  <c r="K97" i="13" s="1"/>
  <c r="O97" i="13" s="1"/>
  <c r="I81" i="13"/>
  <c r="M81" i="13" s="1"/>
  <c r="Q81" i="13" s="1"/>
  <c r="J202" i="13"/>
  <c r="N202" i="13" s="1"/>
  <c r="R202" i="13" s="1"/>
  <c r="J219" i="13"/>
  <c r="H17" i="13"/>
  <c r="L17" i="13" s="1"/>
  <c r="P17" i="13" s="1"/>
  <c r="H256" i="13"/>
  <c r="L256" i="13" s="1"/>
  <c r="P256" i="13" s="1"/>
  <c r="J59" i="13"/>
  <c r="N59" i="13" s="1"/>
  <c r="R59" i="13" s="1"/>
  <c r="J64" i="13"/>
  <c r="N64" i="13" s="1"/>
  <c r="R64" i="13" s="1"/>
  <c r="I132" i="13"/>
  <c r="M132" i="13" s="1"/>
  <c r="Q132" i="13" s="1"/>
  <c r="J165" i="13"/>
  <c r="N165" i="13" s="1"/>
  <c r="R165" i="13" s="1"/>
  <c r="J181" i="13"/>
  <c r="N181" i="13" s="1"/>
  <c r="R181" i="13" s="1"/>
  <c r="I142" i="13"/>
  <c r="M142" i="13" s="1"/>
  <c r="Q142" i="13" s="1"/>
  <c r="G175" i="13"/>
  <c r="K175" i="13" s="1"/>
  <c r="O175" i="13" s="1"/>
  <c r="J208" i="13"/>
  <c r="N208" i="13" s="1"/>
  <c r="R208" i="13" s="1"/>
  <c r="H233" i="13"/>
  <c r="L233" i="13" s="1"/>
  <c r="P233" i="13" s="1"/>
  <c r="G250" i="13"/>
  <c r="K250" i="13" s="1"/>
  <c r="O250" i="13" s="1"/>
  <c r="I199" i="13"/>
  <c r="M199" i="13" s="1"/>
  <c r="Q199" i="13" s="1"/>
  <c r="I231" i="13"/>
  <c r="M231" i="13" s="1"/>
  <c r="Q231" i="13" s="1"/>
  <c r="H30" i="13"/>
  <c r="L30" i="13" s="1"/>
  <c r="P30" i="13" s="1"/>
  <c r="J35" i="13"/>
  <c r="G53" i="13"/>
  <c r="K53" i="13" s="1"/>
  <c r="O53" i="13" s="1"/>
  <c r="H90" i="13"/>
  <c r="L90" i="13" s="1"/>
  <c r="P90" i="13" s="1"/>
  <c r="I66" i="13"/>
  <c r="M66" i="13" s="1"/>
  <c r="Q66" i="13" s="1"/>
  <c r="I98" i="13"/>
  <c r="M98" i="13" s="1"/>
  <c r="Q98" i="13" s="1"/>
  <c r="G86" i="13"/>
  <c r="K86" i="13" s="1"/>
  <c r="O86" i="13" s="1"/>
  <c r="G122" i="13"/>
  <c r="K122" i="13" s="1"/>
  <c r="O122" i="13" s="1"/>
  <c r="H137" i="13"/>
  <c r="L137" i="13" s="1"/>
  <c r="P137" i="13" s="1"/>
  <c r="G125" i="13"/>
  <c r="K125" i="13" s="1"/>
  <c r="O125" i="13" s="1"/>
  <c r="H164" i="13"/>
  <c r="L164" i="13" s="1"/>
  <c r="P164" i="13" s="1"/>
  <c r="J255" i="13"/>
  <c r="N255" i="13" s="1"/>
  <c r="R255" i="13" s="1"/>
  <c r="I239" i="13"/>
  <c r="M239" i="13" s="1"/>
  <c r="Q239" i="13" s="1"/>
  <c r="H214" i="13"/>
  <c r="L214" i="13" s="1"/>
  <c r="P214" i="13" s="1"/>
  <c r="H194" i="13"/>
  <c r="L194" i="13" s="1"/>
  <c r="P194" i="13" s="1"/>
  <c r="I5" i="13"/>
  <c r="M5" i="13" s="1"/>
  <c r="Q5" i="13" s="1"/>
  <c r="I171" i="13"/>
  <c r="M171" i="13" s="1"/>
  <c r="Q171" i="13" s="1"/>
  <c r="J233" i="13"/>
  <c r="G182" i="13"/>
  <c r="K182" i="13" s="1"/>
  <c r="O182" i="13" s="1"/>
  <c r="I164" i="13"/>
  <c r="M164" i="13" s="1"/>
  <c r="Q164" i="13" s="1"/>
  <c r="J251" i="13"/>
  <c r="N251" i="13" s="1"/>
  <c r="R251" i="13" s="1"/>
  <c r="J194" i="13"/>
  <c r="J249" i="13"/>
  <c r="N249" i="13" s="1"/>
  <c r="R249" i="13" s="1"/>
  <c r="H172" i="13"/>
  <c r="L172" i="13" s="1"/>
  <c r="P172" i="13" s="1"/>
  <c r="H133" i="13"/>
  <c r="L133" i="13" s="1"/>
  <c r="P133" i="13" s="1"/>
  <c r="H25" i="13"/>
  <c r="J30" i="13"/>
  <c r="N30" i="13" s="1"/>
  <c r="R30" i="13" s="1"/>
  <c r="G145" i="13"/>
  <c r="K145" i="13" s="1"/>
  <c r="O145" i="13" s="1"/>
  <c r="J78" i="13"/>
  <c r="N78" i="13" s="1"/>
  <c r="R78" i="13" s="1"/>
  <c r="G106" i="13"/>
  <c r="K106" i="13" s="1"/>
  <c r="O106" i="13" s="1"/>
  <c r="I46" i="13"/>
  <c r="G236" i="13"/>
  <c r="K236" i="13" s="1"/>
  <c r="O236" i="13" s="1"/>
  <c r="G82" i="13"/>
  <c r="K82" i="13" s="1"/>
  <c r="O82" i="13" s="1"/>
  <c r="N194" i="13"/>
  <c r="R194" i="13" s="1"/>
  <c r="M219" i="13"/>
  <c r="Q219" i="13" s="1"/>
  <c r="H179" i="13"/>
  <c r="L179" i="13" s="1"/>
  <c r="P179" i="13" s="1"/>
  <c r="H171" i="13"/>
  <c r="L171" i="13" s="1"/>
  <c r="P171" i="13" s="1"/>
  <c r="M118" i="13"/>
  <c r="Q118" i="13" s="1"/>
  <c r="H234" i="13"/>
  <c r="L234" i="13" s="1"/>
  <c r="P234" i="13" s="1"/>
  <c r="N197" i="13"/>
  <c r="R197" i="13" s="1"/>
  <c r="N46" i="13"/>
  <c r="R46" i="13" s="1"/>
  <c r="G20" i="13"/>
  <c r="K20" i="13" s="1"/>
  <c r="O20" i="13" s="1"/>
  <c r="K5" i="13"/>
  <c r="O5" i="13" s="1"/>
  <c r="I29" i="13"/>
  <c r="M29" i="13" s="1"/>
  <c r="Q29" i="13" s="1"/>
  <c r="J54" i="13"/>
  <c r="G34" i="13"/>
  <c r="K34" i="13" s="1"/>
  <c r="O34" i="13" s="1"/>
  <c r="J156" i="13"/>
  <c r="N156" i="13" s="1"/>
  <c r="R156" i="13" s="1"/>
  <c r="J80" i="13"/>
  <c r="N80" i="13" s="1"/>
  <c r="R80" i="13" s="1"/>
  <c r="J104" i="13"/>
  <c r="H33" i="13"/>
  <c r="L33" i="13" s="1"/>
  <c r="P33" i="13" s="1"/>
  <c r="I194" i="13"/>
  <c r="J112" i="13"/>
  <c r="N112" i="13" s="1"/>
  <c r="R112" i="13" s="1"/>
  <c r="J128" i="13"/>
  <c r="N128" i="13" s="1"/>
  <c r="R128" i="13" s="1"/>
  <c r="J144" i="13"/>
  <c r="I157" i="13"/>
  <c r="M157" i="13" s="1"/>
  <c r="Q157" i="13" s="1"/>
  <c r="J167" i="13"/>
  <c r="N167" i="13" s="1"/>
  <c r="R167" i="13" s="1"/>
  <c r="J175" i="13"/>
  <c r="N175" i="13" s="1"/>
  <c r="R175" i="13" s="1"/>
  <c r="J183" i="13"/>
  <c r="N183" i="13" s="1"/>
  <c r="R183" i="13" s="1"/>
  <c r="G161" i="13"/>
  <c r="K161" i="13" s="1"/>
  <c r="O161" i="13" s="1"/>
  <c r="G169" i="13"/>
  <c r="K169" i="13" s="1"/>
  <c r="O169" i="13" s="1"/>
  <c r="G177" i="13"/>
  <c r="K177" i="13" s="1"/>
  <c r="O177" i="13" s="1"/>
  <c r="H228" i="13"/>
  <c r="I187" i="13"/>
  <c r="M187" i="13" s="1"/>
  <c r="Q187" i="13" s="1"/>
  <c r="J9" i="13"/>
  <c r="I73" i="13"/>
  <c r="M73" i="13" s="1"/>
  <c r="Q73" i="13" s="1"/>
  <c r="H120" i="13"/>
  <c r="L120" i="13" s="1"/>
  <c r="P120" i="13" s="1"/>
  <c r="G199" i="13"/>
  <c r="K199" i="13" s="1"/>
  <c r="O199" i="13" s="1"/>
  <c r="I221" i="13"/>
  <c r="M221" i="13" s="1"/>
  <c r="Q221" i="13" s="1"/>
  <c r="I192" i="13"/>
  <c r="J243" i="13"/>
  <c r="I173" i="13"/>
  <c r="M173" i="13" s="1"/>
  <c r="Q173" i="13" s="1"/>
  <c r="H239" i="13"/>
  <c r="L239" i="13" s="1"/>
  <c r="P239" i="13" s="1"/>
  <c r="S239" i="13" s="1"/>
  <c r="I56" i="13"/>
  <c r="M56" i="13" s="1"/>
  <c r="Q56" i="13" s="1"/>
  <c r="J138" i="13"/>
  <c r="N138" i="13" s="1"/>
  <c r="R138" i="13" s="1"/>
  <c r="J122" i="13"/>
  <c r="N122" i="13" s="1"/>
  <c r="R122" i="13" s="1"/>
  <c r="N36" i="13"/>
  <c r="R36" i="13" s="1"/>
  <c r="N213" i="13"/>
  <c r="R213" i="13" s="1"/>
  <c r="J179" i="13"/>
  <c r="N179" i="13" s="1"/>
  <c r="R179" i="13" s="1"/>
  <c r="N120" i="13"/>
  <c r="R120" i="13" s="1"/>
  <c r="M93" i="13"/>
  <c r="Q93" i="13" s="1"/>
  <c r="M254" i="13"/>
  <c r="Q254" i="13" s="1"/>
  <c r="M243" i="13"/>
  <c r="Q243" i="13" s="1"/>
  <c r="J238" i="13"/>
  <c r="N238" i="13" s="1"/>
  <c r="R238" i="13" s="1"/>
  <c r="S238" i="13" s="1"/>
  <c r="H125" i="13"/>
  <c r="L125" i="13" s="1"/>
  <c r="P125" i="13" s="1"/>
  <c r="G173" i="13"/>
  <c r="K173" i="13" s="1"/>
  <c r="O173" i="13" s="1"/>
  <c r="M117" i="13"/>
  <c r="Q117" i="13" s="1"/>
  <c r="G59" i="13"/>
  <c r="K59" i="13" s="1"/>
  <c r="O59" i="13" s="1"/>
  <c r="I240" i="13"/>
  <c r="M240" i="13" s="1"/>
  <c r="Q240" i="13" s="1"/>
  <c r="G191" i="13"/>
  <c r="K191" i="13" s="1"/>
  <c r="O191" i="13" s="1"/>
  <c r="G85" i="13"/>
  <c r="K85" i="13" s="1"/>
  <c r="O85" i="13" s="1"/>
  <c r="G84" i="13"/>
  <c r="K84" i="13" s="1"/>
  <c r="O84" i="13" s="1"/>
  <c r="G208" i="13"/>
  <c r="K208" i="13" s="1"/>
  <c r="O208" i="13" s="1"/>
  <c r="G207" i="13"/>
  <c r="K207" i="13" s="1"/>
  <c r="O207" i="13" s="1"/>
  <c r="J246" i="13"/>
  <c r="N246" i="13" s="1"/>
  <c r="R246" i="13" s="1"/>
  <c r="J245" i="13"/>
  <c r="N245" i="13" s="1"/>
  <c r="R245" i="13" s="1"/>
  <c r="G15" i="13"/>
  <c r="K15" i="13" s="1"/>
  <c r="O15" i="13" s="1"/>
  <c r="G16" i="13"/>
  <c r="K16" i="13" s="1"/>
  <c r="O16" i="13" s="1"/>
  <c r="G152" i="13"/>
  <c r="K152" i="13" s="1"/>
  <c r="O152" i="13" s="1"/>
  <c r="G151" i="13"/>
  <c r="K151" i="13" s="1"/>
  <c r="O151" i="13" s="1"/>
  <c r="H152" i="13"/>
  <c r="L152" i="13" s="1"/>
  <c r="P152" i="13" s="1"/>
  <c r="H153" i="13"/>
  <c r="L153" i="13" s="1"/>
  <c r="P153" i="13" s="1"/>
  <c r="H9" i="13"/>
  <c r="J140" i="13"/>
  <c r="N140" i="13" s="1"/>
  <c r="R140" i="13" s="1"/>
  <c r="J172" i="13"/>
  <c r="N172" i="13" s="1"/>
  <c r="R172" i="13" s="1"/>
  <c r="G210" i="13"/>
  <c r="K210" i="13" s="1"/>
  <c r="O210" i="13" s="1"/>
  <c r="G209" i="13"/>
  <c r="K209" i="13" s="1"/>
  <c r="O209" i="13" s="1"/>
  <c r="H213" i="13"/>
  <c r="L213" i="13" s="1"/>
  <c r="P213" i="13" s="1"/>
  <c r="N229" i="13"/>
  <c r="R229" i="13" s="1"/>
  <c r="M103" i="13"/>
  <c r="Q103" i="13" s="1"/>
  <c r="M109" i="13"/>
  <c r="Q109" i="13" s="1"/>
  <c r="M28" i="13"/>
  <c r="Q28" i="13" s="1"/>
  <c r="H220" i="13"/>
  <c r="L220" i="13" s="1"/>
  <c r="P220" i="13" s="1"/>
  <c r="M37" i="13"/>
  <c r="Q37" i="13" s="1"/>
  <c r="M141" i="13"/>
  <c r="Q141" i="13" s="1"/>
  <c r="N182" i="13"/>
  <c r="R182" i="13" s="1"/>
  <c r="H195" i="13"/>
  <c r="L195" i="13" s="1"/>
  <c r="P195" i="13" s="1"/>
  <c r="M202" i="13"/>
  <c r="Q202" i="13" s="1"/>
  <c r="I234" i="13"/>
  <c r="M234" i="13" s="1"/>
  <c r="Q234" i="13" s="1"/>
  <c r="G135" i="13"/>
  <c r="K135" i="13" s="1"/>
  <c r="O135" i="13" s="1"/>
  <c r="G68" i="13"/>
  <c r="K68" i="13" s="1"/>
  <c r="O68" i="13" s="1"/>
  <c r="G100" i="13"/>
  <c r="K100" i="13" s="1"/>
  <c r="O100" i="13" s="1"/>
  <c r="N144" i="13"/>
  <c r="R144" i="13" s="1"/>
  <c r="S144" i="13" s="1"/>
  <c r="I151" i="13"/>
  <c r="M151" i="13" s="1"/>
  <c r="Q151" i="13" s="1"/>
  <c r="G67" i="13"/>
  <c r="K67" i="13" s="1"/>
  <c r="O67" i="13" s="1"/>
  <c r="G66" i="13"/>
  <c r="K66" i="13" s="1"/>
  <c r="O66" i="13" s="1"/>
  <c r="G98" i="13"/>
  <c r="K98" i="13" s="1"/>
  <c r="O98" i="13" s="1"/>
  <c r="G99" i="13"/>
  <c r="K99" i="13" s="1"/>
  <c r="O99" i="13" s="1"/>
  <c r="J19" i="13"/>
  <c r="N19" i="13" s="1"/>
  <c r="R19" i="13" s="1"/>
  <c r="J20" i="13"/>
  <c r="N20" i="13" s="1"/>
  <c r="R20" i="13" s="1"/>
  <c r="H53" i="13"/>
  <c r="L53" i="13" s="1"/>
  <c r="P53" i="13" s="1"/>
  <c r="H54" i="13"/>
  <c r="H22" i="13"/>
  <c r="L22" i="13" s="1"/>
  <c r="P22" i="13" s="1"/>
  <c r="H23" i="13"/>
  <c r="L23" i="13" s="1"/>
  <c r="P23" i="13" s="1"/>
  <c r="I113" i="13"/>
  <c r="M113" i="13" s="1"/>
  <c r="Q113" i="13" s="1"/>
  <c r="I114" i="13"/>
  <c r="M114" i="13" s="1"/>
  <c r="Q114" i="13" s="1"/>
  <c r="G12" i="13"/>
  <c r="K12" i="13" s="1"/>
  <c r="O12" i="13" s="1"/>
  <c r="H81" i="13"/>
  <c r="H80" i="13"/>
  <c r="L80" i="13" s="1"/>
  <c r="P80" i="13" s="1"/>
  <c r="I138" i="13"/>
  <c r="M138" i="13" s="1"/>
  <c r="Q138" i="13" s="1"/>
  <c r="I139" i="13"/>
  <c r="M139" i="13" s="1"/>
  <c r="Q139" i="13" s="1"/>
  <c r="J191" i="13"/>
  <c r="N191" i="13" s="1"/>
  <c r="R191" i="13" s="1"/>
  <c r="J190" i="13"/>
  <c r="N190" i="13" s="1"/>
  <c r="R190" i="13" s="1"/>
  <c r="J206" i="13"/>
  <c r="N206" i="13" s="1"/>
  <c r="R206" i="13" s="1"/>
  <c r="J207" i="13"/>
  <c r="N207" i="13" s="1"/>
  <c r="R207" i="13" s="1"/>
  <c r="I247" i="13"/>
  <c r="M247" i="13" s="1"/>
  <c r="Q247" i="13" s="1"/>
  <c r="I246" i="13"/>
  <c r="M246" i="13" s="1"/>
  <c r="Q246" i="13" s="1"/>
  <c r="I253" i="13"/>
  <c r="M253" i="13" s="1"/>
  <c r="Q253" i="13" s="1"/>
  <c r="I252" i="13"/>
  <c r="M252" i="13" s="1"/>
  <c r="Q252" i="13" s="1"/>
  <c r="H127" i="13"/>
  <c r="L127" i="13" s="1"/>
  <c r="P127" i="13" s="1"/>
  <c r="H128" i="13"/>
  <c r="L128" i="13" s="1"/>
  <c r="P128" i="13" s="1"/>
  <c r="H156" i="13"/>
  <c r="L156" i="13" s="1"/>
  <c r="P156" i="13" s="1"/>
  <c r="H157" i="13"/>
  <c r="L157" i="13" s="1"/>
  <c r="P157" i="13" s="1"/>
  <c r="H162" i="13"/>
  <c r="L162" i="13" s="1"/>
  <c r="P162" i="13" s="1"/>
  <c r="H161" i="13"/>
  <c r="L161" i="13" s="1"/>
  <c r="P161" i="13" s="1"/>
  <c r="H139" i="13"/>
  <c r="L139" i="13" s="1"/>
  <c r="P139" i="13" s="1"/>
  <c r="H140" i="13"/>
  <c r="L140" i="13" s="1"/>
  <c r="P140" i="13" s="1"/>
  <c r="I145" i="13"/>
  <c r="M145" i="13" s="1"/>
  <c r="Q145" i="13" s="1"/>
  <c r="H232" i="13"/>
  <c r="L232" i="13" s="1"/>
  <c r="P232" i="13" s="1"/>
  <c r="H231" i="13"/>
  <c r="L231" i="13" s="1"/>
  <c r="P231" i="13" s="1"/>
  <c r="H200" i="13"/>
  <c r="L200" i="13" s="1"/>
  <c r="P200" i="13" s="1"/>
  <c r="H199" i="13"/>
  <c r="L199" i="13" s="1"/>
  <c r="P199" i="13" s="1"/>
  <c r="H36" i="13"/>
  <c r="L36" i="13" s="1"/>
  <c r="P36" i="13" s="1"/>
  <c r="H37" i="13"/>
  <c r="L37" i="13" s="1"/>
  <c r="P37" i="13" s="1"/>
  <c r="J16" i="13"/>
  <c r="N16" i="13" s="1"/>
  <c r="R16" i="13" s="1"/>
  <c r="I104" i="13"/>
  <c r="M104" i="13" s="1"/>
  <c r="Q104" i="13" s="1"/>
  <c r="I105" i="13"/>
  <c r="M105" i="13" s="1"/>
  <c r="Q105" i="13" s="1"/>
  <c r="J124" i="13"/>
  <c r="N124" i="13" s="1"/>
  <c r="R124" i="13" s="1"/>
  <c r="J164" i="13"/>
  <c r="N164" i="13" s="1"/>
  <c r="R164" i="13" s="1"/>
  <c r="G166" i="13"/>
  <c r="K166" i="13" s="1"/>
  <c r="O166" i="13" s="1"/>
  <c r="J224" i="13"/>
  <c r="N224" i="13" s="1"/>
  <c r="R224" i="13" s="1"/>
  <c r="H249" i="13"/>
  <c r="L249" i="13" s="1"/>
  <c r="P249" i="13" s="1"/>
  <c r="H192" i="13"/>
  <c r="H193" i="13"/>
  <c r="L193" i="13" s="1"/>
  <c r="P193" i="13" s="1"/>
  <c r="H208" i="13"/>
  <c r="L208" i="13" s="1"/>
  <c r="P208" i="13" s="1"/>
  <c r="H209" i="13"/>
  <c r="L209" i="13" s="1"/>
  <c r="P209" i="13" s="1"/>
  <c r="I179" i="13"/>
  <c r="M179" i="13" s="1"/>
  <c r="Q179" i="13" s="1"/>
  <c r="N253" i="13"/>
  <c r="R253" i="13" s="1"/>
  <c r="R1" i="13"/>
  <c r="N21" i="13"/>
  <c r="R21" i="13" s="1"/>
  <c r="N69" i="13"/>
  <c r="R69" i="13" s="1"/>
  <c r="J5" i="13"/>
  <c r="N220" i="13"/>
  <c r="R220" i="13" s="1"/>
  <c r="N35" i="13"/>
  <c r="R35" i="13" s="1"/>
  <c r="I87" i="13"/>
  <c r="M87" i="13" s="1"/>
  <c r="Q87" i="13" s="1"/>
  <c r="H183" i="13"/>
  <c r="L183" i="13" s="1"/>
  <c r="P183" i="13" s="1"/>
  <c r="H184" i="13"/>
  <c r="L184" i="13" s="1"/>
  <c r="P184" i="13" s="1"/>
  <c r="G244" i="13"/>
  <c r="K244" i="13" s="1"/>
  <c r="O244" i="13" s="1"/>
  <c r="G243" i="13"/>
  <c r="K243" i="13" s="1"/>
  <c r="O243" i="13" s="1"/>
  <c r="G241" i="13"/>
  <c r="K241" i="13" s="1"/>
  <c r="O241" i="13" s="1"/>
  <c r="I175" i="13"/>
  <c r="M175" i="13" s="1"/>
  <c r="Q175" i="13" s="1"/>
  <c r="I174" i="13"/>
  <c r="M174" i="13" s="1"/>
  <c r="Q174" i="13" s="1"/>
  <c r="M148" i="13"/>
  <c r="Q148" i="13" s="1"/>
  <c r="M255" i="13"/>
  <c r="Q255" i="13" s="1"/>
  <c r="M127" i="13"/>
  <c r="Q127" i="13" s="1"/>
  <c r="Q1" i="13"/>
  <c r="N233" i="13"/>
  <c r="R233" i="13" s="1"/>
  <c r="I165" i="13"/>
  <c r="M165" i="13" s="1"/>
  <c r="Q165" i="13" s="1"/>
  <c r="J222" i="13"/>
  <c r="N222" i="13" s="1"/>
  <c r="R222" i="13" s="1"/>
  <c r="J221" i="13"/>
  <c r="N221" i="13" s="1"/>
  <c r="R221" i="13" s="1"/>
  <c r="G223" i="13"/>
  <c r="K223" i="13" s="1"/>
  <c r="O223" i="13" s="1"/>
  <c r="H190" i="13"/>
  <c r="L190" i="13" s="1"/>
  <c r="P190" i="13" s="1"/>
  <c r="H255" i="13"/>
  <c r="L255" i="13" s="1"/>
  <c r="P255" i="13" s="1"/>
  <c r="I191" i="13"/>
  <c r="M191" i="13" s="1"/>
  <c r="Q191" i="13" s="1"/>
  <c r="M172" i="13"/>
  <c r="Q172" i="13" s="1"/>
  <c r="M162" i="13"/>
  <c r="Q162" i="13" s="1"/>
  <c r="H187" i="13"/>
  <c r="L187" i="13" s="1"/>
  <c r="P187" i="13" s="1"/>
  <c r="H148" i="13"/>
  <c r="L148" i="13" s="1"/>
  <c r="P148" i="13" s="1"/>
  <c r="I17" i="13"/>
  <c r="M17" i="13" s="1"/>
  <c r="Q17" i="13" s="1"/>
  <c r="N96" i="13"/>
  <c r="R96" i="13" s="1"/>
  <c r="I200" i="13"/>
  <c r="M200" i="13" s="1"/>
  <c r="Q200" i="13" s="1"/>
  <c r="J209" i="13"/>
  <c r="N209" i="13" s="1"/>
  <c r="R209" i="13" s="1"/>
  <c r="J187" i="13"/>
  <c r="N187" i="13" s="1"/>
  <c r="R187" i="13" s="1"/>
  <c r="N148" i="13"/>
  <c r="R148" i="13" s="1"/>
  <c r="I77" i="13"/>
  <c r="M77" i="13" s="1"/>
  <c r="Q77" i="13" s="1"/>
  <c r="I94" i="13"/>
  <c r="M94" i="13" s="1"/>
  <c r="Q94" i="13" s="1"/>
  <c r="N27" i="13"/>
  <c r="R27" i="13" s="1"/>
  <c r="N157" i="13"/>
  <c r="R157" i="13" s="1"/>
  <c r="M10" i="13"/>
  <c r="Q10" i="13" s="1"/>
  <c r="M51" i="13"/>
  <c r="Q51" i="13" s="1"/>
  <c r="G87" i="13"/>
  <c r="K87" i="13" s="1"/>
  <c r="O87" i="13" s="1"/>
  <c r="J76" i="13"/>
  <c r="N76" i="13" s="1"/>
  <c r="R76" i="13" s="1"/>
  <c r="N110" i="13"/>
  <c r="R110" i="13" s="1"/>
  <c r="H16" i="13"/>
  <c r="L16" i="13" s="1"/>
  <c r="P16" i="13" s="1"/>
  <c r="N22" i="13"/>
  <c r="R22" i="13" s="1"/>
  <c r="J32" i="13"/>
  <c r="N32" i="13" s="1"/>
  <c r="R32" i="13" s="1"/>
  <c r="M207" i="13"/>
  <c r="Q207" i="13" s="1"/>
  <c r="M185" i="13"/>
  <c r="Q185" i="13" s="1"/>
  <c r="I170" i="13"/>
  <c r="M170" i="13" s="1"/>
  <c r="Q170" i="13" s="1"/>
  <c r="N102" i="13"/>
  <c r="R102" i="13" s="1"/>
  <c r="M99" i="13"/>
  <c r="Q99" i="13" s="1"/>
  <c r="J152" i="13"/>
  <c r="N152" i="13" s="1"/>
  <c r="R152" i="13" s="1"/>
  <c r="M26" i="13"/>
  <c r="Q26" i="13" s="1"/>
  <c r="M183" i="13"/>
  <c r="Q183" i="13" s="1"/>
  <c r="M134" i="13"/>
  <c r="Q134" i="13" s="1"/>
  <c r="N12" i="13"/>
  <c r="R12" i="13" s="1"/>
  <c r="G183" i="13"/>
  <c r="K183" i="13" s="1"/>
  <c r="O183" i="13" s="1"/>
  <c r="N28" i="13"/>
  <c r="R28" i="13" s="1"/>
  <c r="I22" i="13"/>
  <c r="M22" i="13" s="1"/>
  <c r="Q22" i="13" s="1"/>
  <c r="I232" i="13"/>
  <c r="M232" i="13" s="1"/>
  <c r="Q232" i="13" s="1"/>
  <c r="M196" i="13"/>
  <c r="Q196" i="13" s="1"/>
  <c r="H229" i="13"/>
  <c r="L229" i="13" s="1"/>
  <c r="P229" i="13" s="1"/>
  <c r="G222" i="13"/>
  <c r="K222" i="13" s="1"/>
  <c r="O222" i="13" s="1"/>
  <c r="J225" i="13"/>
  <c r="N225" i="13" s="1"/>
  <c r="R225" i="13" s="1"/>
  <c r="G167" i="13"/>
  <c r="K167" i="13" s="1"/>
  <c r="O167" i="13" s="1"/>
  <c r="J173" i="13"/>
  <c r="N173" i="13" s="1"/>
  <c r="R173" i="13" s="1"/>
  <c r="N136" i="13"/>
  <c r="R136" i="13" s="1"/>
  <c r="I120" i="13"/>
  <c r="M120" i="13" s="1"/>
  <c r="Q120" i="13" s="1"/>
  <c r="I82" i="13"/>
  <c r="M82" i="13" s="1"/>
  <c r="Q82" i="13" s="1"/>
  <c r="N11" i="13"/>
  <c r="R11" i="13" s="1"/>
  <c r="H10" i="13"/>
  <c r="L10" i="13" s="1"/>
  <c r="P10" i="13" s="1"/>
  <c r="J97" i="13"/>
  <c r="N97" i="13" s="1"/>
  <c r="R97" i="13" s="1"/>
  <c r="N236" i="13"/>
  <c r="R236" i="13" s="1"/>
  <c r="N214" i="13"/>
  <c r="R214" i="13" s="1"/>
  <c r="M184" i="13"/>
  <c r="Q184" i="13" s="1"/>
  <c r="N53" i="13"/>
  <c r="R53" i="13" s="1"/>
  <c r="H56" i="13"/>
  <c r="L56" i="13" s="1"/>
  <c r="P56" i="13" s="1"/>
  <c r="I48" i="13"/>
  <c r="M48" i="13" s="1"/>
  <c r="Q48" i="13" s="1"/>
  <c r="I49" i="13"/>
  <c r="M49" i="13" s="1"/>
  <c r="Q49" i="13" s="1"/>
  <c r="J17" i="13"/>
  <c r="N17" i="13" s="1"/>
  <c r="R17" i="13" s="1"/>
  <c r="H38" i="13"/>
  <c r="L38" i="13" s="1"/>
  <c r="P38" i="13" s="1"/>
  <c r="H39" i="13"/>
  <c r="L39" i="13" s="1"/>
  <c r="P39" i="13" s="1"/>
  <c r="J106" i="13"/>
  <c r="N106" i="13" s="1"/>
  <c r="R106" i="13" s="1"/>
  <c r="G247" i="13"/>
  <c r="K247" i="13" s="1"/>
  <c r="O247" i="13" s="1"/>
  <c r="G248" i="13"/>
  <c r="K248" i="13" s="1"/>
  <c r="O248" i="13" s="1"/>
  <c r="G120" i="13"/>
  <c r="K120" i="13" s="1"/>
  <c r="O120" i="13" s="1"/>
  <c r="G119" i="13"/>
  <c r="K119" i="13" s="1"/>
  <c r="O119" i="13" s="1"/>
  <c r="M203" i="13"/>
  <c r="Q203" i="13" s="1"/>
  <c r="I248" i="13"/>
  <c r="M248" i="13" s="1"/>
  <c r="Q248" i="13" s="1"/>
  <c r="G132" i="13"/>
  <c r="K132" i="13" s="1"/>
  <c r="O132" i="13" s="1"/>
  <c r="N56" i="13"/>
  <c r="R56" i="13" s="1"/>
  <c r="N142" i="13"/>
  <c r="R142" i="13" s="1"/>
  <c r="M241" i="13"/>
  <c r="Q241" i="13" s="1"/>
  <c r="H95" i="13"/>
  <c r="L95" i="13" s="1"/>
  <c r="P95" i="13" s="1"/>
  <c r="M228" i="13"/>
  <c r="Q228" i="13" s="1"/>
  <c r="M212" i="13"/>
  <c r="Q212" i="13" s="1"/>
  <c r="N254" i="13"/>
  <c r="R254" i="13" s="1"/>
  <c r="G240" i="13"/>
  <c r="K240" i="13" s="1"/>
  <c r="O240" i="13" s="1"/>
  <c r="G123" i="13"/>
  <c r="K123" i="13" s="1"/>
  <c r="O123" i="13" s="1"/>
  <c r="H136" i="13"/>
  <c r="L136" i="13" s="1"/>
  <c r="P136" i="13" s="1"/>
  <c r="J61" i="13"/>
  <c r="N61" i="13" s="1"/>
  <c r="R61" i="13" s="1"/>
  <c r="N24" i="13"/>
  <c r="R24" i="13" s="1"/>
  <c r="N89" i="13"/>
  <c r="R89" i="13" s="1"/>
  <c r="N198" i="13"/>
  <c r="R198" i="13" s="1"/>
  <c r="M156" i="13"/>
  <c r="Q156" i="13" s="1"/>
  <c r="M72" i="13"/>
  <c r="Q72" i="13" s="1"/>
  <c r="M233" i="13"/>
  <c r="Q233" i="13" s="1"/>
  <c r="M226" i="13"/>
  <c r="Q226" i="13" s="1"/>
  <c r="M53" i="13"/>
  <c r="Q53" i="13" s="1"/>
  <c r="M186" i="13"/>
  <c r="Q186" i="13" s="1"/>
  <c r="N160" i="13"/>
  <c r="R160" i="13" s="1"/>
  <c r="M150" i="13"/>
  <c r="Q150" i="13" s="1"/>
  <c r="M42" i="13"/>
  <c r="Q42" i="13" s="1"/>
  <c r="J6" i="13"/>
  <c r="N6" i="13" s="1"/>
  <c r="R6" i="13" s="1"/>
  <c r="M21" i="13"/>
  <c r="Q21" i="13" s="1"/>
  <c r="M59" i="13"/>
  <c r="Q59" i="13" s="1"/>
  <c r="G46" i="13"/>
  <c r="K46" i="13" s="1"/>
  <c r="O46" i="13" s="1"/>
  <c r="N79" i="13"/>
  <c r="R79" i="13" s="1"/>
  <c r="J95" i="13"/>
  <c r="N95" i="13" s="1"/>
  <c r="R95" i="13" s="1"/>
  <c r="J94" i="13"/>
  <c r="N94" i="13" s="1"/>
  <c r="R94" i="13" s="1"/>
  <c r="H98" i="13"/>
  <c r="L98" i="13" s="1"/>
  <c r="P98" i="13" s="1"/>
  <c r="S98" i="13" s="1"/>
  <c r="H99" i="13"/>
  <c r="L99" i="13" s="1"/>
  <c r="P99" i="13" s="1"/>
  <c r="M125" i="13"/>
  <c r="Q125" i="13" s="1"/>
  <c r="N155" i="13"/>
  <c r="R155" i="13" s="1"/>
  <c r="M90" i="13"/>
  <c r="Q90" i="13" s="1"/>
  <c r="I7" i="13"/>
  <c r="M7" i="13" s="1"/>
  <c r="Q7" i="13" s="1"/>
  <c r="I6" i="13"/>
  <c r="M6" i="13" s="1"/>
  <c r="Q6" i="13" s="1"/>
  <c r="S6" i="13" s="1"/>
  <c r="J37" i="13"/>
  <c r="N37" i="13" s="1"/>
  <c r="R37" i="13" s="1"/>
  <c r="H27" i="13"/>
  <c r="L27" i="13" s="1"/>
  <c r="P27" i="13" s="1"/>
  <c r="M44" i="13"/>
  <c r="Q44" i="13" s="1"/>
  <c r="N54" i="13"/>
  <c r="R54" i="13" s="1"/>
  <c r="G19" i="13"/>
  <c r="K19" i="13" s="1"/>
  <c r="O19" i="13" s="1"/>
  <c r="N8" i="13"/>
  <c r="R8" i="13" s="1"/>
  <c r="I40" i="13"/>
  <c r="M40" i="13" s="1"/>
  <c r="Q40" i="13" s="1"/>
  <c r="N42" i="13"/>
  <c r="R42" i="13" s="1"/>
  <c r="G28" i="13"/>
  <c r="K28" i="13" s="1"/>
  <c r="O28" i="13" s="1"/>
  <c r="H69" i="13"/>
  <c r="L69" i="13" s="1"/>
  <c r="P69" i="13" s="1"/>
  <c r="N145" i="13"/>
  <c r="R145" i="13" s="1"/>
  <c r="H78" i="13"/>
  <c r="L78" i="13" s="1"/>
  <c r="P78" i="13" s="1"/>
  <c r="M92" i="13"/>
  <c r="Q92" i="13" s="1"/>
  <c r="M101" i="13"/>
  <c r="Q101" i="13" s="1"/>
  <c r="M149" i="13"/>
  <c r="Q149" i="13" s="1"/>
  <c r="N166" i="13"/>
  <c r="R166" i="13" s="1"/>
  <c r="N174" i="13"/>
  <c r="R174" i="13" s="1"/>
  <c r="I147" i="13"/>
  <c r="M147" i="13" s="1"/>
  <c r="Q147" i="13" s="1"/>
  <c r="H247" i="13"/>
  <c r="G228" i="13"/>
  <c r="K228" i="13" s="1"/>
  <c r="O228" i="13" s="1"/>
  <c r="G227" i="13"/>
  <c r="K227" i="13" s="1"/>
  <c r="O227" i="13" s="1"/>
  <c r="M218" i="13"/>
  <c r="Q218" i="13" s="1"/>
  <c r="M188" i="13"/>
  <c r="Q188" i="13" s="1"/>
  <c r="G249" i="13"/>
  <c r="K249" i="13" s="1"/>
  <c r="O249" i="13" s="1"/>
  <c r="H252" i="13"/>
  <c r="L252" i="13" s="1"/>
  <c r="P252" i="13" s="1"/>
  <c r="H223" i="13"/>
  <c r="L223" i="13" s="1"/>
  <c r="P223" i="13" s="1"/>
  <c r="S223" i="13" s="1"/>
  <c r="H240" i="13"/>
  <c r="L240" i="13" s="1"/>
  <c r="P240" i="13" s="1"/>
  <c r="I198" i="13"/>
  <c r="M198" i="13" s="1"/>
  <c r="Q198" i="13" s="1"/>
  <c r="H250" i="13"/>
  <c r="L250" i="13" s="1"/>
  <c r="P250" i="13" s="1"/>
  <c r="J113" i="13"/>
  <c r="N113" i="13" s="1"/>
  <c r="R113" i="13" s="1"/>
  <c r="J114" i="13"/>
  <c r="N114" i="13" s="1"/>
  <c r="R114" i="13" s="1"/>
  <c r="N104" i="13"/>
  <c r="R104" i="13" s="1"/>
  <c r="H65" i="13"/>
  <c r="L65" i="13" s="1"/>
  <c r="P65" i="13" s="1"/>
  <c r="I116" i="13"/>
  <c r="M116" i="13" s="1"/>
  <c r="Q116" i="13" s="1"/>
  <c r="I86" i="13"/>
  <c r="M86" i="13" s="1"/>
  <c r="Q86" i="13" s="1"/>
  <c r="M102" i="13"/>
  <c r="Q102" i="13" s="1"/>
  <c r="H189" i="13"/>
  <c r="L189" i="13" s="1"/>
  <c r="P189" i="13" s="1"/>
  <c r="H188" i="13"/>
  <c r="L188" i="13" s="1"/>
  <c r="P188" i="13" s="1"/>
  <c r="M167" i="13"/>
  <c r="Q167" i="13" s="1"/>
  <c r="N204" i="13"/>
  <c r="R204" i="13" s="1"/>
  <c r="M245" i="13"/>
  <c r="Q245" i="13" s="1"/>
  <c r="M194" i="13"/>
  <c r="Q194" i="13" s="1"/>
  <c r="S194" i="13" s="1"/>
  <c r="P1" i="13"/>
  <c r="H5" i="13"/>
  <c r="L244" i="13"/>
  <c r="P244" i="13" s="1"/>
  <c r="L9" i="13"/>
  <c r="P9" i="13" s="1"/>
  <c r="L25" i="13"/>
  <c r="P25" i="13" s="1"/>
  <c r="G51" i="13"/>
  <c r="K51" i="13" s="1"/>
  <c r="O51" i="13" s="1"/>
  <c r="S51" i="13" s="1"/>
  <c r="H126" i="13"/>
  <c r="L126" i="13" s="1"/>
  <c r="P126" i="13" s="1"/>
  <c r="I136" i="13"/>
  <c r="M136" i="13" s="1"/>
  <c r="Q136" i="13" s="1"/>
  <c r="G197" i="13"/>
  <c r="K197" i="13" s="1"/>
  <c r="O197" i="13" s="1"/>
  <c r="G198" i="13"/>
  <c r="K198" i="13" s="1"/>
  <c r="O198" i="13" s="1"/>
  <c r="G213" i="13"/>
  <c r="K213" i="13" s="1"/>
  <c r="O213" i="13" s="1"/>
  <c r="G214" i="13"/>
  <c r="K214" i="13" s="1"/>
  <c r="O214" i="13" s="1"/>
  <c r="L228" i="13"/>
  <c r="P228" i="13" s="1"/>
  <c r="N9" i="13"/>
  <c r="R9" i="13" s="1"/>
  <c r="G61" i="13"/>
  <c r="K61" i="13" s="1"/>
  <c r="O61" i="13" s="1"/>
  <c r="G146" i="13"/>
  <c r="K146" i="13" s="1"/>
  <c r="O146" i="13" s="1"/>
  <c r="G147" i="13"/>
  <c r="K147" i="13" s="1"/>
  <c r="O147" i="13" s="1"/>
  <c r="G134" i="13"/>
  <c r="K134" i="13" s="1"/>
  <c r="O134" i="13" s="1"/>
  <c r="M192" i="13"/>
  <c r="Q192" i="13" s="1"/>
  <c r="J226" i="13"/>
  <c r="N226" i="13" s="1"/>
  <c r="R226" i="13" s="1"/>
  <c r="N243" i="13"/>
  <c r="R243" i="13" s="1"/>
  <c r="H206" i="13"/>
  <c r="L206" i="13" s="1"/>
  <c r="P206" i="13" s="1"/>
  <c r="J210" i="13"/>
  <c r="N210" i="13" s="1"/>
  <c r="R210" i="13" s="1"/>
  <c r="M168" i="13"/>
  <c r="Q168" i="13" s="1"/>
  <c r="G140" i="13"/>
  <c r="K140" i="13" s="1"/>
  <c r="O140" i="13" s="1"/>
  <c r="N70" i="13"/>
  <c r="R70" i="13" s="1"/>
  <c r="M67" i="13"/>
  <c r="Q67" i="13" s="1"/>
  <c r="I45" i="13"/>
  <c r="M45" i="13" s="1"/>
  <c r="Q45" i="13" s="1"/>
  <c r="L35" i="13"/>
  <c r="P35" i="13" s="1"/>
  <c r="N150" i="13"/>
  <c r="R150" i="13" s="1"/>
  <c r="S150" i="13" s="1"/>
  <c r="N134" i="13"/>
  <c r="R134" i="13" s="1"/>
  <c r="N118" i="13"/>
  <c r="R118" i="13" s="1"/>
  <c r="I126" i="13"/>
  <c r="M126" i="13" s="1"/>
  <c r="Q126" i="13" s="1"/>
  <c r="M79" i="13"/>
  <c r="Q79" i="13" s="1"/>
  <c r="H43" i="13"/>
  <c r="L43" i="13" s="1"/>
  <c r="P43" i="13" s="1"/>
  <c r="H246" i="13"/>
  <c r="L246" i="13" s="1"/>
  <c r="P246" i="13" s="1"/>
  <c r="M159" i="13"/>
  <c r="Q159" i="13" s="1"/>
  <c r="N66" i="13"/>
  <c r="R66" i="13" s="1"/>
  <c r="G255" i="13"/>
  <c r="K255" i="13" s="1"/>
  <c r="O255" i="13" s="1"/>
  <c r="N205" i="13"/>
  <c r="R205" i="13" s="1"/>
  <c r="N189" i="13"/>
  <c r="R189" i="13" s="1"/>
  <c r="I140" i="13"/>
  <c r="M140" i="13" s="1"/>
  <c r="Q140" i="13" s="1"/>
  <c r="N88" i="13"/>
  <c r="R88" i="13" s="1"/>
  <c r="H66" i="13"/>
  <c r="L66" i="13" s="1"/>
  <c r="P66" i="13" s="1"/>
  <c r="L13" i="13"/>
  <c r="P13" i="13" s="1"/>
  <c r="H26" i="13"/>
  <c r="L26" i="13" s="1"/>
  <c r="P26" i="13" s="1"/>
  <c r="L242" i="13"/>
  <c r="P242" i="13" s="1"/>
  <c r="M54" i="13"/>
  <c r="Q54" i="13" s="1"/>
  <c r="N48" i="13"/>
  <c r="R48" i="13" s="1"/>
  <c r="N117" i="13"/>
  <c r="R117" i="13" s="1"/>
  <c r="S117" i="13" s="1"/>
  <c r="L198" i="13"/>
  <c r="P198" i="13" s="1"/>
  <c r="J111" i="13"/>
  <c r="N111" i="13" s="1"/>
  <c r="R111" i="13" s="1"/>
  <c r="G103" i="13"/>
  <c r="K103" i="13" s="1"/>
  <c r="O103" i="13" s="1"/>
  <c r="M210" i="13"/>
  <c r="Q210" i="13" s="1"/>
  <c r="N235" i="13"/>
  <c r="R235" i="13" s="1"/>
  <c r="J203" i="13"/>
  <c r="N203" i="13" s="1"/>
  <c r="R203" i="13" s="1"/>
  <c r="H111" i="13"/>
  <c r="L111" i="13" s="1"/>
  <c r="P111" i="13" s="1"/>
  <c r="H100" i="13"/>
  <c r="L100" i="13" s="1"/>
  <c r="P100" i="13" s="1"/>
  <c r="M227" i="13"/>
  <c r="Q227" i="13" s="1"/>
  <c r="M211" i="13"/>
  <c r="Q211" i="13" s="1"/>
  <c r="M195" i="13"/>
  <c r="Q195" i="13" s="1"/>
  <c r="N100" i="13"/>
  <c r="R100" i="13" s="1"/>
  <c r="M62" i="13"/>
  <c r="Q62" i="13" s="1"/>
  <c r="M16" i="13"/>
  <c r="Q16" i="13" s="1"/>
  <c r="I38" i="13"/>
  <c r="M38" i="13" s="1"/>
  <c r="Q38" i="13" s="1"/>
  <c r="N248" i="13"/>
  <c r="R248" i="13" s="1"/>
  <c r="N130" i="13"/>
  <c r="R130" i="13" s="1"/>
  <c r="M237" i="13"/>
  <c r="Q237" i="13" s="1"/>
  <c r="L129" i="13"/>
  <c r="P129" i="13" s="1"/>
  <c r="I91" i="13"/>
  <c r="M91" i="13" s="1"/>
  <c r="Q91" i="13" s="1"/>
  <c r="M236" i="13"/>
  <c r="Q236" i="13" s="1"/>
  <c r="M220" i="13"/>
  <c r="Q220" i="13" s="1"/>
  <c r="L221" i="13"/>
  <c r="P221" i="13" s="1"/>
  <c r="L205" i="13"/>
  <c r="P205" i="13" s="1"/>
  <c r="N244" i="13"/>
  <c r="R244" i="13" s="1"/>
  <c r="N237" i="13"/>
  <c r="R237" i="13" s="1"/>
  <c r="I158" i="13"/>
  <c r="M158" i="13" s="1"/>
  <c r="Q158" i="13" s="1"/>
  <c r="M89" i="13"/>
  <c r="Q89" i="13" s="1"/>
  <c r="I74" i="13"/>
  <c r="M74" i="13" s="1"/>
  <c r="Q74" i="13" s="1"/>
  <c r="J31" i="13"/>
  <c r="N31" i="13" s="1"/>
  <c r="R31" i="13" s="1"/>
  <c r="L204" i="13"/>
  <c r="P204" i="13" s="1"/>
  <c r="H224" i="13"/>
  <c r="L224" i="13" s="1"/>
  <c r="P224" i="13" s="1"/>
  <c r="J242" i="13"/>
  <c r="N242" i="13" s="1"/>
  <c r="R242" i="13" s="1"/>
  <c r="G211" i="13"/>
  <c r="K211" i="13" s="1"/>
  <c r="O211" i="13" s="1"/>
  <c r="M163" i="13"/>
  <c r="Q163" i="13" s="1"/>
  <c r="S163" i="13" s="1"/>
  <c r="L168" i="13"/>
  <c r="P168" i="13" s="1"/>
  <c r="N231" i="13"/>
  <c r="R231" i="13" s="1"/>
  <c r="N247" i="13"/>
  <c r="R247" i="13" s="1"/>
  <c r="G229" i="13"/>
  <c r="K229" i="13" s="1"/>
  <c r="O229" i="13" s="1"/>
  <c r="L116" i="13"/>
  <c r="P116" i="13" s="1"/>
  <c r="M30" i="13"/>
  <c r="Q30" i="13" s="1"/>
  <c r="M107" i="13"/>
  <c r="Q107" i="13" s="1"/>
  <c r="L243" i="13"/>
  <c r="P243" i="13" s="1"/>
  <c r="S243" i="13" s="1"/>
  <c r="M224" i="13"/>
  <c r="Q224" i="13" s="1"/>
  <c r="M208" i="13"/>
  <c r="Q208" i="13" s="1"/>
  <c r="N241" i="13"/>
  <c r="R241" i="13" s="1"/>
  <c r="L217" i="13"/>
  <c r="P217" i="13" s="1"/>
  <c r="L201" i="13"/>
  <c r="P201" i="13" s="1"/>
  <c r="M256" i="13"/>
  <c r="Q256" i="13" s="1"/>
  <c r="N217" i="13"/>
  <c r="R217" i="13" s="1"/>
  <c r="N201" i="13"/>
  <c r="R201" i="13" s="1"/>
  <c r="N146" i="13"/>
  <c r="R146" i="13" s="1"/>
  <c r="N177" i="13"/>
  <c r="R177" i="13" s="1"/>
  <c r="N169" i="13"/>
  <c r="R169" i="13" s="1"/>
  <c r="N161" i="13"/>
  <c r="R161" i="13" s="1"/>
  <c r="N132" i="13"/>
  <c r="R132" i="13" s="1"/>
  <c r="N44" i="13"/>
  <c r="R44" i="13" s="1"/>
  <c r="L41" i="13"/>
  <c r="P41" i="13" s="1"/>
  <c r="M46" i="13"/>
  <c r="Q46" i="13" s="1"/>
  <c r="L216" i="13"/>
  <c r="P216" i="13" s="1"/>
  <c r="N230" i="13"/>
  <c r="R230" i="13" s="1"/>
  <c r="S230" i="13" s="1"/>
  <c r="L114" i="13"/>
  <c r="P114" i="13" s="1"/>
  <c r="L63" i="13"/>
  <c r="P63" i="13" s="1"/>
  <c r="M169" i="13"/>
  <c r="Q169" i="13" s="1"/>
  <c r="M161" i="13"/>
  <c r="Q161" i="13" s="1"/>
  <c r="L182" i="13"/>
  <c r="P182" i="13" s="1"/>
  <c r="L174" i="13"/>
  <c r="P174" i="13" s="1"/>
  <c r="L215" i="13"/>
  <c r="P215" i="13" s="1"/>
  <c r="L134" i="13"/>
  <c r="P134" i="13" s="1"/>
  <c r="M61" i="13"/>
  <c r="Q61" i="13" s="1"/>
  <c r="N135" i="13"/>
  <c r="R135" i="13" s="1"/>
  <c r="M225" i="13"/>
  <c r="Q225" i="13" s="1"/>
  <c r="L21" i="13"/>
  <c r="P21" i="13" s="1"/>
  <c r="S21" i="13" s="1"/>
  <c r="L14" i="13"/>
  <c r="P14" i="13" s="1"/>
  <c r="L218" i="13"/>
  <c r="P218" i="13" s="1"/>
  <c r="L202" i="13"/>
  <c r="P202" i="13" s="1"/>
  <c r="L159" i="13"/>
  <c r="P159" i="13" s="1"/>
  <c r="M242" i="13"/>
  <c r="Q242" i="13" s="1"/>
  <c r="N215" i="13"/>
  <c r="R215" i="13" s="1"/>
  <c r="M160" i="13"/>
  <c r="Q160" i="13" s="1"/>
  <c r="N55" i="13"/>
  <c r="R55" i="13" s="1"/>
  <c r="N240" i="13"/>
  <c r="R240" i="13" s="1"/>
  <c r="I19" i="13"/>
  <c r="M19" i="13" s="1"/>
  <c r="Q19" i="13" s="1"/>
  <c r="I35" i="13"/>
  <c r="M35" i="13" s="1"/>
  <c r="Q35" i="13" s="1"/>
  <c r="N49" i="13"/>
  <c r="R49" i="13" s="1"/>
  <c r="N57" i="13"/>
  <c r="R57" i="13" s="1"/>
  <c r="S57" i="13" s="1"/>
  <c r="G25" i="13"/>
  <c r="K25" i="13" s="1"/>
  <c r="O25" i="13" s="1"/>
  <c r="M15" i="13"/>
  <c r="Q15" i="13" s="1"/>
  <c r="M31" i="13"/>
  <c r="Q31" i="13" s="1"/>
  <c r="M47" i="13"/>
  <c r="Q47" i="13" s="1"/>
  <c r="G37" i="13"/>
  <c r="K37" i="13" s="1"/>
  <c r="O37" i="13" s="1"/>
  <c r="M9" i="13"/>
  <c r="Q9" i="13" s="1"/>
  <c r="I25" i="13"/>
  <c r="M25" i="13" s="1"/>
  <c r="Q25" i="13" s="1"/>
  <c r="I41" i="13"/>
  <c r="M41" i="13" s="1"/>
  <c r="Q41" i="13" s="1"/>
  <c r="I52" i="13"/>
  <c r="M52" i="13" s="1"/>
  <c r="Q52" i="13" s="1"/>
  <c r="I60" i="13"/>
  <c r="M60" i="13" s="1"/>
  <c r="Q60" i="13" s="1"/>
  <c r="H59" i="13"/>
  <c r="L59" i="13" s="1"/>
  <c r="P59" i="13" s="1"/>
  <c r="G91" i="13"/>
  <c r="K91" i="13" s="1"/>
  <c r="O91" i="13" s="1"/>
  <c r="J67" i="13"/>
  <c r="N67" i="13" s="1"/>
  <c r="R67" i="13" s="1"/>
  <c r="S67" i="13" s="1"/>
  <c r="J83" i="13"/>
  <c r="N83" i="13" s="1"/>
  <c r="R83" i="13" s="1"/>
  <c r="S83" i="13" s="1"/>
  <c r="N99" i="13"/>
  <c r="R99" i="13" s="1"/>
  <c r="G35" i="13"/>
  <c r="K35" i="13" s="1"/>
  <c r="O35" i="13" s="1"/>
  <c r="H70" i="13"/>
  <c r="L70" i="13" s="1"/>
  <c r="P70" i="13" s="1"/>
  <c r="H86" i="13"/>
  <c r="L86" i="13" s="1"/>
  <c r="P86" i="13" s="1"/>
  <c r="L102" i="13"/>
  <c r="P102" i="13" s="1"/>
  <c r="J91" i="13"/>
  <c r="N91" i="13" s="1"/>
  <c r="R91" i="13" s="1"/>
  <c r="I129" i="13"/>
  <c r="M129" i="13" s="1"/>
  <c r="Q129" i="13" s="1"/>
  <c r="J65" i="13"/>
  <c r="N65" i="13" s="1"/>
  <c r="R65" i="13" s="1"/>
  <c r="N115" i="13"/>
  <c r="R115" i="13" s="1"/>
  <c r="N131" i="13"/>
  <c r="R131" i="13" s="1"/>
  <c r="N147" i="13"/>
  <c r="R147" i="13" s="1"/>
  <c r="I106" i="13"/>
  <c r="M106" i="13" s="1"/>
  <c r="Q106" i="13" s="1"/>
  <c r="I8" i="13"/>
  <c r="M8" i="13" s="1"/>
  <c r="Q8" i="13" s="1"/>
  <c r="L20" i="13"/>
  <c r="P20" i="13" s="1"/>
  <c r="H50" i="13"/>
  <c r="L50" i="13" s="1"/>
  <c r="P50" i="13" s="1"/>
  <c r="J25" i="13"/>
  <c r="N25" i="13" s="1"/>
  <c r="R25" i="13" s="1"/>
  <c r="J41" i="13"/>
  <c r="N41" i="13" s="1"/>
  <c r="R41" i="13" s="1"/>
  <c r="H15" i="13"/>
  <c r="L15" i="13" s="1"/>
  <c r="P15" i="13" s="1"/>
  <c r="H31" i="13"/>
  <c r="L31" i="13" s="1"/>
  <c r="P31" i="13" s="1"/>
  <c r="H47" i="13"/>
  <c r="L47" i="13" s="1"/>
  <c r="P47" i="13" s="1"/>
  <c r="H64" i="13"/>
  <c r="L64" i="13" s="1"/>
  <c r="P64" i="13" s="1"/>
  <c r="H96" i="13"/>
  <c r="L96" i="13" s="1"/>
  <c r="P96" i="13" s="1"/>
  <c r="I110" i="13"/>
  <c r="M110" i="13" s="1"/>
  <c r="Q110" i="13" s="1"/>
  <c r="I33" i="13"/>
  <c r="M33" i="13" s="1"/>
  <c r="Q33" i="13" s="1"/>
  <c r="N47" i="13"/>
  <c r="R47" i="13" s="1"/>
  <c r="G39" i="13"/>
  <c r="K39" i="13" s="1"/>
  <c r="O39" i="13" s="1"/>
  <c r="I12" i="13"/>
  <c r="M12" i="13" s="1"/>
  <c r="Q12" i="13" s="1"/>
  <c r="I27" i="13"/>
  <c r="M27" i="13" s="1"/>
  <c r="Q27" i="13" s="1"/>
  <c r="I43" i="13"/>
  <c r="M43" i="13" s="1"/>
  <c r="Q43" i="13" s="1"/>
  <c r="H61" i="13"/>
  <c r="L61" i="13" s="1"/>
  <c r="P61" i="13" s="1"/>
  <c r="G93" i="13"/>
  <c r="K93" i="13" s="1"/>
  <c r="O93" i="13" s="1"/>
  <c r="J101" i="13"/>
  <c r="N101" i="13" s="1"/>
  <c r="R101" i="13" s="1"/>
  <c r="G44" i="13"/>
  <c r="K44" i="13" s="1"/>
  <c r="O44" i="13" s="1"/>
  <c r="H72" i="13"/>
  <c r="L72" i="13" s="1"/>
  <c r="P72" i="13" s="1"/>
  <c r="H88" i="13"/>
  <c r="L88" i="13" s="1"/>
  <c r="P88" i="13" s="1"/>
  <c r="I131" i="13"/>
  <c r="M131" i="13" s="1"/>
  <c r="Q131" i="13" s="1"/>
  <c r="J74" i="13"/>
  <c r="N74" i="13" s="1"/>
  <c r="R74" i="13" s="1"/>
  <c r="N116" i="13"/>
  <c r="R116" i="13" s="1"/>
  <c r="N149" i="13"/>
  <c r="R149" i="13" s="1"/>
  <c r="N158" i="13"/>
  <c r="R158" i="13" s="1"/>
  <c r="H119" i="13"/>
  <c r="L119" i="13" s="1"/>
  <c r="P119" i="13" s="1"/>
  <c r="N39" i="13"/>
  <c r="R39" i="13" s="1"/>
  <c r="G54" i="13"/>
  <c r="K54" i="13" s="1"/>
  <c r="O54" i="13" s="1"/>
  <c r="I68" i="13"/>
  <c r="M68" i="13" s="1"/>
  <c r="Q68" i="13" s="1"/>
  <c r="G71" i="13"/>
  <c r="K71" i="13" s="1"/>
  <c r="O71" i="13" s="1"/>
  <c r="H130" i="13"/>
  <c r="L130" i="13" s="1"/>
  <c r="P130" i="13" s="1"/>
  <c r="G149" i="13"/>
  <c r="K149" i="13" s="1"/>
  <c r="O149" i="13" s="1"/>
  <c r="S149" i="13" s="1"/>
  <c r="I65" i="13"/>
  <c r="M65" i="13" s="1"/>
  <c r="Q65" i="13" s="1"/>
  <c r="L115" i="13"/>
  <c r="P115" i="13" s="1"/>
  <c r="S115" i="13" s="1"/>
  <c r="J129" i="13"/>
  <c r="N129" i="13" s="1"/>
  <c r="R129" i="13" s="1"/>
  <c r="L141" i="13"/>
  <c r="P141" i="13" s="1"/>
  <c r="G160" i="13"/>
  <c r="K160" i="13" s="1"/>
  <c r="O160" i="13" s="1"/>
  <c r="N168" i="13"/>
  <c r="R168" i="13" s="1"/>
  <c r="N176" i="13"/>
  <c r="R176" i="13" s="1"/>
  <c r="N184" i="13"/>
  <c r="R184" i="13" s="1"/>
  <c r="N159" i="13"/>
  <c r="R159" i="13" s="1"/>
  <c r="J199" i="13"/>
  <c r="N199" i="13" s="1"/>
  <c r="R199" i="13" s="1"/>
  <c r="I178" i="13"/>
  <c r="M178" i="13" s="1"/>
  <c r="Q178" i="13" s="1"/>
  <c r="G200" i="13"/>
  <c r="K200" i="13" s="1"/>
  <c r="O200" i="13" s="1"/>
  <c r="G232" i="13"/>
  <c r="K232" i="13" s="1"/>
  <c r="O232" i="13" s="1"/>
  <c r="M206" i="13"/>
  <c r="Q206" i="13" s="1"/>
  <c r="M222" i="13"/>
  <c r="Q222" i="13" s="1"/>
  <c r="G193" i="13"/>
  <c r="K193" i="13" s="1"/>
  <c r="O193" i="13" s="1"/>
  <c r="H207" i="13"/>
  <c r="L207" i="13" s="1"/>
  <c r="P207" i="13" s="1"/>
  <c r="L235" i="13"/>
  <c r="P235" i="13" s="1"/>
  <c r="I181" i="13"/>
  <c r="M181" i="13" s="1"/>
  <c r="Q181" i="13" s="1"/>
  <c r="S181" i="13" s="1"/>
  <c r="M55" i="13"/>
  <c r="Q55" i="13" s="1"/>
  <c r="I63" i="13"/>
  <c r="M63" i="13" s="1"/>
  <c r="Q63" i="13" s="1"/>
  <c r="G95" i="13"/>
  <c r="K95" i="13" s="1"/>
  <c r="O95" i="13" s="1"/>
  <c r="G14" i="13"/>
  <c r="K14" i="13" s="1"/>
  <c r="O14" i="13" s="1"/>
  <c r="N87" i="13"/>
  <c r="R87" i="13" s="1"/>
  <c r="J103" i="13"/>
  <c r="N103" i="13" s="1"/>
  <c r="R103" i="13" s="1"/>
  <c r="J58" i="13"/>
  <c r="N58" i="13" s="1"/>
  <c r="R58" i="13" s="1"/>
  <c r="N108" i="13"/>
  <c r="R108" i="13" s="1"/>
  <c r="I133" i="13"/>
  <c r="M133" i="13" s="1"/>
  <c r="Q133" i="13" s="1"/>
  <c r="J81" i="13"/>
  <c r="N81" i="13" s="1"/>
  <c r="R81" i="13" s="1"/>
  <c r="N119" i="13"/>
  <c r="R119" i="13" s="1"/>
  <c r="N151" i="13"/>
  <c r="R151" i="13" s="1"/>
  <c r="H7" i="13"/>
  <c r="L7" i="13" s="1"/>
  <c r="P7" i="13" s="1"/>
  <c r="L24" i="13"/>
  <c r="P24" i="13" s="1"/>
  <c r="L40" i="13"/>
  <c r="P40" i="13" s="1"/>
  <c r="L52" i="13"/>
  <c r="P52" i="13" s="1"/>
  <c r="J13" i="13"/>
  <c r="N13" i="13" s="1"/>
  <c r="R13" i="13" s="1"/>
  <c r="J45" i="13"/>
  <c r="N45" i="13" s="1"/>
  <c r="R45" i="13" s="1"/>
  <c r="H18" i="13"/>
  <c r="L18" i="13" s="1"/>
  <c r="P18" i="13" s="1"/>
  <c r="G50" i="13"/>
  <c r="K50" i="13" s="1"/>
  <c r="O50" i="13" s="1"/>
  <c r="H68" i="13"/>
  <c r="L68" i="13" s="1"/>
  <c r="P68" i="13" s="1"/>
  <c r="H84" i="13"/>
  <c r="L84" i="13" s="1"/>
  <c r="P84" i="13" s="1"/>
  <c r="M112" i="13"/>
  <c r="Q112" i="13" s="1"/>
  <c r="J50" i="13"/>
  <c r="N50" i="13" s="1"/>
  <c r="R50" i="13" s="1"/>
  <c r="G11" i="13"/>
  <c r="K11" i="13" s="1"/>
  <c r="O11" i="13" s="1"/>
  <c r="G27" i="13"/>
  <c r="K27" i="13" s="1"/>
  <c r="O27" i="13" s="1"/>
  <c r="J10" i="13"/>
  <c r="N10" i="13" s="1"/>
  <c r="R10" i="13" s="1"/>
  <c r="G81" i="13"/>
  <c r="K81" i="13" s="1"/>
  <c r="O81" i="13" s="1"/>
  <c r="G111" i="13"/>
  <c r="K111" i="13" s="1"/>
  <c r="O111" i="13" s="1"/>
  <c r="J105" i="13"/>
  <c r="N105" i="13" s="1"/>
  <c r="R105" i="13" s="1"/>
  <c r="N60" i="13"/>
  <c r="R60" i="13" s="1"/>
  <c r="H77" i="13"/>
  <c r="L77" i="13" s="1"/>
  <c r="P77" i="13" s="1"/>
  <c r="H92" i="13"/>
  <c r="L92" i="13" s="1"/>
  <c r="P92" i="13" s="1"/>
  <c r="M119" i="13"/>
  <c r="Q119" i="13" s="1"/>
  <c r="I135" i="13"/>
  <c r="M135" i="13" s="1"/>
  <c r="Q135" i="13" s="1"/>
  <c r="H48" i="13"/>
  <c r="L48" i="13" s="1"/>
  <c r="P48" i="13" s="1"/>
  <c r="H12" i="13"/>
  <c r="L12" i="13" s="1"/>
  <c r="P12" i="13" s="1"/>
  <c r="I76" i="13"/>
  <c r="M76" i="13" s="1"/>
  <c r="Q76" i="13" s="1"/>
  <c r="L138" i="13"/>
  <c r="P138" i="13" s="1"/>
  <c r="S138" i="13" s="1"/>
  <c r="H154" i="13"/>
  <c r="L154" i="13" s="1"/>
  <c r="P154" i="13" s="1"/>
  <c r="N162" i="13"/>
  <c r="R162" i="13" s="1"/>
  <c r="N170" i="13"/>
  <c r="R170" i="13" s="1"/>
  <c r="N178" i="13"/>
  <c r="R178" i="13" s="1"/>
  <c r="N186" i="13"/>
  <c r="R186" i="13" s="1"/>
  <c r="N219" i="13"/>
  <c r="R219" i="13" s="1"/>
  <c r="J234" i="13"/>
  <c r="N234" i="13" s="1"/>
  <c r="R234" i="13" s="1"/>
  <c r="S234" i="13" s="1"/>
  <c r="G204" i="13"/>
  <c r="K204" i="13" s="1"/>
  <c r="O204" i="13" s="1"/>
  <c r="I244" i="13"/>
  <c r="M244" i="13" s="1"/>
  <c r="Q244" i="13" s="1"/>
  <c r="J43" i="13"/>
  <c r="N43" i="13" s="1"/>
  <c r="R43" i="13" s="1"/>
  <c r="K12" i="12"/>
  <c r="E8" i="16" s="1"/>
  <c r="K10" i="12"/>
  <c r="C8" i="16" s="1"/>
  <c r="K11" i="12"/>
  <c r="D8" i="16" s="1"/>
  <c r="K9" i="12"/>
  <c r="B8" i="16" s="1"/>
  <c r="E26" i="12"/>
  <c r="F26" i="12"/>
  <c r="G26" i="12"/>
  <c r="H26" i="12"/>
  <c r="E24" i="12"/>
  <c r="G24" i="12"/>
  <c r="H24" i="12"/>
  <c r="F24" i="12"/>
  <c r="H19" i="13"/>
  <c r="L19" i="13" s="1"/>
  <c r="P19" i="13" s="1"/>
  <c r="E25" i="12"/>
  <c r="F25" i="12"/>
  <c r="H25" i="12"/>
  <c r="G25" i="12"/>
  <c r="J82" i="13"/>
  <c r="N82" i="13" s="1"/>
  <c r="R82" i="13" s="1"/>
  <c r="H103" i="13"/>
  <c r="L103" i="13" s="1"/>
  <c r="P103" i="13" s="1"/>
  <c r="H87" i="13"/>
  <c r="L87" i="13" s="1"/>
  <c r="P87" i="13" s="1"/>
  <c r="H71" i="13"/>
  <c r="L71" i="13" s="1"/>
  <c r="P71" i="13" s="1"/>
  <c r="G90" i="13"/>
  <c r="K90" i="13" s="1"/>
  <c r="O90" i="13" s="1"/>
  <c r="G23" i="13"/>
  <c r="K23" i="13" s="1"/>
  <c r="O23" i="13" s="1"/>
  <c r="J92" i="13"/>
  <c r="N92" i="13" s="1"/>
  <c r="R92" i="13" s="1"/>
  <c r="G129" i="13"/>
  <c r="K129" i="13" s="1"/>
  <c r="O129" i="13" s="1"/>
  <c r="H58" i="13"/>
  <c r="L58" i="13" s="1"/>
  <c r="P58" i="13" s="1"/>
  <c r="J139" i="13"/>
  <c r="N139" i="13" s="1"/>
  <c r="R139" i="13" s="1"/>
  <c r="J18" i="13"/>
  <c r="N18" i="13" s="1"/>
  <c r="R18" i="13" s="1"/>
  <c r="I123" i="13"/>
  <c r="M123" i="13" s="1"/>
  <c r="Q123" i="13" s="1"/>
  <c r="H158" i="13"/>
  <c r="L158" i="13" s="1"/>
  <c r="P158" i="13" s="1"/>
  <c r="I213" i="13"/>
  <c r="M213" i="13" s="1"/>
  <c r="Q213" i="13" s="1"/>
  <c r="F23" i="12"/>
  <c r="G23" i="12"/>
  <c r="H23" i="12"/>
  <c r="E23" i="12"/>
  <c r="I14" i="13"/>
  <c r="M14" i="13" s="1"/>
  <c r="Q14" i="13" s="1"/>
  <c r="H203" i="13"/>
  <c r="L203" i="13" s="1"/>
  <c r="P203" i="13" s="1"/>
  <c r="H32" i="13"/>
  <c r="L32" i="13" s="1"/>
  <c r="P32" i="13" s="1"/>
  <c r="I153" i="13"/>
  <c r="M153" i="13" s="1"/>
  <c r="Q153" i="13" s="1"/>
  <c r="S153" i="13" s="1"/>
  <c r="H85" i="13"/>
  <c r="L85" i="13" s="1"/>
  <c r="P85" i="13" s="1"/>
  <c r="J127" i="13"/>
  <c r="N127" i="13" s="1"/>
  <c r="R127" i="13" s="1"/>
  <c r="J143" i="13"/>
  <c r="N143" i="13" s="1"/>
  <c r="R143" i="13" s="1"/>
  <c r="G176" i="13"/>
  <c r="K176" i="13" s="1"/>
  <c r="O176" i="13" s="1"/>
  <c r="J196" i="13"/>
  <c r="N196" i="13" s="1"/>
  <c r="R196" i="13" s="1"/>
  <c r="H196" i="13"/>
  <c r="L196" i="13" s="1"/>
  <c r="P196" i="13" s="1"/>
  <c r="J34" i="13"/>
  <c r="N34" i="13" s="1"/>
  <c r="R34" i="13" s="1"/>
  <c r="I217" i="13"/>
  <c r="M217" i="13" s="1"/>
  <c r="Q217" i="13" s="1"/>
  <c r="H245" i="13"/>
  <c r="L245" i="13" s="1"/>
  <c r="P245" i="13" s="1"/>
  <c r="S245" i="13" s="1"/>
  <c r="I229" i="13"/>
  <c r="M229" i="13" s="1"/>
  <c r="Q229" i="13" s="1"/>
  <c r="G36" i="13"/>
  <c r="K36" i="13" s="1"/>
  <c r="O36" i="13" s="1"/>
  <c r="I128" i="13"/>
  <c r="M128" i="13" s="1"/>
  <c r="Q128" i="13" s="1"/>
  <c r="G94" i="13"/>
  <c r="K94" i="13" s="1"/>
  <c r="O94" i="13" s="1"/>
  <c r="S94" i="13" s="1"/>
  <c r="G78" i="13"/>
  <c r="K78" i="13" s="1"/>
  <c r="O78" i="13" s="1"/>
  <c r="J40" i="13"/>
  <c r="N40" i="13" s="1"/>
  <c r="R40" i="13" s="1"/>
  <c r="H46" i="13"/>
  <c r="L46" i="13" s="1"/>
  <c r="P46" i="13" s="1"/>
  <c r="I13" i="13"/>
  <c r="M13" i="13" s="1"/>
  <c r="Q13" i="13" s="1"/>
  <c r="H8" i="13"/>
  <c r="L8" i="13" s="1"/>
  <c r="P8" i="13" s="1"/>
  <c r="I11" i="13"/>
  <c r="M11" i="13" s="1"/>
  <c r="Q11" i="13" s="1"/>
  <c r="J38" i="13"/>
  <c r="N38" i="13" s="1"/>
  <c r="R38" i="13" s="1"/>
  <c r="H118" i="13"/>
  <c r="L118" i="13" s="1"/>
  <c r="P118" i="13" s="1"/>
  <c r="H60" i="13"/>
  <c r="L60" i="13" s="1"/>
  <c r="P60" i="13" s="1"/>
  <c r="H89" i="13"/>
  <c r="L89" i="13" s="1"/>
  <c r="P89" i="13" s="1"/>
  <c r="G8" i="13"/>
  <c r="K8" i="13" s="1"/>
  <c r="O8" i="13" s="1"/>
  <c r="J85" i="13"/>
  <c r="N85" i="13" s="1"/>
  <c r="R85" i="13" s="1"/>
  <c r="J84" i="13"/>
  <c r="N84" i="13" s="1"/>
  <c r="R84" i="13" s="1"/>
  <c r="H104" i="13"/>
  <c r="L104" i="13" s="1"/>
  <c r="P104" i="13" s="1"/>
  <c r="H105" i="13"/>
  <c r="L105" i="13" s="1"/>
  <c r="P105" i="13" s="1"/>
  <c r="H34" i="13"/>
  <c r="L34" i="13" s="1"/>
  <c r="P34" i="13" s="1"/>
  <c r="G43" i="13"/>
  <c r="K43" i="13" s="1"/>
  <c r="O43" i="13" s="1"/>
  <c r="I32" i="13"/>
  <c r="M32" i="13" s="1"/>
  <c r="Q32" i="13" s="1"/>
  <c r="J73" i="13"/>
  <c r="N73" i="13" s="1"/>
  <c r="R73" i="13" s="1"/>
  <c r="H93" i="13"/>
  <c r="L93" i="13" s="1"/>
  <c r="P93" i="13" s="1"/>
  <c r="H108" i="13"/>
  <c r="L108" i="13" s="1"/>
  <c r="P108" i="13" s="1"/>
  <c r="H109" i="13"/>
  <c r="L109" i="13" s="1"/>
  <c r="P109" i="13" s="1"/>
  <c r="H122" i="13"/>
  <c r="L122" i="13" s="1"/>
  <c r="P122" i="13" s="1"/>
  <c r="S122" i="13" s="1"/>
  <c r="H123" i="13"/>
  <c r="L123" i="13" s="1"/>
  <c r="P123" i="13" s="1"/>
  <c r="I108" i="13"/>
  <c r="M108" i="13" s="1"/>
  <c r="Q108" i="13" s="1"/>
  <c r="H253" i="13"/>
  <c r="L253" i="13" s="1"/>
  <c r="P253" i="13" s="1"/>
  <c r="G235" i="13"/>
  <c r="K235" i="13" s="1"/>
  <c r="O235" i="13" s="1"/>
  <c r="G219" i="13"/>
  <c r="K219" i="13" s="1"/>
  <c r="O219" i="13" s="1"/>
  <c r="G203" i="13"/>
  <c r="K203" i="13" s="1"/>
  <c r="O203" i="13" s="1"/>
  <c r="J218" i="13"/>
  <c r="N218" i="13" s="1"/>
  <c r="R218" i="13" s="1"/>
  <c r="I177" i="13"/>
  <c r="M177" i="13" s="1"/>
  <c r="Q177" i="13" s="1"/>
  <c r="S177" i="13" s="1"/>
  <c r="L254" i="13"/>
  <c r="P254" i="13" s="1"/>
  <c r="L227" i="13"/>
  <c r="P227" i="13" s="1"/>
  <c r="N26" i="13"/>
  <c r="R26" i="13" s="1"/>
  <c r="J228" i="13"/>
  <c r="N228" i="13" s="1"/>
  <c r="R228" i="13" s="1"/>
  <c r="J227" i="13"/>
  <c r="N227" i="13" s="1"/>
  <c r="R227" i="13" s="1"/>
  <c r="I85" i="13"/>
  <c r="M85" i="13" s="1"/>
  <c r="Q85" i="13" s="1"/>
  <c r="G137" i="13"/>
  <c r="K137" i="13" s="1"/>
  <c r="O137" i="13" s="1"/>
  <c r="S137" i="13" s="1"/>
  <c r="L192" i="13"/>
  <c r="P192" i="13" s="1"/>
  <c r="I209" i="13"/>
  <c r="M209" i="13" s="1"/>
  <c r="Q209" i="13" s="1"/>
  <c r="J212" i="13"/>
  <c r="N212" i="13" s="1"/>
  <c r="R212" i="13" s="1"/>
  <c r="J211" i="13"/>
  <c r="N211" i="13" s="1"/>
  <c r="R211" i="13" s="1"/>
  <c r="G251" i="13"/>
  <c r="K251" i="13" s="1"/>
  <c r="O251" i="13" s="1"/>
  <c r="G252" i="13"/>
  <c r="K252" i="13" s="1"/>
  <c r="O252" i="13" s="1"/>
  <c r="G156" i="13"/>
  <c r="K156" i="13" s="1"/>
  <c r="O156" i="13" s="1"/>
  <c r="G155" i="13"/>
  <c r="K155" i="13" s="1"/>
  <c r="O155" i="13" s="1"/>
  <c r="G126" i="13"/>
  <c r="K126" i="13" s="1"/>
  <c r="O126" i="13" s="1"/>
  <c r="L54" i="13"/>
  <c r="P54" i="13" s="1"/>
  <c r="L44" i="13"/>
  <c r="P44" i="13" s="1"/>
  <c r="L28" i="13"/>
  <c r="P28" i="13" s="1"/>
  <c r="S28" i="13" s="1"/>
  <c r="N232" i="13"/>
  <c r="R232" i="13" s="1"/>
  <c r="N216" i="13"/>
  <c r="R216" i="13" s="1"/>
  <c r="L97" i="13"/>
  <c r="P97" i="13" s="1"/>
  <c r="L81" i="13"/>
  <c r="P81" i="13" s="1"/>
  <c r="G13" i="13"/>
  <c r="K13" i="13" s="1"/>
  <c r="O13" i="13" s="1"/>
  <c r="I84" i="13"/>
  <c r="M84" i="13" s="1"/>
  <c r="Q84" i="13" s="1"/>
  <c r="L191" i="13"/>
  <c r="P191" i="13" s="1"/>
  <c r="L247" i="13"/>
  <c r="P247" i="13" s="1"/>
  <c r="S247" i="13" s="1"/>
  <c r="N195" i="13"/>
  <c r="R195" i="13" s="1"/>
  <c r="L135" i="13"/>
  <c r="P135" i="13" s="1"/>
  <c r="J23" i="13"/>
  <c r="N23" i="13" s="1"/>
  <c r="R23" i="13" s="1"/>
  <c r="J63" i="13"/>
  <c r="N63" i="13" s="1"/>
  <c r="R63" i="13" s="1"/>
  <c r="H237" i="13"/>
  <c r="L237" i="13" s="1"/>
  <c r="P237" i="13" s="1"/>
  <c r="I70" i="13"/>
  <c r="M70" i="13" s="1"/>
  <c r="Q70" i="13" s="1"/>
  <c r="S39" i="13"/>
  <c r="S164" i="13"/>
  <c r="G45" i="13"/>
  <c r="K45" i="13" s="1"/>
  <c r="O45" i="13" s="1"/>
  <c r="J107" i="13"/>
  <c r="N107" i="13" s="1"/>
  <c r="R107" i="13" s="1"/>
  <c r="I146" i="13"/>
  <c r="M146" i="13" s="1"/>
  <c r="Q146" i="13" s="1"/>
  <c r="S146" i="13" s="1"/>
  <c r="H145" i="13"/>
  <c r="L145" i="13" s="1"/>
  <c r="P145" i="13" s="1"/>
  <c r="S145" i="13" s="1"/>
  <c r="I250" i="13"/>
  <c r="M250" i="13" s="1"/>
  <c r="Q250" i="13" s="1"/>
  <c r="J250" i="13"/>
  <c r="N250" i="13" s="1"/>
  <c r="R250" i="13" s="1"/>
  <c r="S142" i="13"/>
  <c r="S233" i="13"/>
  <c r="I80" i="13"/>
  <c r="M80" i="13" s="1"/>
  <c r="Q80" i="13" s="1"/>
  <c r="I193" i="13"/>
  <c r="M193" i="13" s="1"/>
  <c r="Q193" i="13" s="1"/>
  <c r="G184" i="13"/>
  <c r="K184" i="13" s="1"/>
  <c r="O184" i="13" s="1"/>
  <c r="I251" i="13"/>
  <c r="M251" i="13" s="1"/>
  <c r="Q251" i="13" s="1"/>
  <c r="I197" i="13"/>
  <c r="M197" i="13" s="1"/>
  <c r="Q197" i="13" s="1"/>
  <c r="S113" i="13"/>
  <c r="I100" i="13"/>
  <c r="M100" i="13" s="1"/>
  <c r="Q100" i="13" s="1"/>
  <c r="H143" i="13"/>
  <c r="L143" i="13" s="1"/>
  <c r="P143" i="13" s="1"/>
  <c r="J109" i="13"/>
  <c r="N109" i="13" s="1"/>
  <c r="R109" i="13" s="1"/>
  <c r="I189" i="13"/>
  <c r="M189" i="13" s="1"/>
  <c r="Q189" i="13" s="1"/>
  <c r="I201" i="13"/>
  <c r="M201" i="13" s="1"/>
  <c r="Q201" i="13" s="1"/>
  <c r="S148" i="13"/>
  <c r="S17" i="13"/>
  <c r="S121" i="13"/>
  <c r="H147" i="13"/>
  <c r="L147" i="13" s="1"/>
  <c r="P147" i="13" s="1"/>
  <c r="I64" i="13"/>
  <c r="M64" i="13" s="1"/>
  <c r="Q64" i="13" s="1"/>
  <c r="S64" i="13" s="1"/>
  <c r="I96" i="13"/>
  <c r="M96" i="13" s="1"/>
  <c r="Q96" i="13" s="1"/>
  <c r="J256" i="13"/>
  <c r="N256" i="13" s="1"/>
  <c r="R256" i="13" s="1"/>
  <c r="I205" i="13"/>
  <c r="M205" i="13" s="1"/>
  <c r="Q205" i="13" s="1"/>
  <c r="I11" i="12"/>
  <c r="I10" i="12"/>
  <c r="I9" i="12"/>
  <c r="J4" i="11"/>
  <c r="S49" i="13" l="1"/>
  <c r="S125" i="13"/>
  <c r="S172" i="13"/>
  <c r="S212" i="13"/>
  <c r="S61" i="13"/>
  <c r="S114" i="13"/>
  <c r="S251" i="13"/>
  <c r="S133" i="13"/>
  <c r="S241" i="13"/>
  <c r="S75" i="13"/>
  <c r="S156" i="13"/>
  <c r="S165" i="13"/>
  <c r="S252" i="13"/>
  <c r="S209" i="13"/>
  <c r="S38" i="13"/>
  <c r="S65" i="13"/>
  <c r="S33" i="13"/>
  <c r="S132" i="13"/>
  <c r="S30" i="13"/>
  <c r="S226" i="13"/>
  <c r="S214" i="13"/>
  <c r="S102" i="13"/>
  <c r="S56" i="13"/>
  <c r="S183" i="13"/>
  <c r="S222" i="13"/>
  <c r="S170" i="13"/>
  <c r="S189" i="13"/>
  <c r="S107" i="13"/>
  <c r="S11" i="13"/>
  <c r="S36" i="13"/>
  <c r="S32" i="13"/>
  <c r="S154" i="13"/>
  <c r="S48" i="13"/>
  <c r="S77" i="13"/>
  <c r="S52" i="13"/>
  <c r="S55" i="13"/>
  <c r="S141" i="13"/>
  <c r="S88" i="13"/>
  <c r="S12" i="13"/>
  <c r="S110" i="13"/>
  <c r="S31" i="13"/>
  <c r="S70" i="13"/>
  <c r="S37" i="13"/>
  <c r="S174" i="13"/>
  <c r="S62" i="13"/>
  <c r="S19" i="13"/>
  <c r="S18" i="13"/>
  <c r="S195" i="13"/>
  <c r="S192" i="13"/>
  <c r="S228" i="13"/>
  <c r="S7" i="13"/>
  <c r="S207" i="13"/>
  <c r="S159" i="13"/>
  <c r="S160" i="13"/>
  <c r="S131" i="13"/>
  <c r="S25" i="13"/>
  <c r="S106" i="13"/>
  <c r="S9" i="13"/>
  <c r="S35" i="13"/>
  <c r="S215" i="13"/>
  <c r="S185" i="13"/>
  <c r="S208" i="13"/>
  <c r="S74" i="13"/>
  <c r="S220" i="13"/>
  <c r="S168" i="13"/>
  <c r="S166" i="13"/>
  <c r="S199" i="13"/>
  <c r="S66" i="13"/>
  <c r="S221" i="13"/>
  <c r="S124" i="13"/>
  <c r="S224" i="13"/>
  <c r="S69" i="13"/>
  <c r="S151" i="13"/>
  <c r="S236" i="13"/>
  <c r="S255" i="13"/>
  <c r="S29" i="13"/>
  <c r="S225" i="13"/>
  <c r="S180" i="13"/>
  <c r="S190" i="13"/>
  <c r="S200" i="13"/>
  <c r="S99" i="13"/>
  <c r="S186" i="13"/>
  <c r="S24" i="13"/>
  <c r="S249" i="13"/>
  <c r="S46" i="13"/>
  <c r="S123" i="13"/>
  <c r="S118" i="13"/>
  <c r="S87" i="13"/>
  <c r="S167" i="13"/>
  <c r="S147" i="13"/>
  <c r="S191" i="13"/>
  <c r="S155" i="13"/>
  <c r="S235" i="13"/>
  <c r="S128" i="13"/>
  <c r="S213" i="13"/>
  <c r="S76" i="13"/>
  <c r="S20" i="13"/>
  <c r="S197" i="13"/>
  <c r="S80" i="13"/>
  <c r="S135" i="13"/>
  <c r="S44" i="13"/>
  <c r="S111" i="13"/>
  <c r="S218" i="13"/>
  <c r="S253" i="13"/>
  <c r="S104" i="13"/>
  <c r="S82" i="13"/>
  <c r="S171" i="13"/>
  <c r="S112" i="13"/>
  <c r="S205" i="13"/>
  <c r="S97" i="13"/>
  <c r="S211" i="13"/>
  <c r="S73" i="13"/>
  <c r="S173" i="13"/>
  <c r="S256" i="13"/>
  <c r="S85" i="13"/>
  <c r="S63" i="13"/>
  <c r="S81" i="13"/>
  <c r="S232" i="13"/>
  <c r="S126" i="13"/>
  <c r="S93" i="13"/>
  <c r="S78" i="13"/>
  <c r="S204" i="13"/>
  <c r="S95" i="13"/>
  <c r="S71" i="13"/>
  <c r="S179" i="13"/>
  <c r="G264" i="13"/>
  <c r="H264" i="13"/>
  <c r="H265" i="13"/>
  <c r="J265" i="13"/>
  <c r="J264" i="13"/>
  <c r="S152" i="13"/>
  <c r="S246" i="13"/>
  <c r="S59" i="13"/>
  <c r="S120" i="13"/>
  <c r="S187" i="13"/>
  <c r="S161" i="13"/>
  <c r="G265" i="13"/>
  <c r="I265" i="13"/>
  <c r="I264" i="13"/>
  <c r="S86" i="13"/>
  <c r="S50" i="13"/>
  <c r="S237" i="13"/>
  <c r="S13" i="13"/>
  <c r="S216" i="13"/>
  <c r="S54" i="13"/>
  <c r="S89" i="13"/>
  <c r="S244" i="13"/>
  <c r="S27" i="13"/>
  <c r="S58" i="13"/>
  <c r="S14" i="13"/>
  <c r="S178" i="13"/>
  <c r="S176" i="13"/>
  <c r="S129" i="13"/>
  <c r="S130" i="13"/>
  <c r="S72" i="13"/>
  <c r="S15" i="13"/>
  <c r="S91" i="13"/>
  <c r="S47" i="13"/>
  <c r="S240" i="13"/>
  <c r="S242" i="13"/>
  <c r="S182" i="13"/>
  <c r="S41" i="13"/>
  <c r="S169" i="13"/>
  <c r="S248" i="13"/>
  <c r="S210" i="13"/>
  <c r="S140" i="13"/>
  <c r="S79" i="13"/>
  <c r="S206" i="13"/>
  <c r="S157" i="13"/>
  <c r="S188" i="13"/>
  <c r="S116" i="13"/>
  <c r="S42" i="13"/>
  <c r="S53" i="13"/>
  <c r="S119" i="13"/>
  <c r="S136" i="13"/>
  <c r="S22" i="13"/>
  <c r="S134" i="13"/>
  <c r="S16" i="13"/>
  <c r="S162" i="13"/>
  <c r="S127" i="13"/>
  <c r="S175" i="13"/>
  <c r="S231" i="13"/>
  <c r="G259" i="13"/>
  <c r="B7" i="16" s="1"/>
  <c r="S184" i="13"/>
  <c r="S227" i="13"/>
  <c r="S60" i="13"/>
  <c r="S96" i="13"/>
  <c r="S203" i="13"/>
  <c r="S217" i="13"/>
  <c r="S139" i="13"/>
  <c r="S201" i="13"/>
  <c r="S100" i="13"/>
  <c r="S193" i="13"/>
  <c r="S250" i="13"/>
  <c r="S254" i="13"/>
  <c r="S219" i="13"/>
  <c r="S8" i="13"/>
  <c r="S40" i="13"/>
  <c r="S158" i="13"/>
  <c r="S90" i="13"/>
  <c r="S103" i="13"/>
  <c r="S68" i="13"/>
  <c r="S101" i="13"/>
  <c r="S202" i="13"/>
  <c r="S198" i="13"/>
  <c r="L5" i="13"/>
  <c r="P5" i="13" s="1"/>
  <c r="H259" i="13"/>
  <c r="C7" i="16" s="1"/>
  <c r="N5" i="13"/>
  <c r="R5" i="13" s="1"/>
  <c r="J259" i="13"/>
  <c r="E7" i="16" s="1"/>
  <c r="I259" i="13"/>
  <c r="D7" i="16" s="1"/>
  <c r="S26" i="13"/>
  <c r="S229" i="13"/>
  <c r="S196" i="13"/>
  <c r="S10" i="13"/>
  <c r="S105" i="13"/>
  <c r="S108" i="13"/>
  <c r="S109" i="13"/>
  <c r="S45" i="13"/>
  <c r="S23" i="13"/>
  <c r="S84" i="13"/>
  <c r="S34" i="13"/>
  <c r="S92" i="13"/>
  <c r="U1" i="13"/>
  <c r="S43" i="13"/>
  <c r="E30" i="12"/>
  <c r="L9" i="12"/>
  <c r="M9" i="12" s="1"/>
  <c r="S143" i="13"/>
  <c r="G32" i="12"/>
  <c r="L11" i="12"/>
  <c r="M11" i="12" s="1"/>
  <c r="F31" i="12"/>
  <c r="D16" i="12" s="1" a="1"/>
  <c r="D16" i="12" s="1"/>
  <c r="E17" i="12" s="1"/>
  <c r="F17" i="12" s="1"/>
  <c r="L10" i="12"/>
  <c r="M10" i="12" s="1"/>
  <c r="H33" i="12"/>
  <c r="L12" i="12"/>
  <c r="M12" i="12" s="1"/>
  <c r="I13" i="12"/>
  <c r="I4" i="11"/>
  <c r="H4" i="11"/>
  <c r="G4" i="11"/>
  <c r="A256" i="11"/>
  <c r="A255" i="11" s="1"/>
  <c r="A254" i="11" s="1"/>
  <c r="A253" i="11" s="1"/>
  <c r="A252" i="11" s="1"/>
  <c r="A251" i="11" s="1"/>
  <c r="A250" i="11" s="1"/>
  <c r="A249" i="11" s="1"/>
  <c r="A248" i="11" s="1"/>
  <c r="A247" i="11" s="1"/>
  <c r="A246" i="11" s="1"/>
  <c r="A245" i="11" s="1"/>
  <c r="A244" i="11" s="1"/>
  <c r="A243" i="11" s="1"/>
  <c r="A242" i="11" s="1"/>
  <c r="A241" i="11" s="1"/>
  <c r="A240" i="11" s="1"/>
  <c r="A239" i="11" s="1"/>
  <c r="A238" i="11" s="1"/>
  <c r="A237" i="11" s="1"/>
  <c r="A236" i="11" s="1"/>
  <c r="A235" i="11" s="1"/>
  <c r="A234" i="11" s="1"/>
  <c r="A233" i="11" s="1"/>
  <c r="A232" i="11" s="1"/>
  <c r="A231" i="11" s="1"/>
  <c r="A230" i="11" s="1"/>
  <c r="A229" i="11" s="1"/>
  <c r="A228" i="11" s="1"/>
  <c r="A227" i="11" s="1"/>
  <c r="A226" i="11" s="1"/>
  <c r="A225" i="11" s="1"/>
  <c r="A224" i="11" s="1"/>
  <c r="A223" i="11" s="1"/>
  <c r="A222" i="11" s="1"/>
  <c r="A221" i="11" s="1"/>
  <c r="A220" i="11" s="1"/>
  <c r="A219" i="11" s="1"/>
  <c r="A218" i="11" s="1"/>
  <c r="A217" i="11" s="1"/>
  <c r="A216" i="11" s="1"/>
  <c r="A215" i="11" s="1"/>
  <c r="A214" i="11" s="1"/>
  <c r="A213" i="11" s="1"/>
  <c r="A212" i="11" s="1"/>
  <c r="A211" i="11" s="1"/>
  <c r="A210" i="11" s="1"/>
  <c r="A209" i="11" s="1"/>
  <c r="A208" i="11" s="1"/>
  <c r="A207" i="11" s="1"/>
  <c r="A206" i="11" s="1"/>
  <c r="A205" i="11" s="1"/>
  <c r="A204" i="11" s="1"/>
  <c r="A203" i="11" s="1"/>
  <c r="A202" i="11" s="1"/>
  <c r="A201" i="11" s="1"/>
  <c r="A200" i="11" s="1"/>
  <c r="A199" i="11" s="1"/>
  <c r="A198" i="11" s="1"/>
  <c r="A197" i="11" s="1"/>
  <c r="A196" i="11" s="1"/>
  <c r="A195" i="11" s="1"/>
  <c r="A194" i="11" s="1"/>
  <c r="A193" i="11" s="1"/>
  <c r="A192" i="11" s="1"/>
  <c r="A191" i="11" s="1"/>
  <c r="A190" i="11" s="1"/>
  <c r="A189" i="11" s="1"/>
  <c r="A188" i="11" s="1"/>
  <c r="A187" i="11" s="1"/>
  <c r="A186" i="11" s="1"/>
  <c r="A185" i="11" s="1"/>
  <c r="A184" i="11" s="1"/>
  <c r="A183" i="11" s="1"/>
  <c r="A182" i="11" s="1"/>
  <c r="A181" i="11" s="1"/>
  <c r="A180" i="11" s="1"/>
  <c r="A179" i="11" s="1"/>
  <c r="A178" i="11" s="1"/>
  <c r="A177" i="11" s="1"/>
  <c r="A176" i="11" s="1"/>
  <c r="A175" i="11" s="1"/>
  <c r="A174" i="11" s="1"/>
  <c r="A173" i="11" s="1"/>
  <c r="A172" i="11" s="1"/>
  <c r="A171" i="11" s="1"/>
  <c r="A170" i="11" s="1"/>
  <c r="A169" i="11" s="1"/>
  <c r="A168" i="11" s="1"/>
  <c r="A167" i="11" s="1"/>
  <c r="A166" i="11" s="1"/>
  <c r="A165" i="11" s="1"/>
  <c r="A164" i="11" s="1"/>
  <c r="A163" i="11" s="1"/>
  <c r="A162" i="11" s="1"/>
  <c r="A161" i="11" s="1"/>
  <c r="A160" i="11" s="1"/>
  <c r="A159" i="11" s="1"/>
  <c r="A158" i="11" s="1"/>
  <c r="A157" i="11" s="1"/>
  <c r="A156" i="11" s="1"/>
  <c r="A155" i="11" s="1"/>
  <c r="A154" i="11" s="1"/>
  <c r="A153" i="11" s="1"/>
  <c r="A152" i="11" s="1"/>
  <c r="A151" i="11" s="1"/>
  <c r="A150" i="11" s="1"/>
  <c r="A149" i="11" s="1"/>
  <c r="A148" i="11" s="1"/>
  <c r="A147" i="11" s="1"/>
  <c r="A146" i="11" s="1"/>
  <c r="A145" i="11" s="1"/>
  <c r="A144" i="11" s="1"/>
  <c r="A143" i="11" s="1"/>
  <c r="A142" i="11" s="1"/>
  <c r="A141" i="11" s="1"/>
  <c r="A140" i="11" s="1"/>
  <c r="A139" i="11" s="1"/>
  <c r="A138" i="11" s="1"/>
  <c r="A137" i="11" s="1"/>
  <c r="A136" i="11" s="1"/>
  <c r="A135" i="11" s="1"/>
  <c r="A134" i="11" s="1"/>
  <c r="A133" i="11" s="1"/>
  <c r="A132" i="11" s="1"/>
  <c r="A131" i="11" s="1"/>
  <c r="A130" i="11" s="1"/>
  <c r="A129" i="11" s="1"/>
  <c r="A128" i="11" s="1"/>
  <c r="A127" i="11" s="1"/>
  <c r="A126" i="11" s="1"/>
  <c r="A125" i="11" s="1"/>
  <c r="A124" i="11" s="1"/>
  <c r="A123" i="11" s="1"/>
  <c r="A122" i="11" s="1"/>
  <c r="A121" i="11" s="1"/>
  <c r="A120" i="11" s="1"/>
  <c r="A119" i="11" s="1"/>
  <c r="A118" i="11" s="1"/>
  <c r="A117" i="11" s="1"/>
  <c r="A116" i="11" s="1"/>
  <c r="A115" i="11" s="1"/>
  <c r="A114" i="11" s="1"/>
  <c r="A113" i="11" s="1"/>
  <c r="A112" i="11" s="1"/>
  <c r="A111" i="11" s="1"/>
  <c r="A110" i="11" s="1"/>
  <c r="A109" i="11" s="1"/>
  <c r="A108" i="11" s="1"/>
  <c r="A107" i="11" s="1"/>
  <c r="A106" i="11" s="1"/>
  <c r="A105" i="11" s="1"/>
  <c r="A104" i="11" s="1"/>
  <c r="A103" i="11" s="1"/>
  <c r="A102" i="11" s="1"/>
  <c r="A101" i="11" s="1"/>
  <c r="A100" i="11" s="1"/>
  <c r="A99" i="11" s="1"/>
  <c r="A98" i="11" s="1"/>
  <c r="A97" i="11" s="1"/>
  <c r="A96" i="11" s="1"/>
  <c r="A95" i="11" s="1"/>
  <c r="A94" i="11" s="1"/>
  <c r="A93" i="11" s="1"/>
  <c r="A92" i="11" s="1"/>
  <c r="A91" i="11" s="1"/>
  <c r="A90" i="11" s="1"/>
  <c r="A89" i="11" s="1"/>
  <c r="A88" i="11" s="1"/>
  <c r="A87" i="11" s="1"/>
  <c r="A86" i="11" s="1"/>
  <c r="A85" i="11" s="1"/>
  <c r="A84" i="11" s="1"/>
  <c r="A83" i="11" s="1"/>
  <c r="A82" i="11" s="1"/>
  <c r="A81" i="11" s="1"/>
  <c r="A80" i="11" s="1"/>
  <c r="A79" i="11" s="1"/>
  <c r="A78" i="11" s="1"/>
  <c r="A77" i="11" s="1"/>
  <c r="A76" i="11" s="1"/>
  <c r="A75" i="11" s="1"/>
  <c r="A74" i="11" s="1"/>
  <c r="A73" i="11" s="1"/>
  <c r="A72" i="11" s="1"/>
  <c r="A71" i="11" s="1"/>
  <c r="A70" i="11" s="1"/>
  <c r="A69" i="11" s="1"/>
  <c r="A68" i="11" s="1"/>
  <c r="A67" i="11" s="1"/>
  <c r="A66" i="11" s="1"/>
  <c r="A65" i="11" s="1"/>
  <c r="A64" i="11" s="1"/>
  <c r="A63" i="11" s="1"/>
  <c r="A62" i="11" s="1"/>
  <c r="A61" i="11" s="1"/>
  <c r="A60" i="11" s="1"/>
  <c r="A59" i="11" s="1"/>
  <c r="A58" i="11" s="1"/>
  <c r="A57" i="11" s="1"/>
  <c r="A56" i="11" s="1"/>
  <c r="A55" i="11" s="1"/>
  <c r="A54" i="11" s="1"/>
  <c r="A53" i="11" s="1"/>
  <c r="A52" i="11" s="1"/>
  <c r="A51" i="11" s="1"/>
  <c r="A50" i="11" s="1"/>
  <c r="A49" i="11" s="1"/>
  <c r="A48" i="11" s="1"/>
  <c r="A47" i="11" s="1"/>
  <c r="A46" i="11" s="1"/>
  <c r="A45" i="11" s="1"/>
  <c r="A44" i="11" s="1"/>
  <c r="A43" i="11" s="1"/>
  <c r="A42" i="11" s="1"/>
  <c r="A41" i="11" s="1"/>
  <c r="A40" i="11" s="1"/>
  <c r="A39" i="11" s="1"/>
  <c r="A38" i="11" s="1"/>
  <c r="A37" i="11" s="1"/>
  <c r="A36" i="11" s="1"/>
  <c r="A35" i="11" s="1"/>
  <c r="A34" i="11" s="1"/>
  <c r="A33" i="11" s="1"/>
  <c r="A32" i="11" s="1"/>
  <c r="A31" i="11" s="1"/>
  <c r="A30" i="11" s="1"/>
  <c r="A29" i="11" s="1"/>
  <c r="A28" i="11" s="1"/>
  <c r="A27" i="11" s="1"/>
  <c r="A26" i="11" s="1"/>
  <c r="A25" i="11" s="1"/>
  <c r="A24" i="11" s="1"/>
  <c r="A23" i="11" s="1"/>
  <c r="A22" i="11" s="1"/>
  <c r="A21" i="11" s="1"/>
  <c r="A20" i="11" s="1"/>
  <c r="A19" i="11" s="1"/>
  <c r="A18" i="11" s="1"/>
  <c r="A17" i="11" s="1"/>
  <c r="A16" i="11" s="1"/>
  <c r="A15" i="11" s="1"/>
  <c r="A14" i="11" s="1"/>
  <c r="A13" i="11" s="1"/>
  <c r="A12" i="11" s="1"/>
  <c r="A11" i="11" s="1"/>
  <c r="A10" i="11" s="1"/>
  <c r="A9" i="11" s="1"/>
  <c r="A8" i="11" s="1"/>
  <c r="A7" i="11" s="1"/>
  <c r="A6" i="11" s="1"/>
  <c r="A5" i="11" s="1"/>
  <c r="S5" i="13" l="1"/>
  <c r="V8" i="13" s="1"/>
  <c r="V9" i="13" s="1"/>
  <c r="W9" i="13" s="1"/>
  <c r="W8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tc={E9789B42-3E96-4B4D-81AB-B15039FD3DAC}</author>
  </authors>
  <commentList>
    <comment ref="G3" authorId="0" shapeId="0" xr:uid="{E9789B42-3E96-4B4D-81AB-B15039FD3DA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(%t / %t-1) - 1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tc={545167B2-263B-4C1D-87D6-B000B139A9FD}</author>
    <author>tc={4E948310-0596-4FD2-B52A-5E7D6D9A3F3D}</author>
    <author>tc={10EA29D2-24E4-4FC4-8D49-1F1B9F0EE1CE}</author>
    <author>tc={D04F3C55-CEB7-4DA1-999D-EC791AE4F9F4}</author>
    <author>tc={B742922B-16E1-49A1-B01F-A870F998D5B8}</author>
    <author>tc={FB39A9EC-EBCF-43BB-99A7-D94DF7A3129D}</author>
    <author>tc={D7163EAA-118E-4CAF-9656-50A9793D7D6C}</author>
    <author>tc={9BC54E2C-889C-4BAB-9350-8A3EB601455F}</author>
  </authors>
  <commentList>
    <comment ref="C8" authorId="0" shapeId="0" xr:uid="{545167B2-263B-4C1D-87D6-B000B139A9F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Nos indica cuando acaba el tiempo del plazo para devolver la inversion del bono</t>
      </text>
    </comment>
    <comment ref="D8" authorId="1" shapeId="0" xr:uid="{4E948310-0596-4FD2-B52A-5E7D6D9A3F3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interes del Bono Anual  que maneja</t>
      </text>
    </comment>
    <comment ref="E8" authorId="2" shapeId="0" xr:uid="{10EA29D2-24E4-4FC4-8D49-1F1B9F0EE1C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Tasa de interes establecida en la fecha de Valuacion</t>
      </text>
    </comment>
    <comment ref="F8" authorId="3" shapeId="0" xr:uid="{D04F3C55-CEB7-4DA1-999D-EC791AE4F9F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Calculamos el precio del Bono con la funcion: "BonoM" </t>
      </text>
    </comment>
    <comment ref="H8" authorId="4" shapeId="0" xr:uid="{B742922B-16E1-49A1-B01F-A870F998D5B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valor total del # de bonos comprados</t>
      </text>
    </comment>
    <comment ref="I8" authorId="5" shapeId="0" xr:uid="{FB39A9EC-EBCF-43BB-99A7-D94DF7A3129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proporcion con respecto a lo gasto en total</t>
      </text>
    </comment>
    <comment ref="J8" authorId="6" shapeId="0" xr:uid="{D7163EAA-118E-4CAF-9656-50A9793D7D6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Hacemos uso de una funcion de Excel llamada: "Duracion.modif"</t>
      </text>
    </comment>
    <comment ref="L8" authorId="7" shapeId="0" xr:uid="{9BC54E2C-889C-4BAB-9350-8A3EB601455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monto (el valor del VaR) sera:
VaR = -F * S * σ * (Raiz de t)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tc={95B3E54F-C22B-48CD-A6B3-21F08F212A18}</author>
    <author>tc={E50F05F5-7FC1-43CA-B59D-5556740889F4}</author>
    <author>tc={69CC61F8-AEDD-43E6-9277-5E4E3A8FFB7A}</author>
    <author>tc={6D18EFA2-921D-4FA3-9D20-391DFB403796}</author>
    <author>tc={C6FA25BA-B4B3-4101-8C91-C41AAD8E6520}</author>
    <author>tc={3C66B039-CBC9-4709-93EA-FDD29DFF64B4}</author>
    <author>tc={2958BA3A-3255-4BBB-883F-BD962E2227E8}</author>
    <author>tc={B590B426-3EB8-417C-9533-57B0B61EC0AB}</author>
    <author>tc={9CA66EB9-AC4D-4723-B5D4-3099CE7B7373}</author>
    <author>tc={EAD081E5-ADDB-45AA-9CB2-ADFAE2D66504}</author>
  </authors>
  <commentList>
    <comment ref="N1" authorId="0" shapeId="0" xr:uid="{95B3E54F-C22B-48CD-A6B3-21F08F212A1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costo total por la compra de los bonos</t>
      </text>
    </comment>
    <comment ref="N2" authorId="1" shapeId="0" xr:uid="{E50F05F5-7FC1-43CA-B59D-5556740889F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# de Bonos que se destinaron a comprar</t>
      </text>
    </comment>
    <comment ref="C3" authorId="2" shapeId="0" xr:uid="{69CC61F8-AEDD-43E6-9277-5E4E3A8FFB7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Calculamos el precio del bono con la funcion de Excel: "BonoM"</t>
      </text>
    </comment>
    <comment ref="G3" authorId="3" shapeId="0" xr:uid="{6D18EFA2-921D-4FA3-9D20-391DFB4037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 los precios podemos usar: (pt/pt-1) -1</t>
      </text>
    </comment>
    <comment ref="K3" authorId="4" shapeId="0" xr:uid="{C6FA25BA-B4B3-4101-8C91-C41AAD8E652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Simulamos los precios como el resultado de multiplicar el rendimiento por el precio de la fecha de Valuacion</t>
      </text>
    </comment>
    <comment ref="O3" authorId="5" shapeId="0" xr:uid="{3C66B039-CBC9-4709-93EA-FDD29DFF64B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Sera la diferencia de los precios simulados Vs el precio de valuacion y multiplicado por Titulos</t>
      </text>
    </comment>
    <comment ref="S4" authorId="6" shapeId="0" xr:uid="{2958BA3A-3255-4BBB-883F-BD962E2227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Sumamos todos los valores de ese dia</t>
      </text>
    </comment>
    <comment ref="U8" authorId="7" shapeId="0" xr:uid="{B590B426-3EB8-417C-9533-57B0B61EC0A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Dado que solo tenemos los precios; el VaR solo sera calcular con la funcion "Percentil" todo el portafolio y indicando el nivel de confianza</t>
      </text>
    </comment>
    <comment ref="U9" authorId="8" shapeId="0" xr:uid="{9CA66EB9-AC4D-4723-B5D4-3099CE7B737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 el VaR 99% nos indica el valor que se tiene al 99% de toda la distribucion; entonces el VaR condicionado sera la suma de todos los valores del portafolio que no llegue a ese punto</t>
      </text>
    </comment>
    <comment ref="E259" authorId="9" shapeId="0" xr:uid="{EAD081E5-ADDB-45AA-9CB2-ADFAE2D6650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Aqui podemos ver que se esta cumpliendo el supuesto de que la media de los rendimientos por activos sea cero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tc={24498557-ECE5-48AD-8BA4-DCDFCADAD43D}</author>
    <author>tc={BB0ABCC2-ABE8-4AAA-B0B4-6B83966A1F63}</author>
    <author>tc={AA598938-E1B8-4C05-ABA9-0E7536BB1BFE}</author>
    <author>tc={31D14D5F-0B44-45C6-939D-76663121E95D}</author>
    <author>tc={F5E38355-F16C-4BCE-BAD5-328D49A42CE8}</author>
    <author>tc={479397C9-E201-4E4A-8E5D-8ACCF8DACB7A}</author>
    <author>tc={B0417F7A-FBD8-4632-A053-37CB273CC745}</author>
    <author>tc={125BC67C-CBDA-49D3-AA63-EE734B5A6EE3}</author>
    <author>tc={AC73480D-0A95-4F7E-A124-71C5BDBEE0E0}</author>
  </authors>
  <commentList>
    <comment ref="A6" authorId="0" shapeId="0" xr:uid="{24498557-ECE5-48AD-8BA4-DCDFCADAD43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tamano de los titulos es deacuerdo a portafolio y estos puede variar entre portafolios</t>
      </text>
    </comment>
    <comment ref="A7" authorId="1" shapeId="0" xr:uid="{BB0ABCC2-ABE8-4AAA-B0B4-6B83966A1F6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Recordemos que el debe cumplir el supuesto de que las medias de los rendimientos se acercara a cero (este ultimo lo sacamos del VaR Historico)</t>
      </text>
    </comment>
    <comment ref="A8" authorId="2" shapeId="0" xr:uid="{AA598938-E1B8-4C05-ABA9-0E7536BB1BF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Usamos la Volatibilidad_Bono desarrollada en VaR Parametrico</t>
      </text>
    </comment>
    <comment ref="E10" authorId="3" shapeId="0" xr:uid="{31D14D5F-0B44-45C6-939D-76663121E9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valor del portafolio base</t>
      </text>
    </comment>
    <comment ref="F12" authorId="4" shapeId="0" xr:uid="{F5E38355-F16C-4BCE-BAD5-328D49A42C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Estimamos el percentil en base a una confianza del 99% y utilizando los valores de portafolio</t>
      </text>
    </comment>
    <comment ref="F13" authorId="5" shapeId="0" xr:uid="{479397C9-E201-4E4A-8E5D-8ACCF8DACB7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el VaR condicional en base al promedio de aquellos valores que esten por debajo el VaR al 99%</t>
      </text>
    </comment>
    <comment ref="B16" authorId="6" shapeId="0" xr:uid="{B0417F7A-FBD8-4632-A053-37CB273CC74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apartado esta generando los precios acequibles aleatorios para generar el otro apartado</t>
      </text>
    </comment>
    <comment ref="F16" authorId="7" shapeId="0" xr:uid="{125BC67C-CBDA-49D3-AA63-EE734B5A6EE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Parecido a las perdidas y ganancias del VaR del metodo historico pero tomando en cuenta los precios simulados</t>
      </text>
    </comment>
    <comment ref="J17" authorId="8" shapeId="0" xr:uid="{AC73480D-0A95-4F7E-A124-71C5BDBEE0E0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portafolio representa 
La suma de todos los activos en ese dia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<sst xmlns="http://schemas.openxmlformats.org/spreadsheetml/2006/main" count="112" uniqueCount="68">
  <si>
    <t>Fecha</t>
  </si>
  <si>
    <t>Títulos</t>
  </si>
  <si>
    <t>ID</t>
  </si>
  <si>
    <t>Monto</t>
  </si>
  <si>
    <t>%</t>
  </si>
  <si>
    <r>
      <t xml:space="preserve">VaR </t>
    </r>
    <r>
      <rPr>
        <b/>
        <vertAlign val="subscript"/>
        <sz val="12"/>
        <color theme="1"/>
        <rFont val="Calibri"/>
        <family val="2"/>
        <scheme val="minor"/>
      </rPr>
      <t>99%</t>
    </r>
    <r>
      <rPr>
        <b/>
        <sz val="12"/>
        <color theme="1"/>
        <rFont val="Calibri"/>
        <family val="2"/>
        <scheme val="minor"/>
      </rPr>
      <t xml:space="preserve">= </t>
    </r>
  </si>
  <si>
    <t>1) Portafolio</t>
  </si>
  <si>
    <t>Fecha de Valuación:=</t>
  </si>
  <si>
    <t>Cálculo del VaR Paramétrico</t>
  </si>
  <si>
    <t>VaR diario (Paramétrico)</t>
  </si>
  <si>
    <t>Emisora</t>
  </si>
  <si>
    <t>Precios (MXN)</t>
  </si>
  <si>
    <t>Valuación (S)</t>
  </si>
  <si>
    <t>Pesos (W)</t>
  </si>
  <si>
    <r>
      <t>Volatilidad del Portafolio (</t>
    </r>
    <r>
      <rPr>
        <b/>
        <sz val="12"/>
        <color theme="1"/>
        <rFont val="Calibri"/>
        <family val="2"/>
      </rPr>
      <t>σ</t>
    </r>
    <r>
      <rPr>
        <b/>
        <vertAlign val="subscript"/>
        <sz val="12"/>
        <color theme="1"/>
        <rFont val="Calibri"/>
        <family val="2"/>
        <scheme val="minor"/>
      </rPr>
      <t>p</t>
    </r>
    <r>
      <rPr>
        <b/>
        <sz val="12"/>
        <color theme="1"/>
        <rFont val="Calibri"/>
        <family val="2"/>
        <scheme val="minor"/>
      </rPr>
      <t xml:space="preserve">)=  </t>
    </r>
  </si>
  <si>
    <t>anualizada</t>
  </si>
  <si>
    <t>Porcentaje</t>
  </si>
  <si>
    <t>Matriz de Correlaciones (C):</t>
  </si>
  <si>
    <r>
      <t>Matriz de Volatilidades (</t>
    </r>
    <r>
      <rPr>
        <b/>
        <u/>
        <sz val="12"/>
        <color theme="1"/>
        <rFont val="Calibri"/>
        <family val="2"/>
      </rPr>
      <t>σ</t>
    </r>
    <r>
      <rPr>
        <b/>
        <u/>
        <sz val="12"/>
        <color theme="1"/>
        <rFont val="Calibri"/>
        <family val="2"/>
        <scheme val="minor"/>
      </rPr>
      <t>):</t>
    </r>
  </si>
  <si>
    <t>VARIACIÓN DIARIA %</t>
  </si>
  <si>
    <t>TASAS</t>
  </si>
  <si>
    <t>BONOM_2031</t>
  </si>
  <si>
    <t>Fecha de Vencimiento</t>
  </si>
  <si>
    <t>Tasa Cupón</t>
  </si>
  <si>
    <t>Duración 
Modificada</t>
  </si>
  <si>
    <t>BONOM_2027</t>
  </si>
  <si>
    <t>BONOM_2029</t>
  </si>
  <si>
    <t>BONOM_2038</t>
  </si>
  <si>
    <t>YTM - r</t>
  </si>
  <si>
    <t>MtM:</t>
  </si>
  <si>
    <t>TÍTULOS:</t>
  </si>
  <si>
    <t>PRECIOS</t>
  </si>
  <si>
    <t>RENDIMIENTOS DIARIOS</t>
  </si>
  <si>
    <t>SERIE DE PÉRDIDAS Y GANANCIAS</t>
  </si>
  <si>
    <t>PORTAFOLIO</t>
  </si>
  <si>
    <t>Cálculo del VaR mediante el Método de Simulación Histórica</t>
  </si>
  <si>
    <t>VaR Condicional:=</t>
  </si>
  <si>
    <t>SERIE DE PRECIOS SIMULADOS</t>
  </si>
  <si>
    <t>Tasa Cupón =</t>
  </si>
  <si>
    <t>Vencimiento =</t>
  </si>
  <si>
    <t>Mientras mas duracion tenga un bono =&gt; mas riesgoso es el usarlo</t>
  </si>
  <si>
    <r>
      <t>Volatilidad 
Anualizada (</t>
    </r>
    <r>
      <rPr>
        <b/>
        <sz val="11"/>
        <color theme="1"/>
        <rFont val="Aptos Narrow"/>
        <family val="2"/>
      </rPr>
      <t>σ</t>
    </r>
    <r>
      <rPr>
        <b/>
        <sz val="11"/>
        <color theme="1"/>
        <rFont val="Calibri"/>
        <family val="2"/>
        <scheme val="minor"/>
      </rPr>
      <t>)</t>
    </r>
  </si>
  <si>
    <t>Total_MtM</t>
  </si>
  <si>
    <t>Nombre</t>
  </si>
  <si>
    <t>Numero de Cuenta</t>
  </si>
  <si>
    <t>David Mendieta Lopez</t>
  </si>
  <si>
    <t>Clase</t>
  </si>
  <si>
    <t>y mayor...</t>
  </si>
  <si>
    <t>Frecuencia</t>
  </si>
  <si>
    <t>% acumulado</t>
  </si>
  <si>
    <t>VaR 99%</t>
  </si>
  <si>
    <t>Acumula el  99%</t>
  </si>
  <si>
    <t>VaR Condicional</t>
  </si>
  <si>
    <t>Valor en Riesgo (VaR) por Simulaciones</t>
  </si>
  <si>
    <t>Media Rendimientos</t>
  </si>
  <si>
    <t>Volatilidad 
Anualizada</t>
  </si>
  <si>
    <t>Valor del Portafolio =</t>
  </si>
  <si>
    <t>No. Simulaciones =</t>
  </si>
  <si>
    <r>
      <t xml:space="preserve">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</si>
  <si>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r>
      <t xml:space="preserve">CVaR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</si>
  <si>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t>Generación de Escenarios Aleatorios</t>
  </si>
  <si>
    <t>PRECIOS SIMULADOS CON MODELO LOGNORMAL</t>
  </si>
  <si>
    <t>SERIES DE PÉRDIDAS Y GANANCIAS</t>
  </si>
  <si>
    <t>No. De Escenario</t>
  </si>
  <si>
    <t>Precio Último
 28/03/2024</t>
  </si>
  <si>
    <t>Promedio_rendimientos</t>
  </si>
  <si>
    <t>Promedio_Positivo</t>
  </si>
  <si>
    <t>Promedio_Negativo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</si>
</sst>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&quot;$&quot;* #,##0_-;\-&quot;$&quot;* #,##0_-;_-&quot;$&quot;* &quot;-&quot;??_-;_-@_-"/>
    <numFmt numFmtId="166" formatCode="_-* #,##0_-;\-* #,##0_-;_-* &quot;-&quot;??_-;_-@_-"/>
    <numFmt numFmtId="167" formatCode="_-&quot;$&quot;* #,##0.0_-;\-&quot;$&quot;* #,##0.0_-;_-&quot;$&quot;* &quot;-&quot;??_-;_-@_-"/>
  </numFmts>
  <fonts count="3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 Narrow"/>
      <family val="2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Segoe UI"/>
      <family val="2"/>
    </font>
    <font>
      <sz val="11"/>
      <color rgb="FF000000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6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51">
    <xf numFmtId="0" fontId="0" fillId="0" borderId="0" xfId="0"/>
    <xf numFmtId="14" fontId="0" fillId="0" borderId="0" xfId="0" applyNumberFormat="1"/>
    <xf numFmtId="0" fontId="1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 vertical="center"/>
    </xf>
    <xf numFmtId="164" fontId="0" fillId="0" borderId="0" xfId="43" applyNumberFormat="1" applyFont="1" applyAlignment="1">
      <alignment horizontal="center"/>
    </xf>
    <xf numFmtId="0" fontId="0" fillId="0" borderId="0" xfId="0" applyAlignment="1">
      <alignment horizontal="center"/>
    </xf>
    <xf numFmtId="10" fontId="19" fillId="35" borderId="0" xfId="43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164" fontId="0" fillId="0" borderId="0" xfId="0" applyNumberFormat="1"/>
    <xf numFmtId="43" fontId="0" fillId="0" borderId="0" xfId="44" applyFont="1"/>
    <xf numFmtId="43" fontId="0" fillId="0" borderId="0" xfId="0" applyNumberFormat="1"/>
    <xf numFmtId="0" fontId="0" fillId="0" borderId="0" xfId="0" applyAlignment="1">
      <alignment horizontal="left"/>
    </xf>
    <xf numFmtId="14" fontId="19" fillId="34" borderId="0" xfId="0" applyNumberFormat="1" applyFont="1" applyFill="1" applyAlignment="1">
      <alignment horizontal="center"/>
    </xf>
    <xf numFmtId="0" fontId="17" fillId="0" borderId="12" xfId="0" applyFont="1" applyBorder="1" applyAlignment="1">
      <alignment horizontal="center" vertical="center" wrapText="1"/>
    </xf>
    <xf numFmtId="0" fontId="17" fillId="39" borderId="10" xfId="0" applyFont="1" applyFill="1" applyBorder="1" applyAlignment="1">
      <alignment horizontal="left" indent="1"/>
    </xf>
    <xf numFmtId="165" fontId="17" fillId="35" borderId="16" xfId="45" applyNumberFormat="1" applyFont="1" applyFill="1" applyBorder="1"/>
    <xf numFmtId="2" fontId="0" fillId="35" borderId="0" xfId="44" applyNumberFormat="1" applyFont="1" applyFill="1" applyAlignment="1">
      <alignment horizontal="center"/>
    </xf>
    <xf numFmtId="10" fontId="0" fillId="38" borderId="0" xfId="43" applyNumberFormat="1" applyFont="1" applyFill="1" applyAlignment="1">
      <alignment horizontal="center"/>
    </xf>
    <xf numFmtId="10" fontId="0" fillId="35" borderId="0" xfId="43" applyNumberFormat="1" applyFont="1" applyFill="1" applyAlignment="1">
      <alignment horizontal="center"/>
    </xf>
    <xf numFmtId="164" fontId="0" fillId="0" borderId="0" xfId="43" applyNumberFormat="1" applyFont="1" applyFill="1"/>
    <xf numFmtId="164" fontId="0" fillId="0" borderId="0" xfId="43" applyNumberFormat="1" applyFont="1"/>
    <xf numFmtId="10" fontId="0" fillId="0" borderId="0" xfId="43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19" fillId="0" borderId="0" xfId="0" applyFont="1" applyAlignment="1">
      <alignment horizontal="center"/>
    </xf>
    <xf numFmtId="4" fontId="19" fillId="0" borderId="0" xfId="0" applyNumberFormat="1" applyFont="1"/>
    <xf numFmtId="43" fontId="17" fillId="0" borderId="0" xfId="0" applyNumberFormat="1" applyFont="1"/>
    <xf numFmtId="4" fontId="0" fillId="0" borderId="0" xfId="0" applyNumberFormat="1"/>
    <xf numFmtId="167" fontId="17" fillId="35" borderId="0" xfId="45" applyNumberFormat="1" applyFont="1" applyFill="1"/>
    <xf numFmtId="10" fontId="27" fillId="0" borderId="0" xfId="43" applyNumberFormat="1" applyFont="1" applyAlignment="1">
      <alignment horizontal="center"/>
    </xf>
    <xf numFmtId="4" fontId="29" fillId="0" borderId="0" xfId="0" applyNumberFormat="1" applyFont="1"/>
    <xf numFmtId="10" fontId="19" fillId="0" borderId="18" xfId="43" applyNumberFormat="1" applyFont="1" applyBorder="1" applyAlignment="1">
      <alignment horizontal="center"/>
    </xf>
    <xf numFmtId="10" fontId="19" fillId="0" borderId="19" xfId="43" applyNumberFormat="1" applyFont="1" applyBorder="1" applyAlignment="1">
      <alignment horizontal="center"/>
    </xf>
    <xf numFmtId="10" fontId="19" fillId="0" borderId="20" xfId="43" applyNumberFormat="1" applyFont="1" applyBorder="1" applyAlignment="1">
      <alignment horizontal="center"/>
    </xf>
    <xf numFmtId="10" fontId="0" fillId="0" borderId="21" xfId="43" applyNumberFormat="1" applyFont="1" applyBorder="1" applyAlignment="1">
      <alignment horizontal="center"/>
    </xf>
    <xf numFmtId="10" fontId="0" fillId="0" borderId="0" xfId="43" applyNumberFormat="1" applyFont="1" applyBorder="1" applyAlignment="1">
      <alignment horizontal="center"/>
    </xf>
    <xf numFmtId="10" fontId="0" fillId="0" borderId="22" xfId="43" applyNumberFormat="1" applyFont="1" applyBorder="1" applyAlignment="1">
      <alignment horizontal="center"/>
    </xf>
    <xf numFmtId="10" fontId="0" fillId="0" borderId="17" xfId="43" applyNumberFormat="1" applyFont="1" applyBorder="1" applyAlignment="1">
      <alignment horizontal="center"/>
    </xf>
    <xf numFmtId="10" fontId="0" fillId="0" borderId="15" xfId="43" applyNumberFormat="1" applyFont="1" applyBorder="1" applyAlignment="1">
      <alignment horizontal="center"/>
    </xf>
    <xf numFmtId="10" fontId="0" fillId="0" borderId="23" xfId="43" applyNumberFormat="1" applyFont="1" applyBorder="1" applyAlignment="1">
      <alignment horizontal="center"/>
    </xf>
    <xf numFmtId="10" fontId="0" fillId="0" borderId="18" xfId="43" applyNumberFormat="1" applyFont="1" applyBorder="1" applyAlignment="1">
      <alignment horizontal="center"/>
    </xf>
    <xf numFmtId="10" fontId="0" fillId="0" borderId="19" xfId="43" applyNumberFormat="1" applyFont="1" applyBorder="1" applyAlignment="1">
      <alignment horizontal="center"/>
    </xf>
    <xf numFmtId="10" fontId="0" fillId="0" borderId="20" xfId="43" applyNumberFormat="1" applyFont="1" applyBorder="1" applyAlignment="1">
      <alignment horizontal="center"/>
    </xf>
    <xf numFmtId="0" fontId="28" fillId="42" borderId="0" xfId="0" applyFont="1" applyFill="1" applyAlignment="1">
      <alignment horizontal="center" vertical="center"/>
    </xf>
    <xf numFmtId="0" fontId="17" fillId="0" borderId="10" xfId="0" applyFont="1" applyBorder="1" applyAlignment="1">
      <alignment horizontal="right"/>
    </xf>
    <xf numFmtId="9" fontId="17" fillId="35" borderId="16" xfId="43" applyFont="1" applyFill="1" applyBorder="1" applyAlignment="1">
      <alignment horizontal="center" vertical="center"/>
    </xf>
    <xf numFmtId="14" fontId="17" fillId="0" borderId="24" xfId="0" applyNumberFormat="1" applyFont="1" applyBorder="1" applyAlignment="1">
      <alignment horizontal="center"/>
    </xf>
    <xf numFmtId="14" fontId="17" fillId="0" borderId="25" xfId="0" applyNumberFormat="1" applyFont="1" applyBorder="1" applyAlignment="1">
      <alignment horizontal="center"/>
    </xf>
    <xf numFmtId="14" fontId="17" fillId="0" borderId="11" xfId="0" applyNumberFormat="1" applyFont="1" applyBorder="1" applyAlignment="1">
      <alignment horizontal="center"/>
    </xf>
    <xf numFmtId="10" fontId="0" fillId="0" borderId="24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35" borderId="24" xfId="43" applyNumberFormat="1" applyFont="1" applyFill="1" applyBorder="1" applyAlignment="1">
      <alignment horizontal="center"/>
    </xf>
    <xf numFmtId="10" fontId="0" fillId="35" borderId="25" xfId="43" applyNumberFormat="1" applyFont="1" applyFill="1" applyBorder="1" applyAlignment="1">
      <alignment horizontal="center"/>
    </xf>
    <xf numFmtId="10" fontId="0" fillId="35" borderId="11" xfId="43" applyNumberFormat="1" applyFont="1" applyFill="1" applyBorder="1" applyAlignment="1">
      <alignment horizontal="center"/>
    </xf>
    <xf numFmtId="44" fontId="0" fillId="35" borderId="24" xfId="45" applyFont="1" applyFill="1" applyBorder="1"/>
    <xf numFmtId="44" fontId="0" fillId="35" borderId="25" xfId="45" applyFont="1" applyFill="1" applyBorder="1"/>
    <xf numFmtId="44" fontId="0" fillId="35" borderId="11" xfId="45" applyFont="1" applyFill="1" applyBorder="1"/>
    <xf numFmtId="3" fontId="0" fillId="0" borderId="24" xfId="44" applyNumberFormat="1" applyFont="1" applyFill="1" applyBorder="1" applyAlignment="1">
      <alignment horizontal="center"/>
    </xf>
    <xf numFmtId="3" fontId="0" fillId="0" borderId="25" xfId="44" applyNumberFormat="1" applyFont="1" applyFill="1" applyBorder="1" applyAlignment="1">
      <alignment horizontal="center"/>
    </xf>
    <xf numFmtId="3" fontId="0" fillId="0" borderId="11" xfId="44" applyNumberFormat="1" applyFont="1" applyFill="1" applyBorder="1" applyAlignment="1">
      <alignment horizontal="center"/>
    </xf>
    <xf numFmtId="165" fontId="0" fillId="35" borderId="24" xfId="45" applyNumberFormat="1" applyFont="1" applyFill="1" applyBorder="1"/>
    <xf numFmtId="165" fontId="0" fillId="35" borderId="25" xfId="45" applyNumberFormat="1" applyFont="1" applyFill="1" applyBorder="1"/>
    <xf numFmtId="165" fontId="0" fillId="35" borderId="11" xfId="45" applyNumberFormat="1" applyFont="1" applyFill="1" applyBorder="1"/>
    <xf numFmtId="164" fontId="0" fillId="35" borderId="24" xfId="43" applyNumberFormat="1" applyFont="1" applyFill="1" applyBorder="1" applyAlignment="1">
      <alignment horizontal="center"/>
    </xf>
    <xf numFmtId="164" fontId="0" fillId="35" borderId="25" xfId="43" applyNumberFormat="1" applyFont="1" applyFill="1" applyBorder="1" applyAlignment="1">
      <alignment horizontal="center"/>
    </xf>
    <xf numFmtId="164" fontId="0" fillId="35" borderId="11" xfId="43" applyNumberFormat="1" applyFont="1" applyFill="1" applyBorder="1" applyAlignment="1">
      <alignment horizontal="center"/>
    </xf>
    <xf numFmtId="4" fontId="0" fillId="35" borderId="24" xfId="44" applyNumberFormat="1" applyFont="1" applyFill="1" applyBorder="1" applyAlignment="1">
      <alignment horizontal="center"/>
    </xf>
    <xf numFmtId="4" fontId="0" fillId="35" borderId="25" xfId="44" applyNumberFormat="1" applyFont="1" applyFill="1" applyBorder="1" applyAlignment="1">
      <alignment horizontal="center"/>
    </xf>
    <xf numFmtId="4" fontId="0" fillId="35" borderId="11" xfId="44" applyNumberFormat="1" applyFont="1" applyFill="1" applyBorder="1" applyAlignment="1">
      <alignment horizontal="center"/>
    </xf>
    <xf numFmtId="164" fontId="0" fillId="38" borderId="24" xfId="43" applyNumberFormat="1" applyFont="1" applyFill="1" applyBorder="1" applyAlignment="1">
      <alignment horizontal="center"/>
    </xf>
    <xf numFmtId="164" fontId="0" fillId="38" borderId="25" xfId="43" applyNumberFormat="1" applyFont="1" applyFill="1" applyBorder="1" applyAlignment="1">
      <alignment horizontal="center"/>
    </xf>
    <xf numFmtId="164" fontId="0" fillId="38" borderId="11" xfId="43" applyNumberFormat="1" applyFont="1" applyFill="1" applyBorder="1" applyAlignment="1">
      <alignment horizontal="center"/>
    </xf>
    <xf numFmtId="165" fontId="0" fillId="37" borderId="24" xfId="0" applyNumberFormat="1" applyFill="1" applyBorder="1"/>
    <xf numFmtId="165" fontId="0" fillId="37" borderId="25" xfId="0" applyNumberFormat="1" applyFill="1" applyBorder="1"/>
    <xf numFmtId="165" fontId="0" fillId="37" borderId="11" xfId="0" applyNumberFormat="1" applyFill="1" applyBorder="1"/>
    <xf numFmtId="164" fontId="0" fillId="37" borderId="24" xfId="43" applyNumberFormat="1" applyFont="1" applyFill="1" applyBorder="1" applyAlignment="1">
      <alignment horizontal="center"/>
    </xf>
    <xf numFmtId="164" fontId="0" fillId="37" borderId="25" xfId="43" applyNumberFormat="1" applyFont="1" applyFill="1" applyBorder="1" applyAlignment="1">
      <alignment horizontal="center"/>
    </xf>
    <xf numFmtId="164" fontId="0" fillId="37" borderId="11" xfId="43" applyNumberFormat="1" applyFont="1" applyFill="1" applyBorder="1" applyAlignment="1">
      <alignment horizontal="center"/>
    </xf>
    <xf numFmtId="10" fontId="17" fillId="34" borderId="0" xfId="43" applyNumberFormat="1" applyFont="1" applyFill="1" applyAlignment="1">
      <alignment horizontal="center"/>
    </xf>
    <xf numFmtId="0" fontId="20" fillId="0" borderId="10" xfId="0" applyFont="1" applyBorder="1" applyAlignment="1">
      <alignment horizontal="center" vertical="center"/>
    </xf>
    <xf numFmtId="44" fontId="17" fillId="34" borderId="0" xfId="45" applyFont="1" applyFill="1" applyAlignment="1">
      <alignment horizontal="center" vertical="center"/>
    </xf>
    <xf numFmtId="10" fontId="19" fillId="34" borderId="0" xfId="43" applyNumberFormat="1" applyFont="1" applyFill="1" applyAlignment="1">
      <alignment horizontal="center" vertical="center"/>
    </xf>
    <xf numFmtId="0" fontId="17" fillId="0" borderId="10" xfId="0" applyFont="1" applyBorder="1" applyAlignment="1">
      <alignment horizontal="left" indent="1"/>
    </xf>
    <xf numFmtId="14" fontId="0" fillId="0" borderId="10" xfId="0" applyNumberFormat="1" applyBorder="1" applyAlignment="1">
      <alignment horizontal="center"/>
    </xf>
    <xf numFmtId="10" fontId="0" fillId="0" borderId="10" xfId="43" applyNumberFormat="1" applyFont="1" applyBorder="1" applyAlignment="1">
      <alignment horizontal="center"/>
    </xf>
    <xf numFmtId="0" fontId="17" fillId="0" borderId="10" xfId="0" applyFont="1" applyBorder="1"/>
    <xf numFmtId="166" fontId="17" fillId="0" borderId="10" xfId="44" applyNumberFormat="1" applyFont="1" applyBorder="1"/>
    <xf numFmtId="166" fontId="0" fillId="34" borderId="10" xfId="44" applyNumberFormat="1" applyFont="1" applyFill="1" applyBorder="1"/>
    <xf numFmtId="166" fontId="17" fillId="34" borderId="10" xfId="44" applyNumberFormat="1" applyFont="1" applyFill="1" applyBorder="1"/>
    <xf numFmtId="0" fontId="19" fillId="0" borderId="10" xfId="0" applyFont="1" applyBorder="1" applyAlignment="1">
      <alignment horizontal="center"/>
    </xf>
    <xf numFmtId="0" fontId="26" fillId="0" borderId="0" xfId="0" applyFont="1" applyAlignment="1">
      <alignment wrapText="1"/>
    </xf>
    <xf numFmtId="10" fontId="0" fillId="0" borderId="0" xfId="0" applyNumberFormat="1"/>
    <xf numFmtId="0" fontId="0" fillId="0" borderId="26" xfId="0" applyBorder="1"/>
    <xf numFmtId="10" fontId="0" fillId="0" borderId="26" xfId="0" applyNumberFormat="1" applyBorder="1"/>
    <xf numFmtId="0" fontId="31" fillId="0" borderId="27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43" borderId="10" xfId="0" applyFill="1" applyBorder="1"/>
    <xf numFmtId="2" fontId="0" fillId="0" borderId="10" xfId="0" applyNumberFormat="1" applyBorder="1"/>
    <xf numFmtId="166" fontId="0" fillId="0" borderId="0" xfId="44" applyNumberFormat="1" applyFont="1"/>
    <xf numFmtId="0" fontId="14" fillId="44" borderId="10" xfId="0" applyFont="1" applyFill="1" applyBorder="1" applyAlignment="1">
      <alignment horizontal="center"/>
    </xf>
    <xf numFmtId="0" fontId="14" fillId="44" borderId="10" xfId="0" applyFont="1" applyFill="1" applyBorder="1" applyAlignment="1">
      <alignment horizontal="center" vertical="center"/>
    </xf>
    <xf numFmtId="166" fontId="17" fillId="0" borderId="10" xfId="44" applyNumberFormat="1" applyFont="1" applyBorder="1" applyAlignment="1"/>
    <xf numFmtId="164" fontId="17" fillId="0" borderId="10" xfId="43" applyNumberFormat="1" applyFont="1" applyBorder="1" applyAlignment="1">
      <alignment horizontal="center" vertical="center"/>
    </xf>
    <xf numFmtId="10" fontId="17" fillId="0" borderId="10" xfId="43" applyNumberFormat="1" applyFont="1" applyBorder="1" applyAlignment="1">
      <alignment horizontal="center" vertical="center"/>
    </xf>
    <xf numFmtId="166" fontId="17" fillId="34" borderId="0" xfId="44" applyNumberFormat="1" applyFont="1" applyFill="1"/>
    <xf numFmtId="166" fontId="19" fillId="0" borderId="18" xfId="44" applyNumberFormat="1" applyFont="1" applyBorder="1"/>
    <xf numFmtId="166" fontId="19" fillId="0" borderId="17" xfId="44" applyNumberFormat="1" applyFont="1" applyBorder="1"/>
    <xf numFmtId="10" fontId="19" fillId="0" borderId="23" xfId="43" applyNumberFormat="1" applyFont="1" applyBorder="1" applyAlignment="1">
      <alignment horizontal="center"/>
    </xf>
    <xf numFmtId="0" fontId="14" fillId="45" borderId="25" xfId="0" applyFont="1" applyFill="1" applyBorder="1" applyAlignment="1">
      <alignment horizontal="center"/>
    </xf>
    <xf numFmtId="0" fontId="35" fillId="0" borderId="0" xfId="0" applyFont="1"/>
    <xf numFmtId="0" fontId="14" fillId="44" borderId="10" xfId="0" applyFont="1" applyFill="1" applyBorder="1" applyAlignment="1">
      <alignment horizontal="center" vertical="center" wrapText="1"/>
    </xf>
    <xf numFmtId="164" fontId="0" fillId="34" borderId="10" xfId="0" applyNumberFormat="1" applyFill="1" applyBorder="1" applyAlignment="1">
      <alignment horizontal="center"/>
    </xf>
    <xf numFmtId="164" fontId="0" fillId="0" borderId="10" xfId="43" applyNumberFormat="1" applyFont="1" applyBorder="1" applyAlignment="1">
      <alignment horizontal="center"/>
    </xf>
    <xf numFmtId="2" fontId="17" fillId="0" borderId="10" xfId="45" applyNumberFormat="1" applyFont="1" applyBorder="1" applyAlignment="1">
      <alignment vertical="center"/>
    </xf>
    <xf numFmtId="3" fontId="17" fillId="34" borderId="0" xfId="0" applyNumberFormat="1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34" borderId="19" xfId="0" applyFill="1" applyBorder="1" applyAlignment="1">
      <alignment horizontal="center"/>
    </xf>
    <xf numFmtId="0" fontId="17" fillId="33" borderId="12" xfId="0" applyFont="1" applyFill="1" applyBorder="1" applyAlignment="1">
      <alignment horizontal="center"/>
    </xf>
    <xf numFmtId="0" fontId="17" fillId="33" borderId="13" xfId="0" applyFont="1" applyFill="1" applyBorder="1" applyAlignment="1">
      <alignment horizontal="center"/>
    </xf>
    <xf numFmtId="0" fontId="17" fillId="33" borderId="14" xfId="0" applyFont="1" applyFill="1" applyBorder="1" applyAlignment="1">
      <alignment horizontal="center"/>
    </xf>
    <xf numFmtId="0" fontId="17" fillId="36" borderId="12" xfId="0" applyFont="1" applyFill="1" applyBorder="1" applyAlignment="1">
      <alignment horizontal="center"/>
    </xf>
    <xf numFmtId="0" fontId="17" fillId="36" borderId="13" xfId="0" applyFont="1" applyFill="1" applyBorder="1" applyAlignment="1">
      <alignment horizontal="center"/>
    </xf>
    <xf numFmtId="0" fontId="17" fillId="36" borderId="14" xfId="0" applyFont="1" applyFill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17" fillId="37" borderId="12" xfId="0" applyFont="1" applyFill="1" applyBorder="1" applyAlignment="1">
      <alignment horizontal="center"/>
    </xf>
    <xf numFmtId="0" fontId="17" fillId="37" borderId="14" xfId="0" applyFont="1" applyFill="1" applyBorder="1" applyAlignment="1">
      <alignment horizontal="center"/>
    </xf>
    <xf numFmtId="0" fontId="20" fillId="0" borderId="12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17" fillId="40" borderId="17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17" fillId="41" borderId="10" xfId="0" applyFont="1" applyFill="1" applyBorder="1" applyAlignment="1">
      <alignment horizontal="center"/>
    </xf>
    <xf numFmtId="0" fontId="26" fillId="0" borderId="15" xfId="0" applyFont="1" applyBorder="1" applyAlignment="1">
      <alignment horizontal="center" wrapText="1"/>
    </xf>
    <xf numFmtId="0" fontId="32" fillId="0" borderId="12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17" fillId="40" borderId="12" xfId="0" applyFont="1" applyFill="1" applyBorder="1" applyAlignment="1">
      <alignment horizontal="center" wrapText="1"/>
    </xf>
    <xf numFmtId="0" fontId="17" fillId="40" borderId="13" xfId="0" applyFont="1" applyFill="1" applyBorder="1" applyAlignment="1">
      <alignment horizontal="center" wrapText="1"/>
    </xf>
    <xf numFmtId="0" fontId="17" fillId="39" borderId="10" xfId="0" applyFont="1" applyFill="1" applyBorder="1" applyAlignment="1">
      <alignment horizontal="center" wrapText="1"/>
    </xf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lp_datetime" xfId="42" xr:uid="{00000000-0005-0000-0000-000012000000}"/>
    <cellStyle name="Bueno" xfId="29" builtinId="26" customBuiltin="1"/>
    <cellStyle name="Cálculo" xfId="26" builtinId="22" customBuiltin="1"/>
    <cellStyle name="Celda de comprobación" xfId="27" builtinId="23" customBuiltin="1"/>
    <cellStyle name="Celda vinculada" xfId="35" builtinId="24" customBuiltin="1"/>
    <cellStyle name="Encabezado 1" xfId="30" builtinId="16" customBuiltin="1"/>
    <cellStyle name="Encabezado 4" xfId="33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4" builtinId="20" customBuiltin="1"/>
    <cellStyle name="Incorrecto" xfId="25" builtinId="27" customBuiltin="1"/>
    <cellStyle name="Millares" xfId="44" builtinId="3"/>
    <cellStyle name="Moneda" xfId="45" builtinId="4"/>
    <cellStyle name="Neutral" xfId="36" builtinId="28" customBuiltin="1"/>
    <cellStyle name="Normal" xfId="0" builtinId="0"/>
    <cellStyle name="Notas" xfId="37" builtinId="10" customBuiltin="1"/>
    <cellStyle name="Porcentaje" xfId="43" builtinId="5"/>
    <cellStyle name="Salida" xfId="38" builtinId="21" customBuiltin="1"/>
    <cellStyle name="Texto de advertencia" xfId="41" builtinId="11" customBuiltin="1"/>
    <cellStyle name="Texto explicativo" xfId="28" builtinId="53" customBuiltin="1"/>
    <cellStyle name="Título" xfId="39" builtinId="15" customBuiltin="1"/>
    <cellStyle name="Título 2" xfId="31" builtinId="17" customBuiltin="1"/>
    <cellStyle name="Título 3" xfId="32" builtinId="18" customBuiltin="1"/>
    <cellStyle name="Total" xfId="4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'Histograma_VaR_Historico 1)'!$B$3:$B$18</c:f>
              <c:strCache>
                <c:ptCount val="16"/>
                <c:pt idx="0">
                  <c:v>-22495.35652</c:v>
                </c:pt>
                <c:pt idx="1">
                  <c:v>-19878.89374</c:v>
                </c:pt>
                <c:pt idx="2">
                  <c:v>-17262.43095</c:v>
                </c:pt>
                <c:pt idx="3">
                  <c:v>-14645.96816</c:v>
                </c:pt>
                <c:pt idx="4">
                  <c:v>-12029.50537</c:v>
                </c:pt>
                <c:pt idx="5">
                  <c:v>-9413.042585</c:v>
                </c:pt>
                <c:pt idx="6">
                  <c:v>-6796.579797</c:v>
                </c:pt>
                <c:pt idx="7">
                  <c:v>-4180.11701</c:v>
                </c:pt>
                <c:pt idx="8">
                  <c:v>-1563.654222</c:v>
                </c:pt>
                <c:pt idx="9">
                  <c:v>1052.808565</c:v>
                </c:pt>
                <c:pt idx="10">
                  <c:v>3669.271353</c:v>
                </c:pt>
                <c:pt idx="11">
                  <c:v>6285.734141</c:v>
                </c:pt>
                <c:pt idx="12">
                  <c:v>8902.196928</c:v>
                </c:pt>
                <c:pt idx="13">
                  <c:v>11518.65972</c:v>
                </c:pt>
                <c:pt idx="14">
                  <c:v>14135.1225</c:v>
                </c:pt>
                <c:pt idx="15">
                  <c:v>y mayor...</c:v>
                </c:pt>
              </c:strCache>
            </c:strRef>
          </c:cat>
          <c:val>
            <c:numRef>
              <c:f>'Histograma_VaR_Historico 1)'!$C$3:$C$18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8</c:v>
                </c:pt>
                <c:pt idx="5">
                  <c:v>21</c:v>
                </c:pt>
                <c:pt idx="6">
                  <c:v>13</c:v>
                </c:pt>
                <c:pt idx="7">
                  <c:v>11</c:v>
                </c:pt>
                <c:pt idx="8">
                  <c:v>31</c:v>
                </c:pt>
                <c:pt idx="9">
                  <c:v>66</c:v>
                </c:pt>
                <c:pt idx="10">
                  <c:v>44</c:v>
                </c:pt>
                <c:pt idx="11">
                  <c:v>5</c:v>
                </c:pt>
                <c:pt idx="12">
                  <c:v>6</c:v>
                </c:pt>
                <c:pt idx="13">
                  <c:v>30</c:v>
                </c:pt>
                <c:pt idx="14">
                  <c:v>12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7F-46C9-8CF3-9D9AA45A7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585151"/>
        <c:axId val="51589951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'Histograma_VaR_Historico 1)'!$B$3:$B$18</c:f>
              <c:strCache>
                <c:ptCount val="16"/>
                <c:pt idx="0">
                  <c:v>-22495.35652</c:v>
                </c:pt>
                <c:pt idx="1">
                  <c:v>-19878.89374</c:v>
                </c:pt>
                <c:pt idx="2">
                  <c:v>-17262.43095</c:v>
                </c:pt>
                <c:pt idx="3">
                  <c:v>-14645.96816</c:v>
                </c:pt>
                <c:pt idx="4">
                  <c:v>-12029.50537</c:v>
                </c:pt>
                <c:pt idx="5">
                  <c:v>-9413.042585</c:v>
                </c:pt>
                <c:pt idx="6">
                  <c:v>-6796.579797</c:v>
                </c:pt>
                <c:pt idx="7">
                  <c:v>-4180.11701</c:v>
                </c:pt>
                <c:pt idx="8">
                  <c:v>-1563.654222</c:v>
                </c:pt>
                <c:pt idx="9">
                  <c:v>1052.808565</c:v>
                </c:pt>
                <c:pt idx="10">
                  <c:v>3669.271353</c:v>
                </c:pt>
                <c:pt idx="11">
                  <c:v>6285.734141</c:v>
                </c:pt>
                <c:pt idx="12">
                  <c:v>8902.196928</c:v>
                </c:pt>
                <c:pt idx="13">
                  <c:v>11518.65972</c:v>
                </c:pt>
                <c:pt idx="14">
                  <c:v>14135.1225</c:v>
                </c:pt>
                <c:pt idx="15">
                  <c:v>y mayor...</c:v>
                </c:pt>
              </c:strCache>
            </c:strRef>
          </c:cat>
          <c:val>
            <c:numRef>
              <c:f>'Histograma_VaR_Historico 1)'!$D$3:$D$18</c:f>
              <c:numCache>
                <c:formatCode>0.00%</c:formatCode>
                <c:ptCount val="16"/>
                <c:pt idx="0">
                  <c:v>3.968253968253968E-3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4.3650793650793648E-2</c:v>
                </c:pt>
                <c:pt idx="5">
                  <c:v>0.12698412698412698</c:v>
                </c:pt>
                <c:pt idx="6">
                  <c:v>0.17857142857142858</c:v>
                </c:pt>
                <c:pt idx="7">
                  <c:v>0.22222222222222221</c:v>
                </c:pt>
                <c:pt idx="8">
                  <c:v>0.34523809523809523</c:v>
                </c:pt>
                <c:pt idx="9">
                  <c:v>0.6071428571428571</c:v>
                </c:pt>
                <c:pt idx="10">
                  <c:v>0.78174603174603174</c:v>
                </c:pt>
                <c:pt idx="11">
                  <c:v>0.80158730158730163</c:v>
                </c:pt>
                <c:pt idx="12">
                  <c:v>0.82539682539682535</c:v>
                </c:pt>
                <c:pt idx="13">
                  <c:v>0.94444444444444442</c:v>
                </c:pt>
                <c:pt idx="14">
                  <c:v>0.99206349206349209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7F-46C9-8CF3-9D9AA45A7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8872175"/>
        <c:axId val="2048870735"/>
      </c:lineChart>
      <c:catAx>
        <c:axId val="515851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589951"/>
        <c:crosses val="autoZero"/>
        <c:auto val="1"/>
        <c:lblAlgn val="ctr"/>
        <c:lblOffset val="100"/>
        <c:noMultiLvlLbl val="0"/>
      </c:catAx>
      <c:valAx>
        <c:axId val="5158995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585151"/>
        <c:crosses val="autoZero"/>
        <c:crossBetween val="between"/>
      </c:valAx>
      <c:valAx>
        <c:axId val="2048870735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048872175"/>
        <c:crosses val="max"/>
        <c:crossBetween val="between"/>
      </c:valAx>
      <c:catAx>
        <c:axId val="2048872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8870735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314324</xdr:colOff>
      <xdr:row>4</xdr:row>
      <xdr:rowOff>95250</xdr:rowOff>
    </xdr:from>
    <xdr:to>
      <xdr:col>9</xdr:col>
      <xdr:colOff>438149</xdr:colOff>
      <xdr:row>16</xdr:row>
      <xdr:rowOff>142875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5287"/>
        <a:stretch/>
      </xdr:blipFill>
      <xdr:spPr bwMode="auto">
        <a:xfrm>
          <a:off x="314324" y="857250"/>
          <a:ext cx="6981825" cy="2333625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581024</xdr:colOff>
      <xdr:row>5</xdr:row>
      <xdr:rowOff>133350</xdr:rowOff>
    </xdr:from>
    <xdr:to>
      <xdr:col>14</xdr:col>
      <xdr:colOff>609599</xdr:colOff>
      <xdr:row>11</xdr:row>
      <xdr:rowOff>85725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629649" y="1085850"/>
          <a:ext cx="3324225" cy="109537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Al</a:t>
          </a:r>
          <a:r>
            <a:rPr lang="es-MX" sz="1100" baseline="0"/>
            <a:t> igual que los activos; vamos a recolectar los ultimos 252 dias </a:t>
          </a:r>
          <a:r>
            <a:rPr lang="es-MX" sz="1100" b="1" i="1" baseline="0"/>
            <a:t>(lapso de tiempo) </a:t>
          </a:r>
          <a:r>
            <a:rPr lang="es-MX" sz="1100" b="0" i="0" baseline="0"/>
            <a:t>pero no de los precios del Bono sino de tu cambio en la tasa de interes que ofrece y  calcular </a:t>
          </a:r>
          <a:r>
            <a:rPr lang="es-MX" sz="1100" b="1" i="1" baseline="0"/>
            <a:t>"la variacion diaria</a:t>
          </a:r>
          <a:r>
            <a:rPr lang="es-MX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% de las tasas </a:t>
          </a:r>
          <a:r>
            <a:rPr lang="es-MX" sz="1100" b="1" i="1" baseline="0"/>
            <a:t>"</a:t>
          </a:r>
          <a:endParaRPr lang="es-MX" sz="1100" b="1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766379</xdr:colOff>
      <xdr:row>15</xdr:row>
      <xdr:rowOff>10948</xdr:rowOff>
    </xdr:from>
    <xdr:to>
      <xdr:col>11</xdr:col>
      <xdr:colOff>586338</xdr:colOff>
      <xdr:row>20</xdr:row>
      <xdr:rowOff>194609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6896" y="3076465"/>
          <a:ext cx="2907373" cy="122374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52308</xdr:colOff>
      <xdr:row>12</xdr:row>
      <xdr:rowOff>10951</xdr:rowOff>
    </xdr:from>
    <xdr:to>
      <xdr:col>10</xdr:col>
      <xdr:colOff>306553</xdr:colOff>
      <xdr:row>15</xdr:row>
      <xdr:rowOff>10948</xdr:rowOff>
    </xdr:to>
    <xdr:cxnSp macro="">
      <xdr:nvCxnSpPr>
        <xdr:cNvPr id="4" name="Conector: angula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endCxn id="2" idx="0"/>
        </xdr:cNvCxnSpPr>
      </xdr:nvCxnSpPr>
      <xdr:spPr>
        <a:xfrm rot="5400000">
          <a:off x="10837579" y="2659215"/>
          <a:ext cx="580255" cy="25424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624053</xdr:colOff>
      <xdr:row>22</xdr:row>
      <xdr:rowOff>43793</xdr:rowOff>
    </xdr:from>
    <xdr:to>
      <xdr:col>11</xdr:col>
      <xdr:colOff>860864</xdr:colOff>
      <xdr:row>28</xdr:row>
      <xdr:rowOff>11495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404570" y="4532586"/>
          <a:ext cx="3324225" cy="109537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i="0"/>
            <a:t>Podemos ver lo que </a:t>
          </a:r>
          <a:r>
            <a:rPr lang="es-MX" sz="1100" b="1" i="1"/>
            <a:t>el VaR Parametrico de cada Bono</a:t>
          </a:r>
          <a:r>
            <a:rPr lang="es-MX" sz="1100" b="0" i="0"/>
            <a:t> de manera diaria;</a:t>
          </a:r>
          <a:r>
            <a:rPr lang="es-MX" sz="1100" b="0" i="0" baseline="0"/>
            <a:t> </a:t>
          </a:r>
          <a:r>
            <a:rPr lang="es-MX" sz="1100" b="0" i="0"/>
            <a:t>pero podemos calcularlo</a:t>
          </a:r>
          <a:r>
            <a:rPr lang="es-MX" sz="1100" b="0" i="0" baseline="0"/>
            <a:t> por portafolio....</a:t>
          </a:r>
          <a:endParaRPr lang="es-MX" sz="1100" b="0" i="0"/>
        </a:p>
      </xdr:txBody>
    </xdr:sp>
    <xdr:clientData/>
  </xdr:twoCellAnchor>
  <xdr:twoCellAnchor editAs="oneCell">
    <xdr:from>
      <xdr:col>0</xdr:col>
      <xdr:colOff>109482</xdr:colOff>
      <xdr:row>17</xdr:row>
      <xdr:rowOff>120433</xdr:rowOff>
    </xdr:from>
    <xdr:to>
      <xdr:col>1</xdr:col>
      <xdr:colOff>996293</xdr:colOff>
      <xdr:row>23</xdr:row>
      <xdr:rowOff>20344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482" y="3667674"/>
          <a:ext cx="1598449" cy="102758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</xdr:col>
      <xdr:colOff>996294</xdr:colOff>
      <xdr:row>15</xdr:row>
      <xdr:rowOff>218966</xdr:rowOff>
    </xdr:from>
    <xdr:to>
      <xdr:col>2</xdr:col>
      <xdr:colOff>144764</xdr:colOff>
      <xdr:row>20</xdr:row>
      <xdr:rowOff>75863</xdr:rowOff>
    </xdr:to>
    <xdr:cxnSp macro="">
      <xdr:nvCxnSpPr>
        <xdr:cNvPr id="10" name="Conector: angula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endCxn id="9" idx="3"/>
        </xdr:cNvCxnSpPr>
      </xdr:nvCxnSpPr>
      <xdr:spPr>
        <a:xfrm rot="5400000">
          <a:off x="1364667" y="3627748"/>
          <a:ext cx="896983" cy="210453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722058</xdr:colOff>
      <xdr:row>10</xdr:row>
      <xdr:rowOff>122904</xdr:rowOff>
    </xdr:from>
    <xdr:to>
      <xdr:col>23</xdr:col>
      <xdr:colOff>253490</xdr:colOff>
      <xdr:row>14</xdr:row>
      <xdr:rowOff>145948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6699477" y="2089356"/>
          <a:ext cx="3648690" cy="791189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i="0"/>
            <a:t>A</a:t>
          </a:r>
          <a:r>
            <a:rPr lang="es-MX" sz="1100" b="0" i="0" baseline="0"/>
            <a:t> diferencia del </a:t>
          </a:r>
          <a:r>
            <a:rPr lang="es-MX" sz="1100" b="1" i="1" baseline="0"/>
            <a:t>Var Parametrico</a:t>
          </a:r>
          <a:r>
            <a:rPr lang="es-MX" sz="1100" b="0" i="0" baseline="0"/>
            <a:t>; </a:t>
          </a:r>
          <a:r>
            <a:rPr lang="es-MX" sz="1100" b="1" i="0" baseline="0"/>
            <a:t>"</a:t>
          </a:r>
          <a:r>
            <a:rPr lang="es-MX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 VaR Historico</a:t>
          </a:r>
          <a:r>
            <a:rPr lang="es-MX" sz="1100" b="1" i="0" baseline="0"/>
            <a:t>" </a:t>
          </a:r>
          <a:r>
            <a:rPr lang="es-MX" sz="1100" b="0" i="0" baseline="0"/>
            <a:t>usa los precios de los Bonos para su desarrollo por lo que es necesario el calculo de cada uno de ellos.</a:t>
          </a:r>
        </a:p>
      </xdr:txBody>
    </xdr:sp>
    <xdr:clientData/>
  </xdr:twoCellAnchor>
  <xdr:twoCellAnchor>
    <xdr:from>
      <xdr:col>4</xdr:col>
      <xdr:colOff>720480</xdr:colOff>
      <xdr:row>259</xdr:row>
      <xdr:rowOff>146539</xdr:rowOff>
    </xdr:from>
    <xdr:to>
      <xdr:col>5</xdr:col>
      <xdr:colOff>183173</xdr:colOff>
      <xdr:row>262</xdr:row>
      <xdr:rowOff>122116</xdr:rowOff>
    </xdr:to>
    <xdr:sp macro="" textlink="">
      <xdr:nvSpPr>
        <xdr:cNvPr id="5" name="Flecha: hacia abaj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626480" y="48343039"/>
          <a:ext cx="186593" cy="547077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238997</xdr:colOff>
      <xdr:row>259</xdr:row>
      <xdr:rowOff>70650</xdr:rowOff>
    </xdr:from>
    <xdr:to>
      <xdr:col>11</xdr:col>
      <xdr:colOff>839107</xdr:colOff>
      <xdr:row>262</xdr:row>
      <xdr:rowOff>113393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4876765" y="50042882"/>
          <a:ext cx="4954396" cy="621047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/>
            <a:t>Podemos ver como los promedio positivos y negativois por activos se contrarestan entre si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76200</xdr:rowOff>
    </xdr:from>
    <xdr:to>
      <xdr:col>14</xdr:col>
      <xdr:colOff>390525</xdr:colOff>
      <xdr:row>20</xdr:row>
      <xdr:rowOff>66675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180975</xdr:colOff>
      <xdr:row>4</xdr:row>
      <xdr:rowOff>28575</xdr:rowOff>
    </xdr:from>
    <xdr:to>
      <xdr:col>6</xdr:col>
      <xdr:colOff>209363</xdr:colOff>
      <xdr:row>21</xdr:row>
      <xdr:rowOff>107517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4752975" y="790575"/>
          <a:ext cx="28388" cy="3326967"/>
        </a:xfrm>
        <a:prstGeom prst="line">
          <a:avLst/>
        </a:prstGeom>
        <a:ln w="3810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209554</xdr:colOff>
      <xdr:row>1</xdr:row>
      <xdr:rowOff>133350</xdr:rowOff>
    </xdr:from>
    <xdr:to>
      <xdr:col>12</xdr:col>
      <xdr:colOff>38104</xdr:colOff>
      <xdr:row>4</xdr:row>
      <xdr:rowOff>63166</xdr:rowOff>
    </xdr:to>
    <xdr:sp macro="" textlink="">
      <xdr:nvSpPr>
        <xdr:cNvPr id="4" name="Cerrar llav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rot="16200000">
          <a:off x="6731171" y="-1625767"/>
          <a:ext cx="501316" cy="4400550"/>
        </a:xfrm>
        <a:prstGeom prst="righ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657225</xdr:colOff>
      <xdr:row>18</xdr:row>
      <xdr:rowOff>57148</xdr:rowOff>
    </xdr:from>
    <xdr:to>
      <xdr:col>6</xdr:col>
      <xdr:colOff>180974</xdr:colOff>
      <xdr:row>20</xdr:row>
      <xdr:rowOff>47623</xdr:rowOff>
    </xdr:to>
    <xdr:sp macro="" textlink="">
      <xdr:nvSpPr>
        <xdr:cNvPr id="5" name="Abrir llav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 rot="16200000">
          <a:off x="4300537" y="2900361"/>
          <a:ext cx="371475" cy="1562099"/>
        </a:xfrm>
        <a:prstGeom prst="leftBrace">
          <a:avLst/>
        </a:prstGeom>
        <a:solidFill>
          <a:srgbClr val="92D050"/>
        </a:solidFill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5</xdr:row>
          <xdr:rowOff>142875</xdr:rowOff>
        </xdr:from>
        <xdr:to>
          <xdr:col>10</xdr:col>
          <xdr:colOff>180975</xdr:colOff>
          <xdr:row>8</xdr:row>
          <xdr:rowOff>142875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5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 Simulacion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D3D200A2-7CC7-4F66-BBBA-10F7B2DBD130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" dT="2024-04-06T18:12:13.18" personId="{D3D200A2-7CC7-4F66-BBBA-10F7B2DBD130}" id="{E9789B42-3E96-4B4D-81AB-B15039FD3DAC}">
    <text>(%t / %t-1) - 1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8" dT="2024-04-06T18:28:47.00" personId="{D3D200A2-7CC7-4F66-BBBA-10F7B2DBD130}" id="{545167B2-263B-4C1D-87D6-B000B139A9FD}">
    <text>Nos indica cuando acaba el tiempo del plazo para devolver la inversion del bono</text>
  </threadedComment>
  <threadedComment ref="D8" dT="2024-04-06T18:54:03.03" personId="{D3D200A2-7CC7-4F66-BBBA-10F7B2DBD130}" id="{4E948310-0596-4FD2-B52A-5E7D6D9A3F3D}">
    <text>Es el interes del Bono Anual  que maneja</text>
  </threadedComment>
  <threadedComment ref="E8" dT="2024-04-03T00:49:28.68" personId="{D3D200A2-7CC7-4F66-BBBA-10F7B2DBD130}" id="{10EA29D2-24E4-4FC4-8D49-1F1B9F0EE1CE}">
    <text>Tasa de interes establecida en la fecha de Valuacion</text>
  </threadedComment>
  <threadedComment ref="F8" dT="2024-04-03T00:54:56.01" personId="{D3D200A2-7CC7-4F66-BBBA-10F7B2DBD130}" id="{D04F3C55-CEB7-4DA1-999D-EC791AE4F9F4}">
    <text xml:space="preserve">Calculamos el precio del Bono con la funcion: "BonoM" </text>
  </threadedComment>
  <threadedComment ref="H8" dT="2024-04-03T00:56:41.72" personId="{D3D200A2-7CC7-4F66-BBBA-10F7B2DBD130}" id="{B742922B-16E1-49A1-B01F-A870F998D5B8}">
    <text>Es el valor total del # de bonos comprados</text>
  </threadedComment>
  <threadedComment ref="I8" dT="2024-04-03T00:57:34.83" personId="{D3D200A2-7CC7-4F66-BBBA-10F7B2DBD130}" id="{FB39A9EC-EBCF-43BB-99A7-D94DF7A3129D}">
    <text>La proporcion con respecto a lo gasto en total</text>
  </threadedComment>
  <threadedComment ref="J8" dT="2024-04-03T00:58:09.28" personId="{D3D200A2-7CC7-4F66-BBBA-10F7B2DBD130}" id="{D7163EAA-118E-4CAF-9656-50A9793D7D6C}">
    <text>Hacemos uso de una funcion de Excel llamada: "Duracion.modif"</text>
  </threadedComment>
  <threadedComment ref="L8" dT="2024-04-06T19:12:10.80" personId="{D3D200A2-7CC7-4F66-BBBA-10F7B2DBD130}" id="{9BC54E2C-889C-4BAB-9350-8A3EB601455F}">
    <text>El monto (el valor del VaR) sera:
VaR = -F * S * σ * (Raiz de t)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N1" dT="2024-04-06T19:57:24.24" personId="{D3D200A2-7CC7-4F66-BBBA-10F7B2DBD130}" id="{95B3E54F-C22B-48CD-A6B3-21F08F212A18}">
    <text>El costo total por la compra de los bonos</text>
  </threadedComment>
  <threadedComment ref="N2" dT="2024-04-06T19:56:57.73" personId="{D3D200A2-7CC7-4F66-BBBA-10F7B2DBD130}" id="{E50F05F5-7FC1-43CA-B59D-5556740889F4}">
    <text>Es el # de Bonos que se destinaron a comprar</text>
  </threadedComment>
  <threadedComment ref="C3" dT="2024-04-06T19:49:34.23" personId="{D3D200A2-7CC7-4F66-BBBA-10F7B2DBD130}" id="{69CC61F8-AEDD-43E6-9277-5E4E3A8FFB7A}">
    <text>Calculamos el precio del bono con la funcion de Excel: "BonoM"</text>
  </threadedComment>
  <threadedComment ref="G3" dT="2024-04-06T19:52:49.40" personId="{D3D200A2-7CC7-4F66-BBBA-10F7B2DBD130}" id="{6D18EFA2-921D-4FA3-9D20-391DFB403796}">
    <text>Con los precios podemos usar: (pt/pt-1) -1</text>
  </threadedComment>
  <threadedComment ref="K3" dT="2024-04-06T19:56:05.30" personId="{D3D200A2-7CC7-4F66-BBBA-10F7B2DBD130}" id="{C6FA25BA-B4B3-4101-8C91-C41AAD8E6520}">
    <text>Simulamos los precios como el resultado de multiplicar el rendimiento por el precio de la fecha de Valuacion</text>
  </threadedComment>
  <threadedComment ref="O3" dT="2024-04-06T20:11:35.66" personId="{D3D200A2-7CC7-4F66-BBBA-10F7B2DBD130}" id="{3C66B039-CBC9-4709-93EA-FDD29DFF64B4}">
    <text>Sera la diferencia de los precios simulados Vs el precio de valuacion y multiplicado por Titulos</text>
  </threadedComment>
  <threadedComment ref="S4" dT="2024-04-06T20:14:50.25" personId="{D3D200A2-7CC7-4F66-BBBA-10F7B2DBD130}" id="{2958BA3A-3255-4BBB-883F-BD962E2227E8}">
    <text>Sumamos todos los valores de ese dia</text>
  </threadedComment>
  <threadedComment ref="U8" dT="2024-04-06T20:29:14.39" personId="{D3D200A2-7CC7-4F66-BBBA-10F7B2DBD130}" id="{B590B426-3EB8-417C-9533-57B0B61EC0AB}">
    <text>Dado que solo tenemos los precios; el VaR solo sera calcular con la funcion "Percentil" todo el portafolio y indicando el nivel de confianza</text>
  </threadedComment>
  <threadedComment ref="U9" dT="2024-04-06T20:32:18.45" personId="{D3D200A2-7CC7-4F66-BBBA-10F7B2DBD130}" id="{9CA66EB9-AC4D-4723-B5D4-3099CE7B7373}">
    <text>Si el VaR 99% nos indica el valor que se tiene al 99% de toda la distribucion; entonces el VaR condicionado sera la suma de todos los valores del portafolio que no llegue a ese punto</text>
  </threadedComment>
  <threadedComment ref="E259" dT="2024-03-16T13:24:22.60" personId="{D3D200A2-7CC7-4F66-BBBA-10F7B2DBD130}" id="{EAD081E5-ADDB-45AA-9CB2-ADFAE2D66504}">
    <text>Aqui podemos ver que se esta cumpliendo el supuesto de que la media de los rendimientos por activos sea cero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6" dT="2024-03-20T17:37:27.22" personId="{D3D200A2-7CC7-4F66-BBBA-10F7B2DBD130}" id="{24498557-ECE5-48AD-8BA4-DCDFCADAD43D}">
    <text>El tamano de los titulos es deacuerdo a portafolio y estos puede variar entre portafolios</text>
  </threadedComment>
  <threadedComment ref="A7" dT="2024-03-20T17:39:00.38" personId="{D3D200A2-7CC7-4F66-BBBA-10F7B2DBD130}" id="{BB0ABCC2-ABE8-4AAA-B0B4-6B83966A1F63}">
    <text>Recordemos que el debe cumplir el supuesto de que las medias de los rendimientos se acercara a cero (este ultimo lo sacamos del VaR Historico)</text>
  </threadedComment>
  <threadedComment ref="A8" dT="2024-03-20T17:42:19.38" personId="{D3D200A2-7CC7-4F66-BBBA-10F7B2DBD130}" id="{AA598938-E1B8-4C05-ABA9-0E7536BB1BFE}">
    <text>Usamos la Volatibilidad_Bono desarrollada en VaR Parametrico</text>
  </threadedComment>
  <threadedComment ref="E10" dT="2024-03-20T20:07:30.94" personId="{D3D200A2-7CC7-4F66-BBBA-10F7B2DBD130}" id="{31D14D5F-0B44-45C6-939D-76663121E95D}">
    <text>Es el valor del portafolio base</text>
  </threadedComment>
  <threadedComment ref="F12" dT="2024-03-20T20:09:51.95" personId="{D3D200A2-7CC7-4F66-BBBA-10F7B2DBD130}" id="{F5E38355-F16C-4BCE-BAD5-328D49A42CE8}">
    <text>Estimamos el percentil en base a una confianza del 99% y utilizando los valores de portafolio</text>
  </threadedComment>
  <threadedComment ref="F13" dT="2024-03-20T20:12:00.54" personId="{D3D200A2-7CC7-4F66-BBBA-10F7B2DBD130}" id="{479397C9-E201-4E4A-8E5D-8ACCF8DACB7A}">
    <text>Este el VaR condicional en base al promedio de aquellos valores que esten por debajo el VaR al 99%</text>
  </threadedComment>
  <threadedComment ref="B16" dT="2024-03-20T19:56:37.24" personId="{D3D200A2-7CC7-4F66-BBBA-10F7B2DBD130}" id="{B0417F7A-FBD8-4632-A053-37CB273CC745}">
    <text>En este apartado esta generando los precios acequibles aleatorios para generar el otro apartado</text>
  </threadedComment>
  <threadedComment ref="F16" dT="2024-03-20T20:00:32.36" personId="{D3D200A2-7CC7-4F66-BBBA-10F7B2DBD130}" id="{125BC67C-CBDA-49D3-AA63-EE734B5A6EE3}">
    <text>Parecido a las perdidas y ganancias del VaR del metodo historico pero tomando en cuenta los precios simulados</text>
  </threadedComment>
  <threadedComment ref="J17" dT="2024-03-20T20:03:42.68" personId="{D3D200A2-7CC7-4F66-BBBA-10F7B2DBD130}" id="{AC73480D-0A95-4F7E-A124-71C5BDBEE0E0}">
    <text xml:space="preserve">El portafolio representa 
La suma de todos los activos en ese dia 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EEAE8-F734-4572-9764-0847B4C6ECDE}">
  <sheetPr codeName="Hoja1"/>
  <dimension ref="D2:G3"/>
  <sheetViews>
    <sheetView tabSelected="1" workbookViewId="0">
      <selection activeCell="L7" sqref="L7"/>
    </sheetView>
  </sheetViews>
  <sheetFormatPr baseColWidth="10" defaultRowHeight="15" x14ac:dyDescent="0.25"/>
  <sheetData>
    <row r="2" spans="4:7" x14ac:dyDescent="0.25">
      <c r="D2" s="117" t="s">
        <v>43</v>
      </c>
      <c r="E2" s="117"/>
      <c r="F2" s="117" t="s">
        <v>44</v>
      </c>
      <c r="G2" s="117"/>
    </row>
    <row r="3" spans="4:7" x14ac:dyDescent="0.25">
      <c r="D3" s="118" t="s">
        <v>45</v>
      </c>
      <c r="E3" s="118"/>
      <c r="F3" s="118">
        <v>317231186</v>
      </c>
      <c r="G3" s="118"/>
    </row>
  </sheetData>
  <mergeCells count="4">
    <mergeCell ref="D2:E2"/>
    <mergeCell ref="F2:G2"/>
    <mergeCell ref="D3:E3"/>
    <mergeCell ref="F3:G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EF9E4-EE11-4B71-B04F-5EC9B5730581}">
  <sheetPr codeName="Hoja3"/>
  <dimension ref="A3:M259"/>
  <sheetViews>
    <sheetView zoomScaleNormal="100" workbookViewId="0">
      <pane xSplit="2" ySplit="4" topLeftCell="C246" activePane="bottomRight" state="frozen"/>
      <selection pane="topRight" activeCell="D1" sqref="D1"/>
      <selection pane="bottomLeft" activeCell="A3" sqref="A3"/>
      <selection pane="bottomRight" activeCell="M253" sqref="M253:V259"/>
    </sheetView>
  </sheetViews>
  <sheetFormatPr baseColWidth="10" defaultColWidth="8.85546875" defaultRowHeight="15" x14ac:dyDescent="0.25"/>
  <cols>
    <col min="1" max="1" width="4.28515625" bestFit="1" customWidth="1"/>
    <col min="2" max="2" width="11.28515625" bestFit="1" customWidth="1"/>
    <col min="3" max="10" width="13.140625" customWidth="1"/>
    <col min="11" max="11" width="14.7109375" bestFit="1" customWidth="1"/>
    <col min="12" max="12" width="13.28515625" customWidth="1"/>
    <col min="13" max="20" width="10.7109375" customWidth="1"/>
  </cols>
  <sheetData>
    <row r="3" spans="1:13" x14ac:dyDescent="0.25">
      <c r="C3" s="119" t="s">
        <v>20</v>
      </c>
      <c r="D3" s="120"/>
      <c r="E3" s="120"/>
      <c r="F3" s="121"/>
      <c r="G3" s="122" t="s">
        <v>19</v>
      </c>
      <c r="H3" s="123"/>
      <c r="I3" s="123"/>
      <c r="J3" s="124"/>
    </row>
    <row r="4" spans="1:13" x14ac:dyDescent="0.25">
      <c r="A4" s="2" t="s">
        <v>2</v>
      </c>
      <c r="B4" s="2" t="s">
        <v>0</v>
      </c>
      <c r="C4" s="4" t="s">
        <v>25</v>
      </c>
      <c r="D4" s="4" t="s">
        <v>26</v>
      </c>
      <c r="E4" s="4" t="s">
        <v>21</v>
      </c>
      <c r="F4" s="4" t="s">
        <v>27</v>
      </c>
      <c r="G4" s="3" t="str">
        <f>+C4</f>
        <v>BONOM_2027</v>
      </c>
      <c r="H4" s="3" t="str">
        <f>+D4</f>
        <v>BONOM_2029</v>
      </c>
      <c r="I4" s="3" t="str">
        <f>+E4</f>
        <v>BONOM_2031</v>
      </c>
      <c r="J4" s="3" t="str">
        <f>+F4</f>
        <v>BONOM_2038</v>
      </c>
    </row>
    <row r="5" spans="1:13" x14ac:dyDescent="0.25">
      <c r="A5" s="6">
        <f t="shared" ref="A5:A68" si="0">+A6-1</f>
        <v>1</v>
      </c>
      <c r="B5" s="23">
        <v>45379</v>
      </c>
      <c r="C5" s="32">
        <v>9.7550000000000012E-2</v>
      </c>
      <c r="D5" s="33">
        <v>9.5890000000000003E-2</v>
      </c>
      <c r="E5" s="33">
        <v>9.6099999999999991E-2</v>
      </c>
      <c r="F5" s="34">
        <v>9.6860000000000002E-2</v>
      </c>
      <c r="G5" s="41">
        <f t="shared" ref="G5:G36" si="1">+C5/C6-1</f>
        <v>3.3806697753285375E-2</v>
      </c>
      <c r="H5" s="42">
        <f t="shared" ref="H5:H36" si="2">+D5/D6-1</f>
        <v>3.9345328419683412E-2</v>
      </c>
      <c r="I5" s="42">
        <f t="shared" ref="I5:I36" si="3">+E5/E6-1</f>
        <v>3.8245462402765718E-2</v>
      </c>
      <c r="J5" s="43">
        <f t="shared" ref="J5:J36" si="4">+F5/F6-1</f>
        <v>3.7489288774635865E-2</v>
      </c>
    </row>
    <row r="6" spans="1:13" x14ac:dyDescent="0.25">
      <c r="A6" s="6">
        <f t="shared" si="0"/>
        <v>2</v>
      </c>
      <c r="B6" s="24">
        <v>45378</v>
      </c>
      <c r="C6" s="35">
        <v>9.4359999999999999E-2</v>
      </c>
      <c r="D6" s="36">
        <v>9.2260000000000009E-2</v>
      </c>
      <c r="E6" s="36">
        <v>9.2560000000000003E-2</v>
      </c>
      <c r="F6" s="37">
        <v>9.3359999999999999E-2</v>
      </c>
      <c r="G6" s="35">
        <f t="shared" si="1"/>
        <v>-6.3184498736310601E-3</v>
      </c>
      <c r="H6" s="36">
        <f t="shared" si="2"/>
        <v>-4.3168573278652422E-3</v>
      </c>
      <c r="I6" s="36">
        <f t="shared" si="3"/>
        <v>-2.1561017680034045E-3</v>
      </c>
      <c r="J6" s="37">
        <f t="shared" si="4"/>
        <v>-4.2662116040955711E-3</v>
      </c>
    </row>
    <row r="7" spans="1:13" x14ac:dyDescent="0.25">
      <c r="A7" s="6">
        <f t="shared" si="0"/>
        <v>3</v>
      </c>
      <c r="B7" s="24">
        <v>45377</v>
      </c>
      <c r="C7" s="35">
        <v>9.4960000000000003E-2</v>
      </c>
      <c r="D7" s="36">
        <v>9.2660000000000006E-2</v>
      </c>
      <c r="E7" s="36">
        <v>9.2759999999999995E-2</v>
      </c>
      <c r="F7" s="37">
        <v>9.3759999999999996E-2</v>
      </c>
      <c r="G7" s="35">
        <f t="shared" si="1"/>
        <v>-4.1946308724831738E-3</v>
      </c>
      <c r="H7" s="36">
        <f t="shared" si="2"/>
        <v>-4.2983021706424207E-3</v>
      </c>
      <c r="I7" s="36">
        <f t="shared" si="3"/>
        <v>-4.293688278231178E-3</v>
      </c>
      <c r="J7" s="37">
        <f t="shared" si="4"/>
        <v>-5.3044769785699497E-3</v>
      </c>
    </row>
    <row r="8" spans="1:13" x14ac:dyDescent="0.25">
      <c r="A8" s="6">
        <f t="shared" si="0"/>
        <v>4</v>
      </c>
      <c r="B8" s="24">
        <v>45376</v>
      </c>
      <c r="C8" s="35">
        <v>9.536E-2</v>
      </c>
      <c r="D8" s="36">
        <v>9.305999999999999E-2</v>
      </c>
      <c r="E8" s="36">
        <v>9.3160000000000007E-2</v>
      </c>
      <c r="F8" s="37">
        <v>9.4259999999999997E-2</v>
      </c>
      <c r="G8" s="35">
        <f t="shared" si="1"/>
        <v>-2.8425878757004641E-2</v>
      </c>
      <c r="H8" s="36">
        <f t="shared" si="2"/>
        <v>-2.3914411579610051E-2</v>
      </c>
      <c r="I8" s="36">
        <f t="shared" si="3"/>
        <v>-2.4911032028469671E-2</v>
      </c>
      <c r="J8" s="37">
        <f t="shared" si="4"/>
        <v>-2.8047020004124734E-2</v>
      </c>
    </row>
    <row r="9" spans="1:13" x14ac:dyDescent="0.25">
      <c r="A9" s="6">
        <f t="shared" si="0"/>
        <v>5</v>
      </c>
      <c r="B9" s="24">
        <v>45374</v>
      </c>
      <c r="C9" s="35">
        <v>9.8150000000000001E-2</v>
      </c>
      <c r="D9" s="36">
        <v>9.5340000000000008E-2</v>
      </c>
      <c r="E9" s="36">
        <v>9.554E-2</v>
      </c>
      <c r="F9" s="37">
        <v>9.6980000000000011E-2</v>
      </c>
      <c r="G9" s="35">
        <f t="shared" si="1"/>
        <v>3.250578581948238E-2</v>
      </c>
      <c r="H9" s="36">
        <f t="shared" si="2"/>
        <v>3.6755110917790379E-2</v>
      </c>
      <c r="I9" s="36">
        <f t="shared" si="3"/>
        <v>3.8929969551979138E-2</v>
      </c>
      <c r="J9" s="37">
        <f t="shared" si="4"/>
        <v>3.5447362801622972E-2</v>
      </c>
      <c r="K9" s="10"/>
      <c r="L9" s="12"/>
      <c r="M9" s="5"/>
    </row>
    <row r="10" spans="1:13" x14ac:dyDescent="0.25">
      <c r="A10" s="6">
        <f t="shared" si="0"/>
        <v>6</v>
      </c>
      <c r="B10" s="24">
        <v>45373</v>
      </c>
      <c r="C10" s="35">
        <v>9.5060000000000006E-2</v>
      </c>
      <c r="D10" s="36">
        <v>9.196E-2</v>
      </c>
      <c r="E10" s="36">
        <v>9.196E-2</v>
      </c>
      <c r="F10" s="37">
        <v>9.3659999999999993E-2</v>
      </c>
      <c r="G10" s="35">
        <f t="shared" si="1"/>
        <v>1.1707109408258809E-2</v>
      </c>
      <c r="H10" s="36">
        <f t="shared" si="2"/>
        <v>5.4668707631750912E-3</v>
      </c>
      <c r="I10" s="36">
        <f t="shared" si="3"/>
        <v>5.4668707631750912E-3</v>
      </c>
      <c r="J10" s="37">
        <f t="shared" si="4"/>
        <v>7.5301204819278045E-3</v>
      </c>
      <c r="K10" s="10"/>
      <c r="L10" s="12"/>
      <c r="M10" s="5"/>
    </row>
    <row r="11" spans="1:13" x14ac:dyDescent="0.25">
      <c r="A11" s="6">
        <f t="shared" si="0"/>
        <v>7</v>
      </c>
      <c r="B11" s="24">
        <v>45372</v>
      </c>
      <c r="C11" s="35">
        <v>9.3960000000000002E-2</v>
      </c>
      <c r="D11" s="36">
        <v>9.1460000000000014E-2</v>
      </c>
      <c r="E11" s="36">
        <v>9.1460000000000014E-2</v>
      </c>
      <c r="F11" s="37">
        <v>9.2959999999999987E-2</v>
      </c>
      <c r="G11" s="35">
        <f t="shared" si="1"/>
        <v>-2.2878535773710462E-2</v>
      </c>
      <c r="H11" s="36">
        <f t="shared" si="2"/>
        <v>-1.1884183232497736E-2</v>
      </c>
      <c r="I11" s="36">
        <f t="shared" si="3"/>
        <v>-1.1884183232497736E-2</v>
      </c>
      <c r="J11" s="37">
        <f t="shared" si="4"/>
        <v>-7.4738415545591019E-3</v>
      </c>
      <c r="K11" s="11"/>
      <c r="L11" s="12"/>
      <c r="M11" s="5"/>
    </row>
    <row r="12" spans="1:13" x14ac:dyDescent="0.25">
      <c r="A12" s="6">
        <f t="shared" si="0"/>
        <v>8</v>
      </c>
      <c r="B12" s="24">
        <v>45371</v>
      </c>
      <c r="C12" s="35">
        <v>9.6159999999999995E-2</v>
      </c>
      <c r="D12" s="36">
        <v>9.2560000000000003E-2</v>
      </c>
      <c r="E12" s="36">
        <v>9.2560000000000003E-2</v>
      </c>
      <c r="F12" s="37">
        <v>9.3659999999999993E-2</v>
      </c>
      <c r="G12" s="35">
        <f t="shared" si="1"/>
        <v>0</v>
      </c>
      <c r="H12" s="36">
        <f t="shared" si="2"/>
        <v>-1.0792143319663383E-3</v>
      </c>
      <c r="I12" s="36">
        <f t="shared" si="3"/>
        <v>-2.1561017680034045E-3</v>
      </c>
      <c r="J12" s="37">
        <f t="shared" si="4"/>
        <v>-2.1308331557640114E-3</v>
      </c>
      <c r="K12" s="10"/>
      <c r="L12" s="12"/>
      <c r="M12" s="5"/>
    </row>
    <row r="13" spans="1:13" x14ac:dyDescent="0.25">
      <c r="A13" s="6">
        <f t="shared" si="0"/>
        <v>9</v>
      </c>
      <c r="B13" s="24">
        <v>45370</v>
      </c>
      <c r="C13" s="35">
        <v>9.6159999999999995E-2</v>
      </c>
      <c r="D13" s="36">
        <v>9.2660000000000006E-2</v>
      </c>
      <c r="E13" s="36">
        <v>9.2759999999999995E-2</v>
      </c>
      <c r="F13" s="37">
        <v>9.3859999999999999E-2</v>
      </c>
      <c r="G13" s="35">
        <f t="shared" si="1"/>
        <v>-3.3956198513160563E-2</v>
      </c>
      <c r="H13" s="36">
        <f t="shared" si="2"/>
        <v>-3.7298701298701276E-2</v>
      </c>
      <c r="I13" s="36">
        <f t="shared" si="3"/>
        <v>-3.7160058127465367E-2</v>
      </c>
      <c r="J13" s="37">
        <f t="shared" si="4"/>
        <v>-3.5949055053410062E-2</v>
      </c>
      <c r="K13" s="10"/>
    </row>
    <row r="14" spans="1:13" x14ac:dyDescent="0.25">
      <c r="A14" s="6">
        <f t="shared" si="0"/>
        <v>10</v>
      </c>
      <c r="B14" s="24">
        <v>45367</v>
      </c>
      <c r="C14" s="35">
        <v>9.9540000000000003E-2</v>
      </c>
      <c r="D14" s="36">
        <v>9.6250000000000002E-2</v>
      </c>
      <c r="E14" s="36">
        <v>9.6340000000000009E-2</v>
      </c>
      <c r="F14" s="37">
        <v>9.7360000000000002E-2</v>
      </c>
      <c r="G14" s="35">
        <f t="shared" si="1"/>
        <v>3.5149750415973458E-2</v>
      </c>
      <c r="H14" s="36">
        <f t="shared" si="2"/>
        <v>3.9866032843560939E-2</v>
      </c>
      <c r="I14" s="36">
        <f t="shared" si="3"/>
        <v>3.9715087416360983E-2</v>
      </c>
      <c r="J14" s="37">
        <f t="shared" si="4"/>
        <v>3.7289580225868368E-2</v>
      </c>
      <c r="K14" s="11"/>
    </row>
    <row r="15" spans="1:13" x14ac:dyDescent="0.25">
      <c r="A15" s="6">
        <f t="shared" si="0"/>
        <v>11</v>
      </c>
      <c r="B15" s="24">
        <v>45366</v>
      </c>
      <c r="C15" s="35">
        <v>9.6159999999999995E-2</v>
      </c>
      <c r="D15" s="36">
        <v>9.2560000000000003E-2</v>
      </c>
      <c r="E15" s="36">
        <v>9.2660000000000006E-2</v>
      </c>
      <c r="F15" s="37">
        <v>9.3859999999999999E-2</v>
      </c>
      <c r="G15" s="35">
        <f t="shared" si="1"/>
        <v>8.3892617449663476E-3</v>
      </c>
      <c r="H15" s="36">
        <f t="shared" si="2"/>
        <v>9.8188959197031966E-3</v>
      </c>
      <c r="I15" s="36">
        <f t="shared" si="3"/>
        <v>6.5174885943950489E-3</v>
      </c>
      <c r="J15" s="37">
        <f t="shared" si="4"/>
        <v>1.1858559724019058E-2</v>
      </c>
      <c r="K15" s="10"/>
    </row>
    <row r="16" spans="1:13" x14ac:dyDescent="0.25">
      <c r="A16" s="6">
        <f t="shared" si="0"/>
        <v>12</v>
      </c>
      <c r="B16" s="24">
        <v>45365</v>
      </c>
      <c r="C16" s="35">
        <v>9.536E-2</v>
      </c>
      <c r="D16" s="36">
        <v>9.1660000000000005E-2</v>
      </c>
      <c r="E16" s="36">
        <v>9.2059999999999989E-2</v>
      </c>
      <c r="F16" s="37">
        <v>9.2759999999999995E-2</v>
      </c>
      <c r="G16" s="35">
        <f t="shared" si="1"/>
        <v>6.3317855635287579E-3</v>
      </c>
      <c r="H16" s="36">
        <f t="shared" si="2"/>
        <v>4.3830813061582763E-3</v>
      </c>
      <c r="I16" s="36">
        <f t="shared" si="3"/>
        <v>7.6619964973729804E-3</v>
      </c>
      <c r="J16" s="37">
        <f t="shared" si="4"/>
        <v>4.3308791684710801E-3</v>
      </c>
      <c r="K16" s="11"/>
    </row>
    <row r="17" spans="1:11" x14ac:dyDescent="0.25">
      <c r="A17" s="6">
        <f t="shared" si="0"/>
        <v>13</v>
      </c>
      <c r="B17" s="24">
        <v>45364</v>
      </c>
      <c r="C17" s="35">
        <v>9.4760000000000011E-2</v>
      </c>
      <c r="D17" s="36">
        <v>9.1259999999999994E-2</v>
      </c>
      <c r="E17" s="36">
        <v>9.1359999999999997E-2</v>
      </c>
      <c r="F17" s="37">
        <v>9.2360000000000012E-2</v>
      </c>
      <c r="G17" s="35">
        <f t="shared" si="1"/>
        <v>-3.1559015358719744E-3</v>
      </c>
      <c r="H17" s="36">
        <f t="shared" si="2"/>
        <v>-4.3639537420904206E-3</v>
      </c>
      <c r="I17" s="36">
        <f t="shared" si="3"/>
        <v>-3.2729653065678432E-3</v>
      </c>
      <c r="J17" s="37">
        <f t="shared" si="4"/>
        <v>-2.16076058772674E-3</v>
      </c>
      <c r="K17" s="11"/>
    </row>
    <row r="18" spans="1:11" x14ac:dyDescent="0.25">
      <c r="A18" s="6">
        <f t="shared" si="0"/>
        <v>14</v>
      </c>
      <c r="B18" s="24">
        <v>45363</v>
      </c>
      <c r="C18" s="35">
        <v>9.5060000000000006E-2</v>
      </c>
      <c r="D18" s="36">
        <v>9.1660000000000005E-2</v>
      </c>
      <c r="E18" s="36">
        <v>9.1660000000000005E-2</v>
      </c>
      <c r="F18" s="37">
        <v>9.2560000000000003E-2</v>
      </c>
      <c r="G18" s="35">
        <f t="shared" si="1"/>
        <v>5.2876480541457216E-3</v>
      </c>
      <c r="H18" s="36">
        <f t="shared" si="2"/>
        <v>1.092179991262654E-3</v>
      </c>
      <c r="I18" s="36">
        <f t="shared" si="3"/>
        <v>2.1867483052699921E-3</v>
      </c>
      <c r="J18" s="37">
        <f t="shared" si="4"/>
        <v>7.6202917483128019E-3</v>
      </c>
    </row>
    <row r="19" spans="1:11" x14ac:dyDescent="0.25">
      <c r="A19" s="6">
        <f t="shared" si="0"/>
        <v>15</v>
      </c>
      <c r="B19" s="24">
        <v>45362</v>
      </c>
      <c r="C19" s="35">
        <v>9.4559999999999991E-2</v>
      </c>
      <c r="D19" s="36">
        <v>9.1560000000000002E-2</v>
      </c>
      <c r="E19" s="36">
        <v>9.1460000000000014E-2</v>
      </c>
      <c r="F19" s="37">
        <v>9.1859999999999997E-2</v>
      </c>
      <c r="G19" s="35">
        <f t="shared" si="1"/>
        <v>-3.4116445352400326E-2</v>
      </c>
      <c r="H19" s="36">
        <f t="shared" si="2"/>
        <v>-3.671751709626514E-2</v>
      </c>
      <c r="I19" s="36">
        <f t="shared" si="3"/>
        <v>-3.6147117715249144E-2</v>
      </c>
      <c r="J19" s="37">
        <f t="shared" si="4"/>
        <v>-3.5691790888095709E-2</v>
      </c>
    </row>
    <row r="20" spans="1:11" x14ac:dyDescent="0.25">
      <c r="A20" s="6">
        <f t="shared" si="0"/>
        <v>16</v>
      </c>
      <c r="B20" s="24">
        <v>45360</v>
      </c>
      <c r="C20" s="35">
        <v>9.7899999999999987E-2</v>
      </c>
      <c r="D20" s="36">
        <v>9.5050000000000009E-2</v>
      </c>
      <c r="E20" s="36">
        <v>9.4890000000000002E-2</v>
      </c>
      <c r="F20" s="37">
        <v>9.5259999999999997E-2</v>
      </c>
      <c r="G20" s="35">
        <f t="shared" si="1"/>
        <v>4.2598509052182987E-2</v>
      </c>
      <c r="H20" s="36">
        <f t="shared" si="2"/>
        <v>4.680616740088106E-2</v>
      </c>
      <c r="I20" s="36">
        <f t="shared" si="3"/>
        <v>4.1602634467617916E-2</v>
      </c>
      <c r="J20" s="37">
        <f t="shared" si="4"/>
        <v>4.7043306221147496E-2</v>
      </c>
    </row>
    <row r="21" spans="1:11" x14ac:dyDescent="0.25">
      <c r="A21" s="6">
        <f t="shared" si="0"/>
        <v>17</v>
      </c>
      <c r="B21" s="24">
        <v>45359</v>
      </c>
      <c r="C21" s="35">
        <v>9.3900000000000011E-2</v>
      </c>
      <c r="D21" s="36">
        <v>9.0800000000000006E-2</v>
      </c>
      <c r="E21" s="36">
        <v>9.11E-2</v>
      </c>
      <c r="F21" s="37">
        <v>9.0980000000000005E-2</v>
      </c>
      <c r="G21" s="35">
        <f t="shared" si="1"/>
        <v>-1.1162594776747969E-2</v>
      </c>
      <c r="H21" s="36">
        <f t="shared" si="2"/>
        <v>-8.3005679335954596E-3</v>
      </c>
      <c r="I21" s="36">
        <f t="shared" si="3"/>
        <v>-1.7532325224631773E-3</v>
      </c>
      <c r="J21" s="37">
        <f t="shared" si="4"/>
        <v>-4.1593695271452402E-3</v>
      </c>
    </row>
    <row r="22" spans="1:11" x14ac:dyDescent="0.25">
      <c r="A22" s="6">
        <f t="shared" si="0"/>
        <v>18</v>
      </c>
      <c r="B22" s="24">
        <v>45358</v>
      </c>
      <c r="C22" s="35">
        <v>9.4960000000000003E-2</v>
      </c>
      <c r="D22" s="36">
        <v>9.1560000000000002E-2</v>
      </c>
      <c r="E22" s="36">
        <v>9.1259999999999994E-2</v>
      </c>
      <c r="F22" s="37">
        <v>9.1359999999999997E-2</v>
      </c>
      <c r="G22" s="35">
        <f t="shared" si="1"/>
        <v>1.0642826734780675E-2</v>
      </c>
      <c r="H22" s="36">
        <f t="shared" si="2"/>
        <v>1.093374152634885E-3</v>
      </c>
      <c r="I22" s="36">
        <f t="shared" si="3"/>
        <v>0</v>
      </c>
      <c r="J22" s="37">
        <f t="shared" si="4"/>
        <v>-3.2729653065678432E-3</v>
      </c>
    </row>
    <row r="23" spans="1:11" x14ac:dyDescent="0.25">
      <c r="A23" s="6">
        <f t="shared" si="0"/>
        <v>19</v>
      </c>
      <c r="B23" s="24">
        <v>45357</v>
      </c>
      <c r="C23" s="35">
        <v>9.3960000000000002E-2</v>
      </c>
      <c r="D23" s="36">
        <v>9.1460000000000014E-2</v>
      </c>
      <c r="E23" s="36">
        <v>9.1259999999999994E-2</v>
      </c>
      <c r="F23" s="37">
        <v>9.1660000000000005E-2</v>
      </c>
      <c r="G23" s="35">
        <f t="shared" si="1"/>
        <v>-6.345177664974555E-3</v>
      </c>
      <c r="H23" s="36">
        <f t="shared" si="2"/>
        <v>-4.354452427607014E-3</v>
      </c>
      <c r="I23" s="36">
        <f t="shared" si="3"/>
        <v>-7.6120052196607668E-3</v>
      </c>
      <c r="J23" s="37">
        <f t="shared" si="4"/>
        <v>-3.2622879512831382E-3</v>
      </c>
    </row>
    <row r="24" spans="1:11" x14ac:dyDescent="0.25">
      <c r="A24" s="6">
        <f t="shared" si="0"/>
        <v>20</v>
      </c>
      <c r="B24" s="24">
        <v>45356</v>
      </c>
      <c r="C24" s="35">
        <v>9.4559999999999991E-2</v>
      </c>
      <c r="D24" s="36">
        <v>9.1859999999999997E-2</v>
      </c>
      <c r="E24" s="36">
        <v>9.196E-2</v>
      </c>
      <c r="F24" s="37">
        <v>9.196E-2</v>
      </c>
      <c r="G24" s="35">
        <f t="shared" si="1"/>
        <v>-5.2598358931202904E-3</v>
      </c>
      <c r="H24" s="36">
        <f t="shared" si="2"/>
        <v>-4.3355733795795715E-3</v>
      </c>
      <c r="I24" s="36">
        <f t="shared" si="3"/>
        <v>-2.1701388888888395E-3</v>
      </c>
      <c r="J24" s="37">
        <f t="shared" si="4"/>
        <v>-3.2516800346846786E-3</v>
      </c>
    </row>
    <row r="25" spans="1:11" x14ac:dyDescent="0.25">
      <c r="A25" s="6">
        <f t="shared" si="0"/>
        <v>21</v>
      </c>
      <c r="B25" s="24">
        <v>45355</v>
      </c>
      <c r="C25" s="35">
        <v>9.5060000000000006E-2</v>
      </c>
      <c r="D25" s="36">
        <v>9.2260000000000009E-2</v>
      </c>
      <c r="E25" s="36">
        <v>9.2159999999999992E-2</v>
      </c>
      <c r="F25" s="37">
        <v>9.2260000000000009E-2</v>
      </c>
      <c r="G25" s="35">
        <f t="shared" si="1"/>
        <v>-2.6423596886521739E-2</v>
      </c>
      <c r="H25" s="36">
        <f t="shared" si="2"/>
        <v>-3.2609835378001439E-2</v>
      </c>
      <c r="I25" s="36">
        <f t="shared" si="3"/>
        <v>-3.172935490649309E-2</v>
      </c>
      <c r="J25" s="37">
        <f t="shared" si="4"/>
        <v>-3.2711260222268779E-2</v>
      </c>
    </row>
    <row r="26" spans="1:11" x14ac:dyDescent="0.25">
      <c r="A26" s="6">
        <f t="shared" si="0"/>
        <v>22</v>
      </c>
      <c r="B26" s="24">
        <v>45353</v>
      </c>
      <c r="C26" s="35">
        <v>9.7639999999999991E-2</v>
      </c>
      <c r="D26" s="36">
        <v>9.537000000000001E-2</v>
      </c>
      <c r="E26" s="36">
        <v>9.5180000000000001E-2</v>
      </c>
      <c r="F26" s="37">
        <v>9.5380000000000006E-2</v>
      </c>
      <c r="G26" s="35">
        <f t="shared" si="1"/>
        <v>3.0392570704938615E-2</v>
      </c>
      <c r="H26" s="36">
        <f t="shared" si="2"/>
        <v>4.1612057667103519E-2</v>
      </c>
      <c r="I26" s="36">
        <f t="shared" si="3"/>
        <v>4.0673518478023141E-2</v>
      </c>
      <c r="J26" s="37">
        <f t="shared" si="4"/>
        <v>3.8319181362943766E-2</v>
      </c>
    </row>
    <row r="27" spans="1:11" x14ac:dyDescent="0.25">
      <c r="A27" s="6">
        <f t="shared" si="0"/>
        <v>23</v>
      </c>
      <c r="B27" s="24">
        <v>45352</v>
      </c>
      <c r="C27" s="35">
        <v>9.4760000000000011E-2</v>
      </c>
      <c r="D27" s="36">
        <v>9.1560000000000002E-2</v>
      </c>
      <c r="E27" s="36">
        <v>9.1460000000000014E-2</v>
      </c>
      <c r="F27" s="37">
        <v>9.1859999999999997E-2</v>
      </c>
      <c r="G27" s="35">
        <f t="shared" si="1"/>
        <v>2.7513227513229488E-3</v>
      </c>
      <c r="H27" s="36">
        <f t="shared" si="2"/>
        <v>-1.0909884355225774E-3</v>
      </c>
      <c r="I27" s="36">
        <f t="shared" si="3"/>
        <v>-1.0921799912624319E-3</v>
      </c>
      <c r="J27" s="37">
        <f t="shared" si="4"/>
        <v>-2.1724961981315349E-3</v>
      </c>
    </row>
    <row r="28" spans="1:11" x14ac:dyDescent="0.25">
      <c r="A28" s="6">
        <f t="shared" si="0"/>
        <v>24</v>
      </c>
      <c r="B28" s="24">
        <v>45351</v>
      </c>
      <c r="C28" s="35">
        <v>9.4499999999999987E-2</v>
      </c>
      <c r="D28" s="36">
        <v>9.1660000000000005E-2</v>
      </c>
      <c r="E28" s="36">
        <v>9.1560000000000002E-2</v>
      </c>
      <c r="F28" s="37">
        <v>9.2059999999999989E-2</v>
      </c>
      <c r="G28" s="35">
        <f t="shared" si="1"/>
        <v>-2.7437737441960985E-3</v>
      </c>
      <c r="H28" s="36">
        <f t="shared" si="2"/>
        <v>-5.4253472222220989E-3</v>
      </c>
      <c r="I28" s="36">
        <f t="shared" si="3"/>
        <v>-4.3497172683775176E-3</v>
      </c>
      <c r="J28" s="37">
        <f t="shared" si="4"/>
        <v>-8.6151195347836662E-3</v>
      </c>
    </row>
    <row r="29" spans="1:11" x14ac:dyDescent="0.25">
      <c r="A29" s="6">
        <f t="shared" si="0"/>
        <v>25</v>
      </c>
      <c r="B29" s="24">
        <v>45350</v>
      </c>
      <c r="C29" s="35">
        <v>9.4760000000000011E-2</v>
      </c>
      <c r="D29" s="36">
        <v>9.2159999999999992E-2</v>
      </c>
      <c r="E29" s="36">
        <v>9.196E-2</v>
      </c>
      <c r="F29" s="37">
        <v>9.2859999999999998E-2</v>
      </c>
      <c r="G29" s="35">
        <f t="shared" si="1"/>
        <v>-2.106149957876946E-3</v>
      </c>
      <c r="H29" s="36">
        <f t="shared" si="2"/>
        <v>-6.4683053040104355E-3</v>
      </c>
      <c r="I29" s="36">
        <f t="shared" si="3"/>
        <v>-5.4077438892493612E-3</v>
      </c>
      <c r="J29" s="37">
        <f t="shared" si="4"/>
        <v>-5.3556126820908379E-3</v>
      </c>
    </row>
    <row r="30" spans="1:11" x14ac:dyDescent="0.25">
      <c r="A30" s="6">
        <f t="shared" si="0"/>
        <v>26</v>
      </c>
      <c r="B30" s="24">
        <v>45349</v>
      </c>
      <c r="C30" s="35">
        <v>9.4960000000000003E-2</v>
      </c>
      <c r="D30" s="36">
        <v>9.2759999999999995E-2</v>
      </c>
      <c r="E30" s="36">
        <v>9.2460000000000001E-2</v>
      </c>
      <c r="F30" s="37">
        <v>9.3359999999999999E-2</v>
      </c>
      <c r="G30" s="35">
        <f t="shared" si="1"/>
        <v>1.2798634812286824E-2</v>
      </c>
      <c r="H30" s="36">
        <f t="shared" si="2"/>
        <v>1.0897994768962471E-2</v>
      </c>
      <c r="I30" s="36">
        <f t="shared" si="3"/>
        <v>7.6285963382736188E-3</v>
      </c>
      <c r="J30" s="37">
        <f t="shared" si="4"/>
        <v>2.146844139115478E-3</v>
      </c>
    </row>
    <row r="31" spans="1:11" x14ac:dyDescent="0.25">
      <c r="A31" s="6">
        <f t="shared" si="0"/>
        <v>27</v>
      </c>
      <c r="B31" s="24">
        <v>45348</v>
      </c>
      <c r="C31" s="35">
        <v>9.3759999999999996E-2</v>
      </c>
      <c r="D31" s="36">
        <v>9.1760000000000008E-2</v>
      </c>
      <c r="E31" s="36">
        <v>9.1760000000000008E-2</v>
      </c>
      <c r="F31" s="37">
        <v>9.3160000000000007E-2</v>
      </c>
      <c r="G31" s="35">
        <f t="shared" si="1"/>
        <v>-3.9737812371978598E-2</v>
      </c>
      <c r="H31" s="36">
        <f t="shared" si="2"/>
        <v>-3.8356738629218179E-2</v>
      </c>
      <c r="I31" s="36">
        <f t="shared" si="3"/>
        <v>-3.7448861848316306E-2</v>
      </c>
      <c r="J31" s="37">
        <f t="shared" si="4"/>
        <v>-3.5011394240729188E-2</v>
      </c>
    </row>
    <row r="32" spans="1:11" x14ac:dyDescent="0.25">
      <c r="A32" s="6">
        <f t="shared" si="0"/>
        <v>28</v>
      </c>
      <c r="B32" s="24">
        <v>45346</v>
      </c>
      <c r="C32" s="35">
        <v>9.7639999999999991E-2</v>
      </c>
      <c r="D32" s="36">
        <v>9.5420000000000005E-2</v>
      </c>
      <c r="E32" s="36">
        <v>9.5329999999999998E-2</v>
      </c>
      <c r="F32" s="37">
        <v>9.6540000000000001E-2</v>
      </c>
      <c r="G32" s="35">
        <f t="shared" si="1"/>
        <v>4.138225255972694E-2</v>
      </c>
      <c r="H32" s="36">
        <f t="shared" si="2"/>
        <v>3.9886660854402844E-2</v>
      </c>
      <c r="I32" s="36">
        <f t="shared" si="3"/>
        <v>3.8905841325196144E-2</v>
      </c>
      <c r="J32" s="37">
        <f t="shared" si="4"/>
        <v>3.6281665951051867E-2</v>
      </c>
    </row>
    <row r="33" spans="1:10" x14ac:dyDescent="0.25">
      <c r="A33" s="6">
        <f t="shared" si="0"/>
        <v>29</v>
      </c>
      <c r="B33" s="24">
        <v>45345</v>
      </c>
      <c r="C33" s="35">
        <v>9.3759999999999996E-2</v>
      </c>
      <c r="D33" s="36">
        <v>9.1760000000000008E-2</v>
      </c>
      <c r="E33" s="36">
        <v>9.1760000000000008E-2</v>
      </c>
      <c r="F33" s="37">
        <v>9.3160000000000007E-2</v>
      </c>
      <c r="G33" s="35">
        <f t="shared" si="1"/>
        <v>-1.0654165778819502E-3</v>
      </c>
      <c r="H33" s="36">
        <f t="shared" si="2"/>
        <v>-5.4194667244743533E-3</v>
      </c>
      <c r="I33" s="36">
        <f t="shared" si="3"/>
        <v>-4.3402777777775681E-3</v>
      </c>
      <c r="J33" s="37">
        <f t="shared" si="4"/>
        <v>-4.2753313381787006E-3</v>
      </c>
    </row>
    <row r="34" spans="1:10" x14ac:dyDescent="0.25">
      <c r="A34" s="6">
        <f t="shared" si="0"/>
        <v>30</v>
      </c>
      <c r="B34" s="24">
        <v>45344</v>
      </c>
      <c r="C34" s="35">
        <v>9.3859999999999999E-2</v>
      </c>
      <c r="D34" s="36">
        <v>9.2260000000000009E-2</v>
      </c>
      <c r="E34" s="36">
        <v>9.2159999999999992E-2</v>
      </c>
      <c r="F34" s="37">
        <v>9.3560000000000004E-2</v>
      </c>
      <c r="G34" s="35">
        <f t="shared" si="1"/>
        <v>-6.0362173038229772E-3</v>
      </c>
      <c r="H34" s="36">
        <f t="shared" si="2"/>
        <v>1.4110496038208797E-3</v>
      </c>
      <c r="I34" s="36">
        <f t="shared" si="3"/>
        <v>0</v>
      </c>
      <c r="J34" s="37">
        <f t="shared" si="4"/>
        <v>9.7129289876969338E-3</v>
      </c>
    </row>
    <row r="35" spans="1:10" x14ac:dyDescent="0.25">
      <c r="A35" s="6">
        <f t="shared" si="0"/>
        <v>31</v>
      </c>
      <c r="B35" s="24">
        <v>45343</v>
      </c>
      <c r="C35" s="35">
        <v>9.443E-2</v>
      </c>
      <c r="D35" s="36">
        <v>9.212999999999999E-2</v>
      </c>
      <c r="E35" s="36">
        <v>9.2159999999999992E-2</v>
      </c>
      <c r="F35" s="37">
        <v>9.2660000000000006E-2</v>
      </c>
      <c r="G35" s="35">
        <f t="shared" si="1"/>
        <v>-1.1825031393888574E-2</v>
      </c>
      <c r="H35" s="36">
        <f t="shared" si="2"/>
        <v>-6.7917205692109572E-3</v>
      </c>
      <c r="I35" s="36">
        <f t="shared" si="3"/>
        <v>-7.5382295929357079E-3</v>
      </c>
      <c r="J35" s="37">
        <f t="shared" si="4"/>
        <v>-7.497857754927062E-3</v>
      </c>
    </row>
    <row r="36" spans="1:10" x14ac:dyDescent="0.25">
      <c r="A36" s="6">
        <f t="shared" si="0"/>
        <v>32</v>
      </c>
      <c r="B36" s="24">
        <v>45342</v>
      </c>
      <c r="C36" s="35">
        <v>9.5559999999999992E-2</v>
      </c>
      <c r="D36" s="36">
        <v>9.2759999999999995E-2</v>
      </c>
      <c r="E36" s="36">
        <v>9.2859999999999998E-2</v>
      </c>
      <c r="F36" s="37">
        <v>9.3359999999999999E-2</v>
      </c>
      <c r="G36" s="35">
        <f t="shared" si="1"/>
        <v>-1.0453690152625317E-3</v>
      </c>
      <c r="H36" s="36">
        <f t="shared" si="2"/>
        <v>-1.0768899418479583E-3</v>
      </c>
      <c r="I36" s="36">
        <f t="shared" si="3"/>
        <v>-2.1491510853212104E-3</v>
      </c>
      <c r="J36" s="37">
        <f t="shared" si="4"/>
        <v>-1.0699764605178741E-3</v>
      </c>
    </row>
    <row r="37" spans="1:10" x14ac:dyDescent="0.25">
      <c r="A37" s="6">
        <f t="shared" si="0"/>
        <v>33</v>
      </c>
      <c r="B37" s="24">
        <v>45341</v>
      </c>
      <c r="C37" s="35">
        <v>9.5660000000000009E-2</v>
      </c>
      <c r="D37" s="36">
        <v>9.2859999999999998E-2</v>
      </c>
      <c r="E37" s="36">
        <v>9.305999999999999E-2</v>
      </c>
      <c r="F37" s="37">
        <v>9.3460000000000001E-2</v>
      </c>
      <c r="G37" s="35">
        <f t="shared" ref="G37:G68" si="5">+C37/C38-1</f>
        <v>-3.3834966165033786E-2</v>
      </c>
      <c r="H37" s="36">
        <f t="shared" ref="H37:H68" si="6">+D37/D38-1</f>
        <v>-3.6622056229899336E-2</v>
      </c>
      <c r="I37" s="36">
        <f t="shared" ref="I37:I68" si="7">+E37/E38-1</f>
        <v>-3.4847542003733634E-2</v>
      </c>
      <c r="J37" s="37">
        <f t="shared" ref="J37:J68" si="8">+F37/F38-1</f>
        <v>-3.3505687693898611E-2</v>
      </c>
    </row>
    <row r="38" spans="1:10" x14ac:dyDescent="0.25">
      <c r="A38" s="6">
        <f t="shared" si="0"/>
        <v>34</v>
      </c>
      <c r="B38" s="24">
        <v>45339</v>
      </c>
      <c r="C38" s="35">
        <v>9.9010000000000001E-2</v>
      </c>
      <c r="D38" s="36">
        <v>9.638999999999999E-2</v>
      </c>
      <c r="E38" s="36">
        <v>9.6419999999999992E-2</v>
      </c>
      <c r="F38" s="37">
        <v>9.6699999999999994E-2</v>
      </c>
      <c r="G38" s="35">
        <f t="shared" si="5"/>
        <v>3.5019862011289815E-2</v>
      </c>
      <c r="H38" s="36">
        <f t="shared" si="6"/>
        <v>3.8014214947232228E-2</v>
      </c>
      <c r="I38" s="36">
        <f t="shared" si="7"/>
        <v>3.6105738233397799E-2</v>
      </c>
      <c r="J38" s="37">
        <f t="shared" si="8"/>
        <v>3.9114549752847783E-2</v>
      </c>
    </row>
    <row r="39" spans="1:10" x14ac:dyDescent="0.25">
      <c r="A39" s="6">
        <f t="shared" si="0"/>
        <v>35</v>
      </c>
      <c r="B39" s="24">
        <v>45338</v>
      </c>
      <c r="C39" s="35">
        <v>9.5660000000000009E-2</v>
      </c>
      <c r="D39" s="36">
        <v>9.2859999999999998E-2</v>
      </c>
      <c r="E39" s="36">
        <v>9.305999999999999E-2</v>
      </c>
      <c r="F39" s="37">
        <v>9.305999999999999E-2</v>
      </c>
      <c r="G39" s="35">
        <f t="shared" si="5"/>
        <v>1.1632825719120277E-2</v>
      </c>
      <c r="H39" s="36">
        <f t="shared" si="6"/>
        <v>8.6899847925268059E-3</v>
      </c>
      <c r="I39" s="36">
        <f t="shared" si="7"/>
        <v>9.765625E-3</v>
      </c>
      <c r="J39" s="37">
        <f t="shared" si="8"/>
        <v>4.3168573278651312E-3</v>
      </c>
    </row>
    <row r="40" spans="1:10" x14ac:dyDescent="0.25">
      <c r="A40" s="6">
        <f t="shared" si="0"/>
        <v>36</v>
      </c>
      <c r="B40" s="24">
        <v>45337</v>
      </c>
      <c r="C40" s="35">
        <v>9.4559999999999991E-2</v>
      </c>
      <c r="D40" s="36">
        <v>9.2059999999999989E-2</v>
      </c>
      <c r="E40" s="36">
        <v>9.2159999999999992E-2</v>
      </c>
      <c r="F40" s="37">
        <v>9.2660000000000006E-2</v>
      </c>
      <c r="G40" s="35">
        <f t="shared" si="5"/>
        <v>-4.2122999157541141E-3</v>
      </c>
      <c r="H40" s="36">
        <f t="shared" si="6"/>
        <v>-4.3261951113996444E-3</v>
      </c>
      <c r="I40" s="36">
        <f t="shared" si="7"/>
        <v>-3.2446463335497056E-3</v>
      </c>
      <c r="J40" s="37">
        <f t="shared" si="8"/>
        <v>-6.4336264207591753E-3</v>
      </c>
    </row>
    <row r="41" spans="1:10" x14ac:dyDescent="0.25">
      <c r="A41" s="6">
        <f t="shared" si="0"/>
        <v>37</v>
      </c>
      <c r="B41" s="24">
        <v>45336</v>
      </c>
      <c r="C41" s="35">
        <v>9.4960000000000003E-2</v>
      </c>
      <c r="D41" s="36">
        <v>9.2460000000000001E-2</v>
      </c>
      <c r="E41" s="36">
        <v>9.2460000000000001E-2</v>
      </c>
      <c r="F41" s="37">
        <v>9.326000000000001E-2</v>
      </c>
      <c r="G41" s="35">
        <f t="shared" si="5"/>
        <v>-8.3542188805347806E-3</v>
      </c>
      <c r="H41" s="36">
        <f t="shared" si="6"/>
        <v>-5.3786574870910986E-3</v>
      </c>
      <c r="I41" s="36">
        <f t="shared" si="7"/>
        <v>-8.5781685610123448E-3</v>
      </c>
      <c r="J41" s="37">
        <f t="shared" si="8"/>
        <v>-7.4499787143464946E-3</v>
      </c>
    </row>
    <row r="42" spans="1:10" x14ac:dyDescent="0.25">
      <c r="A42" s="6">
        <f t="shared" si="0"/>
        <v>38</v>
      </c>
      <c r="B42" s="24">
        <v>45335</v>
      </c>
      <c r="C42" s="35">
        <v>9.5760000000000012E-2</v>
      </c>
      <c r="D42" s="36">
        <v>9.2959999999999987E-2</v>
      </c>
      <c r="E42" s="36">
        <v>9.326000000000001E-2</v>
      </c>
      <c r="F42" s="37">
        <v>9.3960000000000002E-2</v>
      </c>
      <c r="G42" s="35">
        <f t="shared" si="5"/>
        <v>2.0242914979757165E-2</v>
      </c>
      <c r="H42" s="36">
        <f t="shared" si="6"/>
        <v>1.9745502413339056E-2</v>
      </c>
      <c r="I42" s="36">
        <f t="shared" si="7"/>
        <v>1.9680734747430595E-2</v>
      </c>
      <c r="J42" s="37">
        <f t="shared" si="8"/>
        <v>9.6711798839459462E-3</v>
      </c>
    </row>
    <row r="43" spans="1:10" x14ac:dyDescent="0.25">
      <c r="A43" s="6">
        <f t="shared" si="0"/>
        <v>39</v>
      </c>
      <c r="B43" s="24">
        <v>45334</v>
      </c>
      <c r="C43" s="35">
        <v>9.3859999999999999E-2</v>
      </c>
      <c r="D43" s="36">
        <v>9.1159999999999991E-2</v>
      </c>
      <c r="E43" s="36">
        <v>9.1460000000000014E-2</v>
      </c>
      <c r="F43" s="37">
        <v>9.305999999999999E-2</v>
      </c>
      <c r="G43" s="35">
        <f t="shared" si="5"/>
        <v>-3.8221129214058958E-2</v>
      </c>
      <c r="H43" s="36">
        <f t="shared" si="6"/>
        <v>-3.7482842360891278E-2</v>
      </c>
      <c r="I43" s="36">
        <f t="shared" si="7"/>
        <v>-3.7465796674384322E-2</v>
      </c>
      <c r="J43" s="37">
        <f t="shared" si="8"/>
        <v>-3.7642192347466463E-2</v>
      </c>
    </row>
    <row r="44" spans="1:10" x14ac:dyDescent="0.25">
      <c r="A44" s="6">
        <f t="shared" si="0"/>
        <v>40</v>
      </c>
      <c r="B44" s="24">
        <v>45332</v>
      </c>
      <c r="C44" s="35">
        <v>9.759000000000001E-2</v>
      </c>
      <c r="D44" s="36">
        <v>9.4710000000000003E-2</v>
      </c>
      <c r="E44" s="36">
        <v>9.5020000000000007E-2</v>
      </c>
      <c r="F44" s="37">
        <v>9.6699999999999994E-2</v>
      </c>
      <c r="G44" s="35">
        <f t="shared" si="5"/>
        <v>3.7529236657452669E-2</v>
      </c>
      <c r="H44" s="36">
        <f t="shared" si="6"/>
        <v>3.8942518648530156E-2</v>
      </c>
      <c r="I44" s="36">
        <f t="shared" si="7"/>
        <v>3.7789427697684674E-2</v>
      </c>
      <c r="J44" s="37">
        <f t="shared" si="8"/>
        <v>3.799914126234416E-2</v>
      </c>
    </row>
    <row r="45" spans="1:10" x14ac:dyDescent="0.25">
      <c r="A45" s="6">
        <f t="shared" si="0"/>
        <v>41</v>
      </c>
      <c r="B45" s="24">
        <v>45331</v>
      </c>
      <c r="C45" s="35">
        <v>9.4060000000000005E-2</v>
      </c>
      <c r="D45" s="36">
        <v>9.1159999999999991E-2</v>
      </c>
      <c r="E45" s="36">
        <v>9.1560000000000002E-2</v>
      </c>
      <c r="F45" s="37">
        <v>9.3160000000000007E-2</v>
      </c>
      <c r="G45" s="35">
        <f t="shared" si="5"/>
        <v>-6.338474540460437E-3</v>
      </c>
      <c r="H45" s="36">
        <f t="shared" si="6"/>
        <v>-7.6202917483126908E-3</v>
      </c>
      <c r="I45" s="36">
        <f t="shared" si="7"/>
        <v>-6.5104166666665186E-3</v>
      </c>
      <c r="J45" s="37">
        <f t="shared" si="8"/>
        <v>-3.2099293815535113E-3</v>
      </c>
    </row>
    <row r="46" spans="1:10" x14ac:dyDescent="0.25">
      <c r="A46" s="6">
        <f t="shared" si="0"/>
        <v>42</v>
      </c>
      <c r="B46" s="24">
        <v>45330</v>
      </c>
      <c r="C46" s="35">
        <v>9.4659999999999994E-2</v>
      </c>
      <c r="D46" s="36">
        <v>9.1859999999999997E-2</v>
      </c>
      <c r="E46" s="36">
        <v>9.2159999999999992E-2</v>
      </c>
      <c r="F46" s="37">
        <v>9.3460000000000001E-2</v>
      </c>
      <c r="G46" s="35">
        <f t="shared" si="5"/>
        <v>-9.418166596902422E-3</v>
      </c>
      <c r="H46" s="36">
        <f t="shared" si="6"/>
        <v>-5.4135989605891277E-3</v>
      </c>
      <c r="I46" s="36">
        <f t="shared" si="7"/>
        <v>-5.3960716598318026E-3</v>
      </c>
      <c r="J46" s="37">
        <f t="shared" si="8"/>
        <v>-6.3789070805868597E-3</v>
      </c>
    </row>
    <row r="47" spans="1:10" x14ac:dyDescent="0.25">
      <c r="A47" s="6">
        <f t="shared" si="0"/>
        <v>43</v>
      </c>
      <c r="B47" s="24">
        <v>45329</v>
      </c>
      <c r="C47" s="35">
        <v>9.5559999999999992E-2</v>
      </c>
      <c r="D47" s="36">
        <v>9.2360000000000012E-2</v>
      </c>
      <c r="E47" s="36">
        <v>9.2660000000000006E-2</v>
      </c>
      <c r="F47" s="37">
        <v>9.4060000000000005E-2</v>
      </c>
      <c r="G47" s="35">
        <f t="shared" si="5"/>
        <v>-8.30220008302196E-3</v>
      </c>
      <c r="H47" s="36">
        <f t="shared" si="6"/>
        <v>-2.16076058772674E-3</v>
      </c>
      <c r="I47" s="36">
        <f t="shared" si="7"/>
        <v>0</v>
      </c>
      <c r="J47" s="37">
        <f t="shared" si="8"/>
        <v>5.3441641727234312E-3</v>
      </c>
    </row>
    <row r="48" spans="1:10" x14ac:dyDescent="0.25">
      <c r="A48" s="6">
        <f t="shared" si="0"/>
        <v>44</v>
      </c>
      <c r="B48" s="24">
        <v>45328</v>
      </c>
      <c r="C48" s="35">
        <v>9.6359999999999987E-2</v>
      </c>
      <c r="D48" s="36">
        <v>9.2560000000000003E-2</v>
      </c>
      <c r="E48" s="36">
        <v>9.2660000000000006E-2</v>
      </c>
      <c r="F48" s="37">
        <v>9.3560000000000004E-2</v>
      </c>
      <c r="G48" s="35">
        <f t="shared" si="5"/>
        <v>-3.1168308867886685E-2</v>
      </c>
      <c r="H48" s="36">
        <f t="shared" si="6"/>
        <v>-3.1495239091765215E-2</v>
      </c>
      <c r="I48" s="36">
        <f t="shared" si="7"/>
        <v>-3.2372598162071942E-2</v>
      </c>
      <c r="J48" s="37">
        <f t="shared" si="8"/>
        <v>-3.446852425180591E-2</v>
      </c>
    </row>
    <row r="49" spans="1:10" x14ac:dyDescent="0.25">
      <c r="A49" s="6">
        <f t="shared" si="0"/>
        <v>45</v>
      </c>
      <c r="B49" s="24">
        <v>45325</v>
      </c>
      <c r="C49" s="35">
        <v>9.9459999999999993E-2</v>
      </c>
      <c r="D49" s="36">
        <v>9.5570000000000002E-2</v>
      </c>
      <c r="E49" s="36">
        <v>9.5760000000000012E-2</v>
      </c>
      <c r="F49" s="37">
        <v>9.69E-2</v>
      </c>
      <c r="G49" s="35">
        <f t="shared" si="5"/>
        <v>4.2994966442952975E-2</v>
      </c>
      <c r="H49" s="36">
        <f t="shared" si="6"/>
        <v>3.5876869716019888E-2</v>
      </c>
      <c r="I49" s="36">
        <f t="shared" si="7"/>
        <v>3.681247293200518E-2</v>
      </c>
      <c r="J49" s="37">
        <f t="shared" si="8"/>
        <v>4.1263700838169104E-2</v>
      </c>
    </row>
    <row r="50" spans="1:10" x14ac:dyDescent="0.25">
      <c r="A50" s="6">
        <f t="shared" si="0"/>
        <v>46</v>
      </c>
      <c r="B50" s="24">
        <v>45324</v>
      </c>
      <c r="C50" s="35">
        <v>9.536E-2</v>
      </c>
      <c r="D50" s="36">
        <v>9.2260000000000009E-2</v>
      </c>
      <c r="E50" s="36">
        <v>9.2360000000000012E-2</v>
      </c>
      <c r="F50" s="37">
        <v>9.305999999999999E-2</v>
      </c>
      <c r="G50" s="35">
        <f t="shared" si="5"/>
        <v>2.4274973147153656E-2</v>
      </c>
      <c r="H50" s="36">
        <f t="shared" si="6"/>
        <v>2.4428159005107863E-2</v>
      </c>
      <c r="I50" s="36">
        <f t="shared" si="7"/>
        <v>2.2133687472333019E-2</v>
      </c>
      <c r="J50" s="37">
        <f t="shared" si="8"/>
        <v>1.7493986442160159E-2</v>
      </c>
    </row>
    <row r="51" spans="1:10" x14ac:dyDescent="0.25">
      <c r="A51" s="6">
        <f t="shared" si="0"/>
        <v>47</v>
      </c>
      <c r="B51" s="24">
        <v>45323</v>
      </c>
      <c r="C51" s="35">
        <v>9.3100000000000002E-2</v>
      </c>
      <c r="D51" s="36">
        <v>9.0060000000000001E-2</v>
      </c>
      <c r="E51" s="36">
        <v>9.0359999999999996E-2</v>
      </c>
      <c r="F51" s="37">
        <v>9.1460000000000014E-2</v>
      </c>
      <c r="G51" s="35">
        <f t="shared" si="5"/>
        <v>-1.0206251328939042E-2</v>
      </c>
      <c r="H51" s="36">
        <f t="shared" si="6"/>
        <v>-8.8047545674664329E-3</v>
      </c>
      <c r="I51" s="36">
        <f t="shared" si="7"/>
        <v>-1.4182849661793728E-2</v>
      </c>
      <c r="J51" s="37">
        <f t="shared" si="8"/>
        <v>-1.1884183232497736E-2</v>
      </c>
    </row>
    <row r="52" spans="1:10" x14ac:dyDescent="0.25">
      <c r="A52" s="6">
        <f t="shared" si="0"/>
        <v>48</v>
      </c>
      <c r="B52" s="24">
        <v>45322</v>
      </c>
      <c r="C52" s="35">
        <v>9.4060000000000005E-2</v>
      </c>
      <c r="D52" s="36">
        <v>9.0859999999999996E-2</v>
      </c>
      <c r="E52" s="36">
        <v>9.1660000000000005E-2</v>
      </c>
      <c r="F52" s="37">
        <v>9.2560000000000003E-2</v>
      </c>
      <c r="G52" s="35">
        <f t="shared" si="5"/>
        <v>-1.2597102666386695E-2</v>
      </c>
      <c r="H52" s="36">
        <f t="shared" si="6"/>
        <v>-1.3034977188789876E-2</v>
      </c>
      <c r="I52" s="36">
        <f t="shared" si="7"/>
        <v>-1.1858559724018836E-2</v>
      </c>
      <c r="J52" s="37">
        <f t="shared" si="8"/>
        <v>-8.5689802913452295E-3</v>
      </c>
    </row>
    <row r="53" spans="1:10" x14ac:dyDescent="0.25">
      <c r="A53" s="6">
        <f t="shared" si="0"/>
        <v>49</v>
      </c>
      <c r="B53" s="24">
        <v>45321</v>
      </c>
      <c r="C53" s="35">
        <v>9.5259999999999997E-2</v>
      </c>
      <c r="D53" s="36">
        <v>9.2059999999999989E-2</v>
      </c>
      <c r="E53" s="36">
        <v>9.2759999999999995E-2</v>
      </c>
      <c r="F53" s="37">
        <v>9.3359999999999999E-2</v>
      </c>
      <c r="G53" s="35">
        <f t="shared" si="5"/>
        <v>7.4027072758038326E-3</v>
      </c>
      <c r="H53" s="36">
        <f t="shared" si="6"/>
        <v>5.4608999563126037E-3</v>
      </c>
      <c r="I53" s="36">
        <f t="shared" si="7"/>
        <v>3.2446463335495945E-3</v>
      </c>
      <c r="J53" s="37">
        <f t="shared" si="8"/>
        <v>1.0722710701263072E-3</v>
      </c>
    </row>
    <row r="54" spans="1:10" x14ac:dyDescent="0.25">
      <c r="A54" s="6">
        <f t="shared" si="0"/>
        <v>50</v>
      </c>
      <c r="B54" s="24">
        <v>45320</v>
      </c>
      <c r="C54" s="35">
        <v>9.4559999999999991E-2</v>
      </c>
      <c r="D54" s="36">
        <v>9.1560000000000002E-2</v>
      </c>
      <c r="E54" s="36">
        <v>9.2460000000000001E-2</v>
      </c>
      <c r="F54" s="37">
        <v>9.326000000000001E-2</v>
      </c>
      <c r="G54" s="35">
        <f t="shared" si="5"/>
        <v>-3.647850010189535E-2</v>
      </c>
      <c r="H54" s="36">
        <f t="shared" si="6"/>
        <v>-3.7021455616323085E-2</v>
      </c>
      <c r="I54" s="36">
        <f t="shared" si="7"/>
        <v>-3.747657713928787E-2</v>
      </c>
      <c r="J54" s="37">
        <f t="shared" si="8"/>
        <v>-3.8358424417405668E-2</v>
      </c>
    </row>
    <row r="55" spans="1:10" x14ac:dyDescent="0.25">
      <c r="A55" s="6">
        <f t="shared" si="0"/>
        <v>51</v>
      </c>
      <c r="B55" s="24">
        <v>45318</v>
      </c>
      <c r="C55" s="35">
        <v>9.8140000000000005E-2</v>
      </c>
      <c r="D55" s="36">
        <v>9.5079999999999998E-2</v>
      </c>
      <c r="E55" s="36">
        <v>9.6059999999999993E-2</v>
      </c>
      <c r="F55" s="37">
        <v>9.6980000000000011E-2</v>
      </c>
      <c r="G55" s="35">
        <f t="shared" si="5"/>
        <v>3.7859560067682096E-2</v>
      </c>
      <c r="H55" s="36">
        <f t="shared" si="6"/>
        <v>3.618134263295536E-2</v>
      </c>
      <c r="I55" s="36">
        <f t="shared" si="7"/>
        <v>3.8935756002595578E-2</v>
      </c>
      <c r="J55" s="37">
        <f t="shared" si="8"/>
        <v>3.7663171410229124E-2</v>
      </c>
    </row>
    <row r="56" spans="1:10" x14ac:dyDescent="0.25">
      <c r="A56" s="6">
        <f t="shared" si="0"/>
        <v>52</v>
      </c>
      <c r="B56" s="24">
        <v>45317</v>
      </c>
      <c r="C56" s="35">
        <v>9.4559999999999991E-2</v>
      </c>
      <c r="D56" s="36">
        <v>9.1760000000000008E-2</v>
      </c>
      <c r="E56" s="36">
        <v>9.2460000000000001E-2</v>
      </c>
      <c r="F56" s="37">
        <v>9.3460000000000001E-2</v>
      </c>
      <c r="G56" s="35">
        <f t="shared" si="5"/>
        <v>2.1195421788893221E-3</v>
      </c>
      <c r="H56" s="36">
        <f t="shared" si="6"/>
        <v>3.2801224579050992E-3</v>
      </c>
      <c r="I56" s="36">
        <f t="shared" si="7"/>
        <v>0</v>
      </c>
      <c r="J56" s="37">
        <f t="shared" si="8"/>
        <v>3.220266208673106E-3</v>
      </c>
    </row>
    <row r="57" spans="1:10" x14ac:dyDescent="0.25">
      <c r="A57" s="6">
        <f t="shared" si="0"/>
        <v>53</v>
      </c>
      <c r="B57" s="24">
        <v>45316</v>
      </c>
      <c r="C57" s="35">
        <v>9.4359999999999999E-2</v>
      </c>
      <c r="D57" s="36">
        <v>9.1460000000000014E-2</v>
      </c>
      <c r="E57" s="36">
        <v>9.2460000000000001E-2</v>
      </c>
      <c r="F57" s="37">
        <v>9.3160000000000007E-2</v>
      </c>
      <c r="G57" s="35">
        <f t="shared" si="5"/>
        <v>-4.2211903756860236E-3</v>
      </c>
      <c r="H57" s="36">
        <f t="shared" si="6"/>
        <v>4.3927081045465055E-3</v>
      </c>
      <c r="I57" s="36">
        <f t="shared" si="7"/>
        <v>7.6285963382736188E-3</v>
      </c>
      <c r="J57" s="37">
        <f t="shared" si="8"/>
        <v>1.0745755426608827E-3</v>
      </c>
    </row>
    <row r="58" spans="1:10" x14ac:dyDescent="0.25">
      <c r="A58" s="6">
        <f t="shared" si="0"/>
        <v>54</v>
      </c>
      <c r="B58" s="24">
        <v>45315</v>
      </c>
      <c r="C58" s="35">
        <v>9.4760000000000011E-2</v>
      </c>
      <c r="D58" s="36">
        <v>9.1060000000000002E-2</v>
      </c>
      <c r="E58" s="36">
        <v>9.1760000000000008E-2</v>
      </c>
      <c r="F58" s="37">
        <v>9.305999999999999E-2</v>
      </c>
      <c r="G58" s="35">
        <f t="shared" si="5"/>
        <v>2.0090937929577724E-3</v>
      </c>
      <c r="H58" s="36">
        <f t="shared" si="6"/>
        <v>-2.9563122741704806E-3</v>
      </c>
      <c r="I58" s="36">
        <f t="shared" si="7"/>
        <v>-5.8504875406283352E-3</v>
      </c>
      <c r="J58" s="37">
        <f t="shared" si="8"/>
        <v>7.1428571428571175E-3</v>
      </c>
    </row>
    <row r="59" spans="1:10" x14ac:dyDescent="0.25">
      <c r="A59" s="6">
        <f t="shared" si="0"/>
        <v>55</v>
      </c>
      <c r="B59" s="24">
        <v>45314</v>
      </c>
      <c r="C59" s="35">
        <v>9.4570000000000001E-2</v>
      </c>
      <c r="D59" s="36">
        <v>9.1329999999999995E-2</v>
      </c>
      <c r="E59" s="36">
        <v>9.2300000000000007E-2</v>
      </c>
      <c r="F59" s="37">
        <v>9.2399999999999996E-2</v>
      </c>
      <c r="G59" s="35">
        <f t="shared" si="5"/>
        <v>2.3317435082139681E-3</v>
      </c>
      <c r="H59" s="36">
        <f t="shared" si="6"/>
        <v>2.8549467442626764E-3</v>
      </c>
      <c r="I59" s="36">
        <f t="shared" si="7"/>
        <v>5.9945504087193235E-3</v>
      </c>
      <c r="J59" s="37">
        <f t="shared" si="8"/>
        <v>-5.3821313240043356E-3</v>
      </c>
    </row>
    <row r="60" spans="1:10" x14ac:dyDescent="0.25">
      <c r="A60" s="6">
        <f t="shared" si="0"/>
        <v>56</v>
      </c>
      <c r="B60" s="24">
        <v>45313</v>
      </c>
      <c r="C60" s="35">
        <v>9.4350000000000003E-2</v>
      </c>
      <c r="D60" s="36">
        <v>9.1069999999999998E-2</v>
      </c>
      <c r="E60" s="36">
        <v>9.1750000000000012E-2</v>
      </c>
      <c r="F60" s="37">
        <v>9.2899999999999996E-2</v>
      </c>
      <c r="G60" s="35">
        <f t="shared" si="5"/>
        <v>-3.9792387543252539E-2</v>
      </c>
      <c r="H60" s="36">
        <f t="shared" si="6"/>
        <v>-4.0661540082165826E-2</v>
      </c>
      <c r="I60" s="36">
        <f t="shared" si="7"/>
        <v>-4.2375534912848178E-2</v>
      </c>
      <c r="J60" s="37">
        <f t="shared" si="8"/>
        <v>-4.1081750619322954E-2</v>
      </c>
    </row>
    <row r="61" spans="1:10" x14ac:dyDescent="0.25">
      <c r="A61" s="6">
        <f t="shared" si="0"/>
        <v>57</v>
      </c>
      <c r="B61" s="24">
        <v>45311</v>
      </c>
      <c r="C61" s="35">
        <v>9.826E-2</v>
      </c>
      <c r="D61" s="36">
        <v>9.493E-2</v>
      </c>
      <c r="E61" s="36">
        <v>9.5809999999999992E-2</v>
      </c>
      <c r="F61" s="37">
        <v>9.6880000000000008E-2</v>
      </c>
      <c r="G61" s="35">
        <f t="shared" si="5"/>
        <v>4.0889830508474612E-2</v>
      </c>
      <c r="H61" s="36">
        <f t="shared" si="6"/>
        <v>4.0100799824695832E-2</v>
      </c>
      <c r="I61" s="36">
        <f t="shared" si="7"/>
        <v>3.9154013015184175E-2</v>
      </c>
      <c r="J61" s="37">
        <f t="shared" si="8"/>
        <v>4.2056577390556127E-2</v>
      </c>
    </row>
    <row r="62" spans="1:10" x14ac:dyDescent="0.25">
      <c r="A62" s="6">
        <f t="shared" si="0"/>
        <v>58</v>
      </c>
      <c r="B62" s="24">
        <v>45310</v>
      </c>
      <c r="C62" s="35">
        <v>9.4399999999999998E-2</v>
      </c>
      <c r="D62" s="36">
        <v>9.1270000000000004E-2</v>
      </c>
      <c r="E62" s="36">
        <v>9.2200000000000004E-2</v>
      </c>
      <c r="F62" s="37">
        <v>9.2970000000000011E-2</v>
      </c>
      <c r="G62" s="35">
        <f t="shared" si="5"/>
        <v>-5.2938062466922897E-4</v>
      </c>
      <c r="H62" s="36">
        <f t="shared" si="6"/>
        <v>1.5362668715024341E-3</v>
      </c>
      <c r="I62" s="36">
        <f t="shared" si="7"/>
        <v>4.1385319102593687E-3</v>
      </c>
      <c r="J62" s="37">
        <f t="shared" si="8"/>
        <v>3.9956803455725165E-3</v>
      </c>
    </row>
    <row r="63" spans="1:10" x14ac:dyDescent="0.25">
      <c r="A63" s="6">
        <f t="shared" si="0"/>
        <v>59</v>
      </c>
      <c r="B63" s="24">
        <v>45309</v>
      </c>
      <c r="C63" s="35">
        <v>9.4450000000000006E-2</v>
      </c>
      <c r="D63" s="36">
        <v>9.1129999999999989E-2</v>
      </c>
      <c r="E63" s="36">
        <v>9.1819999999999999E-2</v>
      </c>
      <c r="F63" s="37">
        <v>9.2600000000000002E-2</v>
      </c>
      <c r="G63" s="35">
        <f t="shared" si="5"/>
        <v>5.2966101694917889E-4</v>
      </c>
      <c r="H63" s="36">
        <f t="shared" si="6"/>
        <v>2.1994941163532289E-3</v>
      </c>
      <c r="I63" s="36">
        <f t="shared" si="7"/>
        <v>8.2354233007577715E-3</v>
      </c>
      <c r="J63" s="37">
        <f t="shared" si="8"/>
        <v>1.08108108108107E-3</v>
      </c>
    </row>
    <row r="64" spans="1:10" x14ac:dyDescent="0.25">
      <c r="A64" s="6">
        <f t="shared" si="0"/>
        <v>60</v>
      </c>
      <c r="B64" s="24">
        <v>45308</v>
      </c>
      <c r="C64" s="35">
        <v>9.4399999999999998E-2</v>
      </c>
      <c r="D64" s="36">
        <v>9.0929999999999997E-2</v>
      </c>
      <c r="E64" s="36">
        <v>9.1069999999999998E-2</v>
      </c>
      <c r="F64" s="37">
        <v>9.2499999999999999E-2</v>
      </c>
      <c r="G64" s="35">
        <f t="shared" si="5"/>
        <v>2.1092482422931491E-2</v>
      </c>
      <c r="H64" s="36">
        <f t="shared" si="6"/>
        <v>1.5977653631285005E-2</v>
      </c>
      <c r="I64" s="36">
        <f t="shared" si="7"/>
        <v>9.9811467228567707E-3</v>
      </c>
      <c r="J64" s="37">
        <f t="shared" si="8"/>
        <v>5.4347826086955653E-3</v>
      </c>
    </row>
    <row r="65" spans="1:10" x14ac:dyDescent="0.25">
      <c r="A65" s="6">
        <f t="shared" si="0"/>
        <v>61</v>
      </c>
      <c r="B65" s="24">
        <v>45307</v>
      </c>
      <c r="C65" s="35">
        <v>9.2449999999999991E-2</v>
      </c>
      <c r="D65" s="36">
        <v>8.9499999999999996E-2</v>
      </c>
      <c r="E65" s="36">
        <v>9.017E-2</v>
      </c>
      <c r="F65" s="37">
        <v>9.1999999999999998E-2</v>
      </c>
      <c r="G65" s="35">
        <f t="shared" si="5"/>
        <v>8.6608206127514187E-4</v>
      </c>
      <c r="H65" s="36">
        <f t="shared" si="6"/>
        <v>9.8160893602616817E-3</v>
      </c>
      <c r="I65" s="36">
        <f t="shared" si="7"/>
        <v>1.3943551107612695E-2</v>
      </c>
      <c r="J65" s="37">
        <f t="shared" si="8"/>
        <v>1.8826135105205033E-2</v>
      </c>
    </row>
    <row r="66" spans="1:10" x14ac:dyDescent="0.25">
      <c r="A66" s="6">
        <f t="shared" si="0"/>
        <v>62</v>
      </c>
      <c r="B66" s="24">
        <v>45306</v>
      </c>
      <c r="C66" s="35">
        <v>9.2370000000000008E-2</v>
      </c>
      <c r="D66" s="36">
        <v>8.863E-2</v>
      </c>
      <c r="E66" s="36">
        <v>8.8930000000000009E-2</v>
      </c>
      <c r="F66" s="37">
        <v>9.0299999999999991E-2</v>
      </c>
      <c r="G66" s="35">
        <f t="shared" si="5"/>
        <v>-3.791271742526825E-2</v>
      </c>
      <c r="H66" s="36">
        <f t="shared" si="6"/>
        <v>-3.7362876072553619E-2</v>
      </c>
      <c r="I66" s="36">
        <f t="shared" si="7"/>
        <v>-3.8906300659245607E-2</v>
      </c>
      <c r="J66" s="37">
        <f t="shared" si="8"/>
        <v>-3.7723785166240531E-2</v>
      </c>
    </row>
    <row r="67" spans="1:10" x14ac:dyDescent="0.25">
      <c r="A67" s="6">
        <f t="shared" si="0"/>
        <v>63</v>
      </c>
      <c r="B67" s="24">
        <v>45304</v>
      </c>
      <c r="C67" s="35">
        <v>9.6010000000000012E-2</v>
      </c>
      <c r="D67" s="36">
        <v>9.2070000000000013E-2</v>
      </c>
      <c r="E67" s="36">
        <v>9.2530000000000001E-2</v>
      </c>
      <c r="F67" s="37">
        <v>9.3840000000000007E-2</v>
      </c>
      <c r="G67" s="35">
        <f t="shared" si="5"/>
        <v>3.7273120138288762E-2</v>
      </c>
      <c r="H67" s="36">
        <f t="shared" si="6"/>
        <v>3.6124240378123007E-2</v>
      </c>
      <c r="I67" s="36">
        <f t="shared" si="7"/>
        <v>3.4317013190252599E-2</v>
      </c>
      <c r="J67" s="37">
        <f t="shared" si="8"/>
        <v>3.6219081272085063E-2</v>
      </c>
    </row>
    <row r="68" spans="1:10" x14ac:dyDescent="0.25">
      <c r="A68" s="6">
        <f t="shared" si="0"/>
        <v>64</v>
      </c>
      <c r="B68" s="24">
        <v>45303</v>
      </c>
      <c r="C68" s="35">
        <v>9.2560000000000003E-2</v>
      </c>
      <c r="D68" s="36">
        <v>8.8859999999999995E-2</v>
      </c>
      <c r="E68" s="36">
        <v>8.9459999999999998E-2</v>
      </c>
      <c r="F68" s="37">
        <v>9.0559999999999988E-2</v>
      </c>
      <c r="G68" s="35">
        <f t="shared" si="5"/>
        <v>-1.3850415512465353E-2</v>
      </c>
      <c r="H68" s="36">
        <f t="shared" si="6"/>
        <v>-1.5510746731664082E-2</v>
      </c>
      <c r="I68" s="36">
        <f t="shared" si="7"/>
        <v>-1.4323490524460247E-2</v>
      </c>
      <c r="J68" s="37">
        <f t="shared" si="8"/>
        <v>-1.0921799912625763E-2</v>
      </c>
    </row>
    <row r="69" spans="1:10" x14ac:dyDescent="0.25">
      <c r="A69" s="6">
        <f t="shared" ref="A69:A132" si="9">+A70-1</f>
        <v>65</v>
      </c>
      <c r="B69" s="24">
        <v>45302</v>
      </c>
      <c r="C69" s="35">
        <v>9.3859999999999999E-2</v>
      </c>
      <c r="D69" s="36">
        <v>9.0259999999999993E-2</v>
      </c>
      <c r="E69" s="36">
        <v>9.0760000000000007E-2</v>
      </c>
      <c r="F69" s="37">
        <v>9.1560000000000002E-2</v>
      </c>
      <c r="G69" s="35">
        <f t="shared" ref="G69:G100" si="10">+C69/C70-1</f>
        <v>-7.4027072758036105E-3</v>
      </c>
      <c r="H69" s="36">
        <f t="shared" ref="H69:H100" si="11">+D69/D70-1</f>
        <v>-6.6035659255998524E-3</v>
      </c>
      <c r="I69" s="36">
        <f t="shared" ref="I69:I100" si="12">+E69/E70-1</f>
        <v>-4.3878894251863088E-3</v>
      </c>
      <c r="J69" s="37">
        <f t="shared" ref="J69:J100" si="13">+F69/F70-1</f>
        <v>-1.0909884355225774E-3</v>
      </c>
    </row>
    <row r="70" spans="1:10" x14ac:dyDescent="0.25">
      <c r="A70" s="6">
        <f t="shared" si="9"/>
        <v>66</v>
      </c>
      <c r="B70" s="24">
        <v>45301</v>
      </c>
      <c r="C70" s="35">
        <v>9.4559999999999991E-2</v>
      </c>
      <c r="D70" s="36">
        <v>9.0859999999999996E-2</v>
      </c>
      <c r="E70" s="36">
        <v>9.1159999999999991E-2</v>
      </c>
      <c r="F70" s="37">
        <v>9.1660000000000005E-2</v>
      </c>
      <c r="G70" s="35">
        <f t="shared" si="10"/>
        <v>-4.2122999157541141E-3</v>
      </c>
      <c r="H70" s="36">
        <f t="shared" si="11"/>
        <v>-5.4728546409807954E-3</v>
      </c>
      <c r="I70" s="36">
        <f t="shared" si="12"/>
        <v>-3.2801224579053212E-3</v>
      </c>
      <c r="J70" s="37">
        <f t="shared" si="13"/>
        <v>-2.1772262138035625E-3</v>
      </c>
    </row>
    <row r="71" spans="1:10" x14ac:dyDescent="0.25">
      <c r="A71" s="6">
        <f t="shared" si="9"/>
        <v>67</v>
      </c>
      <c r="B71" s="24">
        <v>45300</v>
      </c>
      <c r="C71" s="35">
        <v>9.4960000000000003E-2</v>
      </c>
      <c r="D71" s="36">
        <v>9.1359999999999997E-2</v>
      </c>
      <c r="E71" s="36">
        <v>9.1460000000000014E-2</v>
      </c>
      <c r="F71" s="37">
        <v>9.1859999999999997E-2</v>
      </c>
      <c r="G71" s="35">
        <f t="shared" si="10"/>
        <v>5.293245818335901E-3</v>
      </c>
      <c r="H71" s="36">
        <f t="shared" si="11"/>
        <v>7.7211559673504571E-3</v>
      </c>
      <c r="I71" s="36">
        <f t="shared" si="12"/>
        <v>5.4969217238347579E-3</v>
      </c>
      <c r="J71" s="37">
        <f t="shared" si="13"/>
        <v>5.4728546409807954E-3</v>
      </c>
    </row>
    <row r="72" spans="1:10" x14ac:dyDescent="0.25">
      <c r="A72" s="6">
        <f t="shared" si="9"/>
        <v>68</v>
      </c>
      <c r="B72" s="24">
        <v>45299</v>
      </c>
      <c r="C72" s="35">
        <v>9.4460000000000002E-2</v>
      </c>
      <c r="D72" s="36">
        <v>9.0660000000000004E-2</v>
      </c>
      <c r="E72" s="36">
        <v>9.0959999999999999E-2</v>
      </c>
      <c r="F72" s="37">
        <v>9.1359999999999997E-2</v>
      </c>
      <c r="G72" s="35">
        <f t="shared" si="10"/>
        <v>-7.356031946195829E-3</v>
      </c>
      <c r="H72" s="36">
        <f t="shared" si="11"/>
        <v>-6.5746219592371924E-3</v>
      </c>
      <c r="I72" s="36">
        <f t="shared" si="12"/>
        <v>-5.4668707631753133E-3</v>
      </c>
      <c r="J72" s="37">
        <f t="shared" si="13"/>
        <v>-3.2729653065678432E-3</v>
      </c>
    </row>
    <row r="73" spans="1:10" x14ac:dyDescent="0.25">
      <c r="A73" s="6">
        <f t="shared" si="9"/>
        <v>69</v>
      </c>
      <c r="B73" s="24">
        <v>45296</v>
      </c>
      <c r="C73" s="35">
        <v>9.5159999999999995E-2</v>
      </c>
      <c r="D73" s="36">
        <v>9.1259999999999994E-2</v>
      </c>
      <c r="E73" s="36">
        <v>9.1460000000000014E-2</v>
      </c>
      <c r="F73" s="37">
        <v>9.1660000000000005E-2</v>
      </c>
      <c r="G73" s="35">
        <f t="shared" si="10"/>
        <v>-4.2016806722688926E-4</v>
      </c>
      <c r="H73" s="36">
        <f t="shared" si="11"/>
        <v>1.4265335235379428E-3</v>
      </c>
      <c r="I73" s="36">
        <f t="shared" si="12"/>
        <v>1.0934937124140731E-4</v>
      </c>
      <c r="J73" s="37">
        <f t="shared" si="13"/>
        <v>-7.6310912460486602E-4</v>
      </c>
    </row>
    <row r="74" spans="1:10" x14ac:dyDescent="0.25">
      <c r="A74" s="6">
        <f t="shared" si="9"/>
        <v>70</v>
      </c>
      <c r="B74" s="24">
        <v>45295</v>
      </c>
      <c r="C74" s="35">
        <v>9.5199999999999993E-2</v>
      </c>
      <c r="D74" s="36">
        <v>9.1129999999999989E-2</v>
      </c>
      <c r="E74" s="36">
        <v>9.144999999999999E-2</v>
      </c>
      <c r="F74" s="37">
        <v>9.1730000000000006E-2</v>
      </c>
      <c r="G74" s="35">
        <f t="shared" si="10"/>
        <v>8.4745762711864181E-3</v>
      </c>
      <c r="H74" s="36">
        <f t="shared" si="11"/>
        <v>7.4065885474241533E-3</v>
      </c>
      <c r="I74" s="36">
        <f t="shared" si="12"/>
        <v>9.8277385159011299E-3</v>
      </c>
      <c r="J74" s="37">
        <f t="shared" si="13"/>
        <v>5.150120534735958E-3</v>
      </c>
    </row>
    <row r="75" spans="1:10" x14ac:dyDescent="0.25">
      <c r="A75" s="6">
        <f t="shared" si="9"/>
        <v>71</v>
      </c>
      <c r="B75" s="24">
        <v>45294</v>
      </c>
      <c r="C75" s="35">
        <v>9.4399999999999998E-2</v>
      </c>
      <c r="D75" s="36">
        <v>9.0459999999999999E-2</v>
      </c>
      <c r="E75" s="36">
        <v>9.0559999999999988E-2</v>
      </c>
      <c r="F75" s="37">
        <v>9.1259999999999994E-2</v>
      </c>
      <c r="G75" s="35">
        <f t="shared" si="10"/>
        <v>-2.7466723008662264E-3</v>
      </c>
      <c r="H75" s="36">
        <f t="shared" si="11"/>
        <v>5.5580257892395846E-3</v>
      </c>
      <c r="I75" s="36">
        <f t="shared" si="12"/>
        <v>4.4365572315880897E-3</v>
      </c>
      <c r="J75" s="37">
        <f t="shared" si="13"/>
        <v>2.1963540522731417E-3</v>
      </c>
    </row>
    <row r="76" spans="1:10" x14ac:dyDescent="0.25">
      <c r="A76" s="6">
        <f t="shared" si="9"/>
        <v>72</v>
      </c>
      <c r="B76" s="24">
        <v>45293</v>
      </c>
      <c r="C76" s="35">
        <v>9.4659999999999994E-2</v>
      </c>
      <c r="D76" s="36">
        <v>8.9959999999999998E-2</v>
      </c>
      <c r="E76" s="36">
        <v>9.0160000000000004E-2</v>
      </c>
      <c r="F76" s="37">
        <v>9.1060000000000002E-2</v>
      </c>
      <c r="G76" s="35">
        <f t="shared" si="10"/>
        <v>2.0592991913746639E-2</v>
      </c>
      <c r="H76" s="36">
        <f t="shared" si="11"/>
        <v>-3.2167832167832255E-2</v>
      </c>
      <c r="I76" s="36">
        <f t="shared" si="12"/>
        <v>-2.9285099052540953E-2</v>
      </c>
      <c r="J76" s="37">
        <f t="shared" si="13"/>
        <v>-3.127659574468078E-2</v>
      </c>
    </row>
    <row r="77" spans="1:10" x14ac:dyDescent="0.25">
      <c r="A77" s="6">
        <f t="shared" si="9"/>
        <v>73</v>
      </c>
      <c r="B77" s="24">
        <v>45290</v>
      </c>
      <c r="C77" s="35">
        <v>9.2749999999999999E-2</v>
      </c>
      <c r="D77" s="36">
        <v>9.2950000000000005E-2</v>
      </c>
      <c r="E77" s="36">
        <v>9.2880000000000004E-2</v>
      </c>
      <c r="F77" s="37">
        <v>9.4E-2</v>
      </c>
      <c r="G77" s="35">
        <f t="shared" si="10"/>
        <v>0</v>
      </c>
      <c r="H77" s="36">
        <f t="shared" si="11"/>
        <v>4.9097065462754053E-2</v>
      </c>
      <c r="I77" s="36">
        <f t="shared" si="12"/>
        <v>4.771573604060908E-2</v>
      </c>
      <c r="J77" s="37">
        <f t="shared" si="13"/>
        <v>4.9692908989391382E-2</v>
      </c>
    </row>
    <row r="78" spans="1:10" x14ac:dyDescent="0.25">
      <c r="A78" s="6">
        <f t="shared" si="9"/>
        <v>74</v>
      </c>
      <c r="B78" s="24">
        <v>45289</v>
      </c>
      <c r="C78" s="35">
        <v>9.2749999999999999E-2</v>
      </c>
      <c r="D78" s="36">
        <v>8.8599999999999998E-2</v>
      </c>
      <c r="E78" s="36">
        <v>8.8650000000000007E-2</v>
      </c>
      <c r="F78" s="37">
        <v>8.9550000000000005E-2</v>
      </c>
      <c r="G78" s="35">
        <f t="shared" si="10"/>
        <v>-4.828326180257525E-3</v>
      </c>
      <c r="H78" s="36">
        <f t="shared" si="11"/>
        <v>-1.1160714285714413E-2</v>
      </c>
      <c r="I78" s="36">
        <f t="shared" si="12"/>
        <v>-1.0602678571428603E-2</v>
      </c>
      <c r="J78" s="37">
        <f t="shared" si="13"/>
        <v>-3.8932146829810943E-3</v>
      </c>
    </row>
    <row r="79" spans="1:10" x14ac:dyDescent="0.25">
      <c r="A79" s="6">
        <f t="shared" si="9"/>
        <v>75</v>
      </c>
      <c r="B79" s="24">
        <v>45288</v>
      </c>
      <c r="C79" s="35">
        <v>9.3200000000000005E-2</v>
      </c>
      <c r="D79" s="36">
        <v>8.9600000000000013E-2</v>
      </c>
      <c r="E79" s="36">
        <v>8.9600000000000013E-2</v>
      </c>
      <c r="F79" s="37">
        <v>8.9900000000000008E-2</v>
      </c>
      <c r="G79" s="35">
        <f t="shared" si="10"/>
        <v>-4.9113815929958671E-3</v>
      </c>
      <c r="H79" s="36">
        <f t="shared" si="11"/>
        <v>-5.1077059737950625E-3</v>
      </c>
      <c r="I79" s="36">
        <f t="shared" si="12"/>
        <v>-5.1077059737950625E-3</v>
      </c>
      <c r="J79" s="37">
        <f t="shared" si="13"/>
        <v>-3.9884777309991959E-3</v>
      </c>
    </row>
    <row r="80" spans="1:10" x14ac:dyDescent="0.25">
      <c r="A80" s="6">
        <f t="shared" si="9"/>
        <v>76</v>
      </c>
      <c r="B80" s="24">
        <v>45287</v>
      </c>
      <c r="C80" s="35">
        <v>9.3659999999999993E-2</v>
      </c>
      <c r="D80" s="36">
        <v>9.0060000000000001E-2</v>
      </c>
      <c r="E80" s="36">
        <v>9.0060000000000001E-2</v>
      </c>
      <c r="F80" s="37">
        <v>9.0259999999999993E-2</v>
      </c>
      <c r="G80" s="35">
        <f t="shared" si="10"/>
        <v>-9.5177664974619436E-3</v>
      </c>
      <c r="H80" s="36">
        <f t="shared" si="11"/>
        <v>-1.0981770261366153E-2</v>
      </c>
      <c r="I80" s="36">
        <f t="shared" si="12"/>
        <v>-1.2066695919262682E-2</v>
      </c>
      <c r="J80" s="37">
        <f t="shared" si="13"/>
        <v>-7.6956904133685944E-3</v>
      </c>
    </row>
    <row r="81" spans="1:10" x14ac:dyDescent="0.25">
      <c r="A81" s="6">
        <f t="shared" si="9"/>
        <v>77</v>
      </c>
      <c r="B81" s="24">
        <v>45286</v>
      </c>
      <c r="C81" s="35">
        <v>9.4559999999999991E-2</v>
      </c>
      <c r="D81" s="36">
        <v>9.1060000000000002E-2</v>
      </c>
      <c r="E81" s="36">
        <v>9.1159999999999991E-2</v>
      </c>
      <c r="F81" s="37">
        <v>9.0959999999999999E-2</v>
      </c>
      <c r="G81" s="35">
        <f t="shared" si="10"/>
        <v>-3.5102040816326618E-2</v>
      </c>
      <c r="H81" s="36">
        <f t="shared" si="11"/>
        <v>-3.2819968135953226E-2</v>
      </c>
      <c r="I81" s="36">
        <f t="shared" si="12"/>
        <v>-3.554803216250535E-2</v>
      </c>
      <c r="J81" s="37">
        <f t="shared" si="13"/>
        <v>-4.0000000000000036E-2</v>
      </c>
    </row>
    <row r="82" spans="1:10" x14ac:dyDescent="0.25">
      <c r="A82" s="6">
        <f t="shared" si="9"/>
        <v>78</v>
      </c>
      <c r="B82" s="24">
        <v>45283</v>
      </c>
      <c r="C82" s="35">
        <v>9.8000000000000004E-2</v>
      </c>
      <c r="D82" s="36">
        <v>9.4149999999999998E-2</v>
      </c>
      <c r="E82" s="36">
        <v>9.4519999999999993E-2</v>
      </c>
      <c r="F82" s="37">
        <v>9.4750000000000001E-2</v>
      </c>
      <c r="G82" s="35">
        <f t="shared" si="10"/>
        <v>3.7476180393817504E-2</v>
      </c>
      <c r="H82" s="36">
        <f t="shared" si="11"/>
        <v>3.507036059806512E-2</v>
      </c>
      <c r="I82" s="36">
        <f t="shared" si="12"/>
        <v>4.1313209210091406E-2</v>
      </c>
      <c r="J82" s="37">
        <f t="shared" si="13"/>
        <v>3.7105954465849411E-2</v>
      </c>
    </row>
    <row r="83" spans="1:10" x14ac:dyDescent="0.25">
      <c r="A83" s="6">
        <f t="shared" si="9"/>
        <v>79</v>
      </c>
      <c r="B83" s="24">
        <v>45282</v>
      </c>
      <c r="C83" s="35">
        <v>9.4460000000000002E-2</v>
      </c>
      <c r="D83" s="36">
        <v>9.0959999999999999E-2</v>
      </c>
      <c r="E83" s="36">
        <v>9.0770000000000003E-2</v>
      </c>
      <c r="F83" s="37">
        <v>9.1359999999999997E-2</v>
      </c>
      <c r="G83" s="35">
        <f t="shared" si="10"/>
        <v>1.059771089444661E-3</v>
      </c>
      <c r="H83" s="36">
        <f t="shared" si="11"/>
        <v>2.2036139268399868E-3</v>
      </c>
      <c r="I83" s="36">
        <f t="shared" si="12"/>
        <v>-2.088830255057128E-3</v>
      </c>
      <c r="J83" s="37">
        <f t="shared" si="13"/>
        <v>1.0957703265395136E-3</v>
      </c>
    </row>
    <row r="84" spans="1:10" x14ac:dyDescent="0.25">
      <c r="A84" s="6">
        <f t="shared" si="9"/>
        <v>80</v>
      </c>
      <c r="B84" s="24">
        <v>45281</v>
      </c>
      <c r="C84" s="35">
        <v>9.4359999999999999E-2</v>
      </c>
      <c r="D84" s="36">
        <v>9.0760000000000007E-2</v>
      </c>
      <c r="E84" s="36">
        <v>9.0959999999999999E-2</v>
      </c>
      <c r="F84" s="37">
        <v>9.1259999999999994E-2</v>
      </c>
      <c r="G84" s="35">
        <f t="shared" si="10"/>
        <v>4.2571306939123144E-3</v>
      </c>
      <c r="H84" s="36">
        <f t="shared" si="11"/>
        <v>4.4267374944666482E-3</v>
      </c>
      <c r="I84" s="36">
        <f t="shared" si="12"/>
        <v>3.3090668431501324E-3</v>
      </c>
      <c r="J84" s="37">
        <f t="shared" si="13"/>
        <v>5.509034817099856E-3</v>
      </c>
    </row>
    <row r="85" spans="1:10" x14ac:dyDescent="0.25">
      <c r="A85" s="6">
        <f t="shared" si="9"/>
        <v>81</v>
      </c>
      <c r="B85" s="24">
        <v>45280</v>
      </c>
      <c r="C85" s="35">
        <v>9.3960000000000002E-2</v>
      </c>
      <c r="D85" s="36">
        <v>9.0359999999999996E-2</v>
      </c>
      <c r="E85" s="36">
        <v>9.0660000000000004E-2</v>
      </c>
      <c r="F85" s="37">
        <v>9.0760000000000007E-2</v>
      </c>
      <c r="G85" s="35">
        <f t="shared" si="10"/>
        <v>-8.4423807513719362E-3</v>
      </c>
      <c r="H85" s="36">
        <f t="shared" si="11"/>
        <v>-1.2027115678985512E-2</v>
      </c>
      <c r="I85" s="36">
        <f t="shared" si="12"/>
        <v>-7.6619964973729804E-3</v>
      </c>
      <c r="J85" s="37">
        <f t="shared" si="13"/>
        <v>-5.4788516326976788E-3</v>
      </c>
    </row>
    <row r="86" spans="1:10" x14ac:dyDescent="0.25">
      <c r="A86" s="6">
        <f t="shared" si="9"/>
        <v>82</v>
      </c>
      <c r="B86" s="24">
        <v>45279</v>
      </c>
      <c r="C86" s="35">
        <v>9.4760000000000011E-2</v>
      </c>
      <c r="D86" s="36">
        <v>9.1460000000000014E-2</v>
      </c>
      <c r="E86" s="36">
        <v>9.1359999999999997E-2</v>
      </c>
      <c r="F86" s="37">
        <v>9.1259999999999994E-2</v>
      </c>
      <c r="G86" s="35">
        <f t="shared" si="10"/>
        <v>4.0262767535494959E-3</v>
      </c>
      <c r="H86" s="36">
        <f t="shared" si="11"/>
        <v>1.1054609772275237E-2</v>
      </c>
      <c r="I86" s="36">
        <f t="shared" si="12"/>
        <v>9.9491487950476021E-3</v>
      </c>
      <c r="J86" s="37">
        <f t="shared" si="13"/>
        <v>6.6181336863002649E-3</v>
      </c>
    </row>
    <row r="87" spans="1:10" x14ac:dyDescent="0.25">
      <c r="A87" s="6">
        <f t="shared" si="9"/>
        <v>83</v>
      </c>
      <c r="B87" s="24">
        <v>45278</v>
      </c>
      <c r="C87" s="35">
        <v>9.4380000000000006E-2</v>
      </c>
      <c r="D87" s="36">
        <v>9.0459999999999999E-2</v>
      </c>
      <c r="E87" s="36">
        <v>9.0459999999999999E-2</v>
      </c>
      <c r="F87" s="37">
        <v>9.0660000000000004E-2</v>
      </c>
      <c r="G87" s="35">
        <f t="shared" si="10"/>
        <v>-3.1602708803611712E-2</v>
      </c>
      <c r="H87" s="36">
        <f t="shared" si="11"/>
        <v>-3.5607675906183522E-2</v>
      </c>
      <c r="I87" s="36">
        <f t="shared" si="12"/>
        <v>-3.5299136184280711E-2</v>
      </c>
      <c r="J87" s="37">
        <f t="shared" si="13"/>
        <v>-3.6147140123325538E-2</v>
      </c>
    </row>
    <row r="88" spans="1:10" x14ac:dyDescent="0.25">
      <c r="A88" s="6">
        <f t="shared" si="9"/>
        <v>84</v>
      </c>
      <c r="B88" s="24">
        <v>45276</v>
      </c>
      <c r="C88" s="35">
        <v>9.7460000000000005E-2</v>
      </c>
      <c r="D88" s="36">
        <v>9.3800000000000008E-2</v>
      </c>
      <c r="E88" s="36">
        <v>9.3770000000000006E-2</v>
      </c>
      <c r="F88" s="37">
        <v>9.4060000000000005E-2</v>
      </c>
      <c r="G88" s="35">
        <f t="shared" si="10"/>
        <v>3.6147140123325538E-2</v>
      </c>
      <c r="H88" s="36">
        <f t="shared" si="11"/>
        <v>4.1527870308683212E-2</v>
      </c>
      <c r="I88" s="36">
        <f t="shared" si="12"/>
        <v>3.7737937140327693E-2</v>
      </c>
      <c r="J88" s="37">
        <f t="shared" si="13"/>
        <v>3.5219018269865732E-2</v>
      </c>
    </row>
    <row r="89" spans="1:10" x14ac:dyDescent="0.25">
      <c r="A89" s="6">
        <f t="shared" si="9"/>
        <v>85</v>
      </c>
      <c r="B89" s="24">
        <v>45275</v>
      </c>
      <c r="C89" s="35">
        <v>9.4060000000000005E-2</v>
      </c>
      <c r="D89" s="36">
        <v>9.0060000000000001E-2</v>
      </c>
      <c r="E89" s="36">
        <v>9.0359999999999996E-2</v>
      </c>
      <c r="F89" s="37">
        <v>9.0859999999999996E-2</v>
      </c>
      <c r="G89" s="35">
        <f t="shared" si="10"/>
        <v>1.8406236466002479E-2</v>
      </c>
      <c r="H89" s="36">
        <f t="shared" si="11"/>
        <v>1.0094212651413192E-2</v>
      </c>
      <c r="I89" s="36">
        <f t="shared" si="12"/>
        <v>8.9325591782045688E-3</v>
      </c>
      <c r="J89" s="37">
        <f t="shared" si="13"/>
        <v>3.3127208480565606E-3</v>
      </c>
    </row>
    <row r="90" spans="1:10" x14ac:dyDescent="0.25">
      <c r="A90" s="6">
        <f t="shared" si="9"/>
        <v>86</v>
      </c>
      <c r="B90" s="24">
        <v>45274</v>
      </c>
      <c r="C90" s="35">
        <v>9.2360000000000012E-2</v>
      </c>
      <c r="D90" s="36">
        <v>8.9160000000000003E-2</v>
      </c>
      <c r="E90" s="36">
        <v>8.9560000000000001E-2</v>
      </c>
      <c r="F90" s="37">
        <v>9.0559999999999988E-2</v>
      </c>
      <c r="G90" s="35">
        <f t="shared" si="10"/>
        <v>-2.3265651438240109E-2</v>
      </c>
      <c r="H90" s="36">
        <f t="shared" si="11"/>
        <v>-1.8710103455866101E-2</v>
      </c>
      <c r="I90" s="36">
        <f t="shared" si="12"/>
        <v>-1.5391380826736967E-2</v>
      </c>
      <c r="J90" s="37">
        <f t="shared" si="13"/>
        <v>-2.6864388566516295E-2</v>
      </c>
    </row>
    <row r="91" spans="1:10" x14ac:dyDescent="0.25">
      <c r="A91" s="6">
        <f t="shared" si="9"/>
        <v>87</v>
      </c>
      <c r="B91" s="24">
        <v>45273</v>
      </c>
      <c r="C91" s="35">
        <v>9.4559999999999991E-2</v>
      </c>
      <c r="D91" s="36">
        <v>9.0859999999999996E-2</v>
      </c>
      <c r="E91" s="36">
        <v>9.0959999999999999E-2</v>
      </c>
      <c r="F91" s="37">
        <v>9.305999999999999E-2</v>
      </c>
      <c r="G91" s="35">
        <f t="shared" si="10"/>
        <v>-5.656988925471429E-2</v>
      </c>
      <c r="H91" s="36">
        <f t="shared" si="11"/>
        <v>-6.165444593617686E-2</v>
      </c>
      <c r="I91" s="36">
        <f t="shared" si="12"/>
        <v>-6.3233779608650953E-2</v>
      </c>
      <c r="J91" s="37">
        <f t="shared" si="13"/>
        <v>-4.6907005325686257E-2</v>
      </c>
    </row>
    <row r="92" spans="1:10" x14ac:dyDescent="0.25">
      <c r="A92" s="6">
        <f t="shared" si="9"/>
        <v>88</v>
      </c>
      <c r="B92" s="24">
        <v>45272</v>
      </c>
      <c r="C92" s="35">
        <v>0.10023</v>
      </c>
      <c r="D92" s="36">
        <v>9.6829999999999999E-2</v>
      </c>
      <c r="E92" s="36">
        <v>9.7100000000000006E-2</v>
      </c>
      <c r="F92" s="37">
        <v>9.7639999999999991E-2</v>
      </c>
      <c r="G92" s="35">
        <f t="shared" si="10"/>
        <v>3.9083557951482328E-2</v>
      </c>
      <c r="H92" s="36">
        <f t="shared" si="11"/>
        <v>3.8280077203517004E-2</v>
      </c>
      <c r="I92" s="36">
        <f t="shared" si="12"/>
        <v>3.8947143162850528E-2</v>
      </c>
      <c r="J92" s="37">
        <f t="shared" si="13"/>
        <v>3.6958368734069547E-2</v>
      </c>
    </row>
    <row r="93" spans="1:10" x14ac:dyDescent="0.25">
      <c r="A93" s="6">
        <f t="shared" si="9"/>
        <v>89</v>
      </c>
      <c r="B93" s="24">
        <v>45271</v>
      </c>
      <c r="C93" s="35">
        <v>9.6460000000000004E-2</v>
      </c>
      <c r="D93" s="36">
        <v>9.326000000000001E-2</v>
      </c>
      <c r="E93" s="36">
        <v>9.3460000000000001E-2</v>
      </c>
      <c r="F93" s="37">
        <v>9.4160000000000008E-2</v>
      </c>
      <c r="G93" s="35">
        <f t="shared" si="10"/>
        <v>-2.908907901358837E-2</v>
      </c>
      <c r="H93" s="36">
        <f t="shared" si="11"/>
        <v>-2.3659966499162355E-2</v>
      </c>
      <c r="I93" s="36">
        <f t="shared" si="12"/>
        <v>-2.6661112268277498E-2</v>
      </c>
      <c r="J93" s="37">
        <f t="shared" si="13"/>
        <v>-1.8860060435552661E-2</v>
      </c>
    </row>
    <row r="94" spans="1:10" x14ac:dyDescent="0.25">
      <c r="A94" s="6">
        <f t="shared" si="9"/>
        <v>90</v>
      </c>
      <c r="B94" s="24">
        <v>45269</v>
      </c>
      <c r="C94" s="35">
        <v>9.9350000000000008E-2</v>
      </c>
      <c r="D94" s="36">
        <v>9.5519999999999994E-2</v>
      </c>
      <c r="E94" s="36">
        <v>9.6020000000000008E-2</v>
      </c>
      <c r="F94" s="37">
        <v>9.597E-2</v>
      </c>
      <c r="G94" s="35">
        <f t="shared" si="10"/>
        <v>4.0750052377959589E-2</v>
      </c>
      <c r="H94" s="36">
        <f t="shared" si="11"/>
        <v>3.5334923043572442E-2</v>
      </c>
      <c r="I94" s="36">
        <f t="shared" si="12"/>
        <v>3.9627544391511504E-2</v>
      </c>
      <c r="J94" s="37">
        <f t="shared" si="13"/>
        <v>3.6840968020743325E-2</v>
      </c>
    </row>
    <row r="95" spans="1:10" x14ac:dyDescent="0.25">
      <c r="A95" s="6">
        <f t="shared" si="9"/>
        <v>91</v>
      </c>
      <c r="B95" s="24">
        <v>45268</v>
      </c>
      <c r="C95" s="35">
        <v>9.5459999999999989E-2</v>
      </c>
      <c r="D95" s="36">
        <v>9.2260000000000009E-2</v>
      </c>
      <c r="E95" s="36">
        <v>9.2360000000000012E-2</v>
      </c>
      <c r="F95" s="37">
        <v>9.2560000000000003E-2</v>
      </c>
      <c r="G95" s="35">
        <f t="shared" si="10"/>
        <v>7.3870831574500695E-3</v>
      </c>
      <c r="H95" s="36">
        <f t="shared" si="11"/>
        <v>1.3178124313639517E-2</v>
      </c>
      <c r="I95" s="36">
        <f t="shared" si="12"/>
        <v>1.0945709281961591E-2</v>
      </c>
      <c r="J95" s="37">
        <f t="shared" si="13"/>
        <v>8.2788671023965588E-3</v>
      </c>
    </row>
    <row r="96" spans="1:10" x14ac:dyDescent="0.25">
      <c r="A96" s="6">
        <f t="shared" si="9"/>
        <v>92</v>
      </c>
      <c r="B96" s="24">
        <v>45267</v>
      </c>
      <c r="C96" s="35">
        <v>9.4760000000000011E-2</v>
      </c>
      <c r="D96" s="36">
        <v>9.1060000000000002E-2</v>
      </c>
      <c r="E96" s="36">
        <v>9.1359999999999997E-2</v>
      </c>
      <c r="F96" s="37">
        <v>9.1799999999999993E-2</v>
      </c>
      <c r="G96" s="35">
        <f t="shared" si="10"/>
        <v>1.6913319238900382E-3</v>
      </c>
      <c r="H96" s="36">
        <f t="shared" si="11"/>
        <v>-6.5459306131355754E-3</v>
      </c>
      <c r="I96" s="36">
        <f t="shared" si="12"/>
        <v>-6.5245759025663874E-3</v>
      </c>
      <c r="J96" s="37">
        <f t="shared" si="13"/>
        <v>-1.7398869073510514E-3</v>
      </c>
    </row>
    <row r="97" spans="1:10" x14ac:dyDescent="0.25">
      <c r="A97" s="6">
        <f t="shared" si="9"/>
        <v>93</v>
      </c>
      <c r="B97" s="24">
        <v>45266</v>
      </c>
      <c r="C97" s="35">
        <v>9.4600000000000004E-2</v>
      </c>
      <c r="D97" s="36">
        <v>9.1660000000000005E-2</v>
      </c>
      <c r="E97" s="36">
        <v>9.196E-2</v>
      </c>
      <c r="F97" s="37">
        <v>9.196E-2</v>
      </c>
      <c r="G97" s="35">
        <f t="shared" si="10"/>
        <v>-5.8848255569565744E-3</v>
      </c>
      <c r="H97" s="36">
        <f t="shared" si="11"/>
        <v>-3.2622879512831382E-3</v>
      </c>
      <c r="I97" s="36">
        <f t="shared" si="12"/>
        <v>-6.482281763180664E-3</v>
      </c>
      <c r="J97" s="37">
        <f t="shared" si="13"/>
        <v>-9.6920094766315135E-3</v>
      </c>
    </row>
    <row r="98" spans="1:10" x14ac:dyDescent="0.25">
      <c r="A98" s="6">
        <f t="shared" si="9"/>
        <v>94</v>
      </c>
      <c r="B98" s="24">
        <v>45265</v>
      </c>
      <c r="C98" s="35">
        <v>9.5159999999999995E-2</v>
      </c>
      <c r="D98" s="36">
        <v>9.196E-2</v>
      </c>
      <c r="E98" s="36">
        <v>9.2560000000000003E-2</v>
      </c>
      <c r="F98" s="37">
        <v>9.2859999999999998E-2</v>
      </c>
      <c r="G98" s="35">
        <f t="shared" si="10"/>
        <v>-4.1858518208455209E-3</v>
      </c>
      <c r="H98" s="36">
        <f t="shared" si="11"/>
        <v>-8.6244070720137289E-3</v>
      </c>
      <c r="I98" s="36">
        <f t="shared" si="12"/>
        <v>-1.0688328345446751E-2</v>
      </c>
      <c r="J98" s="37">
        <f t="shared" si="13"/>
        <v>-1.170710940825892E-2</v>
      </c>
    </row>
    <row r="99" spans="1:10" x14ac:dyDescent="0.25">
      <c r="A99" s="6">
        <f t="shared" si="9"/>
        <v>95</v>
      </c>
      <c r="B99" s="24">
        <v>45264</v>
      </c>
      <c r="C99" s="35">
        <v>9.5559999999999992E-2</v>
      </c>
      <c r="D99" s="36">
        <v>9.2759999999999995E-2</v>
      </c>
      <c r="E99" s="36">
        <v>9.3560000000000004E-2</v>
      </c>
      <c r="F99" s="37">
        <v>9.3960000000000002E-2</v>
      </c>
      <c r="G99" s="35">
        <f t="shared" si="10"/>
        <v>-3.2303797468354545E-2</v>
      </c>
      <c r="H99" s="36">
        <f t="shared" si="11"/>
        <v>-2.4810765349032926E-2</v>
      </c>
      <c r="I99" s="36">
        <f t="shared" si="12"/>
        <v>-2.4705514437610709E-2</v>
      </c>
      <c r="J99" s="37">
        <f t="shared" si="13"/>
        <v>-2.9639574512031364E-2</v>
      </c>
    </row>
    <row r="100" spans="1:10" x14ac:dyDescent="0.25">
      <c r="A100" s="6">
        <f t="shared" si="9"/>
        <v>96</v>
      </c>
      <c r="B100" s="24">
        <v>45262</v>
      </c>
      <c r="C100" s="35">
        <v>9.8750000000000004E-2</v>
      </c>
      <c r="D100" s="36">
        <v>9.512000000000001E-2</v>
      </c>
      <c r="E100" s="36">
        <v>9.5930000000000001E-2</v>
      </c>
      <c r="F100" s="37">
        <v>9.6829999999999999E-2</v>
      </c>
      <c r="G100" s="35">
        <f t="shared" si="10"/>
        <v>3.6636573588074928E-2</v>
      </c>
      <c r="H100" s="36">
        <f t="shared" si="11"/>
        <v>3.6617262423713992E-2</v>
      </c>
      <c r="I100" s="36">
        <f t="shared" si="12"/>
        <v>3.6408815903197889E-2</v>
      </c>
      <c r="J100" s="37">
        <f t="shared" si="13"/>
        <v>3.6058206719452146E-2</v>
      </c>
    </row>
    <row r="101" spans="1:10" x14ac:dyDescent="0.25">
      <c r="A101" s="6">
        <f t="shared" si="9"/>
        <v>97</v>
      </c>
      <c r="B101" s="24">
        <v>45261</v>
      </c>
      <c r="C101" s="35">
        <v>9.5259999999999997E-2</v>
      </c>
      <c r="D101" s="36">
        <v>9.1760000000000008E-2</v>
      </c>
      <c r="E101" s="36">
        <v>9.2560000000000003E-2</v>
      </c>
      <c r="F101" s="37">
        <v>9.3460000000000001E-2</v>
      </c>
      <c r="G101" s="35">
        <f t="shared" ref="G101:G132" si="14">+C101/C102-1</f>
        <v>-1.2440389798880402E-2</v>
      </c>
      <c r="H101" s="36">
        <f t="shared" ref="H101:H132" si="15">+D101/D102-1</f>
        <v>-1.2908777969018681E-2</v>
      </c>
      <c r="I101" s="36">
        <f t="shared" ref="I101:I132" si="16">+E101/E102-1</f>
        <v>-1.2798634812286602E-2</v>
      </c>
      <c r="J101" s="37">
        <f t="shared" ref="J101:J132" si="17">+F101/F102-1</f>
        <v>-1.1632825719120055E-2</v>
      </c>
    </row>
    <row r="102" spans="1:10" x14ac:dyDescent="0.25">
      <c r="A102" s="6">
        <f t="shared" si="9"/>
        <v>98</v>
      </c>
      <c r="B102" s="24">
        <v>45260</v>
      </c>
      <c r="C102" s="35">
        <v>9.6460000000000004E-2</v>
      </c>
      <c r="D102" s="36">
        <v>9.2959999999999987E-2</v>
      </c>
      <c r="E102" s="36">
        <v>9.3759999999999996E-2</v>
      </c>
      <c r="F102" s="37">
        <v>9.4559999999999991E-2</v>
      </c>
      <c r="G102" s="35">
        <f t="shared" si="14"/>
        <v>1.7940059096665184E-2</v>
      </c>
      <c r="H102" s="36">
        <f t="shared" si="15"/>
        <v>8.6805555555555802E-3</v>
      </c>
      <c r="I102" s="36">
        <f t="shared" si="16"/>
        <v>1.4060134112048317E-2</v>
      </c>
      <c r="J102" s="37">
        <f t="shared" si="17"/>
        <v>1.9404915912031084E-2</v>
      </c>
    </row>
    <row r="103" spans="1:10" x14ac:dyDescent="0.25">
      <c r="A103" s="6">
        <f t="shared" si="9"/>
        <v>99</v>
      </c>
      <c r="B103" s="24">
        <v>45259</v>
      </c>
      <c r="C103" s="35">
        <v>9.4760000000000011E-2</v>
      </c>
      <c r="D103" s="36">
        <v>9.2159999999999992E-2</v>
      </c>
      <c r="E103" s="36">
        <v>9.2460000000000001E-2</v>
      </c>
      <c r="F103" s="37">
        <v>9.2759999999999995E-2</v>
      </c>
      <c r="G103" s="35">
        <f t="shared" si="14"/>
        <v>-1.0442773600668365E-2</v>
      </c>
      <c r="H103" s="36">
        <f t="shared" si="15"/>
        <v>-8.6058519793459354E-3</v>
      </c>
      <c r="I103" s="36">
        <f t="shared" si="16"/>
        <v>-1.0699764605178741E-2</v>
      </c>
      <c r="J103" s="37">
        <f t="shared" si="17"/>
        <v>-2.4195245108352692E-2</v>
      </c>
    </row>
    <row r="104" spans="1:10" x14ac:dyDescent="0.25">
      <c r="A104" s="6">
        <f t="shared" si="9"/>
        <v>100</v>
      </c>
      <c r="B104" s="24">
        <v>45258</v>
      </c>
      <c r="C104" s="35">
        <v>9.5760000000000012E-2</v>
      </c>
      <c r="D104" s="36">
        <v>9.2959999999999987E-2</v>
      </c>
      <c r="E104" s="36">
        <v>9.3460000000000001E-2</v>
      </c>
      <c r="F104" s="37">
        <v>9.5060000000000006E-2</v>
      </c>
      <c r="G104" s="35">
        <f t="shared" si="14"/>
        <v>-1.8450184501844991E-2</v>
      </c>
      <c r="H104" s="36">
        <f t="shared" si="15"/>
        <v>-1.6920473773265665E-2</v>
      </c>
      <c r="I104" s="36">
        <f t="shared" si="16"/>
        <v>-1.786464901218987E-2</v>
      </c>
      <c r="J104" s="37">
        <f t="shared" si="17"/>
        <v>-1.959570957095691E-2</v>
      </c>
    </row>
    <row r="105" spans="1:10" x14ac:dyDescent="0.25">
      <c r="A105" s="6">
        <f t="shared" si="9"/>
        <v>101</v>
      </c>
      <c r="B105" s="24">
        <v>45257</v>
      </c>
      <c r="C105" s="35">
        <v>9.7560000000000008E-2</v>
      </c>
      <c r="D105" s="36">
        <v>9.4559999999999991E-2</v>
      </c>
      <c r="E105" s="36">
        <v>9.5159999999999995E-2</v>
      </c>
      <c r="F105" s="37">
        <v>9.6959999999999991E-2</v>
      </c>
      <c r="G105" s="35">
        <f t="shared" si="14"/>
        <v>-4.7265624999999978E-2</v>
      </c>
      <c r="H105" s="36">
        <f t="shared" si="15"/>
        <v>-4.7254408060453557E-2</v>
      </c>
      <c r="I105" s="36">
        <f t="shared" si="16"/>
        <v>-4.7256708049659646E-2</v>
      </c>
      <c r="J105" s="37">
        <f t="shared" si="17"/>
        <v>-4.2843040473840133E-2</v>
      </c>
    </row>
    <row r="106" spans="1:10" x14ac:dyDescent="0.25">
      <c r="A106" s="6">
        <f t="shared" si="9"/>
        <v>102</v>
      </c>
      <c r="B106" s="24">
        <v>45255</v>
      </c>
      <c r="C106" s="35">
        <v>0.1024</v>
      </c>
      <c r="D106" s="36">
        <v>9.9250000000000005E-2</v>
      </c>
      <c r="E106" s="36">
        <v>9.9879999999999997E-2</v>
      </c>
      <c r="F106" s="37">
        <v>0.1013</v>
      </c>
      <c r="G106" s="35">
        <f t="shared" si="14"/>
        <v>4.2133116222267564E-2</v>
      </c>
      <c r="H106" s="36">
        <f t="shared" si="15"/>
        <v>4.5176916596461725E-2</v>
      </c>
      <c r="I106" s="36">
        <f t="shared" si="16"/>
        <v>4.630211606955803E-2</v>
      </c>
      <c r="J106" s="37">
        <f t="shared" si="17"/>
        <v>4.9088649544324792E-2</v>
      </c>
    </row>
    <row r="107" spans="1:10" x14ac:dyDescent="0.25">
      <c r="A107" s="6">
        <f t="shared" si="9"/>
        <v>103</v>
      </c>
      <c r="B107" s="24">
        <v>45254</v>
      </c>
      <c r="C107" s="35">
        <v>9.826E-2</v>
      </c>
      <c r="D107" s="36">
        <v>9.4960000000000003E-2</v>
      </c>
      <c r="E107" s="36">
        <v>9.5459999999999989E-2</v>
      </c>
      <c r="F107" s="37">
        <v>9.6560000000000007E-2</v>
      </c>
      <c r="G107" s="35">
        <f t="shared" si="14"/>
        <v>4.1900868676545411E-3</v>
      </c>
      <c r="H107" s="36">
        <f t="shared" si="15"/>
        <v>3.0632724199852746E-3</v>
      </c>
      <c r="I107" s="36">
        <f t="shared" si="16"/>
        <v>5.159524060229348E-3</v>
      </c>
      <c r="J107" s="37">
        <f t="shared" si="17"/>
        <v>3.0123610678300938E-3</v>
      </c>
    </row>
    <row r="108" spans="1:10" x14ac:dyDescent="0.25">
      <c r="A108" s="6">
        <f t="shared" si="9"/>
        <v>104</v>
      </c>
      <c r="B108" s="24">
        <v>45253</v>
      </c>
      <c r="C108" s="35">
        <v>9.7850000000000006E-2</v>
      </c>
      <c r="D108" s="36">
        <v>9.4670000000000004E-2</v>
      </c>
      <c r="E108" s="36">
        <v>9.4969999999999999E-2</v>
      </c>
      <c r="F108" s="37">
        <v>9.6270000000000008E-2</v>
      </c>
      <c r="G108" s="35">
        <f t="shared" si="14"/>
        <v>-3.5641547861507972E-3</v>
      </c>
      <c r="H108" s="36">
        <f t="shared" si="15"/>
        <v>-4.1026719966337222E-3</v>
      </c>
      <c r="I108" s="36">
        <f t="shared" si="16"/>
        <v>-5.1330400167608481E-3</v>
      </c>
      <c r="J108" s="37">
        <f t="shared" si="17"/>
        <v>1.0388531061722439E-4</v>
      </c>
    </row>
    <row r="109" spans="1:10" x14ac:dyDescent="0.25">
      <c r="A109" s="6">
        <f t="shared" si="9"/>
        <v>105</v>
      </c>
      <c r="B109" s="24">
        <v>45252</v>
      </c>
      <c r="C109" s="35">
        <v>9.820000000000001E-2</v>
      </c>
      <c r="D109" s="36">
        <v>9.5060000000000006E-2</v>
      </c>
      <c r="E109" s="36">
        <v>9.5459999999999989E-2</v>
      </c>
      <c r="F109" s="37">
        <v>9.6259999999999998E-2</v>
      </c>
      <c r="G109" s="35">
        <f t="shared" si="14"/>
        <v>8.2135523613964256E-3</v>
      </c>
      <c r="H109" s="36">
        <f t="shared" si="15"/>
        <v>5.2876480541457216E-3</v>
      </c>
      <c r="I109" s="36">
        <f t="shared" si="16"/>
        <v>4.2078687144959659E-3</v>
      </c>
      <c r="J109" s="37">
        <f t="shared" si="17"/>
        <v>3.1263026260941462E-3</v>
      </c>
    </row>
    <row r="110" spans="1:10" x14ac:dyDescent="0.25">
      <c r="A110" s="6">
        <f t="shared" si="9"/>
        <v>106</v>
      </c>
      <c r="B110" s="24">
        <v>45251</v>
      </c>
      <c r="C110" s="35">
        <v>9.74E-2</v>
      </c>
      <c r="D110" s="36">
        <v>9.4559999999999991E-2</v>
      </c>
      <c r="E110" s="36">
        <v>9.5060000000000006E-2</v>
      </c>
      <c r="F110" s="37">
        <v>9.5960000000000004E-2</v>
      </c>
      <c r="G110" s="35">
        <f t="shared" si="14"/>
        <v>-2.891326021934193E-2</v>
      </c>
      <c r="H110" s="36">
        <f t="shared" si="15"/>
        <v>-2.8459878762971402E-2</v>
      </c>
      <c r="I110" s="36">
        <f t="shared" si="16"/>
        <v>-2.7817549601145464E-2</v>
      </c>
      <c r="J110" s="37">
        <f t="shared" si="17"/>
        <v>-3.0119264200525575E-2</v>
      </c>
    </row>
    <row r="111" spans="1:10" x14ac:dyDescent="0.25">
      <c r="A111" s="6">
        <f t="shared" si="9"/>
        <v>107</v>
      </c>
      <c r="B111" s="24">
        <v>45248</v>
      </c>
      <c r="C111" s="35">
        <v>0.1003</v>
      </c>
      <c r="D111" s="36">
        <v>9.733E-2</v>
      </c>
      <c r="E111" s="36">
        <v>9.7780000000000006E-2</v>
      </c>
      <c r="F111" s="37">
        <v>9.894E-2</v>
      </c>
      <c r="G111" s="35">
        <f t="shared" si="14"/>
        <v>3.873239436619702E-2</v>
      </c>
      <c r="H111" s="36">
        <f t="shared" si="15"/>
        <v>3.8075938566553003E-2</v>
      </c>
      <c r="I111" s="36">
        <f t="shared" si="16"/>
        <v>3.9549223899638442E-2</v>
      </c>
      <c r="J111" s="37">
        <f t="shared" si="17"/>
        <v>3.8631114843586056E-2</v>
      </c>
    </row>
    <row r="112" spans="1:10" x14ac:dyDescent="0.25">
      <c r="A112" s="6">
        <f t="shared" si="9"/>
        <v>108</v>
      </c>
      <c r="B112" s="24">
        <v>45247</v>
      </c>
      <c r="C112" s="35">
        <v>9.6560000000000007E-2</v>
      </c>
      <c r="D112" s="36">
        <v>9.3759999999999996E-2</v>
      </c>
      <c r="E112" s="36">
        <v>9.4060000000000005E-2</v>
      </c>
      <c r="F112" s="37">
        <v>9.5259999999999997E-2</v>
      </c>
      <c r="G112" s="35">
        <f t="shared" si="14"/>
        <v>1.0464629552114024E-2</v>
      </c>
      <c r="H112" s="36">
        <f t="shared" si="15"/>
        <v>7.5220287986246248E-3</v>
      </c>
      <c r="I112" s="36">
        <f t="shared" si="16"/>
        <v>5.3441641727234312E-3</v>
      </c>
      <c r="J112" s="37">
        <f t="shared" si="17"/>
        <v>1.0508617065994041E-3</v>
      </c>
    </row>
    <row r="113" spans="1:10" x14ac:dyDescent="0.25">
      <c r="A113" s="6">
        <f t="shared" si="9"/>
        <v>109</v>
      </c>
      <c r="B113" s="24">
        <v>45246</v>
      </c>
      <c r="C113" s="35">
        <v>9.5559999999999992E-2</v>
      </c>
      <c r="D113" s="36">
        <v>9.305999999999999E-2</v>
      </c>
      <c r="E113" s="36">
        <v>9.3560000000000004E-2</v>
      </c>
      <c r="F113" s="37">
        <v>9.5159999999999995E-2</v>
      </c>
      <c r="G113" s="35">
        <f t="shared" si="14"/>
        <v>-4.1684035014590837E-3</v>
      </c>
      <c r="H113" s="36">
        <f t="shared" si="15"/>
        <v>-1.1682242990654346E-2</v>
      </c>
      <c r="I113" s="36">
        <f t="shared" si="16"/>
        <v>-9.527842473004422E-3</v>
      </c>
      <c r="J113" s="37">
        <f t="shared" si="17"/>
        <v>-1.1427384167878696E-2</v>
      </c>
    </row>
    <row r="114" spans="1:10" x14ac:dyDescent="0.25">
      <c r="A114" s="6">
        <f t="shared" si="9"/>
        <v>110</v>
      </c>
      <c r="B114" s="24">
        <v>45245</v>
      </c>
      <c r="C114" s="35">
        <v>9.5960000000000004E-2</v>
      </c>
      <c r="D114" s="36">
        <v>9.4160000000000008E-2</v>
      </c>
      <c r="E114" s="36">
        <v>9.4460000000000002E-2</v>
      </c>
      <c r="F114" s="37">
        <v>9.6259999999999998E-2</v>
      </c>
      <c r="G114" s="35">
        <f t="shared" si="14"/>
        <v>1.0431879824743806E-3</v>
      </c>
      <c r="H114" s="36">
        <f t="shared" si="15"/>
        <v>0</v>
      </c>
      <c r="I114" s="36">
        <f t="shared" si="16"/>
        <v>2.1217907914279355E-3</v>
      </c>
      <c r="J114" s="37">
        <f t="shared" si="17"/>
        <v>1.0399334442596775E-3</v>
      </c>
    </row>
    <row r="115" spans="1:10" x14ac:dyDescent="0.25">
      <c r="A115" s="6">
        <f t="shared" si="9"/>
        <v>111</v>
      </c>
      <c r="B115" s="24">
        <v>45244</v>
      </c>
      <c r="C115" s="35">
        <v>9.5860000000000001E-2</v>
      </c>
      <c r="D115" s="36">
        <v>9.4160000000000008E-2</v>
      </c>
      <c r="E115" s="36">
        <v>9.4259999999999997E-2</v>
      </c>
      <c r="F115" s="37">
        <v>9.6159999999999995E-2</v>
      </c>
      <c r="G115" s="35">
        <f t="shared" si="14"/>
        <v>-1.943535188216039E-2</v>
      </c>
      <c r="H115" s="36">
        <f t="shared" si="15"/>
        <v>-2.0798668885191218E-2</v>
      </c>
      <c r="I115" s="36">
        <f t="shared" si="16"/>
        <v>-2.1793275217932617E-2</v>
      </c>
      <c r="J115" s="37">
        <f t="shared" si="17"/>
        <v>-1.737175556918058E-2</v>
      </c>
    </row>
    <row r="116" spans="1:10" x14ac:dyDescent="0.25">
      <c r="A116" s="6">
        <f t="shared" si="9"/>
        <v>112</v>
      </c>
      <c r="B116" s="24">
        <v>45243</v>
      </c>
      <c r="C116" s="35">
        <v>9.776E-2</v>
      </c>
      <c r="D116" s="36">
        <v>9.6159999999999995E-2</v>
      </c>
      <c r="E116" s="36">
        <v>9.6359999999999987E-2</v>
      </c>
      <c r="F116" s="37">
        <v>9.7860000000000003E-2</v>
      </c>
      <c r="G116" s="35">
        <f t="shared" si="14"/>
        <v>3.0781859224295882E-3</v>
      </c>
      <c r="H116" s="36">
        <f t="shared" si="15"/>
        <v>-3.3567839195979832E-2</v>
      </c>
      <c r="I116" s="36">
        <f t="shared" si="16"/>
        <v>-3.4662392306151091E-2</v>
      </c>
      <c r="J116" s="37">
        <f t="shared" si="17"/>
        <v>-3.4339846062758972E-2</v>
      </c>
    </row>
    <row r="117" spans="1:10" x14ac:dyDescent="0.25">
      <c r="A117" s="6">
        <f t="shared" si="9"/>
        <v>113</v>
      </c>
      <c r="B117" s="24">
        <v>45241</v>
      </c>
      <c r="C117" s="35">
        <v>9.7460000000000005E-2</v>
      </c>
      <c r="D117" s="36">
        <v>9.9499999999999991E-2</v>
      </c>
      <c r="E117" s="36">
        <v>9.9819999999999992E-2</v>
      </c>
      <c r="F117" s="37">
        <v>0.10134</v>
      </c>
      <c r="G117" s="35">
        <f t="shared" si="14"/>
        <v>0</v>
      </c>
      <c r="H117" s="36">
        <f t="shared" si="15"/>
        <v>3.7972042562069541E-2</v>
      </c>
      <c r="I117" s="36">
        <f t="shared" si="16"/>
        <v>3.6983170579679925E-2</v>
      </c>
      <c r="J117" s="37">
        <f t="shared" si="17"/>
        <v>4.0879211175020469E-2</v>
      </c>
    </row>
    <row r="118" spans="1:10" x14ac:dyDescent="0.25">
      <c r="A118" s="6">
        <f t="shared" si="9"/>
        <v>114</v>
      </c>
      <c r="B118" s="24">
        <v>45240</v>
      </c>
      <c r="C118" s="35">
        <v>9.7460000000000005E-2</v>
      </c>
      <c r="D118" s="36">
        <v>9.5860000000000001E-2</v>
      </c>
      <c r="E118" s="36">
        <v>9.6259999999999998E-2</v>
      </c>
      <c r="F118" s="37">
        <v>9.7360000000000002E-2</v>
      </c>
      <c r="G118" s="35">
        <f t="shared" si="14"/>
        <v>-1.2162983985404385E-2</v>
      </c>
      <c r="H118" s="36">
        <f t="shared" si="15"/>
        <v>-1.0421008753647154E-3</v>
      </c>
      <c r="I118" s="36">
        <f t="shared" si="16"/>
        <v>-2.0733982998134559E-3</v>
      </c>
      <c r="J118" s="37">
        <f t="shared" si="17"/>
        <v>1.0281719103433229E-3</v>
      </c>
    </row>
    <row r="119" spans="1:10" x14ac:dyDescent="0.25">
      <c r="A119" s="6">
        <f t="shared" si="9"/>
        <v>115</v>
      </c>
      <c r="B119" s="24">
        <v>45239</v>
      </c>
      <c r="C119" s="35">
        <v>9.8659999999999998E-2</v>
      </c>
      <c r="D119" s="36">
        <v>9.5960000000000004E-2</v>
      </c>
      <c r="E119" s="36">
        <v>9.6460000000000004E-2</v>
      </c>
      <c r="F119" s="37">
        <v>9.7260000000000013E-2</v>
      </c>
      <c r="G119" s="35">
        <f t="shared" si="14"/>
        <v>-8.0434345465513202E-3</v>
      </c>
      <c r="H119" s="36">
        <f t="shared" si="15"/>
        <v>-2.0798668885190219E-3</v>
      </c>
      <c r="I119" s="36">
        <f t="shared" si="16"/>
        <v>-1.0356255178127771E-3</v>
      </c>
      <c r="J119" s="37">
        <f t="shared" si="17"/>
        <v>4.1296716911005671E-3</v>
      </c>
    </row>
    <row r="120" spans="1:10" x14ac:dyDescent="0.25">
      <c r="A120" s="6">
        <f t="shared" si="9"/>
        <v>116</v>
      </c>
      <c r="B120" s="24">
        <v>45238</v>
      </c>
      <c r="C120" s="35">
        <v>9.9459999999999993E-2</v>
      </c>
      <c r="D120" s="36">
        <v>9.6159999999999995E-2</v>
      </c>
      <c r="E120" s="36">
        <v>9.6560000000000007E-2</v>
      </c>
      <c r="F120" s="37">
        <v>9.6860000000000002E-2</v>
      </c>
      <c r="G120" s="35">
        <f t="shared" si="14"/>
        <v>-7.9792539397567364E-3</v>
      </c>
      <c r="H120" s="36">
        <f t="shared" si="15"/>
        <v>-1.6366612111292977E-2</v>
      </c>
      <c r="I120" s="36">
        <f t="shared" si="16"/>
        <v>-1.7301038062283669E-2</v>
      </c>
      <c r="J120" s="37">
        <f t="shared" si="17"/>
        <v>-1.1229073091057473E-2</v>
      </c>
    </row>
    <row r="121" spans="1:10" x14ac:dyDescent="0.25">
      <c r="A121" s="6">
        <f t="shared" si="9"/>
        <v>117</v>
      </c>
      <c r="B121" s="24">
        <v>45237</v>
      </c>
      <c r="C121" s="35">
        <v>0.10026</v>
      </c>
      <c r="D121" s="36">
        <v>9.776E-2</v>
      </c>
      <c r="E121" s="36">
        <v>9.826E-2</v>
      </c>
      <c r="F121" s="37">
        <v>9.7959999999999992E-2</v>
      </c>
      <c r="G121" s="35">
        <f t="shared" si="14"/>
        <v>4.0056078509913551E-3</v>
      </c>
      <c r="H121" s="36">
        <f t="shared" si="15"/>
        <v>2.0500205002049743E-3</v>
      </c>
      <c r="I121" s="36">
        <f t="shared" si="16"/>
        <v>4.087471898630568E-3</v>
      </c>
      <c r="J121" s="37">
        <f t="shared" si="17"/>
        <v>1.021867974657642E-3</v>
      </c>
    </row>
    <row r="122" spans="1:10" x14ac:dyDescent="0.25">
      <c r="A122" s="6">
        <f t="shared" si="9"/>
        <v>118</v>
      </c>
      <c r="B122" s="24">
        <v>45236</v>
      </c>
      <c r="C122" s="35">
        <v>9.9860000000000004E-2</v>
      </c>
      <c r="D122" s="36">
        <v>9.7560000000000008E-2</v>
      </c>
      <c r="E122" s="36">
        <v>9.7860000000000003E-2</v>
      </c>
      <c r="F122" s="37">
        <v>9.7860000000000003E-2</v>
      </c>
      <c r="G122" s="35">
        <f t="shared" si="14"/>
        <v>-3.6472404477035925E-2</v>
      </c>
      <c r="H122" s="36">
        <f t="shared" si="15"/>
        <v>-3.558718861209953E-2</v>
      </c>
      <c r="I122" s="36">
        <f t="shared" si="16"/>
        <v>-3.7284800787014127E-2</v>
      </c>
      <c r="J122" s="37">
        <f t="shared" si="17"/>
        <v>-3.7474181174387722E-2</v>
      </c>
    </row>
    <row r="123" spans="1:10" x14ac:dyDescent="0.25">
      <c r="A123" s="6">
        <f t="shared" si="9"/>
        <v>119</v>
      </c>
      <c r="B123" s="24">
        <v>45234</v>
      </c>
      <c r="C123" s="35">
        <v>0.10364000000000001</v>
      </c>
      <c r="D123" s="36">
        <v>0.10116</v>
      </c>
      <c r="E123" s="36">
        <v>0.10164999999999999</v>
      </c>
      <c r="F123" s="37">
        <v>0.10167</v>
      </c>
      <c r="G123" s="35">
        <f t="shared" si="14"/>
        <v>3.681472589035617E-2</v>
      </c>
      <c r="H123" s="36">
        <f t="shared" si="15"/>
        <v>3.7964293043299735E-2</v>
      </c>
      <c r="I123" s="36">
        <f t="shared" si="16"/>
        <v>3.8728796239525742E-2</v>
      </c>
      <c r="J123" s="37">
        <f t="shared" si="17"/>
        <v>3.7872601061657907E-2</v>
      </c>
    </row>
    <row r="124" spans="1:10" x14ac:dyDescent="0.25">
      <c r="A124" s="6">
        <f t="shared" si="9"/>
        <v>120</v>
      </c>
      <c r="B124" s="24">
        <v>45233</v>
      </c>
      <c r="C124" s="35">
        <v>9.9960000000000007E-2</v>
      </c>
      <c r="D124" s="36">
        <v>9.7460000000000005E-2</v>
      </c>
      <c r="E124" s="36">
        <v>9.7860000000000003E-2</v>
      </c>
      <c r="F124" s="37">
        <v>9.7959999999999992E-2</v>
      </c>
      <c r="G124" s="35">
        <f t="shared" si="14"/>
        <v>-6.3869638509084115E-2</v>
      </c>
      <c r="H124" s="36">
        <f t="shared" si="15"/>
        <v>-6.4773054409365649E-2</v>
      </c>
      <c r="I124" s="36">
        <f t="shared" si="16"/>
        <v>-6.9063926940639342E-2</v>
      </c>
      <c r="J124" s="37">
        <f t="shared" si="17"/>
        <v>-6.2583732057416297E-2</v>
      </c>
    </row>
    <row r="125" spans="1:10" x14ac:dyDescent="0.25">
      <c r="A125" s="6">
        <f t="shared" si="9"/>
        <v>121</v>
      </c>
      <c r="B125" s="24">
        <v>45232</v>
      </c>
      <c r="C125" s="35">
        <v>0.10678000000000001</v>
      </c>
      <c r="D125" s="36">
        <v>0.10421</v>
      </c>
      <c r="E125" s="36">
        <v>0.10512000000000001</v>
      </c>
      <c r="F125" s="37">
        <v>0.1045</v>
      </c>
      <c r="G125" s="35">
        <f t="shared" si="14"/>
        <v>4.0740740740740966E-2</v>
      </c>
      <c r="H125" s="36">
        <f t="shared" si="15"/>
        <v>3.9397566327548317E-2</v>
      </c>
      <c r="I125" s="36">
        <f t="shared" si="16"/>
        <v>3.9145907473309594E-2</v>
      </c>
      <c r="J125" s="37">
        <f t="shared" si="17"/>
        <v>4.1251494619370277E-2</v>
      </c>
    </row>
    <row r="126" spans="1:10" x14ac:dyDescent="0.25">
      <c r="A126" s="6">
        <f t="shared" si="9"/>
        <v>122</v>
      </c>
      <c r="B126" s="24">
        <v>45231</v>
      </c>
      <c r="C126" s="35">
        <v>0.1026</v>
      </c>
      <c r="D126" s="36">
        <v>0.10026</v>
      </c>
      <c r="E126" s="36">
        <v>0.10116</v>
      </c>
      <c r="F126" s="37">
        <v>0.10035999999999999</v>
      </c>
      <c r="G126" s="35">
        <f t="shared" si="14"/>
        <v>-9.2699884125144738E-3</v>
      </c>
      <c r="H126" s="36">
        <f t="shared" si="15"/>
        <v>-1.1827321111768208E-2</v>
      </c>
      <c r="I126" s="36">
        <f t="shared" si="16"/>
        <v>-8.818342151675429E-3</v>
      </c>
      <c r="J126" s="37">
        <f t="shared" si="17"/>
        <v>-8.8880110606359697E-3</v>
      </c>
    </row>
    <row r="127" spans="1:10" x14ac:dyDescent="0.25">
      <c r="A127" s="6">
        <f t="shared" si="9"/>
        <v>123</v>
      </c>
      <c r="B127" s="24">
        <v>45230</v>
      </c>
      <c r="C127" s="35">
        <v>0.10356</v>
      </c>
      <c r="D127" s="36">
        <v>0.10146000000000001</v>
      </c>
      <c r="E127" s="36">
        <v>0.10206</v>
      </c>
      <c r="F127" s="37">
        <v>0.10125999999999999</v>
      </c>
      <c r="G127" s="35">
        <f t="shared" si="14"/>
        <v>0</v>
      </c>
      <c r="H127" s="36">
        <f t="shared" si="15"/>
        <v>-9.8463962189843102E-4</v>
      </c>
      <c r="I127" s="36">
        <f t="shared" si="16"/>
        <v>-3.9039625219599028E-3</v>
      </c>
      <c r="J127" s="37">
        <f t="shared" si="17"/>
        <v>-6.8654374264418561E-3</v>
      </c>
    </row>
    <row r="128" spans="1:10" x14ac:dyDescent="0.25">
      <c r="A128" s="6">
        <f t="shared" si="9"/>
        <v>124</v>
      </c>
      <c r="B128" s="24">
        <v>45229</v>
      </c>
      <c r="C128" s="35">
        <v>0.10356</v>
      </c>
      <c r="D128" s="36">
        <v>0.10156000000000001</v>
      </c>
      <c r="E128" s="36">
        <v>0.10246000000000001</v>
      </c>
      <c r="F128" s="37">
        <v>0.10196</v>
      </c>
      <c r="G128" s="35">
        <f t="shared" si="14"/>
        <v>-2.8791146956766434E-2</v>
      </c>
      <c r="H128" s="36">
        <f t="shared" si="15"/>
        <v>-2.8412895819381889E-2</v>
      </c>
      <c r="I128" s="36">
        <f t="shared" si="16"/>
        <v>-2.6600798023940553E-2</v>
      </c>
      <c r="J128" s="37">
        <f t="shared" si="17"/>
        <v>-2.793402612260476E-2</v>
      </c>
    </row>
    <row r="129" spans="1:10" x14ac:dyDescent="0.25">
      <c r="A129" s="6">
        <f t="shared" si="9"/>
        <v>125</v>
      </c>
      <c r="B129" s="24">
        <v>45227</v>
      </c>
      <c r="C129" s="35">
        <v>0.10663</v>
      </c>
      <c r="D129" s="36">
        <v>0.10453</v>
      </c>
      <c r="E129" s="36">
        <v>0.10525999999999999</v>
      </c>
      <c r="F129" s="37">
        <v>0.10489000000000001</v>
      </c>
      <c r="G129" s="35">
        <f t="shared" si="14"/>
        <v>3.9278752436647135E-2</v>
      </c>
      <c r="H129" s="36">
        <f t="shared" si="15"/>
        <v>3.9478918058870383E-2</v>
      </c>
      <c r="I129" s="36">
        <f t="shared" si="16"/>
        <v>3.9502271380604359E-2</v>
      </c>
      <c r="J129" s="37">
        <f t="shared" si="17"/>
        <v>3.9956375173507919E-2</v>
      </c>
    </row>
    <row r="130" spans="1:10" x14ac:dyDescent="0.25">
      <c r="A130" s="6">
        <f t="shared" si="9"/>
        <v>126</v>
      </c>
      <c r="B130" s="24">
        <v>45226</v>
      </c>
      <c r="C130" s="35">
        <v>0.1026</v>
      </c>
      <c r="D130" s="36">
        <v>0.10056</v>
      </c>
      <c r="E130" s="36">
        <v>0.10125999999999999</v>
      </c>
      <c r="F130" s="37">
        <v>0.10086000000000001</v>
      </c>
      <c r="G130" s="35">
        <f t="shared" si="14"/>
        <v>-4.8496605237634549E-3</v>
      </c>
      <c r="H130" s="36">
        <f t="shared" si="15"/>
        <v>-1.9849146486701219E-3</v>
      </c>
      <c r="I130" s="36">
        <f t="shared" si="16"/>
        <v>1.9790223629525538E-3</v>
      </c>
      <c r="J130" s="37">
        <f t="shared" si="17"/>
        <v>-3.9502271380602583E-3</v>
      </c>
    </row>
    <row r="131" spans="1:10" x14ac:dyDescent="0.25">
      <c r="A131" s="6">
        <f t="shared" si="9"/>
        <v>127</v>
      </c>
      <c r="B131" s="24">
        <v>45225</v>
      </c>
      <c r="C131" s="35">
        <v>0.10310000000000001</v>
      </c>
      <c r="D131" s="36">
        <v>0.10076</v>
      </c>
      <c r="E131" s="36">
        <v>0.10106</v>
      </c>
      <c r="F131" s="37">
        <v>0.10125999999999999</v>
      </c>
      <c r="G131" s="35">
        <f t="shared" si="14"/>
        <v>-1.4905407987769737E-2</v>
      </c>
      <c r="H131" s="36">
        <f t="shared" si="15"/>
        <v>-1.563110590074257E-2</v>
      </c>
      <c r="I131" s="36">
        <f t="shared" si="16"/>
        <v>-1.3663868826859327E-2</v>
      </c>
      <c r="J131" s="37">
        <f t="shared" si="17"/>
        <v>-8.8097102584181464E-3</v>
      </c>
    </row>
    <row r="132" spans="1:10" x14ac:dyDescent="0.25">
      <c r="A132" s="6">
        <f t="shared" si="9"/>
        <v>128</v>
      </c>
      <c r="B132" s="24">
        <v>45224</v>
      </c>
      <c r="C132" s="35">
        <v>0.10465999999999999</v>
      </c>
      <c r="D132" s="36">
        <v>0.10236000000000001</v>
      </c>
      <c r="E132" s="36">
        <v>0.10246000000000001</v>
      </c>
      <c r="F132" s="37">
        <v>0.10215999999999999</v>
      </c>
      <c r="G132" s="35">
        <f t="shared" si="14"/>
        <v>1.1598685482312021E-2</v>
      </c>
      <c r="H132" s="36">
        <f t="shared" si="15"/>
        <v>1.7899761336515718E-2</v>
      </c>
      <c r="I132" s="36">
        <f t="shared" si="16"/>
        <v>1.8894192521877518E-2</v>
      </c>
      <c r="J132" s="37">
        <f t="shared" si="17"/>
        <v>2.0987407555466575E-2</v>
      </c>
    </row>
    <row r="133" spans="1:10" x14ac:dyDescent="0.25">
      <c r="A133" s="6">
        <f t="shared" ref="A133:A196" si="18">+A134-1</f>
        <v>129</v>
      </c>
      <c r="B133" s="24">
        <v>45223</v>
      </c>
      <c r="C133" s="35">
        <v>0.10346</v>
      </c>
      <c r="D133" s="36">
        <v>0.10056</v>
      </c>
      <c r="E133" s="36">
        <v>0.10056</v>
      </c>
      <c r="F133" s="37">
        <v>0.10006</v>
      </c>
      <c r="G133" s="35">
        <f t="shared" ref="G133:G164" si="19">+C133/C134-1</f>
        <v>4.8562548562549601E-3</v>
      </c>
      <c r="H133" s="36">
        <f t="shared" ref="H133:H164" si="20">+D133/D134-1</f>
        <v>4.9970017989207083E-3</v>
      </c>
      <c r="I133" s="36">
        <f t="shared" ref="I133:I164" si="21">+E133/E134-1</f>
        <v>8.0192461908579205E-3</v>
      </c>
      <c r="J133" s="37">
        <f t="shared" ref="J133:J164" si="22">+F133/F134-1</f>
        <v>6.0325759099135734E-3</v>
      </c>
    </row>
    <row r="134" spans="1:10" x14ac:dyDescent="0.25">
      <c r="A134" s="6">
        <f t="shared" si="18"/>
        <v>130</v>
      </c>
      <c r="B134" s="24">
        <v>45222</v>
      </c>
      <c r="C134" s="35">
        <v>0.10296</v>
      </c>
      <c r="D134" s="36">
        <v>0.10006</v>
      </c>
      <c r="E134" s="36">
        <v>9.9760000000000015E-2</v>
      </c>
      <c r="F134" s="37">
        <v>9.9459999999999993E-2</v>
      </c>
      <c r="G134" s="35">
        <f t="shared" si="19"/>
        <v>-3.5232383808096124E-2</v>
      </c>
      <c r="H134" s="36">
        <f t="shared" si="20"/>
        <v>-3.3610198956924853E-2</v>
      </c>
      <c r="I134" s="36">
        <f t="shared" si="21"/>
        <v>-4.2058767044363177E-2</v>
      </c>
      <c r="J134" s="37">
        <f t="shared" si="22"/>
        <v>-3.7639090469279268E-2</v>
      </c>
    </row>
    <row r="135" spans="1:10" x14ac:dyDescent="0.25">
      <c r="A135" s="6">
        <f t="shared" si="18"/>
        <v>131</v>
      </c>
      <c r="B135" s="24">
        <v>45220</v>
      </c>
      <c r="C135" s="35">
        <v>0.10672000000000001</v>
      </c>
      <c r="D135" s="36">
        <v>0.10353999999999999</v>
      </c>
      <c r="E135" s="36">
        <v>0.10414</v>
      </c>
      <c r="F135" s="37">
        <v>0.10335000000000001</v>
      </c>
      <c r="G135" s="35">
        <f t="shared" si="19"/>
        <v>3.8536395484624508E-2</v>
      </c>
      <c r="H135" s="36">
        <f t="shared" si="20"/>
        <v>3.7890938251804007E-2</v>
      </c>
      <c r="I135" s="36">
        <f t="shared" si="21"/>
        <v>4.0775534679192482E-2</v>
      </c>
      <c r="J135" s="37">
        <f t="shared" si="22"/>
        <v>4.1204916381221146E-2</v>
      </c>
    </row>
    <row r="136" spans="1:10" x14ac:dyDescent="0.25">
      <c r="A136" s="6">
        <f t="shared" si="18"/>
        <v>132</v>
      </c>
      <c r="B136" s="24">
        <v>45219</v>
      </c>
      <c r="C136" s="35">
        <v>0.10276</v>
      </c>
      <c r="D136" s="36">
        <v>9.9760000000000015E-2</v>
      </c>
      <c r="E136" s="36">
        <v>0.10006</v>
      </c>
      <c r="F136" s="37">
        <v>9.9260000000000001E-2</v>
      </c>
      <c r="G136" s="35">
        <f t="shared" si="19"/>
        <v>-8.6822303685124558E-3</v>
      </c>
      <c r="H136" s="36">
        <f t="shared" si="20"/>
        <v>-4.9870337123477659E-3</v>
      </c>
      <c r="I136" s="36">
        <f t="shared" si="21"/>
        <v>-4.9721559268098847E-3</v>
      </c>
      <c r="J136" s="37">
        <f t="shared" si="22"/>
        <v>-7.9952028782729334E-3</v>
      </c>
    </row>
    <row r="137" spans="1:10" x14ac:dyDescent="0.25">
      <c r="A137" s="6">
        <f t="shared" si="18"/>
        <v>133</v>
      </c>
      <c r="B137" s="24">
        <v>45218</v>
      </c>
      <c r="C137" s="35">
        <v>0.10366</v>
      </c>
      <c r="D137" s="36">
        <v>0.10026</v>
      </c>
      <c r="E137" s="36">
        <v>0.10056</v>
      </c>
      <c r="F137" s="37">
        <v>0.10006</v>
      </c>
      <c r="G137" s="35">
        <f t="shared" si="19"/>
        <v>-3.8439361906592584E-3</v>
      </c>
      <c r="H137" s="36">
        <f t="shared" si="20"/>
        <v>-9.9641291351126871E-4</v>
      </c>
      <c r="I137" s="36">
        <f t="shared" si="21"/>
        <v>-9.9344327438921631E-4</v>
      </c>
      <c r="J137" s="37">
        <f t="shared" si="22"/>
        <v>4.0136463977522574E-3</v>
      </c>
    </row>
    <row r="138" spans="1:10" x14ac:dyDescent="0.25">
      <c r="A138" s="6">
        <f t="shared" si="18"/>
        <v>134</v>
      </c>
      <c r="B138" s="24">
        <v>45217</v>
      </c>
      <c r="C138" s="35">
        <v>0.10406</v>
      </c>
      <c r="D138" s="36">
        <v>0.10035999999999999</v>
      </c>
      <c r="E138" s="36">
        <v>0.10066000000000001</v>
      </c>
      <c r="F138" s="37">
        <v>9.9659999999999999E-2</v>
      </c>
      <c r="G138" s="35">
        <f t="shared" si="19"/>
        <v>1.9256691700366702E-3</v>
      </c>
      <c r="H138" s="36">
        <f t="shared" si="20"/>
        <v>6.0144346431432183E-3</v>
      </c>
      <c r="I138" s="36">
        <f t="shared" si="21"/>
        <v>1.0034115994381088E-2</v>
      </c>
      <c r="J138" s="37">
        <f t="shared" si="22"/>
        <v>7.0735650767985714E-3</v>
      </c>
    </row>
    <row r="139" spans="1:10" x14ac:dyDescent="0.25">
      <c r="A139" s="6">
        <f t="shared" si="18"/>
        <v>135</v>
      </c>
      <c r="B139" s="24">
        <v>45216</v>
      </c>
      <c r="C139" s="35">
        <v>0.10385999999999999</v>
      </c>
      <c r="D139" s="36">
        <v>9.9760000000000015E-2</v>
      </c>
      <c r="E139" s="36">
        <v>9.9659999999999999E-2</v>
      </c>
      <c r="F139" s="37">
        <v>9.8960000000000006E-2</v>
      </c>
      <c r="G139" s="35">
        <f t="shared" si="19"/>
        <v>5.8105752469492788E-3</v>
      </c>
      <c r="H139" s="36">
        <f t="shared" si="20"/>
        <v>9.1037831276554737E-3</v>
      </c>
      <c r="I139" s="36">
        <f t="shared" si="21"/>
        <v>8.0922516690269397E-3</v>
      </c>
      <c r="J139" s="37">
        <f t="shared" si="22"/>
        <v>6.1000406669378116E-3</v>
      </c>
    </row>
    <row r="140" spans="1:10" x14ac:dyDescent="0.25">
      <c r="A140" s="6">
        <f t="shared" si="18"/>
        <v>136</v>
      </c>
      <c r="B140" s="24">
        <v>45215</v>
      </c>
      <c r="C140" s="35">
        <v>0.10326</v>
      </c>
      <c r="D140" s="36">
        <v>9.885999999999999E-2</v>
      </c>
      <c r="E140" s="36">
        <v>9.885999999999999E-2</v>
      </c>
      <c r="F140" s="37">
        <v>9.8360000000000003E-2</v>
      </c>
      <c r="G140" s="35">
        <f t="shared" si="19"/>
        <v>-3.1513787281935879E-2</v>
      </c>
      <c r="H140" s="36">
        <f t="shared" si="20"/>
        <v>-2.878475292268412E-2</v>
      </c>
      <c r="I140" s="36">
        <f t="shared" si="21"/>
        <v>-3.3248582045765862E-2</v>
      </c>
      <c r="J140" s="37">
        <f t="shared" si="22"/>
        <v>-3.1889763779527458E-2</v>
      </c>
    </row>
    <row r="141" spans="1:10" x14ac:dyDescent="0.25">
      <c r="A141" s="6">
        <f t="shared" si="18"/>
        <v>137</v>
      </c>
      <c r="B141" s="24">
        <v>45213</v>
      </c>
      <c r="C141" s="35">
        <v>0.10662000000000001</v>
      </c>
      <c r="D141" s="36">
        <v>0.10179000000000001</v>
      </c>
      <c r="E141" s="36">
        <v>0.10226</v>
      </c>
      <c r="F141" s="37">
        <v>0.1016</v>
      </c>
      <c r="G141" s="35">
        <f t="shared" si="19"/>
        <v>3.7563254184507677E-2</v>
      </c>
      <c r="H141" s="36">
        <f t="shared" si="20"/>
        <v>3.4871899145994423E-2</v>
      </c>
      <c r="I141" s="36">
        <f t="shared" si="21"/>
        <v>3.9650264335095553E-2</v>
      </c>
      <c r="J141" s="37">
        <f t="shared" si="22"/>
        <v>4.1410414104140925E-2</v>
      </c>
    </row>
    <row r="142" spans="1:10" x14ac:dyDescent="0.25">
      <c r="A142" s="6">
        <f t="shared" si="18"/>
        <v>138</v>
      </c>
      <c r="B142" s="24">
        <v>45212</v>
      </c>
      <c r="C142" s="35">
        <v>0.10276</v>
      </c>
      <c r="D142" s="36">
        <v>9.8360000000000003E-2</v>
      </c>
      <c r="E142" s="36">
        <v>9.8360000000000003E-2</v>
      </c>
      <c r="F142" s="37">
        <v>9.7560000000000008E-2</v>
      </c>
      <c r="G142" s="35">
        <f t="shared" si="19"/>
        <v>-9.7219521679947629E-4</v>
      </c>
      <c r="H142" s="36">
        <f t="shared" si="20"/>
        <v>-3.0407459963510686E-3</v>
      </c>
      <c r="I142" s="36">
        <f t="shared" si="21"/>
        <v>-3.0407459963510686E-3</v>
      </c>
      <c r="J142" s="37">
        <f t="shared" si="22"/>
        <v>-2.0458265139114973E-3</v>
      </c>
    </row>
    <row r="143" spans="1:10" x14ac:dyDescent="0.25">
      <c r="A143" s="6">
        <f t="shared" si="18"/>
        <v>139</v>
      </c>
      <c r="B143" s="24">
        <v>45211</v>
      </c>
      <c r="C143" s="35">
        <v>0.10285999999999999</v>
      </c>
      <c r="D143" s="36">
        <v>9.8659999999999998E-2</v>
      </c>
      <c r="E143" s="36">
        <v>9.8659999999999998E-2</v>
      </c>
      <c r="F143" s="37">
        <v>9.776E-2</v>
      </c>
      <c r="G143" s="35">
        <f t="shared" si="19"/>
        <v>1.2800315084678715E-2</v>
      </c>
      <c r="H143" s="36">
        <f t="shared" si="20"/>
        <v>1.3352506162695121E-2</v>
      </c>
      <c r="I143" s="36">
        <f t="shared" si="21"/>
        <v>1.0239606799098855E-2</v>
      </c>
      <c r="J143" s="37">
        <f t="shared" si="22"/>
        <v>1.0334849111202971E-2</v>
      </c>
    </row>
    <row r="144" spans="1:10" x14ac:dyDescent="0.25">
      <c r="A144" s="6">
        <f t="shared" si="18"/>
        <v>140</v>
      </c>
      <c r="B144" s="24">
        <v>45210</v>
      </c>
      <c r="C144" s="35">
        <v>0.10156000000000001</v>
      </c>
      <c r="D144" s="36">
        <v>9.7360000000000002E-2</v>
      </c>
      <c r="E144" s="36">
        <v>9.7659999999999997E-2</v>
      </c>
      <c r="F144" s="37">
        <v>9.6759999999999999E-2</v>
      </c>
      <c r="G144" s="35">
        <f t="shared" si="19"/>
        <v>2.9626703535454713E-3</v>
      </c>
      <c r="H144" s="36">
        <f t="shared" si="20"/>
        <v>0</v>
      </c>
      <c r="I144" s="36">
        <f t="shared" si="21"/>
        <v>1.0250102501023761E-3</v>
      </c>
      <c r="J144" s="37">
        <f t="shared" si="22"/>
        <v>-4.1169205434334888E-3</v>
      </c>
    </row>
    <row r="145" spans="1:10" x14ac:dyDescent="0.25">
      <c r="A145" s="6">
        <f t="shared" si="18"/>
        <v>141</v>
      </c>
      <c r="B145" s="24">
        <v>45209</v>
      </c>
      <c r="C145" s="35">
        <v>0.10125999999999999</v>
      </c>
      <c r="D145" s="36">
        <v>9.7360000000000002E-2</v>
      </c>
      <c r="E145" s="36">
        <v>9.7560000000000008E-2</v>
      </c>
      <c r="F145" s="37">
        <v>9.7159999999999996E-2</v>
      </c>
      <c r="G145" s="35">
        <f t="shared" si="19"/>
        <v>-6.8654374264418561E-3</v>
      </c>
      <c r="H145" s="36">
        <f t="shared" si="20"/>
        <v>-1.0166734444896353E-2</v>
      </c>
      <c r="I145" s="36">
        <f t="shared" si="21"/>
        <v>-8.133387555916971E-3</v>
      </c>
      <c r="J145" s="37">
        <f t="shared" si="22"/>
        <v>-1.1194789334418975E-2</v>
      </c>
    </row>
    <row r="146" spans="1:10" x14ac:dyDescent="0.25">
      <c r="A146" s="6">
        <f t="shared" si="18"/>
        <v>142</v>
      </c>
      <c r="B146" s="24">
        <v>45208</v>
      </c>
      <c r="C146" s="35">
        <v>0.10196</v>
      </c>
      <c r="D146" s="36">
        <v>9.8360000000000003E-2</v>
      </c>
      <c r="E146" s="36">
        <v>9.8360000000000003E-2</v>
      </c>
      <c r="F146" s="37">
        <v>9.826E-2</v>
      </c>
      <c r="G146" s="35">
        <f t="shared" si="19"/>
        <v>-4.0195801562647016E-2</v>
      </c>
      <c r="H146" s="36">
        <f t="shared" si="20"/>
        <v>-3.9640695176723417E-2</v>
      </c>
      <c r="I146" s="36">
        <f t="shared" si="21"/>
        <v>-4.3283727263884963E-2</v>
      </c>
      <c r="J146" s="37">
        <f t="shared" si="22"/>
        <v>-4.2859925969218837E-2</v>
      </c>
    </row>
    <row r="147" spans="1:10" x14ac:dyDescent="0.25">
      <c r="A147" s="6">
        <f t="shared" si="18"/>
        <v>143</v>
      </c>
      <c r="B147" s="24">
        <v>45206</v>
      </c>
      <c r="C147" s="35">
        <v>0.10622999999999999</v>
      </c>
      <c r="D147" s="36">
        <v>0.10242000000000001</v>
      </c>
      <c r="E147" s="36">
        <v>0.10281000000000001</v>
      </c>
      <c r="F147" s="37">
        <v>0.10266</v>
      </c>
      <c r="G147" s="35">
        <f t="shared" si="19"/>
        <v>3.7807737397420604E-2</v>
      </c>
      <c r="H147" s="36">
        <f t="shared" si="20"/>
        <v>3.6010519927169859E-2</v>
      </c>
      <c r="I147" s="36">
        <f t="shared" si="21"/>
        <v>3.9955492615820543E-2</v>
      </c>
      <c r="J147" s="37">
        <f t="shared" si="22"/>
        <v>4.1599025974025983E-2</v>
      </c>
    </row>
    <row r="148" spans="1:10" x14ac:dyDescent="0.25">
      <c r="A148" s="6">
        <f t="shared" si="18"/>
        <v>144</v>
      </c>
      <c r="B148" s="24">
        <v>45205</v>
      </c>
      <c r="C148" s="35">
        <v>0.10236000000000001</v>
      </c>
      <c r="D148" s="36">
        <v>9.885999999999999E-2</v>
      </c>
      <c r="E148" s="36">
        <v>9.885999999999999E-2</v>
      </c>
      <c r="F148" s="37">
        <v>9.8559999999999995E-2</v>
      </c>
      <c r="G148" s="35">
        <f t="shared" si="19"/>
        <v>-9.7599063048992019E-4</v>
      </c>
      <c r="H148" s="36">
        <f t="shared" si="20"/>
        <v>-2.0189783969313257E-3</v>
      </c>
      <c r="I148" s="36">
        <f t="shared" si="21"/>
        <v>-7.0309361189233588E-3</v>
      </c>
      <c r="J148" s="37">
        <f t="shared" si="22"/>
        <v>-6.0508269463493969E-3</v>
      </c>
    </row>
    <row r="149" spans="1:10" x14ac:dyDescent="0.25">
      <c r="A149" s="6">
        <f t="shared" si="18"/>
        <v>145</v>
      </c>
      <c r="B149" s="24">
        <v>45204</v>
      </c>
      <c r="C149" s="35">
        <v>0.10246000000000001</v>
      </c>
      <c r="D149" s="36">
        <v>9.9060000000000009E-2</v>
      </c>
      <c r="E149" s="36">
        <v>9.9559999999999996E-2</v>
      </c>
      <c r="F149" s="37">
        <v>9.9159999999999998E-2</v>
      </c>
      <c r="G149" s="35">
        <f t="shared" si="19"/>
        <v>0</v>
      </c>
      <c r="H149" s="36">
        <f t="shared" si="20"/>
        <v>6.0938452163314949E-3</v>
      </c>
      <c r="I149" s="36">
        <f t="shared" si="21"/>
        <v>7.0807202103986278E-3</v>
      </c>
      <c r="J149" s="37">
        <f t="shared" si="22"/>
        <v>2.0210185933708935E-3</v>
      </c>
    </row>
    <row r="150" spans="1:10" x14ac:dyDescent="0.25">
      <c r="A150" s="6">
        <f t="shared" si="18"/>
        <v>146</v>
      </c>
      <c r="B150" s="24">
        <v>45203</v>
      </c>
      <c r="C150" s="35">
        <v>0.10246000000000001</v>
      </c>
      <c r="D150" s="36">
        <v>9.8460000000000006E-2</v>
      </c>
      <c r="E150" s="36">
        <v>9.885999999999999E-2</v>
      </c>
      <c r="F150" s="37">
        <v>9.8960000000000006E-2</v>
      </c>
      <c r="G150" s="35">
        <f t="shared" si="19"/>
        <v>-7.4590719752009038E-3</v>
      </c>
      <c r="H150" s="36">
        <f t="shared" si="20"/>
        <v>-1.2734382833650915E-2</v>
      </c>
      <c r="I150" s="36">
        <f t="shared" si="21"/>
        <v>-5.0974368820197791E-2</v>
      </c>
      <c r="J150" s="37">
        <f t="shared" si="22"/>
        <v>-1.4342629482071545E-2</v>
      </c>
    </row>
    <row r="151" spans="1:10" x14ac:dyDescent="0.25">
      <c r="A151" s="6">
        <f t="shared" si="18"/>
        <v>147</v>
      </c>
      <c r="B151" s="24">
        <v>45202</v>
      </c>
      <c r="C151" s="35">
        <v>0.10323</v>
      </c>
      <c r="D151" s="36">
        <v>9.9730000000000013E-2</v>
      </c>
      <c r="E151" s="36">
        <v>0.10417</v>
      </c>
      <c r="F151" s="37">
        <v>0.10039999999999999</v>
      </c>
      <c r="G151" s="35">
        <f t="shared" si="19"/>
        <v>6.7855758045753944E-4</v>
      </c>
      <c r="H151" s="36">
        <f t="shared" si="20"/>
        <v>7.0238811960687819E-4</v>
      </c>
      <c r="I151" s="36">
        <f t="shared" si="21"/>
        <v>4.5253863134657735E-2</v>
      </c>
      <c r="J151" s="37">
        <f t="shared" si="22"/>
        <v>5.4075705988381184E-3</v>
      </c>
    </row>
    <row r="152" spans="1:10" x14ac:dyDescent="0.25">
      <c r="A152" s="6">
        <f t="shared" si="18"/>
        <v>148</v>
      </c>
      <c r="B152" s="24">
        <v>45201</v>
      </c>
      <c r="C152" s="35">
        <v>0.10316</v>
      </c>
      <c r="D152" s="36">
        <v>9.9659999999999999E-2</v>
      </c>
      <c r="E152" s="36">
        <v>9.9659999999999999E-2</v>
      </c>
      <c r="F152" s="37">
        <v>9.9860000000000004E-2</v>
      </c>
      <c r="G152" s="35">
        <f t="shared" si="19"/>
        <v>-3.2360941750304795E-2</v>
      </c>
      <c r="H152" s="36">
        <f t="shared" si="20"/>
        <v>-2.4948635162899913E-2</v>
      </c>
      <c r="I152" s="36">
        <f t="shared" si="21"/>
        <v>-3.3271898341255102E-2</v>
      </c>
      <c r="J152" s="37">
        <f t="shared" si="22"/>
        <v>-3.2739248353351402E-2</v>
      </c>
    </row>
    <row r="153" spans="1:10" x14ac:dyDescent="0.25">
      <c r="A153" s="6">
        <f t="shared" si="18"/>
        <v>149</v>
      </c>
      <c r="B153" s="24">
        <v>45199</v>
      </c>
      <c r="C153" s="35">
        <v>0.10661</v>
      </c>
      <c r="D153" s="36">
        <v>0.10221</v>
      </c>
      <c r="E153" s="36">
        <v>0.10308999999999999</v>
      </c>
      <c r="F153" s="37">
        <v>0.10324</v>
      </c>
      <c r="G153" s="35">
        <f t="shared" si="19"/>
        <v>3.4445953813312835E-2</v>
      </c>
      <c r="H153" s="36">
        <f t="shared" si="20"/>
        <v>3.0758370310609129E-2</v>
      </c>
      <c r="I153" s="36">
        <f t="shared" si="21"/>
        <v>3.9632916498588022E-2</v>
      </c>
      <c r="J153" s="37">
        <f t="shared" si="22"/>
        <v>3.8005228232455224E-2</v>
      </c>
    </row>
    <row r="154" spans="1:10" x14ac:dyDescent="0.25">
      <c r="A154" s="6">
        <f t="shared" si="18"/>
        <v>150</v>
      </c>
      <c r="B154" s="24">
        <v>45198</v>
      </c>
      <c r="C154" s="35">
        <v>0.10305999999999998</v>
      </c>
      <c r="D154" s="36">
        <v>9.9159999999999998E-2</v>
      </c>
      <c r="E154" s="36">
        <v>9.9159999999999998E-2</v>
      </c>
      <c r="F154" s="37">
        <v>9.9459999999999993E-2</v>
      </c>
      <c r="G154" s="35">
        <f t="shared" si="19"/>
        <v>-3.8662284941041181E-3</v>
      </c>
      <c r="H154" s="36">
        <f t="shared" si="20"/>
        <v>-5.0170579971904328E-3</v>
      </c>
      <c r="I154" s="36">
        <f t="shared" si="21"/>
        <v>-4.0176777822418241E-3</v>
      </c>
      <c r="J154" s="37">
        <f t="shared" si="22"/>
        <v>-2.0068231988762397E-3</v>
      </c>
    </row>
    <row r="155" spans="1:10" x14ac:dyDescent="0.25">
      <c r="A155" s="6">
        <f t="shared" si="18"/>
        <v>151</v>
      </c>
      <c r="B155" s="24">
        <v>45197</v>
      </c>
      <c r="C155" s="35">
        <v>0.10346</v>
      </c>
      <c r="D155" s="36">
        <v>9.9659999999999999E-2</v>
      </c>
      <c r="E155" s="36">
        <v>9.9559999999999996E-2</v>
      </c>
      <c r="F155" s="37">
        <v>9.9659999999999999E-2</v>
      </c>
      <c r="G155" s="35">
        <f t="shared" si="19"/>
        <v>-1.7100513015390395E-2</v>
      </c>
      <c r="H155" s="36">
        <f t="shared" si="20"/>
        <v>-1.7740981667652367E-2</v>
      </c>
      <c r="I155" s="36">
        <f t="shared" si="21"/>
        <v>-1.9692792437967843E-2</v>
      </c>
      <c r="J155" s="37">
        <f t="shared" si="22"/>
        <v>-1.7740981667652367E-2</v>
      </c>
    </row>
    <row r="156" spans="1:10" x14ac:dyDescent="0.25">
      <c r="A156" s="6">
        <f t="shared" si="18"/>
        <v>152</v>
      </c>
      <c r="B156" s="24">
        <v>45196</v>
      </c>
      <c r="C156" s="35">
        <v>0.10525999999999999</v>
      </c>
      <c r="D156" s="36">
        <v>0.10146000000000001</v>
      </c>
      <c r="E156" s="36">
        <v>0.10156000000000001</v>
      </c>
      <c r="F156" s="37">
        <v>0.10146000000000001</v>
      </c>
      <c r="G156" s="35">
        <f t="shared" si="19"/>
        <v>2.8431851489985283E-2</v>
      </c>
      <c r="H156" s="36">
        <f t="shared" si="20"/>
        <v>3.2146490335707156E-2</v>
      </c>
      <c r="I156" s="36">
        <f t="shared" si="21"/>
        <v>2.5858585858586025E-2</v>
      </c>
      <c r="J156" s="37">
        <f t="shared" si="22"/>
        <v>2.1752265861027187E-2</v>
      </c>
    </row>
    <row r="157" spans="1:10" x14ac:dyDescent="0.25">
      <c r="A157" s="6">
        <f t="shared" si="18"/>
        <v>153</v>
      </c>
      <c r="B157" s="24">
        <v>45195</v>
      </c>
      <c r="C157" s="35">
        <v>0.10235</v>
      </c>
      <c r="D157" s="36">
        <v>9.8299999999999998E-2</v>
      </c>
      <c r="E157" s="36">
        <v>9.9000000000000005E-2</v>
      </c>
      <c r="F157" s="37">
        <v>9.9299999999999999E-2</v>
      </c>
      <c r="G157" s="35">
        <f t="shared" si="19"/>
        <v>-2.0475819032761411E-3</v>
      </c>
      <c r="H157" s="36">
        <f t="shared" si="20"/>
        <v>-9.6715696151521424E-3</v>
      </c>
      <c r="I157" s="36">
        <f t="shared" si="21"/>
        <v>-6.0569351907935332E-4</v>
      </c>
      <c r="J157" s="37">
        <f t="shared" si="22"/>
        <v>-2.611490558457219E-3</v>
      </c>
    </row>
    <row r="158" spans="1:10" x14ac:dyDescent="0.25">
      <c r="A158" s="6">
        <f t="shared" si="18"/>
        <v>154</v>
      </c>
      <c r="B158" s="24">
        <v>45194</v>
      </c>
      <c r="C158" s="35">
        <v>0.10256</v>
      </c>
      <c r="D158" s="36">
        <v>9.9260000000000001E-2</v>
      </c>
      <c r="E158" s="36">
        <v>9.9060000000000009E-2</v>
      </c>
      <c r="F158" s="37">
        <v>9.9559999999999996E-2</v>
      </c>
      <c r="G158" s="35">
        <f t="shared" si="19"/>
        <v>-2.5372992492635138E-2</v>
      </c>
      <c r="H158" s="36">
        <f t="shared" si="20"/>
        <v>-2.4855093820611129E-2</v>
      </c>
      <c r="I158" s="36">
        <f t="shared" si="21"/>
        <v>-2.7679623085983485E-2</v>
      </c>
      <c r="J158" s="37">
        <f t="shared" si="22"/>
        <v>-2.7544442273881642E-2</v>
      </c>
    </row>
    <row r="159" spans="1:10" x14ac:dyDescent="0.25">
      <c r="A159" s="6">
        <f t="shared" si="18"/>
        <v>155</v>
      </c>
      <c r="B159" s="24">
        <v>45192</v>
      </c>
      <c r="C159" s="35">
        <v>0.10522999999999999</v>
      </c>
      <c r="D159" s="36">
        <v>0.10179000000000001</v>
      </c>
      <c r="E159" s="36">
        <v>0.10188000000000001</v>
      </c>
      <c r="F159" s="37">
        <v>0.10238</v>
      </c>
      <c r="G159" s="35">
        <f t="shared" si="19"/>
        <v>3.8180741910023741E-2</v>
      </c>
      <c r="H159" s="36">
        <f t="shared" si="20"/>
        <v>3.8037935957577096E-2</v>
      </c>
      <c r="I159" s="36">
        <f t="shared" si="21"/>
        <v>4.0016333197223641E-2</v>
      </c>
      <c r="J159" s="37">
        <f t="shared" si="22"/>
        <v>4.1929574598005281E-2</v>
      </c>
    </row>
    <row r="160" spans="1:10" x14ac:dyDescent="0.25">
      <c r="A160" s="6">
        <f t="shared" si="18"/>
        <v>156</v>
      </c>
      <c r="B160" s="24">
        <v>45191</v>
      </c>
      <c r="C160" s="35">
        <v>0.10135999999999999</v>
      </c>
      <c r="D160" s="36">
        <v>9.8059999999999994E-2</v>
      </c>
      <c r="E160" s="36">
        <v>9.7959999999999992E-2</v>
      </c>
      <c r="F160" s="37">
        <v>9.826E-2</v>
      </c>
      <c r="G160" s="35">
        <f t="shared" si="19"/>
        <v>3.961965134706702E-3</v>
      </c>
      <c r="H160" s="36">
        <f t="shared" si="20"/>
        <v>1.0208248264598208E-3</v>
      </c>
      <c r="I160" s="36">
        <f t="shared" si="21"/>
        <v>1.021867974657642E-3</v>
      </c>
      <c r="J160" s="37">
        <f t="shared" si="22"/>
        <v>-1.0166734444896353E-3</v>
      </c>
    </row>
    <row r="161" spans="1:10" x14ac:dyDescent="0.25">
      <c r="A161" s="6">
        <f t="shared" si="18"/>
        <v>157</v>
      </c>
      <c r="B161" s="24">
        <v>45190</v>
      </c>
      <c r="C161" s="35">
        <v>0.10095999999999999</v>
      </c>
      <c r="D161" s="36">
        <v>9.7959999999999992E-2</v>
      </c>
      <c r="E161" s="36">
        <v>9.7860000000000003E-2</v>
      </c>
      <c r="F161" s="37">
        <v>9.8360000000000003E-2</v>
      </c>
      <c r="G161" s="35">
        <f t="shared" si="19"/>
        <v>6.9818471972868945E-3</v>
      </c>
      <c r="H161" s="36">
        <f t="shared" si="20"/>
        <v>1.3239553165080631E-2</v>
      </c>
      <c r="I161" s="36">
        <f t="shared" si="21"/>
        <v>1.0428497676819859E-2</v>
      </c>
      <c r="J161" s="37">
        <f t="shared" si="22"/>
        <v>4.083299305839283E-3</v>
      </c>
    </row>
    <row r="162" spans="1:10" x14ac:dyDescent="0.25">
      <c r="A162" s="6">
        <f t="shared" si="18"/>
        <v>158</v>
      </c>
      <c r="B162" s="24">
        <v>45189</v>
      </c>
      <c r="C162" s="35">
        <v>0.10026</v>
      </c>
      <c r="D162" s="36">
        <v>9.6679999999999988E-2</v>
      </c>
      <c r="E162" s="36">
        <v>9.6850000000000006E-2</v>
      </c>
      <c r="F162" s="37">
        <v>9.7959999999999992E-2</v>
      </c>
      <c r="G162" s="35">
        <f t="shared" si="19"/>
        <v>-9.9641291351126871E-4</v>
      </c>
      <c r="H162" s="36">
        <f t="shared" si="20"/>
        <v>-6.9843878389483915E-3</v>
      </c>
      <c r="I162" s="36">
        <f t="shared" si="21"/>
        <v>-4.2155048324080679E-3</v>
      </c>
      <c r="J162" s="37">
        <f t="shared" si="22"/>
        <v>1.5129533678756468E-2</v>
      </c>
    </row>
    <row r="163" spans="1:10" x14ac:dyDescent="0.25">
      <c r="A163" s="6">
        <f t="shared" si="18"/>
        <v>159</v>
      </c>
      <c r="B163" s="24">
        <v>45188</v>
      </c>
      <c r="C163" s="35">
        <v>0.10035999999999999</v>
      </c>
      <c r="D163" s="36">
        <v>9.7360000000000002E-2</v>
      </c>
      <c r="E163" s="36">
        <v>9.7260000000000013E-2</v>
      </c>
      <c r="F163" s="37">
        <v>9.6500000000000002E-2</v>
      </c>
      <c r="G163" s="35">
        <f t="shared" si="19"/>
        <v>1.1082006850694937E-2</v>
      </c>
      <c r="H163" s="36">
        <f t="shared" si="20"/>
        <v>1.0377750103777617E-2</v>
      </c>
      <c r="I163" s="36">
        <f t="shared" si="21"/>
        <v>1.0388531061708006E-2</v>
      </c>
      <c r="J163" s="37">
        <f t="shared" si="22"/>
        <v>4.1467965996266898E-4</v>
      </c>
    </row>
    <row r="164" spans="1:10" x14ac:dyDescent="0.25">
      <c r="A164" s="6">
        <f t="shared" si="18"/>
        <v>160</v>
      </c>
      <c r="B164" s="24">
        <v>45187</v>
      </c>
      <c r="C164" s="35">
        <v>9.9260000000000001E-2</v>
      </c>
      <c r="D164" s="36">
        <v>9.6359999999999987E-2</v>
      </c>
      <c r="E164" s="36">
        <v>9.6259999999999998E-2</v>
      </c>
      <c r="F164" s="37">
        <v>9.6460000000000004E-2</v>
      </c>
      <c r="G164" s="35">
        <f t="shared" si="19"/>
        <v>-3.1893104457232035E-2</v>
      </c>
      <c r="H164" s="36">
        <f t="shared" si="20"/>
        <v>-2.980265807490956E-2</v>
      </c>
      <c r="I164" s="36">
        <f t="shared" si="21"/>
        <v>-3.1589537223339903E-2</v>
      </c>
      <c r="J164" s="37">
        <f t="shared" si="22"/>
        <v>-3.6074747676626218E-2</v>
      </c>
    </row>
    <row r="165" spans="1:10" x14ac:dyDescent="0.25">
      <c r="A165" s="6">
        <f t="shared" si="18"/>
        <v>161</v>
      </c>
      <c r="B165" s="24">
        <v>45185</v>
      </c>
      <c r="C165" s="35">
        <v>0.10253</v>
      </c>
      <c r="D165" s="36">
        <v>9.9320000000000006E-2</v>
      </c>
      <c r="E165" s="36">
        <v>9.9399999999999988E-2</v>
      </c>
      <c r="F165" s="37">
        <v>0.10006999999999999</v>
      </c>
      <c r="G165" s="35">
        <f t="shared" ref="G165:G197" si="23">+C165/C166-1</f>
        <v>3.6075181891673358E-2</v>
      </c>
      <c r="H165" s="36">
        <f t="shared" ref="H165:H197" si="24">+D165/D166-1</f>
        <v>4.4044991064858818E-2</v>
      </c>
      <c r="I165" s="36">
        <f t="shared" ref="I165:I197" si="25">+E165/E166-1</f>
        <v>3.3693843594009953E-2</v>
      </c>
      <c r="J165" s="37">
        <f t="shared" ref="J165:J197" si="26">+F165/F166-1</f>
        <v>3.3140615321081812E-2</v>
      </c>
    </row>
    <row r="166" spans="1:10" x14ac:dyDescent="0.25">
      <c r="A166" s="6">
        <f t="shared" si="18"/>
        <v>162</v>
      </c>
      <c r="B166" s="24">
        <v>45184</v>
      </c>
      <c r="C166" s="35">
        <v>9.8960000000000006E-2</v>
      </c>
      <c r="D166" s="36">
        <v>9.5129999999999992E-2</v>
      </c>
      <c r="E166" s="36">
        <v>9.6159999999999995E-2</v>
      </c>
      <c r="F166" s="37">
        <v>9.6860000000000002E-2</v>
      </c>
      <c r="G166" s="35">
        <f t="shared" si="23"/>
        <v>1.011531458628534E-3</v>
      </c>
      <c r="H166" s="36">
        <f t="shared" si="24"/>
        <v>-1.5743073047860268E-3</v>
      </c>
      <c r="I166" s="36">
        <f t="shared" si="25"/>
        <v>1.0410160316469685E-3</v>
      </c>
      <c r="J166" s="37">
        <f t="shared" si="26"/>
        <v>4.1467965996266898E-3</v>
      </c>
    </row>
    <row r="167" spans="1:10" x14ac:dyDescent="0.25">
      <c r="A167" s="6">
        <f t="shared" si="18"/>
        <v>163</v>
      </c>
      <c r="B167" s="24">
        <v>45183</v>
      </c>
      <c r="C167" s="35">
        <v>9.885999999999999E-2</v>
      </c>
      <c r="D167" s="36">
        <v>9.5280000000000004E-2</v>
      </c>
      <c r="E167" s="36">
        <v>9.6059999999999993E-2</v>
      </c>
      <c r="F167" s="37">
        <v>9.6460000000000004E-2</v>
      </c>
      <c r="G167" s="35">
        <f t="shared" si="23"/>
        <v>1.0125556905629107E-3</v>
      </c>
      <c r="H167" s="36">
        <f t="shared" si="24"/>
        <v>-7.0862859524801758E-3</v>
      </c>
      <c r="I167" s="36">
        <f t="shared" si="25"/>
        <v>1.0421008753647154E-3</v>
      </c>
      <c r="J167" s="37">
        <f t="shared" si="26"/>
        <v>-4.1296716911005671E-3</v>
      </c>
    </row>
    <row r="168" spans="1:10" x14ac:dyDescent="0.25">
      <c r="A168" s="6">
        <f t="shared" si="18"/>
        <v>164</v>
      </c>
      <c r="B168" s="24">
        <v>45182</v>
      </c>
      <c r="C168" s="35">
        <v>9.8760000000000001E-2</v>
      </c>
      <c r="D168" s="36">
        <v>9.5960000000000004E-2</v>
      </c>
      <c r="E168" s="36">
        <v>9.5960000000000004E-2</v>
      </c>
      <c r="F168" s="37">
        <v>9.6860000000000002E-2</v>
      </c>
      <c r="G168" s="35">
        <f t="shared" si="23"/>
        <v>-1.3977635782747577E-2</v>
      </c>
      <c r="H168" s="36">
        <f t="shared" si="24"/>
        <v>-1.2350761630300466E-2</v>
      </c>
      <c r="I168" s="36">
        <f t="shared" si="25"/>
        <v>-1.4379622021364002E-2</v>
      </c>
      <c r="J168" s="37">
        <f t="shared" si="26"/>
        <v>-7.175071750717521E-3</v>
      </c>
    </row>
    <row r="169" spans="1:10" x14ac:dyDescent="0.25">
      <c r="A169" s="6">
        <f t="shared" si="18"/>
        <v>165</v>
      </c>
      <c r="B169" s="24">
        <v>45181</v>
      </c>
      <c r="C169" s="35">
        <v>0.10016</v>
      </c>
      <c r="D169" s="36">
        <v>9.7159999999999996E-2</v>
      </c>
      <c r="E169" s="36">
        <v>9.7360000000000002E-2</v>
      </c>
      <c r="F169" s="37">
        <v>9.7560000000000008E-2</v>
      </c>
      <c r="G169" s="35">
        <f t="shared" si="23"/>
        <v>-7.923930269413626E-3</v>
      </c>
      <c r="H169" s="36">
        <f t="shared" si="24"/>
        <v>-7.1530758226038271E-3</v>
      </c>
      <c r="I169" s="36">
        <f t="shared" si="25"/>
        <v>-5.1093398732883211E-3</v>
      </c>
      <c r="J169" s="37">
        <f t="shared" si="26"/>
        <v>-4.08329930583895E-3</v>
      </c>
    </row>
    <row r="170" spans="1:10" x14ac:dyDescent="0.25">
      <c r="A170" s="6">
        <f t="shared" si="18"/>
        <v>166</v>
      </c>
      <c r="B170" s="24">
        <v>45180</v>
      </c>
      <c r="C170" s="35">
        <v>0.10095999999999999</v>
      </c>
      <c r="D170" s="36">
        <v>9.7860000000000003E-2</v>
      </c>
      <c r="E170" s="36">
        <v>9.7860000000000003E-2</v>
      </c>
      <c r="F170" s="37">
        <v>9.7959999999999992E-2</v>
      </c>
      <c r="G170" s="35">
        <f t="shared" si="23"/>
        <v>-2.0756547041707263E-2</v>
      </c>
      <c r="H170" s="36">
        <f t="shared" si="24"/>
        <v>-1.7864311521477383E-2</v>
      </c>
      <c r="I170" s="36">
        <f t="shared" si="25"/>
        <v>-1.7864311521477383E-2</v>
      </c>
      <c r="J170" s="37">
        <f t="shared" si="26"/>
        <v>-1.8043303929430876E-2</v>
      </c>
    </row>
    <row r="171" spans="1:10" x14ac:dyDescent="0.25">
      <c r="A171" s="6">
        <f t="shared" si="18"/>
        <v>167</v>
      </c>
      <c r="B171" s="24">
        <v>45178</v>
      </c>
      <c r="C171" s="35">
        <v>0.10310000000000001</v>
      </c>
      <c r="D171" s="36">
        <v>9.9640000000000006E-2</v>
      </c>
      <c r="E171" s="36">
        <v>9.9640000000000006E-2</v>
      </c>
      <c r="F171" s="37">
        <v>9.9760000000000015E-2</v>
      </c>
      <c r="G171" s="35">
        <f t="shared" si="23"/>
        <v>4.6488022736500323E-2</v>
      </c>
      <c r="H171" s="36">
        <f t="shared" si="24"/>
        <v>4.3569333891914752E-2</v>
      </c>
      <c r="I171" s="36">
        <f t="shared" si="25"/>
        <v>4.4116106046316883E-2</v>
      </c>
      <c r="J171" s="37">
        <f t="shared" si="26"/>
        <v>4.4826141600335268E-2</v>
      </c>
    </row>
    <row r="172" spans="1:10" x14ac:dyDescent="0.25">
      <c r="A172" s="6">
        <f t="shared" si="18"/>
        <v>168</v>
      </c>
      <c r="B172" s="24">
        <v>45177</v>
      </c>
      <c r="C172" s="35">
        <v>9.8519999999999996E-2</v>
      </c>
      <c r="D172" s="36">
        <v>9.5479999999999995E-2</v>
      </c>
      <c r="E172" s="36">
        <v>9.5429999999999987E-2</v>
      </c>
      <c r="F172" s="37">
        <v>9.5479999999999995E-2</v>
      </c>
      <c r="G172" s="35">
        <f t="shared" si="23"/>
        <v>-6.0864272671945496E-4</v>
      </c>
      <c r="H172" s="36">
        <f t="shared" si="24"/>
        <v>-1.8816642274724904E-3</v>
      </c>
      <c r="I172" s="36">
        <f t="shared" si="25"/>
        <v>-2.0953378732324612E-4</v>
      </c>
      <c r="J172" s="37">
        <f t="shared" si="26"/>
        <v>-2.9239766081873286E-3</v>
      </c>
    </row>
    <row r="173" spans="1:10" x14ac:dyDescent="0.25">
      <c r="A173" s="6">
        <f t="shared" si="18"/>
        <v>169</v>
      </c>
      <c r="B173" s="24">
        <v>45176</v>
      </c>
      <c r="C173" s="35">
        <v>9.8580000000000001E-2</v>
      </c>
      <c r="D173" s="36">
        <v>9.5660000000000009E-2</v>
      </c>
      <c r="E173" s="36">
        <v>9.5449999999999993E-2</v>
      </c>
      <c r="F173" s="37">
        <v>9.5760000000000012E-2</v>
      </c>
      <c r="G173" s="35">
        <f t="shared" si="23"/>
        <v>-6.8506951440661101E-3</v>
      </c>
      <c r="H173" s="36">
        <f t="shared" si="24"/>
        <v>-1.0442773600668476E-3</v>
      </c>
      <c r="I173" s="36">
        <f t="shared" si="25"/>
        <v>-3.2372598162073718E-3</v>
      </c>
      <c r="J173" s="37">
        <f t="shared" si="26"/>
        <v>3.1426775612823921E-3</v>
      </c>
    </row>
    <row r="174" spans="1:10" x14ac:dyDescent="0.25">
      <c r="A174" s="6">
        <f t="shared" si="18"/>
        <v>170</v>
      </c>
      <c r="B174" s="24">
        <v>45175</v>
      </c>
      <c r="C174" s="35">
        <v>9.9260000000000001E-2</v>
      </c>
      <c r="D174" s="36">
        <v>9.5760000000000012E-2</v>
      </c>
      <c r="E174" s="36">
        <v>9.5760000000000012E-2</v>
      </c>
      <c r="F174" s="37">
        <v>9.5459999999999989E-2</v>
      </c>
      <c r="G174" s="35">
        <f t="shared" si="23"/>
        <v>9.1500610004067173E-3</v>
      </c>
      <c r="H174" s="36">
        <f t="shared" si="24"/>
        <v>8.4245998315080062E-3</v>
      </c>
      <c r="I174" s="36">
        <f t="shared" si="25"/>
        <v>9.4876660341556285E-3</v>
      </c>
      <c r="J174" s="37">
        <f t="shared" si="26"/>
        <v>1.0486577181207934E-3</v>
      </c>
    </row>
    <row r="175" spans="1:10" x14ac:dyDescent="0.25">
      <c r="A175" s="6">
        <f t="shared" si="18"/>
        <v>171</v>
      </c>
      <c r="B175" s="24">
        <v>45174</v>
      </c>
      <c r="C175" s="35">
        <v>9.8360000000000003E-2</v>
      </c>
      <c r="D175" s="36">
        <v>9.4960000000000003E-2</v>
      </c>
      <c r="E175" s="36">
        <v>9.486E-2</v>
      </c>
      <c r="F175" s="37">
        <v>9.536E-2</v>
      </c>
      <c r="G175" s="35">
        <f t="shared" si="23"/>
        <v>1.0271158586688589E-2</v>
      </c>
      <c r="H175" s="36">
        <f t="shared" si="24"/>
        <v>8.4961767204756455E-3</v>
      </c>
      <c r="I175" s="36">
        <f t="shared" si="25"/>
        <v>8.5052094407824796E-3</v>
      </c>
      <c r="J175" s="37">
        <f t="shared" si="26"/>
        <v>5.2709255745309047E-3</v>
      </c>
    </row>
    <row r="176" spans="1:10" x14ac:dyDescent="0.25">
      <c r="A176" s="6">
        <f t="shared" si="18"/>
        <v>172</v>
      </c>
      <c r="B176" s="24">
        <v>45173</v>
      </c>
      <c r="C176" s="35">
        <v>9.7360000000000002E-2</v>
      </c>
      <c r="D176" s="36">
        <v>9.4160000000000008E-2</v>
      </c>
      <c r="E176" s="36">
        <v>9.4060000000000005E-2</v>
      </c>
      <c r="F176" s="37">
        <v>9.486E-2</v>
      </c>
      <c r="G176" s="35">
        <f t="shared" si="23"/>
        <v>2.0584602717168554E-3</v>
      </c>
      <c r="H176" s="36">
        <f t="shared" si="24"/>
        <v>-3.1674208144796379E-2</v>
      </c>
      <c r="I176" s="36">
        <f t="shared" si="25"/>
        <v>-3.3994043339837687E-2</v>
      </c>
      <c r="J176" s="37">
        <f t="shared" si="26"/>
        <v>-3.3421642551457187E-2</v>
      </c>
    </row>
    <row r="177" spans="1:10" x14ac:dyDescent="0.25">
      <c r="A177" s="6">
        <f t="shared" si="18"/>
        <v>173</v>
      </c>
      <c r="B177" s="24">
        <v>45171</v>
      </c>
      <c r="C177" s="35">
        <v>9.7159999999999996E-2</v>
      </c>
      <c r="D177" s="36">
        <v>9.7240000000000007E-2</v>
      </c>
      <c r="E177" s="36">
        <v>9.7369999999999998E-2</v>
      </c>
      <c r="F177" s="37">
        <v>9.8140000000000005E-2</v>
      </c>
      <c r="G177" s="35">
        <f t="shared" si="23"/>
        <v>0</v>
      </c>
      <c r="H177" s="36">
        <f t="shared" si="24"/>
        <v>3.4908471690080933E-2</v>
      </c>
      <c r="I177" s="36">
        <f t="shared" si="25"/>
        <v>3.6292039165602308E-2</v>
      </c>
      <c r="J177" s="37">
        <f t="shared" si="26"/>
        <v>3.7859560067682096E-2</v>
      </c>
    </row>
    <row r="178" spans="1:10" x14ac:dyDescent="0.25">
      <c r="A178" s="6">
        <f t="shared" si="18"/>
        <v>174</v>
      </c>
      <c r="B178" s="24">
        <v>45170</v>
      </c>
      <c r="C178" s="35">
        <v>9.7159999999999996E-2</v>
      </c>
      <c r="D178" s="36">
        <v>9.3960000000000002E-2</v>
      </c>
      <c r="E178" s="36">
        <v>9.3960000000000002E-2</v>
      </c>
      <c r="F178" s="37">
        <v>9.4559999999999991E-2</v>
      </c>
      <c r="G178" s="35">
        <f t="shared" si="23"/>
        <v>3.0972537683253698E-3</v>
      </c>
      <c r="H178" s="36">
        <f t="shared" si="24"/>
        <v>3.2030749519540436E-3</v>
      </c>
      <c r="I178" s="36">
        <f t="shared" si="25"/>
        <v>6.4267352185090054E-3</v>
      </c>
      <c r="J178" s="37">
        <f t="shared" si="26"/>
        <v>6.3856960408683605E-3</v>
      </c>
    </row>
    <row r="179" spans="1:10" x14ac:dyDescent="0.25">
      <c r="A179" s="6">
        <f t="shared" si="18"/>
        <v>175</v>
      </c>
      <c r="B179" s="24">
        <v>45169</v>
      </c>
      <c r="C179" s="35">
        <v>9.6860000000000002E-2</v>
      </c>
      <c r="D179" s="36">
        <v>9.3659999999999993E-2</v>
      </c>
      <c r="E179" s="36">
        <v>9.3359999999999999E-2</v>
      </c>
      <c r="F179" s="37">
        <v>9.3960000000000002E-2</v>
      </c>
      <c r="G179" s="35">
        <f t="shared" si="23"/>
        <v>-3.0876904075750611E-3</v>
      </c>
      <c r="H179" s="36">
        <f t="shared" si="24"/>
        <v>-2.5559105431312013E-3</v>
      </c>
      <c r="I179" s="36">
        <f t="shared" si="25"/>
        <v>-2.1376656690894613E-3</v>
      </c>
      <c r="J179" s="37">
        <f t="shared" si="26"/>
        <v>-2.5477707006369421E-3</v>
      </c>
    </row>
    <row r="180" spans="1:10" x14ac:dyDescent="0.25">
      <c r="A180" s="6">
        <f t="shared" si="18"/>
        <v>176</v>
      </c>
      <c r="B180" s="24">
        <v>45168</v>
      </c>
      <c r="C180" s="35">
        <v>9.7159999999999996E-2</v>
      </c>
      <c r="D180" s="36">
        <v>9.3900000000000011E-2</v>
      </c>
      <c r="E180" s="36">
        <v>9.3560000000000004E-2</v>
      </c>
      <c r="F180" s="37">
        <v>9.4200000000000006E-2</v>
      </c>
      <c r="G180" s="35">
        <f t="shared" si="23"/>
        <v>1.2505210504376807E-2</v>
      </c>
      <c r="H180" s="36">
        <f t="shared" si="24"/>
        <v>1.0111876075731718E-2</v>
      </c>
      <c r="I180" s="36">
        <f t="shared" si="25"/>
        <v>6.4543889845096736E-3</v>
      </c>
      <c r="J180" s="37">
        <f t="shared" si="26"/>
        <v>6.8405301410858765E-3</v>
      </c>
    </row>
    <row r="181" spans="1:10" x14ac:dyDescent="0.25">
      <c r="A181" s="6">
        <f t="shared" si="18"/>
        <v>177</v>
      </c>
      <c r="B181" s="24">
        <v>45167</v>
      </c>
      <c r="C181" s="35">
        <v>9.5960000000000004E-2</v>
      </c>
      <c r="D181" s="36">
        <v>9.2959999999999987E-2</v>
      </c>
      <c r="E181" s="36">
        <v>9.2959999999999987E-2</v>
      </c>
      <c r="F181" s="37">
        <v>9.3560000000000004E-2</v>
      </c>
      <c r="G181" s="35">
        <f t="shared" si="23"/>
        <v>-6.6252587991718626E-3</v>
      </c>
      <c r="H181" s="36">
        <f t="shared" si="24"/>
        <v>-4.7109207708780909E-3</v>
      </c>
      <c r="I181" s="36">
        <f t="shared" si="25"/>
        <v>-1.5037593984964515E-3</v>
      </c>
      <c r="J181" s="37">
        <f t="shared" si="26"/>
        <v>-4.2735042735031481E-4</v>
      </c>
    </row>
    <row r="182" spans="1:10" x14ac:dyDescent="0.25">
      <c r="A182" s="6">
        <f t="shared" si="18"/>
        <v>178</v>
      </c>
      <c r="B182" s="24">
        <v>45166</v>
      </c>
      <c r="C182" s="35">
        <v>9.6600000000000005E-2</v>
      </c>
      <c r="D182" s="36">
        <v>9.3399999999999997E-2</v>
      </c>
      <c r="E182" s="36">
        <v>9.3100000000000002E-2</v>
      </c>
      <c r="F182" s="37">
        <v>9.3599999999999989E-2</v>
      </c>
      <c r="G182" s="35">
        <f t="shared" si="23"/>
        <v>-3.8518960883845876E-2</v>
      </c>
      <c r="H182" s="36">
        <f t="shared" si="24"/>
        <v>-3.5920726672171832E-2</v>
      </c>
      <c r="I182" s="36">
        <f t="shared" si="25"/>
        <v>-3.6431380666528734E-2</v>
      </c>
      <c r="J182" s="37">
        <f t="shared" si="26"/>
        <v>-3.2858028518289117E-2</v>
      </c>
    </row>
    <row r="183" spans="1:10" x14ac:dyDescent="0.25">
      <c r="A183" s="6">
        <f t="shared" si="18"/>
        <v>179</v>
      </c>
      <c r="B183" s="24">
        <v>45164</v>
      </c>
      <c r="C183" s="35">
        <v>0.10047</v>
      </c>
      <c r="D183" s="36">
        <v>9.6880000000000008E-2</v>
      </c>
      <c r="E183" s="36">
        <v>9.6620000000000011E-2</v>
      </c>
      <c r="F183" s="37">
        <v>9.6780000000000005E-2</v>
      </c>
      <c r="G183" s="35">
        <f t="shared" si="23"/>
        <v>3.6200495049505177E-2</v>
      </c>
      <c r="H183" s="36">
        <f t="shared" si="24"/>
        <v>3.5485250106883415E-2</v>
      </c>
      <c r="I183" s="36">
        <f t="shared" si="25"/>
        <v>3.8254889318719343E-2</v>
      </c>
      <c r="J183" s="37">
        <f t="shared" si="26"/>
        <v>3.8857878917990529E-2</v>
      </c>
    </row>
    <row r="184" spans="1:10" x14ac:dyDescent="0.25">
      <c r="A184" s="6">
        <f t="shared" si="18"/>
        <v>180</v>
      </c>
      <c r="B184" s="24">
        <v>45163</v>
      </c>
      <c r="C184" s="35">
        <v>9.6959999999999991E-2</v>
      </c>
      <c r="D184" s="36">
        <v>9.3560000000000004E-2</v>
      </c>
      <c r="E184" s="36">
        <v>9.305999999999999E-2</v>
      </c>
      <c r="F184" s="37">
        <v>9.3160000000000007E-2</v>
      </c>
      <c r="G184" s="35">
        <f t="shared" si="23"/>
        <v>3.1036623215392467E-3</v>
      </c>
      <c r="H184" s="36">
        <f t="shared" si="24"/>
        <v>1.0699764605179851E-3</v>
      </c>
      <c r="I184" s="36">
        <f t="shared" si="25"/>
        <v>1.0757314974183529E-3</v>
      </c>
      <c r="J184" s="37">
        <f t="shared" si="26"/>
        <v>-2.1422450728362241E-3</v>
      </c>
    </row>
    <row r="185" spans="1:10" x14ac:dyDescent="0.25">
      <c r="A185" s="6">
        <f t="shared" si="18"/>
        <v>181</v>
      </c>
      <c r="B185" s="24">
        <v>45162</v>
      </c>
      <c r="C185" s="35">
        <v>9.666000000000001E-2</v>
      </c>
      <c r="D185" s="36">
        <v>9.3460000000000001E-2</v>
      </c>
      <c r="E185" s="36">
        <v>9.2959999999999987E-2</v>
      </c>
      <c r="F185" s="37">
        <v>9.3359999999999999E-2</v>
      </c>
      <c r="G185" s="35">
        <f t="shared" si="23"/>
        <v>4.1554124246832025E-3</v>
      </c>
      <c r="H185" s="36">
        <f t="shared" si="24"/>
        <v>5.3786574870913206E-3</v>
      </c>
      <c r="I185" s="36">
        <f t="shared" si="25"/>
        <v>3.2376429958986819E-3</v>
      </c>
      <c r="J185" s="37">
        <f t="shared" si="26"/>
        <v>2.146844139115478E-3</v>
      </c>
    </row>
    <row r="186" spans="1:10" x14ac:dyDescent="0.25">
      <c r="A186" s="6">
        <f t="shared" si="18"/>
        <v>182</v>
      </c>
      <c r="B186" s="24">
        <v>45161</v>
      </c>
      <c r="C186" s="35">
        <v>9.6259999999999998E-2</v>
      </c>
      <c r="D186" s="36">
        <v>9.2959999999999987E-2</v>
      </c>
      <c r="E186" s="36">
        <v>9.2660000000000006E-2</v>
      </c>
      <c r="F186" s="37">
        <v>9.3160000000000007E-2</v>
      </c>
      <c r="G186" s="35">
        <f t="shared" si="23"/>
        <v>-2.1350142334282229E-2</v>
      </c>
      <c r="H186" s="36">
        <f t="shared" si="24"/>
        <v>-2.0029517183217549E-2</v>
      </c>
      <c r="I186" s="36">
        <f t="shared" si="25"/>
        <v>-2.1128248468201827E-2</v>
      </c>
      <c r="J186" s="37">
        <f t="shared" si="26"/>
        <v>-2.204492966617666E-2</v>
      </c>
    </row>
    <row r="187" spans="1:10" x14ac:dyDescent="0.25">
      <c r="A187" s="6">
        <f t="shared" si="18"/>
        <v>183</v>
      </c>
      <c r="B187" s="24">
        <v>45160</v>
      </c>
      <c r="C187" s="35">
        <v>9.8360000000000003E-2</v>
      </c>
      <c r="D187" s="36">
        <v>9.486E-2</v>
      </c>
      <c r="E187" s="36">
        <v>9.4659999999999994E-2</v>
      </c>
      <c r="F187" s="37">
        <v>9.5259999999999997E-2</v>
      </c>
      <c r="G187" s="35">
        <f t="shared" si="23"/>
        <v>-2.0292207792207417E-3</v>
      </c>
      <c r="H187" s="36">
        <f t="shared" si="24"/>
        <v>-2.103934357248094E-3</v>
      </c>
      <c r="I187" s="36">
        <f t="shared" si="25"/>
        <v>-2.1083702298123619E-3</v>
      </c>
      <c r="J187" s="37">
        <f t="shared" si="26"/>
        <v>-1.0486577181207934E-3</v>
      </c>
    </row>
    <row r="188" spans="1:10" x14ac:dyDescent="0.25">
      <c r="A188" s="6">
        <f t="shared" si="18"/>
        <v>184</v>
      </c>
      <c r="B188" s="24">
        <v>45159</v>
      </c>
      <c r="C188" s="35">
        <v>9.8559999999999995E-2</v>
      </c>
      <c r="D188" s="36">
        <v>9.5060000000000006E-2</v>
      </c>
      <c r="E188" s="36">
        <v>9.486E-2</v>
      </c>
      <c r="F188" s="37">
        <v>9.536E-2</v>
      </c>
      <c r="G188" s="35">
        <f t="shared" si="23"/>
        <v>-2.7336425540313791E-2</v>
      </c>
      <c r="H188" s="36">
        <f t="shared" si="24"/>
        <v>-2.4124833179344995E-2</v>
      </c>
      <c r="I188" s="36">
        <f t="shared" si="25"/>
        <v>-2.4074074074074137E-2</v>
      </c>
      <c r="J188" s="37">
        <f t="shared" si="26"/>
        <v>-2.3351085620647138E-2</v>
      </c>
    </row>
    <row r="189" spans="1:10" x14ac:dyDescent="0.25">
      <c r="A189" s="6">
        <f t="shared" si="18"/>
        <v>185</v>
      </c>
      <c r="B189" s="24">
        <v>45157</v>
      </c>
      <c r="C189" s="35">
        <v>0.10132999999999999</v>
      </c>
      <c r="D189" s="36">
        <v>9.7409999999999997E-2</v>
      </c>
      <c r="E189" s="36">
        <v>9.7200000000000009E-2</v>
      </c>
      <c r="F189" s="37">
        <v>9.7639999999999991E-2</v>
      </c>
      <c r="G189" s="35">
        <f t="shared" si="23"/>
        <v>3.651800327332233E-2</v>
      </c>
      <c r="H189" s="36">
        <f t="shared" si="24"/>
        <v>3.5615564533276522E-2</v>
      </c>
      <c r="I189" s="36">
        <f t="shared" si="25"/>
        <v>3.5584913701257381E-2</v>
      </c>
      <c r="J189" s="37">
        <f t="shared" si="26"/>
        <v>3.9165602383993026E-2</v>
      </c>
    </row>
    <row r="190" spans="1:10" x14ac:dyDescent="0.25">
      <c r="A190" s="6">
        <f t="shared" si="18"/>
        <v>186</v>
      </c>
      <c r="B190" s="24">
        <v>45156</v>
      </c>
      <c r="C190" s="35">
        <v>9.776E-2</v>
      </c>
      <c r="D190" s="36">
        <v>9.4060000000000005E-2</v>
      </c>
      <c r="E190" s="36">
        <v>9.3859999999999999E-2</v>
      </c>
      <c r="F190" s="37">
        <v>9.3960000000000002E-2</v>
      </c>
      <c r="G190" s="35">
        <f t="shared" si="23"/>
        <v>5.1408595517168365E-3</v>
      </c>
      <c r="H190" s="36">
        <f t="shared" si="24"/>
        <v>7.497857754927173E-3</v>
      </c>
      <c r="I190" s="36">
        <f t="shared" si="25"/>
        <v>8.5966043412852855E-3</v>
      </c>
      <c r="J190" s="37">
        <f t="shared" si="26"/>
        <v>7.5058974908857046E-3</v>
      </c>
    </row>
    <row r="191" spans="1:10" x14ac:dyDescent="0.25">
      <c r="A191" s="6">
        <f t="shared" si="18"/>
        <v>187</v>
      </c>
      <c r="B191" s="24">
        <v>45155</v>
      </c>
      <c r="C191" s="35">
        <v>9.7260000000000013E-2</v>
      </c>
      <c r="D191" s="36">
        <v>9.3359999999999999E-2</v>
      </c>
      <c r="E191" s="36">
        <v>9.305999999999999E-2</v>
      </c>
      <c r="F191" s="37">
        <v>9.326000000000001E-2</v>
      </c>
      <c r="G191" s="35">
        <f t="shared" si="23"/>
        <v>1.0388531061708006E-2</v>
      </c>
      <c r="H191" s="36">
        <f t="shared" si="24"/>
        <v>1.1922826793843377E-2</v>
      </c>
      <c r="I191" s="36">
        <f t="shared" si="25"/>
        <v>9.765625E-3</v>
      </c>
      <c r="J191" s="37">
        <f t="shared" si="26"/>
        <v>9.7444781290600968E-3</v>
      </c>
    </row>
    <row r="192" spans="1:10" x14ac:dyDescent="0.25">
      <c r="A192" s="6">
        <f t="shared" si="18"/>
        <v>188</v>
      </c>
      <c r="B192" s="24">
        <v>45154</v>
      </c>
      <c r="C192" s="35">
        <v>9.6259999999999998E-2</v>
      </c>
      <c r="D192" s="36">
        <v>9.2260000000000009E-2</v>
      </c>
      <c r="E192" s="36">
        <v>9.2159999999999992E-2</v>
      </c>
      <c r="F192" s="37">
        <v>9.2360000000000012E-2</v>
      </c>
      <c r="G192" s="35">
        <f t="shared" si="23"/>
        <v>3.75391032325334E-3</v>
      </c>
      <c r="H192" s="36">
        <f t="shared" si="24"/>
        <v>7.6452599388379117E-3</v>
      </c>
      <c r="I192" s="36">
        <f t="shared" si="25"/>
        <v>6.5530799475752577E-3</v>
      </c>
      <c r="J192" s="37">
        <f t="shared" si="26"/>
        <v>1.0838933448948929E-3</v>
      </c>
    </row>
    <row r="193" spans="1:10" x14ac:dyDescent="0.25">
      <c r="A193" s="6">
        <f t="shared" si="18"/>
        <v>189</v>
      </c>
      <c r="B193" s="24">
        <v>45153</v>
      </c>
      <c r="C193" s="35">
        <v>9.5899999999999999E-2</v>
      </c>
      <c r="D193" s="36">
        <v>9.1560000000000002E-2</v>
      </c>
      <c r="E193" s="36">
        <v>9.1560000000000002E-2</v>
      </c>
      <c r="F193" s="37">
        <v>9.2260000000000009E-2</v>
      </c>
      <c r="G193" s="35">
        <f t="shared" si="23"/>
        <v>1.4619883040933868E-3</v>
      </c>
      <c r="H193" s="36">
        <f t="shared" si="24"/>
        <v>-3.2658393207053438E-3</v>
      </c>
      <c r="I193" s="36">
        <f t="shared" si="25"/>
        <v>-2.1795989537926053E-3</v>
      </c>
      <c r="J193" s="37">
        <f t="shared" si="26"/>
        <v>2.172496198131757E-3</v>
      </c>
    </row>
    <row r="194" spans="1:10" x14ac:dyDescent="0.25">
      <c r="A194" s="6">
        <f t="shared" si="18"/>
        <v>190</v>
      </c>
      <c r="B194" s="24">
        <v>45152</v>
      </c>
      <c r="C194" s="35">
        <v>9.5760000000000012E-2</v>
      </c>
      <c r="D194" s="36">
        <v>9.1859999999999997E-2</v>
      </c>
      <c r="E194" s="36">
        <v>9.1760000000000008E-2</v>
      </c>
      <c r="F194" s="37">
        <v>9.2059999999999989E-2</v>
      </c>
      <c r="G194" s="35">
        <f t="shared" si="23"/>
        <v>-2.5442703032770075E-2</v>
      </c>
      <c r="H194" s="36">
        <f t="shared" si="24"/>
        <v>-2.3908192540643913E-2</v>
      </c>
      <c r="I194" s="36">
        <f t="shared" si="25"/>
        <v>-2.4452477142249629E-2</v>
      </c>
      <c r="J194" s="37">
        <f t="shared" si="26"/>
        <v>-3.2576712904581862E-2</v>
      </c>
    </row>
    <row r="195" spans="1:10" x14ac:dyDescent="0.25">
      <c r="A195" s="6">
        <f t="shared" si="18"/>
        <v>191</v>
      </c>
      <c r="B195" s="24">
        <v>45150</v>
      </c>
      <c r="C195" s="35">
        <v>9.826E-2</v>
      </c>
      <c r="D195" s="36">
        <v>9.4109999999999999E-2</v>
      </c>
      <c r="E195" s="36">
        <v>9.4060000000000005E-2</v>
      </c>
      <c r="F195" s="37">
        <v>9.5159999999999995E-2</v>
      </c>
      <c r="G195" s="35">
        <f t="shared" si="23"/>
        <v>3.8030847242763732E-2</v>
      </c>
      <c r="H195" s="36">
        <f t="shared" si="24"/>
        <v>3.8054268696227522E-2</v>
      </c>
      <c r="I195" s="36">
        <f t="shared" si="25"/>
        <v>3.6359629792860337E-2</v>
      </c>
      <c r="J195" s="37">
        <f t="shared" si="26"/>
        <v>3.8184595243290209E-2</v>
      </c>
    </row>
    <row r="196" spans="1:10" x14ac:dyDescent="0.25">
      <c r="A196" s="6">
        <f t="shared" si="18"/>
        <v>192</v>
      </c>
      <c r="B196" s="24">
        <v>45149</v>
      </c>
      <c r="C196" s="35">
        <v>9.4659999999999994E-2</v>
      </c>
      <c r="D196" s="36">
        <v>9.0660000000000004E-2</v>
      </c>
      <c r="E196" s="36">
        <v>9.0760000000000007E-2</v>
      </c>
      <c r="F196" s="37">
        <v>9.1660000000000005E-2</v>
      </c>
      <c r="G196" s="35">
        <f t="shared" si="23"/>
        <v>8.5233326230556017E-3</v>
      </c>
      <c r="H196" s="36">
        <f t="shared" si="24"/>
        <v>7.7812361049356404E-3</v>
      </c>
      <c r="I196" s="36">
        <f t="shared" si="25"/>
        <v>8.8928412627835574E-3</v>
      </c>
      <c r="J196" s="37">
        <f t="shared" si="26"/>
        <v>6.5890621568196472E-3</v>
      </c>
    </row>
    <row r="197" spans="1:10" x14ac:dyDescent="0.25">
      <c r="A197" s="6">
        <f t="shared" ref="A197:A256" si="27">+A198-1</f>
        <v>193</v>
      </c>
      <c r="B197" s="24">
        <v>45148</v>
      </c>
      <c r="C197" s="35">
        <v>9.3859999999999999E-2</v>
      </c>
      <c r="D197" s="36">
        <v>8.9959999999999998E-2</v>
      </c>
      <c r="E197" s="36">
        <v>8.9959999999999998E-2</v>
      </c>
      <c r="F197" s="37">
        <v>9.1060000000000002E-2</v>
      </c>
      <c r="G197" s="35">
        <f t="shared" si="23"/>
        <v>2.1353833013026957E-3</v>
      </c>
      <c r="H197" s="36">
        <f t="shared" si="24"/>
        <v>4.4662795891021734E-3</v>
      </c>
      <c r="I197" s="36">
        <f t="shared" si="25"/>
        <v>1.1128421989761161E-3</v>
      </c>
      <c r="J197" s="37">
        <f t="shared" si="26"/>
        <v>5.5212014134278231E-3</v>
      </c>
    </row>
    <row r="198" spans="1:10" x14ac:dyDescent="0.25">
      <c r="A198" s="6">
        <f t="shared" si="27"/>
        <v>194</v>
      </c>
      <c r="B198" s="24">
        <v>45147</v>
      </c>
      <c r="C198" s="35">
        <v>9.3659999999999993E-2</v>
      </c>
      <c r="D198" s="36">
        <v>8.9560000000000001E-2</v>
      </c>
      <c r="E198" s="36">
        <v>8.9860000000000009E-2</v>
      </c>
      <c r="F198" s="37">
        <v>9.0559999999999988E-2</v>
      </c>
      <c r="G198" s="35">
        <f t="shared" ref="G198:G256" si="28">+C198/C199-1</f>
        <v>-8.469193309337375E-3</v>
      </c>
      <c r="H198" s="36">
        <f t="shared" ref="H198:H229" si="29">+D198/D199-1</f>
        <v>-1.2133245091550893E-2</v>
      </c>
      <c r="I198" s="36">
        <f t="shared" ref="I198:I229" si="30">+E198/E199-1</f>
        <v>-1.1005943209332902E-2</v>
      </c>
      <c r="J198" s="37">
        <f t="shared" ref="J198:J229" si="31">+F198/F199-1</f>
        <v>-7.670392285776928E-3</v>
      </c>
    </row>
    <row r="199" spans="1:10" x14ac:dyDescent="0.25">
      <c r="A199" s="6">
        <f t="shared" si="27"/>
        <v>195</v>
      </c>
      <c r="B199" s="24">
        <v>45146</v>
      </c>
      <c r="C199" s="35">
        <v>9.4460000000000002E-2</v>
      </c>
      <c r="D199" s="36">
        <v>9.0660000000000004E-2</v>
      </c>
      <c r="E199" s="36">
        <v>9.0859999999999996E-2</v>
      </c>
      <c r="F199" s="37">
        <v>9.1259999999999994E-2</v>
      </c>
      <c r="G199" s="35">
        <f t="shared" si="28"/>
        <v>-3.165892781764601E-3</v>
      </c>
      <c r="H199" s="36">
        <f t="shared" si="29"/>
        <v>-3.2981530343006993E-3</v>
      </c>
      <c r="I199" s="36">
        <f t="shared" si="30"/>
        <v>-2.1963540522732528E-3</v>
      </c>
      <c r="J199" s="37">
        <f t="shared" si="31"/>
        <v>-7.6120052196607668E-3</v>
      </c>
    </row>
    <row r="200" spans="1:10" x14ac:dyDescent="0.25">
      <c r="A200" s="6">
        <f t="shared" si="27"/>
        <v>196</v>
      </c>
      <c r="B200" s="24">
        <v>45145</v>
      </c>
      <c r="C200" s="35">
        <v>9.4760000000000011E-2</v>
      </c>
      <c r="D200" s="36">
        <v>9.0959999999999999E-2</v>
      </c>
      <c r="E200" s="36">
        <v>9.1060000000000002E-2</v>
      </c>
      <c r="F200" s="37">
        <v>9.196E-2</v>
      </c>
      <c r="G200" s="35">
        <f t="shared" si="28"/>
        <v>-2.8998872835331424E-2</v>
      </c>
      <c r="H200" s="36">
        <f t="shared" si="29"/>
        <v>-2.4662234612910283E-2</v>
      </c>
      <c r="I200" s="36">
        <f t="shared" si="30"/>
        <v>-2.5053533190578126E-2</v>
      </c>
      <c r="J200" s="37">
        <f t="shared" si="31"/>
        <v>-2.3468195816077397E-2</v>
      </c>
    </row>
    <row r="201" spans="1:10" x14ac:dyDescent="0.25">
      <c r="A201" s="6">
        <f t="shared" si="27"/>
        <v>197</v>
      </c>
      <c r="B201" s="24">
        <v>45143</v>
      </c>
      <c r="C201" s="35">
        <v>9.759000000000001E-2</v>
      </c>
      <c r="D201" s="36">
        <v>9.326000000000001E-2</v>
      </c>
      <c r="E201" s="36">
        <v>9.3399999999999997E-2</v>
      </c>
      <c r="F201" s="37">
        <v>9.4170000000000004E-2</v>
      </c>
      <c r="G201" s="35">
        <f t="shared" si="28"/>
        <v>3.642735768903993E-2</v>
      </c>
      <c r="H201" s="36">
        <f t="shared" si="29"/>
        <v>3.5531867643793014E-2</v>
      </c>
      <c r="I201" s="36">
        <f t="shared" si="30"/>
        <v>3.5936113575865125E-2</v>
      </c>
      <c r="J201" s="37">
        <f t="shared" si="31"/>
        <v>3.7571617452622164E-2</v>
      </c>
    </row>
    <row r="202" spans="1:10" x14ac:dyDescent="0.25">
      <c r="A202" s="6">
        <f t="shared" si="27"/>
        <v>198</v>
      </c>
      <c r="B202" s="24">
        <v>45142</v>
      </c>
      <c r="C202" s="35">
        <v>9.4160000000000008E-2</v>
      </c>
      <c r="D202" s="36">
        <v>9.0060000000000001E-2</v>
      </c>
      <c r="E202" s="36">
        <v>9.0160000000000004E-2</v>
      </c>
      <c r="F202" s="37">
        <v>9.0760000000000007E-2</v>
      </c>
      <c r="G202" s="35">
        <f t="shared" si="28"/>
        <v>3.1962497336459617E-3</v>
      </c>
      <c r="H202" s="36">
        <f t="shared" si="29"/>
        <v>2.2256843979522323E-3</v>
      </c>
      <c r="I202" s="36">
        <f t="shared" si="30"/>
        <v>1.1103708638686705E-3</v>
      </c>
      <c r="J202" s="37">
        <f t="shared" si="31"/>
        <v>2.2084805653712625E-3</v>
      </c>
    </row>
    <row r="203" spans="1:10" x14ac:dyDescent="0.25">
      <c r="A203" s="6">
        <f t="shared" si="27"/>
        <v>199</v>
      </c>
      <c r="B203" s="24">
        <v>45141</v>
      </c>
      <c r="C203" s="35">
        <v>9.3859999999999999E-2</v>
      </c>
      <c r="D203" s="36">
        <v>8.9860000000000009E-2</v>
      </c>
      <c r="E203" s="36">
        <v>9.0060000000000001E-2</v>
      </c>
      <c r="F203" s="37">
        <v>9.0559999999999988E-2</v>
      </c>
      <c r="G203" s="35">
        <f t="shared" si="28"/>
        <v>4.2799058420714964E-3</v>
      </c>
      <c r="H203" s="36">
        <f t="shared" si="29"/>
        <v>5.5953446732319723E-3</v>
      </c>
      <c r="I203" s="36">
        <f t="shared" si="30"/>
        <v>6.7069081153587895E-3</v>
      </c>
      <c r="J203" s="37">
        <f t="shared" si="31"/>
        <v>1.2295998211490966E-2</v>
      </c>
    </row>
    <row r="204" spans="1:10" x14ac:dyDescent="0.25">
      <c r="A204" s="6">
        <f t="shared" si="27"/>
        <v>200</v>
      </c>
      <c r="B204" s="24">
        <v>45140</v>
      </c>
      <c r="C204" s="35">
        <v>9.3460000000000001E-2</v>
      </c>
      <c r="D204" s="36">
        <v>8.9359999999999995E-2</v>
      </c>
      <c r="E204" s="36">
        <v>8.9459999999999998E-2</v>
      </c>
      <c r="F204" s="37">
        <v>8.9459999999999998E-2</v>
      </c>
      <c r="G204" s="35">
        <f t="shared" si="28"/>
        <v>6.4239828693790635E-4</v>
      </c>
      <c r="H204" s="36">
        <f t="shared" si="29"/>
        <v>6.7598017124832488E-3</v>
      </c>
      <c r="I204" s="36">
        <f t="shared" si="30"/>
        <v>9.0232348296863663E-3</v>
      </c>
      <c r="J204" s="37">
        <f t="shared" si="31"/>
        <v>3.3647375504710642E-3</v>
      </c>
    </row>
    <row r="205" spans="1:10" x14ac:dyDescent="0.25">
      <c r="A205" s="6">
        <f t="shared" si="27"/>
        <v>201</v>
      </c>
      <c r="B205" s="24">
        <v>45139</v>
      </c>
      <c r="C205" s="35">
        <v>9.3399999999999997E-2</v>
      </c>
      <c r="D205" s="36">
        <v>8.8759999999999992E-2</v>
      </c>
      <c r="E205" s="36">
        <v>8.8660000000000003E-2</v>
      </c>
      <c r="F205" s="37">
        <v>8.9160000000000003E-2</v>
      </c>
      <c r="G205" s="35">
        <f t="shared" si="28"/>
        <v>4.2844901456717821E-4</v>
      </c>
      <c r="H205" s="36">
        <f t="shared" si="29"/>
        <v>3.3913633280577837E-3</v>
      </c>
      <c r="I205" s="36">
        <f t="shared" si="30"/>
        <v>5.6715063520871301E-3</v>
      </c>
      <c r="J205" s="37">
        <f t="shared" si="31"/>
        <v>7.9131810988017914E-3</v>
      </c>
    </row>
    <row r="206" spans="1:10" x14ac:dyDescent="0.25">
      <c r="A206" s="6">
        <f t="shared" si="27"/>
        <v>202</v>
      </c>
      <c r="B206" s="24">
        <v>45138</v>
      </c>
      <c r="C206" s="35">
        <v>9.3359999999999999E-2</v>
      </c>
      <c r="D206" s="36">
        <v>8.8459999999999997E-2</v>
      </c>
      <c r="E206" s="36">
        <v>8.8160000000000002E-2</v>
      </c>
      <c r="F206" s="37">
        <v>8.8459999999999997E-2</v>
      </c>
      <c r="G206" s="35">
        <f t="shared" si="28"/>
        <v>-4.2166820560172402E-2</v>
      </c>
      <c r="H206" s="36">
        <f t="shared" si="29"/>
        <v>-3.9313640312771514E-2</v>
      </c>
      <c r="I206" s="36">
        <f t="shared" si="30"/>
        <v>-4.0696409140369871E-2</v>
      </c>
      <c r="J206" s="37">
        <f t="shared" si="31"/>
        <v>-4.1811091854419447E-2</v>
      </c>
    </row>
    <row r="207" spans="1:10" x14ac:dyDescent="0.25">
      <c r="A207" s="6">
        <f t="shared" si="27"/>
        <v>203</v>
      </c>
      <c r="B207" s="24">
        <v>45136</v>
      </c>
      <c r="C207" s="35">
        <v>9.7470000000000001E-2</v>
      </c>
      <c r="D207" s="36">
        <v>9.2079999999999995E-2</v>
      </c>
      <c r="E207" s="36">
        <v>9.1899999999999996E-2</v>
      </c>
      <c r="F207" s="37">
        <v>9.2319999999999999E-2</v>
      </c>
      <c r="G207" s="35">
        <f t="shared" si="28"/>
        <v>3.5152931180968405E-2</v>
      </c>
      <c r="H207" s="36">
        <f t="shared" si="29"/>
        <v>3.6236776952509597E-2</v>
      </c>
      <c r="I207" s="36">
        <f t="shared" si="30"/>
        <v>3.724604966139955E-2</v>
      </c>
      <c r="J207" s="37">
        <f t="shared" si="31"/>
        <v>3.4977578475336335E-2</v>
      </c>
    </row>
    <row r="208" spans="1:10" x14ac:dyDescent="0.25">
      <c r="A208" s="6">
        <f t="shared" si="27"/>
        <v>204</v>
      </c>
      <c r="B208" s="24">
        <v>45135</v>
      </c>
      <c r="C208" s="35">
        <v>9.4160000000000008E-2</v>
      </c>
      <c r="D208" s="36">
        <v>8.8859999999999995E-2</v>
      </c>
      <c r="E208" s="36">
        <v>8.8599999999999998E-2</v>
      </c>
      <c r="F208" s="37">
        <v>8.9200000000000002E-2</v>
      </c>
      <c r="G208" s="35">
        <f t="shared" si="28"/>
        <v>-1.0608953957138567E-3</v>
      </c>
      <c r="H208" s="36">
        <f t="shared" si="29"/>
        <v>5.6299966220008102E-4</v>
      </c>
      <c r="I208" s="36">
        <f t="shared" si="30"/>
        <v>1.0168342560161747E-3</v>
      </c>
      <c r="J208" s="37">
        <f t="shared" si="31"/>
        <v>-1.790510295434089E-3</v>
      </c>
    </row>
    <row r="209" spans="1:10" x14ac:dyDescent="0.25">
      <c r="A209" s="6">
        <f t="shared" si="27"/>
        <v>205</v>
      </c>
      <c r="B209" s="24">
        <v>45134</v>
      </c>
      <c r="C209" s="35">
        <v>9.4259999999999997E-2</v>
      </c>
      <c r="D209" s="36">
        <v>8.881E-2</v>
      </c>
      <c r="E209" s="36">
        <v>8.8510000000000005E-2</v>
      </c>
      <c r="F209" s="37">
        <v>8.9359999999999995E-2</v>
      </c>
      <c r="G209" s="35">
        <f t="shared" si="28"/>
        <v>4.2616663115278008E-3</v>
      </c>
      <c r="H209" s="36">
        <f t="shared" si="29"/>
        <v>3.9565905494007847E-3</v>
      </c>
      <c r="I209" s="36">
        <f t="shared" si="30"/>
        <v>3.9700544464609244E-3</v>
      </c>
      <c r="J209" s="37">
        <f t="shared" si="31"/>
        <v>6.7598017124832488E-3</v>
      </c>
    </row>
    <row r="210" spans="1:10" x14ac:dyDescent="0.25">
      <c r="A210" s="6">
        <f t="shared" si="27"/>
        <v>206</v>
      </c>
      <c r="B210" s="24">
        <v>45133</v>
      </c>
      <c r="C210" s="35">
        <v>9.3859999999999999E-2</v>
      </c>
      <c r="D210" s="36">
        <v>8.8459999999999997E-2</v>
      </c>
      <c r="E210" s="36">
        <v>8.8160000000000002E-2</v>
      </c>
      <c r="F210" s="37">
        <v>8.8759999999999992E-2</v>
      </c>
      <c r="G210" s="35">
        <f t="shared" si="28"/>
        <v>0</v>
      </c>
      <c r="H210" s="36">
        <f t="shared" si="29"/>
        <v>-3.3799008562415134E-3</v>
      </c>
      <c r="I210" s="36">
        <f t="shared" si="30"/>
        <v>-3.3913633280577837E-3</v>
      </c>
      <c r="J210" s="37">
        <f t="shared" si="31"/>
        <v>-1.6870993139130874E-3</v>
      </c>
    </row>
    <row r="211" spans="1:10" x14ac:dyDescent="0.25">
      <c r="A211" s="6">
        <f t="shared" si="27"/>
        <v>207</v>
      </c>
      <c r="B211" s="24">
        <v>45132</v>
      </c>
      <c r="C211" s="35">
        <v>9.3859999999999999E-2</v>
      </c>
      <c r="D211" s="36">
        <v>8.8759999999999992E-2</v>
      </c>
      <c r="E211" s="36">
        <v>8.8459999999999997E-2</v>
      </c>
      <c r="F211" s="37">
        <v>8.8910000000000003E-2</v>
      </c>
      <c r="G211" s="35">
        <f t="shared" si="28"/>
        <v>6.4336264207589533E-3</v>
      </c>
      <c r="H211" s="36">
        <f t="shared" si="29"/>
        <v>3.3913633280577837E-3</v>
      </c>
      <c r="I211" s="36">
        <f t="shared" si="30"/>
        <v>2.2660321776568626E-3</v>
      </c>
      <c r="J211" s="37">
        <f t="shared" si="31"/>
        <v>1.6899504281209232E-3</v>
      </c>
    </row>
    <row r="212" spans="1:10" x14ac:dyDescent="0.25">
      <c r="A212" s="6">
        <f t="shared" si="27"/>
        <v>208</v>
      </c>
      <c r="B212" s="24">
        <v>45131</v>
      </c>
      <c r="C212" s="35">
        <v>9.326000000000001E-2</v>
      </c>
      <c r="D212" s="36">
        <v>8.8459999999999997E-2</v>
      </c>
      <c r="E212" s="36">
        <v>8.8260000000000005E-2</v>
      </c>
      <c r="F212" s="37">
        <v>8.8759999999999992E-2</v>
      </c>
      <c r="G212" s="35">
        <f t="shared" si="28"/>
        <v>-3.1064935064935018E-2</v>
      </c>
      <c r="H212" s="36">
        <f t="shared" si="29"/>
        <v>3.4029038112521892E-3</v>
      </c>
      <c r="I212" s="36">
        <f t="shared" si="30"/>
        <v>-3.0748956731825094E-2</v>
      </c>
      <c r="J212" s="37">
        <f t="shared" si="31"/>
        <v>-3.1321619556913816E-2</v>
      </c>
    </row>
    <row r="213" spans="1:10" x14ac:dyDescent="0.25">
      <c r="A213" s="6">
        <f t="shared" si="27"/>
        <v>209</v>
      </c>
      <c r="B213" s="24">
        <v>45129</v>
      </c>
      <c r="C213" s="35">
        <v>9.6250000000000002E-2</v>
      </c>
      <c r="D213" s="36">
        <v>8.8160000000000002E-2</v>
      </c>
      <c r="E213" s="36">
        <v>9.1060000000000002E-2</v>
      </c>
      <c r="F213" s="37">
        <v>9.1630000000000003E-2</v>
      </c>
      <c r="G213" s="35">
        <f t="shared" si="28"/>
        <v>3.717672413793105E-2</v>
      </c>
      <c r="H213" s="36">
        <f t="shared" si="29"/>
        <v>0</v>
      </c>
      <c r="I213" s="36">
        <f t="shared" si="30"/>
        <v>3.6421579786023228E-2</v>
      </c>
      <c r="J213" s="37">
        <f t="shared" si="31"/>
        <v>3.7007695789950112E-2</v>
      </c>
    </row>
    <row r="214" spans="1:10" x14ac:dyDescent="0.25">
      <c r="A214" s="6">
        <f t="shared" si="27"/>
        <v>210</v>
      </c>
      <c r="B214" s="24">
        <v>45128</v>
      </c>
      <c r="C214" s="35">
        <v>9.2799999999999994E-2</v>
      </c>
      <c r="D214" s="36">
        <v>8.8160000000000002E-2</v>
      </c>
      <c r="E214" s="36">
        <v>8.7859999999999994E-2</v>
      </c>
      <c r="F214" s="37">
        <v>8.8360000000000008E-2</v>
      </c>
      <c r="G214" s="35">
        <f t="shared" si="28"/>
        <v>-4.3986696706362904E-3</v>
      </c>
      <c r="H214" s="36">
        <f t="shared" si="29"/>
        <v>-3.3913633280577837E-3</v>
      </c>
      <c r="I214" s="36">
        <f t="shared" si="30"/>
        <v>-4.5320643553139472E-3</v>
      </c>
      <c r="J214" s="37">
        <f t="shared" si="31"/>
        <v>-4.5065344749884995E-3</v>
      </c>
    </row>
    <row r="215" spans="1:10" x14ac:dyDescent="0.25">
      <c r="A215" s="6">
        <f t="shared" si="27"/>
        <v>211</v>
      </c>
      <c r="B215" s="24">
        <v>45127</v>
      </c>
      <c r="C215" s="35">
        <v>9.3210000000000001E-2</v>
      </c>
      <c r="D215" s="36">
        <v>8.8459999999999997E-2</v>
      </c>
      <c r="E215" s="36">
        <v>8.8260000000000005E-2</v>
      </c>
      <c r="F215" s="37">
        <v>8.8759999999999992E-2</v>
      </c>
      <c r="G215" s="35">
        <f t="shared" si="28"/>
        <v>4.8512289780078266E-3</v>
      </c>
      <c r="H215" s="36">
        <f t="shared" si="29"/>
        <v>5.684402000909472E-3</v>
      </c>
      <c r="I215" s="36">
        <f t="shared" si="30"/>
        <v>1.146000458400187E-2</v>
      </c>
      <c r="J215" s="37">
        <f t="shared" si="31"/>
        <v>3.3913633280577837E-3</v>
      </c>
    </row>
    <row r="216" spans="1:10" x14ac:dyDescent="0.25">
      <c r="A216" s="6">
        <f t="shared" si="27"/>
        <v>212</v>
      </c>
      <c r="B216" s="24">
        <v>45126</v>
      </c>
      <c r="C216" s="35">
        <v>9.2759999999999995E-2</v>
      </c>
      <c r="D216" s="36">
        <v>8.7959999999999997E-2</v>
      </c>
      <c r="E216" s="36">
        <v>8.7260000000000004E-2</v>
      </c>
      <c r="F216" s="37">
        <v>8.8459999999999997E-2</v>
      </c>
      <c r="G216" s="35">
        <f t="shared" si="28"/>
        <v>9.7975179621161423E-3</v>
      </c>
      <c r="H216" s="36">
        <f t="shared" si="29"/>
        <v>8.0220032088011983E-3</v>
      </c>
      <c r="I216" s="36">
        <f t="shared" si="30"/>
        <v>5.7630244352235849E-3</v>
      </c>
      <c r="J216" s="37">
        <f t="shared" si="31"/>
        <v>5.684402000909472E-3</v>
      </c>
    </row>
    <row r="217" spans="1:10" x14ac:dyDescent="0.25">
      <c r="A217" s="6">
        <f t="shared" si="27"/>
        <v>213</v>
      </c>
      <c r="B217" s="24">
        <v>45125</v>
      </c>
      <c r="C217" s="35">
        <v>9.1859999999999997E-2</v>
      </c>
      <c r="D217" s="36">
        <v>8.7260000000000004E-2</v>
      </c>
      <c r="E217" s="36">
        <v>8.6760000000000004E-2</v>
      </c>
      <c r="F217" s="37">
        <v>8.7959999999999997E-2</v>
      </c>
      <c r="G217" s="35">
        <f t="shared" si="28"/>
        <v>0</v>
      </c>
      <c r="H217" s="36">
        <f t="shared" si="29"/>
        <v>3.4498620055198881E-3</v>
      </c>
      <c r="I217" s="36">
        <f t="shared" si="30"/>
        <v>-2.2999080036797404E-3</v>
      </c>
      <c r="J217" s="37">
        <f t="shared" si="31"/>
        <v>0</v>
      </c>
    </row>
    <row r="218" spans="1:10" x14ac:dyDescent="0.25">
      <c r="A218" s="6">
        <f t="shared" si="27"/>
        <v>214</v>
      </c>
      <c r="B218" s="24">
        <v>45124</v>
      </c>
      <c r="C218" s="35">
        <v>9.1859999999999997E-2</v>
      </c>
      <c r="D218" s="36">
        <v>8.6959999999999996E-2</v>
      </c>
      <c r="E218" s="36">
        <v>8.6959999999999996E-2</v>
      </c>
      <c r="F218" s="37">
        <v>8.7959999999999997E-2</v>
      </c>
      <c r="G218" s="35">
        <f t="shared" si="28"/>
        <v>-3.8115183246073325E-2</v>
      </c>
      <c r="H218" s="36">
        <f t="shared" si="29"/>
        <v>-3.8691134202962663E-2</v>
      </c>
      <c r="I218" s="36">
        <f t="shared" si="30"/>
        <v>-3.9009835340921728E-2</v>
      </c>
      <c r="J218" s="37">
        <f t="shared" si="31"/>
        <v>-3.9108586410312451E-2</v>
      </c>
    </row>
    <row r="219" spans="1:10" x14ac:dyDescent="0.25">
      <c r="A219" s="6">
        <f t="shared" si="27"/>
        <v>215</v>
      </c>
      <c r="B219" s="24">
        <v>45122</v>
      </c>
      <c r="C219" s="35">
        <v>9.5500000000000002E-2</v>
      </c>
      <c r="D219" s="36">
        <v>9.0459999999999999E-2</v>
      </c>
      <c r="E219" s="36">
        <v>9.0490000000000001E-2</v>
      </c>
      <c r="F219" s="37">
        <v>9.1539999999999996E-2</v>
      </c>
      <c r="G219" s="35">
        <f t="shared" si="28"/>
        <v>3.7366934607864666E-2</v>
      </c>
      <c r="H219" s="36">
        <f t="shared" si="29"/>
        <v>3.4301394923393458E-2</v>
      </c>
      <c r="I219" s="36">
        <f t="shared" si="30"/>
        <v>3.5828754578754562E-2</v>
      </c>
      <c r="J219" s="37">
        <f t="shared" si="31"/>
        <v>3.7162927713573435E-2</v>
      </c>
    </row>
    <row r="220" spans="1:10" x14ac:dyDescent="0.25">
      <c r="A220" s="6">
        <f t="shared" si="27"/>
        <v>216</v>
      </c>
      <c r="B220" s="24">
        <v>45121</v>
      </c>
      <c r="C220" s="35">
        <v>9.2059999999999989E-2</v>
      </c>
      <c r="D220" s="36">
        <v>8.746000000000001E-2</v>
      </c>
      <c r="E220" s="36">
        <v>8.7360000000000007E-2</v>
      </c>
      <c r="F220" s="37">
        <v>8.8260000000000005E-2</v>
      </c>
      <c r="G220" s="35">
        <f t="shared" si="28"/>
        <v>5.4608999563126037E-3</v>
      </c>
      <c r="H220" s="36">
        <f t="shared" si="29"/>
        <v>5.7497700091997395E-3</v>
      </c>
      <c r="I220" s="36">
        <f t="shared" si="30"/>
        <v>4.5998160073599248E-3</v>
      </c>
      <c r="J220" s="37">
        <f t="shared" si="31"/>
        <v>-2.2609088853717818E-3</v>
      </c>
    </row>
    <row r="221" spans="1:10" x14ac:dyDescent="0.25">
      <c r="A221" s="6">
        <f t="shared" si="27"/>
        <v>217</v>
      </c>
      <c r="B221" s="24">
        <v>45120</v>
      </c>
      <c r="C221" s="35">
        <v>9.1560000000000002E-2</v>
      </c>
      <c r="D221" s="36">
        <v>8.6959999999999996E-2</v>
      </c>
      <c r="E221" s="36">
        <v>8.6959999999999996E-2</v>
      </c>
      <c r="F221" s="37">
        <v>8.8459999999999997E-2</v>
      </c>
      <c r="G221" s="35">
        <f t="shared" si="28"/>
        <v>-9.7339390006488946E-3</v>
      </c>
      <c r="H221" s="36">
        <f t="shared" si="29"/>
        <v>-5.7168991538990577E-3</v>
      </c>
      <c r="I221" s="36">
        <f t="shared" si="30"/>
        <v>-5.7168991538990577E-3</v>
      </c>
      <c r="J221" s="37">
        <f t="shared" si="31"/>
        <v>0</v>
      </c>
    </row>
    <row r="222" spans="1:10" x14ac:dyDescent="0.25">
      <c r="A222" s="6">
        <f t="shared" si="27"/>
        <v>218</v>
      </c>
      <c r="B222" s="24">
        <v>45119</v>
      </c>
      <c r="C222" s="35">
        <v>9.2460000000000001E-2</v>
      </c>
      <c r="D222" s="36">
        <v>8.746000000000001E-2</v>
      </c>
      <c r="E222" s="36">
        <v>8.746000000000001E-2</v>
      </c>
      <c r="F222" s="37">
        <v>8.8459999999999997E-2</v>
      </c>
      <c r="G222" s="35">
        <f t="shared" si="28"/>
        <v>-2.324107331502212E-2</v>
      </c>
      <c r="H222" s="36">
        <f t="shared" si="29"/>
        <v>-2.5623885918003575E-2</v>
      </c>
      <c r="I222" s="36">
        <f t="shared" si="30"/>
        <v>-2.2356360384529261E-2</v>
      </c>
      <c r="J222" s="37">
        <f t="shared" si="31"/>
        <v>-1.7765933821896507E-2</v>
      </c>
    </row>
    <row r="223" spans="1:10" x14ac:dyDescent="0.25">
      <c r="A223" s="6">
        <f t="shared" si="27"/>
        <v>219</v>
      </c>
      <c r="B223" s="24">
        <v>45118</v>
      </c>
      <c r="C223" s="35">
        <v>9.4659999999999994E-2</v>
      </c>
      <c r="D223" s="36">
        <v>8.9760000000000006E-2</v>
      </c>
      <c r="E223" s="36">
        <v>8.9459999999999998E-2</v>
      </c>
      <c r="F223" s="37">
        <v>9.0060000000000001E-2</v>
      </c>
      <c r="G223" s="35">
        <f t="shared" si="28"/>
        <v>-2.1083702298123619E-3</v>
      </c>
      <c r="H223" s="36">
        <f t="shared" si="29"/>
        <v>-1.1128421989762272E-3</v>
      </c>
      <c r="I223" s="36">
        <f t="shared" si="30"/>
        <v>0</v>
      </c>
      <c r="J223" s="37">
        <f t="shared" si="31"/>
        <v>-2.2158209616661706E-3</v>
      </c>
    </row>
    <row r="224" spans="1:10" x14ac:dyDescent="0.25">
      <c r="A224" s="6">
        <f t="shared" si="27"/>
        <v>220</v>
      </c>
      <c r="B224" s="24">
        <v>45117</v>
      </c>
      <c r="C224" s="35">
        <v>9.486E-2</v>
      </c>
      <c r="D224" s="36">
        <v>8.9860000000000009E-2</v>
      </c>
      <c r="E224" s="36">
        <v>8.9459999999999998E-2</v>
      </c>
      <c r="F224" s="37">
        <v>9.0259999999999993E-2</v>
      </c>
      <c r="G224" s="35">
        <f t="shared" si="28"/>
        <v>-3.0061349693251471E-2</v>
      </c>
      <c r="H224" s="36">
        <f t="shared" si="29"/>
        <v>-3.3451651070237731E-2</v>
      </c>
      <c r="I224" s="36">
        <f t="shared" si="30"/>
        <v>-3.2969408712571591E-2</v>
      </c>
      <c r="J224" s="37">
        <f t="shared" si="31"/>
        <v>-3.3204798628963195E-2</v>
      </c>
    </row>
    <row r="225" spans="1:10" x14ac:dyDescent="0.25">
      <c r="A225" s="6">
        <f t="shared" si="27"/>
        <v>221</v>
      </c>
      <c r="B225" s="24">
        <v>45115</v>
      </c>
      <c r="C225" s="35">
        <v>9.7799999999999998E-2</v>
      </c>
      <c r="D225" s="36">
        <v>9.2970000000000011E-2</v>
      </c>
      <c r="E225" s="36">
        <v>9.2509999999999995E-2</v>
      </c>
      <c r="F225" s="37">
        <v>9.3359999999999999E-2</v>
      </c>
      <c r="G225" s="35">
        <f t="shared" si="28"/>
        <v>3.5358882066483188E-2</v>
      </c>
      <c r="H225" s="36">
        <f t="shared" si="29"/>
        <v>3.5762032085561613E-2</v>
      </c>
      <c r="I225" s="36">
        <f t="shared" si="30"/>
        <v>3.7572902646926698E-2</v>
      </c>
      <c r="J225" s="37">
        <f t="shared" si="31"/>
        <v>3.7794575366829619E-2</v>
      </c>
    </row>
    <row r="226" spans="1:10" x14ac:dyDescent="0.25">
      <c r="A226" s="6">
        <f t="shared" si="27"/>
        <v>222</v>
      </c>
      <c r="B226" s="24">
        <v>45114</v>
      </c>
      <c r="C226" s="35">
        <v>9.4460000000000002E-2</v>
      </c>
      <c r="D226" s="36">
        <v>8.9760000000000006E-2</v>
      </c>
      <c r="E226" s="36">
        <v>8.9160000000000003E-2</v>
      </c>
      <c r="F226" s="37">
        <v>8.9959999999999998E-2</v>
      </c>
      <c r="G226" s="35">
        <f t="shared" si="28"/>
        <v>1.5153143471252184E-2</v>
      </c>
      <c r="H226" s="36">
        <f t="shared" si="29"/>
        <v>1.1266336187472081E-2</v>
      </c>
      <c r="I226" s="36">
        <f t="shared" si="30"/>
        <v>7.4576271186441723E-3</v>
      </c>
      <c r="J226" s="37">
        <f t="shared" si="31"/>
        <v>5.1396648044692572E-3</v>
      </c>
    </row>
    <row r="227" spans="1:10" x14ac:dyDescent="0.25">
      <c r="A227" s="6">
        <f t="shared" si="27"/>
        <v>223</v>
      </c>
      <c r="B227" s="24">
        <v>45113</v>
      </c>
      <c r="C227" s="35">
        <v>9.3049999999999994E-2</v>
      </c>
      <c r="D227" s="36">
        <v>8.8759999999999992E-2</v>
      </c>
      <c r="E227" s="36">
        <v>8.8499999999999995E-2</v>
      </c>
      <c r="F227" s="37">
        <v>8.9499999999999996E-2</v>
      </c>
      <c r="G227" s="35">
        <f t="shared" si="28"/>
        <v>5.2938634399306572E-3</v>
      </c>
      <c r="H227" s="36">
        <f t="shared" si="29"/>
        <v>5.6650804441420455E-3</v>
      </c>
      <c r="I227" s="36">
        <f t="shared" si="30"/>
        <v>1.0735495660118666E-2</v>
      </c>
      <c r="J227" s="37">
        <f t="shared" si="31"/>
        <v>4.9404895576015129E-3</v>
      </c>
    </row>
    <row r="228" spans="1:10" x14ac:dyDescent="0.25">
      <c r="A228" s="6">
        <f t="shared" si="27"/>
        <v>224</v>
      </c>
      <c r="B228" s="24">
        <v>45112</v>
      </c>
      <c r="C228" s="35">
        <v>9.2560000000000003E-2</v>
      </c>
      <c r="D228" s="36">
        <v>8.8260000000000005E-2</v>
      </c>
      <c r="E228" s="36">
        <v>8.7559999999999999E-2</v>
      </c>
      <c r="F228" s="37">
        <v>8.906E-2</v>
      </c>
      <c r="G228" s="35">
        <f t="shared" si="28"/>
        <v>5.4312404953293925E-3</v>
      </c>
      <c r="H228" s="36">
        <f t="shared" si="29"/>
        <v>5.697356426618061E-3</v>
      </c>
      <c r="I228" s="36">
        <f t="shared" si="30"/>
        <v>3.4380013752004501E-3</v>
      </c>
      <c r="J228" s="37">
        <f t="shared" si="31"/>
        <v>5.6458897922313511E-3</v>
      </c>
    </row>
    <row r="229" spans="1:10" x14ac:dyDescent="0.25">
      <c r="A229" s="6">
        <f t="shared" si="27"/>
        <v>225</v>
      </c>
      <c r="B229" s="24">
        <v>45111</v>
      </c>
      <c r="C229" s="35">
        <v>9.2059999999999989E-2</v>
      </c>
      <c r="D229" s="36">
        <v>8.7760000000000005E-2</v>
      </c>
      <c r="E229" s="36">
        <v>8.7260000000000004E-2</v>
      </c>
      <c r="F229" s="37">
        <v>8.856E-2</v>
      </c>
      <c r="G229" s="35">
        <f t="shared" si="28"/>
        <v>5.4608999563126037E-3</v>
      </c>
      <c r="H229" s="36">
        <f t="shared" si="29"/>
        <v>4.5787545787545625E-3</v>
      </c>
      <c r="I229" s="36">
        <f t="shared" si="30"/>
        <v>4.6051116739582731E-3</v>
      </c>
      <c r="J229" s="37">
        <f t="shared" si="31"/>
        <v>5.6779468544176925E-3</v>
      </c>
    </row>
    <row r="230" spans="1:10" x14ac:dyDescent="0.25">
      <c r="A230" s="6">
        <f t="shared" si="27"/>
        <v>226</v>
      </c>
      <c r="B230" s="24">
        <v>45110</v>
      </c>
      <c r="C230" s="35">
        <v>9.1560000000000002E-2</v>
      </c>
      <c r="D230" s="36">
        <v>8.7360000000000007E-2</v>
      </c>
      <c r="E230" s="36">
        <v>8.6859999999999993E-2</v>
      </c>
      <c r="F230" s="37">
        <v>8.8059999999999986E-2</v>
      </c>
      <c r="G230" s="35">
        <f t="shared" si="28"/>
        <v>-2.9673590504450953E-2</v>
      </c>
      <c r="H230" s="36">
        <f t="shared" ref="H230:H256" si="32">+D230/D231-1</f>
        <v>-3.1914893617021045E-2</v>
      </c>
      <c r="I230" s="36">
        <f t="shared" ref="I230:I256" si="33">+E230/E231-1</f>
        <v>-3.2954798485860692E-2</v>
      </c>
      <c r="J230" s="37">
        <f t="shared" ref="J230:J256" si="34">+F230/F231-1</f>
        <v>-3.2201340806682244E-2</v>
      </c>
    </row>
    <row r="231" spans="1:10" x14ac:dyDescent="0.25">
      <c r="A231" s="6">
        <f t="shared" si="27"/>
        <v>227</v>
      </c>
      <c r="B231" s="24">
        <v>45108</v>
      </c>
      <c r="C231" s="35">
        <v>9.4359999999999999E-2</v>
      </c>
      <c r="D231" s="36">
        <v>9.0239999999999987E-2</v>
      </c>
      <c r="E231" s="36">
        <v>8.9819999999999997E-2</v>
      </c>
      <c r="F231" s="37">
        <v>9.0990000000000001E-2</v>
      </c>
      <c r="G231" s="35">
        <f t="shared" si="28"/>
        <v>3.5103115401492024E-2</v>
      </c>
      <c r="H231" s="36">
        <f t="shared" si="32"/>
        <v>3.6526533425223828E-2</v>
      </c>
      <c r="I231" s="36">
        <f t="shared" si="33"/>
        <v>3.6464343411031663E-2</v>
      </c>
      <c r="J231" s="37">
        <f t="shared" si="34"/>
        <v>3.6804922515952576E-2</v>
      </c>
    </row>
    <row r="232" spans="1:10" x14ac:dyDescent="0.25">
      <c r="A232" s="6">
        <f t="shared" si="27"/>
        <v>228</v>
      </c>
      <c r="B232" s="24">
        <v>45107</v>
      </c>
      <c r="C232" s="35">
        <v>9.1159999999999991E-2</v>
      </c>
      <c r="D232" s="36">
        <v>8.7059999999999998E-2</v>
      </c>
      <c r="E232" s="36">
        <v>8.6660000000000001E-2</v>
      </c>
      <c r="F232" s="37">
        <v>8.7760000000000005E-2</v>
      </c>
      <c r="G232" s="35">
        <f t="shared" si="28"/>
        <v>5.5151114052502948E-3</v>
      </c>
      <c r="H232" s="36">
        <f t="shared" si="32"/>
        <v>0</v>
      </c>
      <c r="I232" s="36">
        <f t="shared" si="33"/>
        <v>-3.449862005519666E-3</v>
      </c>
      <c r="J232" s="37">
        <f t="shared" si="34"/>
        <v>-4.5372050816696596E-3</v>
      </c>
    </row>
    <row r="233" spans="1:10" x14ac:dyDescent="0.25">
      <c r="A233" s="6">
        <f t="shared" si="27"/>
        <v>229</v>
      </c>
      <c r="B233" s="24">
        <v>45106</v>
      </c>
      <c r="C233" s="35">
        <v>9.0660000000000004E-2</v>
      </c>
      <c r="D233" s="36">
        <v>8.7059999999999998E-2</v>
      </c>
      <c r="E233" s="36">
        <v>8.6959999999999996E-2</v>
      </c>
      <c r="F233" s="37">
        <v>8.8160000000000002E-2</v>
      </c>
      <c r="G233" s="35">
        <f t="shared" si="28"/>
        <v>1.2282268870031254E-2</v>
      </c>
      <c r="H233" s="36">
        <f t="shared" si="32"/>
        <v>1.3976240391334604E-2</v>
      </c>
      <c r="I233" s="36">
        <f t="shared" si="33"/>
        <v>1.5176278309595892E-2</v>
      </c>
      <c r="J233" s="37">
        <f t="shared" si="34"/>
        <v>8.0036588154583921E-3</v>
      </c>
    </row>
    <row r="234" spans="1:10" x14ac:dyDescent="0.25">
      <c r="A234" s="6">
        <f t="shared" si="27"/>
        <v>230</v>
      </c>
      <c r="B234" s="24">
        <v>45105</v>
      </c>
      <c r="C234" s="35">
        <v>8.9560000000000001E-2</v>
      </c>
      <c r="D234" s="36">
        <v>8.5860000000000006E-2</v>
      </c>
      <c r="E234" s="36">
        <v>8.5660000000000014E-2</v>
      </c>
      <c r="F234" s="37">
        <v>8.746000000000001E-2</v>
      </c>
      <c r="G234" s="35">
        <f t="shared" si="28"/>
        <v>1.1178180192263909E-3</v>
      </c>
      <c r="H234" s="36">
        <f t="shared" si="32"/>
        <v>1.1660447761194792E-3</v>
      </c>
      <c r="I234" s="36">
        <f t="shared" si="33"/>
        <v>-1.1660447761192572E-3</v>
      </c>
      <c r="J234" s="37">
        <f t="shared" si="34"/>
        <v>-3.4184138559707478E-3</v>
      </c>
    </row>
    <row r="235" spans="1:10" x14ac:dyDescent="0.25">
      <c r="A235" s="6">
        <f t="shared" si="27"/>
        <v>231</v>
      </c>
      <c r="B235" s="24">
        <v>45104</v>
      </c>
      <c r="C235" s="35">
        <v>8.9459999999999998E-2</v>
      </c>
      <c r="D235" s="36">
        <v>8.5760000000000003E-2</v>
      </c>
      <c r="E235" s="36">
        <v>8.5760000000000003E-2</v>
      </c>
      <c r="F235" s="37">
        <v>8.7760000000000005E-2</v>
      </c>
      <c r="G235" s="35">
        <f t="shared" si="28"/>
        <v>5.6205035971221839E-3</v>
      </c>
      <c r="H235" s="36">
        <f t="shared" si="32"/>
        <v>4.6860356138707093E-3</v>
      </c>
      <c r="I235" s="36">
        <f t="shared" si="33"/>
        <v>4.6860356138707093E-3</v>
      </c>
      <c r="J235" s="37">
        <f t="shared" si="34"/>
        <v>3.4301394923392792E-3</v>
      </c>
    </row>
    <row r="236" spans="1:10" x14ac:dyDescent="0.25">
      <c r="A236" s="6">
        <f t="shared" si="27"/>
        <v>232</v>
      </c>
      <c r="B236" s="24">
        <v>45103</v>
      </c>
      <c r="C236" s="35">
        <v>8.8960000000000011E-2</v>
      </c>
      <c r="D236" s="36">
        <v>8.5359999999999991E-2</v>
      </c>
      <c r="E236" s="36">
        <v>8.5359999999999991E-2</v>
      </c>
      <c r="F236" s="37">
        <v>8.746000000000001E-2</v>
      </c>
      <c r="G236" s="35">
        <f t="shared" si="28"/>
        <v>-3.9205097742736728E-2</v>
      </c>
      <c r="H236" s="36">
        <f t="shared" si="32"/>
        <v>-3.7437979251240594E-2</v>
      </c>
      <c r="I236" s="36">
        <f t="shared" si="33"/>
        <v>-3.7655016910935646E-2</v>
      </c>
      <c r="J236" s="37">
        <f t="shared" si="34"/>
        <v>-4.1744275227347361E-2</v>
      </c>
    </row>
    <row r="237" spans="1:10" x14ac:dyDescent="0.25">
      <c r="A237" s="6">
        <f t="shared" si="27"/>
        <v>233</v>
      </c>
      <c r="B237" s="24">
        <v>45101</v>
      </c>
      <c r="C237" s="35">
        <v>9.2590000000000006E-2</v>
      </c>
      <c r="D237" s="36">
        <v>8.8680000000000009E-2</v>
      </c>
      <c r="E237" s="36">
        <v>8.8699999999999987E-2</v>
      </c>
      <c r="F237" s="37">
        <v>9.1270000000000004E-2</v>
      </c>
      <c r="G237" s="35">
        <f t="shared" si="28"/>
        <v>3.3832067887449746E-2</v>
      </c>
      <c r="H237" s="36">
        <f t="shared" si="32"/>
        <v>3.6465638148667656E-2</v>
      </c>
      <c r="I237" s="36">
        <f t="shared" si="33"/>
        <v>3.5489143123978106E-2</v>
      </c>
      <c r="J237" s="37">
        <f t="shared" si="34"/>
        <v>3.6452418805360098E-2</v>
      </c>
    </row>
    <row r="238" spans="1:10" x14ac:dyDescent="0.25">
      <c r="A238" s="6">
        <f t="shared" si="27"/>
        <v>234</v>
      </c>
      <c r="B238" s="24">
        <v>45100</v>
      </c>
      <c r="C238" s="35">
        <v>8.9560000000000001E-2</v>
      </c>
      <c r="D238" s="36">
        <v>8.5559999999999997E-2</v>
      </c>
      <c r="E238" s="36">
        <v>8.5660000000000014E-2</v>
      </c>
      <c r="F238" s="37">
        <v>8.8059999999999986E-2</v>
      </c>
      <c r="G238" s="35">
        <f t="shared" si="28"/>
        <v>-1.2133245091550893E-2</v>
      </c>
      <c r="H238" s="36">
        <f t="shared" si="32"/>
        <v>-1.1552680221811662E-2</v>
      </c>
      <c r="I238" s="36">
        <f t="shared" si="33"/>
        <v>-1.1539349180706093E-2</v>
      </c>
      <c r="J238" s="37">
        <f t="shared" si="34"/>
        <v>-9.0029259509341042E-3</v>
      </c>
    </row>
    <row r="239" spans="1:10" x14ac:dyDescent="0.25">
      <c r="A239" s="6">
        <f t="shared" si="27"/>
        <v>235</v>
      </c>
      <c r="B239" s="24">
        <v>45099</v>
      </c>
      <c r="C239" s="35">
        <v>9.0660000000000004E-2</v>
      </c>
      <c r="D239" s="36">
        <v>8.6560000000000012E-2</v>
      </c>
      <c r="E239" s="36">
        <v>8.6660000000000001E-2</v>
      </c>
      <c r="F239" s="37">
        <v>8.8859999999999995E-2</v>
      </c>
      <c r="G239" s="35">
        <f t="shared" si="28"/>
        <v>-9.8296199213629976E-3</v>
      </c>
      <c r="H239" s="36">
        <f t="shared" si="32"/>
        <v>-9.157509157509125E-3</v>
      </c>
      <c r="I239" s="36">
        <f t="shared" si="33"/>
        <v>-8.0128205128205954E-3</v>
      </c>
      <c r="J239" s="37">
        <f t="shared" si="34"/>
        <v>0</v>
      </c>
    </row>
    <row r="240" spans="1:10" x14ac:dyDescent="0.25">
      <c r="A240" s="6">
        <f t="shared" si="27"/>
        <v>236</v>
      </c>
      <c r="B240" s="24">
        <v>45098</v>
      </c>
      <c r="C240" s="35">
        <v>9.1560000000000002E-2</v>
      </c>
      <c r="D240" s="36">
        <v>8.7360000000000007E-2</v>
      </c>
      <c r="E240" s="36">
        <v>8.7360000000000007E-2</v>
      </c>
      <c r="F240" s="37">
        <v>8.8859999999999995E-2</v>
      </c>
      <c r="G240" s="35">
        <f t="shared" si="28"/>
        <v>-1.0909884355225774E-3</v>
      </c>
      <c r="H240" s="36">
        <f t="shared" si="32"/>
        <v>-3.4223134839150848E-3</v>
      </c>
      <c r="I240" s="36">
        <f t="shared" si="33"/>
        <v>-2.2841480127910874E-3</v>
      </c>
      <c r="J240" s="37">
        <f t="shared" si="34"/>
        <v>-3.3647375504711752E-3</v>
      </c>
    </row>
    <row r="241" spans="1:10" x14ac:dyDescent="0.25">
      <c r="A241" s="6">
        <f t="shared" si="27"/>
        <v>237</v>
      </c>
      <c r="B241" s="24">
        <v>45097</v>
      </c>
      <c r="C241" s="35">
        <v>9.1660000000000005E-2</v>
      </c>
      <c r="D241" s="36">
        <v>8.7660000000000002E-2</v>
      </c>
      <c r="E241" s="36">
        <v>8.7559999999999999E-2</v>
      </c>
      <c r="F241" s="37">
        <v>8.9160000000000003E-2</v>
      </c>
      <c r="G241" s="35">
        <f t="shared" si="28"/>
        <v>-5.4253472222220989E-3</v>
      </c>
      <c r="H241" s="36">
        <f t="shared" si="32"/>
        <v>-3.4106412005456832E-3</v>
      </c>
      <c r="I241" s="36">
        <f t="shared" si="33"/>
        <v>-3.4145231049396152E-3</v>
      </c>
      <c r="J241" s="37">
        <f t="shared" si="34"/>
        <v>-5.57662279723381E-3</v>
      </c>
    </row>
    <row r="242" spans="1:10" x14ac:dyDescent="0.25">
      <c r="A242" s="6">
        <f t="shared" si="27"/>
        <v>238</v>
      </c>
      <c r="B242" s="24">
        <v>45096</v>
      </c>
      <c r="C242" s="35">
        <v>9.2159999999999992E-2</v>
      </c>
      <c r="D242" s="36">
        <v>8.7959999999999997E-2</v>
      </c>
      <c r="E242" s="36">
        <v>8.7859999999999994E-2</v>
      </c>
      <c r="F242" s="37">
        <v>8.965999999999999E-2</v>
      </c>
      <c r="G242" s="35">
        <f t="shared" si="28"/>
        <v>-3.5377852208499094E-2</v>
      </c>
      <c r="H242" s="36">
        <f t="shared" si="32"/>
        <v>-3.3087831153127412E-2</v>
      </c>
      <c r="I242" s="36">
        <f t="shared" si="33"/>
        <v>-3.3549664503354948E-2</v>
      </c>
      <c r="J242" s="37">
        <f t="shared" si="34"/>
        <v>-3.5187775745184613E-2</v>
      </c>
    </row>
    <row r="243" spans="1:10" x14ac:dyDescent="0.25">
      <c r="A243" s="6">
        <f t="shared" si="27"/>
        <v>239</v>
      </c>
      <c r="B243" s="24">
        <v>45094</v>
      </c>
      <c r="C243" s="35">
        <v>9.554E-2</v>
      </c>
      <c r="D243" s="36">
        <v>9.0969999999999995E-2</v>
      </c>
      <c r="E243" s="36">
        <v>9.0909999999999991E-2</v>
      </c>
      <c r="F243" s="37">
        <v>9.2929999999999999E-2</v>
      </c>
      <c r="G243" s="35">
        <f t="shared" si="28"/>
        <v>3.6675347222222321E-2</v>
      </c>
      <c r="H243" s="36">
        <f t="shared" si="32"/>
        <v>4.0846681922196648E-2</v>
      </c>
      <c r="I243" s="36">
        <f t="shared" si="33"/>
        <v>3.8734003656307081E-2</v>
      </c>
      <c r="J243" s="37">
        <f t="shared" si="34"/>
        <v>4.2985409652076312E-2</v>
      </c>
    </row>
    <row r="244" spans="1:10" x14ac:dyDescent="0.25">
      <c r="A244" s="6">
        <f t="shared" si="27"/>
        <v>240</v>
      </c>
      <c r="B244" s="24">
        <v>45093</v>
      </c>
      <c r="C244" s="35">
        <v>9.2159999999999992E-2</v>
      </c>
      <c r="D244" s="36">
        <v>8.7400000000000005E-2</v>
      </c>
      <c r="E244" s="36">
        <v>8.7520000000000001E-2</v>
      </c>
      <c r="F244" s="37">
        <v>8.9099999999999999E-2</v>
      </c>
      <c r="G244" s="35">
        <f t="shared" si="28"/>
        <v>1.0862480990658785E-3</v>
      </c>
      <c r="H244" s="36">
        <f t="shared" si="32"/>
        <v>-6.3665302410185198E-3</v>
      </c>
      <c r="I244" s="36">
        <f t="shared" si="33"/>
        <v>-2.7347310847767314E-3</v>
      </c>
      <c r="J244" s="37">
        <f t="shared" si="34"/>
        <v>-5.1362215274676215E-3</v>
      </c>
    </row>
    <row r="245" spans="1:10" x14ac:dyDescent="0.25">
      <c r="A245" s="6">
        <f t="shared" si="27"/>
        <v>241</v>
      </c>
      <c r="B245" s="24">
        <v>45092</v>
      </c>
      <c r="C245" s="35">
        <v>9.2059999999999989E-2</v>
      </c>
      <c r="D245" s="36">
        <v>8.7959999999999997E-2</v>
      </c>
      <c r="E245" s="36">
        <v>8.7760000000000005E-2</v>
      </c>
      <c r="F245" s="37">
        <v>8.9560000000000001E-2</v>
      </c>
      <c r="G245" s="35">
        <f t="shared" si="28"/>
        <v>-4.3261951113996444E-3</v>
      </c>
      <c r="H245" s="36">
        <f t="shared" si="32"/>
        <v>-6.7750677506775991E-3</v>
      </c>
      <c r="I245" s="36">
        <f t="shared" si="33"/>
        <v>-5.6650804441422675E-3</v>
      </c>
      <c r="J245" s="37">
        <f t="shared" si="34"/>
        <v>-4.4464206313916677E-3</v>
      </c>
    </row>
    <row r="246" spans="1:10" x14ac:dyDescent="0.25">
      <c r="A246" s="6">
        <f t="shared" si="27"/>
        <v>242</v>
      </c>
      <c r="B246" s="24">
        <v>45091</v>
      </c>
      <c r="C246" s="35">
        <v>9.2460000000000001E-2</v>
      </c>
      <c r="D246" s="36">
        <v>8.856E-2</v>
      </c>
      <c r="E246" s="36">
        <v>8.8260000000000005E-2</v>
      </c>
      <c r="F246" s="37">
        <v>8.9959999999999998E-2</v>
      </c>
      <c r="G246" s="35">
        <f t="shared" si="28"/>
        <v>1.0827197921177145E-3</v>
      </c>
      <c r="H246" s="36">
        <f t="shared" si="32"/>
        <v>-1.1279043537107958E-3</v>
      </c>
      <c r="I246" s="36">
        <f t="shared" si="33"/>
        <v>-2.2609088853717818E-3</v>
      </c>
      <c r="J246" s="37">
        <f t="shared" si="34"/>
        <v>-3.3237314424994224E-3</v>
      </c>
    </row>
    <row r="247" spans="1:10" x14ac:dyDescent="0.25">
      <c r="A247" s="6">
        <f t="shared" si="27"/>
        <v>243</v>
      </c>
      <c r="B247" s="24">
        <v>45090</v>
      </c>
      <c r="C247" s="35">
        <v>9.2360000000000012E-2</v>
      </c>
      <c r="D247" s="36">
        <v>8.8660000000000003E-2</v>
      </c>
      <c r="E247" s="36">
        <v>8.8459999999999997E-2</v>
      </c>
      <c r="F247" s="37">
        <v>9.0259999999999993E-2</v>
      </c>
      <c r="G247" s="35">
        <f t="shared" si="28"/>
        <v>1.0838933448948929E-3</v>
      </c>
      <c r="H247" s="36">
        <f t="shared" si="32"/>
        <v>1.129177958446359E-3</v>
      </c>
      <c r="I247" s="36">
        <f t="shared" si="33"/>
        <v>0</v>
      </c>
      <c r="J247" s="37">
        <f t="shared" si="34"/>
        <v>1.1091393078970224E-3</v>
      </c>
    </row>
    <row r="248" spans="1:10" x14ac:dyDescent="0.25">
      <c r="A248" s="6">
        <f t="shared" si="27"/>
        <v>244</v>
      </c>
      <c r="B248" s="24">
        <v>45089</v>
      </c>
      <c r="C248" s="35">
        <v>9.2260000000000009E-2</v>
      </c>
      <c r="D248" s="36">
        <v>8.856E-2</v>
      </c>
      <c r="E248" s="36">
        <v>8.8459999999999997E-2</v>
      </c>
      <c r="F248" s="37">
        <v>9.0160000000000004E-2</v>
      </c>
      <c r="G248" s="35">
        <f t="shared" si="28"/>
        <v>-3.5340861564199022E-2</v>
      </c>
      <c r="H248" s="36">
        <f t="shared" si="32"/>
        <v>-1.1279043537107958E-3</v>
      </c>
      <c r="I248" s="36">
        <f t="shared" si="33"/>
        <v>-3.6488399956431716E-2</v>
      </c>
      <c r="J248" s="37">
        <f t="shared" si="34"/>
        <v>-3.6546270570634865E-2</v>
      </c>
    </row>
    <row r="249" spans="1:10" x14ac:dyDescent="0.25">
      <c r="A249" s="6">
        <f t="shared" si="27"/>
        <v>245</v>
      </c>
      <c r="B249" s="24">
        <v>45087</v>
      </c>
      <c r="C249" s="35">
        <v>9.5640000000000003E-2</v>
      </c>
      <c r="D249" s="36">
        <v>8.8660000000000003E-2</v>
      </c>
      <c r="E249" s="36">
        <v>9.1809999999999989E-2</v>
      </c>
      <c r="F249" s="37">
        <v>9.358000000000001E-2</v>
      </c>
      <c r="G249" s="35">
        <f t="shared" si="28"/>
        <v>3.5513209181463834E-2</v>
      </c>
      <c r="H249" s="36">
        <f t="shared" si="32"/>
        <v>0</v>
      </c>
      <c r="I249" s="36">
        <f t="shared" si="33"/>
        <v>3.5528987141890234E-2</v>
      </c>
      <c r="J249" s="37">
        <f t="shared" si="34"/>
        <v>3.7932564330079854E-2</v>
      </c>
    </row>
    <row r="250" spans="1:10" x14ac:dyDescent="0.25">
      <c r="A250" s="6">
        <f t="shared" si="27"/>
        <v>246</v>
      </c>
      <c r="B250" s="24">
        <v>45086</v>
      </c>
      <c r="C250" s="35">
        <v>9.2360000000000012E-2</v>
      </c>
      <c r="D250" s="36">
        <v>8.8660000000000003E-2</v>
      </c>
      <c r="E250" s="36">
        <v>8.8660000000000003E-2</v>
      </c>
      <c r="F250" s="37">
        <v>9.0160000000000004E-2</v>
      </c>
      <c r="G250" s="35">
        <f t="shared" si="28"/>
        <v>3.2587442971976355E-3</v>
      </c>
      <c r="H250" s="36">
        <f t="shared" si="32"/>
        <v>5.6715063520871301E-3</v>
      </c>
      <c r="I250" s="36">
        <f t="shared" si="33"/>
        <v>5.6715063520871301E-3</v>
      </c>
      <c r="J250" s="37">
        <f t="shared" si="34"/>
        <v>-2.2133687472332131E-3</v>
      </c>
    </row>
    <row r="251" spans="1:10" x14ac:dyDescent="0.25">
      <c r="A251" s="6">
        <f t="shared" si="27"/>
        <v>247</v>
      </c>
      <c r="B251" s="24">
        <v>45085</v>
      </c>
      <c r="C251" s="35">
        <v>9.2059999999999989E-2</v>
      </c>
      <c r="D251" s="36">
        <v>8.8160000000000002E-2</v>
      </c>
      <c r="E251" s="36">
        <v>8.8160000000000002E-2</v>
      </c>
      <c r="F251" s="37">
        <v>9.0359999999999996E-2</v>
      </c>
      <c r="G251" s="35">
        <f t="shared" si="28"/>
        <v>-1.1807642765135462E-2</v>
      </c>
      <c r="H251" s="36">
        <f t="shared" si="32"/>
        <v>-7.8775602070672024E-3</v>
      </c>
      <c r="I251" s="36">
        <f t="shared" si="33"/>
        <v>-6.7598017124830267E-3</v>
      </c>
      <c r="J251" s="37">
        <f t="shared" si="34"/>
        <v>-6.5963060686016206E-3</v>
      </c>
    </row>
    <row r="252" spans="1:10" x14ac:dyDescent="0.25">
      <c r="A252" s="6">
        <f t="shared" si="27"/>
        <v>248</v>
      </c>
      <c r="B252" s="24">
        <v>45084</v>
      </c>
      <c r="C252" s="35">
        <v>9.3160000000000007E-2</v>
      </c>
      <c r="D252" s="36">
        <v>8.8859999999999995E-2</v>
      </c>
      <c r="E252" s="36">
        <v>8.8759999999999992E-2</v>
      </c>
      <c r="F252" s="37">
        <v>9.0959999999999999E-2</v>
      </c>
      <c r="G252" s="35">
        <f t="shared" si="28"/>
        <v>3.2306698255439859E-3</v>
      </c>
      <c r="H252" s="36">
        <f t="shared" si="32"/>
        <v>1.1266336187472081E-3</v>
      </c>
      <c r="I252" s="36">
        <f t="shared" si="33"/>
        <v>7.9491255961845475E-3</v>
      </c>
      <c r="J252" s="37">
        <f t="shared" si="34"/>
        <v>5.5273048861375074E-3</v>
      </c>
    </row>
    <row r="253" spans="1:10" x14ac:dyDescent="0.25">
      <c r="A253" s="6">
        <f t="shared" si="27"/>
        <v>249</v>
      </c>
      <c r="B253" s="24">
        <v>45083</v>
      </c>
      <c r="C253" s="35">
        <v>9.2859999999999998E-2</v>
      </c>
      <c r="D253" s="36">
        <v>8.8759999999999992E-2</v>
      </c>
      <c r="E253" s="36">
        <v>8.8059999999999986E-2</v>
      </c>
      <c r="F253" s="37">
        <v>9.0459999999999999E-2</v>
      </c>
      <c r="G253" s="35">
        <f t="shared" si="28"/>
        <v>-7.4818298418127815E-3</v>
      </c>
      <c r="H253" s="36">
        <f t="shared" si="32"/>
        <v>0</v>
      </c>
      <c r="I253" s="36">
        <f t="shared" si="33"/>
        <v>-4.5218177707440077E-3</v>
      </c>
      <c r="J253" s="37">
        <f t="shared" si="34"/>
        <v>1.1066843736167176E-3</v>
      </c>
    </row>
    <row r="254" spans="1:10" x14ac:dyDescent="0.25">
      <c r="A254" s="6">
        <f t="shared" si="27"/>
        <v>250</v>
      </c>
      <c r="B254" s="24">
        <v>45082</v>
      </c>
      <c r="C254" s="35">
        <v>9.3560000000000004E-2</v>
      </c>
      <c r="D254" s="36">
        <v>8.8759999999999992E-2</v>
      </c>
      <c r="E254" s="36">
        <v>8.8459999999999997E-2</v>
      </c>
      <c r="F254" s="37">
        <v>9.0359999999999996E-2</v>
      </c>
      <c r="G254" s="35">
        <f t="shared" si="28"/>
        <v>-3.5762135422034325E-2</v>
      </c>
      <c r="H254" s="36">
        <f t="shared" si="32"/>
        <v>-3.699685364001315E-2</v>
      </c>
      <c r="I254" s="36">
        <f t="shared" si="33"/>
        <v>-3.6278461706068188E-2</v>
      </c>
      <c r="J254" s="37">
        <f t="shared" si="34"/>
        <v>-2.2084805653709294E-3</v>
      </c>
    </row>
    <row r="255" spans="1:10" x14ac:dyDescent="0.25">
      <c r="A255" s="6">
        <f t="shared" si="27"/>
        <v>251</v>
      </c>
      <c r="B255" s="24">
        <v>45080</v>
      </c>
      <c r="C255" s="35">
        <v>9.7029999999999991E-2</v>
      </c>
      <c r="D255" s="36">
        <v>9.2170000000000002E-2</v>
      </c>
      <c r="E255" s="36">
        <v>9.1789999999999997E-2</v>
      </c>
      <c r="F255" s="37">
        <v>9.0559999999999988E-2</v>
      </c>
      <c r="G255" s="35">
        <f t="shared" si="28"/>
        <v>3.4876279863481185E-2</v>
      </c>
      <c r="H255" s="36">
        <f t="shared" si="32"/>
        <v>3.4920278463956844E-2</v>
      </c>
      <c r="I255" s="36">
        <f t="shared" si="33"/>
        <v>3.5303406271148141E-2</v>
      </c>
      <c r="J255" s="37">
        <f t="shared" si="34"/>
        <v>0</v>
      </c>
    </row>
    <row r="256" spans="1:10" x14ac:dyDescent="0.25">
      <c r="A256" s="6">
        <f t="shared" si="27"/>
        <v>252</v>
      </c>
      <c r="B256" s="24">
        <v>45079</v>
      </c>
      <c r="C256" s="35">
        <v>9.3759999999999996E-2</v>
      </c>
      <c r="D256" s="36">
        <v>8.906E-2</v>
      </c>
      <c r="E256" s="36">
        <v>8.8660000000000003E-2</v>
      </c>
      <c r="F256" s="37">
        <v>9.0559999999999988E-2</v>
      </c>
      <c r="G256" s="38">
        <f t="shared" si="28"/>
        <v>9.6920094766315135E-3</v>
      </c>
      <c r="H256" s="39">
        <f t="shared" si="32"/>
        <v>1.020871143375679E-2</v>
      </c>
      <c r="I256" s="39">
        <f t="shared" si="33"/>
        <v>7.9581628012734829E-3</v>
      </c>
      <c r="J256" s="40">
        <f t="shared" si="34"/>
        <v>4.4365572315880897E-3</v>
      </c>
    </row>
    <row r="257" spans="1:10" x14ac:dyDescent="0.25">
      <c r="A257" s="6">
        <v>253</v>
      </c>
      <c r="B257" s="24">
        <v>45078</v>
      </c>
      <c r="C257" s="38">
        <v>9.2859999999999998E-2</v>
      </c>
      <c r="D257" s="39">
        <v>8.8160000000000002E-2</v>
      </c>
      <c r="E257" s="39">
        <v>8.7959999999999997E-2</v>
      </c>
      <c r="F257" s="40">
        <v>9.0160000000000004E-2</v>
      </c>
      <c r="G257" s="22"/>
      <c r="H257" s="22"/>
      <c r="I257" s="22"/>
      <c r="J257" s="22"/>
    </row>
    <row r="259" spans="1:10" x14ac:dyDescent="0.25">
      <c r="G259" s="9"/>
      <c r="H259" s="9"/>
      <c r="I259" s="9"/>
      <c r="J259" s="9"/>
    </row>
  </sheetData>
  <mergeCells count="2">
    <mergeCell ref="C3:F3"/>
    <mergeCell ref="G3:J3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BCE9-4CE6-4C47-B259-D22853B00FF3}">
  <sheetPr codeName="Hoja4">
    <tabColor theme="7"/>
  </sheetPr>
  <dimension ref="A1:O561"/>
  <sheetViews>
    <sheetView zoomScale="87" zoomScaleNormal="126" workbookViewId="0">
      <selection activeCell="F9" sqref="F9"/>
    </sheetView>
  </sheetViews>
  <sheetFormatPr baseColWidth="10" defaultColWidth="8.85546875" defaultRowHeight="15" x14ac:dyDescent="0.25"/>
  <cols>
    <col min="1" max="1" width="10.7109375" bestFit="1" customWidth="1"/>
    <col min="2" max="2" width="16" bestFit="1" customWidth="1"/>
    <col min="3" max="3" width="21.140625" customWidth="1"/>
    <col min="4" max="4" width="16" customWidth="1"/>
    <col min="5" max="5" width="18.42578125" bestFit="1" customWidth="1"/>
    <col min="6" max="6" width="16" customWidth="1"/>
    <col min="7" max="7" width="16.5703125" customWidth="1"/>
    <col min="8" max="8" width="17.140625" customWidth="1"/>
    <col min="9" max="10" width="16.28515625" customWidth="1"/>
    <col min="11" max="12" width="13.7109375" customWidth="1"/>
    <col min="13" max="13" width="12.28515625" bestFit="1" customWidth="1"/>
  </cols>
  <sheetData>
    <row r="1" spans="1:14" x14ac:dyDescent="0.25">
      <c r="B1" s="44" t="s">
        <v>6</v>
      </c>
    </row>
    <row r="2" spans="1:14" x14ac:dyDescent="0.25">
      <c r="C2" s="45" t="s">
        <v>7</v>
      </c>
      <c r="D2" s="13">
        <v>45379</v>
      </c>
    </row>
    <row r="4" spans="1:14" x14ac:dyDescent="0.25">
      <c r="A4" s="1"/>
    </row>
    <row r="5" spans="1:14" ht="18.75" x14ac:dyDescent="0.3">
      <c r="A5" s="1"/>
      <c r="B5" s="125" t="s">
        <v>8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7"/>
    </row>
    <row r="6" spans="1:14" x14ac:dyDescent="0.25">
      <c r="A6" s="1"/>
      <c r="J6" t="s">
        <v>40</v>
      </c>
    </row>
    <row r="7" spans="1:14" x14ac:dyDescent="0.25">
      <c r="A7" s="1"/>
      <c r="E7" s="6"/>
      <c r="L7" s="128" t="s">
        <v>9</v>
      </c>
      <c r="M7" s="129"/>
    </row>
    <row r="8" spans="1:14" ht="30" x14ac:dyDescent="0.25">
      <c r="A8" s="1"/>
      <c r="B8" s="2" t="s">
        <v>10</v>
      </c>
      <c r="C8" s="2" t="s">
        <v>22</v>
      </c>
      <c r="D8" s="2" t="s">
        <v>23</v>
      </c>
      <c r="E8" s="2" t="s">
        <v>28</v>
      </c>
      <c r="F8" s="2" t="s">
        <v>11</v>
      </c>
      <c r="G8" s="2" t="s">
        <v>1</v>
      </c>
      <c r="H8" s="2" t="s">
        <v>12</v>
      </c>
      <c r="I8" s="2" t="s">
        <v>13</v>
      </c>
      <c r="J8" s="14" t="s">
        <v>24</v>
      </c>
      <c r="K8" s="14" t="s">
        <v>41</v>
      </c>
      <c r="L8" s="2" t="s">
        <v>3</v>
      </c>
      <c r="M8" s="2" t="s">
        <v>4</v>
      </c>
    </row>
    <row r="9" spans="1:14" x14ac:dyDescent="0.25">
      <c r="A9" s="1"/>
      <c r="B9" s="15" t="s">
        <v>25</v>
      </c>
      <c r="C9" s="47">
        <v>46450</v>
      </c>
      <c r="D9" s="50">
        <v>5.5E-2</v>
      </c>
      <c r="E9" s="53">
        <f xml:space="preserve"> Portafolio!C5</f>
        <v>9.7550000000000012E-2</v>
      </c>
      <c r="F9" s="56" cm="1">
        <f t="array" ref="F9" xml:space="preserve"> BonoM(100,D9,C9 - $D$2,E9)</f>
        <v>89.553641395063494</v>
      </c>
      <c r="G9" s="59">
        <v>3300</v>
      </c>
      <c r="H9" s="62">
        <f xml:space="preserve"> G9 * F9</f>
        <v>295527.01660370955</v>
      </c>
      <c r="I9" s="65">
        <f xml:space="preserve"> H9 / $H$13</f>
        <v>0.40939961570535466</v>
      </c>
      <c r="J9" s="68">
        <f xml:space="preserve"> MDURATION($D$2, C9, D9, E9, 2 )</f>
        <v>2.5991966275407545</v>
      </c>
      <c r="K9" s="71" cm="1">
        <f t="array" ref="K9">J9*E9*Vol_Dinamica(Portafolio!G5:G256)</f>
        <v>9.057945335856063E-2</v>
      </c>
      <c r="L9" s="74">
        <f xml:space="preserve"> - NORMSINV(0.99)*H9*K9*SQRT(1/252)</f>
        <v>-3922.8461213301466</v>
      </c>
      <c r="M9" s="77">
        <f xml:space="preserve"> L9 / H9</f>
        <v>-1.3274069377523387E-2</v>
      </c>
    </row>
    <row r="10" spans="1:14" x14ac:dyDescent="0.25">
      <c r="A10" s="1"/>
      <c r="B10" s="15" t="s">
        <v>26</v>
      </c>
      <c r="C10" s="48">
        <v>47269</v>
      </c>
      <c r="D10" s="51">
        <v>8.5000000000000006E-2</v>
      </c>
      <c r="E10" s="54">
        <f xml:space="preserve"> Portafolio!D5</f>
        <v>9.5890000000000003E-2</v>
      </c>
      <c r="F10" s="57" cm="1">
        <f t="array" ref="F10" xml:space="preserve"> BonoM(100,D10,C10 - $D$2,E10)</f>
        <v>98.209889506628784</v>
      </c>
      <c r="G10" s="60">
        <v>1500</v>
      </c>
      <c r="H10" s="63">
        <f t="shared" ref="H10:H12" si="0" xml:space="preserve"> G10 * F10</f>
        <v>147314.83425994316</v>
      </c>
      <c r="I10" s="66">
        <f t="shared" ref="I10:I12" si="1" xml:space="preserve"> H10 / $H$13</f>
        <v>0.20407825053298939</v>
      </c>
      <c r="J10" s="69">
        <f xml:space="preserve"> MDURATION($D$2, C10, D10, E10, 2 )</f>
        <v>3.9602663762970001</v>
      </c>
      <c r="K10" s="72" cm="1">
        <f t="array" ref="K10">J10*E10*Vol_Dinamica(Portafolio!H5:H256)</f>
        <v>0.14198003396830197</v>
      </c>
      <c r="L10" s="75">
        <f t="shared" ref="L10:L12" si="2" xml:space="preserve"> - NORMSINV(0.99)*H10*K10*SQRT(1/252)</f>
        <v>-3065.1246798935031</v>
      </c>
      <c r="M10" s="78">
        <f t="shared" ref="M10:M12" si="3" xml:space="preserve"> L10 / H10</f>
        <v>-2.0806626130298343E-2</v>
      </c>
    </row>
    <row r="11" spans="1:14" x14ac:dyDescent="0.25">
      <c r="A11" s="1"/>
      <c r="B11" s="15" t="s">
        <v>21</v>
      </c>
      <c r="C11" s="48">
        <v>47997</v>
      </c>
      <c r="D11" s="51">
        <v>7.7499999999999999E-2</v>
      </c>
      <c r="E11" s="54">
        <f xml:space="preserve"> Portafolio!E5</f>
        <v>9.6099999999999991E-2</v>
      </c>
      <c r="F11" s="57" cm="1">
        <f t="array" ref="F11" xml:space="preserve"> BonoM(100,D11,C11 - $D$2,E11)</f>
        <v>92.816080105486606</v>
      </c>
      <c r="G11" s="60">
        <v>2000</v>
      </c>
      <c r="H11" s="63">
        <f t="shared" si="0"/>
        <v>185632.1602109732</v>
      </c>
      <c r="I11" s="66">
        <f t="shared" si="1"/>
        <v>0.25716002525358733</v>
      </c>
      <c r="J11" s="69">
        <f xml:space="preserve"> MDURATION($D$2, C11, D11, E11, 2 )</f>
        <v>5.1448354457119505</v>
      </c>
      <c r="K11" s="72" cm="1">
        <f t="array" ref="K11">J11*E11*Vol_Dinamica(Portafolio!I5:I256)</f>
        <v>0.18249892104591781</v>
      </c>
      <c r="L11" s="75">
        <f t="shared" si="2"/>
        <v>-4964.641663379849</v>
      </c>
      <c r="M11" s="78">
        <f t="shared" si="3"/>
        <v>-2.6744512684318673E-2</v>
      </c>
    </row>
    <row r="12" spans="1:14" x14ac:dyDescent="0.25">
      <c r="A12" s="1"/>
      <c r="B12" s="15" t="s">
        <v>27</v>
      </c>
      <c r="C12" s="49">
        <v>50727</v>
      </c>
      <c r="D12" s="52">
        <v>8.5000000000000006E-2</v>
      </c>
      <c r="E12" s="55">
        <f xml:space="preserve"> Portafolio!F5</f>
        <v>9.6860000000000002E-2</v>
      </c>
      <c r="F12" s="58" cm="1">
        <f t="array" ref="F12" xml:space="preserve"> BonoM(100,D12,C12 - $D$2,E12)</f>
        <v>93.380639654701227</v>
      </c>
      <c r="G12" s="61">
        <v>1000</v>
      </c>
      <c r="H12" s="64">
        <f t="shared" si="0"/>
        <v>93380.639654701226</v>
      </c>
      <c r="I12" s="67">
        <f t="shared" si="1"/>
        <v>0.12936210850806867</v>
      </c>
      <c r="J12" s="70">
        <f xml:space="preserve"> MDURATION($D$2, C12, D12, E12, 2 )</f>
        <v>7.6929927454806935</v>
      </c>
      <c r="K12" s="73" cm="1">
        <f t="array" ref="K12">J12*E12*Vol_Dinamica(Portafolio!J5:J256)</f>
        <v>0.27232832974517551</v>
      </c>
      <c r="L12" s="76">
        <f t="shared" si="2"/>
        <v>-3726.6967505501279</v>
      </c>
      <c r="M12" s="79">
        <f t="shared" si="3"/>
        <v>-3.9908665911162544E-2</v>
      </c>
    </row>
    <row r="13" spans="1:14" ht="15.75" thickBot="1" x14ac:dyDescent="0.3">
      <c r="A13" s="1"/>
      <c r="H13" s="16">
        <f xml:space="preserve"> SUM(H9:H12)</f>
        <v>721854.65072932711</v>
      </c>
      <c r="I13" s="46">
        <f xml:space="preserve"> SUM(I9:I12)</f>
        <v>1</v>
      </c>
    </row>
    <row r="14" spans="1:14" ht="15.75" thickTop="1" x14ac:dyDescent="0.25"/>
    <row r="15" spans="1:14" x14ac:dyDescent="0.25">
      <c r="D15" s="3" t="s">
        <v>15</v>
      </c>
      <c r="K15" s="8"/>
    </row>
    <row r="16" spans="1:14" ht="18.75" x14ac:dyDescent="0.25">
      <c r="B16" s="130" t="s">
        <v>14</v>
      </c>
      <c r="C16" s="131"/>
      <c r="D16" s="80" cm="1">
        <f t="array" ref="D16" xml:space="preserve"> SQRT(MMULT(MMULT(TRANSPOSE(I9:I12),MMULT(MMULT(E30:H33,E23:H26),E30:H33)),I9:I12))</f>
        <v>0.14514341346893186</v>
      </c>
      <c r="E16" s="2" t="s">
        <v>3</v>
      </c>
      <c r="F16" s="2" t="s">
        <v>16</v>
      </c>
    </row>
    <row r="17" spans="1:8" ht="18.75" x14ac:dyDescent="0.25">
      <c r="D17" s="81" t="s">
        <v>5</v>
      </c>
      <c r="E17" s="82">
        <f>-NORMSINV(0.99)*H13*D16*SQRT(1/252)</f>
        <v>-15353.997981947479</v>
      </c>
      <c r="F17" s="83">
        <f xml:space="preserve"> E17 / H13</f>
        <v>-2.1270207189819364E-2</v>
      </c>
    </row>
    <row r="21" spans="1:8" ht="15.75" x14ac:dyDescent="0.25">
      <c r="C21" s="132" t="s">
        <v>17</v>
      </c>
      <c r="D21" s="132"/>
    </row>
    <row r="22" spans="1:8" x14ac:dyDescent="0.25">
      <c r="A22" s="1"/>
      <c r="E22" s="3" t="s">
        <v>25</v>
      </c>
      <c r="F22" s="3" t="s">
        <v>26</v>
      </c>
      <c r="G22" s="3" t="s">
        <v>21</v>
      </c>
      <c r="H22" s="3" t="s">
        <v>27</v>
      </c>
    </row>
    <row r="23" spans="1:8" x14ac:dyDescent="0.25">
      <c r="A23" s="1"/>
      <c r="D23" s="84" t="s">
        <v>25</v>
      </c>
      <c r="E23" s="17">
        <f xml:space="preserve"> CORREL(Portafolio!$G$5:$G$256, Portafolio!G5:G256)</f>
        <v>1</v>
      </c>
      <c r="F23" s="17">
        <f xml:space="preserve"> CORREL(Portafolio!$G$5:$G$256, Portafolio!H5:H256)</f>
        <v>0.92628574664100216</v>
      </c>
      <c r="G23" s="17">
        <f xml:space="preserve"> CORREL(Portafolio!$G$5:$G$256, Portafolio!I5:I256)</f>
        <v>0.93450648761668409</v>
      </c>
      <c r="H23" s="17">
        <f xml:space="preserve"> CORREL(Portafolio!$G$5:$G$256, Portafolio!J5:J256)</f>
        <v>0.92303175447933838</v>
      </c>
    </row>
    <row r="24" spans="1:8" x14ac:dyDescent="0.25">
      <c r="A24" s="1"/>
      <c r="D24" s="84" t="s">
        <v>26</v>
      </c>
      <c r="E24" s="17">
        <f xml:space="preserve"> CORREL(Portafolio!$H$5:$H$256, Portafolio!G5:G256)</f>
        <v>0.92628574664100216</v>
      </c>
      <c r="F24" s="17">
        <f xml:space="preserve"> CORREL(Portafolio!$H$5:$H$256, Portafolio!H5:H256)</f>
        <v>1.0000000000000002</v>
      </c>
      <c r="G24" s="17">
        <f xml:space="preserve"> CORREL(Portafolio!$H$5:$H$256, Portafolio!I5:I256)</f>
        <v>0.9630298512076424</v>
      </c>
      <c r="H24" s="17">
        <f xml:space="preserve"> CORREL(Portafolio!$H$5:$H$256, Portafolio!J5:J256)</f>
        <v>0.95088121566992645</v>
      </c>
    </row>
    <row r="25" spans="1:8" x14ac:dyDescent="0.25">
      <c r="A25" s="1"/>
      <c r="D25" s="84" t="s">
        <v>21</v>
      </c>
      <c r="E25" s="17">
        <f xml:space="preserve"> CORREL(Portafolio!$I$5:$I$256, Portafolio!G5:G256)</f>
        <v>0.93450648761668409</v>
      </c>
      <c r="F25" s="17">
        <f xml:space="preserve"> CORREL(Portafolio!$I$5:$I$256, Portafolio!H5:H256)</f>
        <v>0.9630298512076424</v>
      </c>
      <c r="G25" s="17">
        <f xml:space="preserve"> CORREL(Portafolio!$I$5:$I$256, Portafolio!I5:I256)</f>
        <v>0.99999999999999978</v>
      </c>
      <c r="H25" s="17">
        <f xml:space="preserve"> CORREL(Portafolio!$I$5:$I$256, Portafolio!J5:J256)</f>
        <v>0.96557053982893304</v>
      </c>
    </row>
    <row r="26" spans="1:8" x14ac:dyDescent="0.25">
      <c r="A26" s="1"/>
      <c r="D26" s="84" t="s">
        <v>27</v>
      </c>
      <c r="E26" s="17">
        <f xml:space="preserve"> CORREL(Portafolio!$J$5:$J$256, Portafolio!G5:G256)</f>
        <v>0.92303175447933838</v>
      </c>
      <c r="F26" s="17">
        <f xml:space="preserve"> CORREL(Portafolio!$J$5:$J$256, Portafolio!H5:H256)</f>
        <v>0.95088121566992645</v>
      </c>
      <c r="G26" s="17">
        <f xml:space="preserve"> CORREL(Portafolio!$J$5:$J$256, Portafolio!I5:I256)</f>
        <v>0.96557053982893304</v>
      </c>
      <c r="H26" s="17">
        <f xml:space="preserve"> CORREL(Portafolio!$J$5:$J$256, Portafolio!J5:J256)</f>
        <v>1</v>
      </c>
    </row>
    <row r="27" spans="1:8" x14ac:dyDescent="0.25">
      <c r="A27" s="1"/>
    </row>
    <row r="28" spans="1:8" ht="15.75" x14ac:dyDescent="0.25">
      <c r="A28" s="1"/>
      <c r="C28" s="132" t="s">
        <v>18</v>
      </c>
      <c r="D28" s="132"/>
    </row>
    <row r="29" spans="1:8" x14ac:dyDescent="0.25">
      <c r="A29" s="1"/>
      <c r="E29" s="3" t="s">
        <v>25</v>
      </c>
      <c r="F29" s="3" t="s">
        <v>26</v>
      </c>
      <c r="G29" s="3" t="s">
        <v>21</v>
      </c>
      <c r="H29" s="3" t="s">
        <v>27</v>
      </c>
    </row>
    <row r="30" spans="1:8" x14ac:dyDescent="0.25">
      <c r="A30" s="1"/>
      <c r="D30" s="84" t="s">
        <v>25</v>
      </c>
      <c r="E30" s="18">
        <f xml:space="preserve"> K9</f>
        <v>9.057945335856063E-2</v>
      </c>
      <c r="F30" s="19">
        <v>0</v>
      </c>
      <c r="G30" s="19">
        <v>0</v>
      </c>
      <c r="H30" s="19">
        <v>0</v>
      </c>
    </row>
    <row r="31" spans="1:8" x14ac:dyDescent="0.25">
      <c r="A31" s="1"/>
      <c r="D31" s="84" t="s">
        <v>26</v>
      </c>
      <c r="E31" s="19">
        <v>0</v>
      </c>
      <c r="F31" s="18">
        <f xml:space="preserve"> K10</f>
        <v>0.14198003396830197</v>
      </c>
      <c r="G31" s="19">
        <v>0</v>
      </c>
      <c r="H31" s="19">
        <v>0</v>
      </c>
    </row>
    <row r="32" spans="1:8" x14ac:dyDescent="0.25">
      <c r="A32" s="1"/>
      <c r="D32" s="84" t="s">
        <v>21</v>
      </c>
      <c r="E32" s="19">
        <v>0</v>
      </c>
      <c r="F32" s="19">
        <v>0</v>
      </c>
      <c r="G32" s="18">
        <f xml:space="preserve"> K11</f>
        <v>0.18249892104591781</v>
      </c>
      <c r="H32" s="19">
        <v>0</v>
      </c>
    </row>
    <row r="33" spans="1:15" x14ac:dyDescent="0.25">
      <c r="A33" s="1"/>
      <c r="D33" s="84" t="s">
        <v>27</v>
      </c>
      <c r="E33" s="19">
        <v>0</v>
      </c>
      <c r="F33" s="19">
        <v>0</v>
      </c>
      <c r="G33" s="19">
        <v>0</v>
      </c>
      <c r="H33" s="18">
        <f xml:space="preserve"> K12</f>
        <v>0.27232832974517551</v>
      </c>
    </row>
    <row r="34" spans="1:15" x14ac:dyDescent="0.25">
      <c r="A34" s="1"/>
    </row>
    <row r="35" spans="1:15" x14ac:dyDescent="0.25">
      <c r="A35" s="1"/>
    </row>
    <row r="36" spans="1:15" x14ac:dyDescent="0.25">
      <c r="A36" s="1"/>
      <c r="J36" s="20"/>
      <c r="K36" s="20"/>
      <c r="L36" s="20"/>
    </row>
    <row r="37" spans="1:15" x14ac:dyDescent="0.25">
      <c r="A37" s="1"/>
      <c r="J37" s="20"/>
      <c r="K37" s="20"/>
      <c r="L37" s="20"/>
    </row>
    <row r="38" spans="1:15" x14ac:dyDescent="0.25">
      <c r="A38" s="1"/>
      <c r="J38" s="20"/>
      <c r="K38" s="20"/>
      <c r="L38" s="20"/>
    </row>
    <row r="39" spans="1:15" x14ac:dyDescent="0.25">
      <c r="A39" s="1"/>
      <c r="J39" s="20"/>
      <c r="K39" s="20"/>
      <c r="L39" s="20"/>
    </row>
    <row r="40" spans="1:15" x14ac:dyDescent="0.25">
      <c r="A40" s="1"/>
      <c r="J40" s="20"/>
      <c r="K40" s="20"/>
      <c r="L40" s="20"/>
    </row>
    <row r="41" spans="1:15" x14ac:dyDescent="0.25">
      <c r="A41" s="1"/>
      <c r="J41" s="20"/>
      <c r="K41" s="20"/>
      <c r="L41" s="20"/>
    </row>
    <row r="42" spans="1:15" x14ac:dyDescent="0.25">
      <c r="A42" s="1"/>
      <c r="J42" s="20"/>
      <c r="K42" s="20"/>
      <c r="L42" s="20"/>
    </row>
    <row r="43" spans="1:15" x14ac:dyDescent="0.25">
      <c r="A43" s="1"/>
      <c r="J43" s="20"/>
      <c r="K43" s="20"/>
      <c r="L43" s="20"/>
      <c r="M43" s="21"/>
      <c r="N43" s="21"/>
      <c r="O43" s="21"/>
    </row>
    <row r="44" spans="1:15" x14ac:dyDescent="0.25">
      <c r="A44" s="1"/>
    </row>
    <row r="45" spans="1:15" x14ac:dyDescent="0.25">
      <c r="A45" s="1"/>
    </row>
    <row r="46" spans="1:15" x14ac:dyDescent="0.25">
      <c r="A46" s="1"/>
    </row>
    <row r="47" spans="1:15" x14ac:dyDescent="0.25">
      <c r="A47" s="1"/>
    </row>
    <row r="48" spans="1:15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</sheetData>
  <mergeCells count="5">
    <mergeCell ref="B5:N5"/>
    <mergeCell ref="L7:M7"/>
    <mergeCell ref="B16:C16"/>
    <mergeCell ref="C21:D21"/>
    <mergeCell ref="C28:D28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C2EC4-0077-4803-8F3B-2F7B0593729E}">
  <sheetPr codeName="Hoja5">
    <tabColor theme="4"/>
  </sheetPr>
  <dimension ref="A1:Z265"/>
  <sheetViews>
    <sheetView zoomScale="84" zoomScaleNormal="130" workbookViewId="0">
      <pane xSplit="2" ySplit="4" topLeftCell="C5" activePane="bottomRight" state="frozen"/>
      <selection pane="topRight" activeCell="E1" sqref="E1"/>
      <selection pane="bottomLeft" activeCell="A5" sqref="A5"/>
      <selection pane="bottomRight" activeCell="K269" sqref="K269"/>
    </sheetView>
  </sheetViews>
  <sheetFormatPr baseColWidth="10" defaultColWidth="8.85546875" defaultRowHeight="15" x14ac:dyDescent="0.25"/>
  <cols>
    <col min="1" max="1" width="4.28515625" bestFit="1" customWidth="1"/>
    <col min="2" max="2" width="13" bestFit="1" customWidth="1"/>
    <col min="3" max="10" width="13.140625" customWidth="1"/>
    <col min="11" max="18" width="12.85546875" bestFit="1" customWidth="1"/>
    <col min="19" max="19" width="14" customWidth="1"/>
    <col min="20" max="20" width="17.5703125" bestFit="1" customWidth="1"/>
    <col min="21" max="21" width="16.28515625" bestFit="1" customWidth="1"/>
    <col min="22" max="22" width="17" bestFit="1" customWidth="1"/>
    <col min="23" max="23" width="10.85546875" bestFit="1" customWidth="1"/>
    <col min="24" max="24" width="17.140625" bestFit="1" customWidth="1"/>
    <col min="25" max="28" width="10.28515625" bestFit="1" customWidth="1"/>
    <col min="29" max="29" width="11.28515625" bestFit="1" customWidth="1"/>
  </cols>
  <sheetData>
    <row r="1" spans="1:26" x14ac:dyDescent="0.25">
      <c r="B1" s="2" t="s">
        <v>39</v>
      </c>
      <c r="C1" s="85">
        <v>46450</v>
      </c>
      <c r="D1" s="85">
        <v>47269</v>
      </c>
      <c r="E1" s="85">
        <v>47997</v>
      </c>
      <c r="F1" s="85">
        <v>50727</v>
      </c>
      <c r="N1" s="87" t="s">
        <v>29</v>
      </c>
      <c r="O1" s="88">
        <f>+O2*C5</f>
        <v>295527.01660370955</v>
      </c>
      <c r="P1" s="88">
        <f>+P2*D5</f>
        <v>147314.83425994316</v>
      </c>
      <c r="Q1" s="88">
        <f>+Q2*E5</f>
        <v>185632.1602109732</v>
      </c>
      <c r="R1" s="88">
        <f>+R2*F5</f>
        <v>93380.639654701226</v>
      </c>
      <c r="T1" s="2" t="s">
        <v>42</v>
      </c>
      <c r="U1" s="90">
        <f>+SUM(O1:R1)</f>
        <v>721854.65072932711</v>
      </c>
    </row>
    <row r="2" spans="1:26" x14ac:dyDescent="0.25">
      <c r="B2" s="2" t="s">
        <v>38</v>
      </c>
      <c r="C2" s="86">
        <v>5.5E-2</v>
      </c>
      <c r="D2" s="86">
        <v>8.5000000000000006E-2</v>
      </c>
      <c r="E2" s="86">
        <v>7.7499999999999999E-2</v>
      </c>
      <c r="F2" s="86">
        <v>8.5000000000000006E-2</v>
      </c>
      <c r="N2" s="87" t="s">
        <v>30</v>
      </c>
      <c r="O2" s="89">
        <v>3300</v>
      </c>
      <c r="P2" s="89">
        <v>1500</v>
      </c>
      <c r="Q2" s="89">
        <v>2000</v>
      </c>
      <c r="R2" s="89">
        <v>1000</v>
      </c>
    </row>
    <row r="3" spans="1:26" x14ac:dyDescent="0.25">
      <c r="C3" s="119" t="s">
        <v>31</v>
      </c>
      <c r="D3" s="120"/>
      <c r="E3" s="120"/>
      <c r="F3" s="120"/>
      <c r="G3" s="122" t="s">
        <v>32</v>
      </c>
      <c r="H3" s="123"/>
      <c r="I3" s="123"/>
      <c r="J3" s="123"/>
      <c r="K3" s="136" t="s">
        <v>37</v>
      </c>
      <c r="L3" s="137"/>
      <c r="M3" s="137"/>
      <c r="N3" s="137"/>
      <c r="O3" s="138" t="s">
        <v>33</v>
      </c>
      <c r="P3" s="138"/>
      <c r="Q3" s="138"/>
      <c r="R3" s="138"/>
    </row>
    <row r="4" spans="1:26" x14ac:dyDescent="0.25">
      <c r="A4" s="2" t="s">
        <v>2</v>
      </c>
      <c r="B4" s="2" t="s">
        <v>0</v>
      </c>
      <c r="C4" s="4" t="s">
        <v>25</v>
      </c>
      <c r="D4" s="4" t="s">
        <v>26</v>
      </c>
      <c r="E4" s="4" t="s">
        <v>21</v>
      </c>
      <c r="F4" s="4" t="s">
        <v>27</v>
      </c>
      <c r="G4" s="3" t="str">
        <f t="shared" ref="G4:R4" si="0">+C4</f>
        <v>BONOM_2027</v>
      </c>
      <c r="H4" s="3" t="str">
        <f t="shared" si="0"/>
        <v>BONOM_2029</v>
      </c>
      <c r="I4" s="3" t="str">
        <f t="shared" si="0"/>
        <v>BONOM_2031</v>
      </c>
      <c r="J4" s="3" t="str">
        <f t="shared" si="0"/>
        <v>BONOM_2038</v>
      </c>
      <c r="K4" s="3" t="str">
        <f t="shared" si="0"/>
        <v>BONOM_2027</v>
      </c>
      <c r="L4" s="3" t="str">
        <f t="shared" si="0"/>
        <v>BONOM_2029</v>
      </c>
      <c r="M4" s="3" t="str">
        <f t="shared" si="0"/>
        <v>BONOM_2031</v>
      </c>
      <c r="N4" s="3" t="str">
        <f t="shared" si="0"/>
        <v>BONOM_2038</v>
      </c>
      <c r="O4" s="3" t="str">
        <f t="shared" si="0"/>
        <v>BONOM_2027</v>
      </c>
      <c r="P4" s="3" t="str">
        <f t="shared" si="0"/>
        <v>BONOM_2029</v>
      </c>
      <c r="Q4" s="3" t="str">
        <f t="shared" si="0"/>
        <v>BONOM_2031</v>
      </c>
      <c r="R4" s="3" t="str">
        <f t="shared" si="0"/>
        <v>BONOM_2038</v>
      </c>
      <c r="S4" s="91" t="s">
        <v>34</v>
      </c>
      <c r="T4" s="25"/>
    </row>
    <row r="5" spans="1:26" ht="15" customHeight="1" x14ac:dyDescent="0.25">
      <c r="A5" s="6">
        <f t="shared" ref="A5:A68" si="1">+A6-1</f>
        <v>0</v>
      </c>
      <c r="B5" s="23">
        <v>45379</v>
      </c>
      <c r="C5" s="26" cm="1">
        <f t="array" ref="C5" xml:space="preserve"> BonoM(100,C$2,C$1 - $B5,Portafolio!C5)</f>
        <v>89.553641395063494</v>
      </c>
      <c r="D5" s="26" cm="1">
        <f t="array" ref="D5" xml:space="preserve"> BonoM(100,D$2,D$1 - $B5,Portafolio!D5)</f>
        <v>98.209889506628784</v>
      </c>
      <c r="E5" s="26" cm="1">
        <f t="array" ref="E5" xml:space="preserve"> BonoM(100,E$2,E$1 - $B5,Portafolio!E5)</f>
        <v>92.816080105486606</v>
      </c>
      <c r="F5" s="26" cm="1">
        <f t="array" ref="F5" xml:space="preserve"> BonoM(100,F$2,F$1 - $B5,Portafolio!F5)</f>
        <v>93.380639654701227</v>
      </c>
      <c r="G5" s="5">
        <f xml:space="preserve"> C5/C6 - 1</f>
        <v>-8.1186756973297136E-3</v>
      </c>
      <c r="H5" s="5">
        <f t="shared" ref="H5:J5" si="2" xml:space="preserve"> D5/D6 - 1</f>
        <v>-1.4240455825010101E-2</v>
      </c>
      <c r="I5" s="5">
        <f t="shared" si="2"/>
        <v>-1.8060264465159737E-2</v>
      </c>
      <c r="J5" s="5">
        <f t="shared" si="2"/>
        <v>-2.6792782280400829E-2</v>
      </c>
      <c r="K5" s="10">
        <f xml:space="preserve"> C$5 * (1 + G5)</f>
        <v>88.826584423062016</v>
      </c>
      <c r="L5" s="10">
        <f t="shared" ref="L5:N5" si="3" xml:space="preserve"> D$5 * (1 + H5)</f>
        <v>96.811335913530513</v>
      </c>
      <c r="M5" s="10">
        <f t="shared" si="3"/>
        <v>91.13979715216206</v>
      </c>
      <c r="N5" s="10">
        <f t="shared" si="3"/>
        <v>90.878712507228258</v>
      </c>
      <c r="O5" s="11">
        <f xml:space="preserve"> (C$5 - K5) * O$2</f>
        <v>2399.2880076048764</v>
      </c>
      <c r="P5" s="11">
        <f t="shared" ref="P5:R5" si="4" xml:space="preserve"> (D$5 - L5) * P$2</f>
        <v>2097.8303896474058</v>
      </c>
      <c r="Q5" s="11">
        <f t="shared" si="4"/>
        <v>3352.5659066490903</v>
      </c>
      <c r="R5" s="11">
        <f t="shared" si="4"/>
        <v>2501.9271474729694</v>
      </c>
      <c r="S5" s="27">
        <f xml:space="preserve"> SUM(O5:R5)</f>
        <v>10351.611451374341</v>
      </c>
      <c r="T5" s="139" t="s">
        <v>35</v>
      </c>
      <c r="U5" s="139"/>
      <c r="V5" s="139"/>
      <c r="W5" s="139"/>
      <c r="X5" s="139"/>
      <c r="Z5" s="92"/>
    </row>
    <row r="6" spans="1:26" x14ac:dyDescent="0.25">
      <c r="A6" s="6">
        <f t="shared" si="1"/>
        <v>1</v>
      </c>
      <c r="B6" s="24">
        <v>45378</v>
      </c>
      <c r="C6" s="31" cm="1">
        <f t="array" ref="C6" xml:space="preserve"> BonoM(100,C$2,C$1 - $B6,Portafolio!C6)</f>
        <v>90.286649421515278</v>
      </c>
      <c r="D6" s="31" cm="1">
        <f t="array" ref="D6" xml:space="preserve"> BonoM(100,D$2,D$1 - $B6,Portafolio!D6)</f>
        <v>99.628646851016214</v>
      </c>
      <c r="E6" s="31" cm="1">
        <f t="array" ref="E6" xml:space="preserve"> BonoM(100,E$2,E$1 - $B6,Portafolio!E6)</f>
        <v>94.523193986983117</v>
      </c>
      <c r="F6" s="31" cm="1">
        <f t="array" ref="F6" xml:space="preserve"> BonoM(100,F$2,F$1 - $B6,Portafolio!F6)</f>
        <v>95.951445852928401</v>
      </c>
      <c r="G6" s="5">
        <f t="shared" ref="G6:G69" si="5" xml:space="preserve"> C6/C7 - 1</f>
        <v>1.8435844368180909E-3</v>
      </c>
      <c r="H6" s="5">
        <f t="shared" ref="H6:H69" si="6" xml:space="preserve"> D6/D7 - 1</f>
        <v>1.8652841529640529E-3</v>
      </c>
      <c r="I6" s="5">
        <f t="shared" ref="I6:I69" si="7" xml:space="preserve"> E6/E7 - 1</f>
        <v>1.2997343897012126E-3</v>
      </c>
      <c r="J6" s="5">
        <f t="shared" ref="J6:J69" si="8" xml:space="preserve"> F6/F7 - 1</f>
        <v>3.4126762077641981E-3</v>
      </c>
      <c r="K6" s="10">
        <f t="shared" ref="K6:K69" si="9" xml:space="preserve"> C$5 * (1 + G6)</f>
        <v>89.718741094599821</v>
      </c>
      <c r="L6" s="10">
        <f t="shared" ref="L6:L69" si="10" xml:space="preserve"> D$5 * (1 + H6)</f>
        <v>98.393078857189849</v>
      </c>
      <c r="M6" s="10">
        <f t="shared" ref="M6:M69" si="11" xml:space="preserve"> E$5 * (1 + I6)</f>
        <v>92.936716356716971</v>
      </c>
      <c r="N6" s="10">
        <f t="shared" ref="N6:N69" si="12" xml:space="preserve"> F$5 * (1 + J6)</f>
        <v>93.699317541916628</v>
      </c>
      <c r="O6" s="11">
        <f t="shared" ref="O6:O69" si="13" xml:space="preserve"> (C$5 - K6) * O$2</f>
        <v>-544.82900846987968</v>
      </c>
      <c r="P6" s="11">
        <f t="shared" ref="P6:P69" si="14" xml:space="preserve"> (D$5 - L6) * P$2</f>
        <v>-274.78402584159767</v>
      </c>
      <c r="Q6" s="11">
        <f t="shared" ref="Q6:Q69" si="15" xml:space="preserve"> (E$5 - M6) * Q$2</f>
        <v>-241.27250246073118</v>
      </c>
      <c r="R6" s="11">
        <f t="shared" ref="R6:R69" si="16" xml:space="preserve"> (F$5 - N6) * R$2</f>
        <v>-318.6778872154008</v>
      </c>
      <c r="S6" s="27">
        <f t="shared" ref="S6:S69" si="17" xml:space="preserve"> SUM(O6:R6)</f>
        <v>-1379.5634239876094</v>
      </c>
    </row>
    <row r="7" spans="1:26" x14ac:dyDescent="0.25">
      <c r="A7" s="6">
        <f t="shared" si="1"/>
        <v>2</v>
      </c>
      <c r="B7" s="24">
        <v>45377</v>
      </c>
      <c r="C7" s="31" cm="1">
        <f t="array" ref="C7" xml:space="preserve"> BonoM(100,C$2,C$1 - $B7,Portafolio!C7)</f>
        <v>90.120504661682801</v>
      </c>
      <c r="D7" s="31" cm="1">
        <f t="array" ref="D7" xml:space="preserve"> BonoM(100,D$2,D$1 - $B7,Portafolio!D7)</f>
        <v>99.443157105945787</v>
      </c>
      <c r="E7" s="31" cm="1">
        <f t="array" ref="E7" xml:space="preserve"> BonoM(100,E$2,E$1 - $B7,Portafolio!E7)</f>
        <v>94.40049841279108</v>
      </c>
      <c r="F7" s="31" cm="1">
        <f t="array" ref="F7" xml:space="preserve"> BonoM(100,F$2,F$1 - $B7,Portafolio!F7)</f>
        <v>95.6251083208968</v>
      </c>
      <c r="G7" s="5">
        <f t="shared" si="5"/>
        <v>1.3164720830352028E-3</v>
      </c>
      <c r="H7" s="5">
        <f t="shared" si="6"/>
        <v>1.8666994064890918E-3</v>
      </c>
      <c r="I7" s="5">
        <f t="shared" si="7"/>
        <v>2.3498914075748001E-3</v>
      </c>
      <c r="J7" s="5">
        <f t="shared" si="8"/>
        <v>4.1996603652230124E-3</v>
      </c>
      <c r="K7" s="10">
        <f t="shared" si="9"/>
        <v>89.671536263894239</v>
      </c>
      <c r="L7" s="10">
        <f t="shared" si="10"/>
        <v>98.393217849082163</v>
      </c>
      <c r="M7" s="10">
        <f t="shared" si="11"/>
        <v>93.034187814611258</v>
      </c>
      <c r="N7" s="10">
        <f t="shared" si="12"/>
        <v>93.772806625938244</v>
      </c>
      <c r="O7" s="11">
        <f t="shared" si="13"/>
        <v>-389.05306714146093</v>
      </c>
      <c r="P7" s="11">
        <f t="shared" si="14"/>
        <v>-274.99251368006838</v>
      </c>
      <c r="Q7" s="11">
        <f t="shared" si="15"/>
        <v>-436.21541824930432</v>
      </c>
      <c r="R7" s="11">
        <f t="shared" si="16"/>
        <v>-392.16697123701749</v>
      </c>
      <c r="S7" s="27">
        <f t="shared" si="17"/>
        <v>-1492.427970307851</v>
      </c>
      <c r="V7" s="2" t="s">
        <v>3</v>
      </c>
      <c r="W7" s="2" t="s">
        <v>4</v>
      </c>
      <c r="X7" s="30"/>
    </row>
    <row r="8" spans="1:26" ht="18.75" x14ac:dyDescent="0.25">
      <c r="A8" s="6">
        <f t="shared" si="1"/>
        <v>3</v>
      </c>
      <c r="B8" s="24">
        <v>45376</v>
      </c>
      <c r="C8" s="31" cm="1">
        <f t="array" ref="C8" xml:space="preserve"> BonoM(100,C$2,C$1 - $B8,Portafolio!C8)</f>
        <v>90.002019515573764</v>
      </c>
      <c r="D8" s="31" cm="1">
        <f t="array" ref="D8" xml:space="preserve"> BonoM(100,D$2,D$1 - $B8,Portafolio!D8)</f>
        <v>99.257872494271368</v>
      </c>
      <c r="E8" s="31" cm="1">
        <f t="array" ref="E8" xml:space="preserve"> BonoM(100,E$2,E$1 - $B8,Portafolio!E8)</f>
        <v>94.17918754919684</v>
      </c>
      <c r="F8" s="31" cm="1">
        <f t="array" ref="F8" xml:space="preserve"> BonoM(100,F$2,F$1 - $B8,Portafolio!F8)</f>
        <v>95.22519484433839</v>
      </c>
      <c r="G8" s="5">
        <f t="shared" si="5"/>
        <v>7.9356974945015146E-3</v>
      </c>
      <c r="H8" s="5">
        <f t="shared" si="6"/>
        <v>9.7474118044420521E-3</v>
      </c>
      <c r="I8" s="5">
        <f t="shared" si="7"/>
        <v>1.304337348156559E-2</v>
      </c>
      <c r="J8" s="5">
        <f t="shared" si="8"/>
        <v>2.204836267069421E-2</v>
      </c>
      <c r="K8" s="10">
        <f t="shared" si="9"/>
        <v>90.264312002705793</v>
      </c>
      <c r="L8" s="10">
        <f t="shared" si="10"/>
        <v>99.167181742918643</v>
      </c>
      <c r="M8" s="10">
        <f t="shared" si="11"/>
        <v>94.026714903397377</v>
      </c>
      <c r="N8" s="10">
        <f t="shared" si="12"/>
        <v>95.439529864229485</v>
      </c>
      <c r="O8" s="11">
        <f t="shared" si="13"/>
        <v>-2345.2130052195885</v>
      </c>
      <c r="P8" s="11">
        <f t="shared" si="14"/>
        <v>-1435.9383544347893</v>
      </c>
      <c r="Q8" s="11">
        <f t="shared" si="15"/>
        <v>-2421.2695958215418</v>
      </c>
      <c r="R8" s="11">
        <f t="shared" si="16"/>
        <v>-2058.8902095282579</v>
      </c>
      <c r="S8" s="27">
        <f t="shared" si="17"/>
        <v>-8261.3111650041774</v>
      </c>
      <c r="U8" s="81" t="s">
        <v>5</v>
      </c>
      <c r="V8" s="29">
        <f xml:space="preserve"> PERCENTILE(S5:S257, 0.01)</f>
        <v>-14894.895550827054</v>
      </c>
      <c r="W8" s="7">
        <f xml:space="preserve"> V8 / U1</f>
        <v>-2.0634203209438314E-2</v>
      </c>
    </row>
    <row r="9" spans="1:26" x14ac:dyDescent="0.25">
      <c r="A9" s="6">
        <f t="shared" si="1"/>
        <v>4</v>
      </c>
      <c r="B9" s="24">
        <v>45374</v>
      </c>
      <c r="C9" s="31" cm="1">
        <f t="array" ref="C9" xml:space="preserve"> BonoM(100,C$2,C$1 - $B9,Portafolio!C9)</f>
        <v>89.293413993867148</v>
      </c>
      <c r="D9" s="31" cm="1">
        <f t="array" ref="D9" xml:space="preserve"> BonoM(100,D$2,D$1 - $B9,Portafolio!D9)</f>
        <v>98.299704791414371</v>
      </c>
      <c r="E9" s="31" cm="1">
        <f t="array" ref="E9" xml:space="preserve"> BonoM(100,E$2,E$1 - $B9,Portafolio!E9)</f>
        <v>92.96658959973999</v>
      </c>
      <c r="F9" s="31" cm="1">
        <f t="array" ref="F9" xml:space="preserve"> BonoM(100,F$2,F$1 - $B9,Portafolio!F9)</f>
        <v>93.170928424078994</v>
      </c>
      <c r="G9" s="5">
        <f t="shared" si="5"/>
        <v>-7.8927915967323958E-3</v>
      </c>
      <c r="H9" s="5">
        <f t="shared" si="6"/>
        <v>-1.3300521514298502E-2</v>
      </c>
      <c r="I9" s="5">
        <f t="shared" si="7"/>
        <v>-1.8329744545150795E-2</v>
      </c>
      <c r="J9" s="5">
        <f t="shared" si="8"/>
        <v>-2.5441582027821541E-2</v>
      </c>
      <c r="K9" s="10">
        <f t="shared" si="9"/>
        <v>88.846813166803756</v>
      </c>
      <c r="L9" s="10">
        <f t="shared" si="10"/>
        <v>96.903646758328989</v>
      </c>
      <c r="M9" s="10">
        <f t="shared" si="11"/>
        <v>91.114785067470777</v>
      </c>
      <c r="N9" s="10">
        <f t="shared" si="12"/>
        <v>91.004888451115704</v>
      </c>
      <c r="O9" s="11">
        <f t="shared" si="13"/>
        <v>2332.5331532571354</v>
      </c>
      <c r="P9" s="11">
        <f t="shared" si="14"/>
        <v>1959.3641224496921</v>
      </c>
      <c r="Q9" s="11">
        <f t="shared" si="15"/>
        <v>3402.5900760316572</v>
      </c>
      <c r="R9" s="11">
        <f t="shared" si="16"/>
        <v>2375.7512035855229</v>
      </c>
      <c r="S9" s="27">
        <f t="shared" si="17"/>
        <v>10070.238555324007</v>
      </c>
      <c r="U9" s="2" t="s">
        <v>36</v>
      </c>
      <c r="V9" s="29">
        <f xml:space="preserve"> AVERAGEIF(S5:S257, "&lt;" &amp; V8, S5:S257)</f>
        <v>-18832.988753641621</v>
      </c>
      <c r="W9" s="7">
        <f xml:space="preserve"> V9 / U1</f>
        <v>-2.6089724205023375E-2</v>
      </c>
    </row>
    <row r="10" spans="1:26" x14ac:dyDescent="0.25">
      <c r="A10" s="6">
        <f t="shared" si="1"/>
        <v>5</v>
      </c>
      <c r="B10" s="24">
        <v>45373</v>
      </c>
      <c r="C10" s="31" cm="1">
        <f t="array" ref="C10" xml:space="preserve"> BonoM(100,C$2,C$1 - $B10,Portafolio!C10)</f>
        <v>90.003795192234435</v>
      </c>
      <c r="D10" s="31" cm="1">
        <f t="array" ref="D10" xml:space="preserve"> BonoM(100,D$2,D$1 - $B10,Portafolio!D10)</f>
        <v>99.624766136773488</v>
      </c>
      <c r="E10" s="31" cm="1">
        <f t="array" ref="E10" xml:space="preserve"> BonoM(100,E$2,E$1 - $B10,Portafolio!E10)</f>
        <v>94.702461527332972</v>
      </c>
      <c r="F10" s="31" cm="1">
        <f t="array" ref="F10" xml:space="preserve"> BonoM(100,F$2,F$1 - $B10,Portafolio!F10)</f>
        <v>95.603225733707447</v>
      </c>
      <c r="G10" s="5">
        <f t="shared" si="5"/>
        <v>-2.660757790816537E-3</v>
      </c>
      <c r="H10" s="5">
        <f t="shared" si="6"/>
        <v>-1.7733751456383562E-3</v>
      </c>
      <c r="I10" s="5">
        <f t="shared" si="7"/>
        <v>-2.3769619368950723E-3</v>
      </c>
      <c r="J10" s="5">
        <f t="shared" si="8"/>
        <v>-5.2650031971074318E-3</v>
      </c>
      <c r="K10" s="10">
        <f t="shared" si="9"/>
        <v>89.315360846025584</v>
      </c>
      <c r="L10" s="10">
        <f t="shared" si="10"/>
        <v>98.035726529521838</v>
      </c>
      <c r="M10" s="10">
        <f t="shared" si="11"/>
        <v>92.595459815944054</v>
      </c>
      <c r="N10" s="10">
        <f t="shared" si="12"/>
        <v>92.888990288371289</v>
      </c>
      <c r="O10" s="11">
        <f t="shared" si="13"/>
        <v>786.32581182510251</v>
      </c>
      <c r="P10" s="11">
        <f t="shared" si="14"/>
        <v>261.24446566041826</v>
      </c>
      <c r="Q10" s="11">
        <f t="shared" si="15"/>
        <v>441.24057908510395</v>
      </c>
      <c r="R10" s="11">
        <f t="shared" si="16"/>
        <v>491.64936632993772</v>
      </c>
      <c r="S10" s="27">
        <f t="shared" si="17"/>
        <v>1980.4602229005625</v>
      </c>
    </row>
    <row r="11" spans="1:26" x14ac:dyDescent="0.25">
      <c r="A11" s="6">
        <f t="shared" si="1"/>
        <v>6</v>
      </c>
      <c r="B11" s="24">
        <v>45372</v>
      </c>
      <c r="C11" s="31" cm="1">
        <f t="array" ref="C11" xml:space="preserve"> BonoM(100,C$2,C$1 - $B11,Portafolio!C11)</f>
        <v>90.243912385187087</v>
      </c>
      <c r="D11" s="31" cm="1">
        <f t="array" ref="D11" xml:space="preserve"> BonoM(100,D$2,D$1 - $B11,Portafolio!D11)</f>
        <v>99.801752083409369</v>
      </c>
      <c r="E11" s="31" cm="1">
        <f t="array" ref="E11" xml:space="preserve"> BonoM(100,E$2,E$1 - $B11,Portafolio!E11)</f>
        <v>94.928102012558512</v>
      </c>
      <c r="F11" s="31" cm="1">
        <f t="array" ref="F11" xml:space="preserve"> BonoM(100,F$2,F$1 - $B11,Portafolio!F11)</f>
        <v>96.109241195875299</v>
      </c>
      <c r="G11" s="5">
        <f t="shared" si="5"/>
        <v>6.1219653828166187E-3</v>
      </c>
      <c r="H11" s="5">
        <f t="shared" si="6"/>
        <v>4.7150854449262702E-3</v>
      </c>
      <c r="I11" s="5">
        <f t="shared" si="7"/>
        <v>6.0517162288851178E-3</v>
      </c>
      <c r="J11" s="5">
        <f t="shared" si="8"/>
        <v>5.8040808736659066E-3</v>
      </c>
      <c r="K11" s="10">
        <f t="shared" si="9"/>
        <v>90.101885687589245</v>
      </c>
      <c r="L11" s="10">
        <f t="shared" si="10"/>
        <v>98.672957527189311</v>
      </c>
      <c r="M11" s="10">
        <f t="shared" si="11"/>
        <v>93.377776683762477</v>
      </c>
      <c r="N11" s="10">
        <f t="shared" si="12"/>
        <v>93.922628439291771</v>
      </c>
      <c r="O11" s="11">
        <f t="shared" si="13"/>
        <v>-1809.2061653349801</v>
      </c>
      <c r="P11" s="11">
        <f t="shared" si="14"/>
        <v>-694.60203084079103</v>
      </c>
      <c r="Q11" s="11">
        <f t="shared" si="15"/>
        <v>-1123.3931565517423</v>
      </c>
      <c r="R11" s="11">
        <f t="shared" si="16"/>
        <v>-541.98878459054356</v>
      </c>
      <c r="S11" s="27">
        <f t="shared" si="17"/>
        <v>-4169.1901373180572</v>
      </c>
    </row>
    <row r="12" spans="1:26" x14ac:dyDescent="0.25">
      <c r="A12" s="6">
        <f t="shared" si="1"/>
        <v>7</v>
      </c>
      <c r="B12" s="24">
        <v>45371</v>
      </c>
      <c r="C12" s="31" cm="1">
        <f t="array" ref="C12" xml:space="preserve"> BonoM(100,C$2,C$1 - $B12,Portafolio!C12)</f>
        <v>89.694803900688555</v>
      </c>
      <c r="D12" s="31" cm="1">
        <f t="array" ref="D12" xml:space="preserve"> BonoM(100,D$2,D$1 - $B12,Portafolio!D12)</f>
        <v>99.333386677690157</v>
      </c>
      <c r="E12" s="31" cm="1">
        <f t="array" ref="E12" xml:space="preserve"> BonoM(100,E$2,E$1 - $B12,Portafolio!E12)</f>
        <v>94.35707974177501</v>
      </c>
      <c r="F12" s="31" cm="1">
        <f t="array" ref="F12" xml:space="preserve"> BonoM(100,F$2,F$1 - $B12,Portafolio!F12)</f>
        <v>95.554634370137435</v>
      </c>
      <c r="G12" s="5">
        <f t="shared" si="5"/>
        <v>2.608554680916253E-4</v>
      </c>
      <c r="H12" s="5">
        <f t="shared" si="6"/>
        <v>6.5654961401584444E-4</v>
      </c>
      <c r="I12" s="5">
        <f t="shared" si="7"/>
        <v>1.3034540917331583E-3</v>
      </c>
      <c r="J12" s="5">
        <f t="shared" si="8"/>
        <v>1.835122267756395E-3</v>
      </c>
      <c r="K12" s="10">
        <f t="shared" si="9"/>
        <v>89.577001952108915</v>
      </c>
      <c r="L12" s="10">
        <f t="shared" si="10"/>
        <v>98.274369171676895</v>
      </c>
      <c r="M12" s="10">
        <f t="shared" si="11"/>
        <v>92.937061604878735</v>
      </c>
      <c r="N12" s="10">
        <f t="shared" si="12"/>
        <v>93.5520045459089</v>
      </c>
      <c r="O12" s="11">
        <f t="shared" si="13"/>
        <v>-77.089838249891329</v>
      </c>
      <c r="P12" s="11">
        <f t="shared" si="14"/>
        <v>-96.719497572166802</v>
      </c>
      <c r="Q12" s="11">
        <f t="shared" si="15"/>
        <v>-241.96299878425975</v>
      </c>
      <c r="R12" s="11">
        <f t="shared" si="16"/>
        <v>-171.36489120767351</v>
      </c>
      <c r="S12" s="27">
        <f t="shared" si="17"/>
        <v>-587.13722581399134</v>
      </c>
    </row>
    <row r="13" spans="1:26" x14ac:dyDescent="0.25">
      <c r="A13" s="6">
        <f t="shared" si="1"/>
        <v>8</v>
      </c>
      <c r="B13" s="24">
        <v>45370</v>
      </c>
      <c r="C13" s="31" cm="1">
        <f t="array" ref="C13" xml:space="preserve"> BonoM(100,C$2,C$1 - $B13,Portafolio!C13)</f>
        <v>89.671412622374518</v>
      </c>
      <c r="D13" s="31" cm="1">
        <f t="array" ref="D13" xml:space="preserve"> BonoM(100,D$2,D$1 - $B13,Portafolio!D13)</f>
        <v>99.268212171305038</v>
      </c>
      <c r="E13" s="31" cm="1">
        <f t="array" ref="E13" xml:space="preserve"> BonoM(100,E$2,E$1 - $B13,Portafolio!E13)</f>
        <v>94.234249723391656</v>
      </c>
      <c r="F13" s="31" cm="1">
        <f t="array" ref="F13" xml:space="preserve"> BonoM(100,F$2,F$1 - $B13,Portafolio!F13)</f>
        <v>95.379601140195348</v>
      </c>
      <c r="G13" s="5">
        <f t="shared" si="5"/>
        <v>9.8363258599252212E-3</v>
      </c>
      <c r="H13" s="5">
        <f t="shared" si="6"/>
        <v>1.5412856983582524E-2</v>
      </c>
      <c r="I13" s="5">
        <f t="shared" si="7"/>
        <v>1.9740716372963707E-2</v>
      </c>
      <c r="J13" s="5">
        <f t="shared" si="8"/>
        <v>2.8637086868122053E-2</v>
      </c>
      <c r="K13" s="10">
        <f t="shared" si="9"/>
        <v>90.434520193768222</v>
      </c>
      <c r="L13" s="10">
        <f t="shared" si="10"/>
        <v>99.723584487967898</v>
      </c>
      <c r="M13" s="10">
        <f t="shared" si="11"/>
        <v>94.648336017699293</v>
      </c>
      <c r="N13" s="10">
        <f t="shared" si="12"/>
        <v>96.054789144293707</v>
      </c>
      <c r="O13" s="11">
        <f t="shared" si="13"/>
        <v>-2906.9000357256032</v>
      </c>
      <c r="P13" s="11">
        <f t="shared" si="14"/>
        <v>-2270.5424720086712</v>
      </c>
      <c r="Q13" s="11">
        <f t="shared" si="15"/>
        <v>-3664.5118244253754</v>
      </c>
      <c r="R13" s="11">
        <f t="shared" si="16"/>
        <v>-2674.1494895924802</v>
      </c>
      <c r="S13" s="27">
        <f t="shared" si="17"/>
        <v>-11516.103821752131</v>
      </c>
    </row>
    <row r="14" spans="1:26" x14ac:dyDescent="0.25">
      <c r="A14" s="6">
        <f t="shared" si="1"/>
        <v>9</v>
      </c>
      <c r="B14" s="24">
        <v>45367</v>
      </c>
      <c r="C14" s="31" cm="1">
        <f t="array" ref="C14" xml:space="preserve"> BonoM(100,C$2,C$1 - $B14,Portafolio!C14)</f>
        <v>88.797966884400708</v>
      </c>
      <c r="D14" s="31" cm="1">
        <f t="array" ref="D14" xml:space="preserve"> BonoM(100,D$2,D$1 - $B14,Portafolio!D14)</f>
        <v>97.761429243858814</v>
      </c>
      <c r="E14" s="31" cm="1">
        <f t="array" ref="E14" xml:space="preserve"> BonoM(100,E$2,E$1 - $B14,Portafolio!E14)</f>
        <v>92.410009927392252</v>
      </c>
      <c r="F14" s="31" cm="1">
        <f t="array" ref="F14" xml:space="preserve"> BonoM(100,F$2,F$1 - $B14,Portafolio!F14)</f>
        <v>92.724248773293183</v>
      </c>
      <c r="G14" s="5">
        <f t="shared" si="5"/>
        <v>-8.7068522075748334E-3</v>
      </c>
      <c r="H14" s="5">
        <f t="shared" si="6"/>
        <v>-1.4587787759502757E-2</v>
      </c>
      <c r="I14" s="5">
        <f t="shared" si="7"/>
        <v>-1.8887209530605631E-2</v>
      </c>
      <c r="J14" s="5">
        <f t="shared" si="8"/>
        <v>-2.6848794847082358E-2</v>
      </c>
      <c r="K14" s="10">
        <f t="shared" si="9"/>
        <v>88.773911074786525</v>
      </c>
      <c r="L14" s="10">
        <f t="shared" si="10"/>
        <v>96.777224482621861</v>
      </c>
      <c r="M14" s="10">
        <f t="shared" si="11"/>
        <v>91.063043352724804</v>
      </c>
      <c r="N14" s="10">
        <f t="shared" si="12"/>
        <v>90.873482017922825</v>
      </c>
      <c r="O14" s="11">
        <f t="shared" si="13"/>
        <v>2573.1100569139953</v>
      </c>
      <c r="P14" s="11">
        <f t="shared" si="14"/>
        <v>2148.997536010384</v>
      </c>
      <c r="Q14" s="11">
        <f t="shared" si="15"/>
        <v>3506.0735055236023</v>
      </c>
      <c r="R14" s="11">
        <f t="shared" si="16"/>
        <v>2507.1576367784019</v>
      </c>
      <c r="S14" s="27">
        <f t="shared" si="17"/>
        <v>10735.338735226384</v>
      </c>
    </row>
    <row r="15" spans="1:26" x14ac:dyDescent="0.25">
      <c r="A15" s="6">
        <f t="shared" si="1"/>
        <v>10</v>
      </c>
      <c r="B15" s="24">
        <v>45366</v>
      </c>
      <c r="C15" s="31" cm="1">
        <f t="array" ref="C15" xml:space="preserve"> BonoM(100,C$2,C$1 - $B15,Portafolio!C15)</f>
        <v>89.577908494727964</v>
      </c>
      <c r="D15" s="31" cm="1">
        <f t="array" ref="D15" xml:space="preserve"> BonoM(100,D$2,D$1 - $B15,Portafolio!D15)</f>
        <v>99.208664180832585</v>
      </c>
      <c r="E15" s="31" cm="1">
        <f t="array" ref="E15" xml:space="preserve"> BonoM(100,E$2,E$1 - $B15,Portafolio!E15)</f>
        <v>94.188976868990238</v>
      </c>
      <c r="F15" s="31" cm="1">
        <f t="array" ref="F15" xml:space="preserve"> BonoM(100,F$2,F$1 - $B15,Portafolio!F15)</f>
        <v>95.282468214919191</v>
      </c>
      <c r="G15" s="5">
        <f t="shared" si="5"/>
        <v>-1.8758945668392313E-3</v>
      </c>
      <c r="H15" s="5">
        <f t="shared" si="6"/>
        <v>-3.402383894828942E-3</v>
      </c>
      <c r="I15" s="5">
        <f t="shared" si="7"/>
        <v>-2.9076133609075017E-3</v>
      </c>
      <c r="J15" s="5">
        <f t="shared" si="8"/>
        <v>-8.4248939511487597E-3</v>
      </c>
      <c r="K15" s="10">
        <f t="shared" si="9"/>
        <v>89.385648205729822</v>
      </c>
      <c r="L15" s="10">
        <f t="shared" si="10"/>
        <v>97.875741760258506</v>
      </c>
      <c r="M15" s="10">
        <f t="shared" si="11"/>
        <v>92.546206830864833</v>
      </c>
      <c r="N15" s="10">
        <f t="shared" si="12"/>
        <v>92.593917668519936</v>
      </c>
      <c r="O15" s="11">
        <f t="shared" si="13"/>
        <v>554.3775248011159</v>
      </c>
      <c r="P15" s="11">
        <f t="shared" si="14"/>
        <v>501.221619555416</v>
      </c>
      <c r="Q15" s="11">
        <f t="shared" si="15"/>
        <v>539.74654924354581</v>
      </c>
      <c r="R15" s="11">
        <f t="shared" si="16"/>
        <v>786.7219861812913</v>
      </c>
      <c r="S15" s="27">
        <f t="shared" si="17"/>
        <v>2382.067679781369</v>
      </c>
    </row>
    <row r="16" spans="1:26" x14ac:dyDescent="0.25">
      <c r="A16" s="6">
        <f t="shared" si="1"/>
        <v>11</v>
      </c>
      <c r="B16" s="24">
        <v>45365</v>
      </c>
      <c r="C16" s="31" cm="1">
        <f t="array" ref="C16" xml:space="preserve"> BonoM(100,C$2,C$1 - $B16,Portafolio!C16)</f>
        <v>89.746263021924918</v>
      </c>
      <c r="D16" s="31" cm="1">
        <f t="array" ref="D16" xml:space="preserve"> BonoM(100,D$2,D$1 - $B16,Portafolio!D16)</f>
        <v>99.547362523856449</v>
      </c>
      <c r="E16" s="31" cm="1">
        <f t="array" ref="E16" xml:space="preserve"> BonoM(100,E$2,E$1 - $B16,Portafolio!E16)</f>
        <v>94.463640612555267</v>
      </c>
      <c r="F16" s="31" cm="1">
        <f t="array" ref="F16" xml:space="preserve"> BonoM(100,F$2,F$1 - $B16,Portafolio!F16)</f>
        <v>96.092033405914265</v>
      </c>
      <c r="G16" s="5">
        <f t="shared" si="5"/>
        <v>-1.3465164608759128E-3</v>
      </c>
      <c r="H16" s="5">
        <f t="shared" si="6"/>
        <v>-1.3788081949154263E-3</v>
      </c>
      <c r="I16" s="5">
        <f t="shared" si="7"/>
        <v>-3.4402512757639725E-3</v>
      </c>
      <c r="J16" s="5">
        <f t="shared" si="8"/>
        <v>-2.9231954886193012E-3</v>
      </c>
      <c r="K16" s="10">
        <f t="shared" si="9"/>
        <v>89.433055942793658</v>
      </c>
      <c r="L16" s="10">
        <f t="shared" si="10"/>
        <v>98.074476906155311</v>
      </c>
      <c r="M16" s="10">
        <f t="shared" si="11"/>
        <v>92.4967694674923</v>
      </c>
      <c r="N16" s="10">
        <f t="shared" si="12"/>
        <v>93.107669790138218</v>
      </c>
      <c r="O16" s="11">
        <f t="shared" si="13"/>
        <v>397.9319924904587</v>
      </c>
      <c r="P16" s="11">
        <f t="shared" si="14"/>
        <v>203.11890071020855</v>
      </c>
      <c r="Q16" s="11">
        <f t="shared" si="15"/>
        <v>638.62127598861207</v>
      </c>
      <c r="R16" s="11">
        <f t="shared" si="16"/>
        <v>272.96986456300942</v>
      </c>
      <c r="S16" s="27">
        <f t="shared" si="17"/>
        <v>1512.6420337522889</v>
      </c>
    </row>
    <row r="17" spans="1:19" x14ac:dyDescent="0.25">
      <c r="A17" s="6">
        <f t="shared" si="1"/>
        <v>12</v>
      </c>
      <c r="B17" s="24">
        <v>45364</v>
      </c>
      <c r="C17" s="31" cm="1">
        <f t="array" ref="C17" xml:space="preserve"> BonoM(100,C$2,C$1 - $B17,Portafolio!C17)</f>
        <v>89.867270781325971</v>
      </c>
      <c r="D17" s="31" cm="1">
        <f t="array" ref="D17" xml:space="preserve"> BonoM(100,D$2,D$1 - $B17,Portafolio!D17)</f>
        <v>99.684808755076531</v>
      </c>
      <c r="E17" s="31" cm="1">
        <f t="array" ref="E17" xml:space="preserve"> BonoM(100,E$2,E$1 - $B17,Portafolio!E17)</f>
        <v>94.789741140443013</v>
      </c>
      <c r="F17" s="31" cm="1">
        <f t="array" ref="F17" xml:space="preserve"> BonoM(100,F$2,F$1 - $B17,Portafolio!F17)</f>
        <v>96.373752725101596</v>
      </c>
      <c r="G17" s="5">
        <f t="shared" si="5"/>
        <v>1.0616053486849353E-3</v>
      </c>
      <c r="H17" s="5">
        <f t="shared" si="6"/>
        <v>1.8792993134819636E-3</v>
      </c>
      <c r="I17" s="5">
        <f t="shared" si="7"/>
        <v>1.8351080341985071E-3</v>
      </c>
      <c r="J17" s="5">
        <f t="shared" si="8"/>
        <v>1.8432169717983449E-3</v>
      </c>
      <c r="K17" s="10">
        <f t="shared" si="9"/>
        <v>89.648712019762712</v>
      </c>
      <c r="L17" s="10">
        <f t="shared" si="10"/>
        <v>98.394455284555733</v>
      </c>
      <c r="M17" s="10">
        <f t="shared" si="11"/>
        <v>92.986407639790997</v>
      </c>
      <c r="N17" s="10">
        <f t="shared" si="12"/>
        <v>93.552760434550152</v>
      </c>
      <c r="O17" s="11">
        <f t="shared" si="13"/>
        <v>-313.73306150742053</v>
      </c>
      <c r="P17" s="11">
        <f t="shared" si="14"/>
        <v>-276.84866689042309</v>
      </c>
      <c r="Q17" s="11">
        <f t="shared" si="15"/>
        <v>-340.65506860878259</v>
      </c>
      <c r="R17" s="11">
        <f t="shared" si="16"/>
        <v>-172.1207798489246</v>
      </c>
      <c r="S17" s="27">
        <f t="shared" si="17"/>
        <v>-1103.3575768555506</v>
      </c>
    </row>
    <row r="18" spans="1:19" x14ac:dyDescent="0.25">
      <c r="A18" s="6">
        <f t="shared" si="1"/>
        <v>13</v>
      </c>
      <c r="B18" s="24">
        <v>45363</v>
      </c>
      <c r="C18" s="31" cm="1">
        <f t="array" ref="C18" xml:space="preserve"> BonoM(100,C$2,C$1 - $B18,Portafolio!C18)</f>
        <v>89.771968379532282</v>
      </c>
      <c r="D18" s="31" cm="1">
        <f t="array" ref="D18" xml:space="preserve"> BonoM(100,D$2,D$1 - $B18,Portafolio!D18)</f>
        <v>99.497822565436351</v>
      </c>
      <c r="E18" s="31" cm="1">
        <f t="array" ref="E18" xml:space="preserve"> BonoM(100,E$2,E$1 - $B18,Portafolio!E18)</f>
        <v>94.616110356163801</v>
      </c>
      <c r="F18" s="31" cm="1">
        <f t="array" ref="F18" xml:space="preserve"> BonoM(100,F$2,F$1 - $B18,Portafolio!F18)</f>
        <v>96.196441810929088</v>
      </c>
      <c r="G18" s="5">
        <f t="shared" si="5"/>
        <v>-1.0827971178750673E-3</v>
      </c>
      <c r="H18" s="5">
        <f t="shared" si="6"/>
        <v>-1.5872543267614336E-4</v>
      </c>
      <c r="I18" s="5">
        <f t="shared" si="7"/>
        <v>-8.0812583242684255E-4</v>
      </c>
      <c r="J18" s="5">
        <f t="shared" si="8"/>
        <v>-5.3094128428766707E-3</v>
      </c>
      <c r="K18" s="10">
        <f t="shared" si="9"/>
        <v>89.4566729702657</v>
      </c>
      <c r="L18" s="10">
        <f t="shared" si="10"/>
        <v>98.194301099423768</v>
      </c>
      <c r="M18" s="10">
        <f t="shared" si="11"/>
        <v>92.74107303348876</v>
      </c>
      <c r="N18" s="10">
        <f t="shared" si="12"/>
        <v>92.884843287242518</v>
      </c>
      <c r="O18" s="11">
        <f t="shared" si="13"/>
        <v>319.99580183271945</v>
      </c>
      <c r="P18" s="11">
        <f t="shared" si="14"/>
        <v>23.382610807523463</v>
      </c>
      <c r="Q18" s="11">
        <f t="shared" si="15"/>
        <v>150.01414399569057</v>
      </c>
      <c r="R18" s="11">
        <f t="shared" si="16"/>
        <v>495.79636745870914</v>
      </c>
      <c r="S18" s="27">
        <f t="shared" si="17"/>
        <v>989.18892409464263</v>
      </c>
    </row>
    <row r="19" spans="1:19" x14ac:dyDescent="0.25">
      <c r="A19" s="6">
        <f t="shared" si="1"/>
        <v>14</v>
      </c>
      <c r="B19" s="24">
        <v>45362</v>
      </c>
      <c r="C19" s="31" cm="1">
        <f t="array" ref="C19" xml:space="preserve"> BonoM(100,C$2,C$1 - $B19,Portafolio!C19)</f>
        <v>89.869278575359189</v>
      </c>
      <c r="D19" s="31" cm="1">
        <f t="array" ref="D19" xml:space="preserve"> BonoM(100,D$2,D$1 - $B19,Portafolio!D19)</f>
        <v>99.513617907495885</v>
      </c>
      <c r="E19" s="31" cm="1">
        <f t="array" ref="E19" xml:space="preserve"> BonoM(100,E$2,E$1 - $B19,Portafolio!E19)</f>
        <v>94.692633919774906</v>
      </c>
      <c r="F19" s="31" cm="1">
        <f t="array" ref="F19" xml:space="preserve"> BonoM(100,F$2,F$1 - $B19,Portafolio!F19)</f>
        <v>96.709914673932374</v>
      </c>
      <c r="G19" s="5">
        <f t="shared" si="5"/>
        <v>9.5281222266052623E-3</v>
      </c>
      <c r="H19" s="5">
        <f t="shared" si="6"/>
        <v>1.4824346125905441E-2</v>
      </c>
      <c r="I19" s="5">
        <f t="shared" si="7"/>
        <v>1.8777948720805737E-2</v>
      </c>
      <c r="J19" s="5">
        <f t="shared" si="8"/>
        <v>2.7837086578898385E-2</v>
      </c>
      <c r="K19" s="10">
        <f t="shared" si="9"/>
        <v>90.406919436113242</v>
      </c>
      <c r="L19" s="10">
        <f t="shared" si="10"/>
        <v>99.665786901661974</v>
      </c>
      <c r="M19" s="10">
        <f t="shared" si="11"/>
        <v>94.558975698173626</v>
      </c>
      <c r="N19" s="10">
        <f t="shared" si="12"/>
        <v>95.980084605562055</v>
      </c>
      <c r="O19" s="11">
        <f t="shared" si="13"/>
        <v>-2815.8175354641685</v>
      </c>
      <c r="P19" s="11">
        <f t="shared" si="14"/>
        <v>-2183.8460925497857</v>
      </c>
      <c r="Q19" s="11">
        <f t="shared" si="15"/>
        <v>-3485.7911853740407</v>
      </c>
      <c r="R19" s="11">
        <f t="shared" si="16"/>
        <v>-2599.4449508608286</v>
      </c>
      <c r="S19" s="27">
        <f t="shared" si="17"/>
        <v>-11084.899764248823</v>
      </c>
    </row>
    <row r="20" spans="1:19" x14ac:dyDescent="0.25">
      <c r="A20" s="6">
        <f t="shared" si="1"/>
        <v>15</v>
      </c>
      <c r="B20" s="24">
        <v>45360</v>
      </c>
      <c r="C20" s="31" cm="1">
        <f t="array" ref="C20" xml:space="preserve"> BonoM(100,C$2,C$1 - $B20,Portafolio!C20)</f>
        <v>89.02107489303458</v>
      </c>
      <c r="D20" s="31" cm="1">
        <f t="array" ref="D20" xml:space="preserve"> BonoM(100,D$2,D$1 - $B20,Portafolio!D20)</f>
        <v>98.059943365952321</v>
      </c>
      <c r="E20" s="31" cm="1">
        <f t="array" ref="E20" xml:space="preserve"> BonoM(100,E$2,E$1 - $B20,Portafolio!E20)</f>
        <v>92.947274760582047</v>
      </c>
      <c r="F20" s="31" cm="1">
        <f t="array" ref="F20" xml:space="preserve"> BonoM(100,F$2,F$1 - $B20,Portafolio!F20)</f>
        <v>94.090703611236904</v>
      </c>
      <c r="G20" s="5">
        <f t="shared" si="5"/>
        <v>-1.043481973653515E-2</v>
      </c>
      <c r="H20" s="5">
        <f t="shared" si="6"/>
        <v>-1.6930187032380917E-2</v>
      </c>
      <c r="I20" s="5">
        <f t="shared" si="7"/>
        <v>-1.9571578739238871E-2</v>
      </c>
      <c r="J20" s="5">
        <f t="shared" si="8"/>
        <v>-3.3181727655477555E-2</v>
      </c>
      <c r="K20" s="10">
        <f t="shared" si="9"/>
        <v>88.619165290355696</v>
      </c>
      <c r="L20" s="10">
        <f t="shared" si="10"/>
        <v>96.547177708852089</v>
      </c>
      <c r="M20" s="10">
        <f t="shared" si="11"/>
        <v>90.999522885434573</v>
      </c>
      <c r="N20" s="10">
        <f t="shared" si="12"/>
        <v>90.282108701384644</v>
      </c>
      <c r="O20" s="11">
        <f t="shared" si="13"/>
        <v>3083.7711455357335</v>
      </c>
      <c r="P20" s="11">
        <f t="shared" si="14"/>
        <v>2494.0676966650417</v>
      </c>
      <c r="Q20" s="11">
        <f t="shared" si="15"/>
        <v>3633.114440104066</v>
      </c>
      <c r="R20" s="11">
        <f t="shared" si="16"/>
        <v>3098.5309533165832</v>
      </c>
      <c r="S20" s="27">
        <f t="shared" si="17"/>
        <v>12309.484235621425</v>
      </c>
    </row>
    <row r="21" spans="1:19" x14ac:dyDescent="0.25">
      <c r="A21" s="6">
        <f t="shared" si="1"/>
        <v>16</v>
      </c>
      <c r="B21" s="24">
        <v>45359</v>
      </c>
      <c r="C21" s="31" cm="1">
        <f t="array" ref="C21" xml:space="preserve"> BonoM(100,C$2,C$1 - $B21,Portafolio!C21)</f>
        <v>89.959789075574932</v>
      </c>
      <c r="D21" s="31" cm="1">
        <f t="array" ref="D21" xml:space="preserve"> BonoM(100,D$2,D$1 - $B21,Portafolio!D21)</f>
        <v>99.748707642579475</v>
      </c>
      <c r="E21" s="31" cm="1">
        <f t="array" ref="E21" xml:space="preserve"> BonoM(100,E$2,E$1 - $B21,Portafolio!E21)</f>
        <v>94.802713533190385</v>
      </c>
      <c r="F21" s="31" cm="1">
        <f t="array" ref="F21" xml:space="preserve"> BonoM(100,F$2,F$1 - $B21,Portafolio!F21)</f>
        <v>97.319947608218143</v>
      </c>
      <c r="G21" s="5">
        <f t="shared" si="5"/>
        <v>3.1151018081434501E-3</v>
      </c>
      <c r="H21" s="5">
        <f t="shared" si="6"/>
        <v>3.3597228893682551E-3</v>
      </c>
      <c r="I21" s="5">
        <f t="shared" si="7"/>
        <v>1.0960613449830792E-3</v>
      </c>
      <c r="J21" s="5">
        <f t="shared" si="8"/>
        <v>3.2947763318305068E-3</v>
      </c>
      <c r="K21" s="10">
        <f t="shared" si="9"/>
        <v>89.832610105299082</v>
      </c>
      <c r="L21" s="10">
        <f t="shared" si="10"/>
        <v>98.539847520366536</v>
      </c>
      <c r="M21" s="10">
        <f t="shared" si="11"/>
        <v>92.917812223083089</v>
      </c>
      <c r="N21" s="10">
        <f t="shared" si="12"/>
        <v>93.688307976086733</v>
      </c>
      <c r="O21" s="11">
        <f t="shared" si="13"/>
        <v>-920.59674377744182</v>
      </c>
      <c r="P21" s="11">
        <f t="shared" si="14"/>
        <v>-494.9370206066277</v>
      </c>
      <c r="Q21" s="11">
        <f t="shared" si="15"/>
        <v>-203.46423519296764</v>
      </c>
      <c r="R21" s="11">
        <f t="shared" si="16"/>
        <v>-307.66832138550626</v>
      </c>
      <c r="S21" s="27">
        <f t="shared" si="17"/>
        <v>-1926.6663209625433</v>
      </c>
    </row>
    <row r="22" spans="1:19" x14ac:dyDescent="0.25">
      <c r="A22" s="6">
        <f t="shared" si="1"/>
        <v>17</v>
      </c>
      <c r="B22" s="24">
        <v>45358</v>
      </c>
      <c r="C22" s="31" cm="1">
        <f t="array" ref="C22" xml:space="preserve"> BonoM(100,C$2,C$1 - $B22,Portafolio!C22)</f>
        <v>89.680425420193416</v>
      </c>
      <c r="D22" s="31" cm="1">
        <f t="array" ref="D22" xml:space="preserve"> BonoM(100,D$2,D$1 - $B22,Portafolio!D22)</f>
        <v>99.414701793424385</v>
      </c>
      <c r="E22" s="31" cm="1">
        <f t="array" ref="E22" xml:space="preserve"> BonoM(100,E$2,E$1 - $B22,Portafolio!E22)</f>
        <v>94.698917710076628</v>
      </c>
      <c r="F22" s="31" cm="1">
        <f t="array" ref="F22" xml:space="preserve"> BonoM(100,F$2,F$1 - $B22,Portafolio!F22)</f>
        <v>97.000353140511592</v>
      </c>
      <c r="G22" s="5">
        <f t="shared" si="5"/>
        <v>-3.2357002693586323E-2</v>
      </c>
      <c r="H22" s="5">
        <f t="shared" si="6"/>
        <v>-1.6036271088049059E-4</v>
      </c>
      <c r="I22" s="5">
        <f t="shared" si="7"/>
        <v>2.4785671255234121E-4</v>
      </c>
      <c r="J22" s="5">
        <f t="shared" si="8"/>
        <v>2.651120288716502E-3</v>
      </c>
      <c r="K22" s="10">
        <f t="shared" si="9"/>
        <v>86.655953979222957</v>
      </c>
      <c r="L22" s="10">
        <f t="shared" si="10"/>
        <v>98.194140302512224</v>
      </c>
      <c r="M22" s="10">
        <f t="shared" si="11"/>
        <v>92.839085193973546</v>
      </c>
      <c r="N22" s="10">
        <f t="shared" si="12"/>
        <v>93.628202963063131</v>
      </c>
      <c r="O22" s="11">
        <f t="shared" si="13"/>
        <v>9562.3684722737707</v>
      </c>
      <c r="P22" s="11">
        <f t="shared" si="14"/>
        <v>23.623806174839501</v>
      </c>
      <c r="Q22" s="11">
        <f t="shared" si="15"/>
        <v>-46.010176973879879</v>
      </c>
      <c r="R22" s="11">
        <f t="shared" si="16"/>
        <v>-247.56330836190443</v>
      </c>
      <c r="S22" s="27">
        <f t="shared" si="17"/>
        <v>9292.4187931128254</v>
      </c>
    </row>
    <row r="23" spans="1:19" x14ac:dyDescent="0.25">
      <c r="A23" s="6">
        <f t="shared" si="1"/>
        <v>18</v>
      </c>
      <c r="B23" s="24">
        <v>45357</v>
      </c>
      <c r="C23" s="31" cm="1">
        <f t="array" ref="C23" xml:space="preserve"> BonoM(100,C$2,C$1 - $B23,Portafolio!C23)</f>
        <v>92.679248100624889</v>
      </c>
      <c r="D23" s="31" cm="1">
        <f t="array" ref="D23" xml:space="preserve"> BonoM(100,D$2,D$1 - $B23,Portafolio!D23)</f>
        <v>99.430646761483658</v>
      </c>
      <c r="E23" s="31" cm="1">
        <f t="array" ref="E23" xml:space="preserve"> BonoM(100,E$2,E$1 - $B23,Portafolio!E23)</f>
        <v>94.675451763843029</v>
      </c>
      <c r="F23" s="31" cm="1">
        <f t="array" ref="F23" xml:space="preserve"> BonoM(100,F$2,F$1 - $B23,Portafolio!F23)</f>
        <v>96.743873494680813</v>
      </c>
      <c r="G23" s="5">
        <f t="shared" si="5"/>
        <v>1.8277642022657137E-3</v>
      </c>
      <c r="H23" s="5">
        <f t="shared" si="6"/>
        <v>1.8869214397587708E-3</v>
      </c>
      <c r="I23" s="5">
        <f t="shared" si="7"/>
        <v>3.9672358946365449E-3</v>
      </c>
      <c r="J23" s="5">
        <f t="shared" si="8"/>
        <v>2.6499987416517268E-3</v>
      </c>
      <c r="K23" s="10">
        <f t="shared" si="9"/>
        <v>89.717324334987936</v>
      </c>
      <c r="L23" s="10">
        <f t="shared" si="10"/>
        <v>98.395203852735179</v>
      </c>
      <c r="M23" s="10">
        <f t="shared" si="11"/>
        <v>93.184303390080558</v>
      </c>
      <c r="N23" s="10">
        <f t="shared" si="12"/>
        <v>93.62809823228082</v>
      </c>
      <c r="O23" s="11">
        <f t="shared" si="13"/>
        <v>-540.15370175065846</v>
      </c>
      <c r="P23" s="11">
        <f t="shared" si="14"/>
        <v>-277.97151915959262</v>
      </c>
      <c r="Q23" s="11">
        <f t="shared" si="15"/>
        <v>-736.44656918790474</v>
      </c>
      <c r="R23" s="11">
        <f t="shared" si="16"/>
        <v>-247.458577579593</v>
      </c>
      <c r="S23" s="27">
        <f t="shared" si="17"/>
        <v>-1802.0303676777489</v>
      </c>
    </row>
    <row r="24" spans="1:19" x14ac:dyDescent="0.25">
      <c r="A24" s="6">
        <f t="shared" si="1"/>
        <v>19</v>
      </c>
      <c r="B24" s="24">
        <v>45356</v>
      </c>
      <c r="C24" s="31" cm="1">
        <f t="array" ref="C24" xml:space="preserve"> BonoM(100,C$2,C$1 - $B24,Portafolio!C24)</f>
        <v>92.510161339382933</v>
      </c>
      <c r="D24" s="31" cm="1">
        <f t="array" ref="D24" xml:space="preserve"> BonoM(100,D$2,D$1 - $B24,Portafolio!D24)</f>
        <v>99.243382295675772</v>
      </c>
      <c r="E24" s="31" cm="1">
        <f t="array" ref="E24" xml:space="preserve"> BonoM(100,E$2,E$1 - $B24,Portafolio!E24)</f>
        <v>94.301336118282393</v>
      </c>
      <c r="F24" s="31" cm="1">
        <f t="array" ref="F24" xml:space="preserve"> BonoM(100,F$2,F$1 - $B24,Portafolio!F24)</f>
        <v>96.488179939257506</v>
      </c>
      <c r="G24" s="5">
        <f t="shared" si="5"/>
        <v>1.5678975100259507E-3</v>
      </c>
      <c r="H24" s="5">
        <f t="shared" si="6"/>
        <v>1.8883331796606395E-3</v>
      </c>
      <c r="I24" s="5">
        <f t="shared" si="7"/>
        <v>1.3107963509990661E-3</v>
      </c>
      <c r="J24" s="5">
        <f t="shared" si="8"/>
        <v>2.6488779204052459E-3</v>
      </c>
      <c r="K24" s="10">
        <f t="shared" si="9"/>
        <v>89.694052326420575</v>
      </c>
      <c r="L24" s="10">
        <f t="shared" si="10"/>
        <v>98.395342499554957</v>
      </c>
      <c r="M24" s="10">
        <f t="shared" si="11"/>
        <v>92.937743084602914</v>
      </c>
      <c r="N24" s="10">
        <f t="shared" si="12"/>
        <v>93.627993569275887</v>
      </c>
      <c r="O24" s="11">
        <f t="shared" si="13"/>
        <v>-463.35607347836856</v>
      </c>
      <c r="P24" s="11">
        <f t="shared" si="14"/>
        <v>-278.17948938925952</v>
      </c>
      <c r="Q24" s="11">
        <f t="shared" si="15"/>
        <v>-243.32595823261727</v>
      </c>
      <c r="R24" s="11">
        <f t="shared" si="16"/>
        <v>-247.35391457465994</v>
      </c>
      <c r="S24" s="27">
        <f t="shared" si="17"/>
        <v>-1232.2154356749052</v>
      </c>
    </row>
    <row r="25" spans="1:19" x14ac:dyDescent="0.25">
      <c r="A25" s="6">
        <f t="shared" si="1"/>
        <v>20</v>
      </c>
      <c r="B25" s="24">
        <v>45355</v>
      </c>
      <c r="C25" s="31" cm="1">
        <f t="array" ref="C25" xml:space="preserve"> BonoM(100,C$2,C$1 - $B25,Portafolio!C25)</f>
        <v>92.365341949727252</v>
      </c>
      <c r="D25" s="31" cm="1">
        <f t="array" ref="D25" xml:space="preserve"> BonoM(100,D$2,D$1 - $B25,Portafolio!D25)</f>
        <v>99.056330939307642</v>
      </c>
      <c r="E25" s="31" cm="1">
        <f t="array" ref="E25" xml:space="preserve"> BonoM(100,E$2,E$1 - $B25,Portafolio!E25)</f>
        <v>94.177888086234162</v>
      </c>
      <c r="F25" s="31" cm="1">
        <f t="array" ref="F25" xml:space="preserve"> BonoM(100,F$2,F$1 - $B25,Portafolio!F25)</f>
        <v>96.233269755792989</v>
      </c>
      <c r="G25" s="5">
        <f t="shared" si="5"/>
        <v>7.3090155099722054E-3</v>
      </c>
      <c r="H25" s="5">
        <f t="shared" si="6"/>
        <v>1.3309586317300504E-2</v>
      </c>
      <c r="I25" s="5">
        <f t="shared" si="7"/>
        <v>1.6623850795724371E-2</v>
      </c>
      <c r="J25" s="5">
        <f t="shared" si="8"/>
        <v>2.5594336422310793E-2</v>
      </c>
      <c r="K25" s="10">
        <f t="shared" si="9"/>
        <v>90.208190348994506</v>
      </c>
      <c r="L25" s="10">
        <f t="shared" si="10"/>
        <v>99.5170225082298</v>
      </c>
      <c r="M25" s="10">
        <f t="shared" si="11"/>
        <v>94.359040772604217</v>
      </c>
      <c r="N25" s="10">
        <f t="shared" si="12"/>
        <v>95.770655161354227</v>
      </c>
      <c r="O25" s="11">
        <f t="shared" si="13"/>
        <v>-2160.0115479723413</v>
      </c>
      <c r="P25" s="11">
        <f t="shared" si="14"/>
        <v>-1960.6995024015248</v>
      </c>
      <c r="Q25" s="11">
        <f t="shared" si="15"/>
        <v>-3085.9213342352232</v>
      </c>
      <c r="R25" s="11">
        <f t="shared" si="16"/>
        <v>-2390.0155066530006</v>
      </c>
      <c r="S25" s="27">
        <f t="shared" si="17"/>
        <v>-9596.6478912620896</v>
      </c>
    </row>
    <row r="26" spans="1:19" x14ac:dyDescent="0.25">
      <c r="A26" s="6">
        <f t="shared" si="1"/>
        <v>21</v>
      </c>
      <c r="B26" s="24">
        <v>45353</v>
      </c>
      <c r="C26" s="31" cm="1">
        <f t="array" ref="C26" xml:space="preserve"> BonoM(100,C$2,C$1 - $B26,Portafolio!C26)</f>
        <v>91.695140743841435</v>
      </c>
      <c r="D26" s="31" cm="1">
        <f t="array" ref="D26" xml:space="preserve"> BonoM(100,D$2,D$1 - $B26,Portafolio!D26)</f>
        <v>97.755249014578894</v>
      </c>
      <c r="E26" s="31" cm="1">
        <f t="array" ref="E26" xml:space="preserve"> BonoM(100,E$2,E$1 - $B26,Portafolio!E26)</f>
        <v>92.637889630977995</v>
      </c>
      <c r="F26" s="31" cm="1">
        <f t="array" ref="F26" xml:space="preserve"> BonoM(100,F$2,F$1 - $B26,Portafolio!F26)</f>
        <v>93.83170941787148</v>
      </c>
      <c r="G26" s="5">
        <f t="shared" si="5"/>
        <v>-7.270539393942177E-3</v>
      </c>
      <c r="H26" s="5">
        <f t="shared" si="6"/>
        <v>-1.5224297718225754E-2</v>
      </c>
      <c r="I26" s="5">
        <f t="shared" si="7"/>
        <v>-1.9266394486924132E-2</v>
      </c>
      <c r="J26" s="5">
        <f t="shared" si="8"/>
        <v>-2.733824252649053E-2</v>
      </c>
      <c r="K26" s="10">
        <f t="shared" si="9"/>
        <v>88.902538117429714</v>
      </c>
      <c r="L26" s="10">
        <f t="shared" si="10"/>
        <v>96.714712909905813</v>
      </c>
      <c r="M26" s="10">
        <f t="shared" si="11"/>
        <v>91.02784889144435</v>
      </c>
      <c r="N26" s="10">
        <f t="shared" si="12"/>
        <v>90.827777080542191</v>
      </c>
      <c r="O26" s="11">
        <f t="shared" si="13"/>
        <v>2148.6408161914737</v>
      </c>
      <c r="P26" s="11">
        <f t="shared" si="14"/>
        <v>2242.7648950844555</v>
      </c>
      <c r="Q26" s="11">
        <f t="shared" si="15"/>
        <v>3576.462428084511</v>
      </c>
      <c r="R26" s="11">
        <f t="shared" si="16"/>
        <v>2552.8625741590358</v>
      </c>
      <c r="S26" s="27">
        <f t="shared" si="17"/>
        <v>10520.730713519475</v>
      </c>
    </row>
    <row r="27" spans="1:19" x14ac:dyDescent="0.25">
      <c r="A27" s="6">
        <f t="shared" si="1"/>
        <v>22</v>
      </c>
      <c r="B27" s="24">
        <v>45352</v>
      </c>
      <c r="C27" s="31" cm="1">
        <f t="array" ref="C27" xml:space="preserve"> BonoM(100,C$2,C$1 - $B27,Portafolio!C27)</f>
        <v>92.366696449062644</v>
      </c>
      <c r="D27" s="31" cm="1">
        <f t="array" ref="D27" xml:space="preserve"> BonoM(100,D$2,D$1 - $B27,Portafolio!D27)</f>
        <v>99.266511945892987</v>
      </c>
      <c r="E27" s="31" cm="1">
        <f t="array" ref="E27" xml:space="preserve"> BonoM(100,E$2,E$1 - $B27,Portafolio!E27)</f>
        <v>94.457749902955555</v>
      </c>
      <c r="F27" s="31" cm="1">
        <f t="array" ref="F27" xml:space="preserve"> BonoM(100,F$2,F$1 - $B27,Portafolio!F27)</f>
        <v>96.469002401821058</v>
      </c>
      <c r="G27" s="5">
        <f t="shared" si="5"/>
        <v>-4.2688383152422738E-4</v>
      </c>
      <c r="H27" s="5">
        <f t="shared" si="6"/>
        <v>6.5938616714267262E-4</v>
      </c>
      <c r="I27" s="5">
        <f t="shared" si="7"/>
        <v>7.8029216058617124E-4</v>
      </c>
      <c r="J27" s="5">
        <f t="shared" si="8"/>
        <v>1.8512850081062737E-3</v>
      </c>
      <c r="K27" s="10">
        <f t="shared" si="9"/>
        <v>89.515412393497826</v>
      </c>
      <c r="L27" s="10">
        <f t="shared" si="10"/>
        <v>98.274647749246071</v>
      </c>
      <c r="M27" s="10">
        <f t="shared" si="11"/>
        <v>92.888503765169261</v>
      </c>
      <c r="N27" s="10">
        <f t="shared" si="12"/>
        <v>93.553513832941348</v>
      </c>
      <c r="O27" s="11">
        <f t="shared" si="13"/>
        <v>126.15570516670402</v>
      </c>
      <c r="P27" s="11">
        <f t="shared" si="14"/>
        <v>-97.137363925931197</v>
      </c>
      <c r="Q27" s="11">
        <f t="shared" si="15"/>
        <v>-144.84731936531148</v>
      </c>
      <c r="R27" s="11">
        <f t="shared" si="16"/>
        <v>-172.87417824012152</v>
      </c>
      <c r="S27" s="27">
        <f t="shared" si="17"/>
        <v>-288.70315636466017</v>
      </c>
    </row>
    <row r="28" spans="1:19" x14ac:dyDescent="0.25">
      <c r="A28" s="6">
        <f t="shared" si="1"/>
        <v>23</v>
      </c>
      <c r="B28" s="24">
        <v>45351</v>
      </c>
      <c r="C28" s="31" cm="1">
        <f t="array" ref="C28" xml:space="preserve"> BonoM(100,C$2,C$1 - $B28,Portafolio!C28)</f>
        <v>92.406143137501559</v>
      </c>
      <c r="D28" s="31" cm="1">
        <f t="array" ref="D28" xml:space="preserve"> BonoM(100,D$2,D$1 - $B28,Portafolio!D28)</f>
        <v>99.20110011271332</v>
      </c>
      <c r="E28" s="31" cm="1">
        <f t="array" ref="E28" xml:space="preserve"> BonoM(100,E$2,E$1 - $B28,Portafolio!E28)</f>
        <v>94.384102727513323</v>
      </c>
      <c r="F28" s="31" cm="1">
        <f t="array" ref="F28" xml:space="preserve"> BonoM(100,F$2,F$1 - $B28,Portafolio!F28)</f>
        <v>96.290740796964187</v>
      </c>
      <c r="G28" s="5">
        <f t="shared" si="5"/>
        <v>9.4164123996187676E-4</v>
      </c>
      <c r="H28" s="5">
        <f t="shared" si="6"/>
        <v>2.3049283825360423E-3</v>
      </c>
      <c r="I28" s="5">
        <f t="shared" si="7"/>
        <v>2.3782270837706676E-3</v>
      </c>
      <c r="J28" s="5">
        <f t="shared" si="8"/>
        <v>6.6627446462173001E-3</v>
      </c>
      <c r="K28" s="10">
        <f t="shared" si="9"/>
        <v>89.637968796989838</v>
      </c>
      <c r="L28" s="10">
        <f t="shared" si="10"/>
        <v>98.436256268398338</v>
      </c>
      <c r="M28" s="10">
        <f t="shared" si="11"/>
        <v>93.036817821002899</v>
      </c>
      <c r="N28" s="10">
        <f t="shared" si="12"/>
        <v>94.002811011620935</v>
      </c>
      <c r="O28" s="11">
        <f t="shared" si="13"/>
        <v>-278.28042635693748</v>
      </c>
      <c r="P28" s="11">
        <f t="shared" si="14"/>
        <v>-339.55014265433192</v>
      </c>
      <c r="Q28" s="11">
        <f t="shared" si="15"/>
        <v>-441.47543103258613</v>
      </c>
      <c r="R28" s="11">
        <f t="shared" si="16"/>
        <v>-622.17135691970782</v>
      </c>
      <c r="S28" s="27">
        <f t="shared" si="17"/>
        <v>-1681.4773569635631</v>
      </c>
    </row>
    <row r="29" spans="1:19" x14ac:dyDescent="0.25">
      <c r="A29" s="6">
        <f t="shared" si="1"/>
        <v>24</v>
      </c>
      <c r="B29" s="24">
        <v>45350</v>
      </c>
      <c r="C29" s="31" cm="1">
        <f t="array" ref="C29" xml:space="preserve"> BonoM(100,C$2,C$1 - $B29,Portafolio!C29)</f>
        <v>92.31921156065529</v>
      </c>
      <c r="D29" s="31" cm="1">
        <f t="array" ref="D29" xml:space="preserve"> BonoM(100,D$2,D$1 - $B29,Portafolio!D29)</f>
        <v>98.972974494696473</v>
      </c>
      <c r="E29" s="31" cm="1">
        <f t="array" ref="E29" xml:space="preserve"> BonoM(100,E$2,E$1 - $B29,Portafolio!E29)</f>
        <v>94.160168464658256</v>
      </c>
      <c r="F29" s="31" cm="1">
        <f t="array" ref="F29" xml:space="preserve"> BonoM(100,F$2,F$1 - $B29,Portafolio!F29)</f>
        <v>95.653426442045117</v>
      </c>
      <c r="G29" s="5">
        <f t="shared" si="5"/>
        <v>7.846174474657186E-4</v>
      </c>
      <c r="H29" s="5">
        <f t="shared" si="6"/>
        <v>2.7180843058891568E-3</v>
      </c>
      <c r="I29" s="5">
        <f t="shared" si="7"/>
        <v>2.9119091320894963E-3</v>
      </c>
      <c r="J29" s="5">
        <f t="shared" si="8"/>
        <v>4.2467970602579896E-3</v>
      </c>
      <c r="K29" s="10">
        <f t="shared" si="9"/>
        <v>89.623906744586151</v>
      </c>
      <c r="L29" s="10">
        <f t="shared" si="10"/>
        <v>98.476832265979866</v>
      </c>
      <c r="M29" s="10">
        <f t="shared" si="11"/>
        <v>93.086352096750517</v>
      </c>
      <c r="N29" s="10">
        <f t="shared" si="12"/>
        <v>93.777208280671829</v>
      </c>
      <c r="O29" s="11">
        <f t="shared" si="13"/>
        <v>-231.8756534247683</v>
      </c>
      <c r="P29" s="11">
        <f t="shared" si="14"/>
        <v>-400.41413902662271</v>
      </c>
      <c r="Q29" s="11">
        <f t="shared" si="15"/>
        <v>-540.54398252782221</v>
      </c>
      <c r="R29" s="11">
        <f t="shared" si="16"/>
        <v>-396.56862597060183</v>
      </c>
      <c r="S29" s="27">
        <f t="shared" si="17"/>
        <v>-1569.4024009498148</v>
      </c>
    </row>
    <row r="30" spans="1:19" x14ac:dyDescent="0.25">
      <c r="A30" s="6">
        <f t="shared" si="1"/>
        <v>25</v>
      </c>
      <c r="B30" s="24">
        <v>45349</v>
      </c>
      <c r="C30" s="31" cm="1">
        <f t="array" ref="C30" xml:space="preserve"> BonoM(100,C$2,C$1 - $B30,Portafolio!C30)</f>
        <v>92.246833085942612</v>
      </c>
      <c r="D30" s="31" cm="1">
        <f t="array" ref="D30" xml:space="preserve"> BonoM(100,D$2,D$1 - $B30,Portafolio!D30)</f>
        <v>98.704686834493941</v>
      </c>
      <c r="E30" s="31" cm="1">
        <f t="array" ref="E30" xml:space="preserve"> BonoM(100,E$2,E$1 - $B30,Portafolio!E30)</f>
        <v>93.886778696389769</v>
      </c>
      <c r="F30" s="31" cm="1">
        <f t="array" ref="F30" xml:space="preserve"> BonoM(100,F$2,F$1 - $B30,Portafolio!F30)</f>
        <v>95.248923593336201</v>
      </c>
      <c r="G30" s="5">
        <f t="shared" si="5"/>
        <v>-2.9055775118992377E-3</v>
      </c>
      <c r="H30" s="5">
        <f t="shared" si="6"/>
        <v>-3.8512757959751065E-3</v>
      </c>
      <c r="I30" s="5">
        <f t="shared" si="7"/>
        <v>-3.4665779282938569E-3</v>
      </c>
      <c r="J30" s="5">
        <f t="shared" si="8"/>
        <v>-1.3396236766052283E-3</v>
      </c>
      <c r="K30" s="10">
        <f t="shared" si="9"/>
        <v>89.293436348517304</v>
      </c>
      <c r="L30" s="10">
        <f t="shared" si="10"/>
        <v>97.831656136246508</v>
      </c>
      <c r="M30" s="10">
        <f t="shared" si="11"/>
        <v>92.494325930802177</v>
      </c>
      <c r="N30" s="10">
        <f t="shared" si="12"/>
        <v>93.255544738883245</v>
      </c>
      <c r="O30" s="11">
        <f t="shared" si="13"/>
        <v>858.67665360242711</v>
      </c>
      <c r="P30" s="11">
        <f t="shared" si="14"/>
        <v>567.35005557341367</v>
      </c>
      <c r="Q30" s="11">
        <f t="shared" si="15"/>
        <v>643.50834936885803</v>
      </c>
      <c r="R30" s="11">
        <f t="shared" si="16"/>
        <v>125.09491581798216</v>
      </c>
      <c r="S30" s="27">
        <f t="shared" si="17"/>
        <v>2194.6299743626805</v>
      </c>
    </row>
    <row r="31" spans="1:19" x14ac:dyDescent="0.25">
      <c r="A31" s="6">
        <f t="shared" si="1"/>
        <v>26</v>
      </c>
      <c r="B31" s="24">
        <v>45348</v>
      </c>
      <c r="C31" s="31" cm="1">
        <f t="array" ref="C31" xml:space="preserve"> BonoM(100,C$2,C$1 - $B31,Portafolio!C31)</f>
        <v>92.515644461990235</v>
      </c>
      <c r="D31" s="31" cm="1">
        <f t="array" ref="D31" xml:space="preserve"> BonoM(100,D$2,D$1 - $B31,Portafolio!D31)</f>
        <v>99.086295486012062</v>
      </c>
      <c r="E31" s="31" cm="1">
        <f t="array" ref="E31" xml:space="preserve"> BonoM(100,E$2,E$1 - $B31,Portafolio!E31)</f>
        <v>94.213376708637966</v>
      </c>
      <c r="F31" s="31" cm="1">
        <f t="array" ref="F31" xml:space="preserve"> BonoM(100,F$2,F$1 - $B31,Portafolio!F31)</f>
        <v>95.37669246876365</v>
      </c>
      <c r="G31" s="5">
        <f t="shared" si="5"/>
        <v>1.0819670302159023E-2</v>
      </c>
      <c r="H31" s="5">
        <f t="shared" si="6"/>
        <v>1.566181458403193E-2</v>
      </c>
      <c r="I31" s="5">
        <f t="shared" si="7"/>
        <v>1.9657135889113997E-2</v>
      </c>
      <c r="J31" s="5">
        <f t="shared" si="8"/>
        <v>2.7675588731139955E-2</v>
      </c>
      <c r="K31" s="10">
        <f t="shared" si="9"/>
        <v>90.522582269315862</v>
      </c>
      <c r="L31" s="10">
        <f t="shared" si="10"/>
        <v>99.748034586399868</v>
      </c>
      <c r="M31" s="10">
        <f t="shared" si="11"/>
        <v>94.640578404815045</v>
      </c>
      <c r="N31" s="10">
        <f t="shared" si="12"/>
        <v>95.965003833235514</v>
      </c>
      <c r="O31" s="11">
        <f t="shared" si="13"/>
        <v>-3197.5048850328149</v>
      </c>
      <c r="P31" s="11">
        <f t="shared" si="14"/>
        <v>-2307.2176196566261</v>
      </c>
      <c r="Q31" s="11">
        <f t="shared" si="15"/>
        <v>-3648.9965986568791</v>
      </c>
      <c r="R31" s="11">
        <f t="shared" si="16"/>
        <v>-2584.364178534287</v>
      </c>
      <c r="S31" s="27">
        <f t="shared" si="17"/>
        <v>-11738.083281880608</v>
      </c>
    </row>
    <row r="32" spans="1:19" x14ac:dyDescent="0.25">
      <c r="A32" s="6">
        <f t="shared" si="1"/>
        <v>27</v>
      </c>
      <c r="B32" s="24">
        <v>45346</v>
      </c>
      <c r="C32" s="31" cm="1">
        <f t="array" ref="C32" xml:space="preserve"> BonoM(100,C$2,C$1 - $B32,Portafolio!C32)</f>
        <v>91.525370132869512</v>
      </c>
      <c r="D32" s="31" cm="1">
        <f t="array" ref="D32" xml:space="preserve"> BonoM(100,D$2,D$1 - $B32,Portafolio!D32)</f>
        <v>97.558354624755893</v>
      </c>
      <c r="E32" s="31" cm="1">
        <f t="array" ref="E32" xml:space="preserve"> BonoM(100,E$2,E$1 - $B32,Portafolio!E32)</f>
        <v>92.397114081378348</v>
      </c>
      <c r="F32" s="31" cm="1">
        <f t="array" ref="F32" xml:space="preserve"> BonoM(100,F$2,F$1 - $B32,Portafolio!F32)</f>
        <v>92.808171678500443</v>
      </c>
      <c r="G32" s="5">
        <f t="shared" si="5"/>
        <v>-9.9483603543656374E-3</v>
      </c>
      <c r="H32" s="5">
        <f t="shared" si="6"/>
        <v>-1.4684095160520605E-2</v>
      </c>
      <c r="I32" s="5">
        <f t="shared" si="7"/>
        <v>-1.8544857262095649E-2</v>
      </c>
      <c r="J32" s="5">
        <f t="shared" si="8"/>
        <v>-2.6191820750638417E-2</v>
      </c>
      <c r="K32" s="10">
        <f t="shared" si="9"/>
        <v>88.662729499419768</v>
      </c>
      <c r="L32" s="10">
        <f t="shared" si="10"/>
        <v>96.767766143409233</v>
      </c>
      <c r="M32" s="10">
        <f t="shared" si="11"/>
        <v>91.094819148303117</v>
      </c>
      <c r="N32" s="10">
        <f t="shared" si="12"/>
        <v>90.934830679285341</v>
      </c>
      <c r="O32" s="11">
        <f t="shared" si="13"/>
        <v>2940.0092556242939</v>
      </c>
      <c r="P32" s="11">
        <f t="shared" si="14"/>
        <v>2163.1850448293262</v>
      </c>
      <c r="Q32" s="11">
        <f t="shared" si="15"/>
        <v>3442.5219143669779</v>
      </c>
      <c r="R32" s="11">
        <f t="shared" si="16"/>
        <v>2445.8089754158864</v>
      </c>
      <c r="S32" s="27">
        <f t="shared" si="17"/>
        <v>10991.525190236485</v>
      </c>
    </row>
    <row r="33" spans="1:19" x14ac:dyDescent="0.25">
      <c r="A33" s="6">
        <f t="shared" si="1"/>
        <v>28</v>
      </c>
      <c r="B33" s="24">
        <v>45345</v>
      </c>
      <c r="C33" s="31" cm="1">
        <f t="array" ref="C33" xml:space="preserve"> BonoM(100,C$2,C$1 - $B33,Portafolio!C33)</f>
        <v>92.445046771124851</v>
      </c>
      <c r="D33" s="31" cm="1">
        <f t="array" ref="D33" xml:space="preserve"> BonoM(100,D$2,D$1 - $B33,Portafolio!D33)</f>
        <v>99.012260073736854</v>
      </c>
      <c r="E33" s="31" cm="1">
        <f t="array" ref="E33" xml:space="preserve"> BonoM(100,E$2,E$1 - $B33,Portafolio!E33)</f>
        <v>94.142982249421877</v>
      </c>
      <c r="F33" s="31" cm="1">
        <f t="array" ref="F33" xml:space="preserve"> BonoM(100,F$2,F$1 - $B33,Portafolio!F33)</f>
        <v>95.30436656430588</v>
      </c>
      <c r="G33" s="5">
        <f t="shared" si="5"/>
        <v>5.197089235089436E-4</v>
      </c>
      <c r="H33" s="5">
        <f t="shared" si="6"/>
        <v>2.3129515922573063E-3</v>
      </c>
      <c r="I33" s="5">
        <f t="shared" si="7"/>
        <v>2.3844999057525129E-3</v>
      </c>
      <c r="J33" s="5">
        <f t="shared" si="8"/>
        <v>3.4496885881234451E-3</v>
      </c>
      <c r="K33" s="10">
        <f t="shared" si="9"/>
        <v>89.600183221629223</v>
      </c>
      <c r="L33" s="10">
        <f t="shared" si="10"/>
        <v>98.437044226938553</v>
      </c>
      <c r="M33" s="10">
        <f t="shared" si="11"/>
        <v>93.037400039750452</v>
      </c>
      <c r="N33" s="10">
        <f t="shared" si="12"/>
        <v>93.70277378166972</v>
      </c>
      <c r="O33" s="11">
        <f t="shared" si="13"/>
        <v>-153.58802766690616</v>
      </c>
      <c r="P33" s="11">
        <f t="shared" si="14"/>
        <v>-340.73208046465453</v>
      </c>
      <c r="Q33" s="11">
        <f t="shared" si="15"/>
        <v>-442.63986852769222</v>
      </c>
      <c r="R33" s="11">
        <f t="shared" si="16"/>
        <v>-322.13412696849275</v>
      </c>
      <c r="S33" s="27">
        <f t="shared" si="17"/>
        <v>-1259.0941036277457</v>
      </c>
    </row>
    <row r="34" spans="1:19" x14ac:dyDescent="0.25">
      <c r="A34" s="6">
        <f t="shared" si="1"/>
        <v>29</v>
      </c>
      <c r="B34" s="24">
        <v>45344</v>
      </c>
      <c r="C34" s="31" cm="1">
        <f t="array" ref="C34" xml:space="preserve"> BonoM(100,C$2,C$1 - $B34,Portafolio!C34)</f>
        <v>92.397027211577296</v>
      </c>
      <c r="D34" s="31" cm="1">
        <f t="array" ref="D34" xml:space="preserve"> BonoM(100,D$2,D$1 - $B34,Portafolio!D34)</f>
        <v>98.783777977175347</v>
      </c>
      <c r="E34" s="31" cm="1">
        <f t="array" ref="E34" xml:space="preserve"> BonoM(100,E$2,E$1 - $B34,Portafolio!E34)</f>
        <v>93.919032325692896</v>
      </c>
      <c r="F34" s="31" cm="1">
        <f t="array" ref="F34" xml:space="preserve"> BonoM(100,F$2,F$1 - $B34,Portafolio!F34)</f>
        <v>94.976726434985778</v>
      </c>
      <c r="G34" s="5">
        <f t="shared" si="5"/>
        <v>1.768602917587625E-3</v>
      </c>
      <c r="H34" s="5">
        <f t="shared" si="6"/>
        <v>-2.8560894818596694E-4</v>
      </c>
      <c r="I34" s="5">
        <f t="shared" si="7"/>
        <v>2.5024653241767503E-4</v>
      </c>
      <c r="J34" s="5">
        <f t="shared" si="8"/>
        <v>-6.9107248685337241E-3</v>
      </c>
      <c r="K34" s="10">
        <f t="shared" si="9"/>
        <v>89.712026226515405</v>
      </c>
      <c r="L34" s="10">
        <f t="shared" si="10"/>
        <v>98.181839883385337</v>
      </c>
      <c r="M34" s="10">
        <f t="shared" si="11"/>
        <v>92.839307007685605</v>
      </c>
      <c r="N34" s="10">
        <f t="shared" si="12"/>
        <v>92.735311745999894</v>
      </c>
      <c r="O34" s="11">
        <f t="shared" si="13"/>
        <v>-522.66994379130836</v>
      </c>
      <c r="P34" s="11">
        <f t="shared" si="14"/>
        <v>42.074434865170929</v>
      </c>
      <c r="Q34" s="11">
        <f t="shared" si="15"/>
        <v>-46.45380439799851</v>
      </c>
      <c r="R34" s="11">
        <f t="shared" si="16"/>
        <v>645.32790870133283</v>
      </c>
      <c r="S34" s="27">
        <f t="shared" si="17"/>
        <v>118.27859537719689</v>
      </c>
    </row>
    <row r="35" spans="1:19" x14ac:dyDescent="0.25">
      <c r="A35" s="6">
        <f t="shared" si="1"/>
        <v>30</v>
      </c>
      <c r="B35" s="24">
        <v>45343</v>
      </c>
      <c r="C35" s="31" cm="1">
        <f t="array" ref="C35" xml:space="preserve"> BonoM(100,C$2,C$1 - $B35,Portafolio!C35)</f>
        <v>92.233902063287672</v>
      </c>
      <c r="D35" s="31" cm="1">
        <f t="array" ref="D35" xml:space="preserve"> BonoM(100,D$2,D$1 - $B35,Portafolio!D35)</f>
        <v>98.811999568440243</v>
      </c>
      <c r="E35" s="31" cm="1">
        <f t="array" ref="E35" xml:space="preserve"> BonoM(100,E$2,E$1 - $B35,Portafolio!E35)</f>
        <v>93.895535293576174</v>
      </c>
      <c r="F35" s="31" cm="1">
        <f t="array" ref="F35" xml:space="preserve"> BonoM(100,F$2,F$1 - $B35,Portafolio!F35)</f>
        <v>95.637651934578244</v>
      </c>
      <c r="G35" s="5">
        <f t="shared" si="5"/>
        <v>3.2609032171513341E-3</v>
      </c>
      <c r="H35" s="5">
        <f t="shared" si="6"/>
        <v>2.8533348219474952E-3</v>
      </c>
      <c r="I35" s="5">
        <f t="shared" si="7"/>
        <v>3.9906607244826198E-3</v>
      </c>
      <c r="J35" s="5">
        <f t="shared" si="8"/>
        <v>5.8637979789248895E-3</v>
      </c>
      <c r="K35" s="10">
        <f t="shared" si="9"/>
        <v>89.845667152396274</v>
      </c>
      <c r="L35" s="10">
        <f t="shared" si="10"/>
        <v>98.490115204217659</v>
      </c>
      <c r="M35" s="10">
        <f t="shared" si="11"/>
        <v>93.186477590964003</v>
      </c>
      <c r="N35" s="10">
        <f t="shared" si="12"/>
        <v>93.928204860779175</v>
      </c>
      <c r="O35" s="11">
        <f t="shared" si="13"/>
        <v>-963.68499919817486</v>
      </c>
      <c r="P35" s="11">
        <f t="shared" si="14"/>
        <v>-420.33854638331292</v>
      </c>
      <c r="Q35" s="11">
        <f t="shared" si="15"/>
        <v>-740.79497095479496</v>
      </c>
      <c r="R35" s="11">
        <f t="shared" si="16"/>
        <v>-547.56520607794812</v>
      </c>
      <c r="S35" s="27">
        <f t="shared" si="17"/>
        <v>-2672.3837226142309</v>
      </c>
    </row>
    <row r="36" spans="1:19" x14ac:dyDescent="0.25">
      <c r="A36" s="6">
        <f t="shared" si="1"/>
        <v>31</v>
      </c>
      <c r="B36" s="24">
        <v>45342</v>
      </c>
      <c r="C36" s="31" cm="1">
        <f t="array" ref="C36" xml:space="preserve"> BonoM(100,C$2,C$1 - $B36,Portafolio!C36)</f>
        <v>91.934113815779838</v>
      </c>
      <c r="D36" s="31" cm="1">
        <f t="array" ref="D36" xml:space="preserve"> BonoM(100,D$2,D$1 - $B36,Portafolio!D36)</f>
        <v>98.530858040157895</v>
      </c>
      <c r="E36" s="31" cm="1">
        <f t="array" ref="E36" xml:space="preserve"> BonoM(100,E$2,E$1 - $B36,Portafolio!E36)</f>
        <v>93.522319446498514</v>
      </c>
      <c r="F36" s="31" cm="1">
        <f t="array" ref="F36" xml:space="preserve"> BonoM(100,F$2,F$1 - $B36,Portafolio!F36)</f>
        <v>95.080121311396539</v>
      </c>
      <c r="G36" s="5">
        <f t="shared" si="5"/>
        <v>5.2495374015193441E-4</v>
      </c>
      <c r="H36" s="5">
        <f t="shared" si="6"/>
        <v>6.6469125861168266E-4</v>
      </c>
      <c r="I36" s="5">
        <f t="shared" si="7"/>
        <v>1.3191774216783081E-3</v>
      </c>
      <c r="J36" s="5">
        <f t="shared" si="8"/>
        <v>1.0523187406414891E-3</v>
      </c>
      <c r="K36" s="10">
        <f t="shared" si="9"/>
        <v>89.60065291405806</v>
      </c>
      <c r="L36" s="10">
        <f t="shared" si="10"/>
        <v>98.275168761693052</v>
      </c>
      <c r="M36" s="10">
        <f t="shared" si="11"/>
        <v>92.938520982730452</v>
      </c>
      <c r="N36" s="10">
        <f t="shared" si="12"/>
        <v>93.478905851822958</v>
      </c>
      <c r="O36" s="11">
        <f t="shared" si="13"/>
        <v>-155.13801268206748</v>
      </c>
      <c r="P36" s="11">
        <f t="shared" si="14"/>
        <v>-97.918882596403023</v>
      </c>
      <c r="Q36" s="11">
        <f t="shared" si="15"/>
        <v>-244.88175448769312</v>
      </c>
      <c r="R36" s="11">
        <f t="shared" si="16"/>
        <v>-98.266197121731125</v>
      </c>
      <c r="S36" s="27">
        <f t="shared" si="17"/>
        <v>-596.20484688789475</v>
      </c>
    </row>
    <row r="37" spans="1:19" x14ac:dyDescent="0.25">
      <c r="A37" s="6">
        <f t="shared" si="1"/>
        <v>32</v>
      </c>
      <c r="B37" s="24">
        <v>45341</v>
      </c>
      <c r="C37" s="31" cm="1">
        <f t="array" ref="C37" xml:space="preserve"> BonoM(100,C$2,C$1 - $B37,Portafolio!C37)</f>
        <v>91.885877980466844</v>
      </c>
      <c r="D37" s="31" cm="1">
        <f t="array" ref="D37" xml:space="preserve"> BonoM(100,D$2,D$1 - $B37,Portafolio!D37)</f>
        <v>98.465408943557478</v>
      </c>
      <c r="E37" s="31" cm="1">
        <f t="array" ref="E37" xml:space="preserve"> BonoM(100,E$2,E$1 - $B37,Portafolio!E37)</f>
        <v>93.399109450107062</v>
      </c>
      <c r="F37" s="31" cm="1">
        <f t="array" ref="F37" xml:space="preserve"> BonoM(100,F$2,F$1 - $B37,Portafolio!F37)</f>
        <v>94.980171896520488</v>
      </c>
      <c r="G37" s="5">
        <f t="shared" si="5"/>
        <v>9.4679143157490042E-3</v>
      </c>
      <c r="H37" s="5">
        <f t="shared" si="6"/>
        <v>1.517512593226078E-2</v>
      </c>
      <c r="I37" s="5">
        <f t="shared" si="7"/>
        <v>1.8557660792953623E-2</v>
      </c>
      <c r="J37" s="5">
        <f t="shared" si="8"/>
        <v>2.6576086163495383E-2</v>
      </c>
      <c r="K37" s="10">
        <f t="shared" si="9"/>
        <v>90.401527598455274</v>
      </c>
      <c r="L37" s="10">
        <f t="shared" si="10"/>
        <v>99.700236947685298</v>
      </c>
      <c r="M37" s="10">
        <f t="shared" si="11"/>
        <v>94.538529436215839</v>
      </c>
      <c r="N37" s="10">
        <f t="shared" si="12"/>
        <v>95.862331580166881</v>
      </c>
      <c r="O37" s="11">
        <f t="shared" si="13"/>
        <v>-2798.0244711928763</v>
      </c>
      <c r="P37" s="11">
        <f t="shared" si="14"/>
        <v>-2235.5211615847707</v>
      </c>
      <c r="Q37" s="11">
        <f t="shared" si="15"/>
        <v>-3444.8986614584669</v>
      </c>
      <c r="R37" s="11">
        <f t="shared" si="16"/>
        <v>-2481.6919254656541</v>
      </c>
      <c r="S37" s="27">
        <f t="shared" si="17"/>
        <v>-10960.136219701766</v>
      </c>
    </row>
    <row r="38" spans="1:19" x14ac:dyDescent="0.25">
      <c r="A38" s="6">
        <f t="shared" si="1"/>
        <v>33</v>
      </c>
      <c r="B38" s="24">
        <v>45339</v>
      </c>
      <c r="C38" s="31" cm="1">
        <f t="array" ref="C38" xml:space="preserve"> BonoM(100,C$2,C$1 - $B38,Portafolio!C38)</f>
        <v>91.024069886114361</v>
      </c>
      <c r="D38" s="31" cm="1">
        <f t="array" ref="D38" xml:space="preserve"> BonoM(100,D$2,D$1 - $B38,Portafolio!D38)</f>
        <v>96.993520062003313</v>
      </c>
      <c r="E38" s="31" cm="1">
        <f t="array" ref="E38" xml:space="preserve"> BonoM(100,E$2,E$1 - $B38,Portafolio!E38)</f>
        <v>91.697419837179623</v>
      </c>
      <c r="F38" s="31" cm="1">
        <f t="array" ref="F38" xml:space="preserve"> BonoM(100,F$2,F$1 - $B38,Portafolio!F38)</f>
        <v>92.521317393510458</v>
      </c>
      <c r="G38" s="5">
        <f t="shared" si="5"/>
        <v>-8.6076245849217026E-3</v>
      </c>
      <c r="H38" s="5">
        <f t="shared" si="6"/>
        <v>-1.4203087897735611E-2</v>
      </c>
      <c r="I38" s="5">
        <f t="shared" si="7"/>
        <v>-1.7475263335996805E-2</v>
      </c>
      <c r="J38" s="5">
        <f t="shared" si="8"/>
        <v>-2.8259549219538438E-2</v>
      </c>
      <c r="K38" s="10">
        <f t="shared" si="9"/>
        <v>88.782797269722082</v>
      </c>
      <c r="L38" s="10">
        <f t="shared" si="10"/>
        <v>96.81500581353923</v>
      </c>
      <c r="M38" s="10">
        <f t="shared" si="11"/>
        <v>91.194094663828253</v>
      </c>
      <c r="N38" s="10">
        <f t="shared" si="12"/>
        <v>90.741744872227216</v>
      </c>
      <c r="O38" s="11">
        <f t="shared" si="13"/>
        <v>2543.7856136266605</v>
      </c>
      <c r="P38" s="11">
        <f t="shared" si="14"/>
        <v>2092.3255396343307</v>
      </c>
      <c r="Q38" s="11">
        <f t="shared" si="15"/>
        <v>3243.970883316706</v>
      </c>
      <c r="R38" s="11">
        <f t="shared" si="16"/>
        <v>2638.8947824740117</v>
      </c>
      <c r="S38" s="27">
        <f t="shared" si="17"/>
        <v>10518.97681905171</v>
      </c>
    </row>
    <row r="39" spans="1:19" x14ac:dyDescent="0.25">
      <c r="A39" s="6">
        <f t="shared" si="1"/>
        <v>34</v>
      </c>
      <c r="B39" s="24">
        <v>45338</v>
      </c>
      <c r="C39" s="31" cm="1">
        <f t="array" ref="C39" xml:space="preserve"> BonoM(100,C$2,C$1 - $B39,Portafolio!C39)</f>
        <v>91.814373545090262</v>
      </c>
      <c r="D39" s="31" cm="1">
        <f t="array" ref="D39" xml:space="preserve"> BonoM(100,D$2,D$1 - $B39,Portafolio!D39)</f>
        <v>98.390975738764965</v>
      </c>
      <c r="E39" s="31" cm="1">
        <f t="array" ref="E39" xml:space="preserve"> BonoM(100,E$2,E$1 - $B39,Portafolio!E39)</f>
        <v>93.32835746051822</v>
      </c>
      <c r="F39" s="31" cm="1">
        <f t="array" ref="F39" xml:space="preserve"> BonoM(100,F$2,F$1 - $B39,Portafolio!F39)</f>
        <v>95.211964593221552</v>
      </c>
      <c r="G39" s="5">
        <f t="shared" si="5"/>
        <v>-2.6710104195207807E-3</v>
      </c>
      <c r="H39" s="5">
        <f t="shared" si="6"/>
        <v>-3.0543048264858319E-3</v>
      </c>
      <c r="I39" s="5">
        <f t="shared" si="7"/>
        <v>-4.5471762581469344E-3</v>
      </c>
      <c r="J39" s="5">
        <f t="shared" si="8"/>
        <v>-2.9473740005071525E-3</v>
      </c>
      <c r="K39" s="10">
        <f t="shared" si="9"/>
        <v>89.314442685791249</v>
      </c>
      <c r="L39" s="10">
        <f t="shared" si="10"/>
        <v>97.909926567100044</v>
      </c>
      <c r="M39" s="10">
        <f t="shared" si="11"/>
        <v>92.394029029656679</v>
      </c>
      <c r="N39" s="10">
        <f t="shared" si="12"/>
        <v>93.105411985232237</v>
      </c>
      <c r="O39" s="11">
        <f t="shared" si="13"/>
        <v>789.3557405984069</v>
      </c>
      <c r="P39" s="11">
        <f t="shared" si="14"/>
        <v>449.94440929310997</v>
      </c>
      <c r="Q39" s="11">
        <f t="shared" si="15"/>
        <v>844.10215165985392</v>
      </c>
      <c r="R39" s="11">
        <f t="shared" si="16"/>
        <v>275.22766946898969</v>
      </c>
      <c r="S39" s="27">
        <f t="shared" si="17"/>
        <v>2358.6299710203602</v>
      </c>
    </row>
    <row r="40" spans="1:19" x14ac:dyDescent="0.25">
      <c r="A40" s="6">
        <f t="shared" si="1"/>
        <v>35</v>
      </c>
      <c r="B40" s="24">
        <v>45337</v>
      </c>
      <c r="C40" s="31" cm="1">
        <f t="array" ref="C40" xml:space="preserve"> BonoM(100,C$2,C$1 - $B40,Portafolio!C40)</f>
        <v>92.060267478749878</v>
      </c>
      <c r="D40" s="31" cm="1">
        <f t="array" ref="D40" xml:space="preserve"> BonoM(100,D$2,D$1 - $B40,Portafolio!D40)</f>
        <v>98.692412450449908</v>
      </c>
      <c r="E40" s="31" cm="1">
        <f t="array" ref="E40" xml:space="preserve"> BonoM(100,E$2,E$1 - $B40,Portafolio!E40)</f>
        <v>93.75467649958739</v>
      </c>
      <c r="F40" s="31" cm="1">
        <f t="array" ref="F40" xml:space="preserve"> BonoM(100,F$2,F$1 - $B40,Portafolio!F40)</f>
        <v>95.493419414824331</v>
      </c>
      <c r="G40" s="5">
        <f t="shared" si="5"/>
        <v>1.3257117345544245E-3</v>
      </c>
      <c r="H40" s="5">
        <f t="shared" si="6"/>
        <v>1.9087156402417538E-3</v>
      </c>
      <c r="I40" s="5">
        <f t="shared" si="7"/>
        <v>1.8568419679974024E-3</v>
      </c>
      <c r="J40" s="5">
        <f t="shared" si="8"/>
        <v>5.0706346099576027E-3</v>
      </c>
      <c r="K40" s="10">
        <f t="shared" si="9"/>
        <v>89.672363708333009</v>
      </c>
      <c r="L40" s="10">
        <f t="shared" si="10"/>
        <v>98.397344258756505</v>
      </c>
      <c r="M40" s="10">
        <f t="shared" si="11"/>
        <v>92.988424898331488</v>
      </c>
      <c r="N40" s="10">
        <f t="shared" si="12"/>
        <v>93.854138758034338</v>
      </c>
      <c r="O40" s="11">
        <f t="shared" si="13"/>
        <v>-391.7836337894002</v>
      </c>
      <c r="P40" s="11">
        <f t="shared" si="14"/>
        <v>-281.18212819158117</v>
      </c>
      <c r="Q40" s="11">
        <f t="shared" si="15"/>
        <v>-344.68958568976404</v>
      </c>
      <c r="R40" s="11">
        <f t="shared" si="16"/>
        <v>-473.49910333311129</v>
      </c>
      <c r="S40" s="27">
        <f t="shared" si="17"/>
        <v>-1491.1544510038566</v>
      </c>
    </row>
    <row r="41" spans="1:19" x14ac:dyDescent="0.25">
      <c r="A41" s="6">
        <f t="shared" si="1"/>
        <v>36</v>
      </c>
      <c r="B41" s="24">
        <v>45336</v>
      </c>
      <c r="C41" s="31" cm="1">
        <f t="array" ref="C41" xml:space="preserve"> BonoM(100,C$2,C$1 - $B41,Portafolio!C41)</f>
        <v>91.938383684643185</v>
      </c>
      <c r="D41" s="31" cm="1">
        <f t="array" ref="D41" xml:space="preserve"> BonoM(100,D$2,D$1 - $B41,Portafolio!D41)</f>
        <v>98.504395569992894</v>
      </c>
      <c r="E41" s="31" cm="1">
        <f t="array" ref="E41" xml:space="preserve"> BonoM(100,E$2,E$1 - $B41,Portafolio!E41)</f>
        <v>93.580911535644546</v>
      </c>
      <c r="F41" s="31" cm="1">
        <f t="array" ref="F41" xml:space="preserve"> BonoM(100,F$2,F$1 - $B41,Portafolio!F41)</f>
        <v>95.011650053712785</v>
      </c>
      <c r="G41" s="5">
        <f t="shared" si="5"/>
        <v>2.398267675530974E-3</v>
      </c>
      <c r="H41" s="5">
        <f t="shared" si="6"/>
        <v>2.325209908521142E-3</v>
      </c>
      <c r="I41" s="5">
        <f t="shared" si="7"/>
        <v>4.5396054748285675E-3</v>
      </c>
      <c r="J41" s="5">
        <f t="shared" si="8"/>
        <v>5.8657638369319365E-3</v>
      </c>
      <c r="K41" s="10">
        <f t="shared" si="9"/>
        <v>89.768414998447369</v>
      </c>
      <c r="L41" s="10">
        <f t="shared" si="10"/>
        <v>98.438248114824361</v>
      </c>
      <c r="M41" s="10">
        <f t="shared" si="11"/>
        <v>93.237428490885605</v>
      </c>
      <c r="N41" s="10">
        <f t="shared" si="12"/>
        <v>93.92838843385735</v>
      </c>
      <c r="O41" s="11">
        <f t="shared" si="13"/>
        <v>-708.75289116678891</v>
      </c>
      <c r="P41" s="11">
        <f t="shared" si="14"/>
        <v>-342.53791229336628</v>
      </c>
      <c r="Q41" s="11">
        <f t="shared" si="15"/>
        <v>-842.69677079799976</v>
      </c>
      <c r="R41" s="11">
        <f t="shared" si="16"/>
        <v>-547.74877915612308</v>
      </c>
      <c r="S41" s="27">
        <f t="shared" si="17"/>
        <v>-2441.7363534142778</v>
      </c>
    </row>
    <row r="42" spans="1:19" x14ac:dyDescent="0.25">
      <c r="A42" s="6">
        <f t="shared" si="1"/>
        <v>37</v>
      </c>
      <c r="B42" s="24">
        <v>45335</v>
      </c>
      <c r="C42" s="31" cm="1">
        <f t="array" ref="C42" xml:space="preserve"> BonoM(100,C$2,C$1 - $B42,Portafolio!C42)</f>
        <v>91.718418366623695</v>
      </c>
      <c r="D42" s="31" cm="1">
        <f t="array" ref="D42" xml:space="preserve"> BonoM(100,D$2,D$1 - $B42,Portafolio!D42)</f>
        <v>98.275883511882398</v>
      </c>
      <c r="E42" s="31" cm="1">
        <f t="array" ref="E42" xml:space="preserve"> BonoM(100,E$2,E$1 - $B42,Portafolio!E42)</f>
        <v>93.158010919251367</v>
      </c>
      <c r="F42" s="31" cm="1">
        <f t="array" ref="F42" xml:space="preserve"> BonoM(100,F$2,F$1 - $B42,Portafolio!F42)</f>
        <v>94.45758417235065</v>
      </c>
      <c r="G42" s="5">
        <f t="shared" si="5"/>
        <v>-4.8127192422062759E-3</v>
      </c>
      <c r="H42" s="5">
        <f t="shared" si="6"/>
        <v>-7.1891273056806648E-3</v>
      </c>
      <c r="I42" s="5">
        <f t="shared" si="7"/>
        <v>-9.3412206386247476E-3</v>
      </c>
      <c r="J42" s="5">
        <f t="shared" si="8"/>
        <v>-6.9202537470178793E-3</v>
      </c>
      <c r="K42" s="10">
        <f t="shared" si="9"/>
        <v>89.122644861911837</v>
      </c>
      <c r="L42" s="10">
        <f t="shared" si="10"/>
        <v>97.503846108288798</v>
      </c>
      <c r="M42" s="10">
        <f t="shared" si="11"/>
        <v>91.949064622408983</v>
      </c>
      <c r="N42" s="10">
        <f t="shared" si="12"/>
        <v>92.734421933231857</v>
      </c>
      <c r="O42" s="11">
        <f t="shared" si="13"/>
        <v>1422.2885594004665</v>
      </c>
      <c r="P42" s="11">
        <f t="shared" si="14"/>
        <v>1059.0650975099791</v>
      </c>
      <c r="Q42" s="11">
        <f t="shared" si="15"/>
        <v>1734.0309661552453</v>
      </c>
      <c r="R42" s="11">
        <f t="shared" si="16"/>
        <v>646.21772146936962</v>
      </c>
      <c r="S42" s="27">
        <f t="shared" si="17"/>
        <v>4861.6023445350602</v>
      </c>
    </row>
    <row r="43" spans="1:19" x14ac:dyDescent="0.25">
      <c r="A43" s="6">
        <f t="shared" si="1"/>
        <v>38</v>
      </c>
      <c r="B43" s="24">
        <v>45334</v>
      </c>
      <c r="C43" s="31" cm="1">
        <f t="array" ref="C43" xml:space="preserve"> BonoM(100,C$2,C$1 - $B43,Portafolio!C43)</f>
        <v>92.161968043626857</v>
      </c>
      <c r="D43" s="31" cm="1">
        <f t="array" ref="D43" xml:space="preserve"> BonoM(100,D$2,D$1 - $B43,Portafolio!D43)</f>
        <v>98.987517375971535</v>
      </c>
      <c r="E43" s="31" cm="1">
        <f t="array" ref="E43" xml:space="preserve"> BonoM(100,E$2,E$1 - $B43,Portafolio!E43)</f>
        <v>94.036425921855113</v>
      </c>
      <c r="F43" s="31" cm="1">
        <f t="array" ref="F43" xml:space="preserve"> BonoM(100,F$2,F$1 - $B43,Portafolio!F43)</f>
        <v>95.115809710903164</v>
      </c>
      <c r="G43" s="5">
        <f t="shared" si="5"/>
        <v>1.0559273665796898E-2</v>
      </c>
      <c r="H43" s="5">
        <f t="shared" si="6"/>
        <v>1.5343963073642275E-2</v>
      </c>
      <c r="I43" s="5">
        <f t="shared" si="7"/>
        <v>1.9745065104928683E-2</v>
      </c>
      <c r="J43" s="5">
        <f t="shared" si="8"/>
        <v>2.9931077080570079E-2</v>
      </c>
      <c r="K43" s="10">
        <f t="shared" si="9"/>
        <v>90.499262802322605</v>
      </c>
      <c r="L43" s="10">
        <f t="shared" si="10"/>
        <v>99.716818424684988</v>
      </c>
      <c r="M43" s="10">
        <f t="shared" si="11"/>
        <v>94.648739649953711</v>
      </c>
      <c r="N43" s="10">
        <f t="shared" si="12"/>
        <v>96.175622778039028</v>
      </c>
      <c r="O43" s="11">
        <f t="shared" si="13"/>
        <v>-3120.5506439550659</v>
      </c>
      <c r="P43" s="11">
        <f t="shared" si="14"/>
        <v>-2260.3933770843055</v>
      </c>
      <c r="Q43" s="11">
        <f t="shared" si="15"/>
        <v>-3665.3190889342113</v>
      </c>
      <c r="R43" s="11">
        <f t="shared" si="16"/>
        <v>-2794.9831233378009</v>
      </c>
      <c r="S43" s="27">
        <f t="shared" si="17"/>
        <v>-11841.246233311384</v>
      </c>
    </row>
    <row r="44" spans="1:19" x14ac:dyDescent="0.25">
      <c r="A44" s="6">
        <f t="shared" si="1"/>
        <v>39</v>
      </c>
      <c r="B44" s="24">
        <v>45332</v>
      </c>
      <c r="C44" s="31" cm="1">
        <f t="array" ref="C44" xml:space="preserve"> BonoM(100,C$2,C$1 - $B44,Portafolio!C44)</f>
        <v>91.198973128325221</v>
      </c>
      <c r="D44" s="31" cm="1">
        <f t="array" ref="D44" xml:space="preserve"> BonoM(100,D$2,D$1 - $B44,Portafolio!D44)</f>
        <v>97.491609716491737</v>
      </c>
      <c r="E44" s="31" cm="1">
        <f t="array" ref="E44" xml:space="preserve"> BonoM(100,E$2,E$1 - $B44,Portafolio!E44)</f>
        <v>92.21562245283242</v>
      </c>
      <c r="F44" s="31" cm="1">
        <f t="array" ref="F44" xml:space="preserve"> BonoM(100,F$2,F$1 - $B44,Portafolio!F44)</f>
        <v>92.351626072413765</v>
      </c>
      <c r="G44" s="5">
        <f t="shared" si="5"/>
        <v>-9.1604547101190592E-3</v>
      </c>
      <c r="H44" s="5">
        <f t="shared" si="6"/>
        <v>-1.4380354191076195E-2</v>
      </c>
      <c r="I44" s="5">
        <f t="shared" si="7"/>
        <v>-1.8104751624872684E-2</v>
      </c>
      <c r="J44" s="5">
        <f t="shared" si="8"/>
        <v>-2.7545657051477934E-2</v>
      </c>
      <c r="K44" s="10">
        <f t="shared" si="9"/>
        <v>88.733289318937764</v>
      </c>
      <c r="L44" s="10">
        <f t="shared" si="10"/>
        <v>96.797596510456998</v>
      </c>
      <c r="M44" s="10">
        <f t="shared" si="11"/>
        <v>91.135668028382483</v>
      </c>
      <c r="N44" s="10">
        <f t="shared" si="12"/>
        <v>90.808408579525192</v>
      </c>
      <c r="O44" s="11">
        <f t="shared" si="13"/>
        <v>2707.1618512149071</v>
      </c>
      <c r="P44" s="11">
        <f t="shared" si="14"/>
        <v>2118.4394942576787</v>
      </c>
      <c r="Q44" s="11">
        <f t="shared" si="15"/>
        <v>3360.8241542082451</v>
      </c>
      <c r="R44" s="11">
        <f t="shared" si="16"/>
        <v>2572.2310751760347</v>
      </c>
      <c r="S44" s="27">
        <f t="shared" si="17"/>
        <v>10758.656574856865</v>
      </c>
    </row>
    <row r="45" spans="1:19" x14ac:dyDescent="0.25">
      <c r="A45" s="6">
        <f t="shared" si="1"/>
        <v>40</v>
      </c>
      <c r="B45" s="24">
        <v>45331</v>
      </c>
      <c r="C45" s="31" cm="1">
        <f t="array" ref="C45" xml:space="preserve"> BonoM(100,C$2,C$1 - $B45,Portafolio!C45)</f>
        <v>92.042120807404757</v>
      </c>
      <c r="D45" s="31" cm="1">
        <f t="array" ref="D45" xml:space="preserve"> BonoM(100,D$2,D$1 - $B45,Portafolio!D45)</f>
        <v>98.914028480507639</v>
      </c>
      <c r="E45" s="31" cm="1">
        <f t="array" ref="E45" xml:space="preserve"> BonoM(100,E$2,E$1 - $B45,Portafolio!E45)</f>
        <v>93.915947353278142</v>
      </c>
      <c r="F45" s="31" cm="1">
        <f t="array" ref="F45" xml:space="preserve"> BonoM(100,F$2,F$1 - $B45,Portafolio!F45)</f>
        <v>94.967570191932907</v>
      </c>
      <c r="G45" s="5">
        <f t="shared" si="5"/>
        <v>1.8693591361793604E-3</v>
      </c>
      <c r="H45" s="5">
        <f t="shared" si="6"/>
        <v>3.1657260699882173E-3</v>
      </c>
      <c r="I45" s="5">
        <f t="shared" si="7"/>
        <v>3.4761934704687913E-3</v>
      </c>
      <c r="J45" s="5">
        <f t="shared" si="8"/>
        <v>2.6611580444972915E-3</v>
      </c>
      <c r="K45" s="10">
        <f t="shared" si="9"/>
        <v>89.721049312783492</v>
      </c>
      <c r="L45" s="10">
        <f t="shared" si="10"/>
        <v>98.520795114170582</v>
      </c>
      <c r="M45" s="10">
        <f t="shared" si="11"/>
        <v>93.138726757103811</v>
      </c>
      <c r="N45" s="10">
        <f t="shared" si="12"/>
        <v>93.629140295118631</v>
      </c>
      <c r="O45" s="11">
        <f t="shared" si="13"/>
        <v>-552.44612847599512</v>
      </c>
      <c r="P45" s="11">
        <f t="shared" si="14"/>
        <v>-466.35841131269729</v>
      </c>
      <c r="Q45" s="11">
        <f t="shared" si="15"/>
        <v>-645.29330323441059</v>
      </c>
      <c r="R45" s="11">
        <f t="shared" si="16"/>
        <v>-248.50064041740438</v>
      </c>
      <c r="S45" s="27">
        <f t="shared" si="17"/>
        <v>-1912.5984834405074</v>
      </c>
    </row>
    <row r="46" spans="1:19" x14ac:dyDescent="0.25">
      <c r="A46" s="6">
        <f t="shared" si="1"/>
        <v>41</v>
      </c>
      <c r="B46" s="24">
        <v>45330</v>
      </c>
      <c r="C46" s="31" cm="1">
        <f t="array" ref="C46" xml:space="preserve"> BonoM(100,C$2,C$1 - $B46,Portafolio!C46)</f>
        <v>91.870382069339144</v>
      </c>
      <c r="D46" s="31" cm="1">
        <f t="array" ref="D46" xml:space="preserve"> BonoM(100,D$2,D$1 - $B46,Portafolio!D46)</f>
        <v>98.601881932324588</v>
      </c>
      <c r="E46" s="31" cm="1">
        <f t="array" ref="E46" xml:space="preserve"> BonoM(100,E$2,E$1 - $B46,Portafolio!E46)</f>
        <v>93.590608291836858</v>
      </c>
      <c r="F46" s="31" cm="1">
        <f t="array" ref="F46" xml:space="preserve"> BonoM(100,F$2,F$1 - $B46,Portafolio!F46)</f>
        <v>94.715517231314081</v>
      </c>
      <c r="G46" s="5">
        <f t="shared" si="5"/>
        <v>2.6801255857749062E-3</v>
      </c>
      <c r="H46" s="5">
        <f t="shared" si="6"/>
        <v>2.3329456928149472E-3</v>
      </c>
      <c r="I46" s="5">
        <f t="shared" si="7"/>
        <v>2.9382501473871336E-3</v>
      </c>
      <c r="J46" s="5">
        <f t="shared" si="8"/>
        <v>5.0694486627560487E-3</v>
      </c>
      <c r="K46" s="10">
        <f t="shared" si="9"/>
        <v>89.793656400665711</v>
      </c>
      <c r="L46" s="10">
        <f t="shared" si="10"/>
        <v>98.439007845345103</v>
      </c>
      <c r="M46" s="10">
        <f t="shared" si="11"/>
        <v>93.088796966536449</v>
      </c>
      <c r="N46" s="10">
        <f t="shared" si="12"/>
        <v>93.854028013526062</v>
      </c>
      <c r="O46" s="11">
        <f t="shared" si="13"/>
        <v>-792.04951848731616</v>
      </c>
      <c r="P46" s="11">
        <f t="shared" si="14"/>
        <v>-343.67750807447806</v>
      </c>
      <c r="Q46" s="11">
        <f t="shared" si="15"/>
        <v>-545.43372209968766</v>
      </c>
      <c r="R46" s="11">
        <f t="shared" si="16"/>
        <v>-473.38835882483465</v>
      </c>
      <c r="S46" s="27">
        <f t="shared" si="17"/>
        <v>-2154.5491074863166</v>
      </c>
    </row>
    <row r="47" spans="1:19" x14ac:dyDescent="0.25">
      <c r="A47" s="6">
        <f t="shared" si="1"/>
        <v>42</v>
      </c>
      <c r="B47" s="24">
        <v>45329</v>
      </c>
      <c r="C47" s="31" cm="1">
        <f t="array" ref="C47" xml:space="preserve"> BonoM(100,C$2,C$1 - $B47,Portafolio!C47)</f>
        <v>91.624816055536783</v>
      </c>
      <c r="D47" s="31" cm="1">
        <f t="array" ref="D47" xml:space="preserve"> BonoM(100,D$2,D$1 - $B47,Portafolio!D47)</f>
        <v>98.372384501609616</v>
      </c>
      <c r="E47" s="31" cm="1">
        <f t="array" ref="E47" xml:space="preserve"> BonoM(100,E$2,E$1 - $B47,Portafolio!E47)</f>
        <v>93.316421303189131</v>
      </c>
      <c r="F47" s="31" cm="1">
        <f t="array" ref="F47" xml:space="preserve"> BonoM(100,F$2,F$1 - $B47,Portafolio!F47)</f>
        <v>94.237783625134554</v>
      </c>
      <c r="G47" s="5">
        <f t="shared" si="5"/>
        <v>2.4138606823600472E-3</v>
      </c>
      <c r="H47" s="5">
        <f t="shared" si="6"/>
        <v>1.0838725882813538E-3</v>
      </c>
      <c r="I47" s="5">
        <f t="shared" si="7"/>
        <v>2.5157376369278062E-4</v>
      </c>
      <c r="J47" s="5">
        <f t="shared" si="8"/>
        <v>-3.7407854922058004E-3</v>
      </c>
      <c r="K47" s="10">
        <f t="shared" si="9"/>
        <v>89.769811408989213</v>
      </c>
      <c r="L47" s="10">
        <f t="shared" si="10"/>
        <v>98.316336513763162</v>
      </c>
      <c r="M47" s="10">
        <f t="shared" si="11"/>
        <v>92.83943019608995</v>
      </c>
      <c r="N47" s="10">
        <f t="shared" si="12"/>
        <v>93.031322712628025</v>
      </c>
      <c r="O47" s="11">
        <f t="shared" si="13"/>
        <v>-713.36104595487336</v>
      </c>
      <c r="P47" s="11">
        <f t="shared" si="14"/>
        <v>-159.67051070156657</v>
      </c>
      <c r="Q47" s="11">
        <f t="shared" si="15"/>
        <v>-46.700181206688285</v>
      </c>
      <c r="R47" s="11">
        <f t="shared" si="16"/>
        <v>349.31694207320163</v>
      </c>
      <c r="S47" s="27">
        <f t="shared" si="17"/>
        <v>-570.41479578992664</v>
      </c>
    </row>
    <row r="48" spans="1:19" x14ac:dyDescent="0.25">
      <c r="A48" s="6">
        <f t="shared" si="1"/>
        <v>43</v>
      </c>
      <c r="B48" s="24">
        <v>45328</v>
      </c>
      <c r="C48" s="31" cm="1">
        <f t="array" ref="C48" xml:space="preserve"> BonoM(100,C$2,C$1 - $B48,Portafolio!C48)</f>
        <v>91.404179101400516</v>
      </c>
      <c r="D48" s="31" cm="1">
        <f t="array" ref="D48" xml:space="preserve"> BonoM(100,D$2,D$1 - $B48,Portafolio!D48)</f>
        <v>98.265876811370333</v>
      </c>
      <c r="E48" s="31" cm="1">
        <f t="array" ref="E48" xml:space="preserve"> BonoM(100,E$2,E$1 - $B48,Portafolio!E48)</f>
        <v>93.292951244318587</v>
      </c>
      <c r="F48" s="31" cm="1">
        <f t="array" ref="F48" xml:space="preserve"> BonoM(100,F$2,F$1 - $B48,Portafolio!F48)</f>
        <v>94.591630624659373</v>
      </c>
      <c r="G48" s="5">
        <f t="shared" si="5"/>
        <v>9.1774354683673565E-3</v>
      </c>
      <c r="H48" s="5">
        <f t="shared" si="6"/>
        <v>1.337439941321561E-2</v>
      </c>
      <c r="I48" s="5">
        <f t="shared" si="7"/>
        <v>1.753349496742973E-2</v>
      </c>
      <c r="J48" s="5">
        <f t="shared" si="8"/>
        <v>2.7764763724065222E-2</v>
      </c>
      <c r="K48" s="10">
        <f t="shared" si="9"/>
        <v>90.375514159923995</v>
      </c>
      <c r="L48" s="10">
        <f t="shared" si="10"/>
        <v>99.523387795218213</v>
      </c>
      <c r="M48" s="10">
        <f t="shared" si="11"/>
        <v>94.443470378912707</v>
      </c>
      <c r="N48" s="10">
        <f t="shared" si="12"/>
        <v>95.973331051116077</v>
      </c>
      <c r="O48" s="11">
        <f t="shared" si="13"/>
        <v>-2712.1801240396535</v>
      </c>
      <c r="P48" s="11">
        <f t="shared" si="14"/>
        <v>-1970.2474328841433</v>
      </c>
      <c r="Q48" s="11">
        <f t="shared" si="15"/>
        <v>-3254.7805468522029</v>
      </c>
      <c r="R48" s="11">
        <f t="shared" si="16"/>
        <v>-2592.6913964148498</v>
      </c>
      <c r="S48" s="27">
        <f t="shared" si="17"/>
        <v>-10529.89950019085</v>
      </c>
    </row>
    <row r="49" spans="1:19" x14ac:dyDescent="0.25">
      <c r="A49" s="6">
        <f t="shared" si="1"/>
        <v>44</v>
      </c>
      <c r="B49" s="24">
        <v>45325</v>
      </c>
      <c r="C49" s="31" cm="1">
        <f t="array" ref="C49" xml:space="preserve"> BonoM(100,C$2,C$1 - $B49,Portafolio!C49)</f>
        <v>90.572951682157949</v>
      </c>
      <c r="D49" s="31" cm="1">
        <f t="array" ref="D49" xml:space="preserve"> BonoM(100,D$2,D$1 - $B49,Portafolio!D49)</f>
        <v>96.968975008911045</v>
      </c>
      <c r="E49" s="31" cm="1">
        <f t="array" ref="E49" xml:space="preserve"> BonoM(100,E$2,E$1 - $B49,Portafolio!E49)</f>
        <v>91.685385990467864</v>
      </c>
      <c r="F49" s="31" cm="1">
        <f t="array" ref="F49" xml:space="preserve"> BonoM(100,F$2,F$1 - $B49,Portafolio!F49)</f>
        <v>92.036265460113967</v>
      </c>
      <c r="G49" s="5">
        <f t="shared" si="5"/>
        <v>-1.073259403340765E-2</v>
      </c>
      <c r="H49" s="5">
        <f t="shared" si="6"/>
        <v>-1.3441550649775147E-2</v>
      </c>
      <c r="I49" s="5">
        <f t="shared" si="7"/>
        <v>-1.7828519891931016E-2</v>
      </c>
      <c r="J49" s="5">
        <f t="shared" si="8"/>
        <v>-2.9929447377720964E-2</v>
      </c>
      <c r="K49" s="10">
        <f t="shared" si="9"/>
        <v>88.592498517756908</v>
      </c>
      <c r="L49" s="10">
        <f t="shared" si="10"/>
        <v>96.889796302516615</v>
      </c>
      <c r="M49" s="10">
        <f t="shared" si="11"/>
        <v>91.161306775034873</v>
      </c>
      <c r="N49" s="10">
        <f t="shared" si="12"/>
        <v>90.585808714057919</v>
      </c>
      <c r="O49" s="11">
        <f t="shared" si="13"/>
        <v>3171.7714951117314</v>
      </c>
      <c r="P49" s="11">
        <f t="shared" si="14"/>
        <v>1980.1398061682535</v>
      </c>
      <c r="Q49" s="11">
        <f t="shared" si="15"/>
        <v>3309.5466609034647</v>
      </c>
      <c r="R49" s="11">
        <f t="shared" si="16"/>
        <v>2794.8309406433082</v>
      </c>
      <c r="S49" s="27">
        <f t="shared" si="17"/>
        <v>11256.288902826756</v>
      </c>
    </row>
    <row r="50" spans="1:19" x14ac:dyDescent="0.25">
      <c r="A50" s="6">
        <f t="shared" si="1"/>
        <v>45</v>
      </c>
      <c r="B50" s="24">
        <v>45324</v>
      </c>
      <c r="C50" s="31" cm="1">
        <f t="array" ref="C50" xml:space="preserve"> BonoM(100,C$2,C$1 - $B50,Portafolio!C50)</f>
        <v>91.555580559799225</v>
      </c>
      <c r="D50" s="31" cm="1">
        <f t="array" ref="D50" xml:space="preserve"> BonoM(100,D$2,D$1 - $B50,Portafolio!D50)</f>
        <v>98.290146998160665</v>
      </c>
      <c r="E50" s="31" cm="1">
        <f t="array" ref="E50" xml:space="preserve"> BonoM(100,E$2,E$1 - $B50,Portafolio!E50)</f>
        <v>93.349672483240568</v>
      </c>
      <c r="F50" s="31" cm="1">
        <f t="array" ref="F50" xml:space="preserve"> BonoM(100,F$2,F$1 - $B50,Portafolio!F50)</f>
        <v>94.875847134337832</v>
      </c>
      <c r="G50" s="5">
        <f t="shared" si="5"/>
        <v>-5.8398774165157041E-3</v>
      </c>
      <c r="H50" s="5">
        <f t="shared" si="6"/>
        <v>-8.9096114519999769E-3</v>
      </c>
      <c r="I50" s="5">
        <f t="shared" si="7"/>
        <v>-1.0477693690671863E-2</v>
      </c>
      <c r="J50" s="5">
        <f t="shared" si="8"/>
        <v>-1.25733686878301E-2</v>
      </c>
      <c r="K50" s="10">
        <f t="shared" si="9"/>
        <v>89.030659107113721</v>
      </c>
      <c r="L50" s="10">
        <f t="shared" si="10"/>
        <v>97.334877550380867</v>
      </c>
      <c r="M50" s="10">
        <f t="shared" si="11"/>
        <v>91.843581648572453</v>
      </c>
      <c r="N50" s="10">
        <f t="shared" si="12"/>
        <v>92.206530444017261</v>
      </c>
      <c r="O50" s="11">
        <f t="shared" si="13"/>
        <v>1725.8415502342516</v>
      </c>
      <c r="P50" s="11">
        <f t="shared" si="14"/>
        <v>1312.5179343718755</v>
      </c>
      <c r="Q50" s="11">
        <f t="shared" si="15"/>
        <v>1944.9969138283052</v>
      </c>
      <c r="R50" s="11">
        <f t="shared" si="16"/>
        <v>1174.109210683966</v>
      </c>
      <c r="S50" s="27">
        <f t="shared" si="17"/>
        <v>6157.4656091183979</v>
      </c>
    </row>
    <row r="51" spans="1:19" x14ac:dyDescent="0.25">
      <c r="A51" s="6">
        <f t="shared" si="1"/>
        <v>46</v>
      </c>
      <c r="B51" s="24">
        <v>45323</v>
      </c>
      <c r="C51" s="31" cm="1">
        <f t="array" ref="C51" xml:space="preserve"> BonoM(100,C$2,C$1 - $B51,Portafolio!C51)</f>
        <v>92.093394695692865</v>
      </c>
      <c r="D51" s="31" cm="1">
        <f t="array" ref="D51" xml:space="preserve"> BonoM(100,D$2,D$1 - $B51,Portafolio!D51)</f>
        <v>99.17374654612577</v>
      </c>
      <c r="E51" s="31" cm="1">
        <f t="array" ref="E51" xml:space="preserve"> BonoM(100,E$2,E$1 - $B51,Portafolio!E51)</f>
        <v>94.338118391096813</v>
      </c>
      <c r="F51" s="31" cm="1">
        <f t="array" ref="F51" xml:space="preserve"> BonoM(100,F$2,F$1 - $B51,Portafolio!F51)</f>
        <v>96.083946012534994</v>
      </c>
      <c r="G51" s="5">
        <f t="shared" si="5"/>
        <v>2.8582934970822205E-3</v>
      </c>
      <c r="H51" s="5">
        <f t="shared" si="6"/>
        <v>3.6012191994461151E-3</v>
      </c>
      <c r="I51" s="5">
        <f t="shared" si="7"/>
        <v>7.2884117866709452E-3</v>
      </c>
      <c r="J51" s="5">
        <f t="shared" si="8"/>
        <v>9.1740509983047058E-3</v>
      </c>
      <c r="K51" s="10">
        <f t="shared" si="9"/>
        <v>89.809611985903032</v>
      </c>
      <c r="L51" s="10">
        <f t="shared" si="10"/>
        <v>98.563564846295534</v>
      </c>
      <c r="M51" s="10">
        <f t="shared" si="11"/>
        <v>93.492561917720025</v>
      </c>
      <c r="N51" s="10">
        <f t="shared" si="12"/>
        <v>94.237318405147775</v>
      </c>
      <c r="O51" s="11">
        <f t="shared" si="13"/>
        <v>-844.70294977047752</v>
      </c>
      <c r="P51" s="11">
        <f t="shared" si="14"/>
        <v>-530.51300950012603</v>
      </c>
      <c r="Q51" s="11">
        <f t="shared" si="15"/>
        <v>-1352.9636244668382</v>
      </c>
      <c r="R51" s="11">
        <f t="shared" si="16"/>
        <v>-856.67875044654807</v>
      </c>
      <c r="S51" s="27">
        <f t="shared" si="17"/>
        <v>-3584.8583341839894</v>
      </c>
    </row>
    <row r="52" spans="1:19" x14ac:dyDescent="0.25">
      <c r="A52" s="6">
        <f t="shared" si="1"/>
        <v>47</v>
      </c>
      <c r="B52" s="24">
        <v>45322</v>
      </c>
      <c r="C52" s="31" cm="1">
        <f t="array" ref="C52" xml:space="preserve"> BonoM(100,C$2,C$1 - $B52,Portafolio!C52)</f>
        <v>91.830914988549992</v>
      </c>
      <c r="D52" s="31" cm="1">
        <f t="array" ref="D52" xml:space="preserve"> BonoM(100,D$2,D$1 - $B52,Portafolio!D52)</f>
        <v>98.817881693323173</v>
      </c>
      <c r="E52" s="31" cm="1">
        <f t="array" ref="E52" xml:space="preserve"> BonoM(100,E$2,E$1 - $B52,Portafolio!E52)</f>
        <v>93.655518406853531</v>
      </c>
      <c r="F52" s="31" cm="1">
        <f t="array" ref="F52" xml:space="preserve"> BonoM(100,F$2,F$1 - $B52,Portafolio!F52)</f>
        <v>95.21048021150159</v>
      </c>
      <c r="G52" s="5">
        <f t="shared" si="5"/>
        <v>3.5141068943729259E-3</v>
      </c>
      <c r="H52" s="5">
        <f t="shared" si="6"/>
        <v>5.2836148060404486E-3</v>
      </c>
      <c r="I52" s="5">
        <f t="shared" si="7"/>
        <v>6.1973427056205566E-3</v>
      </c>
      <c r="J52" s="5">
        <f t="shared" si="8"/>
        <v>6.7139257591075641E-3</v>
      </c>
      <c r="K52" s="10">
        <f t="shared" si="9"/>
        <v>89.868342463706085</v>
      </c>
      <c r="L52" s="10">
        <f t="shared" si="10"/>
        <v>98.728792732925598</v>
      </c>
      <c r="M52" s="10">
        <f t="shared" si="11"/>
        <v>93.39129316249263</v>
      </c>
      <c r="N52" s="10">
        <f t="shared" si="12"/>
        <v>94.007590336680863</v>
      </c>
      <c r="O52" s="11">
        <f t="shared" si="13"/>
        <v>-1038.513526520552</v>
      </c>
      <c r="P52" s="11">
        <f t="shared" si="14"/>
        <v>-778.35483944522116</v>
      </c>
      <c r="Q52" s="11">
        <f t="shared" si="15"/>
        <v>-1150.4261140120491</v>
      </c>
      <c r="R52" s="11">
        <f t="shared" si="16"/>
        <v>-626.95068197963622</v>
      </c>
      <c r="S52" s="27">
        <f t="shared" si="17"/>
        <v>-3594.2451619574585</v>
      </c>
    </row>
    <row r="53" spans="1:19" x14ac:dyDescent="0.25">
      <c r="A53" s="6">
        <f t="shared" si="1"/>
        <v>48</v>
      </c>
      <c r="B53" s="24">
        <v>45321</v>
      </c>
      <c r="C53" s="31" cm="1">
        <f t="array" ref="C53" xml:space="preserve"> BonoM(100,C$2,C$1 - $B53,Portafolio!C53)</f>
        <v>91.509341381103141</v>
      </c>
      <c r="D53" s="31" cm="1">
        <f t="array" ref="D53" xml:space="preserve"> BonoM(100,D$2,D$1 - $B53,Portafolio!D53)</f>
        <v>98.298510229264124</v>
      </c>
      <c r="E53" s="31" cm="1">
        <f t="array" ref="E53" xml:space="preserve"> BonoM(100,E$2,E$1 - $B53,Portafolio!E53)</f>
        <v>93.078677941066658</v>
      </c>
      <c r="F53" s="31" cm="1">
        <f t="array" ref="F53" xml:space="preserve"> BonoM(100,F$2,F$1 - $B53,Portafolio!F53)</f>
        <v>94.575507277013784</v>
      </c>
      <c r="G53" s="5">
        <f t="shared" si="5"/>
        <v>-1.6391562143351912E-3</v>
      </c>
      <c r="H53" s="5">
        <f t="shared" si="6"/>
        <v>-1.8417822906100501E-3</v>
      </c>
      <c r="I53" s="5">
        <f t="shared" si="7"/>
        <v>-1.3641774447468169E-3</v>
      </c>
      <c r="J53" s="5">
        <f t="shared" si="8"/>
        <v>-5.5068661267132502E-4</v>
      </c>
      <c r="K53" s="10">
        <f t="shared" si="9"/>
        <v>89.406848987254435</v>
      </c>
      <c r="L53" s="10">
        <f t="shared" si="10"/>
        <v>98.029008271372703</v>
      </c>
      <c r="M53" s="10">
        <f t="shared" si="11"/>
        <v>92.68946250249688</v>
      </c>
      <c r="N53" s="10">
        <f t="shared" si="12"/>
        <v>93.3292161865607</v>
      </c>
      <c r="O53" s="11">
        <f t="shared" si="13"/>
        <v>484.4149457698947</v>
      </c>
      <c r="P53" s="11">
        <f t="shared" si="14"/>
        <v>271.32185288412103</v>
      </c>
      <c r="Q53" s="11">
        <f t="shared" si="15"/>
        <v>253.23520597945048</v>
      </c>
      <c r="R53" s="11">
        <f t="shared" si="16"/>
        <v>51.423468140527007</v>
      </c>
      <c r="S53" s="27">
        <f t="shared" si="17"/>
        <v>1060.3954727739933</v>
      </c>
    </row>
    <row r="54" spans="1:19" x14ac:dyDescent="0.25">
      <c r="A54" s="6">
        <f t="shared" si="1"/>
        <v>49</v>
      </c>
      <c r="B54" s="24">
        <v>45320</v>
      </c>
      <c r="C54" s="31" cm="1">
        <f t="array" ref="C54" xml:space="preserve"> BonoM(100,C$2,C$1 - $B54,Portafolio!C54)</f>
        <v>91.659585760706193</v>
      </c>
      <c r="D54" s="31" cm="1">
        <f t="array" ref="D54" xml:space="preserve"> BonoM(100,D$2,D$1 - $B54,Portafolio!D54)</f>
        <v>98.479888744334687</v>
      </c>
      <c r="E54" s="31" cm="1">
        <f t="array" ref="E54" xml:space="preserve"> BonoM(100,E$2,E$1 - $B54,Portafolio!E54)</f>
        <v>93.20582722829046</v>
      </c>
      <c r="F54" s="31" cm="1">
        <f t="array" ref="F54" xml:space="preserve"> BonoM(100,F$2,F$1 - $B54,Portafolio!F54)</f>
        <v>94.627617439126496</v>
      </c>
      <c r="G54" s="5">
        <f t="shared" si="5"/>
        <v>1.0286945210479237E-2</v>
      </c>
      <c r="H54" s="5">
        <f t="shared" si="6"/>
        <v>1.5346252066920307E-2</v>
      </c>
      <c r="I54" s="5">
        <f t="shared" si="7"/>
        <v>2.007492109121678E-2</v>
      </c>
      <c r="J54" s="5">
        <f t="shared" si="8"/>
        <v>3.0703156518608665E-2</v>
      </c>
      <c r="K54" s="10">
        <f t="shared" si="9"/>
        <v>90.474874797493413</v>
      </c>
      <c r="L54" s="10">
        <f t="shared" si="10"/>
        <v>99.717043226461897</v>
      </c>
      <c r="M54" s="10">
        <f t="shared" si="11"/>
        <v>94.679355589600306</v>
      </c>
      <c r="N54" s="10">
        <f t="shared" si="12"/>
        <v>96.247720049827308</v>
      </c>
      <c r="O54" s="11">
        <f t="shared" si="13"/>
        <v>-3040.0702280187347</v>
      </c>
      <c r="P54" s="11">
        <f t="shared" si="14"/>
        <v>-2260.7305797496692</v>
      </c>
      <c r="Q54" s="11">
        <f t="shared" si="15"/>
        <v>-3726.5509682274001</v>
      </c>
      <c r="R54" s="11">
        <f t="shared" si="16"/>
        <v>-2867.0803951260809</v>
      </c>
      <c r="S54" s="27">
        <f t="shared" si="17"/>
        <v>-11894.432171121885</v>
      </c>
    </row>
    <row r="55" spans="1:19" x14ac:dyDescent="0.25">
      <c r="A55" s="6">
        <f t="shared" si="1"/>
        <v>50</v>
      </c>
      <c r="B55" s="24">
        <v>45318</v>
      </c>
      <c r="C55" s="31" cm="1">
        <f t="array" ref="C55" xml:space="preserve"> BonoM(100,C$2,C$1 - $B55,Portafolio!C55)</f>
        <v>90.726289392574699</v>
      </c>
      <c r="D55" s="31" cm="1">
        <f t="array" ref="D55" xml:space="preserve"> BonoM(100,D$2,D$1 - $B55,Portafolio!D55)</f>
        <v>96.991433753619646</v>
      </c>
      <c r="E55" s="31" cm="1">
        <f t="array" ref="E55" xml:space="preserve"> BonoM(100,E$2,E$1 - $B55,Portafolio!E55)</f>
        <v>91.371550560800273</v>
      </c>
      <c r="F55" s="31" cm="1">
        <f t="array" ref="F55" xml:space="preserve"> BonoM(100,F$2,F$1 - $B55,Portafolio!F55)</f>
        <v>91.808797557920414</v>
      </c>
      <c r="G55" s="5">
        <f t="shared" si="5"/>
        <v>-9.4200015882286436E-3</v>
      </c>
      <c r="H55" s="5">
        <f t="shared" si="6"/>
        <v>-1.3552054207279007E-2</v>
      </c>
      <c r="I55" s="5">
        <f t="shared" si="7"/>
        <v>-1.8941357031696748E-2</v>
      </c>
      <c r="J55" s="5">
        <f t="shared" si="8"/>
        <v>-2.7487235425689205E-2</v>
      </c>
      <c r="K55" s="10">
        <f t="shared" si="9"/>
        <v>88.710045950890333</v>
      </c>
      <c r="L55" s="10">
        <f t="shared" si="10"/>
        <v>96.878943760344072</v>
      </c>
      <c r="M55" s="10">
        <f t="shared" si="11"/>
        <v>91.058017593926024</v>
      </c>
      <c r="N55" s="10">
        <f t="shared" si="12"/>
        <v>90.813864028311002</v>
      </c>
      <c r="O55" s="11">
        <f t="shared" si="13"/>
        <v>2783.8649657714313</v>
      </c>
      <c r="P55" s="11">
        <f t="shared" si="14"/>
        <v>1996.4186194270681</v>
      </c>
      <c r="Q55" s="11">
        <f t="shared" si="15"/>
        <v>3516.1250231211625</v>
      </c>
      <c r="R55" s="11">
        <f t="shared" si="16"/>
        <v>2566.7756263902247</v>
      </c>
      <c r="S55" s="27">
        <f t="shared" si="17"/>
        <v>10863.184234709886</v>
      </c>
    </row>
    <row r="56" spans="1:19" x14ac:dyDescent="0.25">
      <c r="A56" s="6">
        <f t="shared" si="1"/>
        <v>51</v>
      </c>
      <c r="B56" s="24">
        <v>45317</v>
      </c>
      <c r="C56" s="31" cm="1">
        <f t="array" ref="C56" xml:space="preserve"> BonoM(100,C$2,C$1 - $B56,Portafolio!C56)</f>
        <v>91.58905846881531</v>
      </c>
      <c r="D56" s="31" cm="1">
        <f t="array" ref="D56" xml:space="preserve"> BonoM(100,D$2,D$1 - $B56,Portafolio!D56)</f>
        <v>98.323924913925595</v>
      </c>
      <c r="E56" s="31" cm="1">
        <f t="array" ref="E56" xml:space="preserve"> BonoM(100,E$2,E$1 - $B56,Portafolio!E56)</f>
        <v>93.135666471828202</v>
      </c>
      <c r="F56" s="31" cm="1">
        <f t="array" ref="F56" xml:space="preserve"> BonoM(100,F$2,F$1 - $B56,Portafolio!F56)</f>
        <v>94.403694123343513</v>
      </c>
      <c r="G56" s="5">
        <f t="shared" si="5"/>
        <v>-2.8821667440448451E-4</v>
      </c>
      <c r="H56" s="5">
        <f t="shared" si="6"/>
        <v>-1.0098509451219595E-3</v>
      </c>
      <c r="I56" s="5">
        <f t="shared" si="7"/>
        <v>2.5104290943289698E-4</v>
      </c>
      <c r="J56" s="5">
        <f t="shared" si="8"/>
        <v>-2.1598953999691917E-3</v>
      </c>
      <c r="K56" s="10">
        <f t="shared" si="9"/>
        <v>89.527830542359794</v>
      </c>
      <c r="L56" s="10">
        <f t="shared" si="10"/>
        <v>98.110712156890187</v>
      </c>
      <c r="M56" s="10">
        <f t="shared" si="11"/>
        <v>92.839380924278444</v>
      </c>
      <c r="N56" s="10">
        <f t="shared" si="12"/>
        <v>93.178947240664854</v>
      </c>
      <c r="O56" s="11">
        <f t="shared" si="13"/>
        <v>85.175813922208476</v>
      </c>
      <c r="P56" s="11">
        <f t="shared" si="14"/>
        <v>148.76602460789456</v>
      </c>
      <c r="Q56" s="11">
        <f t="shared" si="15"/>
        <v>-46.601637583677302</v>
      </c>
      <c r="R56" s="11">
        <f t="shared" si="16"/>
        <v>201.69241403637272</v>
      </c>
      <c r="S56" s="27">
        <f t="shared" si="17"/>
        <v>389.03261498279846</v>
      </c>
    </row>
    <row r="57" spans="1:19" x14ac:dyDescent="0.25">
      <c r="A57" s="6">
        <f t="shared" si="1"/>
        <v>52</v>
      </c>
      <c r="B57" s="24">
        <v>45316</v>
      </c>
      <c r="C57" s="31" cm="1">
        <f t="array" ref="C57" xml:space="preserve"> BonoM(100,C$2,C$1 - $B57,Portafolio!C57)</f>
        <v>91.615463573050363</v>
      </c>
      <c r="D57" s="31" cm="1">
        <f t="array" ref="D57" xml:space="preserve"> BonoM(100,D$2,D$1 - $B57,Portafolio!D57)</f>
        <v>98.423317794422331</v>
      </c>
      <c r="E57" s="31" cm="1">
        <f t="array" ref="E57" xml:space="preserve"> BonoM(100,E$2,E$1 - $B57,Portafolio!E57)</f>
        <v>93.112291291318456</v>
      </c>
      <c r="F57" s="31" cm="1">
        <f t="array" ref="F57" xml:space="preserve"> BonoM(100,F$2,F$1 - $B57,Portafolio!F57)</f>
        <v>94.60803758853109</v>
      </c>
      <c r="G57" s="5">
        <f t="shared" si="5"/>
        <v>1.3476245551151678E-3</v>
      </c>
      <c r="H57" s="5">
        <f t="shared" si="6"/>
        <v>-1.431664569637392E-3</v>
      </c>
      <c r="I57" s="5">
        <f t="shared" si="7"/>
        <v>-3.527675101504868E-3</v>
      </c>
      <c r="J57" s="5">
        <f t="shared" si="8"/>
        <v>-5.5314448976495623E-4</v>
      </c>
      <c r="K57" s="10">
        <f t="shared" si="9"/>
        <v>89.674326081207454</v>
      </c>
      <c r="L57" s="10">
        <f t="shared" si="10"/>
        <v>98.069285887434134</v>
      </c>
      <c r="M57" s="10">
        <f t="shared" si="11"/>
        <v>92.488655130679206</v>
      </c>
      <c r="N57" s="10">
        <f t="shared" si="12"/>
        <v>93.3289866684255</v>
      </c>
      <c r="O57" s="11">
        <f t="shared" si="13"/>
        <v>-398.25946427506835</v>
      </c>
      <c r="P57" s="11">
        <f t="shared" si="14"/>
        <v>210.90542879197471</v>
      </c>
      <c r="Q57" s="11">
        <f t="shared" si="15"/>
        <v>654.8499496147997</v>
      </c>
      <c r="R57" s="11">
        <f t="shared" si="16"/>
        <v>51.652986275726676</v>
      </c>
      <c r="S57" s="27">
        <f t="shared" si="17"/>
        <v>519.14890040743273</v>
      </c>
    </row>
    <row r="58" spans="1:19" x14ac:dyDescent="0.25">
      <c r="A58" s="6">
        <f t="shared" si="1"/>
        <v>53</v>
      </c>
      <c r="B58" s="24">
        <v>45315</v>
      </c>
      <c r="C58" s="31" cm="1">
        <f t="array" ref="C58" xml:space="preserve"> BonoM(100,C$2,C$1 - $B58,Portafolio!C58)</f>
        <v>91.492166482897332</v>
      </c>
      <c r="D58" s="31" cm="1">
        <f t="array" ref="D58" xml:space="preserve"> BonoM(100,D$2,D$1 - $B58,Portafolio!D58)</f>
        <v>98.564428995241357</v>
      </c>
      <c r="E58" s="31" cm="1">
        <f t="array" ref="E58" xml:space="preserve"> BonoM(100,E$2,E$1 - $B58,Portafolio!E58)</f>
        <v>93.441924040191751</v>
      </c>
      <c r="F58" s="31" cm="1">
        <f t="array" ref="F58" xml:space="preserve"> BonoM(100,F$2,F$1 - $B58,Portafolio!F58)</f>
        <v>94.660398466341704</v>
      </c>
      <c r="G58" s="5">
        <f t="shared" si="5"/>
        <v>-2.6138761489269413E-4</v>
      </c>
      <c r="H58" s="5">
        <f t="shared" si="6"/>
        <v>1.3837546766848341E-3</v>
      </c>
      <c r="I58" s="5">
        <f t="shared" si="7"/>
        <v>3.1757664241052197E-3</v>
      </c>
      <c r="J58" s="5">
        <f t="shared" si="8"/>
        <v>-5.0645339224720809E-3</v>
      </c>
      <c r="K58" s="10">
        <f t="shared" si="9"/>
        <v>89.530233182334285</v>
      </c>
      <c r="L58" s="10">
        <f t="shared" si="10"/>
        <v>98.345787900530283</v>
      </c>
      <c r="M58" s="10">
        <f t="shared" si="11"/>
        <v>93.110842296302664</v>
      </c>
      <c r="N58" s="10">
        <f t="shared" si="12"/>
        <v>92.907710237467853</v>
      </c>
      <c r="O58" s="11">
        <f t="shared" si="13"/>
        <v>77.247102006387536</v>
      </c>
      <c r="P58" s="11">
        <f t="shared" si="14"/>
        <v>-203.84759085224857</v>
      </c>
      <c r="Q58" s="11">
        <f t="shared" si="15"/>
        <v>-589.52438163211696</v>
      </c>
      <c r="R58" s="11">
        <f t="shared" si="16"/>
        <v>472.92941723337378</v>
      </c>
      <c r="S58" s="27">
        <f t="shared" si="17"/>
        <v>-243.19545324460421</v>
      </c>
    </row>
    <row r="59" spans="1:19" x14ac:dyDescent="0.25">
      <c r="A59" s="6">
        <f t="shared" si="1"/>
        <v>54</v>
      </c>
      <c r="B59" s="24">
        <v>45314</v>
      </c>
      <c r="C59" s="31" cm="1">
        <f t="array" ref="C59" xml:space="preserve"> BonoM(100,C$2,C$1 - $B59,Portafolio!C59)</f>
        <v>91.516087654773727</v>
      </c>
      <c r="D59" s="31" cm="1">
        <f t="array" ref="D59" xml:space="preserve"> BonoM(100,D$2,D$1 - $B59,Portafolio!D59)</f>
        <v>98.428228473772975</v>
      </c>
      <c r="E59" s="31" cm="1">
        <f t="array" ref="E59" xml:space="preserve"> BonoM(100,E$2,E$1 - $B59,Portafolio!E59)</f>
        <v>93.146113739641521</v>
      </c>
      <c r="F59" s="31" cm="1">
        <f t="array" ref="F59" xml:space="preserve"> BonoM(100,F$2,F$1 - $B59,Portafolio!F59)</f>
        <v>95.142249616987243</v>
      </c>
      <c r="G59" s="5">
        <f t="shared" si="5"/>
        <v>-3.4440612185571151E-4</v>
      </c>
      <c r="H59" s="5">
        <f t="shared" si="6"/>
        <v>-8.4576236227307255E-4</v>
      </c>
      <c r="I59" s="5">
        <f t="shared" si="7"/>
        <v>-2.7228657781037668E-3</v>
      </c>
      <c r="J59" s="5">
        <f t="shared" si="8"/>
        <v>4.3004880732366857E-3</v>
      </c>
      <c r="K59" s="10">
        <f t="shared" si="9"/>
        <v>89.522798572732569</v>
      </c>
      <c r="L59" s="10">
        <f t="shared" si="10"/>
        <v>98.126827278481073</v>
      </c>
      <c r="M59" s="10">
        <f t="shared" si="11"/>
        <v>92.563354377309636</v>
      </c>
      <c r="N59" s="10">
        <f t="shared" si="12"/>
        <v>93.782221981807481</v>
      </c>
      <c r="O59" s="11">
        <f t="shared" si="13"/>
        <v>101.78131369205232</v>
      </c>
      <c r="P59" s="11">
        <f t="shared" si="14"/>
        <v>124.59334222156571</v>
      </c>
      <c r="Q59" s="11">
        <f t="shared" si="15"/>
        <v>505.45145635393851</v>
      </c>
      <c r="R59" s="11">
        <f t="shared" si="16"/>
        <v>-401.58232710625441</v>
      </c>
      <c r="S59" s="27">
        <f t="shared" si="17"/>
        <v>330.24378516130207</v>
      </c>
    </row>
    <row r="60" spans="1:19" x14ac:dyDescent="0.25">
      <c r="A60" s="6">
        <f t="shared" si="1"/>
        <v>55</v>
      </c>
      <c r="B60" s="24">
        <v>45313</v>
      </c>
      <c r="C60" s="31" cm="1">
        <f t="array" ref="C60" xml:space="preserve"> BonoM(100,C$2,C$1 - $B60,Portafolio!C60)</f>
        <v>91.547617214583738</v>
      </c>
      <c r="D60" s="31" cm="1">
        <f t="array" ref="D60" xml:space="preserve"> BonoM(100,D$2,D$1 - $B60,Portafolio!D60)</f>
        <v>98.511545831486586</v>
      </c>
      <c r="E60" s="31" cm="1">
        <f t="array" ref="E60" xml:space="preserve"> BonoM(100,E$2,E$1 - $B60,Portafolio!E60)</f>
        <v>93.4004305757163</v>
      </c>
      <c r="F60" s="31" cm="1">
        <f t="array" ref="F60" xml:space="preserve"> BonoM(100,F$2,F$1 - $B60,Portafolio!F60)</f>
        <v>94.734843552171185</v>
      </c>
      <c r="G60" s="5">
        <f t="shared" si="5"/>
        <v>1.1265173104917814E-2</v>
      </c>
      <c r="H60" s="5">
        <f t="shared" si="6"/>
        <v>1.6868054148079681E-2</v>
      </c>
      <c r="I60" s="5">
        <f t="shared" si="7"/>
        <v>2.2692663651377121E-2</v>
      </c>
      <c r="J60" s="5">
        <f t="shared" si="8"/>
        <v>3.295016366760084E-2</v>
      </c>
      <c r="K60" s="10">
        <f t="shared" si="9"/>
        <v>90.562478667554615</v>
      </c>
      <c r="L60" s="10">
        <f t="shared" si="10"/>
        <v>99.866499240703519</v>
      </c>
      <c r="M60" s="10">
        <f t="shared" si="11"/>
        <v>94.922324192759689</v>
      </c>
      <c r="N60" s="10">
        <f t="shared" si="12"/>
        <v>96.457547014708894</v>
      </c>
      <c r="O60" s="11">
        <f t="shared" si="13"/>
        <v>-3329.162999220699</v>
      </c>
      <c r="P60" s="11">
        <f t="shared" si="14"/>
        <v>-2484.914601112102</v>
      </c>
      <c r="Q60" s="11">
        <f t="shared" si="15"/>
        <v>-4212.4881745461662</v>
      </c>
      <c r="R60" s="11">
        <f t="shared" si="16"/>
        <v>-3076.9073600076667</v>
      </c>
      <c r="S60" s="27">
        <f t="shared" si="17"/>
        <v>-13103.473134886633</v>
      </c>
    </row>
    <row r="61" spans="1:19" x14ac:dyDescent="0.25">
      <c r="A61" s="6">
        <f t="shared" si="1"/>
        <v>56</v>
      </c>
      <c r="B61" s="24">
        <v>45311</v>
      </c>
      <c r="C61" s="31" cm="1">
        <f t="array" ref="C61" xml:space="preserve"> BonoM(100,C$2,C$1 - $B61,Portafolio!C61)</f>
        <v>90.527805811310941</v>
      </c>
      <c r="D61" s="31" cm="1">
        <f t="array" ref="D61" xml:space="preserve"> BonoM(100,D$2,D$1 - $B61,Portafolio!D61)</f>
        <v>96.877412393507072</v>
      </c>
      <c r="E61" s="31" cm="1">
        <f t="array" ref="E61" xml:space="preserve"> BonoM(100,E$2,E$1 - $B61,Portafolio!E61)</f>
        <v>91.327955988501472</v>
      </c>
      <c r="F61" s="31" cm="1">
        <f t="array" ref="F61" xml:space="preserve"> BonoM(100,F$2,F$1 - $B61,Portafolio!F61)</f>
        <v>91.712888854003296</v>
      </c>
      <c r="G61" s="5">
        <f t="shared" si="5"/>
        <v>-1.0244272765709272E-2</v>
      </c>
      <c r="H61" s="5">
        <f t="shared" si="6"/>
        <v>-1.5028077729754341E-2</v>
      </c>
      <c r="I61" s="5">
        <f t="shared" si="7"/>
        <v>-1.9067869407105809E-2</v>
      </c>
      <c r="J61" s="5">
        <f t="shared" si="8"/>
        <v>-3.0618261738173058E-2</v>
      </c>
      <c r="K61" s="10">
        <f t="shared" si="9"/>
        <v>88.636229465449944</v>
      </c>
      <c r="L61" s="10">
        <f t="shared" si="10"/>
        <v>96.733983653292583</v>
      </c>
      <c r="M61" s="10">
        <f t="shared" si="11"/>
        <v>91.046275211155717</v>
      </c>
      <c r="N61" s="10">
        <f t="shared" si="12"/>
        <v>90.521486788475556</v>
      </c>
      <c r="O61" s="11">
        <f t="shared" si="13"/>
        <v>3027.4593677247153</v>
      </c>
      <c r="P61" s="11">
        <f t="shared" si="14"/>
        <v>2213.8587800043015</v>
      </c>
      <c r="Q61" s="11">
        <f t="shared" si="15"/>
        <v>3539.6097886617781</v>
      </c>
      <c r="R61" s="11">
        <f t="shared" si="16"/>
        <v>2859.1528662256706</v>
      </c>
      <c r="S61" s="27">
        <f t="shared" si="17"/>
        <v>11640.080802616467</v>
      </c>
    </row>
    <row r="62" spans="1:19" x14ac:dyDescent="0.25">
      <c r="A62" s="6">
        <f t="shared" si="1"/>
        <v>57</v>
      </c>
      <c r="B62" s="24">
        <v>45310</v>
      </c>
      <c r="C62" s="31" cm="1">
        <f t="array" ref="C62" xml:space="preserve"> BonoM(100,C$2,C$1 - $B62,Portafolio!C62)</f>
        <v>91.464796131340378</v>
      </c>
      <c r="D62" s="31" cm="1">
        <f t="array" ref="D62" xml:space="preserve"> BonoM(100,D$2,D$1 - $B62,Portafolio!D62)</f>
        <v>98.355506591716761</v>
      </c>
      <c r="E62" s="31" cm="1">
        <f t="array" ref="E62" xml:space="preserve"> BonoM(100,E$2,E$1 - $B62,Portafolio!E62)</f>
        <v>93.1032363404195</v>
      </c>
      <c r="F62" s="31" cm="1">
        <f t="array" ref="F62" xml:space="preserve"> BonoM(100,F$2,F$1 - $B62,Portafolio!F62)</f>
        <v>94.609672571768556</v>
      </c>
      <c r="G62" s="5">
        <f t="shared" si="5"/>
        <v>3.9337563828834021E-4</v>
      </c>
      <c r="H62" s="5">
        <f t="shared" si="6"/>
        <v>-3.4272374544896955E-4</v>
      </c>
      <c r="I62" s="5">
        <f t="shared" si="7"/>
        <v>-1.8090722102996892E-3</v>
      </c>
      <c r="J62" s="5">
        <f t="shared" si="8"/>
        <v>-2.7362136341748666E-3</v>
      </c>
      <c r="K62" s="10">
        <f t="shared" si="9"/>
        <v>89.588869615908322</v>
      </c>
      <c r="L62" s="10">
        <f t="shared" si="10"/>
        <v>98.17623064545694</v>
      </c>
      <c r="M62" s="10">
        <f t="shared" si="11"/>
        <v>92.648169114298824</v>
      </c>
      <c r="N62" s="10">
        <f t="shared" si="12"/>
        <v>93.12513027531007</v>
      </c>
      <c r="O62" s="11">
        <f t="shared" si="13"/>
        <v>-116.25312878793466</v>
      </c>
      <c r="P62" s="11">
        <f t="shared" si="14"/>
        <v>50.488291757766035</v>
      </c>
      <c r="Q62" s="11">
        <f t="shared" si="15"/>
        <v>335.82198237556327</v>
      </c>
      <c r="R62" s="11">
        <f t="shared" si="16"/>
        <v>255.5093793911567</v>
      </c>
      <c r="S62" s="27">
        <f t="shared" si="17"/>
        <v>525.5665247365514</v>
      </c>
    </row>
    <row r="63" spans="1:19" x14ac:dyDescent="0.25">
      <c r="A63" s="6">
        <f t="shared" si="1"/>
        <v>58</v>
      </c>
      <c r="B63" s="24">
        <v>45309</v>
      </c>
      <c r="C63" s="31" cm="1">
        <f t="array" ref="C63" xml:space="preserve"> BonoM(100,C$2,C$1 - $B63,Portafolio!C63)</f>
        <v>91.428830256880119</v>
      </c>
      <c r="D63" s="31" cm="1">
        <f t="array" ref="D63" xml:space="preserve"> BonoM(100,D$2,D$1 - $B63,Portafolio!D63)</f>
        <v>98.389226916077263</v>
      </c>
      <c r="E63" s="31" cm="1">
        <f t="array" ref="E63" xml:space="preserve"> BonoM(100,E$2,E$1 - $B63,Portafolio!E63)</f>
        <v>93.271972073096791</v>
      </c>
      <c r="F63" s="31" cm="1">
        <f t="array" ref="F63" xml:space="preserve"> BonoM(100,F$2,F$1 - $B63,Portafolio!F63)</f>
        <v>94.869255121094909</v>
      </c>
      <c r="G63" s="5">
        <f t="shared" si="5"/>
        <v>1.190232648471401E-4</v>
      </c>
      <c r="H63" s="5">
        <f t="shared" si="6"/>
        <v>-5.967904013670644E-4</v>
      </c>
      <c r="I63" s="5">
        <f t="shared" si="7"/>
        <v>-3.8166336454450445E-3</v>
      </c>
      <c r="J63" s="5">
        <f t="shared" si="8"/>
        <v>-5.5817252271717077E-4</v>
      </c>
      <c r="K63" s="10">
        <f t="shared" si="9"/>
        <v>89.564300361841291</v>
      </c>
      <c r="L63" s="10">
        <f t="shared" si="10"/>
        <v>98.151278787251911</v>
      </c>
      <c r="M63" s="10">
        <f t="shared" si="11"/>
        <v>92.461835131317684</v>
      </c>
      <c r="N63" s="10">
        <f t="shared" si="12"/>
        <v>93.328517147492221</v>
      </c>
      <c r="O63" s="11">
        <f t="shared" si="13"/>
        <v>-35.174590366729319</v>
      </c>
      <c r="P63" s="11">
        <f t="shared" si="14"/>
        <v>87.91607906530885</v>
      </c>
      <c r="Q63" s="11">
        <f t="shared" si="15"/>
        <v>708.48994833784218</v>
      </c>
      <c r="R63" s="11">
        <f t="shared" si="16"/>
        <v>52.12250720900613</v>
      </c>
      <c r="S63" s="27">
        <f t="shared" si="17"/>
        <v>813.3539442454279</v>
      </c>
    </row>
    <row r="64" spans="1:19" x14ac:dyDescent="0.25">
      <c r="A64" s="6">
        <f t="shared" si="1"/>
        <v>59</v>
      </c>
      <c r="B64" s="24">
        <v>45308</v>
      </c>
      <c r="C64" s="31" cm="1">
        <f t="array" ref="C64" xml:space="preserve"> BonoM(100,C$2,C$1 - $B64,Portafolio!C64)</f>
        <v>91.41794939407761</v>
      </c>
      <c r="D64" s="31" cm="1">
        <f t="array" ref="D64" xml:space="preserve"> BonoM(100,D$2,D$1 - $B64,Portafolio!D64)</f>
        <v>98.447979725411372</v>
      </c>
      <c r="E64" s="31" cm="1">
        <f t="array" ref="E64" xml:space="preserve"> BonoM(100,E$2,E$1 - $B64,Portafolio!E64)</f>
        <v>93.629320889403459</v>
      </c>
      <c r="F64" s="31" cm="1">
        <f t="array" ref="F64" xml:space="preserve"> BonoM(100,F$2,F$1 - $B64,Portafolio!F64)</f>
        <v>94.922238106200609</v>
      </c>
      <c r="G64" s="5">
        <f t="shared" si="5"/>
        <v>-5.0932780456539595E-3</v>
      </c>
      <c r="H64" s="5">
        <f t="shared" si="6"/>
        <v>-5.7831520712885442E-3</v>
      </c>
      <c r="I64" s="5">
        <f t="shared" si="7"/>
        <v>-4.6381887898100382E-3</v>
      </c>
      <c r="J64" s="5">
        <f t="shared" si="8"/>
        <v>-3.7960667293207573E-3</v>
      </c>
      <c r="K64" s="10">
        <f t="shared" si="9"/>
        <v>89.097519799437649</v>
      </c>
      <c r="L64" s="10">
        <f t="shared" si="10"/>
        <v>97.641926780707507</v>
      </c>
      <c r="M64" s="10">
        <f t="shared" si="11"/>
        <v>92.385581603227223</v>
      </c>
      <c r="N64" s="10">
        <f t="shared" si="12"/>
        <v>93.026160515345325</v>
      </c>
      <c r="O64" s="11">
        <f t="shared" si="13"/>
        <v>1505.2012655652888</v>
      </c>
      <c r="P64" s="11">
        <f t="shared" si="14"/>
        <v>851.94408888191469</v>
      </c>
      <c r="Q64" s="11">
        <f t="shared" si="15"/>
        <v>860.99700451876515</v>
      </c>
      <c r="R64" s="11">
        <f t="shared" si="16"/>
        <v>354.47913935590236</v>
      </c>
      <c r="S64" s="27">
        <f t="shared" si="17"/>
        <v>3572.6214983218706</v>
      </c>
    </row>
    <row r="65" spans="1:19" x14ac:dyDescent="0.25">
      <c r="A65" s="6">
        <f t="shared" si="1"/>
        <v>60</v>
      </c>
      <c r="B65" s="24">
        <v>45307</v>
      </c>
      <c r="C65" s="31" cm="1">
        <f t="array" ref="C65" xml:space="preserve"> BonoM(100,C$2,C$1 - $B65,Portafolio!C65)</f>
        <v>91.885950086356502</v>
      </c>
      <c r="D65" s="31" cm="1">
        <f t="array" ref="D65" xml:space="preserve"> BonoM(100,D$2,D$1 - $B65,Portafolio!D65)</f>
        <v>99.020631093218412</v>
      </c>
      <c r="E65" s="31" cm="1">
        <f t="array" ref="E65" xml:space="preserve"> BonoM(100,E$2,E$1 - $B65,Portafolio!E65)</f>
        <v>94.065614970265131</v>
      </c>
      <c r="F65" s="31" cm="1">
        <f t="array" ref="F65" xml:space="preserve"> BonoM(100,F$2,F$1 - $B65,Portafolio!F65)</f>
        <v>95.283942309439993</v>
      </c>
      <c r="G65" s="5">
        <f t="shared" si="5"/>
        <v>3.0624711096605139E-5</v>
      </c>
      <c r="H65" s="5">
        <f t="shared" si="6"/>
        <v>-3.4366513092657369E-3</v>
      </c>
      <c r="I65" s="5">
        <f t="shared" si="7"/>
        <v>-6.493941799401548E-3</v>
      </c>
      <c r="J65" s="5">
        <f t="shared" si="8"/>
        <v>-1.3504160925314146E-2</v>
      </c>
      <c r="K65" s="10">
        <f t="shared" si="9"/>
        <v>89.556383949458862</v>
      </c>
      <c r="L65" s="10">
        <f t="shared" si="10"/>
        <v>97.872376361272984</v>
      </c>
      <c r="M65" s="10">
        <f t="shared" si="11"/>
        <v>92.213337883232981</v>
      </c>
      <c r="N65" s="10">
        <f t="shared" si="12"/>
        <v>92.119612469495365</v>
      </c>
      <c r="O65" s="11">
        <f t="shared" si="13"/>
        <v>-9.050429504715396</v>
      </c>
      <c r="P65" s="11">
        <f t="shared" si="14"/>
        <v>506.26971803369969</v>
      </c>
      <c r="Q65" s="11">
        <f t="shared" si="15"/>
        <v>1205.484444507249</v>
      </c>
      <c r="R65" s="11">
        <f t="shared" si="16"/>
        <v>1261.0271852058618</v>
      </c>
      <c r="S65" s="27">
        <f t="shared" si="17"/>
        <v>2963.730918242095</v>
      </c>
    </row>
    <row r="66" spans="1:19" x14ac:dyDescent="0.25">
      <c r="A66" s="6">
        <f t="shared" si="1"/>
        <v>61</v>
      </c>
      <c r="B66" s="24">
        <v>45306</v>
      </c>
      <c r="C66" s="31" cm="1">
        <f t="array" ref="C66" xml:space="preserve"> BonoM(100,C$2,C$1 - $B66,Portafolio!C66)</f>
        <v>91.883136191855968</v>
      </c>
      <c r="D66" s="31" cm="1">
        <f t="array" ref="D66" xml:space="preserve"> BonoM(100,D$2,D$1 - $B66,Portafolio!D66)</f>
        <v>99.362103998014589</v>
      </c>
      <c r="E66" s="31" cm="1">
        <f t="array" ref="E66" xml:space="preserve"> BonoM(100,E$2,E$1 - $B66,Portafolio!E66)</f>
        <v>94.680464395590406</v>
      </c>
      <c r="F66" s="31" cm="1">
        <f t="array" ref="F66" xml:space="preserve"> BonoM(100,F$2,F$1 - $B66,Portafolio!F66)</f>
        <v>96.588286068002574</v>
      </c>
      <c r="G66" s="5">
        <f t="shared" si="5"/>
        <v>1.059094534753946E-2</v>
      </c>
      <c r="H66" s="5">
        <f t="shared" si="6"/>
        <v>1.5167222632667565E-2</v>
      </c>
      <c r="I66" s="5">
        <f t="shared" si="7"/>
        <v>2.0297188367236707E-2</v>
      </c>
      <c r="J66" s="5">
        <f t="shared" si="8"/>
        <v>2.9675026426156936E-2</v>
      </c>
      <c r="K66" s="10">
        <f t="shared" si="9"/>
        <v>90.502099116751765</v>
      </c>
      <c r="L66" s="10">
        <f t="shared" si="10"/>
        <v>99.699460765505506</v>
      </c>
      <c r="M66" s="10">
        <f t="shared" si="11"/>
        <v>94.699985566896203</v>
      </c>
      <c r="N66" s="10">
        <f t="shared" si="12"/>
        <v>96.151712604145928</v>
      </c>
      <c r="O66" s="11">
        <f t="shared" si="13"/>
        <v>-3129.9104815712953</v>
      </c>
      <c r="P66" s="11">
        <f t="shared" si="14"/>
        <v>-2234.3568883150838</v>
      </c>
      <c r="Q66" s="11">
        <f t="shared" si="15"/>
        <v>-3767.8109228191943</v>
      </c>
      <c r="R66" s="11">
        <f t="shared" si="16"/>
        <v>-2771.072949444701</v>
      </c>
      <c r="S66" s="27">
        <f t="shared" si="17"/>
        <v>-11903.151242150274</v>
      </c>
    </row>
    <row r="67" spans="1:19" x14ac:dyDescent="0.25">
      <c r="A67" s="6">
        <f t="shared" si="1"/>
        <v>62</v>
      </c>
      <c r="B67" s="24">
        <v>45304</v>
      </c>
      <c r="C67" s="31" cm="1">
        <f t="array" ref="C67" xml:space="preserve"> BonoM(100,C$2,C$1 - $B67,Portafolio!C67)</f>
        <v>90.920205266887294</v>
      </c>
      <c r="D67" s="31" cm="1">
        <f t="array" ref="D67" xml:space="preserve"> BonoM(100,D$2,D$1 - $B67,Portafolio!D67)</f>
        <v>97.877573056718163</v>
      </c>
      <c r="E67" s="31" cm="1">
        <f t="array" ref="E67" xml:space="preserve"> BonoM(100,E$2,E$1 - $B67,Portafolio!E67)</f>
        <v>92.796947276808481</v>
      </c>
      <c r="F67" s="31" cm="1">
        <f t="array" ref="F67" xml:space="preserve"> BonoM(100,F$2,F$1 - $B67,Portafolio!F67)</f>
        <v>93.804631159449997</v>
      </c>
      <c r="G67" s="5">
        <f t="shared" si="5"/>
        <v>-9.2153625987569932E-3</v>
      </c>
      <c r="H67" s="5">
        <f t="shared" si="6"/>
        <v>-1.3265509035700673E-2</v>
      </c>
      <c r="I67" s="5">
        <f t="shared" si="7"/>
        <v>-1.6338960330402275E-2</v>
      </c>
      <c r="J67" s="5">
        <f t="shared" si="8"/>
        <v>-2.6037101770444937E-2</v>
      </c>
      <c r="K67" s="10">
        <f t="shared" si="9"/>
        <v>88.728372117568924</v>
      </c>
      <c r="L67" s="10">
        <f t="shared" si="10"/>
        <v>96.907085329983431</v>
      </c>
      <c r="M67" s="10">
        <f t="shared" si="11"/>
        <v>91.299561854619625</v>
      </c>
      <c r="N67" s="10">
        <f t="shared" si="12"/>
        <v>90.949278436622521</v>
      </c>
      <c r="O67" s="11">
        <f t="shared" si="13"/>
        <v>2723.3886157320812</v>
      </c>
      <c r="P67" s="11">
        <f t="shared" si="14"/>
        <v>1954.206264968029</v>
      </c>
      <c r="Q67" s="11">
        <f t="shared" si="15"/>
        <v>3033.03650173396</v>
      </c>
      <c r="R67" s="11">
        <f t="shared" si="16"/>
        <v>2431.3612180787059</v>
      </c>
      <c r="S67" s="27">
        <f t="shared" si="17"/>
        <v>10141.992600512776</v>
      </c>
    </row>
    <row r="68" spans="1:19" x14ac:dyDescent="0.25">
      <c r="A68" s="6">
        <f t="shared" si="1"/>
        <v>63</v>
      </c>
      <c r="B68" s="24">
        <v>45303</v>
      </c>
      <c r="C68" s="31" cm="1">
        <f t="array" ref="C68" xml:space="preserve"> BonoM(100,C$2,C$1 - $B68,Portafolio!C68)</f>
        <v>91.765860949726132</v>
      </c>
      <c r="D68" s="31" cm="1">
        <f t="array" ref="D68" xml:space="preserve"> BonoM(100,D$2,D$1 - $B68,Portafolio!D68)</f>
        <v>99.19342432336181</v>
      </c>
      <c r="E68" s="31" cm="1">
        <f t="array" ref="E68" xml:space="preserve"> BonoM(100,E$2,E$1 - $B68,Portafolio!E68)</f>
        <v>94.338337633030662</v>
      </c>
      <c r="F68" s="31" cm="1">
        <f t="array" ref="F68" xml:space="preserve"> BonoM(100,F$2,F$1 - $B68,Portafolio!F68)</f>
        <v>96.312324966346935</v>
      </c>
      <c r="G68" s="5">
        <f t="shared" si="5"/>
        <v>3.8514016341419932E-3</v>
      </c>
      <c r="H68" s="5">
        <f t="shared" si="6"/>
        <v>6.2033983948956983E-3</v>
      </c>
      <c r="I68" s="5">
        <f t="shared" si="7"/>
        <v>7.3651044513500796E-3</v>
      </c>
      <c r="J68" s="5">
        <f t="shared" si="8"/>
        <v>8.4394014642288351E-3</v>
      </c>
      <c r="K68" s="10">
        <f t="shared" si="9"/>
        <v>89.89854843587581</v>
      </c>
      <c r="L68" s="10">
        <f t="shared" si="10"/>
        <v>98.819124577557091</v>
      </c>
      <c r="M68" s="10">
        <f t="shared" si="11"/>
        <v>93.499680230228392</v>
      </c>
      <c r="N68" s="10">
        <f t="shared" si="12"/>
        <v>94.168716361733743</v>
      </c>
      <c r="O68" s="11">
        <f t="shared" si="13"/>
        <v>-1138.1932346806436</v>
      </c>
      <c r="P68" s="11">
        <f t="shared" si="14"/>
        <v>-913.85260639246007</v>
      </c>
      <c r="Q68" s="11">
        <f t="shared" si="15"/>
        <v>-1367.2002494835738</v>
      </c>
      <c r="R68" s="11">
        <f t="shared" si="16"/>
        <v>-788.07670703251631</v>
      </c>
      <c r="S68" s="27">
        <f t="shared" si="17"/>
        <v>-4207.3227975891932</v>
      </c>
    </row>
    <row r="69" spans="1:19" x14ac:dyDescent="0.25">
      <c r="A69" s="6">
        <f t="shared" ref="A69:A132" si="18">+A70-1</f>
        <v>64</v>
      </c>
      <c r="B69" s="24">
        <v>45302</v>
      </c>
      <c r="C69" s="31" cm="1">
        <f t="array" ref="C69" xml:space="preserve"> BonoM(100,C$2,C$1 - $B69,Portafolio!C69)</f>
        <v>91.413789730574692</v>
      </c>
      <c r="D69" s="31" cm="1">
        <f t="array" ref="D69" xml:space="preserve"> BonoM(100,D$2,D$1 - $B69,Portafolio!D69)</f>
        <v>98.581881637048753</v>
      </c>
      <c r="E69" s="31" cm="1">
        <f t="array" ref="E69" xml:space="preserve"> BonoM(100,E$2,E$1 - $B69,Portafolio!E69)</f>
        <v>93.64860586908155</v>
      </c>
      <c r="F69" s="31" cm="1">
        <f t="array" ref="F69" xml:space="preserve"> BonoM(100,F$2,F$1 - $B69,Portafolio!F69)</f>
        <v>95.506308883314006</v>
      </c>
      <c r="G69" s="5">
        <f t="shared" si="5"/>
        <v>2.192225994134045E-3</v>
      </c>
      <c r="H69" s="5">
        <f t="shared" si="6"/>
        <v>2.7948492474401121E-3</v>
      </c>
      <c r="I69" s="5">
        <f t="shared" si="7"/>
        <v>2.4308536755266452E-3</v>
      </c>
      <c r="J69" s="5">
        <f t="shared" si="8"/>
        <v>1.0635936711307359E-3</v>
      </c>
      <c r="K69" s="10">
        <f t="shared" si="9"/>
        <v>89.749963215599109</v>
      </c>
      <c r="L69" s="10">
        <f t="shared" si="10"/>
        <v>98.484371342407556</v>
      </c>
      <c r="M69" s="10">
        <f t="shared" si="11"/>
        <v>93.041702414959005</v>
      </c>
      <c r="N69" s="10">
        <f t="shared" si="12"/>
        <v>93.479958712044109</v>
      </c>
      <c r="O69" s="11">
        <f t="shared" si="13"/>
        <v>-647.86200776753162</v>
      </c>
      <c r="P69" s="11">
        <f t="shared" si="14"/>
        <v>-411.72275366815825</v>
      </c>
      <c r="Q69" s="11">
        <f t="shared" si="15"/>
        <v>-451.2446189447985</v>
      </c>
      <c r="R69" s="11">
        <f t="shared" si="16"/>
        <v>-99.319057342881933</v>
      </c>
      <c r="S69" s="27">
        <f t="shared" si="17"/>
        <v>-1610.1484377233703</v>
      </c>
    </row>
    <row r="70" spans="1:19" x14ac:dyDescent="0.25">
      <c r="A70" s="6">
        <f t="shared" si="18"/>
        <v>65</v>
      </c>
      <c r="B70" s="24">
        <v>45301</v>
      </c>
      <c r="C70" s="31" cm="1">
        <f t="array" ref="C70" xml:space="preserve"> BonoM(100,C$2,C$1 - $B70,Portafolio!C70)</f>
        <v>91.213828404920946</v>
      </c>
      <c r="D70" s="31" cm="1">
        <f t="array" ref="D70" xml:space="preserve"> BonoM(100,D$2,D$1 - $B70,Portafolio!D70)</f>
        <v>98.307128034244244</v>
      </c>
      <c r="E70" s="31" cm="1">
        <f t="array" ref="E70" xml:space="preserve"> BonoM(100,E$2,E$1 - $B70,Portafolio!E70)</f>
        <v>93.421511843643174</v>
      </c>
      <c r="F70" s="31" cm="1">
        <f t="array" ref="F70" xml:space="preserve"> BonoM(100,F$2,F$1 - $B70,Portafolio!F70)</f>
        <v>95.404836902589153</v>
      </c>
      <c r="G70" s="5">
        <f t="shared" ref="G70:G133" si="19" xml:space="preserve"> C70/C71 - 1</f>
        <v>1.3639344148852484E-3</v>
      </c>
      <c r="H70" s="5">
        <f t="shared" ref="H70:H133" si="20" xml:space="preserve"> D70/D71 - 1</f>
        <v>2.3711346361967589E-3</v>
      </c>
      <c r="I70" s="5">
        <f t="shared" ref="I70:I133" si="21" xml:space="preserve"> E70/E71 - 1</f>
        <v>1.8853352527976597E-3</v>
      </c>
      <c r="J70" s="5">
        <f t="shared" ref="J70:J133" si="22" xml:space="preserve"> F70/F71 - 1</f>
        <v>1.8790881452432906E-3</v>
      </c>
      <c r="K70" s="10">
        <f t="shared" ref="K70:K133" si="23" xml:space="preserve"> C$5 * (1 + G70)</f>
        <v>89.675786688540512</v>
      </c>
      <c r="L70" s="10">
        <f t="shared" ref="L70:L133" si="24" xml:space="preserve"> D$5 * (1 + H70)</f>
        <v>98.442758377255004</v>
      </c>
      <c r="M70" s="10">
        <f t="shared" ref="M70:M133" si="25" xml:space="preserve"> E$5 * (1 + I70)</f>
        <v>92.991069533335974</v>
      </c>
      <c r="N70" s="10">
        <f t="shared" ref="N70:N133" si="26" xml:space="preserve"> F$5 * (1 + J70)</f>
        <v>93.556110107671614</v>
      </c>
      <c r="O70" s="11">
        <f t="shared" ref="O70:O133" si="27" xml:space="preserve"> (C$5 - K70) * O$2</f>
        <v>-403.07946847416076</v>
      </c>
      <c r="P70" s="11">
        <f t="shared" ref="P70:P133" si="28" xml:space="preserve"> (D$5 - L70) * P$2</f>
        <v>-349.30330593932979</v>
      </c>
      <c r="Q70" s="11">
        <f t="shared" ref="Q70:Q133" si="29" xml:space="preserve"> (E$5 - M70) * Q$2</f>
        <v>-349.97885569873688</v>
      </c>
      <c r="R70" s="11">
        <f t="shared" ref="R70:R133" si="30" xml:space="preserve"> (F$5 - N70) * R$2</f>
        <v>-175.47045297038721</v>
      </c>
      <c r="S70" s="27">
        <f t="shared" ref="S70:S133" si="31" xml:space="preserve"> SUM(O70:R70)</f>
        <v>-1277.8320830826146</v>
      </c>
    </row>
    <row r="71" spans="1:19" x14ac:dyDescent="0.25">
      <c r="A71" s="6">
        <f t="shared" si="18"/>
        <v>66</v>
      </c>
      <c r="B71" s="24">
        <v>45300</v>
      </c>
      <c r="C71" s="31" cm="1">
        <f t="array" ref="C71" xml:space="preserve"> BonoM(100,C$2,C$1 - $B71,Portafolio!C71)</f>
        <v>91.089588180763471</v>
      </c>
      <c r="D71" s="31" cm="1">
        <f t="array" ref="D71" xml:space="preserve"> BonoM(100,D$2,D$1 - $B71,Portafolio!D71)</f>
        <v>98.074580000674189</v>
      </c>
      <c r="E71" s="31" cm="1">
        <f t="array" ref="E71" xml:space="preserve"> BonoM(100,E$2,E$1 - $B71,Portafolio!E71)</f>
        <v>93.245712414855205</v>
      </c>
      <c r="F71" s="31" cm="1">
        <f t="array" ref="F71" xml:space="preserve"> BonoM(100,F$2,F$1 - $B71,Portafolio!F71)</f>
        <v>95.225899044574362</v>
      </c>
      <c r="G71" s="5">
        <f t="shared" si="19"/>
        <v>-1.1261252171514968E-3</v>
      </c>
      <c r="H71" s="5">
        <f t="shared" si="20"/>
        <v>-2.7205673830633659E-3</v>
      </c>
      <c r="I71" s="5">
        <f t="shared" si="21"/>
        <v>-2.4769695084165821E-3</v>
      </c>
      <c r="J71" s="5">
        <f t="shared" si="22"/>
        <v>-3.817958733957405E-3</v>
      </c>
      <c r="K71" s="10">
        <f t="shared" si="23"/>
        <v>89.45279278120077</v>
      </c>
      <c r="L71" s="10">
        <f t="shared" si="24"/>
        <v>97.942702884542797</v>
      </c>
      <c r="M71" s="10">
        <f t="shared" si="25"/>
        <v>92.586177505174561</v>
      </c>
      <c r="N71" s="10">
        <f t="shared" si="26"/>
        <v>93.02411622594903</v>
      </c>
      <c r="O71" s="11">
        <f t="shared" si="27"/>
        <v>332.80042574698712</v>
      </c>
      <c r="P71" s="11">
        <f t="shared" si="28"/>
        <v>400.7799331289803</v>
      </c>
      <c r="Q71" s="11">
        <f t="shared" si="29"/>
        <v>459.80520062408914</v>
      </c>
      <c r="R71" s="11">
        <f t="shared" si="30"/>
        <v>356.52342875219745</v>
      </c>
      <c r="S71" s="27">
        <f t="shared" si="31"/>
        <v>1549.9089882522539</v>
      </c>
    </row>
    <row r="72" spans="1:19" x14ac:dyDescent="0.25">
      <c r="A72" s="6">
        <f t="shared" si="18"/>
        <v>67</v>
      </c>
      <c r="B72" s="24">
        <v>45299</v>
      </c>
      <c r="C72" s="31" cm="1">
        <f t="array" ref="C72" xml:space="preserve"> BonoM(100,C$2,C$1 - $B72,Portafolio!C72)</f>
        <v>91.192282109256297</v>
      </c>
      <c r="D72" s="31" cm="1">
        <f t="array" ref="D72" xml:space="preserve"> BonoM(100,D$2,D$1 - $B72,Portafolio!D72)</f>
        <v>98.342126382090399</v>
      </c>
      <c r="E72" s="31" cm="1">
        <f t="array" ref="E72" xml:space="preserve"> BonoM(100,E$2,E$1 - $B72,Portafolio!E72)</f>
        <v>93.477252719572135</v>
      </c>
      <c r="F72" s="31" cm="1">
        <f t="array" ref="F72" xml:space="preserve"> BonoM(100,F$2,F$1 - $B72,Portafolio!F72)</f>
        <v>95.590861007243475</v>
      </c>
      <c r="G72" s="5">
        <f t="shared" si="19"/>
        <v>2.7162296297342792E-3</v>
      </c>
      <c r="H72" s="5">
        <f t="shared" si="20"/>
        <v>3.2967792487883507E-3</v>
      </c>
      <c r="I72" s="5">
        <f t="shared" si="21"/>
        <v>3.4795098806237323E-3</v>
      </c>
      <c r="J72" s="5">
        <f t="shared" si="22"/>
        <v>3.1974819855045133E-3</v>
      </c>
      <c r="K72" s="10">
        <f t="shared" si="23"/>
        <v>89.796889649271364</v>
      </c>
      <c r="L72" s="10">
        <f t="shared" si="24"/>
        <v>98.533665832380038</v>
      </c>
      <c r="M72" s="10">
        <f t="shared" si="25"/>
        <v>93.13903457329441</v>
      </c>
      <c r="N72" s="10">
        <f t="shared" si="26"/>
        <v>93.679222567792024</v>
      </c>
      <c r="O72" s="11">
        <f t="shared" si="27"/>
        <v>-802.71923888597166</v>
      </c>
      <c r="P72" s="11">
        <f t="shared" si="28"/>
        <v>-485.66448862688105</v>
      </c>
      <c r="Q72" s="11">
        <f t="shared" si="29"/>
        <v>-645.90893561560847</v>
      </c>
      <c r="R72" s="11">
        <f t="shared" si="30"/>
        <v>-298.58291309079732</v>
      </c>
      <c r="S72" s="27">
        <f t="shared" si="31"/>
        <v>-2232.8755762192586</v>
      </c>
    </row>
    <row r="73" spans="1:19" x14ac:dyDescent="0.25">
      <c r="A73" s="6">
        <f t="shared" si="18"/>
        <v>68</v>
      </c>
      <c r="B73" s="24">
        <v>45296</v>
      </c>
      <c r="C73" s="31" cm="1">
        <f t="array" ref="C73" xml:space="preserve"> BonoM(100,C$2,C$1 - $B73,Portafolio!C73)</f>
        <v>90.945253915886255</v>
      </c>
      <c r="D73" s="31" cm="1">
        <f t="array" ref="D73" xml:space="preserve"> BonoM(100,D$2,D$1 - $B73,Portafolio!D73)</f>
        <v>98.01897944466981</v>
      </c>
      <c r="E73" s="31" cm="1">
        <f t="array" ref="E73" xml:space="preserve"> BonoM(100,E$2,E$1 - $B73,Portafolio!E73)</f>
        <v>93.153125498987421</v>
      </c>
      <c r="F73" s="31" cm="1">
        <f t="array" ref="F73" xml:space="preserve"> BonoM(100,F$2,F$1 - $B73,Portafolio!F73)</f>
        <v>95.286185146769228</v>
      </c>
      <c r="G73" s="5">
        <f t="shared" si="19"/>
        <v>3.6938121088092579E-4</v>
      </c>
      <c r="H73" s="5">
        <f t="shared" si="20"/>
        <v>-3.0540986497629152E-4</v>
      </c>
      <c r="I73" s="5">
        <f t="shared" si="21"/>
        <v>1.9372147016127883E-4</v>
      </c>
      <c r="J73" s="5">
        <f t="shared" si="22"/>
        <v>8.2024366872790466E-4</v>
      </c>
      <c r="K73" s="10">
        <f t="shared" si="23"/>
        <v>89.586720827560796</v>
      </c>
      <c r="L73" s="10">
        <f t="shared" si="24"/>
        <v>98.179895237535234</v>
      </c>
      <c r="M73" s="10">
        <f t="shared" si="25"/>
        <v>92.834060572979254</v>
      </c>
      <c r="N73" s="10">
        <f t="shared" si="26"/>
        <v>93.457234533159763</v>
      </c>
      <c r="O73" s="11">
        <f t="shared" si="27"/>
        <v>-109.16212724109897</v>
      </c>
      <c r="P73" s="11">
        <f t="shared" si="28"/>
        <v>44.991403640324279</v>
      </c>
      <c r="Q73" s="11">
        <f t="shared" si="29"/>
        <v>-35.960934985297399</v>
      </c>
      <c r="R73" s="11">
        <f t="shared" si="30"/>
        <v>-76.594878458536186</v>
      </c>
      <c r="S73" s="27">
        <f t="shared" si="31"/>
        <v>-176.72653704460828</v>
      </c>
    </row>
    <row r="74" spans="1:19" x14ac:dyDescent="0.25">
      <c r="A74" s="6">
        <f t="shared" si="18"/>
        <v>69</v>
      </c>
      <c r="B74" s="24">
        <v>45295</v>
      </c>
      <c r="C74" s="31" cm="1">
        <f t="array" ref="C74" xml:space="preserve"> BonoM(100,C$2,C$1 - $B74,Portafolio!C74)</f>
        <v>90.911672852084934</v>
      </c>
      <c r="D74" s="31" cm="1">
        <f t="array" ref="D74" xml:space="preserve"> BonoM(100,D$2,D$1 - $B74,Portafolio!D74)</f>
        <v>98.048924553478756</v>
      </c>
      <c r="E74" s="31" cm="1">
        <f t="array" ref="E74" xml:space="preserve"> BonoM(100,E$2,E$1 - $B74,Portafolio!E74)</f>
        <v>93.135083233739792</v>
      </c>
      <c r="F74" s="31" cm="1">
        <f t="array" ref="F74" xml:space="preserve"> BonoM(100,F$2,F$1 - $B74,Portafolio!F74)</f>
        <v>95.208091312658354</v>
      </c>
      <c r="G74" s="5">
        <f t="shared" si="19"/>
        <v>-1.9652998780732567E-3</v>
      </c>
      <c r="H74" s="5">
        <f t="shared" si="20"/>
        <v>-2.6036540830951527E-3</v>
      </c>
      <c r="I74" s="5">
        <f t="shared" si="21"/>
        <v>-4.6108542004729136E-3</v>
      </c>
      <c r="J74" s="5">
        <f t="shared" si="22"/>
        <v>-3.5825687664221562E-3</v>
      </c>
      <c r="K74" s="10">
        <f t="shared" si="23"/>
        <v>89.377641634548766</v>
      </c>
      <c r="L74" s="10">
        <f t="shared" si="24"/>
        <v>97.95418492681452</v>
      </c>
      <c r="M74" s="10">
        <f t="shared" si="25"/>
        <v>92.388118692660797</v>
      </c>
      <c r="N74" s="10">
        <f t="shared" si="26"/>
        <v>93.046097091685766</v>
      </c>
      <c r="O74" s="11">
        <f t="shared" si="27"/>
        <v>580.79920969860132</v>
      </c>
      <c r="P74" s="11">
        <f t="shared" si="28"/>
        <v>383.5568697213958</v>
      </c>
      <c r="Q74" s="11">
        <f t="shared" si="29"/>
        <v>855.92282565161781</v>
      </c>
      <c r="R74" s="11">
        <f t="shared" si="30"/>
        <v>334.54256301546081</v>
      </c>
      <c r="S74" s="27">
        <f t="shared" si="31"/>
        <v>2154.8214680870756</v>
      </c>
    </row>
    <row r="75" spans="1:19" x14ac:dyDescent="0.25">
      <c r="A75" s="6">
        <f t="shared" si="18"/>
        <v>70</v>
      </c>
      <c r="B75" s="24">
        <v>45294</v>
      </c>
      <c r="C75" s="31" cm="1">
        <f t="array" ref="C75" xml:space="preserve"> BonoM(100,C$2,C$1 - $B75,Portafolio!C75)</f>
        <v>91.090693380679596</v>
      </c>
      <c r="D75" s="31" cm="1">
        <f t="array" ref="D75" xml:space="preserve"> BonoM(100,D$2,D$1 - $B75,Portafolio!D75)</f>
        <v>98.304876446426661</v>
      </c>
      <c r="E75" s="31" cm="1">
        <f t="array" ref="E75" xml:space="preserve"> BonoM(100,E$2,E$1 - $B75,Portafolio!E75)</f>
        <v>93.56650474516762</v>
      </c>
      <c r="F75" s="31" cm="1">
        <f t="array" ref="F75" xml:space="preserve"> BonoM(100,F$2,F$1 - $B75,Portafolio!F75)</f>
        <v>95.550407217173515</v>
      </c>
      <c r="G75" s="5">
        <f t="shared" si="19"/>
        <v>9.807493864315564E-4</v>
      </c>
      <c r="H75" s="5">
        <f t="shared" si="20"/>
        <v>-1.8854234540082171E-3</v>
      </c>
      <c r="I75" s="5">
        <f t="shared" si="21"/>
        <v>-1.943992411727713E-3</v>
      </c>
      <c r="J75" s="5">
        <f t="shared" si="22"/>
        <v>-1.3869906253312081E-3</v>
      </c>
      <c r="K75" s="10">
        <f t="shared" si="23"/>
        <v>89.641471073914417</v>
      </c>
      <c r="L75" s="10">
        <f t="shared" si="24"/>
        <v>98.024722277537435</v>
      </c>
      <c r="M75" s="10">
        <f t="shared" si="25"/>
        <v>92.635646350075234</v>
      </c>
      <c r="N75" s="10">
        <f t="shared" si="26"/>
        <v>93.251121582912731</v>
      </c>
      <c r="O75" s="11">
        <f t="shared" si="27"/>
        <v>-289.83794020804652</v>
      </c>
      <c r="P75" s="11">
        <f t="shared" si="28"/>
        <v>277.75084363702263</v>
      </c>
      <c r="Q75" s="11">
        <f t="shared" si="29"/>
        <v>360.86751082274304</v>
      </c>
      <c r="R75" s="11">
        <f t="shared" si="30"/>
        <v>129.51807178849606</v>
      </c>
      <c r="S75" s="27">
        <f t="shared" si="31"/>
        <v>478.29848604021521</v>
      </c>
    </row>
    <row r="76" spans="1:19" x14ac:dyDescent="0.25">
      <c r="A76" s="6">
        <f t="shared" si="18"/>
        <v>71</v>
      </c>
      <c r="B76" s="24">
        <v>45293</v>
      </c>
      <c r="C76" s="31" cm="1">
        <f t="array" ref="C76" xml:space="preserve"> BonoM(100,C$2,C$1 - $B76,Portafolio!C76)</f>
        <v>91.001443770537264</v>
      </c>
      <c r="D76" s="31" cm="1">
        <f t="array" ref="D76" xml:space="preserve"> BonoM(100,D$2,D$1 - $B76,Portafolio!D76)</f>
        <v>98.490572882538103</v>
      </c>
      <c r="E76" s="31" cm="1">
        <f t="array" ref="E76" xml:space="preserve"> BonoM(100,E$2,E$1 - $B76,Portafolio!E76)</f>
        <v>93.748751606900385</v>
      </c>
      <c r="F76" s="31" cm="1">
        <f t="array" ref="F76" xml:space="preserve"> BonoM(100,F$2,F$1 - $B76,Portafolio!F76)</f>
        <v>95.683118805959836</v>
      </c>
      <c r="G76" s="5">
        <f t="shared" si="19"/>
        <v>-4.5566235288104773E-3</v>
      </c>
      <c r="H76" s="5">
        <f t="shared" si="20"/>
        <v>1.3586242888766087E-2</v>
      </c>
      <c r="I76" s="5">
        <f t="shared" si="21"/>
        <v>1.5758231474034989E-2</v>
      </c>
      <c r="J76" s="5">
        <f t="shared" si="22"/>
        <v>2.4996955937647725E-2</v>
      </c>
      <c r="K76" s="10">
        <f t="shared" si="23"/>
        <v>89.145579165592096</v>
      </c>
      <c r="L76" s="10">
        <f t="shared" si="24"/>
        <v>99.544192919544727</v>
      </c>
      <c r="M76" s="10">
        <f t="shared" si="25"/>
        <v>94.278697380301438</v>
      </c>
      <c r="N76" s="10">
        <f t="shared" si="26"/>
        <v>95.714871389579159</v>
      </c>
      <c r="O76" s="11">
        <f t="shared" si="27"/>
        <v>1346.605357255612</v>
      </c>
      <c r="P76" s="11">
        <f t="shared" si="28"/>
        <v>-2001.4551193739153</v>
      </c>
      <c r="Q76" s="11">
        <f t="shared" si="29"/>
        <v>-2925.2345496296639</v>
      </c>
      <c r="R76" s="11">
        <f t="shared" si="30"/>
        <v>-2334.2317348779316</v>
      </c>
      <c r="S76" s="27">
        <f t="shared" si="31"/>
        <v>-5914.3160466258987</v>
      </c>
    </row>
    <row r="77" spans="1:19" x14ac:dyDescent="0.25">
      <c r="A77" s="6">
        <f t="shared" si="18"/>
        <v>72</v>
      </c>
      <c r="B77" s="24">
        <v>45290</v>
      </c>
      <c r="C77" s="31" cm="1">
        <f t="array" ref="C77" xml:space="preserve"> BonoM(100,C$2,C$1 - $B77,Portafolio!C77)</f>
        <v>91.418001185696838</v>
      </c>
      <c r="D77" s="31" cm="1">
        <f t="array" ref="D77" xml:space="preserve"> BonoM(100,D$2,D$1 - $B77,Portafolio!D77)</f>
        <v>97.170392330736036</v>
      </c>
      <c r="E77" s="31" cm="1">
        <f t="array" ref="E77" xml:space="preserve"> BonoM(100,E$2,E$1 - $B77,Portafolio!E77)</f>
        <v>92.294355784698169</v>
      </c>
      <c r="F77" s="31" cm="1">
        <f t="array" ref="F77" xml:space="preserve"> BonoM(100,F$2,F$1 - $B77,Portafolio!F77)</f>
        <v>93.349661432341264</v>
      </c>
      <c r="G77" s="5">
        <f t="shared" si="19"/>
        <v>2.5181263147344701E-4</v>
      </c>
      <c r="H77" s="5">
        <f t="shared" si="20"/>
        <v>-1.8171859526634915E-2</v>
      </c>
      <c r="I77" s="5">
        <f t="shared" si="21"/>
        <v>-2.2696209457939265E-2</v>
      </c>
      <c r="J77" s="5">
        <f t="shared" si="22"/>
        <v>-3.5461660115273741E-2</v>
      </c>
      <c r="K77" s="10">
        <f t="shared" si="23"/>
        <v>89.576192133161214</v>
      </c>
      <c r="L77" s="10">
        <f t="shared" si="24"/>
        <v>96.425233190387985</v>
      </c>
      <c r="M77" s="10">
        <f t="shared" si="25"/>
        <v>90.709506910347613</v>
      </c>
      <c r="N77" s="10">
        <f t="shared" si="26"/>
        <v>90.069207149919364</v>
      </c>
      <c r="O77" s="11">
        <f t="shared" si="27"/>
        <v>-74.417435722477876</v>
      </c>
      <c r="P77" s="11">
        <f t="shared" si="28"/>
        <v>2676.9844743611984</v>
      </c>
      <c r="Q77" s="11">
        <f t="shared" si="29"/>
        <v>4213.1463902779842</v>
      </c>
      <c r="R77" s="11">
        <f t="shared" si="30"/>
        <v>3311.4325047818625</v>
      </c>
      <c r="S77" s="27">
        <f t="shared" si="31"/>
        <v>10127.145933698566</v>
      </c>
    </row>
    <row r="78" spans="1:19" x14ac:dyDescent="0.25">
      <c r="A78" s="6">
        <f t="shared" si="18"/>
        <v>73</v>
      </c>
      <c r="B78" s="24">
        <v>45289</v>
      </c>
      <c r="C78" s="31" cm="1">
        <f t="array" ref="C78" xml:space="preserve"> BonoM(100,C$2,C$1 - $B78,Portafolio!C78)</f>
        <v>91.394986773573905</v>
      </c>
      <c r="D78" s="31" cm="1">
        <f t="array" ref="D78" xml:space="preserve"> BonoM(100,D$2,D$1 - $B78,Portafolio!D78)</f>
        <v>98.968840192223098</v>
      </c>
      <c r="E78" s="31" cm="1">
        <f t="array" ref="E78" xml:space="preserve"> BonoM(100,E$2,E$1 - $B78,Portafolio!E78)</f>
        <v>94.437734385034133</v>
      </c>
      <c r="F78" s="31" cm="1">
        <f t="array" ref="F78" xml:space="preserve"> BonoM(100,F$2,F$1 - $B78,Portafolio!F78)</f>
        <v>96.781701226617542</v>
      </c>
      <c r="G78" s="5">
        <f t="shared" si="19"/>
        <v>1.5134722421075164E-3</v>
      </c>
      <c r="H78" s="5">
        <f t="shared" si="20"/>
        <v>4.5351583216826086E-3</v>
      </c>
      <c r="I78" s="5">
        <f t="shared" si="21"/>
        <v>5.4836633225483489E-3</v>
      </c>
      <c r="J78" s="5">
        <f t="shared" si="22"/>
        <v>3.1306343018864258E-3</v>
      </c>
      <c r="K78" s="10">
        <f t="shared" si="23"/>
        <v>89.689178345494568</v>
      </c>
      <c r="L78" s="10">
        <f t="shared" si="24"/>
        <v>98.655286904296304</v>
      </c>
      <c r="M78" s="10">
        <f t="shared" si="25"/>
        <v>93.325052239703766</v>
      </c>
      <c r="N78" s="10">
        <f t="shared" si="26"/>
        <v>93.672980288336333</v>
      </c>
      <c r="O78" s="11">
        <f t="shared" si="27"/>
        <v>-447.27193642254548</v>
      </c>
      <c r="P78" s="11">
        <f t="shared" si="28"/>
        <v>-668.09609650128004</v>
      </c>
      <c r="Q78" s="11">
        <f t="shared" si="29"/>
        <v>-1017.9442684343201</v>
      </c>
      <c r="R78" s="11">
        <f t="shared" si="30"/>
        <v>-292.34063363510643</v>
      </c>
      <c r="S78" s="27">
        <f t="shared" si="31"/>
        <v>-2425.6529349932516</v>
      </c>
    </row>
    <row r="79" spans="1:19" x14ac:dyDescent="0.25">
      <c r="A79" s="6">
        <f t="shared" si="18"/>
        <v>74</v>
      </c>
      <c r="B79" s="24">
        <v>45288</v>
      </c>
      <c r="C79" s="31" cm="1">
        <f t="array" ref="C79" xml:space="preserve"> BonoM(100,C$2,C$1 - $B79,Portafolio!C79)</f>
        <v>91.256872030853643</v>
      </c>
      <c r="D79" s="31" cm="1">
        <f t="array" ref="D79" xml:space="preserve"> BonoM(100,D$2,D$1 - $B79,Portafolio!D79)</f>
        <v>98.522027200694822</v>
      </c>
      <c r="E79" s="31" cm="1">
        <f t="array" ref="E79" xml:space="preserve"> BonoM(100,E$2,E$1 - $B79,Portafolio!E79)</f>
        <v>93.922693953048864</v>
      </c>
      <c r="F79" s="31" cm="1">
        <f t="array" ref="F79" xml:space="preserve"> BonoM(100,F$2,F$1 - $B79,Portafolio!F79)</f>
        <v>96.479658697664348</v>
      </c>
      <c r="G79" s="5">
        <f t="shared" si="19"/>
        <v>1.5435517012836186E-3</v>
      </c>
      <c r="H79" s="5">
        <f t="shared" si="20"/>
        <v>2.2162694101446334E-3</v>
      </c>
      <c r="I79" s="5">
        <f t="shared" si="21"/>
        <v>2.7772066976874399E-3</v>
      </c>
      <c r="J79" s="5">
        <f t="shared" si="22"/>
        <v>3.2112614211963209E-3</v>
      </c>
      <c r="K79" s="10">
        <f t="shared" si="23"/>
        <v>89.691872070594982</v>
      </c>
      <c r="L79" s="10">
        <f t="shared" si="24"/>
        <v>98.427549080516016</v>
      </c>
      <c r="M79" s="10">
        <f t="shared" si="25"/>
        <v>93.073849544808652</v>
      </c>
      <c r="N79" s="10">
        <f t="shared" si="26"/>
        <v>93.680509300311002</v>
      </c>
      <c r="O79" s="11">
        <f t="shared" si="27"/>
        <v>-456.16122925391238</v>
      </c>
      <c r="P79" s="11">
        <f t="shared" si="28"/>
        <v>-326.48936083084834</v>
      </c>
      <c r="Q79" s="11">
        <f t="shared" si="29"/>
        <v>-515.53887864409376</v>
      </c>
      <c r="R79" s="11">
        <f t="shared" si="30"/>
        <v>-299.86964560977469</v>
      </c>
      <c r="S79" s="27">
        <f t="shared" si="31"/>
        <v>-1598.0591143386291</v>
      </c>
    </row>
    <row r="80" spans="1:19" x14ac:dyDescent="0.25">
      <c r="A80" s="6">
        <f t="shared" si="18"/>
        <v>75</v>
      </c>
      <c r="B80" s="24">
        <v>45287</v>
      </c>
      <c r="C80" s="31" cm="1">
        <f t="array" ref="C80" xml:space="preserve"> BonoM(100,C$2,C$1 - $B80,Portafolio!C80)</f>
        <v>91.116229419917971</v>
      </c>
      <c r="D80" s="31" cm="1">
        <f t="array" ref="D80" xml:space="preserve"> BonoM(100,D$2,D$1 - $B80,Portafolio!D80)</f>
        <v>98.304158700876059</v>
      </c>
      <c r="E80" s="31" cm="1">
        <f t="array" ref="E80" xml:space="preserve"> BonoM(100,E$2,E$1 - $B80,Portafolio!E80)</f>
        <v>93.662573626251387</v>
      </c>
      <c r="F80" s="31" cm="1">
        <f t="array" ref="F80" xml:space="preserve"> BonoM(100,F$2,F$1 - $B80,Portafolio!F80)</f>
        <v>96.170829024573266</v>
      </c>
      <c r="G80" s="5">
        <f t="shared" si="19"/>
        <v>2.7820089604888576E-3</v>
      </c>
      <c r="H80" s="5">
        <f t="shared" si="20"/>
        <v>4.5377137490403285E-3</v>
      </c>
      <c r="I80" s="5">
        <f t="shared" si="21"/>
        <v>6.3102769784471047E-3</v>
      </c>
      <c r="J80" s="5">
        <f t="shared" si="22"/>
        <v>6.0130618862956897E-3</v>
      </c>
      <c r="K80" s="10">
        <f t="shared" si="23"/>
        <v>89.802780427868967</v>
      </c>
      <c r="L80" s="10">
        <f t="shared" si="24"/>
        <v>98.655537872534751</v>
      </c>
      <c r="M80" s="10">
        <f t="shared" si="25"/>
        <v>93.40177527900596</v>
      </c>
      <c r="N80" s="10">
        <f t="shared" si="26"/>
        <v>93.94214321992682</v>
      </c>
      <c r="O80" s="11">
        <f t="shared" si="27"/>
        <v>-822.15880825806244</v>
      </c>
      <c r="P80" s="11">
        <f t="shared" si="28"/>
        <v>-668.47254885895063</v>
      </c>
      <c r="Q80" s="11">
        <f t="shared" si="29"/>
        <v>-1171.3903470387095</v>
      </c>
      <c r="R80" s="11">
        <f t="shared" si="30"/>
        <v>-561.50356522559264</v>
      </c>
      <c r="S80" s="27">
        <f t="shared" si="31"/>
        <v>-3223.5252693813154</v>
      </c>
    </row>
    <row r="81" spans="1:19" x14ac:dyDescent="0.25">
      <c r="A81" s="6">
        <f t="shared" si="18"/>
        <v>76</v>
      </c>
      <c r="B81" s="24">
        <v>45286</v>
      </c>
      <c r="C81" s="31" cm="1">
        <f t="array" ref="C81" xml:space="preserve"> BonoM(100,C$2,C$1 - $B81,Portafolio!C81)</f>
        <v>90.86344649758081</v>
      </c>
      <c r="D81" s="31" cm="1">
        <f t="array" ref="D81" xml:space="preserve"> BonoM(100,D$2,D$1 - $B81,Portafolio!D81)</f>
        <v>97.860097590556961</v>
      </c>
      <c r="E81" s="31" cm="1">
        <f t="array" ref="E81" xml:space="preserve"> BonoM(100,E$2,E$1 - $B81,Portafolio!E81)</f>
        <v>93.075243062689538</v>
      </c>
      <c r="F81" s="31" cm="1">
        <f t="array" ref="F81" xml:space="preserve"> BonoM(100,F$2,F$1 - $B81,Portafolio!F81)</f>
        <v>95.596004334427761</v>
      </c>
      <c r="G81" s="5">
        <f t="shared" si="19"/>
        <v>1.0484762714766171E-2</v>
      </c>
      <c r="H81" s="5">
        <f t="shared" si="20"/>
        <v>1.4069639698142566E-2</v>
      </c>
      <c r="I81" s="5">
        <f t="shared" si="21"/>
        <v>1.9360779989763266E-2</v>
      </c>
      <c r="J81" s="5">
        <f t="shared" si="22"/>
        <v>3.2151832732364216E-2</v>
      </c>
      <c r="K81" s="10">
        <f t="shared" si="23"/>
        <v>90.492590075333993</v>
      </c>
      <c r="L81" s="10">
        <f t="shared" si="24"/>
        <v>99.591667266781442</v>
      </c>
      <c r="M81" s="10">
        <f t="shared" si="25"/>
        <v>94.613071811921174</v>
      </c>
      <c r="N81" s="10">
        <f t="shared" si="26"/>
        <v>96.382998361320361</v>
      </c>
      <c r="O81" s="11">
        <f t="shared" si="27"/>
        <v>-3098.5306448926481</v>
      </c>
      <c r="P81" s="11">
        <f t="shared" si="28"/>
        <v>-2072.6666402289879</v>
      </c>
      <c r="Q81" s="11">
        <f t="shared" si="29"/>
        <v>-3593.9834128691359</v>
      </c>
      <c r="R81" s="11">
        <f t="shared" si="30"/>
        <v>-3002.358706619134</v>
      </c>
      <c r="S81" s="27">
        <f t="shared" si="31"/>
        <v>-11767.539404609906</v>
      </c>
    </row>
    <row r="82" spans="1:19" x14ac:dyDescent="0.25">
      <c r="A82" s="6">
        <f t="shared" si="18"/>
        <v>77</v>
      </c>
      <c r="B82" s="24">
        <v>45283</v>
      </c>
      <c r="C82" s="31" cm="1">
        <f t="array" ref="C82" xml:space="preserve"> BonoM(100,C$2,C$1 - $B82,Portafolio!C82)</f>
        <v>89.920649821049523</v>
      </c>
      <c r="D82" s="31" cm="1">
        <f t="array" ref="D82" xml:space="preserve"> BonoM(100,D$2,D$1 - $B82,Portafolio!D82)</f>
        <v>96.502344375172214</v>
      </c>
      <c r="E82" s="31" cm="1">
        <f t="array" ref="E82" xml:space="preserve"> BonoM(100,E$2,E$1 - $B82,Portafolio!E82)</f>
        <v>91.307459429255488</v>
      </c>
      <c r="F82" s="31" cm="1">
        <f t="array" ref="F82" xml:space="preserve"> BonoM(100,F$2,F$1 - $B82,Portafolio!F82)</f>
        <v>92.618160722886302</v>
      </c>
      <c r="G82" s="5">
        <f t="shared" si="19"/>
        <v>-9.6385262652607384E-3</v>
      </c>
      <c r="H82" s="5">
        <f t="shared" si="20"/>
        <v>-1.3322005615662991E-2</v>
      </c>
      <c r="I82" s="5">
        <f t="shared" si="21"/>
        <v>-2.0126733752461545E-2</v>
      </c>
      <c r="J82" s="5">
        <f t="shared" si="22"/>
        <v>-2.7003137064021021E-2</v>
      </c>
      <c r="K82" s="10">
        <f t="shared" si="23"/>
        <v>88.690476270327437</v>
      </c>
      <c r="L82" s="10">
        <f t="shared" si="24"/>
        <v>96.901536807107831</v>
      </c>
      <c r="M82" s="10">
        <f t="shared" si="25"/>
        <v>90.947995573256335</v>
      </c>
      <c r="N82" s="10">
        <f t="shared" si="26"/>
        <v>90.859069442979376</v>
      </c>
      <c r="O82" s="11">
        <f t="shared" si="27"/>
        <v>2848.4449116289866</v>
      </c>
      <c r="P82" s="11">
        <f t="shared" si="28"/>
        <v>1962.5290492814288</v>
      </c>
      <c r="Q82" s="11">
        <f t="shared" si="29"/>
        <v>3736.1690644605405</v>
      </c>
      <c r="R82" s="11">
        <f t="shared" si="30"/>
        <v>2521.5702117218511</v>
      </c>
      <c r="S82" s="27">
        <f t="shared" si="31"/>
        <v>11068.713237092807</v>
      </c>
    </row>
    <row r="83" spans="1:19" x14ac:dyDescent="0.25">
      <c r="A83" s="6">
        <f t="shared" si="18"/>
        <v>78</v>
      </c>
      <c r="B83" s="24">
        <v>45282</v>
      </c>
      <c r="C83" s="31" cm="1">
        <f t="array" ref="C83" xml:space="preserve"> BonoM(100,C$2,C$1 - $B83,Portafolio!C83)</f>
        <v>90.795787402705528</v>
      </c>
      <c r="D83" s="31" cm="1">
        <f t="array" ref="D83" xml:space="preserve"> BonoM(100,D$2,D$1 - $B83,Portafolio!D83)</f>
        <v>97.805307227295899</v>
      </c>
      <c r="E83" s="31" cm="1">
        <f t="array" ref="E83" xml:space="preserve"> BonoM(100,E$2,E$1 - $B83,Portafolio!E83)</f>
        <v>93.182927399296076</v>
      </c>
      <c r="F83" s="31" cm="1">
        <f t="array" ref="F83" xml:space="preserve"> BonoM(100,F$2,F$1 - $B83,Portafolio!F83)</f>
        <v>95.188550190608751</v>
      </c>
      <c r="G83" s="5">
        <f t="shared" si="19"/>
        <v>-2.5391706408917081E-5</v>
      </c>
      <c r="H83" s="5">
        <f t="shared" si="20"/>
        <v>-6.1172799438358183E-4</v>
      </c>
      <c r="I83" s="5">
        <f t="shared" si="21"/>
        <v>1.2937669369625926E-3</v>
      </c>
      <c r="J83" s="5">
        <f t="shared" si="22"/>
        <v>-5.723671633443006E-4</v>
      </c>
      <c r="K83" s="10">
        <f t="shared" si="23"/>
        <v>89.551367475293347</v>
      </c>
      <c r="L83" s="10">
        <f t="shared" si="24"/>
        <v>98.14981176789226</v>
      </c>
      <c r="M83" s="10">
        <f t="shared" si="25"/>
        <v>92.936162481145558</v>
      </c>
      <c r="N83" s="10">
        <f t="shared" si="26"/>
        <v>93.327191642870787</v>
      </c>
      <c r="O83" s="11">
        <f t="shared" si="27"/>
        <v>7.5039352414847826</v>
      </c>
      <c r="P83" s="11">
        <f t="shared" si="28"/>
        <v>90.116608104786167</v>
      </c>
      <c r="Q83" s="11">
        <f t="shared" si="29"/>
        <v>-240.16475131790571</v>
      </c>
      <c r="R83" s="11">
        <f t="shared" si="30"/>
        <v>53.448011830440123</v>
      </c>
      <c r="S83" s="27">
        <f t="shared" si="31"/>
        <v>-89.096196141194639</v>
      </c>
    </row>
    <row r="84" spans="1:19" x14ac:dyDescent="0.25">
      <c r="A84" s="6">
        <f t="shared" si="18"/>
        <v>79</v>
      </c>
      <c r="B84" s="24">
        <v>45281</v>
      </c>
      <c r="C84" s="31" cm="1">
        <f t="array" ref="C84" xml:space="preserve"> BonoM(100,C$2,C$1 - $B84,Portafolio!C84)</f>
        <v>90.798092921223471</v>
      </c>
      <c r="D84" s="31" cm="1">
        <f t="array" ref="D84" xml:space="preserve"> BonoM(100,D$2,D$1 - $B84,Portafolio!D84)</f>
        <v>97.865174093964399</v>
      </c>
      <c r="E84" s="31" cm="1">
        <f t="array" ref="E84" xml:space="preserve"> BonoM(100,E$2,E$1 - $B84,Portafolio!E84)</f>
        <v>93.062526179854373</v>
      </c>
      <c r="F84" s="31" cm="1">
        <f t="array" ref="F84" xml:space="preserve"> BonoM(100,F$2,F$1 - $B84,Portafolio!F84)</f>
        <v>95.243064193089168</v>
      </c>
      <c r="G84" s="5">
        <f t="shared" si="19"/>
        <v>-8.7165104672093374E-4</v>
      </c>
      <c r="H84" s="5">
        <f t="shared" si="20"/>
        <v>-1.4719165088512565E-3</v>
      </c>
      <c r="I84" s="5">
        <f t="shared" si="21"/>
        <v>-1.4051333869599114E-3</v>
      </c>
      <c r="J84" s="5">
        <f t="shared" si="22"/>
        <v>-3.8537067100331557E-3</v>
      </c>
      <c r="K84" s="10">
        <f t="shared" si="23"/>
        <v>89.475581869803818</v>
      </c>
      <c r="L84" s="10">
        <f t="shared" si="24"/>
        <v>98.065332748931525</v>
      </c>
      <c r="M84" s="10">
        <f t="shared" si="25"/>
        <v>92.685661132483645</v>
      </c>
      <c r="N84" s="10">
        <f t="shared" si="26"/>
        <v>93.020778057076711</v>
      </c>
      <c r="O84" s="11">
        <f t="shared" si="27"/>
        <v>257.59643335692886</v>
      </c>
      <c r="P84" s="11">
        <f t="shared" si="28"/>
        <v>216.83513654588893</v>
      </c>
      <c r="Q84" s="11">
        <f t="shared" si="29"/>
        <v>260.83794600592114</v>
      </c>
      <c r="R84" s="11">
        <f t="shared" si="30"/>
        <v>359.86159762451564</v>
      </c>
      <c r="S84" s="27">
        <f t="shared" si="31"/>
        <v>1095.1311135332544</v>
      </c>
    </row>
    <row r="85" spans="1:19" x14ac:dyDescent="0.25">
      <c r="A85" s="6">
        <f t="shared" si="18"/>
        <v>80</v>
      </c>
      <c r="B85" s="24">
        <v>45280</v>
      </c>
      <c r="C85" s="31" cm="1">
        <f t="array" ref="C85" xml:space="preserve"> BonoM(100,C$2,C$1 - $B85,Portafolio!C85)</f>
        <v>90.877306220313585</v>
      </c>
      <c r="D85" s="31" cm="1">
        <f t="array" ref="D85" xml:space="preserve"> BonoM(100,D$2,D$1 - $B85,Portafolio!D85)</f>
        <v>98.00943580054242</v>
      </c>
      <c r="E85" s="31" cm="1">
        <f t="array" ref="E85" xml:space="preserve"> BonoM(100,E$2,E$1 - $B85,Portafolio!E85)</f>
        <v>93.193475443647074</v>
      </c>
      <c r="F85" s="31" cm="1">
        <f t="array" ref="F85" xml:space="preserve"> BonoM(100,F$2,F$1 - $B85,Portafolio!F85)</f>
        <v>95.611522960679224</v>
      </c>
      <c r="G85" s="5">
        <f t="shared" si="19"/>
        <v>2.5161348603897071E-3</v>
      </c>
      <c r="H85" s="5">
        <f t="shared" si="20"/>
        <v>4.9876193455939966E-3</v>
      </c>
      <c r="I85" s="5">
        <f t="shared" si="21"/>
        <v>4.1127392397475315E-3</v>
      </c>
      <c r="J85" s="5">
        <f t="shared" si="22"/>
        <v>4.3663080386742159E-3</v>
      </c>
      <c r="K85" s="10">
        <f t="shared" si="23"/>
        <v>89.778970434052454</v>
      </c>
      <c r="L85" s="10">
        <f t="shared" si="24"/>
        <v>98.699723051460694</v>
      </c>
      <c r="M85" s="10">
        <f t="shared" si="25"/>
        <v>93.197808440215994</v>
      </c>
      <c r="N85" s="10">
        <f t="shared" si="26"/>
        <v>93.788368292282087</v>
      </c>
      <c r="O85" s="11">
        <f t="shared" si="27"/>
        <v>-743.58582866356778</v>
      </c>
      <c r="P85" s="11">
        <f t="shared" si="28"/>
        <v>-734.75031724786527</v>
      </c>
      <c r="Q85" s="11">
        <f t="shared" si="29"/>
        <v>-763.4566694587761</v>
      </c>
      <c r="R85" s="11">
        <f t="shared" si="30"/>
        <v>-407.72863758085975</v>
      </c>
      <c r="S85" s="27">
        <f t="shared" si="31"/>
        <v>-2649.521452951069</v>
      </c>
    </row>
    <row r="86" spans="1:19" x14ac:dyDescent="0.25">
      <c r="A86" s="6">
        <f t="shared" si="18"/>
        <v>81</v>
      </c>
      <c r="B86" s="24">
        <v>45279</v>
      </c>
      <c r="C86" s="31" cm="1">
        <f t="array" ref="C86" xml:space="preserve"> BonoM(100,C$2,C$1 - $B86,Portafolio!C86)</f>
        <v>90.649220556404458</v>
      </c>
      <c r="D86" s="31" cm="1">
        <f t="array" ref="D86" xml:space="preserve"> BonoM(100,D$2,D$1 - $B86,Portafolio!D86)</f>
        <v>97.523028059153688</v>
      </c>
      <c r="E86" s="31" cm="1">
        <f t="array" ref="E86" xml:space="preserve"> BonoM(100,E$2,E$1 - $B86,Portafolio!E86)</f>
        <v>92.811764856411898</v>
      </c>
      <c r="F86" s="31" cm="1">
        <f t="array" ref="F86" xml:space="preserve"> BonoM(100,F$2,F$1 - $B86,Portafolio!F86)</f>
        <v>95.19586847490865</v>
      </c>
      <c r="G86" s="5">
        <f t="shared" si="19"/>
        <v>-8.1595466420814056E-4</v>
      </c>
      <c r="H86" s="5">
        <f t="shared" si="20"/>
        <v>-4.0456705448227437E-3</v>
      </c>
      <c r="I86" s="5">
        <f t="shared" si="21"/>
        <v>-4.7043093775577249E-3</v>
      </c>
      <c r="J86" s="5">
        <f t="shared" si="22"/>
        <v>-4.6760742711887682E-3</v>
      </c>
      <c r="K86" s="10">
        <f t="shared" si="23"/>
        <v>89.480569683670367</v>
      </c>
      <c r="L86" s="10">
        <f t="shared" si="24"/>
        <v>97.812564649441526</v>
      </c>
      <c r="M86" s="10">
        <f t="shared" si="25"/>
        <v>92.379444549458213</v>
      </c>
      <c r="N86" s="10">
        <f t="shared" si="26"/>
        <v>92.943984848184726</v>
      </c>
      <c r="O86" s="11">
        <f t="shared" si="27"/>
        <v>241.13664759731677</v>
      </c>
      <c r="P86" s="11">
        <f t="shared" si="28"/>
        <v>595.98728578088617</v>
      </c>
      <c r="Q86" s="11">
        <f t="shared" si="29"/>
        <v>873.2711120567842</v>
      </c>
      <c r="R86" s="11">
        <f t="shared" si="30"/>
        <v>436.65480651650057</v>
      </c>
      <c r="S86" s="27">
        <f t="shared" si="31"/>
        <v>2147.0498519514877</v>
      </c>
    </row>
    <row r="87" spans="1:19" x14ac:dyDescent="0.25">
      <c r="A87" s="6">
        <f t="shared" si="18"/>
        <v>82</v>
      </c>
      <c r="B87" s="24">
        <v>45278</v>
      </c>
      <c r="C87" s="31" cm="1">
        <f t="array" ref="C87" xml:space="preserve"> BonoM(100,C$2,C$1 - $B87,Portafolio!C87)</f>
        <v>90.723246612630135</v>
      </c>
      <c r="D87" s="31" cm="1">
        <f t="array" ref="D87" xml:space="preserve"> BonoM(100,D$2,D$1 - $B87,Portafolio!D87)</f>
        <v>97.919176788460049</v>
      </c>
      <c r="E87" s="31" cm="1">
        <f t="array" ref="E87" xml:space="preserve"> BonoM(100,E$2,E$1 - $B87,Portafolio!E87)</f>
        <v>93.250443793611609</v>
      </c>
      <c r="F87" s="31" cm="1">
        <f t="array" ref="F87" xml:space="preserve"> BonoM(100,F$2,F$1 - $B87,Portafolio!F87)</f>
        <v>95.64310272678604</v>
      </c>
      <c r="G87" s="5">
        <f t="shared" si="19"/>
        <v>9.2635127445375165E-3</v>
      </c>
      <c r="H87" s="5">
        <f t="shared" si="20"/>
        <v>1.4971720066378147E-2</v>
      </c>
      <c r="I87" s="5">
        <f t="shared" si="21"/>
        <v>1.8907703341627613E-2</v>
      </c>
      <c r="J87" s="5">
        <f t="shared" si="22"/>
        <v>2.8736074485679497E-2</v>
      </c>
      <c r="K87" s="10">
        <f t="shared" si="23"/>
        <v>90.383222693446413</v>
      </c>
      <c r="L87" s="10">
        <f t="shared" si="24"/>
        <v>99.680260480071965</v>
      </c>
      <c r="M87" s="10">
        <f t="shared" si="25"/>
        <v>94.571019013453892</v>
      </c>
      <c r="N87" s="10">
        <f t="shared" si="26"/>
        <v>96.06403267133912</v>
      </c>
      <c r="O87" s="11">
        <f t="shared" si="27"/>
        <v>-2737.6182846636339</v>
      </c>
      <c r="P87" s="11">
        <f t="shared" si="28"/>
        <v>-2205.5564601647716</v>
      </c>
      <c r="Q87" s="11">
        <f t="shared" si="29"/>
        <v>-3509.8778159345729</v>
      </c>
      <c r="R87" s="11">
        <f t="shared" si="30"/>
        <v>-2683.3930166378932</v>
      </c>
      <c r="S87" s="27">
        <f t="shared" si="31"/>
        <v>-11136.445577400871</v>
      </c>
    </row>
    <row r="88" spans="1:19" x14ac:dyDescent="0.25">
      <c r="A88" s="6">
        <f t="shared" si="18"/>
        <v>83</v>
      </c>
      <c r="B88" s="24">
        <v>45276</v>
      </c>
      <c r="C88" s="31" cm="1">
        <f t="array" ref="C88" xml:space="preserve"> BonoM(100,C$2,C$1 - $B88,Portafolio!C88)</f>
        <v>89.89054440888502</v>
      </c>
      <c r="D88" s="31" cm="1">
        <f t="array" ref="D88" xml:space="preserve"> BonoM(100,D$2,D$1 - $B88,Portafolio!D88)</f>
        <v>96.47478333884635</v>
      </c>
      <c r="E88" s="31" cm="1">
        <f t="array" ref="E88" xml:space="preserve"> BonoM(100,E$2,E$1 - $B88,Portafolio!E88)</f>
        <v>91.520010583672899</v>
      </c>
      <c r="F88" s="31" cm="1">
        <f t="array" ref="F88" xml:space="preserve"> BonoM(100,F$2,F$1 - $B88,Portafolio!F88)</f>
        <v>92.971467705750641</v>
      </c>
      <c r="G88" s="5">
        <f t="shared" si="19"/>
        <v>-9.3155677082330524E-3</v>
      </c>
      <c r="H88" s="5">
        <f t="shared" si="20"/>
        <v>-1.5724071221468905E-2</v>
      </c>
      <c r="I88" s="5">
        <f t="shared" si="21"/>
        <v>-1.8375841004213855E-2</v>
      </c>
      <c r="J88" s="5">
        <f t="shared" si="22"/>
        <v>-2.5610812975296993E-2</v>
      </c>
      <c r="K88" s="10">
        <f t="shared" si="23"/>
        <v>88.719398385128954</v>
      </c>
      <c r="L88" s="10">
        <f t="shared" si="24"/>
        <v>96.665630209373958</v>
      </c>
      <c r="M88" s="10">
        <f t="shared" si="25"/>
        <v>91.110506574833806</v>
      </c>
      <c r="N88" s="10">
        <f t="shared" si="26"/>
        <v>90.989085556991071</v>
      </c>
      <c r="O88" s="11">
        <f t="shared" si="27"/>
        <v>2753.0019327839796</v>
      </c>
      <c r="P88" s="11">
        <f t="shared" si="28"/>
        <v>2316.3889458822382</v>
      </c>
      <c r="Q88" s="11">
        <f t="shared" si="29"/>
        <v>3411.1470613055985</v>
      </c>
      <c r="R88" s="11">
        <f t="shared" si="30"/>
        <v>2391.5540977101555</v>
      </c>
      <c r="S88" s="27">
        <f t="shared" si="31"/>
        <v>10872.092037681972</v>
      </c>
    </row>
    <row r="89" spans="1:19" x14ac:dyDescent="0.25">
      <c r="A89" s="6">
        <f t="shared" si="18"/>
        <v>84</v>
      </c>
      <c r="B89" s="24">
        <v>45275</v>
      </c>
      <c r="C89" s="31" cm="1">
        <f t="array" ref="C89" xml:space="preserve"> BonoM(100,C$2,C$1 - $B89,Portafolio!C89)</f>
        <v>90.735799896380442</v>
      </c>
      <c r="D89" s="31" cm="1">
        <f t="array" ref="D89" xml:space="preserve"> BonoM(100,D$2,D$1 - $B89,Portafolio!D89)</f>
        <v>98.015993806299662</v>
      </c>
      <c r="E89" s="31" cm="1">
        <f t="array" ref="E89" xml:space="preserve"> BonoM(100,E$2,E$1 - $B89,Portafolio!E89)</f>
        <v>93.233249961267276</v>
      </c>
      <c r="F89" s="31" cm="1">
        <f t="array" ref="F89" xml:space="preserve"> BonoM(100,F$2,F$1 - $B89,Portafolio!F89)</f>
        <v>95.41512666990792</v>
      </c>
      <c r="G89" s="5">
        <f t="shared" si="19"/>
        <v>-4.5587751189978265E-3</v>
      </c>
      <c r="H89" s="5">
        <f t="shared" si="20"/>
        <v>-3.6358605298676405E-3</v>
      </c>
      <c r="I89" s="5">
        <f t="shared" si="21"/>
        <v>-4.1725197865095653E-3</v>
      </c>
      <c r="J89" s="5">
        <f t="shared" si="22"/>
        <v>-2.2236504768213816E-3</v>
      </c>
      <c r="K89" s="10">
        <f t="shared" si="23"/>
        <v>89.145386482856026</v>
      </c>
      <c r="L89" s="10">
        <f t="shared" si="24"/>
        <v>97.852812045728967</v>
      </c>
      <c r="M89" s="10">
        <f t="shared" si="25"/>
        <v>92.42880317474021</v>
      </c>
      <c r="N89" s="10">
        <f t="shared" si="26"/>
        <v>93.172993750807166</v>
      </c>
      <c r="O89" s="11">
        <f t="shared" si="27"/>
        <v>1347.2412102846447</v>
      </c>
      <c r="P89" s="11">
        <f t="shared" si="28"/>
        <v>535.61619134972466</v>
      </c>
      <c r="Q89" s="11">
        <f t="shared" si="29"/>
        <v>774.55386149279093</v>
      </c>
      <c r="R89" s="11">
        <f t="shared" si="30"/>
        <v>207.64590389406123</v>
      </c>
      <c r="S89" s="27">
        <f t="shared" si="31"/>
        <v>2865.0571670212212</v>
      </c>
    </row>
    <row r="90" spans="1:19" x14ac:dyDescent="0.25">
      <c r="A90" s="6">
        <f t="shared" si="18"/>
        <v>85</v>
      </c>
      <c r="B90" s="24">
        <v>45274</v>
      </c>
      <c r="C90" s="31" cm="1">
        <f t="array" ref="C90" xml:space="preserve"> BonoM(100,C$2,C$1 - $B90,Portafolio!C90)</f>
        <v>91.151338349712461</v>
      </c>
      <c r="D90" s="31" cm="1">
        <f t="array" ref="D90" xml:space="preserve"> BonoM(100,D$2,D$1 - $B90,Portafolio!D90)</f>
        <v>98.373666738372066</v>
      </c>
      <c r="E90" s="31" cm="1">
        <f t="array" ref="E90" xml:space="preserve"> BonoM(100,E$2,E$1 - $B90,Portafolio!E90)</f>
        <v>93.623897526185431</v>
      </c>
      <c r="F90" s="31" cm="1">
        <f t="array" ref="F90" xml:space="preserve"> BonoM(100,F$2,F$1 - $B90,Portafolio!F90)</f>
        <v>95.627769404942583</v>
      </c>
      <c r="G90" s="5">
        <f t="shared" si="19"/>
        <v>6.5201148185825009E-3</v>
      </c>
      <c r="H90" s="5">
        <f t="shared" si="20"/>
        <v>7.6148489364689098E-3</v>
      </c>
      <c r="I90" s="5">
        <f t="shared" si="21"/>
        <v>8.0223171999909137E-3</v>
      </c>
      <c r="J90" s="5">
        <f t="shared" si="22"/>
        <v>2.0994203843085923E-2</v>
      </c>
      <c r="K90" s="10">
        <f t="shared" si="23"/>
        <v>90.137541419381463</v>
      </c>
      <c r="L90" s="10">
        <f t="shared" si="24"/>
        <v>98.957742979289065</v>
      </c>
      <c r="M90" s="10">
        <f t="shared" si="25"/>
        <v>93.560680141352591</v>
      </c>
      <c r="N90" s="10">
        <f t="shared" si="26"/>
        <v>95.341091838609771</v>
      </c>
      <c r="O90" s="11">
        <f t="shared" si="27"/>
        <v>-1926.8700802493001</v>
      </c>
      <c r="P90" s="11">
        <f t="shared" si="28"/>
        <v>-1121.7802089904226</v>
      </c>
      <c r="Q90" s="11">
        <f t="shared" si="29"/>
        <v>-1489.2000717319718</v>
      </c>
      <c r="R90" s="11">
        <f t="shared" si="30"/>
        <v>-1960.4521839085437</v>
      </c>
      <c r="S90" s="27">
        <f t="shared" si="31"/>
        <v>-6498.3025448802382</v>
      </c>
    </row>
    <row r="91" spans="1:19" x14ac:dyDescent="0.25">
      <c r="A91" s="6">
        <f t="shared" si="18"/>
        <v>86</v>
      </c>
      <c r="B91" s="24">
        <v>45273</v>
      </c>
      <c r="C91" s="31" cm="1">
        <f t="array" ref="C91" xml:space="preserve"> BonoM(100,C$2,C$1 - $B91,Portafolio!C91)</f>
        <v>90.560871072250535</v>
      </c>
      <c r="D91" s="31" cm="1">
        <f t="array" ref="D91" xml:space="preserve"> BonoM(100,D$2,D$1 - $B91,Portafolio!D91)</f>
        <v>97.630227305805235</v>
      </c>
      <c r="E91" s="31" cm="1">
        <f t="array" ref="E91" xml:space="preserve"> BonoM(100,E$2,E$1 - $B91,Portafolio!E91)</f>
        <v>92.878794376544064</v>
      </c>
      <c r="F91" s="31" cm="1">
        <f t="array" ref="F91" xml:space="preserve"> BonoM(100,F$2,F$1 - $B91,Portafolio!F91)</f>
        <v>93.661422410620645</v>
      </c>
      <c r="G91" s="5">
        <f t="shared" si="19"/>
        <v>1.6466806569219283E-2</v>
      </c>
      <c r="H91" s="5">
        <f t="shared" si="20"/>
        <v>2.6287027129969998E-2</v>
      </c>
      <c r="I91" s="5">
        <f t="shared" si="21"/>
        <v>3.4637288836375735E-2</v>
      </c>
      <c r="J91" s="5">
        <f t="shared" si="22"/>
        <v>3.8096275816685177E-2</v>
      </c>
      <c r="K91" s="10">
        <f t="shared" si="23"/>
        <v>91.028303885485229</v>
      </c>
      <c r="L91" s="10">
        <f t="shared" si="24"/>
        <v>100.7915355365209</v>
      </c>
      <c r="M91" s="10">
        <f t="shared" si="25"/>
        <v>96.030977480760527</v>
      </c>
      <c r="N91" s="10">
        <f t="shared" si="26"/>
        <v>96.938094258925219</v>
      </c>
      <c r="O91" s="11">
        <f t="shared" si="27"/>
        <v>-4866.3862183917272</v>
      </c>
      <c r="P91" s="11">
        <f t="shared" si="28"/>
        <v>-3872.4690448381693</v>
      </c>
      <c r="Q91" s="11">
        <f t="shared" si="29"/>
        <v>-6429.7947505478423</v>
      </c>
      <c r="R91" s="11">
        <f t="shared" si="30"/>
        <v>-3557.4546042239917</v>
      </c>
      <c r="S91" s="27">
        <f t="shared" si="31"/>
        <v>-18726.104618001729</v>
      </c>
    </row>
    <row r="92" spans="1:19" x14ac:dyDescent="0.25">
      <c r="A92" s="6">
        <f t="shared" si="18"/>
        <v>87</v>
      </c>
      <c r="B92" s="24">
        <v>45272</v>
      </c>
      <c r="C92" s="31" cm="1">
        <f t="array" ref="C92" xml:space="preserve"> BonoM(100,C$2,C$1 - $B92,Portafolio!C92)</f>
        <v>89.093781013776308</v>
      </c>
      <c r="D92" s="31" cm="1">
        <f t="array" ref="D92" xml:space="preserve"> BonoM(100,D$2,D$1 - $B92,Portafolio!D92)</f>
        <v>95.129554135386385</v>
      </c>
      <c r="E92" s="31" cm="1">
        <f t="array" ref="E92" xml:space="preserve"> BonoM(100,E$2,E$1 - $B92,Portafolio!E92)</f>
        <v>89.769424878357086</v>
      </c>
      <c r="F92" s="31" cm="1">
        <f t="array" ref="F92" xml:space="preserve"> BonoM(100,F$2,F$1 - $B92,Portafolio!F92)</f>
        <v>90.224215800153857</v>
      </c>
      <c r="G92" s="5">
        <f t="shared" si="19"/>
        <v>-1.0366559005044462E-2</v>
      </c>
      <c r="H92" s="5">
        <f t="shared" si="20"/>
        <v>-1.4982661974259126E-2</v>
      </c>
      <c r="I92" s="5">
        <f t="shared" si="21"/>
        <v>-1.9555613997806254E-2</v>
      </c>
      <c r="J92" s="5">
        <f t="shared" si="22"/>
        <v>-2.751797455574434E-2</v>
      </c>
      <c r="K92" s="10">
        <f t="shared" si="23"/>
        <v>88.625278287424976</v>
      </c>
      <c r="L92" s="10">
        <f t="shared" si="24"/>
        <v>96.738443929621624</v>
      </c>
      <c r="M92" s="10">
        <f t="shared" si="25"/>
        <v>91.001004670154245</v>
      </c>
      <c r="N92" s="10">
        <f t="shared" si="26"/>
        <v>90.810993588684028</v>
      </c>
      <c r="O92" s="11">
        <f t="shared" si="27"/>
        <v>3063.5982552071082</v>
      </c>
      <c r="P92" s="11">
        <f t="shared" si="28"/>
        <v>2207.168365510739</v>
      </c>
      <c r="Q92" s="11">
        <f t="shared" si="29"/>
        <v>3630.150870664721</v>
      </c>
      <c r="R92" s="11">
        <f t="shared" si="30"/>
        <v>2569.6460660171992</v>
      </c>
      <c r="S92" s="27">
        <f t="shared" si="31"/>
        <v>11470.563557399768</v>
      </c>
    </row>
    <row r="93" spans="1:19" x14ac:dyDescent="0.25">
      <c r="A93" s="6">
        <f t="shared" si="18"/>
        <v>88</v>
      </c>
      <c r="B93" s="24">
        <v>45271</v>
      </c>
      <c r="C93" s="31" cm="1">
        <f t="array" ref="C93" xml:space="preserve"> BonoM(100,C$2,C$1 - $B93,Portafolio!C93)</f>
        <v>90.027051757874503</v>
      </c>
      <c r="D93" s="31" cm="1">
        <f t="array" ref="D93" xml:space="preserve"> BonoM(100,D$2,D$1 - $B93,Portafolio!D93)</f>
        <v>96.576527603111515</v>
      </c>
      <c r="E93" s="31" cm="1">
        <f t="array" ref="E93" xml:space="preserve"> BonoM(100,E$2,E$1 - $B93,Portafolio!E93)</f>
        <v>91.559935637344992</v>
      </c>
      <c r="F93" s="31" cm="1">
        <f t="array" ref="F93" xml:space="preserve"> BonoM(100,F$2,F$1 - $B93,Portafolio!F93)</f>
        <v>92.777258025861229</v>
      </c>
      <c r="G93" s="5">
        <f t="shared" si="19"/>
        <v>8.7756709900224106E-3</v>
      </c>
      <c r="H93" s="5">
        <f t="shared" si="20"/>
        <v>1.0300541584242984E-2</v>
      </c>
      <c r="I93" s="5">
        <f t="shared" si="21"/>
        <v>1.4714216025963678E-2</v>
      </c>
      <c r="J93" s="5">
        <f t="shared" si="22"/>
        <v>1.5333252911624129E-2</v>
      </c>
      <c r="K93" s="10">
        <f t="shared" si="23"/>
        <v>90.339534687905029</v>
      </c>
      <c r="L93" s="10">
        <f t="shared" si="24"/>
        <v>99.221504557475726</v>
      </c>
      <c r="M93" s="10">
        <f t="shared" si="25"/>
        <v>94.181795958841889</v>
      </c>
      <c r="N93" s="10">
        <f t="shared" si="26"/>
        <v>94.812468619575995</v>
      </c>
      <c r="O93" s="11">
        <f t="shared" si="27"/>
        <v>-2593.4478663770678</v>
      </c>
      <c r="P93" s="11">
        <f t="shared" si="28"/>
        <v>-1517.4225762704125</v>
      </c>
      <c r="Q93" s="11">
        <f t="shared" si="29"/>
        <v>-2731.4317067105662</v>
      </c>
      <c r="R93" s="11">
        <f t="shared" si="30"/>
        <v>-1431.828964874768</v>
      </c>
      <c r="S93" s="27">
        <f t="shared" si="31"/>
        <v>-8274.1311142328159</v>
      </c>
    </row>
    <row r="94" spans="1:19" x14ac:dyDescent="0.25">
      <c r="A94" s="6">
        <f t="shared" si="18"/>
        <v>89</v>
      </c>
      <c r="B94" s="24">
        <v>45269</v>
      </c>
      <c r="C94" s="31" cm="1">
        <f t="array" ref="C94" xml:space="preserve"> BonoM(100,C$2,C$1 - $B94,Portafolio!C94)</f>
        <v>89.243876856705967</v>
      </c>
      <c r="D94" s="31" cm="1">
        <f t="array" ref="D94" xml:space="preserve"> BonoM(100,D$2,D$1 - $B94,Portafolio!D94)</f>
        <v>95.591879473479011</v>
      </c>
      <c r="E94" s="31" cm="1">
        <f t="array" ref="E94" xml:space="preserve"> BonoM(100,E$2,E$1 - $B94,Portafolio!E94)</f>
        <v>90.232238980479835</v>
      </c>
      <c r="F94" s="31" cm="1">
        <f t="array" ref="F94" xml:space="preserve"> BonoM(100,F$2,F$1 - $B94,Portafolio!F94)</f>
        <v>91.376164190238214</v>
      </c>
      <c r="G94" s="5">
        <f t="shared" si="19"/>
        <v>-1.0743022887491405E-2</v>
      </c>
      <c r="H94" s="5">
        <f t="shared" si="20"/>
        <v>-1.3714092208536255E-2</v>
      </c>
      <c r="I94" s="5">
        <f t="shared" si="21"/>
        <v>-1.9726636946726606E-2</v>
      </c>
      <c r="J94" s="5">
        <f t="shared" si="22"/>
        <v>-2.7160746575424111E-2</v>
      </c>
      <c r="K94" s="10">
        <f t="shared" si="23"/>
        <v>88.591564575898133</v>
      </c>
      <c r="L94" s="10">
        <f t="shared" si="24"/>
        <v>96.863030026144713</v>
      </c>
      <c r="M94" s="10">
        <f t="shared" si="25"/>
        <v>90.985130990427379</v>
      </c>
      <c r="N94" s="10">
        <f t="shared" si="26"/>
        <v>90.84435176598889</v>
      </c>
      <c r="O94" s="11">
        <f t="shared" si="27"/>
        <v>3174.8535032456912</v>
      </c>
      <c r="P94" s="11">
        <f t="shared" si="28"/>
        <v>2020.2892207261059</v>
      </c>
      <c r="Q94" s="11">
        <f t="shared" si="29"/>
        <v>3661.8982301184533</v>
      </c>
      <c r="R94" s="11">
        <f t="shared" si="30"/>
        <v>2536.287888712337</v>
      </c>
      <c r="S94" s="27">
        <f t="shared" si="31"/>
        <v>11393.328842802588</v>
      </c>
    </row>
    <row r="95" spans="1:19" x14ac:dyDescent="0.25">
      <c r="A95" s="6">
        <f t="shared" si="18"/>
        <v>90</v>
      </c>
      <c r="B95" s="24">
        <v>45268</v>
      </c>
      <c r="C95" s="31" cm="1">
        <f t="array" ref="C95" xml:space="preserve"> BonoM(100,C$2,C$1 - $B95,Portafolio!C95)</f>
        <v>90.2130375842234</v>
      </c>
      <c r="D95" s="31" cm="1">
        <f t="array" ref="D95" xml:space="preserve"> BonoM(100,D$2,D$1 - $B95,Portafolio!D95)</f>
        <v>96.92106388048542</v>
      </c>
      <c r="E95" s="31" cm="1">
        <f t="array" ref="E95" xml:space="preserve"> BonoM(100,E$2,E$1 - $B95,Portafolio!E95)</f>
        <v>92.048037191821692</v>
      </c>
      <c r="F95" s="31" cm="1">
        <f t="array" ref="F95" xml:space="preserve"> BonoM(100,F$2,F$1 - $B95,Portafolio!F95)</f>
        <v>93.927299775967143</v>
      </c>
      <c r="G95" s="5">
        <f t="shared" si="19"/>
        <v>-1.7365325802239928E-3</v>
      </c>
      <c r="H95" s="5">
        <f t="shared" si="20"/>
        <v>-4.931208296928169E-3</v>
      </c>
      <c r="I95" s="5">
        <f t="shared" si="21"/>
        <v>-5.2717809268323368E-3</v>
      </c>
      <c r="J95" s="5">
        <f t="shared" si="22"/>
        <v>-5.9757861584827099E-3</v>
      </c>
      <c r="K95" s="10">
        <f t="shared" si="23"/>
        <v>89.398128579103272</v>
      </c>
      <c r="L95" s="10">
        <f t="shared" si="24"/>
        <v>97.725596084653304</v>
      </c>
      <c r="M95" s="10">
        <f t="shared" si="25"/>
        <v>92.326774064683164</v>
      </c>
      <c r="N95" s="10">
        <f t="shared" si="26"/>
        <v>92.822616920782409</v>
      </c>
      <c r="O95" s="11">
        <f t="shared" si="27"/>
        <v>513.19229266873231</v>
      </c>
      <c r="P95" s="11">
        <f t="shared" si="28"/>
        <v>726.4401329632193</v>
      </c>
      <c r="Q95" s="11">
        <f t="shared" si="29"/>
        <v>978.61208160688307</v>
      </c>
      <c r="R95" s="11">
        <f t="shared" si="30"/>
        <v>558.0227339188184</v>
      </c>
      <c r="S95" s="27">
        <f t="shared" si="31"/>
        <v>2776.2672411576532</v>
      </c>
    </row>
    <row r="96" spans="1:19" x14ac:dyDescent="0.25">
      <c r="A96" s="6">
        <f t="shared" si="18"/>
        <v>91</v>
      </c>
      <c r="B96" s="24">
        <v>45267</v>
      </c>
      <c r="C96" s="31" cm="1">
        <f t="array" ref="C96" xml:space="preserve"> BonoM(100,C$2,C$1 - $B96,Portafolio!C96)</f>
        <v>90.369967977890809</v>
      </c>
      <c r="D96" s="31" cm="1">
        <f t="array" ref="D96" xml:space="preserve"> BonoM(100,D$2,D$1 - $B96,Portafolio!D96)</f>
        <v>97.401370325969012</v>
      </c>
      <c r="E96" s="31" cm="1">
        <f t="array" ref="E96" xml:space="preserve"> BonoM(100,E$2,E$1 - $B96,Portafolio!E96)</f>
        <v>92.535866005276219</v>
      </c>
      <c r="F96" s="31" cm="1">
        <f t="array" ref="F96" xml:space="preserve"> BonoM(100,F$2,F$1 - $B96,Portafolio!F96)</f>
        <v>94.49196354380004</v>
      </c>
      <c r="G96" s="5">
        <f t="shared" si="19"/>
        <v>-1.9988252987956923E-4</v>
      </c>
      <c r="H96" s="5">
        <f t="shared" si="20"/>
        <v>-3.9629788612262407E-2</v>
      </c>
      <c r="I96" s="5">
        <f t="shared" si="21"/>
        <v>-3.7317610665588252E-2</v>
      </c>
      <c r="J96" s="5">
        <f t="shared" si="22"/>
        <v>-4.2054864849029761E-2</v>
      </c>
      <c r="K96" s="10">
        <f t="shared" si="23"/>
        <v>89.535741186661525</v>
      </c>
      <c r="L96" s="10">
        <f t="shared" si="24"/>
        <v>94.317852345847442</v>
      </c>
      <c r="M96" s="10">
        <f t="shared" si="25"/>
        <v>89.352405764604001</v>
      </c>
      <c r="N96" s="10">
        <f t="shared" si="26"/>
        <v>89.453529474506823</v>
      </c>
      <c r="O96" s="11">
        <f t="shared" si="27"/>
        <v>59.070687726496374</v>
      </c>
      <c r="P96" s="11">
        <f t="shared" si="28"/>
        <v>5838.0557411720129</v>
      </c>
      <c r="Q96" s="11">
        <f t="shared" si="29"/>
        <v>6927.3486817652101</v>
      </c>
      <c r="R96" s="11">
        <f t="shared" si="30"/>
        <v>3927.1101801944042</v>
      </c>
      <c r="S96" s="27">
        <f t="shared" si="31"/>
        <v>16751.585290858122</v>
      </c>
    </row>
    <row r="97" spans="1:19" x14ac:dyDescent="0.25">
      <c r="A97" s="6">
        <f t="shared" si="18"/>
        <v>92</v>
      </c>
      <c r="B97" s="24">
        <v>45266</v>
      </c>
      <c r="C97" s="31" cm="1">
        <f t="array" ref="C97" xml:space="preserve"> BonoM(100,C$2,C$1 - $B97,Portafolio!C97)</f>
        <v>90.388034966990858</v>
      </c>
      <c r="D97" s="31" cm="1">
        <f t="array" ref="D97" xml:space="preserve"> BonoM(100,D$2,D$1 - $B97,Portafolio!D97)</f>
        <v>101.42064921528934</v>
      </c>
      <c r="E97" s="31" cm="1">
        <f t="array" ref="E97" xml:space="preserve"> BonoM(100,E$2,E$1 - $B97,Portafolio!E97)</f>
        <v>96.122944628970018</v>
      </c>
      <c r="F97" s="31" cm="1">
        <f t="array" ref="F97" xml:space="preserve"> BonoM(100,F$2,F$1 - $B97,Portafolio!F97)</f>
        <v>98.640266625403655</v>
      </c>
      <c r="G97" s="5">
        <f t="shared" si="19"/>
        <v>1.859234379756769E-3</v>
      </c>
      <c r="H97" s="5">
        <f t="shared" si="20"/>
        <v>1.4948342497955736E-3</v>
      </c>
      <c r="I97" s="5">
        <f t="shared" si="21"/>
        <v>3.443205331605137E-3</v>
      </c>
      <c r="J97" s="5">
        <f t="shared" si="22"/>
        <v>7.3474863791327394E-3</v>
      </c>
      <c r="K97" s="10">
        <f t="shared" si="23"/>
        <v>89.720142603977607</v>
      </c>
      <c r="L97" s="10">
        <f t="shared" si="24"/>
        <v>98.356697013131935</v>
      </c>
      <c r="M97" s="10">
        <f t="shared" si="25"/>
        <v>93.135664927364502</v>
      </c>
      <c r="N97" s="10">
        <f t="shared" si="26"/>
        <v>94.066752632638853</v>
      </c>
      <c r="O97" s="11">
        <f t="shared" si="27"/>
        <v>-549.45398941657254</v>
      </c>
      <c r="P97" s="11">
        <f t="shared" si="28"/>
        <v>-220.211259754727</v>
      </c>
      <c r="Q97" s="11">
        <f t="shared" si="29"/>
        <v>-639.16964375579255</v>
      </c>
      <c r="R97" s="11">
        <f t="shared" si="30"/>
        <v>-686.1129779376256</v>
      </c>
      <c r="S97" s="27">
        <f t="shared" si="31"/>
        <v>-2094.9478708647175</v>
      </c>
    </row>
    <row r="98" spans="1:19" x14ac:dyDescent="0.25">
      <c r="A98" s="6">
        <f t="shared" si="18"/>
        <v>93</v>
      </c>
      <c r="B98" s="24">
        <v>45265</v>
      </c>
      <c r="C98" s="31" cm="1">
        <f t="array" ref="C98" xml:space="preserve"> BonoM(100,C$2,C$1 - $B98,Portafolio!C98)</f>
        <v>90.220294294087509</v>
      </c>
      <c r="D98" s="31" cm="1">
        <f t="array" ref="D98" xml:space="preserve"> BonoM(100,D$2,D$1 - $B98,Portafolio!D98)</f>
        <v>101.26926844436697</v>
      </c>
      <c r="E98" s="31" cm="1">
        <f t="array" ref="E98" xml:space="preserve"> BonoM(100,E$2,E$1 - $B98,Portafolio!E98)</f>
        <v>95.793109284351104</v>
      </c>
      <c r="F98" s="31" cm="1">
        <f t="array" ref="F98" xml:space="preserve"> BonoM(100,F$2,F$1 - $B98,Portafolio!F98)</f>
        <v>97.92079491850609</v>
      </c>
      <c r="G98" s="5">
        <f t="shared" si="19"/>
        <v>1.4032934384313744E-3</v>
      </c>
      <c r="H98" s="5">
        <f t="shared" si="20"/>
        <v>3.575465796686883E-3</v>
      </c>
      <c r="I98" s="5">
        <f t="shared" si="21"/>
        <v>5.5748729655427098E-3</v>
      </c>
      <c r="J98" s="5">
        <f t="shared" si="22"/>
        <v>8.901783336985325E-3</v>
      </c>
      <c r="K98" s="10">
        <f t="shared" si="23"/>
        <v>89.679311432420818</v>
      </c>
      <c r="L98" s="10">
        <f t="shared" si="24"/>
        <v>98.561035607456134</v>
      </c>
      <c r="M98" s="10">
        <f t="shared" si="25"/>
        <v>93.333517961234335</v>
      </c>
      <c r="N98" s="10">
        <f t="shared" si="26"/>
        <v>94.211893876776472</v>
      </c>
      <c r="O98" s="11">
        <f t="shared" si="27"/>
        <v>-414.7111232791687</v>
      </c>
      <c r="P98" s="11">
        <f t="shared" si="28"/>
        <v>-526.71915124102497</v>
      </c>
      <c r="Q98" s="11">
        <f t="shared" si="29"/>
        <v>-1034.8757114954594</v>
      </c>
      <c r="R98" s="11">
        <f t="shared" si="30"/>
        <v>-831.2542220752448</v>
      </c>
      <c r="S98" s="27">
        <f t="shared" si="31"/>
        <v>-2807.560208090898</v>
      </c>
    </row>
    <row r="99" spans="1:19" x14ac:dyDescent="0.25">
      <c r="A99" s="6">
        <f t="shared" si="18"/>
        <v>94</v>
      </c>
      <c r="B99" s="24">
        <v>45264</v>
      </c>
      <c r="C99" s="31" cm="1">
        <f t="array" ref="C99" xml:space="preserve"> BonoM(100,C$2,C$1 - $B99,Portafolio!C99)</f>
        <v>90.093866162858262</v>
      </c>
      <c r="D99" s="31" cm="1">
        <f t="array" ref="D99" xml:space="preserve"> BonoM(100,D$2,D$1 - $B99,Portafolio!D99)</f>
        <v>100.9084736482418</v>
      </c>
      <c r="E99" s="31" cm="1">
        <f t="array" ref="E99" xml:space="preserve"> BonoM(100,E$2,E$1 - $B99,Portafolio!E99)</f>
        <v>95.262035537788918</v>
      </c>
      <c r="F99" s="31" cm="1">
        <f t="array" ref="F99" xml:space="preserve"> BonoM(100,F$2,F$1 - $B99,Portafolio!F99)</f>
        <v>97.05681616958681</v>
      </c>
      <c r="G99" s="5">
        <f t="shared" si="19"/>
        <v>9.6956608500622377E-3</v>
      </c>
      <c r="H99" s="5">
        <f t="shared" si="20"/>
        <v>1.0342287789425697E-2</v>
      </c>
      <c r="I99" s="5">
        <f t="shared" si="21"/>
        <v>1.3150327199822787E-2</v>
      </c>
      <c r="J99" s="5">
        <f t="shared" si="22"/>
        <v>2.3072390093117345E-2</v>
      </c>
      <c r="K99" s="10">
        <f t="shared" si="23"/>
        <v>90.421923129918127</v>
      </c>
      <c r="L99" s="10">
        <f t="shared" si="24"/>
        <v>99.225604447674044</v>
      </c>
      <c r="M99" s="10">
        <f t="shared" si="25"/>
        <v>94.036641928278712</v>
      </c>
      <c r="N99" s="10">
        <f t="shared" si="26"/>
        <v>95.535154199959322</v>
      </c>
      <c r="O99" s="11">
        <f t="shared" si="27"/>
        <v>-2865.3297250202913</v>
      </c>
      <c r="P99" s="11">
        <f t="shared" si="28"/>
        <v>-1523.5724115678906</v>
      </c>
      <c r="Q99" s="11">
        <f t="shared" si="29"/>
        <v>-2441.1236455842127</v>
      </c>
      <c r="R99" s="11">
        <f t="shared" si="30"/>
        <v>-2154.5145452580955</v>
      </c>
      <c r="S99" s="27">
        <f t="shared" si="31"/>
        <v>-8984.5403274304899</v>
      </c>
    </row>
    <row r="100" spans="1:19" x14ac:dyDescent="0.25">
      <c r="A100" s="6">
        <f t="shared" si="18"/>
        <v>95</v>
      </c>
      <c r="B100" s="24">
        <v>45262</v>
      </c>
      <c r="C100" s="31" cm="1">
        <f t="array" ref="C100" xml:space="preserve"> BonoM(100,C$2,C$1 - $B100,Portafolio!C100)</f>
        <v>89.22873461396108</v>
      </c>
      <c r="D100" s="31" cm="1">
        <f t="array" ref="D100" xml:space="preserve"> BonoM(100,D$2,D$1 - $B100,Portafolio!D100)</f>
        <v>99.875532151607828</v>
      </c>
      <c r="E100" s="31" cm="1">
        <f t="array" ref="E100" xml:space="preserve"> BonoM(100,E$2,E$1 - $B100,Portafolio!E100)</f>
        <v>94.025568546256281</v>
      </c>
      <c r="F100" s="31" cm="1">
        <f t="array" ref="F100" xml:space="preserve"> BonoM(100,F$2,F$1 - $B100,Portafolio!F100)</f>
        <v>94.86798501204099</v>
      </c>
      <c r="G100" s="5">
        <f t="shared" si="19"/>
        <v>-9.684523942861345E-3</v>
      </c>
      <c r="H100" s="5">
        <f t="shared" si="20"/>
        <v>-1.3598180543256344E-2</v>
      </c>
      <c r="I100" s="5">
        <f t="shared" si="21"/>
        <v>-1.7464590884629594E-2</v>
      </c>
      <c r="J100" s="5">
        <f t="shared" si="22"/>
        <v>-2.5624267413591917E-2</v>
      </c>
      <c r="K100" s="10">
        <f t="shared" si="23"/>
        <v>88.686357010802581</v>
      </c>
      <c r="L100" s="10">
        <f t="shared" si="24"/>
        <v>96.874413697984394</v>
      </c>
      <c r="M100" s="10">
        <f t="shared" si="25"/>
        <v>91.195085238929281</v>
      </c>
      <c r="N100" s="10">
        <f t="shared" si="26"/>
        <v>90.987829172936898</v>
      </c>
      <c r="O100" s="11">
        <f t="shared" si="27"/>
        <v>2862.0384680610114</v>
      </c>
      <c r="P100" s="11">
        <f t="shared" si="28"/>
        <v>2003.2137129665841</v>
      </c>
      <c r="Q100" s="11">
        <f t="shared" si="29"/>
        <v>3241.9897331146503</v>
      </c>
      <c r="R100" s="11">
        <f t="shared" si="30"/>
        <v>2392.8104817643289</v>
      </c>
      <c r="S100" s="27">
        <f t="shared" si="31"/>
        <v>10500.052395906576</v>
      </c>
    </row>
    <row r="101" spans="1:19" x14ac:dyDescent="0.25">
      <c r="A101" s="6">
        <f t="shared" si="18"/>
        <v>96</v>
      </c>
      <c r="B101" s="24">
        <v>45261</v>
      </c>
      <c r="C101" s="31" cm="1">
        <f t="array" ref="C101" xml:space="preserve"> BonoM(100,C$2,C$1 - $B101,Portafolio!C101)</f>
        <v>90.101323034168971</v>
      </c>
      <c r="D101" s="31" cm="1">
        <f t="array" ref="D101" xml:space="preserve"> BonoM(100,D$2,D$1 - $B101,Portafolio!D101)</f>
        <v>101.25238029935288</v>
      </c>
      <c r="E101" s="31" cm="1">
        <f t="array" ref="E101" xml:space="preserve"> BonoM(100,E$2,E$1 - $B101,Portafolio!E101)</f>
        <v>95.696875322704727</v>
      </c>
      <c r="F101" s="31" cm="1">
        <f t="array" ref="F101" xml:space="preserve"> BonoM(100,F$2,F$1 - $B101,Portafolio!F101)</f>
        <v>97.362836367261494</v>
      </c>
      <c r="G101" s="5">
        <f t="shared" si="19"/>
        <v>3.7092877869346896E-3</v>
      </c>
      <c r="H101" s="5">
        <f t="shared" si="20"/>
        <v>5.2547570208085759E-3</v>
      </c>
      <c r="I101" s="5">
        <f t="shared" si="21"/>
        <v>6.6547093028324067E-3</v>
      </c>
      <c r="J101" s="5">
        <f t="shared" si="22"/>
        <v>8.894086350479391E-3</v>
      </c>
      <c r="K101" s="10">
        <f t="shared" si="23"/>
        <v>89.885821623365729</v>
      </c>
      <c r="L101" s="10">
        <f t="shared" si="24"/>
        <v>98.725958613026577</v>
      </c>
      <c r="M101" s="10">
        <f t="shared" si="25"/>
        <v>93.433744137217019</v>
      </c>
      <c r="N101" s="10">
        <f t="shared" si="26"/>
        <v>94.211175127253142</v>
      </c>
      <c r="O101" s="11">
        <f t="shared" si="27"/>
        <v>-1096.1947533973757</v>
      </c>
      <c r="P101" s="11">
        <f t="shared" si="28"/>
        <v>-774.10365959669036</v>
      </c>
      <c r="Q101" s="11">
        <f t="shared" si="29"/>
        <v>-1235.3280634608268</v>
      </c>
      <c r="R101" s="11">
        <f t="shared" si="30"/>
        <v>-830.53547255191518</v>
      </c>
      <c r="S101" s="27">
        <f t="shared" si="31"/>
        <v>-3936.1619490068078</v>
      </c>
    </row>
    <row r="102" spans="1:19" x14ac:dyDescent="0.25">
      <c r="A102" s="6">
        <f t="shared" si="18"/>
        <v>97</v>
      </c>
      <c r="B102" s="24">
        <v>45260</v>
      </c>
      <c r="C102" s="31" cm="1">
        <f t="array" ref="C102" xml:space="preserve"> BonoM(100,C$2,C$1 - $B102,Portafolio!C102)</f>
        <v>89.768346403202244</v>
      </c>
      <c r="D102" s="31" cm="1">
        <f t="array" ref="D102" xml:space="preserve"> BonoM(100,D$2,D$1 - $B102,Portafolio!D102)</f>
        <v>100.72310485694818</v>
      </c>
      <c r="E102" s="31" cm="1">
        <f t="array" ref="E102" xml:space="preserve"> BonoM(100,E$2,E$1 - $B102,Portafolio!E102)</f>
        <v>95.064250371391438</v>
      </c>
      <c r="F102" s="31" cm="1">
        <f t="array" ref="F102" xml:space="preserve"> BonoM(100,F$2,F$1 - $B102,Portafolio!F102)</f>
        <v>96.504516861087694</v>
      </c>
      <c r="G102" s="5">
        <f t="shared" si="19"/>
        <v>-4.6120153793273166E-3</v>
      </c>
      <c r="H102" s="5">
        <f t="shared" si="20"/>
        <v>-3.0721282955584739E-3</v>
      </c>
      <c r="I102" s="5">
        <f t="shared" si="21"/>
        <v>-6.6405985421885694E-3</v>
      </c>
      <c r="J102" s="5">
        <f t="shared" si="22"/>
        <v>-1.3747300513366922E-2</v>
      </c>
      <c r="K102" s="10">
        <f t="shared" si="23"/>
        <v>89.140618623674698</v>
      </c>
      <c r="L102" s="10">
        <f t="shared" si="24"/>
        <v>97.908176126171796</v>
      </c>
      <c r="M102" s="10">
        <f t="shared" si="25"/>
        <v>92.19972577924645</v>
      </c>
      <c r="N102" s="10">
        <f t="shared" si="26"/>
        <v>92.096907939237624</v>
      </c>
      <c r="O102" s="11">
        <f t="shared" si="27"/>
        <v>1362.9751455830274</v>
      </c>
      <c r="P102" s="11">
        <f t="shared" si="28"/>
        <v>452.57007068548205</v>
      </c>
      <c r="Q102" s="11">
        <f t="shared" si="29"/>
        <v>1232.7086524803121</v>
      </c>
      <c r="R102" s="11">
        <f t="shared" si="30"/>
        <v>1283.7317154636025</v>
      </c>
      <c r="S102" s="27">
        <f t="shared" si="31"/>
        <v>4331.9855842124234</v>
      </c>
    </row>
    <row r="103" spans="1:19" x14ac:dyDescent="0.25">
      <c r="A103" s="6">
        <f t="shared" si="18"/>
        <v>98</v>
      </c>
      <c r="B103" s="24">
        <v>45259</v>
      </c>
      <c r="C103" s="31" cm="1">
        <f t="array" ref="C103" xml:space="preserve"> BonoM(100,C$2,C$1 - $B103,Portafolio!C103)</f>
        <v>90.18427767883054</v>
      </c>
      <c r="D103" s="31" cm="1">
        <f t="array" ref="D103" xml:space="preserve"> BonoM(100,D$2,D$1 - $B103,Portafolio!D103)</f>
        <v>101.03349270869768</v>
      </c>
      <c r="E103" s="31" cm="1">
        <f t="array" ref="E103" xml:space="preserve"> BonoM(100,E$2,E$1 - $B103,Portafolio!E103)</f>
        <v>95.699754018413927</v>
      </c>
      <c r="F103" s="31" cm="1">
        <f t="array" ref="F103" xml:space="preserve"> BonoM(100,F$2,F$1 - $B103,Portafolio!F103)</f>
        <v>97.849685898269769</v>
      </c>
      <c r="G103" s="5">
        <f t="shared" si="19"/>
        <v>3.1384624780950166E-3</v>
      </c>
      <c r="H103" s="5">
        <f t="shared" si="20"/>
        <v>3.5879545417814018E-3</v>
      </c>
      <c r="I103" s="5">
        <f t="shared" si="21"/>
        <v>5.5915208756143198E-3</v>
      </c>
      <c r="J103" s="5">
        <f t="shared" si="22"/>
        <v>1.8423075531668998E-2</v>
      </c>
      <c r="K103" s="10">
        <f t="shared" si="23"/>
        <v>89.834702138358679</v>
      </c>
      <c r="L103" s="10">
        <f t="shared" si="24"/>
        <v>98.562262125731948</v>
      </c>
      <c r="M103" s="10">
        <f t="shared" si="25"/>
        <v>93.335063154989129</v>
      </c>
      <c r="N103" s="10">
        <f t="shared" si="26"/>
        <v>95.10099823225535</v>
      </c>
      <c r="O103" s="11">
        <f t="shared" si="27"/>
        <v>-927.50045287411217</v>
      </c>
      <c r="P103" s="11">
        <f t="shared" si="28"/>
        <v>-528.5589286547463</v>
      </c>
      <c r="Q103" s="11">
        <f t="shared" si="29"/>
        <v>-1037.9660990050468</v>
      </c>
      <c r="R103" s="11">
        <f t="shared" si="30"/>
        <v>-1720.3585775541228</v>
      </c>
      <c r="S103" s="27">
        <f t="shared" si="31"/>
        <v>-4214.3840580880278</v>
      </c>
    </row>
    <row r="104" spans="1:19" x14ac:dyDescent="0.25">
      <c r="A104" s="6">
        <f t="shared" si="18"/>
        <v>99</v>
      </c>
      <c r="B104" s="24">
        <v>45258</v>
      </c>
      <c r="C104" s="31" cm="1">
        <f t="array" ref="C104" xml:space="preserve"> BonoM(100,C$2,C$1 - $B104,Portafolio!C104)</f>
        <v>89.902123238345922</v>
      </c>
      <c r="D104" s="31" cm="1">
        <f t="array" ref="D104" xml:space="preserve"> BonoM(100,D$2,D$1 - $B104,Portafolio!D104)</f>
        <v>100.67228512604817</v>
      </c>
      <c r="E104" s="31" cm="1">
        <f t="array" ref="E104" xml:space="preserve"> BonoM(100,E$2,E$1 - $B104,Portafolio!E104)</f>
        <v>95.167622271798578</v>
      </c>
      <c r="F104" s="31" cm="1">
        <f t="array" ref="F104" xml:space="preserve"> BonoM(100,F$2,F$1 - $B104,Portafolio!F104)</f>
        <v>96.079604094975195</v>
      </c>
      <c r="G104" s="5">
        <f t="shared" si="19"/>
        <v>5.4521067191861672E-3</v>
      </c>
      <c r="H104" s="5">
        <f t="shared" si="20"/>
        <v>6.9332391208969391E-3</v>
      </c>
      <c r="I104" s="5">
        <f t="shared" si="21"/>
        <v>9.3331165490015966E-3</v>
      </c>
      <c r="J104" s="5">
        <f t="shared" si="22"/>
        <v>1.5122638400839827E-2</v>
      </c>
      <c r="K104" s="10">
        <f t="shared" si="23"/>
        <v>90.041897405041112</v>
      </c>
      <c r="L104" s="10">
        <f t="shared" si="24"/>
        <v>98.890802154615102</v>
      </c>
      <c r="M104" s="10">
        <f t="shared" si="25"/>
        <v>93.682343398732584</v>
      </c>
      <c r="N104" s="10">
        <f t="shared" si="26"/>
        <v>94.792801301838395</v>
      </c>
      <c r="O104" s="11">
        <f t="shared" si="27"/>
        <v>-1611.244832926141</v>
      </c>
      <c r="P104" s="11">
        <f t="shared" si="28"/>
        <v>-1021.3689719794772</v>
      </c>
      <c r="Q104" s="11">
        <f t="shared" si="29"/>
        <v>-1732.5265864919572</v>
      </c>
      <c r="R104" s="11">
        <f t="shared" si="30"/>
        <v>-1412.1616471371681</v>
      </c>
      <c r="S104" s="27">
        <f t="shared" si="31"/>
        <v>-5777.3020385347436</v>
      </c>
    </row>
    <row r="105" spans="1:19" x14ac:dyDescent="0.25">
      <c r="A105" s="6">
        <f t="shared" si="18"/>
        <v>100</v>
      </c>
      <c r="B105" s="24">
        <v>45257</v>
      </c>
      <c r="C105" s="31" cm="1">
        <f t="array" ref="C105" xml:space="preserve"> BonoM(100,C$2,C$1 - $B105,Portafolio!C105)</f>
        <v>89.414625159719108</v>
      </c>
      <c r="D105" s="31" cm="1">
        <f t="array" ref="D105" xml:space="preserve"> BonoM(100,D$2,D$1 - $B105,Portafolio!D105)</f>
        <v>99.979106076526094</v>
      </c>
      <c r="E105" s="31" cm="1">
        <f t="array" ref="E105" xml:space="preserve"> BonoM(100,E$2,E$1 - $B105,Portafolio!E105)</f>
        <v>94.287624879668101</v>
      </c>
      <c r="F105" s="31" cm="1">
        <f t="array" ref="F105" xml:space="preserve"> BonoM(100,F$2,F$1 - $B105,Portafolio!F105)</f>
        <v>94.648272494772598</v>
      </c>
      <c r="G105" s="5">
        <f t="shared" si="19"/>
        <v>1.455063201387552E-2</v>
      </c>
      <c r="H105" s="5">
        <f t="shared" si="20"/>
        <v>2.0176007000756169E-2</v>
      </c>
      <c r="I105" s="5">
        <f t="shared" si="21"/>
        <v>2.5820756243666532E-2</v>
      </c>
      <c r="J105" s="5">
        <f t="shared" si="22"/>
        <v>3.4396983960413907E-2</v>
      </c>
      <c r="K105" s="10">
        <f t="shared" si="23"/>
        <v>90.856703476505629</v>
      </c>
      <c r="L105" s="10">
        <f t="shared" si="24"/>
        <v>100.19137292485802</v>
      </c>
      <c r="M105" s="10">
        <f t="shared" si="25"/>
        <v>95.212661485382995</v>
      </c>
      <c r="N105" s="10">
        <f t="shared" si="26"/>
        <v>96.592652019117182</v>
      </c>
      <c r="O105" s="11">
        <f t="shared" si="27"/>
        <v>-4300.1048687590464</v>
      </c>
      <c r="P105" s="11">
        <f t="shared" si="28"/>
        <v>-2972.2251273438474</v>
      </c>
      <c r="Q105" s="11">
        <f t="shared" si="29"/>
        <v>-4793.1627597927782</v>
      </c>
      <c r="R105" s="11">
        <f t="shared" si="30"/>
        <v>-3212.0123644159548</v>
      </c>
      <c r="S105" s="27">
        <f t="shared" si="31"/>
        <v>-15277.505120311627</v>
      </c>
    </row>
    <row r="106" spans="1:19" x14ac:dyDescent="0.25">
      <c r="A106" s="6">
        <f t="shared" si="18"/>
        <v>101</v>
      </c>
      <c r="B106" s="24">
        <v>45255</v>
      </c>
      <c r="C106" s="31" cm="1">
        <f t="array" ref="C106" xml:space="preserve"> BonoM(100,C$2,C$1 - $B106,Portafolio!C106)</f>
        <v>88.132245289948457</v>
      </c>
      <c r="D106" s="31" cm="1">
        <f t="array" ref="D106" xml:space="preserve"> BonoM(100,D$2,D$1 - $B106,Portafolio!D106)</f>
        <v>98.001820656866315</v>
      </c>
      <c r="E106" s="31" cm="1">
        <f t="array" ref="E106" xml:space="preserve"> BonoM(100,E$2,E$1 - $B106,Portafolio!E106)</f>
        <v>91.914327435651586</v>
      </c>
      <c r="F106" s="31" cm="1">
        <f t="array" ref="F106" xml:space="preserve"> BonoM(100,F$2,F$1 - $B106,Portafolio!F106)</f>
        <v>91.500916923008702</v>
      </c>
      <c r="G106" s="5">
        <f t="shared" si="19"/>
        <v>-1.1567405893967764E-2</v>
      </c>
      <c r="H106" s="5">
        <f t="shared" si="20"/>
        <v>-1.7387131070821238E-2</v>
      </c>
      <c r="I106" s="5">
        <f t="shared" si="21"/>
        <v>-2.2858906606572749E-2</v>
      </c>
      <c r="J106" s="5">
        <f t="shared" si="22"/>
        <v>-3.5484247773718613E-2</v>
      </c>
      <c r="K106" s="10">
        <f t="shared" si="23"/>
        <v>88.517738075763958</v>
      </c>
      <c r="L106" s="10">
        <f t="shared" si="24"/>
        <v>96.502301285326155</v>
      </c>
      <c r="M106" s="10">
        <f t="shared" si="25"/>
        <v>90.69440599876711</v>
      </c>
      <c r="N106" s="10">
        <f t="shared" si="26"/>
        <v>90.067097899925471</v>
      </c>
      <c r="O106" s="11">
        <f t="shared" si="27"/>
        <v>3418.4809536884673</v>
      </c>
      <c r="P106" s="11">
        <f t="shared" si="28"/>
        <v>2561.3823319539433</v>
      </c>
      <c r="Q106" s="11">
        <f t="shared" si="29"/>
        <v>4243.3482134389924</v>
      </c>
      <c r="R106" s="11">
        <f t="shared" si="30"/>
        <v>3313.5417547757556</v>
      </c>
      <c r="S106" s="27">
        <f t="shared" si="31"/>
        <v>13536.753253857158</v>
      </c>
    </row>
    <row r="107" spans="1:19" x14ac:dyDescent="0.25">
      <c r="A107" s="6">
        <f t="shared" si="18"/>
        <v>102</v>
      </c>
      <c r="B107" s="24">
        <v>45254</v>
      </c>
      <c r="C107" s="31" cm="1">
        <f t="array" ref="C107" xml:space="preserve"> BonoM(100,C$2,C$1 - $B107,Portafolio!C107)</f>
        <v>89.163637273270894</v>
      </c>
      <c r="D107" s="31" cm="1">
        <f t="array" ref="D107" xml:space="preserve"> BonoM(100,D$2,D$1 - $B107,Portafolio!D107)</f>
        <v>99.735942562675447</v>
      </c>
      <c r="E107" s="31" cm="1">
        <f t="array" ref="E107" xml:space="preserve"> BonoM(100,E$2,E$1 - $B107,Portafolio!E107)</f>
        <v>94.064539969811747</v>
      </c>
      <c r="F107" s="31" cm="1">
        <f t="array" ref="F107" xml:space="preserve"> BonoM(100,F$2,F$1 - $B107,Portafolio!F107)</f>
        <v>94.867208453369059</v>
      </c>
      <c r="G107" s="5">
        <f t="shared" si="19"/>
        <v>-9.1577391216279835E-4</v>
      </c>
      <c r="H107" s="5">
        <f t="shared" si="20"/>
        <v>-9.499802135145563E-4</v>
      </c>
      <c r="I107" s="5">
        <f t="shared" si="21"/>
        <v>-2.3440115543769124E-3</v>
      </c>
      <c r="J107" s="5">
        <f t="shared" si="22"/>
        <v>-1.98705774837038E-3</v>
      </c>
      <c r="K107" s="10">
        <f t="shared" si="23"/>
        <v>89.471630506534709</v>
      </c>
      <c r="L107" s="10">
        <f t="shared" si="24"/>
        <v>98.116592054826029</v>
      </c>
      <c r="M107" s="10">
        <f t="shared" si="25"/>
        <v>92.598518141287371</v>
      </c>
      <c r="N107" s="10">
        <f t="shared" si="26"/>
        <v>93.195086931127577</v>
      </c>
      <c r="O107" s="11">
        <f t="shared" si="27"/>
        <v>270.63593214499093</v>
      </c>
      <c r="P107" s="11">
        <f t="shared" si="28"/>
        <v>139.94617770413242</v>
      </c>
      <c r="Q107" s="11">
        <f t="shared" si="29"/>
        <v>435.12392839846825</v>
      </c>
      <c r="R107" s="11">
        <f t="shared" si="30"/>
        <v>185.55272357365027</v>
      </c>
      <c r="S107" s="27">
        <f t="shared" si="31"/>
        <v>1031.2587618212419</v>
      </c>
    </row>
    <row r="108" spans="1:19" x14ac:dyDescent="0.25">
      <c r="A108" s="6">
        <f t="shared" si="18"/>
        <v>103</v>
      </c>
      <c r="B108" s="24">
        <v>45253</v>
      </c>
      <c r="C108" s="31" cm="1">
        <f t="array" ref="C108" xml:space="preserve"> BonoM(100,C$2,C$1 - $B108,Portafolio!C108)</f>
        <v>89.245365851098754</v>
      </c>
      <c r="D108" s="31" cm="1">
        <f t="array" ref="D108" xml:space="preserve"> BonoM(100,D$2,D$1 - $B108,Portafolio!D108)</f>
        <v>99.830779828211973</v>
      </c>
      <c r="E108" s="31" cm="1">
        <f t="array" ref="E108" xml:space="preserve"> BonoM(100,E$2,E$1 - $B108,Portafolio!E108)</f>
        <v>94.28554637993706</v>
      </c>
      <c r="F108" s="31" cm="1">
        <f t="array" ref="F108" xml:space="preserve"> BonoM(100,F$2,F$1 - $B108,Portafolio!F108)</f>
        <v>95.056090394316882</v>
      </c>
      <c r="G108" s="5">
        <f t="shared" si="19"/>
        <v>1.2765722522916079E-3</v>
      </c>
      <c r="H108" s="5">
        <f t="shared" si="20"/>
        <v>1.8842295330017134E-3</v>
      </c>
      <c r="I108" s="5">
        <f t="shared" si="21"/>
        <v>2.8688038928923465E-3</v>
      </c>
      <c r="J108" s="5">
        <f t="shared" si="22"/>
        <v>1.8343810059051613E-4</v>
      </c>
      <c r="K108" s="10">
        <f t="shared" si="23"/>
        <v>89.667963088760104</v>
      </c>
      <c r="L108" s="10">
        <f t="shared" si="24"/>
        <v>98.394939480870008</v>
      </c>
      <c r="M108" s="10">
        <f t="shared" si="25"/>
        <v>93.082351237416233</v>
      </c>
      <c r="N108" s="10">
        <f t="shared" si="26"/>
        <v>93.397769221871414</v>
      </c>
      <c r="O108" s="11">
        <f t="shared" si="27"/>
        <v>-377.26158919881243</v>
      </c>
      <c r="P108" s="11">
        <f t="shared" si="28"/>
        <v>-277.5749613618359</v>
      </c>
      <c r="Q108" s="11">
        <f t="shared" si="29"/>
        <v>-532.54226385925563</v>
      </c>
      <c r="R108" s="11">
        <f t="shared" si="30"/>
        <v>-17.129567170186988</v>
      </c>
      <c r="S108" s="27">
        <f t="shared" si="31"/>
        <v>-1204.5083815900907</v>
      </c>
    </row>
    <row r="109" spans="1:19" x14ac:dyDescent="0.25">
      <c r="A109" s="6">
        <f t="shared" si="18"/>
        <v>104</v>
      </c>
      <c r="B109" s="24">
        <v>45252</v>
      </c>
      <c r="C109" s="31" cm="1">
        <f t="array" ref="C109" xml:space="preserve"> BonoM(100,C$2,C$1 - $B109,Portafolio!C109)</f>
        <v>89.131582945507688</v>
      </c>
      <c r="D109" s="31" cm="1">
        <f t="array" ref="D109" xml:space="preserve"> BonoM(100,D$2,D$1 - $B109,Portafolio!D109)</f>
        <v>99.643029489290484</v>
      </c>
      <c r="E109" s="31" cm="1">
        <f t="array" ref="E109" xml:space="preserve"> BonoM(100,E$2,E$1 - $B109,Portafolio!E109)</f>
        <v>94.01583339111113</v>
      </c>
      <c r="F109" s="31" cm="1">
        <f t="array" ref="F109" xml:space="preserve"> BonoM(100,F$2,F$1 - $B109,Portafolio!F109)</f>
        <v>95.038656683652164</v>
      </c>
      <c r="G109" s="5">
        <f t="shared" si="19"/>
        <v>-2.0437751579077679E-3</v>
      </c>
      <c r="H109" s="5">
        <f t="shared" si="20"/>
        <v>-1.8259730155014697E-3</v>
      </c>
      <c r="I109" s="5">
        <f t="shared" si="21"/>
        <v>-1.8683693809248281E-3</v>
      </c>
      <c r="J109" s="5">
        <f t="shared" si="22"/>
        <v>-2.0697766440392895E-3</v>
      </c>
      <c r="K109" s="10">
        <f t="shared" si="23"/>
        <v>89.370613887480076</v>
      </c>
      <c r="L109" s="10">
        <f t="shared" si="24"/>
        <v>98.030560898534304</v>
      </c>
      <c r="M109" s="10">
        <f t="shared" si="25"/>
        <v>92.642665383360054</v>
      </c>
      <c r="N109" s="10">
        <f t="shared" si="26"/>
        <v>93.187362587738477</v>
      </c>
      <c r="O109" s="11">
        <f t="shared" si="27"/>
        <v>603.99077502527939</v>
      </c>
      <c r="P109" s="11">
        <f t="shared" si="28"/>
        <v>268.99291214171939</v>
      </c>
      <c r="Q109" s="11">
        <f t="shared" si="29"/>
        <v>346.82944425310325</v>
      </c>
      <c r="R109" s="11">
        <f t="shared" si="30"/>
        <v>193.27706696275015</v>
      </c>
      <c r="S109" s="27">
        <f t="shared" si="31"/>
        <v>1413.0901983828521</v>
      </c>
    </row>
    <row r="110" spans="1:19" x14ac:dyDescent="0.25">
      <c r="A110" s="6">
        <f t="shared" si="18"/>
        <v>105</v>
      </c>
      <c r="B110" s="24">
        <v>45251</v>
      </c>
      <c r="C110" s="31" cm="1">
        <f t="array" ref="C110" xml:space="preserve"> BonoM(100,C$2,C$1 - $B110,Portafolio!C110)</f>
        <v>89.314120927108888</v>
      </c>
      <c r="D110" s="31" cm="1">
        <f t="array" ref="D110" xml:space="preserve"> BonoM(100,D$2,D$1 - $B110,Portafolio!D110)</f>
        <v>99.82530780761131</v>
      </c>
      <c r="E110" s="31" cm="1">
        <f t="array" ref="E110" xml:space="preserve"> BonoM(100,E$2,E$1 - $B110,Portafolio!E110)</f>
        <v>94.191818500731529</v>
      </c>
      <c r="F110" s="31" cm="1">
        <f t="array" ref="F110" xml:space="preserve"> BonoM(100,F$2,F$1 - $B110,Portafolio!F110)</f>
        <v>95.235773463243405</v>
      </c>
      <c r="G110" s="5">
        <f t="shared" si="19"/>
        <v>9.2331832757377441E-3</v>
      </c>
      <c r="H110" s="5">
        <f t="shared" si="20"/>
        <v>1.240577793492581E-2</v>
      </c>
      <c r="I110" s="5">
        <f t="shared" si="21"/>
        <v>1.5361349410874636E-2</v>
      </c>
      <c r="J110" s="5">
        <f t="shared" si="22"/>
        <v>2.414009793167704E-2</v>
      </c>
      <c r="K110" s="10">
        <f t="shared" si="23"/>
        <v>90.38050657907381</v>
      </c>
      <c r="L110" s="10">
        <f t="shared" si="24"/>
        <v>99.428259586861614</v>
      </c>
      <c r="M110" s="10">
        <f t="shared" si="25"/>
        <v>94.241860342934714</v>
      </c>
      <c r="N110" s="10">
        <f t="shared" si="26"/>
        <v>95.634857440888354</v>
      </c>
      <c r="O110" s="11">
        <f t="shared" si="27"/>
        <v>-2728.655107234043</v>
      </c>
      <c r="P110" s="11">
        <f t="shared" si="28"/>
        <v>-1827.5551203492455</v>
      </c>
      <c r="Q110" s="11">
        <f t="shared" si="29"/>
        <v>-2851.5604748962178</v>
      </c>
      <c r="R110" s="11">
        <f t="shared" si="30"/>
        <v>-2254.2177861871269</v>
      </c>
      <c r="S110" s="27">
        <f t="shared" si="31"/>
        <v>-9661.9884886666332</v>
      </c>
    </row>
    <row r="111" spans="1:19" x14ac:dyDescent="0.25">
      <c r="A111" s="6">
        <f t="shared" si="18"/>
        <v>106</v>
      </c>
      <c r="B111" s="24">
        <v>45248</v>
      </c>
      <c r="C111" s="31" cm="1">
        <f t="array" ref="C111" xml:space="preserve"> BonoM(100,C$2,C$1 - $B111,Portafolio!C111)</f>
        <v>88.497011797824456</v>
      </c>
      <c r="D111" s="31" cm="1">
        <f t="array" ref="D111" xml:space="preserve"> BonoM(100,D$2,D$1 - $B111,Portafolio!D111)</f>
        <v>98.602072393573167</v>
      </c>
      <c r="E111" s="31" cm="1">
        <f t="array" ref="E111" xml:space="preserve"> BonoM(100,E$2,E$1 - $B111,Portafolio!E111)</f>
        <v>92.766795343729413</v>
      </c>
      <c r="F111" s="31" cm="1">
        <f t="array" ref="F111" xml:space="preserve"> BonoM(100,F$2,F$1 - $B111,Portafolio!F111)</f>
        <v>92.99096252122024</v>
      </c>
      <c r="G111" s="5">
        <f t="shared" si="19"/>
        <v>-1.0516619028537844E-2</v>
      </c>
      <c r="H111" s="5">
        <f t="shared" si="20"/>
        <v>-1.4544374765078527E-2</v>
      </c>
      <c r="I111" s="5">
        <f t="shared" si="21"/>
        <v>-1.9362663960078019E-2</v>
      </c>
      <c r="J111" s="5">
        <f t="shared" si="22"/>
        <v>-2.7878337027016031E-2</v>
      </c>
      <c r="K111" s="10">
        <f t="shared" si="23"/>
        <v>88.611839865893316</v>
      </c>
      <c r="L111" s="10">
        <f t="shared" si="24"/>
        <v>96.78148806800742</v>
      </c>
      <c r="M111" s="10">
        <f t="shared" si="25"/>
        <v>91.018913536312382</v>
      </c>
      <c r="N111" s="10">
        <f t="shared" si="26"/>
        <v>90.777342710609133</v>
      </c>
      <c r="O111" s="11">
        <f t="shared" si="27"/>
        <v>3107.9450462615869</v>
      </c>
      <c r="P111" s="11">
        <f t="shared" si="28"/>
        <v>2142.6021579320463</v>
      </c>
      <c r="Q111" s="11">
        <f t="shared" si="29"/>
        <v>3594.3331383484465</v>
      </c>
      <c r="R111" s="11">
        <f t="shared" si="30"/>
        <v>2603.2969440920938</v>
      </c>
      <c r="S111" s="27">
        <f t="shared" si="31"/>
        <v>11448.177286634174</v>
      </c>
    </row>
    <row r="112" spans="1:19" x14ac:dyDescent="0.25">
      <c r="A112" s="6">
        <f t="shared" si="18"/>
        <v>107</v>
      </c>
      <c r="B112" s="24">
        <v>45247</v>
      </c>
      <c r="C112" s="31" cm="1">
        <f t="array" ref="C112" xml:space="preserve"> BonoM(100,C$2,C$1 - $B112,Portafolio!C112)</f>
        <v>89.437592889068256</v>
      </c>
      <c r="D112" s="31" cm="1">
        <f t="array" ref="D112" xml:space="preserve"> BonoM(100,D$2,D$1 - $B112,Portafolio!D112)</f>
        <v>100.05734390127161</v>
      </c>
      <c r="E112" s="31" cm="1">
        <f t="array" ref="E112" xml:space="preserve"> BonoM(100,E$2,E$1 - $B112,Portafolio!E112)</f>
        <v>94.598473803115382</v>
      </c>
      <c r="F112" s="31" cm="1">
        <f t="array" ref="F112" xml:space="preserve"> BonoM(100,F$2,F$1 - $B112,Portafolio!F112)</f>
        <v>95.657741271633952</v>
      </c>
      <c r="G112" s="5">
        <f t="shared" si="19"/>
        <v>-2.6413210454064862E-3</v>
      </c>
      <c r="H112" s="5">
        <f t="shared" si="20"/>
        <v>-2.6760683378063144E-3</v>
      </c>
      <c r="I112" s="5">
        <f t="shared" si="21"/>
        <v>-2.4163612816409108E-3</v>
      </c>
      <c r="J112" s="5">
        <f t="shared" si="22"/>
        <v>-5.2326159165239083E-4</v>
      </c>
      <c r="K112" s="10">
        <f t="shared" si="23"/>
        <v>89.31710147735393</v>
      </c>
      <c r="L112" s="10">
        <f t="shared" si="24"/>
        <v>97.947073130860645</v>
      </c>
      <c r="M112" s="10">
        <f t="shared" si="25"/>
        <v>92.591802923206032</v>
      </c>
      <c r="N112" s="10">
        <f t="shared" si="26"/>
        <v>93.331777152565991</v>
      </c>
      <c r="O112" s="11">
        <f t="shared" si="27"/>
        <v>780.58172844156104</v>
      </c>
      <c r="P112" s="11">
        <f t="shared" si="28"/>
        <v>394.22456365220881</v>
      </c>
      <c r="Q112" s="11">
        <f t="shared" si="29"/>
        <v>448.55436456114717</v>
      </c>
      <c r="R112" s="11">
        <f t="shared" si="30"/>
        <v>48.862502135236241</v>
      </c>
      <c r="S112" s="27">
        <f t="shared" si="31"/>
        <v>1672.2231587901533</v>
      </c>
    </row>
    <row r="113" spans="1:19" x14ac:dyDescent="0.25">
      <c r="A113" s="6">
        <f t="shared" si="18"/>
        <v>108</v>
      </c>
      <c r="B113" s="24">
        <v>45246</v>
      </c>
      <c r="C113" s="31" cm="1">
        <f t="array" ref="C113" xml:space="preserve"> BonoM(100,C$2,C$1 - $B113,Portafolio!C113)</f>
        <v>89.674451906123195</v>
      </c>
      <c r="D113" s="31" cm="1">
        <f t="array" ref="D113" xml:space="preserve"> BonoM(100,D$2,D$1 - $B113,Portafolio!D113)</f>
        <v>100.32582265875307</v>
      </c>
      <c r="E113" s="31" cm="1">
        <f t="array" ref="E113" xml:space="preserve"> BonoM(100,E$2,E$1 - $B113,Portafolio!E113)</f>
        <v>94.827611572148811</v>
      </c>
      <c r="F113" s="31" cm="1">
        <f t="array" ref="F113" xml:space="preserve"> BonoM(100,F$2,F$1 - $B113,Portafolio!F113)</f>
        <v>95.707821498644918</v>
      </c>
      <c r="G113" s="5">
        <f t="shared" si="19"/>
        <v>1.4242146118472743E-3</v>
      </c>
      <c r="H113" s="5">
        <f t="shared" si="20"/>
        <v>4.8769898855316463E-3</v>
      </c>
      <c r="I113" s="5">
        <f t="shared" si="21"/>
        <v>5.0817300298939827E-3</v>
      </c>
      <c r="J113" s="5">
        <f t="shared" si="22"/>
        <v>8.8831304803556055E-3</v>
      </c>
      <c r="K113" s="10">
        <f t="shared" si="23"/>
        <v>89.681184999682472</v>
      </c>
      <c r="L113" s="10">
        <f t="shared" si="24"/>
        <v>98.688858144411796</v>
      </c>
      <c r="M113" s="10">
        <f t="shared" si="25"/>
        <v>93.2877463670157</v>
      </c>
      <c r="N113" s="10">
        <f t="shared" si="26"/>
        <v>94.210152061093012</v>
      </c>
      <c r="O113" s="11">
        <f t="shared" si="27"/>
        <v>-420.89389524262799</v>
      </c>
      <c r="P113" s="11">
        <f t="shared" si="28"/>
        <v>-718.45295667451842</v>
      </c>
      <c r="Q113" s="11">
        <f t="shared" si="29"/>
        <v>-943.3325230581886</v>
      </c>
      <c r="R113" s="11">
        <f t="shared" si="30"/>
        <v>-829.51240639178536</v>
      </c>
      <c r="S113" s="27">
        <f t="shared" si="31"/>
        <v>-2912.1917813671207</v>
      </c>
    </row>
    <row r="114" spans="1:19" x14ac:dyDescent="0.25">
      <c r="A114" s="6">
        <f t="shared" si="18"/>
        <v>109</v>
      </c>
      <c r="B114" s="24">
        <v>45245</v>
      </c>
      <c r="C114" s="31" cm="1">
        <f t="array" ref="C114" xml:space="preserve"> BonoM(100,C$2,C$1 - $B114,Portafolio!C114)</f>
        <v>89.546917877236552</v>
      </c>
      <c r="D114" s="31" cm="1">
        <f t="array" ref="D114" xml:space="preserve"> BonoM(100,D$2,D$1 - $B114,Portafolio!D114)</f>
        <v>99.838909307876037</v>
      </c>
      <c r="E114" s="31" cm="1">
        <f t="array" ref="E114" xml:space="preserve"> BonoM(100,E$2,E$1 - $B114,Portafolio!E114)</f>
        <v>94.348159695757644</v>
      </c>
      <c r="F114" s="31" cm="1">
        <f t="array" ref="F114" xml:space="preserve"> BonoM(100,F$2,F$1 - $B114,Portafolio!F114)</f>
        <v>94.865122239754299</v>
      </c>
      <c r="G114" s="5">
        <f t="shared" si="19"/>
        <v>-3.0936296280037467E-5</v>
      </c>
      <c r="H114" s="5">
        <f t="shared" si="20"/>
        <v>2.5555354603645775E-4</v>
      </c>
      <c r="I114" s="5">
        <f t="shared" si="21"/>
        <v>-8.1323446827985535E-4</v>
      </c>
      <c r="J114" s="5">
        <f t="shared" si="22"/>
        <v>-5.1798760009280631E-4</v>
      </c>
      <c r="K114" s="10">
        <f t="shared" si="23"/>
        <v>89.550870937080333</v>
      </c>
      <c r="L114" s="10">
        <f t="shared" si="24"/>
        <v>98.234987392148057</v>
      </c>
      <c r="M114" s="10">
        <f t="shared" si="25"/>
        <v>92.740598869934203</v>
      </c>
      <c r="N114" s="10">
        <f t="shared" si="26"/>
        <v>93.332269641271353</v>
      </c>
      <c r="O114" s="11">
        <f t="shared" si="27"/>
        <v>9.1425113444302042</v>
      </c>
      <c r="P114" s="11">
        <f t="shared" si="28"/>
        <v>-37.646828278909084</v>
      </c>
      <c r="Q114" s="11">
        <f t="shared" si="29"/>
        <v>150.96247110480476</v>
      </c>
      <c r="R114" s="11">
        <f t="shared" si="30"/>
        <v>48.370013429874348</v>
      </c>
      <c r="S114" s="27">
        <f t="shared" si="31"/>
        <v>170.82816760020023</v>
      </c>
    </row>
    <row r="115" spans="1:19" x14ac:dyDescent="0.25">
      <c r="A115" s="6">
        <f t="shared" si="18"/>
        <v>110</v>
      </c>
      <c r="B115" s="24">
        <v>45244</v>
      </c>
      <c r="C115" s="31" cm="1">
        <f t="array" ref="C115" xml:space="preserve"> BonoM(100,C$2,C$1 - $B115,Portafolio!C115)</f>
        <v>89.549688212922888</v>
      </c>
      <c r="D115" s="31" cm="1">
        <f t="array" ref="D115" xml:space="preserve"> BonoM(100,D$2,D$1 - $B115,Portafolio!D115)</f>
        <v>99.813401639145198</v>
      </c>
      <c r="E115" s="31" cm="1">
        <f t="array" ref="E115" xml:space="preserve"> BonoM(100,E$2,E$1 - $B115,Portafolio!E115)</f>
        <v>94.424949319209603</v>
      </c>
      <c r="F115" s="31" cm="1">
        <f t="array" ref="F115" xml:space="preserve"> BonoM(100,F$2,F$1 - $B115,Portafolio!F115)</f>
        <v>94.914286663317554</v>
      </c>
      <c r="G115" s="5">
        <f t="shared" si="19"/>
        <v>5.8119242112106839E-3</v>
      </c>
      <c r="H115" s="5">
        <f t="shared" si="20"/>
        <v>8.6739064993326398E-3</v>
      </c>
      <c r="I115" s="5">
        <f t="shared" si="21"/>
        <v>1.1543160810636888E-2</v>
      </c>
      <c r="J115" s="5">
        <f t="shared" si="22"/>
        <v>1.3560113411918095E-2</v>
      </c>
      <c r="K115" s="10">
        <f t="shared" si="23"/>
        <v>90.074120371689546</v>
      </c>
      <c r="L115" s="10">
        <f t="shared" si="24"/>
        <v>99.061752905519072</v>
      </c>
      <c r="M115" s="10">
        <f t="shared" si="25"/>
        <v>93.887471043957191</v>
      </c>
      <c r="N115" s="10">
        <f t="shared" si="26"/>
        <v>94.646891718896427</v>
      </c>
      <c r="O115" s="11">
        <f t="shared" si="27"/>
        <v>-1717.580622865971</v>
      </c>
      <c r="P115" s="11">
        <f t="shared" si="28"/>
        <v>-1277.7950983354317</v>
      </c>
      <c r="Q115" s="11">
        <f t="shared" si="29"/>
        <v>-2142.7818769411715</v>
      </c>
      <c r="R115" s="11">
        <f t="shared" si="30"/>
        <v>-1266.2520641952001</v>
      </c>
      <c r="S115" s="27">
        <f t="shared" si="31"/>
        <v>-6404.4096623377736</v>
      </c>
    </row>
    <row r="116" spans="1:19" x14ac:dyDescent="0.25">
      <c r="A116" s="6">
        <f t="shared" si="18"/>
        <v>111</v>
      </c>
      <c r="B116" s="24">
        <v>45243</v>
      </c>
      <c r="C116" s="31" cm="1">
        <f t="array" ref="C116" xml:space="preserve"> BonoM(100,C$2,C$1 - $B116,Portafolio!C116)</f>
        <v>89.03223958410571</v>
      </c>
      <c r="D116" s="31" cm="1">
        <f t="array" ref="D116" xml:space="preserve"> BonoM(100,D$2,D$1 - $B116,Portafolio!D116)</f>
        <v>98.955074574650183</v>
      </c>
      <c r="E116" s="31" cm="1">
        <f t="array" ref="E116" xml:space="preserve"> BonoM(100,E$2,E$1 - $B116,Portafolio!E116)</f>
        <v>93.347424981390546</v>
      </c>
      <c r="F116" s="31" cm="1">
        <f t="array" ref="F116" xml:space="preserve"> BonoM(100,F$2,F$1 - $B116,Portafolio!F116)</f>
        <v>93.644457203244059</v>
      </c>
      <c r="G116" s="5">
        <f t="shared" si="19"/>
        <v>-3.4490832499534108E-4</v>
      </c>
      <c r="H116" s="5">
        <f t="shared" si="20"/>
        <v>1.4594879387466397E-2</v>
      </c>
      <c r="I116" s="5">
        <f t="shared" si="21"/>
        <v>1.9122787745156744E-2</v>
      </c>
      <c r="J116" s="5">
        <f t="shared" si="22"/>
        <v>2.7679876921186786E-2</v>
      </c>
      <c r="K116" s="10">
        <f t="shared" si="23"/>
        <v>89.522753598612695</v>
      </c>
      <c r="L116" s="10">
        <f t="shared" si="24"/>
        <v>99.643250998634429</v>
      </c>
      <c r="M116" s="10">
        <f t="shared" si="25"/>
        <v>94.59098230468129</v>
      </c>
      <c r="N116" s="10">
        <f t="shared" si="26"/>
        <v>95.965404267165056</v>
      </c>
      <c r="O116" s="11">
        <f t="shared" si="27"/>
        <v>101.92972828763516</v>
      </c>
      <c r="P116" s="11">
        <f t="shared" si="28"/>
        <v>-2150.0422380084674</v>
      </c>
      <c r="Q116" s="11">
        <f t="shared" si="29"/>
        <v>-3549.8043983893695</v>
      </c>
      <c r="R116" s="11">
        <f t="shared" si="30"/>
        <v>-2584.7646124638286</v>
      </c>
      <c r="S116" s="27">
        <f t="shared" si="31"/>
        <v>-8182.6815205740304</v>
      </c>
    </row>
    <row r="117" spans="1:19" x14ac:dyDescent="0.25">
      <c r="A117" s="6">
        <f t="shared" si="18"/>
        <v>112</v>
      </c>
      <c r="B117" s="24">
        <v>45241</v>
      </c>
      <c r="C117" s="31" cm="1">
        <f t="array" ref="C117" xml:space="preserve"> BonoM(100,C$2,C$1 - $B117,Portafolio!C117)</f>
        <v>89.062958139816843</v>
      </c>
      <c r="D117" s="31" cm="1">
        <f t="array" ref="D117" xml:space="preserve"> BonoM(100,D$2,D$1 - $B117,Portafolio!D117)</f>
        <v>97.531612454412908</v>
      </c>
      <c r="E117" s="31" cm="1">
        <f t="array" ref="E117" xml:space="preserve"> BonoM(100,E$2,E$1 - $B117,Portafolio!E117)</f>
        <v>91.59585685246509</v>
      </c>
      <c r="F117" s="31" cm="1">
        <f t="array" ref="F117" xml:space="preserve"> BonoM(100,F$2,F$1 - $B117,Portafolio!F117)</f>
        <v>91.122205762938862</v>
      </c>
      <c r="G117" s="5">
        <f t="shared" si="19"/>
        <v>2.6429899171365179E-4</v>
      </c>
      <c r="H117" s="5">
        <f t="shared" si="20"/>
        <v>-1.4853725222184755E-2</v>
      </c>
      <c r="I117" s="5">
        <f t="shared" si="21"/>
        <v>-1.8518806443091007E-2</v>
      </c>
      <c r="J117" s="5">
        <f t="shared" si="22"/>
        <v>-2.9929980301239278E-2</v>
      </c>
      <c r="K117" s="10">
        <f t="shared" si="23"/>
        <v>89.577310332188489</v>
      </c>
      <c r="L117" s="10">
        <f t="shared" si="24"/>
        <v>96.751106793796197</v>
      </c>
      <c r="M117" s="10">
        <f t="shared" si="25"/>
        <v>91.097237083206664</v>
      </c>
      <c r="N117" s="10">
        <f t="shared" si="26"/>
        <v>90.585758949318901</v>
      </c>
      <c r="O117" s="11">
        <f t="shared" si="27"/>
        <v>-78.1074925124841</v>
      </c>
      <c r="P117" s="11">
        <f t="shared" si="28"/>
        <v>2188.1740692488806</v>
      </c>
      <c r="Q117" s="11">
        <f t="shared" si="29"/>
        <v>3437.6860445598822</v>
      </c>
      <c r="R117" s="11">
        <f t="shared" si="30"/>
        <v>2794.8807053823257</v>
      </c>
      <c r="S117" s="27">
        <f t="shared" si="31"/>
        <v>8342.6333266786041</v>
      </c>
    </row>
    <row r="118" spans="1:19" x14ac:dyDescent="0.25">
      <c r="A118" s="6">
        <f t="shared" si="18"/>
        <v>113</v>
      </c>
      <c r="B118" s="24">
        <v>45240</v>
      </c>
      <c r="C118" s="31" cm="1">
        <f t="array" ref="C118" xml:space="preserve"> BonoM(100,C$2,C$1 - $B118,Portafolio!C118)</f>
        <v>89.039425109537632</v>
      </c>
      <c r="D118" s="31" cm="1">
        <f t="array" ref="D118" xml:space="preserve"> BonoM(100,D$2,D$1 - $B118,Portafolio!D118)</f>
        <v>99.002163385746627</v>
      </c>
      <c r="E118" s="31" cm="1">
        <f t="array" ref="E118" xml:space="preserve"> BonoM(100,E$2,E$1 - $B118,Portafolio!E118)</f>
        <v>93.324107943953294</v>
      </c>
      <c r="F118" s="31" cm="1">
        <f t="array" ref="F118" xml:space="preserve"> BonoM(100,F$2,F$1 - $B118,Portafolio!F118)</f>
        <v>93.933637688581868</v>
      </c>
      <c r="G118" s="5">
        <f t="shared" si="19"/>
        <v>3.7770253446223201E-3</v>
      </c>
      <c r="H118" s="5">
        <f t="shared" si="20"/>
        <v>6.7997840300226819E-4</v>
      </c>
      <c r="I118" s="5">
        <f t="shared" si="21"/>
        <v>1.3308798861202398E-3</v>
      </c>
      <c r="J118" s="5">
        <f t="shared" si="22"/>
        <v>-5.1293407760366616E-4</v>
      </c>
      <c r="K118" s="10">
        <f t="shared" si="23"/>
        <v>89.891887768315868</v>
      </c>
      <c r="L118" s="10">
        <f t="shared" si="24"/>
        <v>98.276670110454532</v>
      </c>
      <c r="M118" s="10">
        <f t="shared" si="25"/>
        <v>92.939607159607519</v>
      </c>
      <c r="N118" s="10">
        <f t="shared" si="26"/>
        <v>93.332741542433908</v>
      </c>
      <c r="O118" s="11">
        <f t="shared" si="27"/>
        <v>-1116.2130317328363</v>
      </c>
      <c r="P118" s="11">
        <f t="shared" si="28"/>
        <v>-100.1709057386222</v>
      </c>
      <c r="Q118" s="11">
        <f t="shared" si="29"/>
        <v>-247.0541082418265</v>
      </c>
      <c r="R118" s="11">
        <f t="shared" si="30"/>
        <v>47.898112267318993</v>
      </c>
      <c r="S118" s="27">
        <f t="shared" si="31"/>
        <v>-1415.539933445966</v>
      </c>
    </row>
    <row r="119" spans="1:19" x14ac:dyDescent="0.25">
      <c r="A119" s="6">
        <f t="shared" si="18"/>
        <v>114</v>
      </c>
      <c r="B119" s="24">
        <v>45239</v>
      </c>
      <c r="C119" s="31" cm="1">
        <f t="array" ref="C119" xml:space="preserve"> BonoM(100,C$2,C$1 - $B119,Portafolio!C119)</f>
        <v>88.704386393948525</v>
      </c>
      <c r="D119" s="31" cm="1">
        <f t="array" ref="D119" xml:space="preserve"> BonoM(100,D$2,D$1 - $B119,Portafolio!D119)</f>
        <v>98.934889797381004</v>
      </c>
      <c r="E119" s="31" cm="1">
        <f t="array" ref="E119" xml:space="preserve"> BonoM(100,E$2,E$1 - $B119,Portafolio!E119)</f>
        <v>93.20006984561077</v>
      </c>
      <c r="F119" s="31" cm="1">
        <f t="array" ref="F119" xml:space="preserve"> BonoM(100,F$2,F$1 - $B119,Portafolio!F119)</f>
        <v>93.981844179137383</v>
      </c>
      <c r="G119" s="5">
        <f t="shared" si="19"/>
        <v>2.608503877836954E-3</v>
      </c>
      <c r="H119" s="5">
        <f t="shared" si="20"/>
        <v>1.100712586197039E-3</v>
      </c>
      <c r="I119" s="5">
        <f t="shared" si="21"/>
        <v>7.9651640710021177E-4</v>
      </c>
      <c r="J119" s="5">
        <f t="shared" si="22"/>
        <v>-2.8446810207862772E-3</v>
      </c>
      <c r="K119" s="10">
        <f t="shared" si="23"/>
        <v>89.787242415916936</v>
      </c>
      <c r="L119" s="10">
        <f t="shared" si="24"/>
        <v>98.317990368097753</v>
      </c>
      <c r="M119" s="10">
        <f t="shared" si="25"/>
        <v>92.890009636133357</v>
      </c>
      <c r="N119" s="10">
        <f t="shared" si="26"/>
        <v>93.115001521366622</v>
      </c>
      <c r="O119" s="11">
        <f t="shared" si="27"/>
        <v>-770.88336881635792</v>
      </c>
      <c r="P119" s="11">
        <f t="shared" si="28"/>
        <v>-162.15129220345403</v>
      </c>
      <c r="Q119" s="11">
        <f t="shared" si="29"/>
        <v>-147.85906129350224</v>
      </c>
      <c r="R119" s="11">
        <f t="shared" si="30"/>
        <v>265.63813333460473</v>
      </c>
      <c r="S119" s="27">
        <f t="shared" si="31"/>
        <v>-815.2555889787094</v>
      </c>
    </row>
    <row r="120" spans="1:19" x14ac:dyDescent="0.25">
      <c r="A120" s="6">
        <f t="shared" si="18"/>
        <v>115</v>
      </c>
      <c r="B120" s="24">
        <v>45238</v>
      </c>
      <c r="C120" s="31" cm="1">
        <f t="array" ref="C120" xml:space="preserve"> BonoM(100,C$2,C$1 - $B120,Portafolio!C120)</f>
        <v>88.473602658328062</v>
      </c>
      <c r="D120" s="31" cm="1">
        <f t="array" ref="D120" xml:space="preserve"> BonoM(100,D$2,D$1 - $B120,Portafolio!D120)</f>
        <v>98.826110653539757</v>
      </c>
      <c r="E120" s="31" cm="1">
        <f t="array" ref="E120" xml:space="preserve"> BonoM(100,E$2,E$1 - $B120,Portafolio!E120)</f>
        <v>93.125893543477517</v>
      </c>
      <c r="F120" s="31" cm="1">
        <f t="array" ref="F120" xml:space="preserve"> BonoM(100,F$2,F$1 - $B120,Portafolio!F120)</f>
        <v>94.249955238012916</v>
      </c>
      <c r="G120" s="5">
        <f t="shared" si="19"/>
        <v>2.6115063933418448E-3</v>
      </c>
      <c r="H120" s="5">
        <f t="shared" si="20"/>
        <v>7.000508964588148E-3</v>
      </c>
      <c r="I120" s="5">
        <f t="shared" si="21"/>
        <v>9.3841842762012462E-3</v>
      </c>
      <c r="J120" s="5">
        <f t="shared" si="22"/>
        <v>8.8517002971120196E-3</v>
      </c>
      <c r="K120" s="10">
        <f t="shared" si="23"/>
        <v>89.787511302113742</v>
      </c>
      <c r="L120" s="10">
        <f t="shared" si="24"/>
        <v>98.897408718531153</v>
      </c>
      <c r="M120" s="10">
        <f t="shared" si="25"/>
        <v>93.687083304991148</v>
      </c>
      <c r="N120" s="10">
        <f t="shared" si="26"/>
        <v>94.207217090477258</v>
      </c>
      <c r="O120" s="11">
        <f t="shared" si="27"/>
        <v>-771.77069326582023</v>
      </c>
      <c r="P120" s="11">
        <f t="shared" si="28"/>
        <v>-1031.2788178535541</v>
      </c>
      <c r="Q120" s="11">
        <f t="shared" si="29"/>
        <v>-1742.0063990090853</v>
      </c>
      <c r="R120" s="11">
        <f t="shared" si="30"/>
        <v>-826.57743577603071</v>
      </c>
      <c r="S120" s="27">
        <f t="shared" si="31"/>
        <v>-4371.6333459044909</v>
      </c>
    </row>
    <row r="121" spans="1:19" x14ac:dyDescent="0.25">
      <c r="A121" s="6">
        <f t="shared" si="18"/>
        <v>116</v>
      </c>
      <c r="B121" s="24">
        <v>45237</v>
      </c>
      <c r="C121" s="31" cm="1">
        <f t="array" ref="C121" xml:space="preserve"> BonoM(100,C$2,C$1 - $B121,Portafolio!C121)</f>
        <v>88.243155094629785</v>
      </c>
      <c r="D121" s="31" cm="1">
        <f t="array" ref="D121" xml:space="preserve"> BonoM(100,D$2,D$1 - $B121,Portafolio!D121)</f>
        <v>98.139087094557809</v>
      </c>
      <c r="E121" s="31" cm="1">
        <f t="array" ref="E121" xml:space="preserve"> BonoM(100,E$2,E$1 - $B121,Portafolio!E121)</f>
        <v>92.260107691557764</v>
      </c>
      <c r="F121" s="31" cm="1">
        <f t="array" ref="F121" xml:space="preserve"> BonoM(100,F$2,F$1 - $B121,Portafolio!F121)</f>
        <v>93.42300281622741</v>
      </c>
      <c r="G121" s="5">
        <f t="shared" si="19"/>
        <v>-8.981008324644435E-4</v>
      </c>
      <c r="H121" s="5">
        <f t="shared" si="20"/>
        <v>-5.7399277058178821E-4</v>
      </c>
      <c r="I121" s="5">
        <f t="shared" si="21"/>
        <v>-1.8667032632495584E-3</v>
      </c>
      <c r="J121" s="5">
        <f t="shared" si="22"/>
        <v>-5.1025254408731957E-4</v>
      </c>
      <c r="K121" s="10">
        <f t="shared" si="23"/>
        <v>89.473213195176371</v>
      </c>
      <c r="L121" s="10">
        <f t="shared" si="24"/>
        <v>98.153517740052337</v>
      </c>
      <c r="M121" s="10">
        <f t="shared" si="25"/>
        <v>92.642820025871657</v>
      </c>
      <c r="N121" s="10">
        <f t="shared" si="26"/>
        <v>93.332991945748915</v>
      </c>
      <c r="O121" s="11">
        <f t="shared" si="27"/>
        <v>265.4130596275067</v>
      </c>
      <c r="P121" s="11">
        <f t="shared" si="28"/>
        <v>84.557649864670736</v>
      </c>
      <c r="Q121" s="11">
        <f t="shared" si="29"/>
        <v>346.52015922989676</v>
      </c>
      <c r="R121" s="11">
        <f t="shared" si="30"/>
        <v>47.647708952311518</v>
      </c>
      <c r="S121" s="27">
        <f t="shared" si="31"/>
        <v>744.13857767438571</v>
      </c>
    </row>
    <row r="122" spans="1:19" x14ac:dyDescent="0.25">
      <c r="A122" s="6">
        <f t="shared" si="18"/>
        <v>117</v>
      </c>
      <c r="B122" s="24">
        <v>45236</v>
      </c>
      <c r="C122" s="31" cm="1">
        <f t="array" ref="C122" xml:space="preserve"> BonoM(100,C$2,C$1 - $B122,Portafolio!C122)</f>
        <v>88.322477585274441</v>
      </c>
      <c r="D122" s="31" cm="1">
        <f t="array" ref="D122" xml:space="preserve"> BonoM(100,D$2,D$1 - $B122,Portafolio!D122)</f>
        <v>98.195450573290898</v>
      </c>
      <c r="E122" s="31" cm="1">
        <f t="array" ref="E122" xml:space="preserve"> BonoM(100,E$2,E$1 - $B122,Portafolio!E122)</f>
        <v>92.432652024723126</v>
      </c>
      <c r="F122" s="31" cm="1">
        <f t="array" ref="F122" xml:space="preserve"> BonoM(100,F$2,F$1 - $B122,Portafolio!F122)</f>
        <v>93.470696476902361</v>
      </c>
      <c r="G122" s="5">
        <f t="shared" si="19"/>
        <v>1.1674636569907415E-2</v>
      </c>
      <c r="H122" s="5">
        <f t="shared" si="20"/>
        <v>1.5744912603417482E-2</v>
      </c>
      <c r="I122" s="5">
        <f t="shared" si="21"/>
        <v>2.0936060073736495E-2</v>
      </c>
      <c r="J122" s="5">
        <f t="shared" si="22"/>
        <v>3.0344665886107069E-2</v>
      </c>
      <c r="K122" s="10">
        <f t="shared" si="23"/>
        <v>90.599147611862676</v>
      </c>
      <c r="L122" s="10">
        <f t="shared" si="24"/>
        <v>99.756195633701935</v>
      </c>
      <c r="M122" s="10">
        <f t="shared" si="25"/>
        <v>94.759283134383807</v>
      </c>
      <c r="N122" s="10">
        <f t="shared" si="26"/>
        <v>96.214243965254099</v>
      </c>
      <c r="O122" s="11">
        <f t="shared" si="27"/>
        <v>-3450.1705154373026</v>
      </c>
      <c r="P122" s="11">
        <f t="shared" si="28"/>
        <v>-2319.4591906097271</v>
      </c>
      <c r="Q122" s="11">
        <f t="shared" si="29"/>
        <v>-3886.4060577944028</v>
      </c>
      <c r="R122" s="11">
        <f t="shared" si="30"/>
        <v>-2833.6043105528715</v>
      </c>
      <c r="S122" s="27">
        <f t="shared" si="31"/>
        <v>-12489.640074394303</v>
      </c>
    </row>
    <row r="123" spans="1:19" x14ac:dyDescent="0.25">
      <c r="A123" s="6">
        <f t="shared" si="18"/>
        <v>118</v>
      </c>
      <c r="B123" s="24">
        <v>45234</v>
      </c>
      <c r="C123" s="31" cm="1">
        <f t="array" ref="C123" xml:space="preserve"> BonoM(100,C$2,C$1 - $B123,Portafolio!C123)</f>
        <v>87.303243940890582</v>
      </c>
      <c r="D123" s="31" cm="1">
        <f t="array" ref="D123" xml:space="preserve"> BonoM(100,D$2,D$1 - $B123,Portafolio!D123)</f>
        <v>96.673337326012145</v>
      </c>
      <c r="E123" s="31" cm="1">
        <f t="array" ref="E123" xml:space="preserve"> BonoM(100,E$2,E$1 - $B123,Portafolio!E123)</f>
        <v>90.537160591670386</v>
      </c>
      <c r="F123" s="31" cm="1">
        <f t="array" ref="F123" xml:space="preserve"> BonoM(100,F$2,F$1 - $B123,Portafolio!F123)</f>
        <v>90.717892343836809</v>
      </c>
      <c r="G123" s="5">
        <f t="shared" si="19"/>
        <v>-1.0446854049145693E-2</v>
      </c>
      <c r="H123" s="5">
        <f t="shared" si="20"/>
        <v>-1.513346143030625E-2</v>
      </c>
      <c r="I123" s="5">
        <f t="shared" si="21"/>
        <v>-1.9726773575908463E-2</v>
      </c>
      <c r="J123" s="5">
        <f t="shared" si="22"/>
        <v>-2.7923370065575992E-2</v>
      </c>
      <c r="K123" s="10">
        <f t="shared" si="23"/>
        <v>88.61808757383973</v>
      </c>
      <c r="L123" s="10">
        <f t="shared" si="24"/>
        <v>96.723633931705578</v>
      </c>
      <c r="M123" s="10">
        <f t="shared" si="25"/>
        <v>90.985118309042292</v>
      </c>
      <c r="N123" s="10">
        <f t="shared" si="26"/>
        <v>90.773137496662798</v>
      </c>
      <c r="O123" s="11">
        <f t="shared" si="27"/>
        <v>3087.3276100384187</v>
      </c>
      <c r="P123" s="11">
        <f t="shared" si="28"/>
        <v>2229.3833623848086</v>
      </c>
      <c r="Q123" s="11">
        <f t="shared" si="29"/>
        <v>3661.9235928886269</v>
      </c>
      <c r="R123" s="11">
        <f t="shared" si="30"/>
        <v>2607.5021580384287</v>
      </c>
      <c r="S123" s="27">
        <f t="shared" si="31"/>
        <v>11586.136723350282</v>
      </c>
    </row>
    <row r="124" spans="1:19" x14ac:dyDescent="0.25">
      <c r="A124" s="6">
        <f t="shared" si="18"/>
        <v>119</v>
      </c>
      <c r="B124" s="24">
        <v>45233</v>
      </c>
      <c r="C124" s="31" cm="1">
        <f t="array" ref="C124" xml:space="preserve"> BonoM(100,C$2,C$1 - $B124,Portafolio!C124)</f>
        <v>88.224916769883578</v>
      </c>
      <c r="D124" s="31" cm="1">
        <f t="array" ref="D124" xml:space="preserve"> BonoM(100,D$2,D$1 - $B124,Portafolio!D124)</f>
        <v>98.158820043179986</v>
      </c>
      <c r="E124" s="31" cm="1">
        <f t="array" ref="E124" xml:space="preserve"> BonoM(100,E$2,E$1 - $B124,Portafolio!E124)</f>
        <v>92.359107798892055</v>
      </c>
      <c r="F124" s="31" cm="1">
        <f t="array" ref="F124" xml:space="preserve"> BonoM(100,F$2,F$1 - $B124,Portafolio!F124)</f>
        <v>93.323807558213403</v>
      </c>
      <c r="G124" s="5">
        <f t="shared" si="19"/>
        <v>2.0457217232373148E-2</v>
      </c>
      <c r="H124" s="5">
        <f t="shared" si="20"/>
        <v>2.8959419165035749E-2</v>
      </c>
      <c r="I124" s="5">
        <f t="shared" si="21"/>
        <v>3.962826552131693E-2</v>
      </c>
      <c r="J124" s="5">
        <f t="shared" si="22"/>
        <v>5.1694479659453396E-2</v>
      </c>
      <c r="K124" s="10">
        <f t="shared" si="23"/>
        <v>91.385659691032359</v>
      </c>
      <c r="L124" s="10">
        <f t="shared" si="24"/>
        <v>101.05399086300309</v>
      </c>
      <c r="M124" s="10">
        <f t="shared" si="25"/>
        <v>96.494220372554651</v>
      </c>
      <c r="N124" s="10">
        <f t="shared" si="26"/>
        <v>98.207903231917925</v>
      </c>
      <c r="O124" s="11">
        <f t="shared" si="27"/>
        <v>-6045.6603766972548</v>
      </c>
      <c r="P124" s="11">
        <f t="shared" si="28"/>
        <v>-4266.1520345614645</v>
      </c>
      <c r="Q124" s="11">
        <f t="shared" si="29"/>
        <v>-7356.28053413609</v>
      </c>
      <c r="R124" s="11">
        <f t="shared" si="30"/>
        <v>-4827.2635772166977</v>
      </c>
      <c r="S124" s="27">
        <f t="shared" si="31"/>
        <v>-22495.356522611506</v>
      </c>
    </row>
    <row r="125" spans="1:19" x14ac:dyDescent="0.25">
      <c r="A125" s="6">
        <f t="shared" si="18"/>
        <v>120</v>
      </c>
      <c r="B125" s="24">
        <v>45232</v>
      </c>
      <c r="C125" s="31" cm="1">
        <f t="array" ref="C125" xml:space="preserve"> BonoM(100,C$2,C$1 - $B125,Portafolio!C125)</f>
        <v>86.456262232298428</v>
      </c>
      <c r="D125" s="31" cm="1">
        <f t="array" ref="D125" xml:space="preserve"> BonoM(100,D$2,D$1 - $B125,Portafolio!D125)</f>
        <v>95.396201458394145</v>
      </c>
      <c r="E125" s="31" cm="1">
        <f t="array" ref="E125" xml:space="preserve"> BonoM(100,E$2,E$1 - $B125,Portafolio!E125)</f>
        <v>88.838588620499834</v>
      </c>
      <c r="F125" s="31" cm="1">
        <f t="array" ref="F125" xml:space="preserve"> BonoM(100,F$2,F$1 - $B125,Portafolio!F125)</f>
        <v>88.736614447603031</v>
      </c>
      <c r="G125" s="5">
        <f t="shared" si="19"/>
        <v>-1.1886004502918768E-2</v>
      </c>
      <c r="H125" s="5">
        <f t="shared" si="20"/>
        <v>-1.611952390712279E-2</v>
      </c>
      <c r="I125" s="5">
        <f t="shared" si="21"/>
        <v>-2.0506815398695588E-2</v>
      </c>
      <c r="J125" s="5">
        <f t="shared" si="22"/>
        <v>-3.0825605548186141E-2</v>
      </c>
      <c r="K125" s="10">
        <f t="shared" si="23"/>
        <v>88.489206410188999</v>
      </c>
      <c r="L125" s="10">
        <f t="shared" si="24"/>
        <v>96.626792844810794</v>
      </c>
      <c r="M125" s="10">
        <f t="shared" si="25"/>
        <v>90.912717884732857</v>
      </c>
      <c r="N125" s="10">
        <f t="shared" si="26"/>
        <v>90.502124890868103</v>
      </c>
      <c r="O125" s="11">
        <f t="shared" si="27"/>
        <v>3512.6354500858342</v>
      </c>
      <c r="P125" s="11">
        <f t="shared" si="28"/>
        <v>2374.644992726985</v>
      </c>
      <c r="Q125" s="11">
        <f t="shared" si="29"/>
        <v>3806.7244415074983</v>
      </c>
      <c r="R125" s="11">
        <f t="shared" si="30"/>
        <v>2878.5147638331237</v>
      </c>
      <c r="S125" s="27">
        <f t="shared" si="31"/>
        <v>12572.519648153442</v>
      </c>
    </row>
    <row r="126" spans="1:19" x14ac:dyDescent="0.25">
      <c r="A126" s="6">
        <f t="shared" si="18"/>
        <v>121</v>
      </c>
      <c r="B126" s="24">
        <v>45231</v>
      </c>
      <c r="C126" s="31" cm="1">
        <f t="array" ref="C126" xml:space="preserve"> BonoM(100,C$2,C$1 - $B126,Portafolio!C126)</f>
        <v>87.496242970231066</v>
      </c>
      <c r="D126" s="31" cm="1">
        <f t="array" ref="D126" xml:space="preserve"> BonoM(100,D$2,D$1 - $B126,Portafolio!D126)</f>
        <v>96.959136578485015</v>
      </c>
      <c r="E126" s="31" cm="1">
        <f t="array" ref="E126" xml:space="preserve"> BonoM(100,E$2,E$1 - $B126,Portafolio!E126)</f>
        <v>90.698526561632931</v>
      </c>
      <c r="F126" s="31" cm="1">
        <f t="array" ref="F126" xml:space="preserve"> BonoM(100,F$2,F$1 - $B126,Portafolio!F126)</f>
        <v>91.558975304743157</v>
      </c>
      <c r="G126" s="5">
        <f t="shared" si="19"/>
        <v>3.1006778614266484E-3</v>
      </c>
      <c r="H126" s="5">
        <f t="shared" si="20"/>
        <v>5.3201843201546861E-3</v>
      </c>
      <c r="I126" s="5">
        <f t="shared" si="21"/>
        <v>5.0755284820760416E-3</v>
      </c>
      <c r="J126" s="5">
        <f t="shared" si="22"/>
        <v>7.2139242742319531E-3</v>
      </c>
      <c r="K126" s="10">
        <f t="shared" si="23"/>
        <v>89.831318388347313</v>
      </c>
      <c r="L126" s="10">
        <f t="shared" si="24"/>
        <v>98.732384220866081</v>
      </c>
      <c r="M126" s="10">
        <f t="shared" si="25"/>
        <v>93.287170763656661</v>
      </c>
      <c r="N126" s="10">
        <f t="shared" si="26"/>
        <v>94.054280517849577</v>
      </c>
      <c r="O126" s="11">
        <f t="shared" si="27"/>
        <v>-916.33407783660346</v>
      </c>
      <c r="P126" s="11">
        <f t="shared" si="28"/>
        <v>-783.74207135594531</v>
      </c>
      <c r="Q126" s="11">
        <f t="shared" si="29"/>
        <v>-942.18131634011115</v>
      </c>
      <c r="R126" s="11">
        <f t="shared" si="30"/>
        <v>-673.64086314834992</v>
      </c>
      <c r="S126" s="27">
        <f t="shared" si="31"/>
        <v>-3315.8983286810098</v>
      </c>
    </row>
    <row r="127" spans="1:19" x14ac:dyDescent="0.25">
      <c r="A127" s="6">
        <f t="shared" si="18"/>
        <v>122</v>
      </c>
      <c r="B127" s="24">
        <v>45230</v>
      </c>
      <c r="C127" s="31" cm="1">
        <f t="array" ref="C127" xml:space="preserve"> BonoM(100,C$2,C$1 - $B127,Portafolio!C127)</f>
        <v>87.225783913106113</v>
      </c>
      <c r="D127" s="31" cm="1">
        <f t="array" ref="D127" xml:space="preserve"> BonoM(100,D$2,D$1 - $B127,Portafolio!D127)</f>
        <v>96.446025943519075</v>
      </c>
      <c r="E127" s="31" cm="1">
        <f t="array" ref="E127" xml:space="preserve"> BonoM(100,E$2,E$1 - $B127,Portafolio!E127)</f>
        <v>90.240508291562094</v>
      </c>
      <c r="F127" s="31" cm="1">
        <f t="array" ref="F127" xml:space="preserve"> BonoM(100,F$2,F$1 - $B127,Portafolio!F127)</f>
        <v>90.903206457076934</v>
      </c>
      <c r="G127" s="5">
        <f t="shared" si="19"/>
        <v>2.8042846992581971E-4</v>
      </c>
      <c r="H127" s="5">
        <f t="shared" si="20"/>
        <v>6.9454517300249208E-4</v>
      </c>
      <c r="I127" s="5">
        <f t="shared" si="21"/>
        <v>2.4062978464574059E-3</v>
      </c>
      <c r="J127" s="5">
        <f t="shared" si="22"/>
        <v>5.6537480585663324E-3</v>
      </c>
      <c r="K127" s="10">
        <f t="shared" si="23"/>
        <v>89.578754785696191</v>
      </c>
      <c r="L127" s="10">
        <f t="shared" si="24"/>
        <v>98.278100711326715</v>
      </c>
      <c r="M127" s="10">
        <f t="shared" si="25"/>
        <v>93.039423239161053</v>
      </c>
      <c r="N127" s="10">
        <f t="shared" si="26"/>
        <v>93.90859026485667</v>
      </c>
      <c r="O127" s="11">
        <f t="shared" si="27"/>
        <v>-82.874189087900163</v>
      </c>
      <c r="P127" s="11">
        <f t="shared" si="28"/>
        <v>-102.31680704689694</v>
      </c>
      <c r="Q127" s="11">
        <f t="shared" si="29"/>
        <v>-446.68626734889472</v>
      </c>
      <c r="R127" s="11">
        <f t="shared" si="30"/>
        <v>-527.9506101554432</v>
      </c>
      <c r="S127" s="27">
        <f t="shared" si="31"/>
        <v>-1159.8278736391351</v>
      </c>
    </row>
    <row r="128" spans="1:19" x14ac:dyDescent="0.25">
      <c r="A128" s="6">
        <f t="shared" si="18"/>
        <v>123</v>
      </c>
      <c r="B128" s="24">
        <v>45229</v>
      </c>
      <c r="C128" s="31" cm="1">
        <f t="array" ref="C128" xml:space="preserve"> BonoM(100,C$2,C$1 - $B128,Portafolio!C128)</f>
        <v>87.201330177508936</v>
      </c>
      <c r="D128" s="31" cm="1">
        <f t="array" ref="D128" xml:space="preserve"> BonoM(100,D$2,D$1 - $B128,Portafolio!D128)</f>
        <v>96.379086314341052</v>
      </c>
      <c r="E128" s="31" cm="1">
        <f t="array" ref="E128" xml:space="preserve"> BonoM(100,E$2,E$1 - $B128,Portafolio!E128)</f>
        <v>90.023884013331084</v>
      </c>
      <c r="F128" s="31" cm="1">
        <f t="array" ref="F128" xml:space="preserve"> BonoM(100,F$2,F$1 - $B128,Portafolio!F128)</f>
        <v>90.392152003179319</v>
      </c>
      <c r="G128" s="5">
        <f t="shared" si="19"/>
        <v>9.6309809508610122E-3</v>
      </c>
      <c r="H128" s="5">
        <f t="shared" si="20"/>
        <v>1.3085072799255304E-2</v>
      </c>
      <c r="I128" s="5">
        <f t="shared" si="21"/>
        <v>1.5537348594787614E-2</v>
      </c>
      <c r="J128" s="5">
        <f t="shared" si="22"/>
        <v>2.3115104251586249E-2</v>
      </c>
      <c r="K128" s="10">
        <f t="shared" si="23"/>
        <v>90.416130809419585</v>
      </c>
      <c r="L128" s="10">
        <f t="shared" si="24"/>
        <v>99.494973060429842</v>
      </c>
      <c r="M128" s="10">
        <f t="shared" si="25"/>
        <v>94.25819589728728</v>
      </c>
      <c r="N128" s="10">
        <f t="shared" si="26"/>
        <v>95.539142875399449</v>
      </c>
      <c r="O128" s="11">
        <f t="shared" si="27"/>
        <v>-2846.2150673750998</v>
      </c>
      <c r="P128" s="11">
        <f t="shared" si="28"/>
        <v>-1927.6253307015877</v>
      </c>
      <c r="Q128" s="11">
        <f t="shared" si="29"/>
        <v>-2884.2315836013486</v>
      </c>
      <c r="R128" s="11">
        <f t="shared" si="30"/>
        <v>-2158.5032206982219</v>
      </c>
      <c r="S128" s="27">
        <f t="shared" si="31"/>
        <v>-9816.5752023762579</v>
      </c>
    </row>
    <row r="129" spans="1:19" x14ac:dyDescent="0.25">
      <c r="A129" s="6">
        <f t="shared" si="18"/>
        <v>124</v>
      </c>
      <c r="B129" s="24">
        <v>45227</v>
      </c>
      <c r="C129" s="31" cm="1">
        <f t="array" ref="C129" xml:space="preserve"> BonoM(100,C$2,C$1 - $B129,Portafolio!C129)</f>
        <v>86.369507099894591</v>
      </c>
      <c r="D129" s="31" cm="1">
        <f t="array" ref="D129" xml:space="preserve"> BonoM(100,D$2,D$1 - $B129,Portafolio!D129)</f>
        <v>95.134247756741701</v>
      </c>
      <c r="E129" s="31" cm="1">
        <f t="array" ref="E129" xml:space="preserve"> BonoM(100,E$2,E$1 - $B129,Portafolio!E129)</f>
        <v>88.646551638793312</v>
      </c>
      <c r="F129" s="31" cm="1">
        <f t="array" ref="F129" xml:space="preserve"> BonoM(100,F$2,F$1 - $B129,Portafolio!F129)</f>
        <v>88.349934066608881</v>
      </c>
      <c r="G129" s="5">
        <f t="shared" si="19"/>
        <v>-1.1505198787880699E-2</v>
      </c>
      <c r="H129" s="5">
        <f t="shared" si="20"/>
        <v>-1.6246336094357328E-2</v>
      </c>
      <c r="I129" s="5">
        <f t="shared" si="21"/>
        <v>-2.0761680454201126E-2</v>
      </c>
      <c r="J129" s="5">
        <f t="shared" si="22"/>
        <v>-3.0008024161940372E-2</v>
      </c>
      <c r="K129" s="10">
        <f t="shared" si="23"/>
        <v>88.523308948634707</v>
      </c>
      <c r="L129" s="10">
        <f t="shared" si="24"/>
        <v>96.6143386339144</v>
      </c>
      <c r="M129" s="10">
        <f t="shared" si="25"/>
        <v>90.889062309324956</v>
      </c>
      <c r="N129" s="10">
        <f t="shared" si="26"/>
        <v>90.578471163685506</v>
      </c>
      <c r="O129" s="11">
        <f t="shared" si="27"/>
        <v>3400.0970732149967</v>
      </c>
      <c r="P129" s="11">
        <f t="shared" si="28"/>
        <v>2393.3263090715755</v>
      </c>
      <c r="Q129" s="11">
        <f t="shared" si="29"/>
        <v>3854.0355923232992</v>
      </c>
      <c r="R129" s="11">
        <f t="shared" si="30"/>
        <v>2802.1684910157205</v>
      </c>
      <c r="S129" s="27">
        <f t="shared" si="31"/>
        <v>12449.627465625592</v>
      </c>
    </row>
    <row r="130" spans="1:19" x14ac:dyDescent="0.25">
      <c r="A130" s="6">
        <f t="shared" si="18"/>
        <v>125</v>
      </c>
      <c r="B130" s="24">
        <v>45226</v>
      </c>
      <c r="C130" s="31" cm="1">
        <f t="array" ref="C130" xml:space="preserve"> BonoM(100,C$2,C$1 - $B130,Portafolio!C130)</f>
        <v>87.374771211731158</v>
      </c>
      <c r="D130" s="31" cm="1">
        <f t="array" ref="D130" xml:space="preserve"> BonoM(100,D$2,D$1 - $B130,Portafolio!D130)</f>
        <v>96.705355463729745</v>
      </c>
      <c r="E130" s="31" cm="1">
        <f t="array" ref="E130" xml:space="preserve"> BonoM(100,E$2,E$1 - $B130,Portafolio!E130)</f>
        <v>90.526024022334354</v>
      </c>
      <c r="F130" s="31" cm="1">
        <f t="array" ref="F130" xml:space="preserve"> BonoM(100,F$2,F$1 - $B130,Portafolio!F130)</f>
        <v>91.083159724363455</v>
      </c>
      <c r="G130" s="5">
        <f t="shared" si="19"/>
        <v>1.7539370151555822E-3</v>
      </c>
      <c r="H130" s="5">
        <f t="shared" si="20"/>
        <v>1.1150052794983711E-3</v>
      </c>
      <c r="I130" s="5">
        <f t="shared" si="21"/>
        <v>-7.9297337650041655E-4</v>
      </c>
      <c r="J130" s="5">
        <f t="shared" si="22"/>
        <v>3.3548459809102926E-3</v>
      </c>
      <c r="K130" s="10">
        <f t="shared" si="23"/>
        <v>89.710712841548258</v>
      </c>
      <c r="L130" s="10">
        <f t="shared" si="24"/>
        <v>98.319394051927631</v>
      </c>
      <c r="M130" s="10">
        <f t="shared" si="25"/>
        <v>92.742479425051826</v>
      </c>
      <c r="N130" s="10">
        <f t="shared" si="26"/>
        <v>93.693917318341633</v>
      </c>
      <c r="O130" s="11">
        <f t="shared" si="27"/>
        <v>-518.33577339972123</v>
      </c>
      <c r="P130" s="11">
        <f t="shared" si="28"/>
        <v>-164.25681794827085</v>
      </c>
      <c r="Q130" s="11">
        <f t="shared" si="29"/>
        <v>147.20136086955904</v>
      </c>
      <c r="R130" s="11">
        <f t="shared" si="30"/>
        <v>-313.27766364040599</v>
      </c>
      <c r="S130" s="27">
        <f t="shared" si="31"/>
        <v>-848.66889411883903</v>
      </c>
    </row>
    <row r="131" spans="1:19" x14ac:dyDescent="0.25">
      <c r="A131" s="6">
        <f t="shared" si="18"/>
        <v>126</v>
      </c>
      <c r="B131" s="24">
        <v>45225</v>
      </c>
      <c r="C131" s="31" cm="1">
        <f t="array" ref="C131" xml:space="preserve"> BonoM(100,C$2,C$1 - $B131,Portafolio!C131)</f>
        <v>87.221789686272288</v>
      </c>
      <c r="D131" s="31" cm="1">
        <f t="array" ref="D131" xml:space="preserve"> BonoM(100,D$2,D$1 - $B131,Portafolio!D131)</f>
        <v>96.597648575580848</v>
      </c>
      <c r="E131" s="31" cm="1">
        <f t="array" ref="E131" xml:space="preserve"> BonoM(100,E$2,E$1 - $B131,Portafolio!E131)</f>
        <v>90.597865717816347</v>
      </c>
      <c r="F131" s="31" cm="1">
        <f t="array" ref="F131" xml:space="preserve"> BonoM(100,F$2,F$1 - $B131,Portafolio!F131)</f>
        <v>90.778611464539026</v>
      </c>
      <c r="G131" s="5">
        <f t="shared" si="19"/>
        <v>4.8926812893665961E-3</v>
      </c>
      <c r="H131" s="5">
        <f t="shared" si="20"/>
        <v>7.0296813704340266E-3</v>
      </c>
      <c r="I131" s="5">
        <f t="shared" si="21"/>
        <v>7.773121837521435E-3</v>
      </c>
      <c r="J131" s="5">
        <f t="shared" si="22"/>
        <v>7.2051662256209514E-3</v>
      </c>
      <c r="K131" s="10">
        <f t="shared" si="23"/>
        <v>89.991798820711765</v>
      </c>
      <c r="L131" s="10">
        <f t="shared" si="24"/>
        <v>98.900273737285914</v>
      </c>
      <c r="M131" s="10">
        <f t="shared" si="25"/>
        <v>93.537550804627699</v>
      </c>
      <c r="N131" s="10">
        <f t="shared" si="26"/>
        <v>94.053462685668165</v>
      </c>
      <c r="O131" s="11">
        <f t="shared" si="27"/>
        <v>-1445.9195046392936</v>
      </c>
      <c r="P131" s="11">
        <f t="shared" si="28"/>
        <v>-1035.576345985696</v>
      </c>
      <c r="Q131" s="11">
        <f t="shared" si="29"/>
        <v>-1442.941398282187</v>
      </c>
      <c r="R131" s="11">
        <f t="shared" si="30"/>
        <v>-672.82303096693852</v>
      </c>
      <c r="S131" s="27">
        <f t="shared" si="31"/>
        <v>-4597.2602798741154</v>
      </c>
    </row>
    <row r="132" spans="1:19" x14ac:dyDescent="0.25">
      <c r="A132" s="6">
        <f t="shared" si="18"/>
        <v>127</v>
      </c>
      <c r="B132" s="24">
        <v>45224</v>
      </c>
      <c r="C132" s="31" cm="1">
        <f t="array" ref="C132" xml:space="preserve"> BonoM(100,C$2,C$1 - $B132,Portafolio!C132)</f>
        <v>86.797119045945266</v>
      </c>
      <c r="D132" s="31" cm="1">
        <f t="array" ref="D132" xml:space="preserve"> BonoM(100,D$2,D$1 - $B132,Portafolio!D132)</f>
        <v>95.923338072939657</v>
      </c>
      <c r="E132" s="31" cm="1">
        <f t="array" ref="E132" xml:space="preserve"> BonoM(100,E$2,E$1 - $B132,Portafolio!E132)</f>
        <v>89.899069299074853</v>
      </c>
      <c r="F132" s="31" cm="1">
        <f t="array" ref="F132" xml:space="preserve"> BonoM(100,F$2,F$1 - $B132,Portafolio!F132)</f>
        <v>90.129215485183465</v>
      </c>
      <c r="G132" s="5">
        <f t="shared" si="19"/>
        <v>-3.2538233657063431E-3</v>
      </c>
      <c r="H132" s="5">
        <f t="shared" si="20"/>
        <v>-7.2754829671235477E-3</v>
      </c>
      <c r="I132" s="5">
        <f t="shared" si="21"/>
        <v>-9.8201988076490609E-3</v>
      </c>
      <c r="J132" s="5">
        <f t="shared" si="22"/>
        <v>-1.5754579500457666E-2</v>
      </c>
      <c r="K132" s="10">
        <f t="shared" si="23"/>
        <v>89.262249664208156</v>
      </c>
      <c r="L132" s="10">
        <f t="shared" si="24"/>
        <v>97.495365128320216</v>
      </c>
      <c r="M132" s="10">
        <f t="shared" si="25"/>
        <v>91.904607746304052</v>
      </c>
      <c r="N132" s="10">
        <f t="shared" si="26"/>
        <v>91.909466943457645</v>
      </c>
      <c r="O132" s="11">
        <f t="shared" si="27"/>
        <v>961.59271182261534</v>
      </c>
      <c r="P132" s="11">
        <f t="shared" si="28"/>
        <v>1071.7865674628513</v>
      </c>
      <c r="Q132" s="11">
        <f t="shared" si="29"/>
        <v>1822.9447183651075</v>
      </c>
      <c r="R132" s="11">
        <f t="shared" si="30"/>
        <v>1471.1727112435824</v>
      </c>
      <c r="S132" s="27">
        <f t="shared" si="31"/>
        <v>5327.4967088941557</v>
      </c>
    </row>
    <row r="133" spans="1:19" x14ac:dyDescent="0.25">
      <c r="A133" s="6">
        <f t="shared" ref="A133:A196" si="32">+A134-1</f>
        <v>128</v>
      </c>
      <c r="B133" s="24">
        <v>45223</v>
      </c>
      <c r="C133" s="31" cm="1">
        <f t="array" ref="C133" xml:space="preserve"> BonoM(100,C$2,C$1 - $B133,Portafolio!C133)</f>
        <v>87.080463492754532</v>
      </c>
      <c r="D133" s="31" cm="1">
        <f t="array" ref="D133" xml:space="preserve"> BonoM(100,D$2,D$1 - $B133,Portafolio!D133)</f>
        <v>96.626341373780065</v>
      </c>
      <c r="E133" s="31" cm="1">
        <f t="array" ref="E133" xml:space="preserve"> BonoM(100,E$2,E$1 - $B133,Portafolio!E133)</f>
        <v>90.790651547143796</v>
      </c>
      <c r="F133" s="31" cm="1">
        <f t="array" ref="F133" xml:space="preserve"> BonoM(100,F$2,F$1 - $B133,Portafolio!F133)</f>
        <v>91.571892139908996</v>
      </c>
      <c r="G133" s="5">
        <f t="shared" si="19"/>
        <v>-1.1973134526491735E-3</v>
      </c>
      <c r="H133" s="5">
        <f t="shared" si="20"/>
        <v>-1.8355227609284652E-3</v>
      </c>
      <c r="I133" s="5">
        <f t="shared" si="21"/>
        <v>-4.003527783371319E-3</v>
      </c>
      <c r="J133" s="5">
        <f t="shared" si="22"/>
        <v>-4.3624792100013243E-3</v>
      </c>
      <c r="K133" s="10">
        <f t="shared" si="23"/>
        <v>89.446417615487462</v>
      </c>
      <c r="L133" s="10">
        <f t="shared" si="24"/>
        <v>98.02962301909109</v>
      </c>
      <c r="M133" s="10">
        <f t="shared" si="25"/>
        <v>92.444488350040672</v>
      </c>
      <c r="N133" s="10">
        <f t="shared" si="26"/>
        <v>92.973268555590963</v>
      </c>
      <c r="O133" s="11">
        <f t="shared" si="27"/>
        <v>353.8384726009042</v>
      </c>
      <c r="P133" s="11">
        <f t="shared" si="28"/>
        <v>270.39973130654005</v>
      </c>
      <c r="Q133" s="11">
        <f t="shared" si="29"/>
        <v>743.18351089186763</v>
      </c>
      <c r="R133" s="11">
        <f t="shared" si="30"/>
        <v>407.37109911026437</v>
      </c>
      <c r="S133" s="27">
        <f t="shared" si="31"/>
        <v>1774.7928139095761</v>
      </c>
    </row>
    <row r="134" spans="1:19" x14ac:dyDescent="0.25">
      <c r="A134" s="6">
        <f t="shared" si="32"/>
        <v>129</v>
      </c>
      <c r="B134" s="24">
        <v>45222</v>
      </c>
      <c r="C134" s="31" cm="1">
        <f t="array" ref="C134" xml:space="preserve"> BonoM(100,C$2,C$1 - $B134,Portafolio!C134)</f>
        <v>87.184851087829202</v>
      </c>
      <c r="D134" s="31" cm="1">
        <f t="array" ref="D134" xml:space="preserve"> BonoM(100,D$2,D$1 - $B134,Portafolio!D134)</f>
        <v>96.804027369366082</v>
      </c>
      <c r="E134" s="31" cm="1">
        <f t="array" ref="E134" xml:space="preserve"> BonoM(100,E$2,E$1 - $B134,Portafolio!E134)</f>
        <v>91.155595506363284</v>
      </c>
      <c r="F134" s="31" cm="1">
        <f t="array" ref="F134" xml:space="preserve"> BonoM(100,F$2,F$1 - $B134,Portafolio!F134)</f>
        <v>91.973122976774064</v>
      </c>
      <c r="G134" s="5">
        <f t="shared" ref="G134:G197" si="33" xml:space="preserve"> C134/C135 - 1</f>
        <v>1.1749737832825957E-2</v>
      </c>
      <c r="H134" s="5">
        <f t="shared" ref="H134:H197" si="34" xml:space="preserve"> D134/D135 - 1</f>
        <v>1.5333390896296928E-2</v>
      </c>
      <c r="I134" s="5">
        <f t="shared" ref="I134:I197" si="35" xml:space="preserve"> E134/E135 - 1</f>
        <v>2.4236630576117912E-2</v>
      </c>
      <c r="J134" s="5">
        <f t="shared" ref="J134:J197" si="36" xml:space="preserve"> F134/F135 - 1</f>
        <v>3.0931220678074078E-2</v>
      </c>
      <c r="K134" s="10">
        <f t="shared" ref="K134:K197" si="37" xml:space="preserve"> C$5 * (1 + G134)</f>
        <v>90.605873203430406</v>
      </c>
      <c r="L134" s="10">
        <f t="shared" ref="L134:L197" si="38" xml:space="preserve"> D$5 * (1 + H134)</f>
        <v>99.715780132316056</v>
      </c>
      <c r="M134" s="10">
        <f t="shared" ref="M134:M197" si="39" xml:space="preserve"> E$5 * (1 + I134)</f>
        <v>95.065629150526647</v>
      </c>
      <c r="N134" s="10">
        <f t="shared" ref="N134:N197" si="40" xml:space="preserve"> F$5 * (1 + J134)</f>
        <v>96.269016826920506</v>
      </c>
      <c r="O134" s="11">
        <f t="shared" ref="O134:O197" si="41" xml:space="preserve"> (C$5 - K134) * O$2</f>
        <v>-3472.3649676108098</v>
      </c>
      <c r="P134" s="11">
        <f t="shared" ref="P134:P197" si="42" xml:space="preserve"> (D$5 - L134) * P$2</f>
        <v>-2258.8359385309077</v>
      </c>
      <c r="Q134" s="11">
        <f t="shared" ref="Q134:Q197" si="43" xml:space="preserve"> (E$5 - M134) * Q$2</f>
        <v>-4499.0980900800823</v>
      </c>
      <c r="R134" s="11">
        <f t="shared" ref="R134:R197" si="44" xml:space="preserve"> (F$5 - N134) * R$2</f>
        <v>-2888.3771722192791</v>
      </c>
      <c r="S134" s="27">
        <f t="shared" ref="S134:S197" si="45" xml:space="preserve"> SUM(O134:R134)</f>
        <v>-13118.676168441079</v>
      </c>
    </row>
    <row r="135" spans="1:19" x14ac:dyDescent="0.25">
      <c r="A135" s="6">
        <f t="shared" si="32"/>
        <v>130</v>
      </c>
      <c r="B135" s="24">
        <v>45220</v>
      </c>
      <c r="C135" s="31" cm="1">
        <f t="array" ref="C135" xml:space="preserve"> BonoM(100,C$2,C$1 - $B135,Portafolio!C135)</f>
        <v>86.17234858353379</v>
      </c>
      <c r="D135" s="31" cm="1">
        <f t="array" ref="D135" xml:space="preserve"> BonoM(100,D$2,D$1 - $B135,Portafolio!D135)</f>
        <v>95.342109534988538</v>
      </c>
      <c r="E135" s="31" cm="1">
        <f t="array" ref="E135" xml:space="preserve"> BonoM(100,E$2,E$1 - $B135,Portafolio!E135)</f>
        <v>88.99857004244187</v>
      </c>
      <c r="F135" s="31" cm="1">
        <f t="array" ref="F135" xml:space="preserve"> BonoM(100,F$2,F$1 - $B135,Portafolio!F135)</f>
        <v>89.213636304738742</v>
      </c>
      <c r="G135" s="5">
        <f t="shared" si="33"/>
        <v>-1.137265011009736E-2</v>
      </c>
      <c r="H135" s="5">
        <f t="shared" si="34"/>
        <v>-1.5550229638449542E-2</v>
      </c>
      <c r="I135" s="5">
        <f t="shared" si="35"/>
        <v>-2.1296912111428923E-2</v>
      </c>
      <c r="J135" s="5">
        <f t="shared" si="36"/>
        <v>-3.0723772203976374E-2</v>
      </c>
      <c r="K135" s="10">
        <f t="shared" si="37"/>
        <v>88.535179165392307</v>
      </c>
      <c r="L135" s="10">
        <f t="shared" si="38"/>
        <v>96.682703172033953</v>
      </c>
      <c r="M135" s="10">
        <f t="shared" si="39"/>
        <v>90.839384204952708</v>
      </c>
      <c r="N135" s="10">
        <f t="shared" si="40"/>
        <v>90.51163415368859</v>
      </c>
      <c r="O135" s="11">
        <f t="shared" si="41"/>
        <v>3360.9253579149154</v>
      </c>
      <c r="P135" s="11">
        <f t="shared" si="42"/>
        <v>2290.7795018922457</v>
      </c>
      <c r="Q135" s="11">
        <f t="shared" si="43"/>
        <v>3953.3918010677953</v>
      </c>
      <c r="R135" s="11">
        <f t="shared" si="44"/>
        <v>2869.0055010126371</v>
      </c>
      <c r="S135" s="27">
        <f t="shared" si="45"/>
        <v>12474.102161887593</v>
      </c>
    </row>
    <row r="136" spans="1:19" x14ac:dyDescent="0.25">
      <c r="A136" s="6">
        <f t="shared" si="32"/>
        <v>131</v>
      </c>
      <c r="B136" s="24">
        <v>45219</v>
      </c>
      <c r="C136" s="31" cm="1">
        <f t="array" ref="C136" xml:space="preserve"> BonoM(100,C$2,C$1 - $B136,Portafolio!C136)</f>
        <v>87.163630050423222</v>
      </c>
      <c r="D136" s="31" cm="1">
        <f t="array" ref="D136" xml:space="preserve"> BonoM(100,D$2,D$1 - $B136,Portafolio!D136)</f>
        <v>96.848120041688929</v>
      </c>
      <c r="E136" s="31" cm="1">
        <f t="array" ref="E136" xml:space="preserve"> BonoM(100,E$2,E$1 - $B136,Portafolio!E136)</f>
        <v>90.935209200621912</v>
      </c>
      <c r="F136" s="31" cm="1">
        <f t="array" ref="F136" xml:space="preserve"> BonoM(100,F$2,F$1 - $B136,Portafolio!F136)</f>
        <v>92.041498332829264</v>
      </c>
      <c r="G136" s="5">
        <f t="shared" si="33"/>
        <v>2.952812987614184E-3</v>
      </c>
      <c r="H136" s="5">
        <f t="shared" si="34"/>
        <v>2.3889413995918929E-3</v>
      </c>
      <c r="I136" s="5">
        <f t="shared" si="35"/>
        <v>2.9576310387420257E-3</v>
      </c>
      <c r="J136" s="5">
        <f t="shared" si="36"/>
        <v>6.491869618985735E-3</v>
      </c>
      <c r="K136" s="10">
        <f t="shared" si="37"/>
        <v>89.818076550462976</v>
      </c>
      <c r="L136" s="10">
        <f t="shared" si="38"/>
        <v>98.444507177520521</v>
      </c>
      <c r="M136" s="10">
        <f t="shared" si="39"/>
        <v>93.090595824900959</v>
      </c>
      <c r="N136" s="10">
        <f t="shared" si="40"/>
        <v>93.986854592277041</v>
      </c>
      <c r="O136" s="11">
        <f t="shared" si="41"/>
        <v>-872.63601281829187</v>
      </c>
      <c r="P136" s="11">
        <f t="shared" si="42"/>
        <v>-351.92650633760536</v>
      </c>
      <c r="Q136" s="11">
        <f t="shared" si="43"/>
        <v>-549.03143882870609</v>
      </c>
      <c r="R136" s="11">
        <f t="shared" si="44"/>
        <v>-606.21493757581391</v>
      </c>
      <c r="S136" s="27">
        <f t="shared" si="45"/>
        <v>-2379.8088955604171</v>
      </c>
    </row>
    <row r="137" spans="1:19" x14ac:dyDescent="0.25">
      <c r="A137" s="6">
        <f t="shared" si="32"/>
        <v>132</v>
      </c>
      <c r="B137" s="24">
        <v>45218</v>
      </c>
      <c r="C137" s="31" cm="1">
        <f t="array" ref="C137" xml:space="preserve"> BonoM(100,C$2,C$1 - $B137,Portafolio!C137)</f>
        <v>86.90700990286733</v>
      </c>
      <c r="D137" s="31" cm="1">
        <f t="array" ref="D137" xml:space="preserve"> BonoM(100,D$2,D$1 - $B137,Portafolio!D137)</f>
        <v>96.617306957181839</v>
      </c>
      <c r="E137" s="31" cm="1">
        <f t="array" ref="E137" xml:space="preserve"> BonoM(100,E$2,E$1 - $B137,Portafolio!E137)</f>
        <v>90.667049520768131</v>
      </c>
      <c r="F137" s="31" cm="1">
        <f t="array" ref="F137" xml:space="preserve"> BonoM(100,F$2,F$1 - $B137,Portafolio!F137)</f>
        <v>91.447830937444323</v>
      </c>
      <c r="G137" s="5">
        <f t="shared" si="33"/>
        <v>1.4690276931059731E-3</v>
      </c>
      <c r="H137" s="5">
        <f t="shared" si="34"/>
        <v>6.951698187409594E-4</v>
      </c>
      <c r="I137" s="5">
        <f t="shared" si="35"/>
        <v>8.0920791768424039E-4</v>
      </c>
      <c r="J137" s="5">
        <f t="shared" si="36"/>
        <v>-2.8243380660262218E-3</v>
      </c>
      <c r="K137" s="10">
        <f t="shared" si="37"/>
        <v>89.68519817429133</v>
      </c>
      <c r="L137" s="10">
        <f t="shared" si="38"/>
        <v>98.278162057715676</v>
      </c>
      <c r="M137" s="10">
        <f t="shared" si="39"/>
        <v>92.891187612396379</v>
      </c>
      <c r="N137" s="10">
        <f t="shared" si="40"/>
        <v>93.116901159494574</v>
      </c>
      <c r="O137" s="11">
        <f t="shared" si="41"/>
        <v>-434.1373714518582</v>
      </c>
      <c r="P137" s="11">
        <f t="shared" si="42"/>
        <v>-102.40882663033801</v>
      </c>
      <c r="Q137" s="11">
        <f t="shared" si="43"/>
        <v>-150.21501381954749</v>
      </c>
      <c r="R137" s="11">
        <f t="shared" si="44"/>
        <v>263.7384952066526</v>
      </c>
      <c r="S137" s="27">
        <f t="shared" si="45"/>
        <v>-423.02271669509116</v>
      </c>
    </row>
    <row r="138" spans="1:19" x14ac:dyDescent="0.25">
      <c r="A138" s="6">
        <f t="shared" si="32"/>
        <v>133</v>
      </c>
      <c r="B138" s="24">
        <v>45217</v>
      </c>
      <c r="C138" s="31" cm="1">
        <f t="array" ref="C138" xml:space="preserve"> BonoM(100,C$2,C$1 - $B138,Portafolio!C138)</f>
        <v>86.779528372493459</v>
      </c>
      <c r="D138" s="31" cm="1">
        <f t="array" ref="D138" xml:space="preserve"> BonoM(100,D$2,D$1 - $B138,Portafolio!D138)</f>
        <v>96.550188180365083</v>
      </c>
      <c r="E138" s="31" cm="1">
        <f t="array" ref="E138" xml:space="preserve"> BonoM(100,E$2,E$1 - $B138,Portafolio!E138)</f>
        <v>90.593740348785261</v>
      </c>
      <c r="F138" s="31" cm="1">
        <f t="array" ref="F138" xml:space="preserve"> BonoM(100,F$2,F$1 - $B138,Portafolio!F138)</f>
        <v>91.706842062396206</v>
      </c>
      <c r="G138" s="5">
        <f t="shared" si="33"/>
        <v>-3.1237944701512088E-4</v>
      </c>
      <c r="H138" s="5">
        <f t="shared" si="34"/>
        <v>-2.2673975360403276E-3</v>
      </c>
      <c r="I138" s="5">
        <f t="shared" si="35"/>
        <v>-5.0851957974346051E-3</v>
      </c>
      <c r="J138" s="5">
        <f t="shared" si="36"/>
        <v>-5.154608447146547E-3</v>
      </c>
      <c r="K138" s="10">
        <f t="shared" si="37"/>
        <v>89.52566667808631</v>
      </c>
      <c r="L138" s="10">
        <f t="shared" si="38"/>
        <v>97.987208645146666</v>
      </c>
      <c r="M138" s="10">
        <f t="shared" si="39"/>
        <v>92.344092164999836</v>
      </c>
      <c r="N138" s="10">
        <f t="shared" si="40"/>
        <v>92.899299020737161</v>
      </c>
      <c r="O138" s="11">
        <f t="shared" si="41"/>
        <v>92.316566024706503</v>
      </c>
      <c r="P138" s="11">
        <f t="shared" si="42"/>
        <v>334.02129222317711</v>
      </c>
      <c r="Q138" s="11">
        <f t="shared" si="43"/>
        <v>943.97588097353946</v>
      </c>
      <c r="R138" s="11">
        <f t="shared" si="44"/>
        <v>481.34063396406646</v>
      </c>
      <c r="S138" s="27">
        <f t="shared" si="45"/>
        <v>1851.6543731854895</v>
      </c>
    </row>
    <row r="139" spans="1:19" x14ac:dyDescent="0.25">
      <c r="A139" s="6">
        <f t="shared" si="32"/>
        <v>134</v>
      </c>
      <c r="B139" s="24">
        <v>45216</v>
      </c>
      <c r="C139" s="31" cm="1">
        <f t="array" ref="C139" xml:space="preserve"> BonoM(100,C$2,C$1 - $B139,Portafolio!C139)</f>
        <v>86.80664498425088</v>
      </c>
      <c r="D139" s="31" cm="1">
        <f t="array" ref="D139" xml:space="preserve"> BonoM(100,D$2,D$1 - $B139,Portafolio!D139)</f>
        <v>96.769603340543028</v>
      </c>
      <c r="E139" s="31" cm="1">
        <f t="array" ref="E139" xml:space="preserve"> BonoM(100,E$2,E$1 - $B139,Portafolio!E139)</f>
        <v>91.056781913499705</v>
      </c>
      <c r="F139" s="31" cm="1">
        <f t="array" ref="F139" xml:space="preserve"> BonoM(100,F$2,F$1 - $B139,Portafolio!F139)</f>
        <v>92.182004199920016</v>
      </c>
      <c r="G139" s="5">
        <f t="shared" si="33"/>
        <v>-1.5021539066700784E-3</v>
      </c>
      <c r="H139" s="5">
        <f t="shared" si="34"/>
        <v>-3.5421223569015448E-3</v>
      </c>
      <c r="I139" s="5">
        <f t="shared" si="35"/>
        <v>-4.0271703603161901E-3</v>
      </c>
      <c r="J139" s="5">
        <f t="shared" si="36"/>
        <v>-4.3970802597904646E-3</v>
      </c>
      <c r="K139" s="10">
        <f t="shared" si="37"/>
        <v>89.419118042785371</v>
      </c>
      <c r="L139" s="10">
        <f t="shared" si="38"/>
        <v>97.862018061338517</v>
      </c>
      <c r="M139" s="10">
        <f t="shared" si="39"/>
        <v>92.442293938725058</v>
      </c>
      <c r="N139" s="10">
        <f t="shared" si="40"/>
        <v>92.970037487428939</v>
      </c>
      <c r="O139" s="11">
        <f t="shared" si="41"/>
        <v>443.92706251780538</v>
      </c>
      <c r="P139" s="11">
        <f t="shared" si="42"/>
        <v>521.80716793539978</v>
      </c>
      <c r="Q139" s="11">
        <f t="shared" si="43"/>
        <v>747.57233352309527</v>
      </c>
      <c r="R139" s="11">
        <f t="shared" si="44"/>
        <v>410.60216727228749</v>
      </c>
      <c r="S139" s="27">
        <f t="shared" si="45"/>
        <v>2123.9087312485881</v>
      </c>
    </row>
    <row r="140" spans="1:19" x14ac:dyDescent="0.25">
      <c r="A140" s="6">
        <f t="shared" si="32"/>
        <v>135</v>
      </c>
      <c r="B140" s="24">
        <v>45215</v>
      </c>
      <c r="C140" s="31" cm="1">
        <f t="array" ref="C140" xml:space="preserve"> BonoM(100,C$2,C$1 - $B140,Portafolio!C140)</f>
        <v>86.937238096092031</v>
      </c>
      <c r="D140" s="31" cm="1">
        <f t="array" ref="D140" xml:space="preserve"> BonoM(100,D$2,D$1 - $B140,Portafolio!D140)</f>
        <v>97.113591564382233</v>
      </c>
      <c r="E140" s="31" cm="1">
        <f t="array" ref="E140" xml:space="preserve"> BonoM(100,E$2,E$1 - $B140,Portafolio!E140)</f>
        <v>91.424965826067364</v>
      </c>
      <c r="F140" s="31" cm="1">
        <f t="array" ref="F140" xml:space="preserve"> BonoM(100,F$2,F$1 - $B140,Portafolio!F140)</f>
        <v>92.589126018205917</v>
      </c>
      <c r="G140" s="5">
        <f t="shared" si="33"/>
        <v>1.0616813298058858E-2</v>
      </c>
      <c r="H140" s="5">
        <f t="shared" si="34"/>
        <v>1.3052564513168496E-2</v>
      </c>
      <c r="I140" s="5">
        <f t="shared" si="35"/>
        <v>1.8989627940318554E-2</v>
      </c>
      <c r="J140" s="5">
        <f t="shared" si="36"/>
        <v>2.5993285459304794E-2</v>
      </c>
      <c r="K140" s="10">
        <f t="shared" si="37"/>
        <v>90.5044156859162</v>
      </c>
      <c r="L140" s="10">
        <f t="shared" si="38"/>
        <v>99.49178042524521</v>
      </c>
      <c r="M140" s="10">
        <f t="shared" si="39"/>
        <v>94.578622933568596</v>
      </c>
      <c r="N140" s="10">
        <f t="shared" si="40"/>
        <v>95.80790927761835</v>
      </c>
      <c r="O140" s="11">
        <f t="shared" si="41"/>
        <v>-3137.5551598139309</v>
      </c>
      <c r="P140" s="11">
        <f t="shared" si="42"/>
        <v>-1922.8363779246392</v>
      </c>
      <c r="Q140" s="11">
        <f t="shared" si="43"/>
        <v>-3525.0856561639807</v>
      </c>
      <c r="R140" s="11">
        <f t="shared" si="44"/>
        <v>-2427.2696229171233</v>
      </c>
      <c r="S140" s="27">
        <f t="shared" si="45"/>
        <v>-11012.746816819674</v>
      </c>
    </row>
    <row r="141" spans="1:19" x14ac:dyDescent="0.25">
      <c r="A141" s="6">
        <f t="shared" si="32"/>
        <v>136</v>
      </c>
      <c r="B141" s="24">
        <v>45213</v>
      </c>
      <c r="C141" s="31" cm="1">
        <f t="array" ref="C141" xml:space="preserve"> BonoM(100,C$2,C$1 - $B141,Portafolio!C141)</f>
        <v>86.023938007106793</v>
      </c>
      <c r="D141" s="31" cm="1">
        <f t="array" ref="D141" xml:space="preserve"> BonoM(100,D$2,D$1 - $B141,Portafolio!D141)</f>
        <v>95.862342158968858</v>
      </c>
      <c r="E141" s="31" cm="1">
        <f t="array" ref="E141" xml:space="preserve"> BonoM(100,E$2,E$1 - $B141,Portafolio!E141)</f>
        <v>89.721193738609927</v>
      </c>
      <c r="F141" s="31" cm="1">
        <f t="array" ref="F141" xml:space="preserve"> BonoM(100,F$2,F$1 - $B141,Portafolio!F141)</f>
        <v>90.243403470965887</v>
      </c>
      <c r="G141" s="5">
        <f t="shared" si="33"/>
        <v>-1.1150973101613282E-2</v>
      </c>
      <c r="H141" s="5">
        <f t="shared" si="34"/>
        <v>-1.4189894014196458E-2</v>
      </c>
      <c r="I141" s="5">
        <f t="shared" si="35"/>
        <v>-2.0492574529464624E-2</v>
      </c>
      <c r="J141" s="5">
        <f t="shared" si="36"/>
        <v>-3.0639386242375388E-2</v>
      </c>
      <c r="K141" s="10">
        <f t="shared" si="37"/>
        <v>88.555031148715614</v>
      </c>
      <c r="L141" s="10">
        <f t="shared" si="38"/>
        <v>96.816301583383776</v>
      </c>
      <c r="M141" s="10">
        <f t="shared" si="39"/>
        <v>90.914039666392156</v>
      </c>
      <c r="N141" s="10">
        <f t="shared" si="40"/>
        <v>90.519514168760765</v>
      </c>
      <c r="O141" s="11">
        <f t="shared" si="41"/>
        <v>3295.4138129480043</v>
      </c>
      <c r="P141" s="11">
        <f t="shared" si="42"/>
        <v>2090.3818848675114</v>
      </c>
      <c r="Q141" s="11">
        <f t="shared" si="43"/>
        <v>3804.0808781888982</v>
      </c>
      <c r="R141" s="11">
        <f t="shared" si="44"/>
        <v>2861.1254859404626</v>
      </c>
      <c r="S141" s="27">
        <f t="shared" si="45"/>
        <v>12051.002061944877</v>
      </c>
    </row>
    <row r="142" spans="1:19" x14ac:dyDescent="0.25">
      <c r="A142" s="6">
        <f t="shared" si="32"/>
        <v>137</v>
      </c>
      <c r="B142" s="24">
        <v>45212</v>
      </c>
      <c r="C142" s="31" cm="1">
        <f t="array" ref="C142" xml:space="preserve"> BonoM(100,C$2,C$1 - $B142,Portafolio!C142)</f>
        <v>86.99400582607494</v>
      </c>
      <c r="D142" s="31" cm="1">
        <f t="array" ref="D142" xml:space="preserve"> BonoM(100,D$2,D$1 - $B142,Portafolio!D142)</f>
        <v>97.242198651541671</v>
      </c>
      <c r="E142" s="31" cm="1">
        <f t="array" ref="E142" xml:space="preserve"> BonoM(100,E$2,E$1 - $B142,Portafolio!E142)</f>
        <v>91.598278283096931</v>
      </c>
      <c r="F142" s="31" cm="1">
        <f t="array" ref="F142" xml:space="preserve"> BonoM(100,F$2,F$1 - $B142,Portafolio!F142)</f>
        <v>93.095801696694494</v>
      </c>
      <c r="G142" s="5">
        <f t="shared" si="33"/>
        <v>5.7705726407841773E-4</v>
      </c>
      <c r="H142" s="5">
        <f t="shared" si="34"/>
        <v>1.5451850039389647E-3</v>
      </c>
      <c r="I142" s="5">
        <f t="shared" si="35"/>
        <v>1.8881688865843849E-3</v>
      </c>
      <c r="J142" s="5">
        <f t="shared" si="36"/>
        <v>1.8329563669343685E-3</v>
      </c>
      <c r="K142" s="10">
        <f t="shared" si="37"/>
        <v>89.605318974355185</v>
      </c>
      <c r="L142" s="10">
        <f t="shared" si="38"/>
        <v>98.361641955132924</v>
      </c>
      <c r="M142" s="10">
        <f t="shared" si="39"/>
        <v>92.991332540116503</v>
      </c>
      <c r="N142" s="10">
        <f t="shared" si="40"/>
        <v>93.551802292704721</v>
      </c>
      <c r="O142" s="11">
        <f t="shared" si="41"/>
        <v>-170.53601166258261</v>
      </c>
      <c r="P142" s="11">
        <f t="shared" si="42"/>
        <v>-227.6286727562109</v>
      </c>
      <c r="Q142" s="11">
        <f t="shared" si="43"/>
        <v>-350.50486925979385</v>
      </c>
      <c r="R142" s="11">
        <f t="shared" si="44"/>
        <v>-171.16263800349429</v>
      </c>
      <c r="S142" s="27">
        <f t="shared" si="45"/>
        <v>-919.83219168208166</v>
      </c>
    </row>
    <row r="143" spans="1:19" x14ac:dyDescent="0.25">
      <c r="A143" s="6">
        <f t="shared" si="32"/>
        <v>138</v>
      </c>
      <c r="B143" s="24">
        <v>45211</v>
      </c>
      <c r="C143" s="31" cm="1">
        <f t="array" ref="C143" xml:space="preserve"> BonoM(100,C$2,C$1 - $B143,Portafolio!C143)</f>
        <v>86.943834254951298</v>
      </c>
      <c r="D143" s="31" cm="1">
        <f t="array" ref="D143" xml:space="preserve"> BonoM(100,D$2,D$1 - $B143,Portafolio!D143)</f>
        <v>97.092173281387417</v>
      </c>
      <c r="E143" s="31" cm="1">
        <f t="array" ref="E143" xml:space="preserve"> BonoM(100,E$2,E$1 - $B143,Portafolio!E143)</f>
        <v>91.425651213040751</v>
      </c>
      <c r="F143" s="31" cm="1">
        <f t="array" ref="F143" xml:space="preserve"> BonoM(100,F$2,F$1 - $B143,Portafolio!F143)</f>
        <v>92.925473358651359</v>
      </c>
      <c r="G143" s="5">
        <f t="shared" si="33"/>
        <v>-3.6019004278354805E-3</v>
      </c>
      <c r="H143" s="5">
        <f t="shared" si="34"/>
        <v>-5.2606733488065327E-3</v>
      </c>
      <c r="I143" s="5">
        <f t="shared" si="35"/>
        <v>-5.1243591240702768E-3</v>
      </c>
      <c r="J143" s="5">
        <f t="shared" si="36"/>
        <v>-7.5552634938302887E-3</v>
      </c>
      <c r="K143" s="10">
        <f t="shared" si="37"/>
        <v>89.231078095808385</v>
      </c>
      <c r="L143" s="10">
        <f t="shared" si="38"/>
        <v>97.693239358312027</v>
      </c>
      <c r="M143" s="10">
        <f t="shared" si="39"/>
        <v>92.340457178537619</v>
      </c>
      <c r="N143" s="10">
        <f t="shared" si="40"/>
        <v>92.675124316887548</v>
      </c>
      <c r="O143" s="11">
        <f t="shared" si="41"/>
        <v>1064.4588875418576</v>
      </c>
      <c r="P143" s="11">
        <f t="shared" si="42"/>
        <v>774.97522247513473</v>
      </c>
      <c r="Q143" s="11">
        <f t="shared" si="43"/>
        <v>951.24585389797289</v>
      </c>
      <c r="R143" s="11">
        <f t="shared" si="44"/>
        <v>705.51533781367937</v>
      </c>
      <c r="S143" s="27">
        <f t="shared" si="45"/>
        <v>3496.1953017286442</v>
      </c>
    </row>
    <row r="144" spans="1:19" x14ac:dyDescent="0.25">
      <c r="A144" s="6">
        <f t="shared" si="32"/>
        <v>139</v>
      </c>
      <c r="B144" s="24">
        <v>45210</v>
      </c>
      <c r="C144" s="31" cm="1">
        <f t="array" ref="C144" xml:space="preserve"> BonoM(100,C$2,C$1 - $B144,Portafolio!C144)</f>
        <v>87.258129348383363</v>
      </c>
      <c r="D144" s="31" cm="1">
        <f t="array" ref="D144" xml:space="preserve"> BonoM(100,D$2,D$1 - $B144,Portafolio!D144)</f>
        <v>97.605644695128163</v>
      </c>
      <c r="E144" s="31" cm="1">
        <f t="array" ref="E144" xml:space="preserve"> BonoM(100,E$2,E$1 - $B144,Portafolio!E144)</f>
        <v>91.896562200021123</v>
      </c>
      <c r="F144" s="31" cm="1">
        <f t="array" ref="F144" xml:space="preserve"> BonoM(100,F$2,F$1 - $B144,Portafolio!F144)</f>
        <v>93.632894548656481</v>
      </c>
      <c r="G144" s="5">
        <f t="shared" si="33"/>
        <v>-6.2294993503386742E-4</v>
      </c>
      <c r="H144" s="5">
        <f t="shared" si="34"/>
        <v>2.6403418144682611E-4</v>
      </c>
      <c r="I144" s="5">
        <f t="shared" si="35"/>
        <v>-2.7643103752539311E-4</v>
      </c>
      <c r="J144" s="5">
        <f t="shared" si="36"/>
        <v>3.4126669534206844E-3</v>
      </c>
      <c r="K144" s="10">
        <f t="shared" si="37"/>
        <v>89.497853959974393</v>
      </c>
      <c r="L144" s="10">
        <f t="shared" si="38"/>
        <v>98.23582027441465</v>
      </c>
      <c r="M144" s="10">
        <f t="shared" si="39"/>
        <v>92.790422860164</v>
      </c>
      <c r="N144" s="10">
        <f t="shared" si="40"/>
        <v>93.699316677740114</v>
      </c>
      <c r="O144" s="11">
        <f t="shared" si="41"/>
        <v>184.09853579403404</v>
      </c>
      <c r="P144" s="11">
        <f t="shared" si="42"/>
        <v>-38.896151678798674</v>
      </c>
      <c r="Q144" s="11">
        <f t="shared" si="43"/>
        <v>51.314490645211208</v>
      </c>
      <c r="R144" s="11">
        <f t="shared" si="44"/>
        <v>-318.67702303888734</v>
      </c>
      <c r="S144" s="27">
        <f t="shared" si="45"/>
        <v>-122.16014827844077</v>
      </c>
    </row>
    <row r="145" spans="1:19" x14ac:dyDescent="0.25">
      <c r="A145" s="6">
        <f t="shared" si="32"/>
        <v>140</v>
      </c>
      <c r="B145" s="24">
        <v>45209</v>
      </c>
      <c r="C145" s="31" cm="1">
        <f t="array" ref="C145" xml:space="preserve"> BonoM(100,C$2,C$1 - $B145,Portafolio!C145)</f>
        <v>87.312520677467035</v>
      </c>
      <c r="D145" s="31" cm="1">
        <f t="array" ref="D145" xml:space="preserve"> BonoM(100,D$2,D$1 - $B145,Portafolio!D145)</f>
        <v>97.579880271315048</v>
      </c>
      <c r="E145" s="31" cm="1">
        <f t="array" ref="E145" xml:space="preserve"> BonoM(100,E$2,E$1 - $B145,Portafolio!E145)</f>
        <v>91.921972286191576</v>
      </c>
      <c r="F145" s="31" cm="1">
        <f t="array" ref="F145" xml:space="preserve"> BonoM(100,F$2,F$1 - $B145,Portafolio!F145)</f>
        <v>93.314443431281703</v>
      </c>
      <c r="G145" s="5">
        <f t="shared" si="33"/>
        <v>2.3746239433601879E-3</v>
      </c>
      <c r="H145" s="5">
        <f t="shared" si="34"/>
        <v>4.5434425660095812E-3</v>
      </c>
      <c r="I145" s="5">
        <f t="shared" si="35"/>
        <v>4.604768546640825E-3</v>
      </c>
      <c r="J145" s="5">
        <f t="shared" si="36"/>
        <v>8.9272104731146218E-3</v>
      </c>
      <c r="K145" s="10">
        <f t="shared" si="37"/>
        <v>89.766297616135304</v>
      </c>
      <c r="L145" s="10">
        <f t="shared" si="38"/>
        <v>98.656100499016304</v>
      </c>
      <c r="M145" s="10">
        <f t="shared" si="39"/>
        <v>93.243476671778851</v>
      </c>
      <c r="N145" s="10">
        <f t="shared" si="40"/>
        <v>94.214268279012813</v>
      </c>
      <c r="O145" s="11">
        <f t="shared" si="41"/>
        <v>-701.76552953697501</v>
      </c>
      <c r="P145" s="11">
        <f t="shared" si="42"/>
        <v>-669.31648858128051</v>
      </c>
      <c r="Q145" s="11">
        <f t="shared" si="43"/>
        <v>-854.79313258448997</v>
      </c>
      <c r="R145" s="11">
        <f t="shared" si="44"/>
        <v>-833.62862431158646</v>
      </c>
      <c r="S145" s="27">
        <f t="shared" si="45"/>
        <v>-3059.5037750143319</v>
      </c>
    </row>
    <row r="146" spans="1:19" x14ac:dyDescent="0.25">
      <c r="A146" s="6">
        <f t="shared" si="32"/>
        <v>141</v>
      </c>
      <c r="B146" s="24">
        <v>45208</v>
      </c>
      <c r="C146" s="31" cm="1">
        <f t="array" ref="C146" xml:space="preserve"> BonoM(100,C$2,C$1 - $B146,Portafolio!C146)</f>
        <v>87.105677450191209</v>
      </c>
      <c r="D146" s="31" cm="1">
        <f t="array" ref="D146" xml:space="preserve"> BonoM(100,D$2,D$1 - $B146,Portafolio!D146)</f>
        <v>97.138536907927687</v>
      </c>
      <c r="E146" s="31" cm="1">
        <f t="array" ref="E146" xml:space="preserve"> BonoM(100,E$2,E$1 - $B146,Portafolio!E146)</f>
        <v>91.50063304912922</v>
      </c>
      <c r="F146" s="31" cm="1">
        <f t="array" ref="F146" xml:space="preserve"> BonoM(100,F$2,F$1 - $B146,Portafolio!F146)</f>
        <v>92.488776655675593</v>
      </c>
      <c r="G146" s="5">
        <f t="shared" si="33"/>
        <v>1.3438203746331201E-2</v>
      </c>
      <c r="H146" s="5">
        <f t="shared" si="34"/>
        <v>1.7993858027401277E-2</v>
      </c>
      <c r="I146" s="5">
        <f t="shared" si="35"/>
        <v>2.4837641171225E-2</v>
      </c>
      <c r="J146" s="5">
        <f t="shared" si="36"/>
        <v>3.528044818003151E-2</v>
      </c>
      <c r="K146" s="10">
        <f t="shared" si="37"/>
        <v>90.757081474356241</v>
      </c>
      <c r="L146" s="10">
        <f t="shared" si="38"/>
        <v>99.977064315297824</v>
      </c>
      <c r="M146" s="10">
        <f t="shared" si="39"/>
        <v>95.121412598066357</v>
      </c>
      <c r="N146" s="10">
        <f t="shared" si="40"/>
        <v>96.675150473057116</v>
      </c>
      <c r="O146" s="11">
        <f t="shared" si="41"/>
        <v>-3971.3522616660653</v>
      </c>
      <c r="P146" s="11">
        <f t="shared" si="42"/>
        <v>-2650.7622130035597</v>
      </c>
      <c r="Q146" s="11">
        <f t="shared" si="43"/>
        <v>-4610.6649851595021</v>
      </c>
      <c r="R146" s="11">
        <f t="shared" si="44"/>
        <v>-3294.5108183558887</v>
      </c>
      <c r="S146" s="27">
        <f t="shared" si="45"/>
        <v>-14527.290278185013</v>
      </c>
    </row>
    <row r="147" spans="1:19" x14ac:dyDescent="0.25">
      <c r="A147" s="6">
        <f t="shared" si="32"/>
        <v>142</v>
      </c>
      <c r="B147" s="24">
        <v>45206</v>
      </c>
      <c r="C147" s="31" cm="1">
        <f t="array" ref="C147" xml:space="preserve"> BonoM(100,C$2,C$1 - $B147,Portafolio!C147)</f>
        <v>85.950655035690957</v>
      </c>
      <c r="D147" s="31" cm="1">
        <f t="array" ref="D147" xml:space="preserve"> BonoM(100,D$2,D$1 - $B147,Portafolio!D147)</f>
        <v>95.421535348117018</v>
      </c>
      <c r="E147" s="31" cm="1">
        <f t="array" ref="E147" xml:space="preserve"> BonoM(100,E$2,E$1 - $B147,Portafolio!E147)</f>
        <v>89.2830526253492</v>
      </c>
      <c r="F147" s="31" cm="1">
        <f t="array" ref="F147" xml:space="preserve"> BonoM(100,F$2,F$1 - $B147,Portafolio!F147)</f>
        <v>89.336929735576476</v>
      </c>
      <c r="G147" s="5">
        <f t="shared" si="33"/>
        <v>-1.1255096654737784E-2</v>
      </c>
      <c r="H147" s="5">
        <f t="shared" si="34"/>
        <v>-1.4786942401254666E-2</v>
      </c>
      <c r="I147" s="5">
        <f t="shared" si="35"/>
        <v>-2.0807679258603606E-2</v>
      </c>
      <c r="J147" s="5">
        <f t="shared" si="36"/>
        <v>-3.1033662902734793E-2</v>
      </c>
      <c r="K147" s="10">
        <f t="shared" si="37"/>
        <v>88.545706505378334</v>
      </c>
      <c r="L147" s="10">
        <f t="shared" si="38"/>
        <v>96.757665527260684</v>
      </c>
      <c r="M147" s="10">
        <f t="shared" si="39"/>
        <v>90.884792880610775</v>
      </c>
      <c r="N147" s="10">
        <f t="shared" si="40"/>
        <v>90.482696362015474</v>
      </c>
      <c r="O147" s="11">
        <f t="shared" si="41"/>
        <v>3326.1851359610278</v>
      </c>
      <c r="P147" s="11">
        <f t="shared" si="42"/>
        <v>2178.3359690521493</v>
      </c>
      <c r="Q147" s="11">
        <f t="shared" si="43"/>
        <v>3862.5744497516621</v>
      </c>
      <c r="R147" s="11">
        <f t="shared" si="44"/>
        <v>2897.9432926857526</v>
      </c>
      <c r="S147" s="27">
        <f t="shared" si="45"/>
        <v>12265.038847450593</v>
      </c>
    </row>
    <row r="148" spans="1:19" x14ac:dyDescent="0.25">
      <c r="A148" s="6">
        <f t="shared" si="32"/>
        <v>143</v>
      </c>
      <c r="B148" s="24">
        <v>45205</v>
      </c>
      <c r="C148" s="31" cm="1">
        <f t="array" ref="C148" xml:space="preserve"> BonoM(100,C$2,C$1 - $B148,Portafolio!C148)</f>
        <v>86.929049894356467</v>
      </c>
      <c r="D148" s="31" cm="1">
        <f t="array" ref="D148" xml:space="preserve"> BonoM(100,D$2,D$1 - $B148,Portafolio!D148)</f>
        <v>96.853705512884119</v>
      </c>
      <c r="E148" s="31" cm="1">
        <f t="array" ref="E148" xml:space="preserve"> BonoM(100,E$2,E$1 - $B148,Portafolio!E148)</f>
        <v>91.180303127529072</v>
      </c>
      <c r="F148" s="31" cm="1">
        <f t="array" ref="F148" xml:space="preserve"> BonoM(100,F$2,F$1 - $B148,Portafolio!F148)</f>
        <v>92.198176877024778</v>
      </c>
      <c r="G148" s="5">
        <f t="shared" si="33"/>
        <v>5.7792869226291899E-4</v>
      </c>
      <c r="H148" s="5">
        <f t="shared" si="34"/>
        <v>1.1233978188842642E-3</v>
      </c>
      <c r="I148" s="5">
        <f t="shared" si="35"/>
        <v>4.0641041839517555E-3</v>
      </c>
      <c r="J148" s="5">
        <f t="shared" si="36"/>
        <v>4.9681727013604071E-3</v>
      </c>
      <c r="K148" s="10">
        <f t="shared" si="37"/>
        <v>89.605397013922328</v>
      </c>
      <c r="L148" s="10">
        <f t="shared" si="38"/>
        <v>98.320218282293396</v>
      </c>
      <c r="M148" s="10">
        <f t="shared" si="39"/>
        <v>93.193294324981309</v>
      </c>
      <c r="N148" s="10">
        <f t="shared" si="40"/>
        <v>93.844570799469281</v>
      </c>
      <c r="O148" s="11">
        <f t="shared" si="41"/>
        <v>-170.79354223415351</v>
      </c>
      <c r="P148" s="11">
        <f t="shared" si="42"/>
        <v>-165.49316349691878</v>
      </c>
      <c r="Q148" s="11">
        <f t="shared" si="43"/>
        <v>-754.42843898940737</v>
      </c>
      <c r="R148" s="11">
        <f t="shared" si="44"/>
        <v>-463.93114476805408</v>
      </c>
      <c r="S148" s="27">
        <f t="shared" si="45"/>
        <v>-1554.6462894885337</v>
      </c>
    </row>
    <row r="149" spans="1:19" x14ac:dyDescent="0.25">
      <c r="A149" s="6">
        <f t="shared" si="32"/>
        <v>144</v>
      </c>
      <c r="B149" s="24">
        <v>45204</v>
      </c>
      <c r="C149" s="31" cm="1">
        <f t="array" ref="C149" xml:space="preserve"> BonoM(100,C$2,C$1 - $B149,Portafolio!C149)</f>
        <v>86.878840119900659</v>
      </c>
      <c r="D149" s="31" cm="1">
        <f t="array" ref="D149" xml:space="preserve"> BonoM(100,D$2,D$1 - $B149,Portafolio!D149)</f>
        <v>96.745022365770495</v>
      </c>
      <c r="E149" s="31" cm="1">
        <f t="array" ref="E149" xml:space="preserve"> BonoM(100,E$2,E$1 - $B149,Portafolio!E149)</f>
        <v>90.811236800099948</v>
      </c>
      <c r="F149" s="31" cm="1">
        <f t="array" ref="F149" xml:space="preserve"> BonoM(100,F$2,F$1 - $B149,Portafolio!F149)</f>
        <v>91.742384864980878</v>
      </c>
      <c r="G149" s="5">
        <f t="shared" si="33"/>
        <v>2.7752335248099058E-4</v>
      </c>
      <c r="H149" s="5">
        <f t="shared" si="34"/>
        <v>-2.2954723415536948E-3</v>
      </c>
      <c r="I149" s="5">
        <f t="shared" si="35"/>
        <v>-3.5137421357446241E-3</v>
      </c>
      <c r="J149" s="5">
        <f t="shared" si="36"/>
        <v>-1.2925710679171365E-3</v>
      </c>
      <c r="K149" s="10">
        <f t="shared" si="37"/>
        <v>89.578494621850325</v>
      </c>
      <c r="L149" s="10">
        <f t="shared" si="38"/>
        <v>97.984451421599275</v>
      </c>
      <c r="M149" s="10">
        <f t="shared" si="39"/>
        <v>92.489948333945307</v>
      </c>
      <c r="N149" s="10">
        <f t="shared" si="40"/>
        <v>93.25993854157997</v>
      </c>
      <c r="O149" s="11">
        <f t="shared" si="41"/>
        <v>-82.015648396543384</v>
      </c>
      <c r="P149" s="11">
        <f t="shared" si="42"/>
        <v>338.15712754426386</v>
      </c>
      <c r="Q149" s="11">
        <f t="shared" si="43"/>
        <v>652.26354308259715</v>
      </c>
      <c r="R149" s="11">
        <f t="shared" si="44"/>
        <v>120.70111312125675</v>
      </c>
      <c r="S149" s="27">
        <f t="shared" si="45"/>
        <v>1029.1061353515743</v>
      </c>
    </row>
    <row r="150" spans="1:19" x14ac:dyDescent="0.25">
      <c r="A150" s="6">
        <f t="shared" si="32"/>
        <v>145</v>
      </c>
      <c r="B150" s="24">
        <v>45203</v>
      </c>
      <c r="C150" s="31" cm="1">
        <f t="array" ref="C150" xml:space="preserve"> BonoM(100,C$2,C$1 - $B150,Portafolio!C150)</f>
        <v>86.854735902414177</v>
      </c>
      <c r="D150" s="31" cm="1">
        <f t="array" ref="D150" xml:space="preserve"> BonoM(100,D$2,D$1 - $B150,Portafolio!D150)</f>
        <v>96.967608829866052</v>
      </c>
      <c r="E150" s="31" cm="1">
        <f t="array" ref="E150" xml:space="preserve"> BonoM(100,E$2,E$1 - $B150,Portafolio!E150)</f>
        <v>91.131449213091457</v>
      </c>
      <c r="F150" s="31" cm="1">
        <f t="array" ref="F150" xml:space="preserve"> BonoM(100,F$2,F$1 - $B150,Portafolio!F150)</f>
        <v>91.861121893406704</v>
      </c>
      <c r="G150" s="5">
        <f t="shared" si="33"/>
        <v>2.5984264568452708E-3</v>
      </c>
      <c r="H150" s="5">
        <f t="shared" si="34"/>
        <v>5.7169819999374205E-3</v>
      </c>
      <c r="I150" s="5">
        <f t="shared" si="35"/>
        <v>2.9340556470576873E-2</v>
      </c>
      <c r="J150" s="5">
        <f t="shared" si="36"/>
        <v>1.1557895971422427E-2</v>
      </c>
      <c r="K150" s="10">
        <f t="shared" si="37"/>
        <v>89.786339946171267</v>
      </c>
      <c r="L150" s="10">
        <f t="shared" si="38"/>
        <v>98.771353677154025</v>
      </c>
      <c r="M150" s="10">
        <f t="shared" si="39"/>
        <v>95.539355545199228</v>
      </c>
      <c r="N150" s="10">
        <f t="shared" si="40"/>
        <v>94.459923373575151</v>
      </c>
      <c r="O150" s="11">
        <f t="shared" si="41"/>
        <v>-767.90521865565324</v>
      </c>
      <c r="P150" s="11">
        <f t="shared" si="42"/>
        <v>-842.19625578786145</v>
      </c>
      <c r="Q150" s="11">
        <f t="shared" si="43"/>
        <v>-5446.5508794252455</v>
      </c>
      <c r="R150" s="11">
        <f t="shared" si="44"/>
        <v>-1079.283718873924</v>
      </c>
      <c r="S150" s="27">
        <f t="shared" si="45"/>
        <v>-8135.9360727426838</v>
      </c>
    </row>
    <row r="151" spans="1:19" x14ac:dyDescent="0.25">
      <c r="A151" s="6">
        <f t="shared" si="32"/>
        <v>146</v>
      </c>
      <c r="B151" s="24">
        <v>45202</v>
      </c>
      <c r="C151" s="31" cm="1">
        <f t="array" ref="C151" xml:space="preserve"> BonoM(100,C$2,C$1 - $B151,Portafolio!C151)</f>
        <v>86.629635166450811</v>
      </c>
      <c r="D151" s="31" cm="1">
        <f t="array" ref="D151" xml:space="preserve"> BonoM(100,D$2,D$1 - $B151,Portafolio!D151)</f>
        <v>96.416398017898928</v>
      </c>
      <c r="E151" s="31" cm="1">
        <f t="array" ref="E151" xml:space="preserve"> BonoM(100,E$2,E$1 - $B151,Portafolio!E151)</f>
        <v>88.533817734302389</v>
      </c>
      <c r="F151" s="31" cm="1">
        <f t="array" ref="F151" xml:space="preserve"> BonoM(100,F$2,F$1 - $B151,Portafolio!F151)</f>
        <v>90.811531657503735</v>
      </c>
      <c r="G151" s="5">
        <f t="shared" si="33"/>
        <v>6.8695635141224898E-5</v>
      </c>
      <c r="H151" s="5">
        <f t="shared" si="34"/>
        <v>-2.9195122372871474E-5</v>
      </c>
      <c r="I151" s="5">
        <f t="shared" si="35"/>
        <v>-2.3760576491374308E-2</v>
      </c>
      <c r="J151" s="5">
        <f t="shared" si="36"/>
        <v>-3.9228071506439699E-3</v>
      </c>
      <c r="K151" s="10">
        <f t="shared" si="37"/>
        <v>89.559793339338341</v>
      </c>
      <c r="L151" s="10">
        <f t="shared" si="38"/>
        <v>98.207022256886418</v>
      </c>
      <c r="M151" s="10">
        <f t="shared" si="39"/>
        <v>90.610716534510672</v>
      </c>
      <c r="N151" s="10">
        <f t="shared" si="40"/>
        <v>93.014325413732053</v>
      </c>
      <c r="O151" s="11">
        <f t="shared" si="41"/>
        <v>-20.301416106997294</v>
      </c>
      <c r="P151" s="11">
        <f t="shared" si="42"/>
        <v>4.3008746135484444</v>
      </c>
      <c r="Q151" s="11">
        <f t="shared" si="43"/>
        <v>4410.7271419518665</v>
      </c>
      <c r="R151" s="11">
        <f t="shared" si="44"/>
        <v>366.31424096917442</v>
      </c>
      <c r="S151" s="27">
        <f t="shared" si="45"/>
        <v>4761.0408414275926</v>
      </c>
    </row>
    <row r="152" spans="1:19" x14ac:dyDescent="0.25">
      <c r="A152" s="6">
        <f t="shared" si="32"/>
        <v>147</v>
      </c>
      <c r="B152" s="24">
        <v>45201</v>
      </c>
      <c r="C152" s="31" cm="1">
        <f t="array" ref="C152" xml:space="preserve"> BonoM(100,C$2,C$1 - $B152,Portafolio!C152)</f>
        <v>86.623684497425984</v>
      </c>
      <c r="D152" s="31" cm="1">
        <f t="array" ref="D152" xml:space="preserve"> BonoM(100,D$2,D$1 - $B152,Portafolio!D152)</f>
        <v>96.419212988621226</v>
      </c>
      <c r="E152" s="31" cm="1">
        <f t="array" ref="E152" xml:space="preserve"> BonoM(100,E$2,E$1 - $B152,Portafolio!E152)</f>
        <v>90.688631909690685</v>
      </c>
      <c r="F152" s="31" cm="1">
        <f t="array" ref="F152" xml:space="preserve"> BonoM(100,F$2,F$1 - $B152,Portafolio!F152)</f>
        <v>91.169170732370958</v>
      </c>
      <c r="G152" s="5">
        <f t="shared" si="33"/>
        <v>1.1016243397383052E-2</v>
      </c>
      <c r="H152" s="5">
        <f t="shared" si="34"/>
        <v>1.1511980428163149E-2</v>
      </c>
      <c r="I152" s="5">
        <f t="shared" si="35"/>
        <v>1.9261651933927038E-2</v>
      </c>
      <c r="J152" s="5">
        <f t="shared" si="36"/>
        <v>2.7073675004263054E-2</v>
      </c>
      <c r="K152" s="10">
        <f t="shared" si="37"/>
        <v>90.540186105793467</v>
      </c>
      <c r="L152" s="10">
        <f t="shared" si="38"/>
        <v>99.340479832481165</v>
      </c>
      <c r="M152" s="10">
        <f t="shared" si="39"/>
        <v>94.603871134349973</v>
      </c>
      <c r="N152" s="10">
        <f t="shared" si="40"/>
        <v>95.908796744402807</v>
      </c>
      <c r="O152" s="11">
        <f t="shared" si="41"/>
        <v>-3255.5975454089107</v>
      </c>
      <c r="P152" s="11">
        <f t="shared" si="42"/>
        <v>-1695.8854887785719</v>
      </c>
      <c r="Q152" s="11">
        <f t="shared" si="43"/>
        <v>-3575.5820577267341</v>
      </c>
      <c r="R152" s="11">
        <f t="shared" si="44"/>
        <v>-2528.1570897015799</v>
      </c>
      <c r="S152" s="27">
        <f t="shared" si="45"/>
        <v>-11055.222181615798</v>
      </c>
    </row>
    <row r="153" spans="1:19" x14ac:dyDescent="0.25">
      <c r="A153" s="6">
        <f t="shared" si="32"/>
        <v>148</v>
      </c>
      <c r="B153" s="24">
        <v>45199</v>
      </c>
      <c r="C153" s="31" cm="1">
        <f t="array" ref="C153" xml:space="preserve"> BonoM(100,C$2,C$1 - $B153,Portafolio!C153)</f>
        <v>85.679814803310009</v>
      </c>
      <c r="D153" s="31" cm="1">
        <f t="array" ref="D153" xml:space="preserve"> BonoM(100,D$2,D$1 - $B153,Portafolio!D153)</f>
        <v>95.321869492645973</v>
      </c>
      <c r="E153" s="31" cm="1">
        <f t="array" ref="E153" xml:space="preserve"> BonoM(100,E$2,E$1 - $B153,Portafolio!E153)</f>
        <v>88.974829708956335</v>
      </c>
      <c r="F153" s="31" cm="1">
        <f t="array" ref="F153" xml:space="preserve"> BonoM(100,F$2,F$1 - $B153,Portafolio!F153)</f>
        <v>88.765950244019791</v>
      </c>
      <c r="G153" s="5">
        <f t="shared" si="33"/>
        <v>-1.0365893889754951E-2</v>
      </c>
      <c r="H153" s="5">
        <f t="shared" si="34"/>
        <v>-1.2698406530621598E-2</v>
      </c>
      <c r="I153" s="5">
        <f t="shared" si="35"/>
        <v>-2.0762336477066157E-2</v>
      </c>
      <c r="J153" s="5">
        <f t="shared" si="36"/>
        <v>-2.8606762533202157E-2</v>
      </c>
      <c r="K153" s="10">
        <f t="shared" si="37"/>
        <v>88.625337850921099</v>
      </c>
      <c r="L153" s="10">
        <f t="shared" si="38"/>
        <v>96.962780404346177</v>
      </c>
      <c r="M153" s="10">
        <f t="shared" si="39"/>
        <v>90.889001419854168</v>
      </c>
      <c r="N153" s="10">
        <f t="shared" si="40"/>
        <v>90.709321870900666</v>
      </c>
      <c r="O153" s="11">
        <f t="shared" si="41"/>
        <v>3063.4016956699029</v>
      </c>
      <c r="P153" s="11">
        <f t="shared" si="42"/>
        <v>1870.663653423911</v>
      </c>
      <c r="Q153" s="11">
        <f t="shared" si="43"/>
        <v>3854.1573712648756</v>
      </c>
      <c r="R153" s="11">
        <f t="shared" si="44"/>
        <v>2671.3177838005604</v>
      </c>
      <c r="S153" s="27">
        <f t="shared" si="45"/>
        <v>11459.540504159249</v>
      </c>
    </row>
    <row r="154" spans="1:19" x14ac:dyDescent="0.25">
      <c r="A154" s="6">
        <f t="shared" si="32"/>
        <v>149</v>
      </c>
      <c r="B154" s="24">
        <v>45198</v>
      </c>
      <c r="C154" s="31" cm="1">
        <f t="array" ref="C154" xml:space="preserve"> BonoM(100,C$2,C$1 - $B154,Portafolio!C154)</f>
        <v>86.577265551279709</v>
      </c>
      <c r="D154" s="31" cm="1">
        <f t="array" ref="D154" xml:space="preserve"> BonoM(100,D$2,D$1 - $B154,Portafolio!D154)</f>
        <v>96.547873641816849</v>
      </c>
      <c r="E154" s="31" cm="1">
        <f t="array" ref="E154" xml:space="preserve"> BonoM(100,E$2,E$1 - $B154,Portafolio!E154)</f>
        <v>90.861323071314374</v>
      </c>
      <c r="F154" s="31" cm="1">
        <f t="array" ref="F154" xml:space="preserve"> BonoM(100,F$2,F$1 - $B154,Portafolio!F154)</f>
        <v>91.380037270491911</v>
      </c>
      <c r="G154" s="5">
        <f t="shared" si="33"/>
        <v>1.4890622042971202E-3</v>
      </c>
      <c r="H154" s="5">
        <f t="shared" si="34"/>
        <v>2.4167548124096605E-3</v>
      </c>
      <c r="I154" s="5">
        <f t="shared" si="35"/>
        <v>2.4431148835519778E-3</v>
      </c>
      <c r="J154" s="5">
        <f t="shared" si="36"/>
        <v>1.8334353265234693E-3</v>
      </c>
      <c r="K154" s="10">
        <f t="shared" si="37"/>
        <v>89.68699233772206</v>
      </c>
      <c r="L154" s="10">
        <f t="shared" si="38"/>
        <v>98.447238729720155</v>
      </c>
      <c r="M154" s="10">
        <f t="shared" si="39"/>
        <v>93.042840452225278</v>
      </c>
      <c r="N154" s="10">
        <f t="shared" si="40"/>
        <v>93.551847018257519</v>
      </c>
      <c r="O154" s="11">
        <f t="shared" si="41"/>
        <v>-440.05811077326911</v>
      </c>
      <c r="P154" s="11">
        <f t="shared" si="42"/>
        <v>-356.02383463705678</v>
      </c>
      <c r="Q154" s="11">
        <f t="shared" si="43"/>
        <v>-453.52069347734414</v>
      </c>
      <c r="R154" s="11">
        <f t="shared" si="44"/>
        <v>-171.20736355629163</v>
      </c>
      <c r="S154" s="27">
        <f t="shared" si="45"/>
        <v>-1420.8100024439618</v>
      </c>
    </row>
    <row r="155" spans="1:19" x14ac:dyDescent="0.25">
      <c r="A155" s="6">
        <f t="shared" si="32"/>
        <v>150</v>
      </c>
      <c r="B155" s="24">
        <v>45197</v>
      </c>
      <c r="C155" s="31" cm="1">
        <f t="array" ref="C155" xml:space="preserve"> BonoM(100,C$2,C$1 - $B155,Portafolio!C155)</f>
        <v>86.448538300280035</v>
      </c>
      <c r="D155" s="31" cm="1">
        <f t="array" ref="D155" xml:space="preserve"> BonoM(100,D$2,D$1 - $B155,Portafolio!D155)</f>
        <v>96.315103651559212</v>
      </c>
      <c r="E155" s="31" cm="1">
        <f t="array" ref="E155" xml:space="preserve"> BonoM(100,E$2,E$1 - $B155,Portafolio!E155)</f>
        <v>90.639879432828664</v>
      </c>
      <c r="F155" s="31" cm="1">
        <f t="array" ref="F155" xml:space="preserve"> BonoM(100,F$2,F$1 - $B155,Portafolio!F155)</f>
        <v>91.212804492504077</v>
      </c>
      <c r="G155" s="5">
        <f t="shared" si="33"/>
        <v>5.7373352785801135E-3</v>
      </c>
      <c r="H155" s="5">
        <f t="shared" si="34"/>
        <v>8.0182563590114331E-3</v>
      </c>
      <c r="I155" s="5">
        <f t="shared" si="35"/>
        <v>1.117201818637259E-2</v>
      </c>
      <c r="J155" s="5">
        <f t="shared" si="36"/>
        <v>1.4380568596837895E-2</v>
      </c>
      <c r="K155" s="10">
        <f t="shared" si="37"/>
        <v>90.06744066116471</v>
      </c>
      <c r="L155" s="10">
        <f t="shared" si="38"/>
        <v>98.997361577683122</v>
      </c>
      <c r="M155" s="10">
        <f t="shared" si="39"/>
        <v>93.853023040412921</v>
      </c>
      <c r="N155" s="10">
        <f t="shared" si="40"/>
        <v>94.723506348872263</v>
      </c>
      <c r="O155" s="11">
        <f t="shared" si="41"/>
        <v>-1695.5375781340138</v>
      </c>
      <c r="P155" s="11">
        <f t="shared" si="42"/>
        <v>-1181.2081065815078</v>
      </c>
      <c r="Q155" s="11">
        <f t="shared" si="43"/>
        <v>-2073.8858698526315</v>
      </c>
      <c r="R155" s="11">
        <f t="shared" si="44"/>
        <v>-1342.8666941710362</v>
      </c>
      <c r="S155" s="27">
        <f t="shared" si="45"/>
        <v>-6293.4982487391899</v>
      </c>
    </row>
    <row r="156" spans="1:19" x14ac:dyDescent="0.25">
      <c r="A156" s="6">
        <f t="shared" si="32"/>
        <v>151</v>
      </c>
      <c r="B156" s="24">
        <v>45196</v>
      </c>
      <c r="C156" s="31" cm="1">
        <f t="array" ref="C156" xml:space="preserve"> BonoM(100,C$2,C$1 - $B156,Portafolio!C156)</f>
        <v>85.955383446448835</v>
      </c>
      <c r="D156" s="31" cm="1">
        <f t="array" ref="D156" xml:space="preserve"> BonoM(100,D$2,D$1 - $B156,Portafolio!D156)</f>
        <v>95.548967535024516</v>
      </c>
      <c r="E156" s="31" cm="1">
        <f t="array" ref="E156" xml:space="preserve"> BonoM(100,E$2,E$1 - $B156,Portafolio!E156)</f>
        <v>89.638437182428561</v>
      </c>
      <c r="F156" s="31" cm="1">
        <f t="array" ref="F156" xml:space="preserve"> BonoM(100,F$2,F$1 - $B156,Portafolio!F156)</f>
        <v>89.919707963921283</v>
      </c>
      <c r="G156" s="5">
        <f t="shared" si="33"/>
        <v>-8.4857791998972365E-3</v>
      </c>
      <c r="H156" s="5">
        <f t="shared" si="34"/>
        <v>-1.3203040884696593E-2</v>
      </c>
      <c r="I156" s="5">
        <f t="shared" si="35"/>
        <v>-1.3521475933943705E-2</v>
      </c>
      <c r="J156" s="5">
        <f t="shared" si="36"/>
        <v>-1.6416504875543469E-2</v>
      </c>
      <c r="K156" s="10">
        <f t="shared" si="37"/>
        <v>88.79370896763821</v>
      </c>
      <c r="L156" s="10">
        <f t="shared" si="38"/>
        <v>96.913220320191229</v>
      </c>
      <c r="M156" s="10">
        <f t="shared" si="39"/>
        <v>91.561069712057275</v>
      </c>
      <c r="N156" s="10">
        <f t="shared" si="40"/>
        <v>91.847655928528454</v>
      </c>
      <c r="O156" s="11">
        <f t="shared" si="41"/>
        <v>2507.777010503436</v>
      </c>
      <c r="P156" s="11">
        <f t="shared" si="42"/>
        <v>1945.0037796563322</v>
      </c>
      <c r="Q156" s="11">
        <f t="shared" si="43"/>
        <v>2510.0207868586608</v>
      </c>
      <c r="R156" s="11">
        <f t="shared" si="44"/>
        <v>1532.9837261727732</v>
      </c>
      <c r="S156" s="27">
        <f t="shared" si="45"/>
        <v>8495.7853031912018</v>
      </c>
    </row>
    <row r="157" spans="1:19" x14ac:dyDescent="0.25">
      <c r="A157" s="6">
        <f t="shared" si="32"/>
        <v>152</v>
      </c>
      <c r="B157" s="24">
        <v>45195</v>
      </c>
      <c r="C157" s="31" cm="1">
        <f t="array" ref="C157" xml:space="preserve"> BonoM(100,C$2,C$1 - $B157,Portafolio!C157)</f>
        <v>86.691024337590548</v>
      </c>
      <c r="D157" s="31" cm="1">
        <f t="array" ref="D157" xml:space="preserve"> BonoM(100,D$2,D$1 - $B157,Portafolio!D157)</f>
        <v>96.827383437305457</v>
      </c>
      <c r="E157" s="31" cm="1">
        <f t="array" ref="E157" xml:space="preserve"> BonoM(100,E$2,E$1 - $B157,Portafolio!E157)</f>
        <v>90.867094412717506</v>
      </c>
      <c r="F157" s="31" cm="1">
        <f t="array" ref="F157" xml:space="preserve"> BonoM(100,F$2,F$1 - $B157,Portafolio!F157)</f>
        <v>91.420513265671872</v>
      </c>
      <c r="G157" s="5">
        <f t="shared" si="33"/>
        <v>9.1427557642798085E-4</v>
      </c>
      <c r="H157" s="5">
        <f t="shared" si="34"/>
        <v>4.4054959312709308E-3</v>
      </c>
      <c r="I157" s="5">
        <f t="shared" si="35"/>
        <v>5.948790139986837E-4</v>
      </c>
      <c r="J157" s="5">
        <f t="shared" si="36"/>
        <v>2.305773032292846E-3</v>
      </c>
      <c r="K157" s="10">
        <f t="shared" si="37"/>
        <v>89.63551810217119</v>
      </c>
      <c r="L157" s="10">
        <f t="shared" si="38"/>
        <v>98.64255277526081</v>
      </c>
      <c r="M157" s="10">
        <f t="shared" si="39"/>
        <v>92.871294443702979</v>
      </c>
      <c r="N157" s="10">
        <f t="shared" si="40"/>
        <v>93.595954215355292</v>
      </c>
      <c r="O157" s="11">
        <f t="shared" si="41"/>
        <v>-270.19313345539757</v>
      </c>
      <c r="P157" s="11">
        <f t="shared" si="42"/>
        <v>-648.99490294803991</v>
      </c>
      <c r="Q157" s="11">
        <f t="shared" si="43"/>
        <v>-110.4286764327469</v>
      </c>
      <c r="R157" s="11">
        <f t="shared" si="44"/>
        <v>-215.31456065406473</v>
      </c>
      <c r="S157" s="27">
        <f t="shared" si="45"/>
        <v>-1244.9312734902492</v>
      </c>
    </row>
    <row r="158" spans="1:19" x14ac:dyDescent="0.25">
      <c r="A158" s="6">
        <f t="shared" si="32"/>
        <v>153</v>
      </c>
      <c r="B158" s="24">
        <v>45194</v>
      </c>
      <c r="C158" s="31" cm="1">
        <f t="array" ref="C158" xml:space="preserve"> BonoM(100,C$2,C$1 - $B158,Portafolio!C158)</f>
        <v>86.611837250163177</v>
      </c>
      <c r="D158" s="31" cm="1">
        <f t="array" ref="D158" xml:space="preserve"> BonoM(100,D$2,D$1 - $B158,Portafolio!D158)</f>
        <v>96.402681814806726</v>
      </c>
      <c r="E158" s="31" cm="1">
        <f t="array" ref="E158" xml:space="preserve"> BonoM(100,E$2,E$1 - $B158,Portafolio!E158)</f>
        <v>90.813071622212689</v>
      </c>
      <c r="F158" s="31" cm="1">
        <f t="array" ref="F158" xml:space="preserve"> BonoM(100,F$2,F$1 - $B158,Portafolio!F158)</f>
        <v>91.210203238773957</v>
      </c>
      <c r="G158" s="5">
        <f t="shared" si="33"/>
        <v>8.6942622776180478E-3</v>
      </c>
      <c r="H158" s="5">
        <f t="shared" si="34"/>
        <v>1.1476163293798747E-2</v>
      </c>
      <c r="I158" s="5">
        <f t="shared" si="35"/>
        <v>1.5980224668535881E-2</v>
      </c>
      <c r="J158" s="5">
        <f t="shared" si="36"/>
        <v>2.2733758345190536E-2</v>
      </c>
      <c r="K158" s="10">
        <f t="shared" si="37"/>
        <v>90.332244241267929</v>
      </c>
      <c r="L158" s="10">
        <f t="shared" si="38"/>
        <v>99.336962235672786</v>
      </c>
      <c r="M158" s="10">
        <f t="shared" si="39"/>
        <v>94.299301918425101</v>
      </c>
      <c r="N158" s="10">
        <f t="shared" si="40"/>
        <v>95.503532550730526</v>
      </c>
      <c r="O158" s="11">
        <f t="shared" si="41"/>
        <v>-2569.3893924746376</v>
      </c>
      <c r="P158" s="11">
        <f t="shared" si="42"/>
        <v>-1690.6090935660031</v>
      </c>
      <c r="Q158" s="11">
        <f t="shared" si="43"/>
        <v>-2966.4436258769911</v>
      </c>
      <c r="R158" s="11">
        <f t="shared" si="44"/>
        <v>-2122.8928960292988</v>
      </c>
      <c r="S158" s="27">
        <f t="shared" si="45"/>
        <v>-9349.335007946931</v>
      </c>
    </row>
    <row r="159" spans="1:19" x14ac:dyDescent="0.25">
      <c r="A159" s="6">
        <f t="shared" si="32"/>
        <v>154</v>
      </c>
      <c r="B159" s="24">
        <v>45192</v>
      </c>
      <c r="C159" s="31" cm="1">
        <f t="array" ref="C159" xml:space="preserve"> BonoM(100,C$2,C$1 - $B159,Portafolio!C159)</f>
        <v>85.865301795803632</v>
      </c>
      <c r="D159" s="31" cm="1">
        <f t="array" ref="D159" xml:space="preserve"> BonoM(100,D$2,D$1 - $B159,Portafolio!D159)</f>
        <v>95.30890130013384</v>
      </c>
      <c r="E159" s="31" cm="1">
        <f t="array" ref="E159" xml:space="preserve"> BonoM(100,E$2,E$1 - $B159,Portafolio!E159)</f>
        <v>89.384684285405754</v>
      </c>
      <c r="F159" s="31" cm="1">
        <f t="array" ref="F159" xml:space="preserve"> BonoM(100,F$2,F$1 - $B159,Portafolio!F159)</f>
        <v>89.182744281712573</v>
      </c>
      <c r="G159" s="5">
        <f t="shared" si="33"/>
        <v>-1.1406649858702322E-2</v>
      </c>
      <c r="H159" s="5">
        <f t="shared" si="34"/>
        <v>-1.5651891148745323E-2</v>
      </c>
      <c r="I159" s="5">
        <f t="shared" si="35"/>
        <v>-2.0825743397682062E-2</v>
      </c>
      <c r="J159" s="5">
        <f t="shared" si="36"/>
        <v>-3.1368711283934592E-2</v>
      </c>
      <c r="K159" s="10">
        <f t="shared" si="37"/>
        <v>88.532134364098212</v>
      </c>
      <c r="L159" s="10">
        <f t="shared" si="38"/>
        <v>96.672719006340728</v>
      </c>
      <c r="M159" s="10">
        <f t="shared" si="39"/>
        <v>90.883116238031036</v>
      </c>
      <c r="N159" s="10">
        <f t="shared" si="40"/>
        <v>90.451409329863765</v>
      </c>
      <c r="O159" s="11">
        <f t="shared" si="41"/>
        <v>3370.9732021854293</v>
      </c>
      <c r="P159" s="11">
        <f t="shared" si="42"/>
        <v>2305.7557504320839</v>
      </c>
      <c r="Q159" s="11">
        <f t="shared" si="43"/>
        <v>3865.9277349111389</v>
      </c>
      <c r="R159" s="11">
        <f t="shared" si="44"/>
        <v>2929.2303248374624</v>
      </c>
      <c r="S159" s="27">
        <f t="shared" si="45"/>
        <v>12471.887012366115</v>
      </c>
    </row>
    <row r="160" spans="1:19" x14ac:dyDescent="0.25">
      <c r="A160" s="6">
        <f t="shared" si="32"/>
        <v>155</v>
      </c>
      <c r="B160" s="24">
        <v>45191</v>
      </c>
      <c r="C160" s="31" cm="1">
        <f t="array" ref="C160" xml:space="preserve"> BonoM(100,C$2,C$1 - $B160,Portafolio!C160)</f>
        <v>86.856038211799699</v>
      </c>
      <c r="D160" s="31" cm="1">
        <f t="array" ref="D160" xml:space="preserve"> BonoM(100,D$2,D$1 - $B160,Portafolio!D160)</f>
        <v>96.82438605115054</v>
      </c>
      <c r="E160" s="31" cm="1">
        <f t="array" ref="E160" xml:space="preserve"> BonoM(100,E$2,E$1 - $B160,Portafolio!E160)</f>
        <v>91.285778483970574</v>
      </c>
      <c r="F160" s="31" cm="1">
        <f t="array" ref="F160" xml:space="preserve"> BonoM(100,F$2,F$1 - $B160,Portafolio!F160)</f>
        <v>92.070889429893981</v>
      </c>
      <c r="G160" s="5">
        <f t="shared" si="33"/>
        <v>-9.4292556288855245E-4</v>
      </c>
      <c r="H160" s="5">
        <f t="shared" si="34"/>
        <v>-1.6573493958726981E-4</v>
      </c>
      <c r="I160" s="5">
        <f t="shared" si="35"/>
        <v>-2.8039159439807726E-4</v>
      </c>
      <c r="J160" s="5">
        <f t="shared" si="36"/>
        <v>1.0538213519777351E-3</v>
      </c>
      <c r="K160" s="10">
        <f t="shared" si="37"/>
        <v>89.46919897734233</v>
      </c>
      <c r="L160" s="10">
        <f t="shared" si="38"/>
        <v>98.193612696524525</v>
      </c>
      <c r="M160" s="10">
        <f t="shared" si="39"/>
        <v>92.790055256800045</v>
      </c>
      <c r="N160" s="10">
        <f t="shared" si="40"/>
        <v>93.479046166630695</v>
      </c>
      <c r="O160" s="11">
        <f t="shared" si="41"/>
        <v>278.65997847983976</v>
      </c>
      <c r="P160" s="11">
        <f t="shared" si="42"/>
        <v>24.415215156388115</v>
      </c>
      <c r="Q160" s="11">
        <f t="shared" si="43"/>
        <v>52.049697373121262</v>
      </c>
      <c r="R160" s="11">
        <f t="shared" si="44"/>
        <v>-98.406511929468365</v>
      </c>
      <c r="S160" s="27">
        <f t="shared" si="45"/>
        <v>256.71837907988078</v>
      </c>
    </row>
    <row r="161" spans="1:19" x14ac:dyDescent="0.25">
      <c r="A161" s="6">
        <f t="shared" si="32"/>
        <v>156</v>
      </c>
      <c r="B161" s="24">
        <v>45190</v>
      </c>
      <c r="C161" s="31" cm="1">
        <f t="array" ref="C161" xml:space="preserve"> BonoM(100,C$2,C$1 - $B161,Portafolio!C161)</f>
        <v>86.938014287858493</v>
      </c>
      <c r="D161" s="31" cm="1">
        <f t="array" ref="D161" xml:space="preserve"> BonoM(100,D$2,D$1 - $B161,Portafolio!D161)</f>
        <v>96.840435894943198</v>
      </c>
      <c r="E161" s="31" cm="1">
        <f t="array" ref="E161" xml:space="preserve"> BonoM(100,E$2,E$1 - $B161,Portafolio!E161)</f>
        <v>91.311381427795808</v>
      </c>
      <c r="F161" s="31" cm="1">
        <f t="array" ref="F161" xml:space="preserve"> BonoM(100,F$2,F$1 - $B161,Portafolio!F161)</f>
        <v>91.973965301433267</v>
      </c>
      <c r="G161" s="5">
        <f t="shared" si="33"/>
        <v>-1.858777149611357E-3</v>
      </c>
      <c r="H161" s="5">
        <f t="shared" si="34"/>
        <v>-5.2530791001670352E-3</v>
      </c>
      <c r="I161" s="5">
        <f t="shared" si="35"/>
        <v>-5.2434593577022071E-3</v>
      </c>
      <c r="J161" s="5">
        <f t="shared" si="36"/>
        <v>-2.8796884146775614E-3</v>
      </c>
      <c r="K161" s="10">
        <f t="shared" si="37"/>
        <v>89.387181132773861</v>
      </c>
      <c r="L161" s="10">
        <f t="shared" si="38"/>
        <v>97.6939851886318</v>
      </c>
      <c r="M161" s="10">
        <f t="shared" si="39"/>
        <v>92.329402761712259</v>
      </c>
      <c r="N161" s="10">
        <f t="shared" si="40"/>
        <v>93.111732508532398</v>
      </c>
      <c r="O161" s="11">
        <f t="shared" si="41"/>
        <v>549.31886555578728</v>
      </c>
      <c r="P161" s="11">
        <f t="shared" si="42"/>
        <v>773.85647699547633</v>
      </c>
      <c r="Q161" s="11">
        <f t="shared" si="43"/>
        <v>973.35468754869225</v>
      </c>
      <c r="R161" s="11">
        <f t="shared" si="44"/>
        <v>268.9071461688286</v>
      </c>
      <c r="S161" s="27">
        <f t="shared" si="45"/>
        <v>2565.4371762687847</v>
      </c>
    </row>
    <row r="162" spans="1:19" x14ac:dyDescent="0.25">
      <c r="A162" s="6">
        <f t="shared" si="32"/>
        <v>157</v>
      </c>
      <c r="B162" s="24">
        <v>45189</v>
      </c>
      <c r="C162" s="31" cm="1">
        <f t="array" ref="C162" xml:space="preserve"> BonoM(100,C$2,C$1 - $B162,Portafolio!C162)</f>
        <v>87.099913617022935</v>
      </c>
      <c r="D162" s="31" cm="1">
        <f t="array" ref="D162" xml:space="preserve"> BonoM(100,D$2,D$1 - $B162,Portafolio!D162)</f>
        <v>97.35183277304624</v>
      </c>
      <c r="E162" s="31" cm="1">
        <f t="array" ref="E162" xml:space="preserve"> BonoM(100,E$2,E$1 - $B162,Portafolio!E162)</f>
        <v>91.792692681203746</v>
      </c>
      <c r="F162" s="31" cm="1">
        <f t="array" ref="F162" xml:space="preserve"> BonoM(100,F$2,F$1 - $B162,Portafolio!F162)</f>
        <v>92.239586570254275</v>
      </c>
      <c r="G162" s="5">
        <f t="shared" si="33"/>
        <v>5.770234801187879E-4</v>
      </c>
      <c r="H162" s="5">
        <f t="shared" si="34"/>
        <v>3.2093558018617685E-3</v>
      </c>
      <c r="I162" s="5">
        <f t="shared" si="35"/>
        <v>2.5098401753003152E-3</v>
      </c>
      <c r="J162" s="5">
        <f t="shared" si="36"/>
        <v>-1.1217004922782214E-2</v>
      </c>
      <c r="K162" s="10">
        <f t="shared" si="37"/>
        <v>89.605315948878584</v>
      </c>
      <c r="L162" s="10">
        <f t="shared" si="38"/>
        <v>98.525079985317092</v>
      </c>
      <c r="M162" s="10">
        <f t="shared" si="39"/>
        <v>93.049033632249248</v>
      </c>
      <c r="N162" s="10">
        <f t="shared" si="40"/>
        <v>92.333188560001886</v>
      </c>
      <c r="O162" s="11">
        <f t="shared" si="41"/>
        <v>-170.52602758979702</v>
      </c>
      <c r="P162" s="11">
        <f t="shared" si="42"/>
        <v>-472.78571803246194</v>
      </c>
      <c r="Q162" s="11">
        <f t="shared" si="43"/>
        <v>-465.90705352528516</v>
      </c>
      <c r="R162" s="11">
        <f t="shared" si="44"/>
        <v>1047.4510946993405</v>
      </c>
      <c r="S162" s="27">
        <f t="shared" si="45"/>
        <v>-61.767704448203631</v>
      </c>
    </row>
    <row r="163" spans="1:19" x14ac:dyDescent="0.25">
      <c r="A163" s="6">
        <f t="shared" si="32"/>
        <v>158</v>
      </c>
      <c r="B163" s="24">
        <v>45188</v>
      </c>
      <c r="C163" s="31" cm="1">
        <f t="array" ref="C163" xml:space="preserve"> BonoM(100,C$2,C$1 - $B163,Portafolio!C163)</f>
        <v>87.049683905472563</v>
      </c>
      <c r="D163" s="31" cm="1">
        <f t="array" ref="D163" xml:space="preserve"> BonoM(100,D$2,D$1 - $B163,Portafolio!D163)</f>
        <v>97.040395616359916</v>
      </c>
      <c r="E163" s="31" cm="1">
        <f t="array" ref="E163" xml:space="preserve"> BonoM(100,E$2,E$1 - $B163,Portafolio!E163)</f>
        <v>91.562884475181562</v>
      </c>
      <c r="F163" s="31" cm="1">
        <f t="array" ref="F163" xml:space="preserve"> BonoM(100,F$2,F$1 - $B163,Portafolio!F163)</f>
        <v>93.285975820256638</v>
      </c>
      <c r="G163" s="5">
        <f t="shared" si="33"/>
        <v>-3.0843439270411555E-3</v>
      </c>
      <c r="H163" s="5">
        <f t="shared" si="34"/>
        <v>-4.0577305320381729E-3</v>
      </c>
      <c r="I163" s="5">
        <f t="shared" si="35"/>
        <v>-5.2013176979794906E-3</v>
      </c>
      <c r="J163" s="5">
        <f t="shared" si="36"/>
        <v>-5.5657831798505697E-5</v>
      </c>
      <c r="K163" s="10">
        <f t="shared" si="37"/>
        <v>89.277427165082202</v>
      </c>
      <c r="L163" s="10">
        <f t="shared" si="38"/>
        <v>97.811380239429639</v>
      </c>
      <c r="M163" s="10">
        <f t="shared" si="39"/>
        <v>92.33331418537685</v>
      </c>
      <c r="N163" s="10">
        <f t="shared" si="40"/>
        <v>93.375442290766088</v>
      </c>
      <c r="O163" s="11">
        <f t="shared" si="41"/>
        <v>911.50695893826423</v>
      </c>
      <c r="P163" s="11">
        <f t="shared" si="42"/>
        <v>597.76390079871794</v>
      </c>
      <c r="Q163" s="11">
        <f t="shared" si="43"/>
        <v>965.53184021951211</v>
      </c>
      <c r="R163" s="11">
        <f t="shared" si="44"/>
        <v>5.1973639351388101</v>
      </c>
      <c r="S163" s="27">
        <f t="shared" si="45"/>
        <v>2480.0000638916335</v>
      </c>
    </row>
    <row r="164" spans="1:19" x14ac:dyDescent="0.25">
      <c r="A164" s="6">
        <f t="shared" si="32"/>
        <v>159</v>
      </c>
      <c r="B164" s="24">
        <v>45187</v>
      </c>
      <c r="C164" s="31" cm="1">
        <f t="array" ref="C164" xml:space="preserve"> BonoM(100,C$2,C$1 - $B164,Portafolio!C164)</f>
        <v>87.319005750574618</v>
      </c>
      <c r="D164" s="31" cm="1">
        <f t="array" ref="D164" xml:space="preserve"> BonoM(100,D$2,D$1 - $B164,Portafolio!D164)</f>
        <v>97.435763689595646</v>
      </c>
      <c r="E164" s="31" cm="1">
        <f t="array" ref="E164" xml:space="preserve"> BonoM(100,E$2,E$1 - $B164,Portafolio!E164)</f>
        <v>92.041622193648124</v>
      </c>
      <c r="F164" s="31" cm="1">
        <f t="array" ref="F164" xml:space="preserve"> BonoM(100,F$2,F$1 - $B164,Portafolio!F164)</f>
        <v>93.29116820440484</v>
      </c>
      <c r="G164" s="5">
        <f t="shared" si="33"/>
        <v>1.0595469795121382E-2</v>
      </c>
      <c r="H164" s="5">
        <f t="shared" si="34"/>
        <v>1.3429275731848822E-2</v>
      </c>
      <c r="I164" s="5">
        <f t="shared" si="35"/>
        <v>1.7868769382402672E-2</v>
      </c>
      <c r="J164" s="5">
        <f t="shared" si="36"/>
        <v>2.940685742965754E-2</v>
      </c>
      <c r="K164" s="10">
        <f t="shared" si="37"/>
        <v>90.502504297508025</v>
      </c>
      <c r="L164" s="10">
        <f t="shared" si="38"/>
        <v>99.528777192407702</v>
      </c>
      <c r="M164" s="10">
        <f t="shared" si="39"/>
        <v>94.474589235870155</v>
      </c>
      <c r="N164" s="10">
        <f t="shared" si="40"/>
        <v>96.126670811717247</v>
      </c>
      <c r="O164" s="11">
        <f t="shared" si="41"/>
        <v>-3131.2475780669542</v>
      </c>
      <c r="P164" s="11">
        <f t="shared" si="42"/>
        <v>-1978.3315286683774</v>
      </c>
      <c r="Q164" s="11">
        <f t="shared" si="43"/>
        <v>-3317.0182607670995</v>
      </c>
      <c r="R164" s="11">
        <f t="shared" si="44"/>
        <v>-2746.0311570160202</v>
      </c>
      <c r="S164" s="27">
        <f t="shared" si="45"/>
        <v>-11172.628524518452</v>
      </c>
    </row>
    <row r="165" spans="1:19" x14ac:dyDescent="0.25">
      <c r="A165" s="6">
        <f t="shared" si="32"/>
        <v>160</v>
      </c>
      <c r="B165" s="24">
        <v>45185</v>
      </c>
      <c r="C165" s="31" cm="1">
        <f t="array" ref="C165" xml:space="preserve"> BonoM(100,C$2,C$1 - $B165,Portafolio!C165)</f>
        <v>86.403519865646004</v>
      </c>
      <c r="D165" s="31" cm="1">
        <f t="array" ref="D165" xml:space="preserve"> BonoM(100,D$2,D$1 - $B165,Portafolio!D165)</f>
        <v>96.144611195716962</v>
      </c>
      <c r="E165" s="31" cm="1">
        <f t="array" ref="E165" xml:space="preserve"> BonoM(100,E$2,E$1 - $B165,Portafolio!E165)</f>
        <v>90.425823998406855</v>
      </c>
      <c r="F165" s="31" cm="1">
        <f t="array" ref="F165" xml:space="preserve"> BonoM(100,F$2,F$1 - $B165,Portafolio!F165)</f>
        <v>90.626138276701454</v>
      </c>
      <c r="G165" s="5">
        <f t="shared" si="33"/>
        <v>-1.0595566037039372E-2</v>
      </c>
      <c r="H165" s="5">
        <f t="shared" si="34"/>
        <v>-1.7739474254375276E-2</v>
      </c>
      <c r="I165" s="5">
        <f t="shared" si="35"/>
        <v>-1.7325064793043299E-2</v>
      </c>
      <c r="J165" s="5">
        <f t="shared" si="36"/>
        <v>-2.4712719173532238E-2</v>
      </c>
      <c r="K165" s="10">
        <f t="shared" si="37"/>
        <v>88.604769873804756</v>
      </c>
      <c r="L165" s="10">
        <f t="shared" si="38"/>
        <v>96.467697700200901</v>
      </c>
      <c r="M165" s="10">
        <f t="shared" si="39"/>
        <v>91.208035503822757</v>
      </c>
      <c r="N165" s="10">
        <f t="shared" si="40"/>
        <v>91.072950130669781</v>
      </c>
      <c r="O165" s="11">
        <f t="shared" si="41"/>
        <v>3131.2760201538354</v>
      </c>
      <c r="P165" s="11">
        <f t="shared" si="42"/>
        <v>2613.2877096418242</v>
      </c>
      <c r="Q165" s="11">
        <f t="shared" si="43"/>
        <v>3216.0892033276978</v>
      </c>
      <c r="R165" s="11">
        <f t="shared" si="44"/>
        <v>2307.6895240314457</v>
      </c>
      <c r="S165" s="27">
        <f t="shared" si="45"/>
        <v>11268.342457154804</v>
      </c>
    </row>
    <row r="166" spans="1:19" x14ac:dyDescent="0.25">
      <c r="A166" s="6">
        <f t="shared" si="32"/>
        <v>161</v>
      </c>
      <c r="B166" s="24">
        <v>45184</v>
      </c>
      <c r="C166" s="31" cm="1">
        <f t="array" ref="C166" xml:space="preserve"> BonoM(100,C$2,C$1 - $B166,Portafolio!C166)</f>
        <v>87.328818125026316</v>
      </c>
      <c r="D166" s="31" cm="1">
        <f t="array" ref="D166" xml:space="preserve"> BonoM(100,D$2,D$1 - $B166,Portafolio!D166)</f>
        <v>97.880968109488563</v>
      </c>
      <c r="E166" s="31" cm="1">
        <f t="array" ref="E166" xml:space="preserve"> BonoM(100,E$2,E$1 - $B166,Portafolio!E166)</f>
        <v>92.020077808703533</v>
      </c>
      <c r="F166" s="31" cm="1">
        <f t="array" ref="F166" xml:space="preserve"> BonoM(100,F$2,F$1 - $B166,Portafolio!F166)</f>
        <v>92.922506074214354</v>
      </c>
      <c r="G166" s="5">
        <f t="shared" si="33"/>
        <v>-3.8553269165353399E-5</v>
      </c>
      <c r="H166" s="5">
        <f t="shared" si="34"/>
        <v>9.1089770311936213E-4</v>
      </c>
      <c r="I166" s="5">
        <f t="shared" si="35"/>
        <v>-2.8865254891996539E-4</v>
      </c>
      <c r="J166" s="5">
        <f t="shared" si="36"/>
        <v>-2.9088620756839711E-3</v>
      </c>
      <c r="K166" s="10">
        <f t="shared" si="37"/>
        <v>89.550188809422053</v>
      </c>
      <c r="L166" s="10">
        <f t="shared" si="38"/>
        <v>98.299348669403983</v>
      </c>
      <c r="M166" s="10">
        <f t="shared" si="39"/>
        <v>92.789288507383404</v>
      </c>
      <c r="N166" s="10">
        <f t="shared" si="40"/>
        <v>93.109008253406557</v>
      </c>
      <c r="O166" s="11">
        <f t="shared" si="41"/>
        <v>11.393532616753532</v>
      </c>
      <c r="P166" s="11">
        <f t="shared" si="42"/>
        <v>-134.18874416279891</v>
      </c>
      <c r="Q166" s="11">
        <f t="shared" si="43"/>
        <v>53.583196206403727</v>
      </c>
      <c r="R166" s="11">
        <f t="shared" si="44"/>
        <v>271.63140129466967</v>
      </c>
      <c r="S166" s="27">
        <f t="shared" si="45"/>
        <v>202.41938595502802</v>
      </c>
    </row>
    <row r="167" spans="1:19" x14ac:dyDescent="0.25">
      <c r="A167" s="6">
        <f t="shared" si="32"/>
        <v>162</v>
      </c>
      <c r="B167" s="24">
        <v>45183</v>
      </c>
      <c r="C167" s="31" cm="1">
        <f t="array" ref="C167" xml:space="preserve"> BonoM(100,C$2,C$1 - $B167,Portafolio!C167)</f>
        <v>87.332185066263975</v>
      </c>
      <c r="D167" s="31" cm="1">
        <f t="array" ref="D167" xml:space="preserve"> BonoM(100,D$2,D$1 - $B167,Portafolio!D167)</f>
        <v>97.791889701775517</v>
      </c>
      <c r="E167" s="31" cm="1">
        <f t="array" ref="E167" xml:space="preserve"> BonoM(100,E$2,E$1 - $B167,Portafolio!E167)</f>
        <v>92.046647308068543</v>
      </c>
      <c r="F167" s="31" cm="1">
        <f t="array" ref="F167" xml:space="preserve"> BonoM(100,F$2,F$1 - $B167,Portafolio!F167)</f>
        <v>93.193593383704922</v>
      </c>
      <c r="G167" s="5">
        <f t="shared" si="33"/>
        <v>-3.9102393929124624E-5</v>
      </c>
      <c r="H167" s="5">
        <f t="shared" si="34"/>
        <v>3.2214918277406746E-3</v>
      </c>
      <c r="I167" s="5">
        <f t="shared" si="35"/>
        <v>-2.892735317848727E-4</v>
      </c>
      <c r="J167" s="5">
        <f t="shared" si="36"/>
        <v>3.4443701694388817E-3</v>
      </c>
      <c r="K167" s="10">
        <f t="shared" si="37"/>
        <v>89.550139633299878</v>
      </c>
      <c r="L167" s="10">
        <f t="shared" si="38"/>
        <v>98.52627186307771</v>
      </c>
      <c r="M167" s="10">
        <f t="shared" si="39"/>
        <v>92.789230870188064</v>
      </c>
      <c r="N167" s="10">
        <f t="shared" si="40"/>
        <v>93.702277144331006</v>
      </c>
      <c r="O167" s="11">
        <f t="shared" si="41"/>
        <v>11.555813819931871</v>
      </c>
      <c r="P167" s="11">
        <f t="shared" si="42"/>
        <v>-474.57353467338947</v>
      </c>
      <c r="Q167" s="11">
        <f t="shared" si="43"/>
        <v>53.698470597083769</v>
      </c>
      <c r="R167" s="11">
        <f t="shared" si="44"/>
        <v>-321.63748962977934</v>
      </c>
      <c r="S167" s="27">
        <f t="shared" si="45"/>
        <v>-730.95673988615317</v>
      </c>
    </row>
    <row r="168" spans="1:19" x14ac:dyDescent="0.25">
      <c r="A168" s="6">
        <f t="shared" si="32"/>
        <v>163</v>
      </c>
      <c r="B168" s="24">
        <v>45182</v>
      </c>
      <c r="C168" s="31" cm="1">
        <f t="array" ref="C168" xml:space="preserve"> BonoM(100,C$2,C$1 - $B168,Portafolio!C168)</f>
        <v>87.335600097303015</v>
      </c>
      <c r="D168" s="31" cm="1">
        <f t="array" ref="D168" xml:space="preserve"> BonoM(100,D$2,D$1 - $B168,Portafolio!D168)</f>
        <v>97.477865554506081</v>
      </c>
      <c r="E168" s="31" cm="1">
        <f t="array" ref="E168" xml:space="preserve"> BonoM(100,E$2,E$1 - $B168,Portafolio!E168)</f>
        <v>92.073281671440668</v>
      </c>
      <c r="F168" s="31" cm="1">
        <f t="array" ref="F168" xml:space="preserve"> BonoM(100,F$2,F$1 - $B168,Portafolio!F168)</f>
        <v>92.873701975096552</v>
      </c>
      <c r="G168" s="5">
        <f t="shared" si="33"/>
        <v>4.5790468471083035E-3</v>
      </c>
      <c r="H168" s="5">
        <f t="shared" si="34"/>
        <v>5.4922593872350767E-3</v>
      </c>
      <c r="I168" s="5">
        <f t="shared" si="35"/>
        <v>7.9856088762211286E-3</v>
      </c>
      <c r="J168" s="5">
        <f t="shared" si="36"/>
        <v>5.8287523970188548E-3</v>
      </c>
      <c r="K168" s="10">
        <f t="shared" si="37"/>
        <v>89.963711714340633</v>
      </c>
      <c r="L168" s="10">
        <f t="shared" si="38"/>
        <v>98.749283694190879</v>
      </c>
      <c r="M168" s="10">
        <f t="shared" si="39"/>
        <v>93.557273018633026</v>
      </c>
      <c r="N168" s="10">
        <f t="shared" si="40"/>
        <v>93.924932281923716</v>
      </c>
      <c r="O168" s="11">
        <f t="shared" si="41"/>
        <v>-1353.2320536145589</v>
      </c>
      <c r="P168" s="11">
        <f t="shared" si="42"/>
        <v>-809.09128134314301</v>
      </c>
      <c r="Q168" s="11">
        <f t="shared" si="43"/>
        <v>-1482.3858262928411</v>
      </c>
      <c r="R168" s="11">
        <f t="shared" si="44"/>
        <v>-544.2926272224895</v>
      </c>
      <c r="S168" s="27">
        <f t="shared" si="45"/>
        <v>-4189.0017884730332</v>
      </c>
    </row>
    <row r="169" spans="1:19" x14ac:dyDescent="0.25">
      <c r="A169" s="6">
        <f t="shared" si="32"/>
        <v>164</v>
      </c>
      <c r="B169" s="24">
        <v>45181</v>
      </c>
      <c r="C169" s="31" cm="1">
        <f t="array" ref="C169" xml:space="preserve"> BonoM(100,C$2,C$1 - $B169,Portafolio!C169)</f>
        <v>86.937509170042475</v>
      </c>
      <c r="D169" s="31" cm="1">
        <f t="array" ref="D169" xml:space="preserve"> BonoM(100,D$2,D$1 - $B169,Portafolio!D169)</f>
        <v>96.945416182428716</v>
      </c>
      <c r="E169" s="31" cm="1">
        <f t="array" ref="E169" xml:space="preserve"> BonoM(100,E$2,E$1 - $B169,Portafolio!E169)</f>
        <v>91.343845448439438</v>
      </c>
      <c r="F169" s="31" cm="1">
        <f t="array" ref="F169" xml:space="preserve"> BonoM(100,F$2,F$1 - $B169,Portafolio!F169)</f>
        <v>92.33550120114046</v>
      </c>
      <c r="G169" s="5">
        <f t="shared" si="33"/>
        <v>2.7331376748989111E-3</v>
      </c>
      <c r="H169" s="5">
        <f t="shared" si="34"/>
        <v>3.3105104585842149E-3</v>
      </c>
      <c r="I169" s="5">
        <f t="shared" si="35"/>
        <v>3.013227464566226E-3</v>
      </c>
      <c r="J169" s="5">
        <f t="shared" si="36"/>
        <v>3.4354781197760698E-3</v>
      </c>
      <c r="K169" s="10">
        <f t="shared" si="37"/>
        <v>89.798403826284726</v>
      </c>
      <c r="L169" s="10">
        <f t="shared" si="38"/>
        <v>98.535014372976875</v>
      </c>
      <c r="M169" s="10">
        <f t="shared" si="39"/>
        <v>93.095756067213841</v>
      </c>
      <c r="N169" s="10">
        <f t="shared" si="40"/>
        <v>93.701446799045641</v>
      </c>
      <c r="O169" s="11">
        <f t="shared" si="41"/>
        <v>-807.71602303006773</v>
      </c>
      <c r="P169" s="11">
        <f t="shared" si="42"/>
        <v>-487.68729952213619</v>
      </c>
      <c r="Q169" s="11">
        <f t="shared" si="43"/>
        <v>-559.35192345447149</v>
      </c>
      <c r="R169" s="11">
        <f t="shared" si="44"/>
        <v>-320.80714434441404</v>
      </c>
      <c r="S169" s="27">
        <f t="shared" si="45"/>
        <v>-2175.5623903510896</v>
      </c>
    </row>
    <row r="170" spans="1:19" x14ac:dyDescent="0.25">
      <c r="A170" s="6">
        <f t="shared" si="32"/>
        <v>165</v>
      </c>
      <c r="B170" s="24">
        <v>45180</v>
      </c>
      <c r="C170" s="31" cm="1">
        <f t="array" ref="C170" xml:space="preserve"> BonoM(100,C$2,C$1 - $B170,Portafolio!C170)</f>
        <v>86.70054464503886</v>
      </c>
      <c r="D170" s="31" cm="1">
        <f t="array" ref="D170" xml:space="preserve"> BonoM(100,D$2,D$1 - $B170,Portafolio!D170)</f>
        <v>96.625536333829274</v>
      </c>
      <c r="E170" s="31" cm="1">
        <f t="array" ref="E170" xml:space="preserve"> BonoM(100,E$2,E$1 - $B170,Portafolio!E170)</f>
        <v>91.069432533148088</v>
      </c>
      <c r="F170" s="31" cm="1">
        <f t="array" ref="F170" xml:space="preserve"> BonoM(100,F$2,F$1 - $B170,Portafolio!F170)</f>
        <v>92.019370666619722</v>
      </c>
      <c r="G170" s="5">
        <f t="shared" si="33"/>
        <v>7.1526595637241286E-3</v>
      </c>
      <c r="H170" s="5">
        <f t="shared" si="34"/>
        <v>8.2969768574718827E-3</v>
      </c>
      <c r="I170" s="5">
        <f t="shared" si="35"/>
        <v>1.0345787252730609E-2</v>
      </c>
      <c r="J170" s="5">
        <f t="shared" si="36"/>
        <v>1.4829978092714358E-2</v>
      </c>
      <c r="K170" s="10">
        <f t="shared" si="37"/>
        <v>90.194188104654216</v>
      </c>
      <c r="L170" s="10">
        <f t="shared" si="38"/>
        <v>99.024734687040151</v>
      </c>
      <c r="M170" s="10">
        <f t="shared" si="39"/>
        <v>93.776335523890367</v>
      </c>
      <c r="N170" s="10">
        <f t="shared" si="40"/>
        <v>94.765472495064103</v>
      </c>
      <c r="O170" s="11">
        <f t="shared" si="41"/>
        <v>-2113.8041416493847</v>
      </c>
      <c r="P170" s="11">
        <f t="shared" si="42"/>
        <v>-1222.2677706170516</v>
      </c>
      <c r="Q170" s="11">
        <f t="shared" si="43"/>
        <v>-1920.510836807523</v>
      </c>
      <c r="R170" s="11">
        <f t="shared" si="44"/>
        <v>-1384.8328403628757</v>
      </c>
      <c r="S170" s="27">
        <f t="shared" si="45"/>
        <v>-6641.415589436835</v>
      </c>
    </row>
    <row r="171" spans="1:19" x14ac:dyDescent="0.25">
      <c r="A171" s="6">
        <f t="shared" si="32"/>
        <v>166</v>
      </c>
      <c r="B171" s="24">
        <v>45178</v>
      </c>
      <c r="C171" s="31" cm="1">
        <f t="array" ref="C171" xml:space="preserve"> BonoM(100,C$2,C$1 - $B171,Portafolio!C171)</f>
        <v>86.084809310433215</v>
      </c>
      <c r="D171" s="31" cm="1">
        <f t="array" ref="D171" xml:space="preserve"> BonoM(100,D$2,D$1 - $B171,Portafolio!D171)</f>
        <v>95.830433445292186</v>
      </c>
      <c r="E171" s="31" cm="1">
        <f t="array" ref="E171" xml:space="preserve"> BonoM(100,E$2,E$1 - $B171,Portafolio!E171)</f>
        <v>90.136895389823337</v>
      </c>
      <c r="F171" s="31" cm="1">
        <f t="array" ref="F171" xml:space="preserve"> BonoM(100,F$2,F$1 - $B171,Portafolio!F171)</f>
        <v>90.674667336455926</v>
      </c>
      <c r="G171" s="5">
        <f t="shared" si="33"/>
        <v>-1.3731759822680378E-2</v>
      </c>
      <c r="H171" s="5">
        <f t="shared" si="34"/>
        <v>-1.7679397991295032E-2</v>
      </c>
      <c r="I171" s="5">
        <f t="shared" si="35"/>
        <v>-2.2616948603237375E-2</v>
      </c>
      <c r="J171" s="5">
        <f t="shared" si="36"/>
        <v>-3.3089051384339041E-2</v>
      </c>
      <c r="K171" s="10">
        <f t="shared" si="37"/>
        <v>88.323912300180041</v>
      </c>
      <c r="L171" s="10">
        <f t="shared" si="38"/>
        <v>96.473597783359978</v>
      </c>
      <c r="M171" s="10">
        <f t="shared" si="39"/>
        <v>90.716863592186854</v>
      </c>
      <c r="N171" s="10">
        <f t="shared" si="40"/>
        <v>90.29076287086437</v>
      </c>
      <c r="O171" s="11">
        <f t="shared" si="41"/>
        <v>4058.1060131153945</v>
      </c>
      <c r="P171" s="11">
        <f t="shared" si="42"/>
        <v>2604.4375849032094</v>
      </c>
      <c r="Q171" s="11">
        <f t="shared" si="43"/>
        <v>4198.4330265995031</v>
      </c>
      <c r="R171" s="11">
        <f t="shared" si="44"/>
        <v>3089.8767838368572</v>
      </c>
      <c r="S171" s="27">
        <f t="shared" si="45"/>
        <v>13950.853408454963</v>
      </c>
    </row>
    <row r="172" spans="1:19" x14ac:dyDescent="0.25">
      <c r="A172" s="6">
        <f t="shared" si="32"/>
        <v>167</v>
      </c>
      <c r="B172" s="24">
        <v>45177</v>
      </c>
      <c r="C172" s="31" cm="1">
        <f t="array" ref="C172" xml:space="preserve"> BonoM(100,C$2,C$1 - $B172,Portafolio!C172)</f>
        <v>87.283363494454775</v>
      </c>
      <c r="D172" s="31" cm="1">
        <f t="array" ref="D172" xml:space="preserve"> BonoM(100,D$2,D$1 - $B172,Portafolio!D172)</f>
        <v>97.555149764071601</v>
      </c>
      <c r="E172" s="31" cm="1">
        <f t="array" ref="E172" xml:space="preserve"> BonoM(100,E$2,E$1 - $B172,Portafolio!E172)</f>
        <v>92.222691258059086</v>
      </c>
      <c r="F172" s="31" cm="1">
        <f t="array" ref="F172" xml:space="preserve"> BonoM(100,F$2,F$1 - $B172,Portafolio!F172)</f>
        <v>93.777681870575606</v>
      </c>
      <c r="G172" s="5">
        <f t="shared" si="33"/>
        <v>4.5239900914784137E-4</v>
      </c>
      <c r="H172" s="5">
        <f t="shared" si="34"/>
        <v>1.0454283818102095E-3</v>
      </c>
      <c r="I172" s="5">
        <f t="shared" si="35"/>
        <v>3.6935204087407136E-4</v>
      </c>
      <c r="J172" s="5">
        <f t="shared" si="36"/>
        <v>2.4995855752969476E-3</v>
      </c>
      <c r="K172" s="10">
        <f t="shared" si="37"/>
        <v>89.594155373696196</v>
      </c>
      <c r="L172" s="10">
        <f t="shared" si="38"/>
        <v>98.312560912493453</v>
      </c>
      <c r="M172" s="10">
        <f t="shared" si="39"/>
        <v>92.850361914099494</v>
      </c>
      <c r="N172" s="10">
        <f t="shared" si="40"/>
        <v>93.614052554594124</v>
      </c>
      <c r="O172" s="11">
        <f t="shared" si="41"/>
        <v>-133.69612948791882</v>
      </c>
      <c r="P172" s="11">
        <f t="shared" si="42"/>
        <v>-154.00710879700341</v>
      </c>
      <c r="Q172" s="11">
        <f t="shared" si="43"/>
        <v>-68.563617225777307</v>
      </c>
      <c r="R172" s="11">
        <f t="shared" si="44"/>
        <v>-233.41289989289749</v>
      </c>
      <c r="S172" s="27">
        <f t="shared" si="45"/>
        <v>-589.67975540359703</v>
      </c>
    </row>
    <row r="173" spans="1:19" x14ac:dyDescent="0.25">
      <c r="A173" s="6">
        <f t="shared" si="32"/>
        <v>168</v>
      </c>
      <c r="B173" s="24">
        <v>45176</v>
      </c>
      <c r="C173" s="31" cm="1">
        <f t="array" ref="C173" xml:space="preserve"> BonoM(100,C$2,C$1 - $B173,Portafolio!C173)</f>
        <v>87.243894443054529</v>
      </c>
      <c r="D173" s="31" cm="1">
        <f t="array" ref="D173" xml:space="preserve"> BonoM(100,D$2,D$1 - $B173,Portafolio!D173)</f>
        <v>97.453269350392503</v>
      </c>
      <c r="E173" s="31" cm="1">
        <f t="array" ref="E173" xml:space="preserve"> BonoM(100,E$2,E$1 - $B173,Portafolio!E173)</f>
        <v>92.188641195288199</v>
      </c>
      <c r="F173" s="31" cm="1">
        <f t="array" ref="F173" xml:space="preserve"> BonoM(100,F$2,F$1 - $B173,Portafolio!F173)</f>
        <v>93.543860984999924</v>
      </c>
      <c r="G173" s="5">
        <f t="shared" si="33"/>
        <v>-2.8652353988998569E-2</v>
      </c>
      <c r="H173" s="5">
        <f t="shared" si="34"/>
        <v>6.9652079050541715E-4</v>
      </c>
      <c r="I173" s="5">
        <f t="shared" si="35"/>
        <v>1.9723825884772062E-3</v>
      </c>
      <c r="J173" s="5">
        <f t="shared" si="36"/>
        <v>-2.1361080405557509E-3</v>
      </c>
      <c r="K173" s="10">
        <f t="shared" si="37"/>
        <v>86.987718760808292</v>
      </c>
      <c r="L173" s="10">
        <f t="shared" si="38"/>
        <v>98.278294736503398</v>
      </c>
      <c r="M173" s="10">
        <f t="shared" si="39"/>
        <v>92.99914892581738</v>
      </c>
      <c r="N173" s="10">
        <f t="shared" si="40"/>
        <v>93.181168519502577</v>
      </c>
      <c r="O173" s="11">
        <f t="shared" si="41"/>
        <v>8467.5446930421658</v>
      </c>
      <c r="P173" s="11">
        <f t="shared" si="42"/>
        <v>-102.60784481192076</v>
      </c>
      <c r="Q173" s="11">
        <f t="shared" si="43"/>
        <v>-366.13764066154886</v>
      </c>
      <c r="R173" s="11">
        <f t="shared" si="44"/>
        <v>199.47113519864956</v>
      </c>
      <c r="S173" s="27">
        <f t="shared" si="45"/>
        <v>8198.2703427673459</v>
      </c>
    </row>
    <row r="174" spans="1:19" x14ac:dyDescent="0.25">
      <c r="A174" s="6">
        <f t="shared" si="32"/>
        <v>169</v>
      </c>
      <c r="B174" s="24">
        <v>45175</v>
      </c>
      <c r="C174" s="31" cm="1">
        <f t="array" ref="C174" xml:space="preserve"> BonoM(100,C$2,C$1 - $B174,Portafolio!C174)</f>
        <v>89.817373626565015</v>
      </c>
      <c r="D174" s="31" cm="1">
        <f t="array" ref="D174" xml:space="preserve"> BonoM(100,D$2,D$1 - $B174,Portafolio!D174)</f>
        <v>97.385438367876787</v>
      </c>
      <c r="E174" s="31" cm="1">
        <f t="array" ref="E174" xml:space="preserve"> BonoM(100,E$2,E$1 - $B174,Portafolio!E174)</f>
        <v>92.007167859387238</v>
      </c>
      <c r="F174" s="31" cm="1">
        <f t="array" ref="F174" xml:space="preserve"> BonoM(100,F$2,F$1 - $B174,Portafolio!F174)</f>
        <v>93.744108528983418</v>
      </c>
      <c r="G174" s="5">
        <f t="shared" si="33"/>
        <v>-2.4248665429617011E-3</v>
      </c>
      <c r="H174" s="5">
        <f t="shared" si="34"/>
        <v>-3.2328475203913243E-3</v>
      </c>
      <c r="I174" s="5">
        <f t="shared" si="35"/>
        <v>-4.7028275053030422E-3</v>
      </c>
      <c r="J174" s="5">
        <f t="shared" si="36"/>
        <v>-5.4116992183506074E-4</v>
      </c>
      <c r="K174" s="10">
        <f t="shared" si="37"/>
        <v>89.336485766244209</v>
      </c>
      <c r="L174" s="10">
        <f t="shared" si="38"/>
        <v>97.892391908859366</v>
      </c>
      <c r="M174" s="10">
        <f t="shared" si="39"/>
        <v>92.37958209103212</v>
      </c>
      <c r="N174" s="10">
        <f t="shared" si="40"/>
        <v>93.330104861238382</v>
      </c>
      <c r="O174" s="11">
        <f t="shared" si="41"/>
        <v>716.61357510363928</v>
      </c>
      <c r="P174" s="11">
        <f t="shared" si="42"/>
        <v>476.24639665412616</v>
      </c>
      <c r="Q174" s="11">
        <f t="shared" si="43"/>
        <v>872.99602890897177</v>
      </c>
      <c r="R174" s="11">
        <f t="shared" si="44"/>
        <v>50.534793462844618</v>
      </c>
      <c r="S174" s="27">
        <f t="shared" si="45"/>
        <v>2116.390794129582</v>
      </c>
    </row>
    <row r="175" spans="1:19" x14ac:dyDescent="0.25">
      <c r="A175" s="6">
        <f t="shared" si="32"/>
        <v>170</v>
      </c>
      <c r="B175" s="24">
        <v>45174</v>
      </c>
      <c r="C175" s="31" cm="1">
        <f t="array" ref="C175" xml:space="preserve"> BonoM(100,C$2,C$1 - $B175,Portafolio!C175)</f>
        <v>90.035698178750863</v>
      </c>
      <c r="D175" s="31" cm="1">
        <f t="array" ref="D175" xml:space="preserve"> BonoM(100,D$2,D$1 - $B175,Portafolio!D175)</f>
        <v>97.701291746638944</v>
      </c>
      <c r="E175" s="31" cm="1">
        <f t="array" ref="E175" xml:space="preserve"> BonoM(100,E$2,E$1 - $B175,Portafolio!E175)</f>
        <v>92.441906198500192</v>
      </c>
      <c r="F175" s="31" cm="1">
        <f t="array" ref="F175" xml:space="preserve"> BonoM(100,F$2,F$1 - $B175,Portafolio!F175)</f>
        <v>93.794867490091562</v>
      </c>
      <c r="G175" s="5">
        <f t="shared" si="33"/>
        <v>-2.7308789578657233E-3</v>
      </c>
      <c r="H175" s="5">
        <f t="shared" si="34"/>
        <v>-3.240433422574962E-3</v>
      </c>
      <c r="I175" s="5">
        <f t="shared" si="35"/>
        <v>-4.1633214424039444E-3</v>
      </c>
      <c r="J175" s="5">
        <f t="shared" si="36"/>
        <v>-3.7417747042683969E-3</v>
      </c>
      <c r="K175" s="10">
        <f t="shared" si="37"/>
        <v>89.309081240177463</v>
      </c>
      <c r="L175" s="10">
        <f t="shared" si="38"/>
        <v>97.891646898244105</v>
      </c>
      <c r="M175" s="10">
        <f t="shared" si="39"/>
        <v>92.429656928983547</v>
      </c>
      <c r="N175" s="10">
        <f t="shared" si="40"/>
        <v>93.031230339372868</v>
      </c>
      <c r="O175" s="11">
        <f t="shared" si="41"/>
        <v>807.04851112390224</v>
      </c>
      <c r="P175" s="11">
        <f t="shared" si="42"/>
        <v>477.36391257701882</v>
      </c>
      <c r="Q175" s="11">
        <f t="shared" si="43"/>
        <v>772.84635300611626</v>
      </c>
      <c r="R175" s="11">
        <f t="shared" si="44"/>
        <v>349.40931532835862</v>
      </c>
      <c r="S175" s="27">
        <f t="shared" si="45"/>
        <v>2406.6680920353956</v>
      </c>
    </row>
    <row r="176" spans="1:19" x14ac:dyDescent="0.25">
      <c r="A176" s="6">
        <f t="shared" si="32"/>
        <v>171</v>
      </c>
      <c r="B176" s="24">
        <v>45173</v>
      </c>
      <c r="C176" s="31" cm="1">
        <f t="array" ref="C176" xml:space="preserve"> BonoM(100,C$2,C$1 - $B176,Portafolio!C176)</f>
        <v>90.28224807027479</v>
      </c>
      <c r="D176" s="31" cm="1">
        <f t="array" ref="D176" xml:space="preserve"> BonoM(100,D$2,D$1 - $B176,Portafolio!D176)</f>
        <v>98.018915516523236</v>
      </c>
      <c r="E176" s="31" cm="1">
        <f t="array" ref="E176" xml:space="preserve"> BonoM(100,E$2,E$1 - $B176,Portafolio!E176)</f>
        <v>92.82838058585692</v>
      </c>
      <c r="F176" s="31" cm="1">
        <f t="array" ref="F176" xml:space="preserve"> BonoM(100,F$2,F$1 - $B176,Portafolio!F176)</f>
        <v>94.147144895340034</v>
      </c>
      <c r="G176" s="5">
        <f t="shared" si="33"/>
        <v>-7.3578691137332619E-5</v>
      </c>
      <c r="H176" s="5">
        <f t="shared" si="34"/>
        <v>1.4095131010385176E-2</v>
      </c>
      <c r="I176" s="5">
        <f t="shared" si="35"/>
        <v>1.8994807951995263E-2</v>
      </c>
      <c r="J176" s="5">
        <f t="shared" si="36"/>
        <v>2.7036048460016948E-2</v>
      </c>
      <c r="K176" s="10">
        <f t="shared" si="37"/>
        <v>89.547052155343067</v>
      </c>
      <c r="L176" s="10">
        <f t="shared" si="38"/>
        <v>99.594170765740174</v>
      </c>
      <c r="M176" s="10">
        <f t="shared" si="39"/>
        <v>94.579103721947334</v>
      </c>
      <c r="N176" s="10">
        <f t="shared" si="40"/>
        <v>95.905283153633107</v>
      </c>
      <c r="O176" s="11">
        <f t="shared" si="41"/>
        <v>21.744491077407702</v>
      </c>
      <c r="P176" s="11">
        <f t="shared" si="42"/>
        <v>-2076.4218886670847</v>
      </c>
      <c r="Q176" s="11">
        <f t="shared" si="43"/>
        <v>-3526.0472329214563</v>
      </c>
      <c r="R176" s="11">
        <f t="shared" si="44"/>
        <v>-2524.64349893188</v>
      </c>
      <c r="S176" s="27">
        <f t="shared" si="45"/>
        <v>-8105.3681294430135</v>
      </c>
    </row>
    <row r="177" spans="1:19" x14ac:dyDescent="0.25">
      <c r="A177" s="6">
        <f t="shared" si="32"/>
        <v>172</v>
      </c>
      <c r="B177" s="24">
        <v>45171</v>
      </c>
      <c r="C177" s="31" cm="1">
        <f t="array" ref="C177" xml:space="preserve"> BonoM(100,C$2,C$1 - $B177,Portafolio!C177)</f>
        <v>90.288891408728887</v>
      </c>
      <c r="D177" s="31" cm="1">
        <f t="array" ref="D177" xml:space="preserve"> BonoM(100,D$2,D$1 - $B177,Portafolio!D177)</f>
        <v>96.656529076185308</v>
      </c>
      <c r="E177" s="31" cm="1">
        <f t="array" ref="E177" xml:space="preserve"> BonoM(100,E$2,E$1 - $B177,Portafolio!E177)</f>
        <v>91.097991728167926</v>
      </c>
      <c r="F177" s="31" cm="1">
        <f t="array" ref="F177" xml:space="preserve"> BonoM(100,F$2,F$1 - $B177,Portafolio!F177)</f>
        <v>91.668783229671831</v>
      </c>
      <c r="G177" s="5">
        <f t="shared" si="33"/>
        <v>2.6350452284251702E-4</v>
      </c>
      <c r="H177" s="5">
        <f t="shared" si="34"/>
        <v>-1.4009054490866313E-2</v>
      </c>
      <c r="I177" s="5">
        <f t="shared" si="35"/>
        <v>-1.8433753445074808E-2</v>
      </c>
      <c r="J177" s="5">
        <f t="shared" si="36"/>
        <v>-2.7918458883981145E-2</v>
      </c>
      <c r="K177" s="10">
        <f t="shared" si="37"/>
        <v>89.577239184608104</v>
      </c>
      <c r="L177" s="10">
        <f t="shared" si="38"/>
        <v>96.834061812988466</v>
      </c>
      <c r="M177" s="10">
        <f t="shared" si="39"/>
        <v>91.10513136908375</v>
      </c>
      <c r="N177" s="10">
        <f t="shared" si="40"/>
        <v>90.773596105941593</v>
      </c>
      <c r="O177" s="11">
        <f t="shared" si="41"/>
        <v>-77.87270549721228</v>
      </c>
      <c r="P177" s="11">
        <f t="shared" si="42"/>
        <v>2063.7415404604767</v>
      </c>
      <c r="Q177" s="11">
        <f t="shared" si="43"/>
        <v>3421.8974728057105</v>
      </c>
      <c r="R177" s="11">
        <f t="shared" si="44"/>
        <v>2607.0435487596342</v>
      </c>
      <c r="S177" s="27">
        <f t="shared" si="45"/>
        <v>8014.8098565286091</v>
      </c>
    </row>
    <row r="178" spans="1:19" x14ac:dyDescent="0.25">
      <c r="A178" s="6">
        <f t="shared" si="32"/>
        <v>173</v>
      </c>
      <c r="B178" s="24">
        <v>45170</v>
      </c>
      <c r="C178" s="31" cm="1">
        <f t="array" ref="C178" xml:space="preserve"> BonoM(100,C$2,C$1 - $B178,Portafolio!C178)</f>
        <v>90.265106145004822</v>
      </c>
      <c r="D178" s="31" cm="1">
        <f t="array" ref="D178" xml:space="preserve"> BonoM(100,D$2,D$1 - $B178,Portafolio!D178)</f>
        <v>98.029834367571212</v>
      </c>
      <c r="E178" s="31" cm="1">
        <f t="array" ref="E178" xml:space="preserve"> BonoM(100,E$2,E$1 - $B178,Portafolio!E178)</f>
        <v>92.808806382555645</v>
      </c>
      <c r="F178" s="31" cm="1">
        <f t="array" ref="F178" xml:space="preserve"> BonoM(100,F$2,F$1 - $B178,Portafolio!F178)</f>
        <v>94.301536807734806</v>
      </c>
      <c r="G178" s="5">
        <f t="shared" si="33"/>
        <v>-6.404521166314403E-4</v>
      </c>
      <c r="H178" s="5">
        <f t="shared" si="34"/>
        <v>-1.062563144856199E-3</v>
      </c>
      <c r="I178" s="5">
        <f t="shared" si="35"/>
        <v>-3.0730729316967853E-3</v>
      </c>
      <c r="J178" s="5">
        <f t="shared" si="36"/>
        <v>-4.5645017704805113E-3</v>
      </c>
      <c r="K178" s="10">
        <f t="shared" si="37"/>
        <v>89.496286575879978</v>
      </c>
      <c r="L178" s="10">
        <f t="shared" si="38"/>
        <v>98.105535297578641</v>
      </c>
      <c r="M178" s="10">
        <f t="shared" si="39"/>
        <v>92.530849522088232</v>
      </c>
      <c r="N178" s="10">
        <f t="shared" si="40"/>
        <v>92.954403559668734</v>
      </c>
      <c r="O178" s="11">
        <f t="shared" si="41"/>
        <v>189.27090330560219</v>
      </c>
      <c r="P178" s="11">
        <f t="shared" si="42"/>
        <v>156.53131357521488</v>
      </c>
      <c r="Q178" s="11">
        <f t="shared" si="43"/>
        <v>570.46116679674697</v>
      </c>
      <c r="R178" s="11">
        <f t="shared" si="44"/>
        <v>426.23609503249327</v>
      </c>
      <c r="S178" s="27">
        <f t="shared" si="45"/>
        <v>1342.4994787100572</v>
      </c>
    </row>
    <row r="179" spans="1:19" x14ac:dyDescent="0.25">
      <c r="A179" s="6">
        <f t="shared" si="32"/>
        <v>174</v>
      </c>
      <c r="B179" s="24">
        <v>45169</v>
      </c>
      <c r="C179" s="31" cm="1">
        <f t="array" ref="C179" xml:space="preserve"> BonoM(100,C$2,C$1 - $B179,Portafolio!C179)</f>
        <v>90.322953671864369</v>
      </c>
      <c r="D179" s="31" cm="1">
        <f t="array" ref="D179" xml:space="preserve"> BonoM(100,D$2,D$1 - $B179,Portafolio!D179)</f>
        <v>98.13410805404277</v>
      </c>
      <c r="E179" s="31" cm="1">
        <f t="array" ref="E179" xml:space="preserve"> BonoM(100,E$2,E$1 - $B179,Portafolio!E179)</f>
        <v>93.09489378071234</v>
      </c>
      <c r="F179" s="31" cm="1">
        <f t="array" ref="F179" xml:space="preserve"> BonoM(100,F$2,F$1 - $B179,Portafolio!F179)</f>
        <v>94.733950090648179</v>
      </c>
      <c r="G179" s="5">
        <f t="shared" si="33"/>
        <v>1.1682788235949371E-3</v>
      </c>
      <c r="H179" s="5">
        <f t="shared" si="34"/>
        <v>1.3102218982445901E-3</v>
      </c>
      <c r="I179" s="5">
        <f t="shared" si="35"/>
        <v>1.3661596166720802E-3</v>
      </c>
      <c r="J179" s="5">
        <f t="shared" si="36"/>
        <v>2.1920101924999269E-3</v>
      </c>
      <c r="K179" s="10">
        <f t="shared" si="37"/>
        <v>89.658265017881163</v>
      </c>
      <c r="L179" s="10">
        <f t="shared" si="38"/>
        <v>98.338566254484547</v>
      </c>
      <c r="M179" s="10">
        <f t="shared" si="39"/>
        <v>92.942881685904524</v>
      </c>
      <c r="N179" s="10">
        <f t="shared" si="40"/>
        <v>93.585330968606499</v>
      </c>
      <c r="O179" s="11">
        <f t="shared" si="41"/>
        <v>-345.25795529830958</v>
      </c>
      <c r="P179" s="11">
        <f t="shared" si="42"/>
        <v>-193.01512178364533</v>
      </c>
      <c r="Q179" s="11">
        <f t="shared" si="43"/>
        <v>-253.60316083583712</v>
      </c>
      <c r="R179" s="11">
        <f t="shared" si="44"/>
        <v>-204.69131390527195</v>
      </c>
      <c r="S179" s="27">
        <f t="shared" si="45"/>
        <v>-996.56755182306392</v>
      </c>
    </row>
    <row r="180" spans="1:19" x14ac:dyDescent="0.25">
      <c r="A180" s="6">
        <f t="shared" si="32"/>
        <v>175</v>
      </c>
      <c r="B180" s="24">
        <v>45168</v>
      </c>
      <c r="C180" s="31" cm="1">
        <f t="array" ref="C180" xml:space="preserve"> BonoM(100,C$2,C$1 - $B180,Portafolio!C180)</f>
        <v>90.217554413526514</v>
      </c>
      <c r="D180" s="31" cm="1">
        <f t="array" ref="D180" xml:space="preserve"> BonoM(100,D$2,D$1 - $B180,Portafolio!D180)</f>
        <v>98.005698841268185</v>
      </c>
      <c r="E180" s="31" cm="1">
        <f t="array" ref="E180" xml:space="preserve"> BonoM(100,E$2,E$1 - $B180,Portafolio!E180)</f>
        <v>92.967884810836352</v>
      </c>
      <c r="F180" s="31" cm="1">
        <f t="array" ref="F180" xml:space="preserve"> BonoM(100,F$2,F$1 - $B180,Portafolio!F180)</f>
        <v>94.526746498858827</v>
      </c>
      <c r="G180" s="5">
        <f t="shared" si="33"/>
        <v>-3.354967601579939E-3</v>
      </c>
      <c r="H180" s="5">
        <f t="shared" si="34"/>
        <v>-3.8746174937642763E-3</v>
      </c>
      <c r="I180" s="5">
        <f t="shared" si="35"/>
        <v>-3.079492164010933E-3</v>
      </c>
      <c r="J180" s="5">
        <f t="shared" si="36"/>
        <v>-4.8970942712538434E-3</v>
      </c>
      <c r="K180" s="10">
        <f t="shared" si="37"/>
        <v>89.253191829579549</v>
      </c>
      <c r="L180" s="10">
        <f t="shared" si="38"/>
        <v>97.829363750685744</v>
      </c>
      <c r="M180" s="10">
        <f t="shared" si="39"/>
        <v>92.530253714107545</v>
      </c>
      <c r="N180" s="10">
        <f t="shared" si="40"/>
        <v>92.923345859202172</v>
      </c>
      <c r="O180" s="11">
        <f t="shared" si="41"/>
        <v>991.48356609701693</v>
      </c>
      <c r="P180" s="11">
        <f t="shared" si="42"/>
        <v>570.78863391456025</v>
      </c>
      <c r="Q180" s="11">
        <f t="shared" si="43"/>
        <v>571.6527827581217</v>
      </c>
      <c r="R180" s="11">
        <f t="shared" si="44"/>
        <v>457.29379549905502</v>
      </c>
      <c r="S180" s="27">
        <f t="shared" si="45"/>
        <v>2591.2187782687542</v>
      </c>
    </row>
    <row r="181" spans="1:19" x14ac:dyDescent="0.25">
      <c r="A181" s="6">
        <f t="shared" si="32"/>
        <v>176</v>
      </c>
      <c r="B181" s="24">
        <v>45167</v>
      </c>
      <c r="C181" s="31" cm="1">
        <f t="array" ref="C181" xml:space="preserve"> BonoM(100,C$2,C$1 - $B181,Portafolio!C181)</f>
        <v>90.521250275455174</v>
      </c>
      <c r="D181" s="31" cm="1">
        <f t="array" ref="D181" xml:space="preserve"> BonoM(100,D$2,D$1 - $B181,Portafolio!D181)</f>
        <v>98.386910485793862</v>
      </c>
      <c r="E181" s="31" cm="1">
        <f t="array" ref="E181" xml:space="preserve"> BonoM(100,E$2,E$1 - $B181,Portafolio!E181)</f>
        <v>93.255063046743146</v>
      </c>
      <c r="F181" s="31" cm="1">
        <f t="array" ref="F181" xml:space="preserve"> BonoM(100,F$2,F$1 - $B181,Portafolio!F181)</f>
        <v>94.991930939678866</v>
      </c>
      <c r="G181" s="5">
        <f t="shared" si="33"/>
        <v>2.19764279394985E-3</v>
      </c>
      <c r="H181" s="5">
        <f t="shared" si="34"/>
        <v>2.1929427437781257E-3</v>
      </c>
      <c r="I181" s="5">
        <f t="shared" si="35"/>
        <v>1.0324437890756322E-3</v>
      </c>
      <c r="J181" s="5">
        <f t="shared" si="36"/>
        <v>5.7738063706458398E-4</v>
      </c>
      <c r="K181" s="10">
        <f t="shared" si="37"/>
        <v>89.750448309747327</v>
      </c>
      <c r="L181" s="10">
        <f t="shared" si="38"/>
        <v>98.425258171189597</v>
      </c>
      <c r="M181" s="10">
        <f t="shared" si="39"/>
        <v>92.911907490917855</v>
      </c>
      <c r="N181" s="10">
        <f t="shared" si="40"/>
        <v>93.434555827914551</v>
      </c>
      <c r="O181" s="11">
        <f t="shared" si="41"/>
        <v>-649.46281845664942</v>
      </c>
      <c r="P181" s="11">
        <f t="shared" si="42"/>
        <v>-323.05299684121991</v>
      </c>
      <c r="Q181" s="11">
        <f t="shared" si="43"/>
        <v>-191.65477086249894</v>
      </c>
      <c r="R181" s="11">
        <f t="shared" si="44"/>
        <v>-53.916173213323759</v>
      </c>
      <c r="S181" s="27">
        <f t="shared" si="45"/>
        <v>-1218.0867593736921</v>
      </c>
    </row>
    <row r="182" spans="1:19" x14ac:dyDescent="0.25">
      <c r="A182" s="6">
        <f t="shared" si="32"/>
        <v>177</v>
      </c>
      <c r="B182" s="24">
        <v>45166</v>
      </c>
      <c r="C182" s="31" cm="1">
        <f t="array" ref="C182" xml:space="preserve"> BonoM(100,C$2,C$1 - $B182,Portafolio!C182)</f>
        <v>90.322753127913899</v>
      </c>
      <c r="D182" s="31" cm="1">
        <f t="array" ref="D182" xml:space="preserve"> BonoM(100,D$2,D$1 - $B182,Portafolio!D182)</f>
        <v>98.171625731501067</v>
      </c>
      <c r="E182" s="31" cm="1">
        <f t="array" ref="E182" xml:space="preserve"> BonoM(100,E$2,E$1 - $B182,Portafolio!E182)</f>
        <v>93.158881737895626</v>
      </c>
      <c r="F182" s="31" cm="1">
        <f t="array" ref="F182" xml:space="preserve"> BonoM(100,F$2,F$1 - $B182,Portafolio!F182)</f>
        <v>94.93711608711142</v>
      </c>
      <c r="G182" s="5">
        <f t="shared" si="33"/>
        <v>1.2300195390626101E-2</v>
      </c>
      <c r="H182" s="5">
        <f t="shared" si="34"/>
        <v>1.594468450959674E-2</v>
      </c>
      <c r="I182" s="5">
        <f t="shared" si="35"/>
        <v>2.0268497274879227E-2</v>
      </c>
      <c r="J182" s="5">
        <f t="shared" si="36"/>
        <v>2.6406217051973879E-2</v>
      </c>
      <c r="K182" s="10">
        <f t="shared" si="37"/>
        <v>90.655168682164842</v>
      </c>
      <c r="L182" s="10">
        <f t="shared" si="38"/>
        <v>99.775815210534333</v>
      </c>
      <c r="M182" s="10">
        <f t="shared" si="39"/>
        <v>94.697322572169639</v>
      </c>
      <c r="N182" s="10">
        <f t="shared" si="40"/>
        <v>95.846469093875427</v>
      </c>
      <c r="O182" s="11">
        <f t="shared" si="41"/>
        <v>-3635.0400474344483</v>
      </c>
      <c r="P182" s="11">
        <f t="shared" si="42"/>
        <v>-2348.8885558583233</v>
      </c>
      <c r="Q182" s="11">
        <f t="shared" si="43"/>
        <v>-3762.4849333660677</v>
      </c>
      <c r="R182" s="11">
        <f t="shared" si="44"/>
        <v>-2465.8294391742002</v>
      </c>
      <c r="S182" s="27">
        <f t="shared" si="45"/>
        <v>-12212.24297583304</v>
      </c>
    </row>
    <row r="183" spans="1:19" x14ac:dyDescent="0.25">
      <c r="A183" s="6">
        <f t="shared" si="32"/>
        <v>178</v>
      </c>
      <c r="B183" s="24">
        <v>45164</v>
      </c>
      <c r="C183" s="31" cm="1">
        <f t="array" ref="C183" xml:space="preserve"> BonoM(100,C$2,C$1 - $B183,Portafolio!C183)</f>
        <v>89.225264935427759</v>
      </c>
      <c r="D183" s="31" cm="1">
        <f t="array" ref="D183" xml:space="preserve"> BonoM(100,D$2,D$1 - $B183,Portafolio!D183)</f>
        <v>96.630876885673317</v>
      </c>
      <c r="E183" s="31" cm="1">
        <f t="array" ref="E183" xml:space="preserve"> BonoM(100,E$2,E$1 - $B183,Portafolio!E183)</f>
        <v>91.308201700553823</v>
      </c>
      <c r="F183" s="31" cm="1">
        <f t="array" ref="F183" xml:space="preserve"> BonoM(100,F$2,F$1 - $B183,Portafolio!F183)</f>
        <v>92.494681452522926</v>
      </c>
      <c r="G183" s="5">
        <f t="shared" si="33"/>
        <v>-1.02949834421312E-2</v>
      </c>
      <c r="H183" s="5">
        <f t="shared" si="34"/>
        <v>-1.425005891085307E-2</v>
      </c>
      <c r="I183" s="5">
        <f t="shared" si="35"/>
        <v>-1.9341242790603896E-2</v>
      </c>
      <c r="J183" s="5">
        <f t="shared" si="36"/>
        <v>-2.8451326289851253E-2</v>
      </c>
      <c r="K183" s="10">
        <f t="shared" si="37"/>
        <v>88.631688139718761</v>
      </c>
      <c r="L183" s="10">
        <f t="shared" si="38"/>
        <v>96.810392795530959</v>
      </c>
      <c r="M183" s="10">
        <f t="shared" si="39"/>
        <v>91.020901765294255</v>
      </c>
      <c r="N183" s="10">
        <f t="shared" si="40"/>
        <v>90.723836606730302</v>
      </c>
      <c r="O183" s="11">
        <f t="shared" si="41"/>
        <v>3042.4457426376166</v>
      </c>
      <c r="P183" s="11">
        <f t="shared" si="42"/>
        <v>2099.2450666467375</v>
      </c>
      <c r="Q183" s="11">
        <f t="shared" si="43"/>
        <v>3590.3566803847016</v>
      </c>
      <c r="R183" s="11">
        <f t="shared" si="44"/>
        <v>2656.803047970925</v>
      </c>
      <c r="S183" s="27">
        <f t="shared" si="45"/>
        <v>11388.850537639981</v>
      </c>
    </row>
    <row r="184" spans="1:19" x14ac:dyDescent="0.25">
      <c r="A184" s="6">
        <f t="shared" si="32"/>
        <v>179</v>
      </c>
      <c r="B184" s="24">
        <v>45163</v>
      </c>
      <c r="C184" s="31" cm="1">
        <f t="array" ref="C184" xml:space="preserve"> BonoM(100,C$2,C$1 - $B184,Portafolio!C184)</f>
        <v>90.153392619699517</v>
      </c>
      <c r="D184" s="31" cm="1">
        <f t="array" ref="D184" xml:space="preserve"> BonoM(100,D$2,D$1 - $B184,Portafolio!D184)</f>
        <v>98.027778504259061</v>
      </c>
      <c r="E184" s="31" cm="1">
        <f t="array" ref="E184" xml:space="preserve"> BonoM(100,E$2,E$1 - $B184,Portafolio!E184)</f>
        <v>93.10904637244488</v>
      </c>
      <c r="F184" s="31" cm="1">
        <f t="array" ref="F184" xml:space="preserve"> BonoM(100,F$2,F$1 - $B184,Portafolio!F184)</f>
        <v>95.203342823066563</v>
      </c>
      <c r="G184" s="5">
        <f t="shared" si="33"/>
        <v>-6.4667361454162631E-4</v>
      </c>
      <c r="H184" s="5">
        <f t="shared" si="34"/>
        <v>-1.8744039079687802E-4</v>
      </c>
      <c r="I184" s="5">
        <f t="shared" si="35"/>
        <v>-3.0526740374414718E-4</v>
      </c>
      <c r="J184" s="5">
        <f t="shared" si="36"/>
        <v>1.8752028073678595E-3</v>
      </c>
      <c r="K184" s="10">
        <f t="shared" si="37"/>
        <v>89.49572941808718</v>
      </c>
      <c r="L184" s="10">
        <f t="shared" si="38"/>
        <v>98.191481006559542</v>
      </c>
      <c r="M184" s="10">
        <f t="shared" si="39"/>
        <v>92.7877463816871</v>
      </c>
      <c r="N184" s="10">
        <f t="shared" si="40"/>
        <v>93.555747292335525</v>
      </c>
      <c r="O184" s="11">
        <f t="shared" si="41"/>
        <v>191.10952402183585</v>
      </c>
      <c r="P184" s="11">
        <f t="shared" si="42"/>
        <v>27.612750103862993</v>
      </c>
      <c r="Q184" s="11">
        <f t="shared" si="43"/>
        <v>56.667447599011211</v>
      </c>
      <c r="R184" s="11">
        <f t="shared" si="44"/>
        <v>-175.10763763429793</v>
      </c>
      <c r="S184" s="27">
        <f t="shared" si="45"/>
        <v>100.28208409041213</v>
      </c>
    </row>
    <row r="185" spans="1:19" x14ac:dyDescent="0.25">
      <c r="A185" s="6">
        <f t="shared" si="32"/>
        <v>180</v>
      </c>
      <c r="B185" s="24">
        <v>45162</v>
      </c>
      <c r="C185" s="31" cm="1">
        <f t="array" ref="C185" xml:space="preserve"> BonoM(100,C$2,C$1 - $B185,Portafolio!C185)</f>
        <v>90.21173016531958</v>
      </c>
      <c r="D185" s="31" cm="1">
        <f t="array" ref="D185" xml:space="preserve"> BonoM(100,D$2,D$1 - $B185,Portafolio!D185)</f>
        <v>98.046156314114711</v>
      </c>
      <c r="E185" s="31" cm="1">
        <f t="array" ref="E185" xml:space="preserve"> BonoM(100,E$2,E$1 - $B185,Portafolio!E185)</f>
        <v>93.137478208608897</v>
      </c>
      <c r="F185" s="31" cm="1">
        <f t="array" ref="F185" xml:space="preserve"> BonoM(100,F$2,F$1 - $B185,Portafolio!F185)</f>
        <v>95.025151392404965</v>
      </c>
      <c r="G185" s="5">
        <f t="shared" si="33"/>
        <v>-9.5187349648018227E-4</v>
      </c>
      <c r="H185" s="5">
        <f t="shared" si="34"/>
        <v>-1.9534819097942746E-3</v>
      </c>
      <c r="I185" s="5">
        <f t="shared" si="35"/>
        <v>-1.4217476914745175E-3</v>
      </c>
      <c r="J185" s="5">
        <f t="shared" si="36"/>
        <v>-1.3667745166349166E-3</v>
      </c>
      <c r="K185" s="10">
        <f t="shared" si="37"/>
        <v>89.468397657306241</v>
      </c>
      <c r="L185" s="10">
        <f t="shared" si="38"/>
        <v>98.018038264114693</v>
      </c>
      <c r="M185" s="10">
        <f t="shared" si="39"/>
        <v>92.684119057864919</v>
      </c>
      <c r="N185" s="10">
        <f t="shared" si="40"/>
        <v>93.253009376074118</v>
      </c>
      <c r="O185" s="11">
        <f t="shared" si="41"/>
        <v>281.30433459893425</v>
      </c>
      <c r="P185" s="11">
        <f t="shared" si="42"/>
        <v>287.77686377113554</v>
      </c>
      <c r="Q185" s="11">
        <f t="shared" si="43"/>
        <v>263.92209524337318</v>
      </c>
      <c r="R185" s="11">
        <f t="shared" si="44"/>
        <v>127.63027862710885</v>
      </c>
      <c r="S185" s="27">
        <f t="shared" si="45"/>
        <v>960.63357224055187</v>
      </c>
    </row>
    <row r="186" spans="1:19" x14ac:dyDescent="0.25">
      <c r="A186" s="6">
        <f t="shared" si="32"/>
        <v>181</v>
      </c>
      <c r="B186" s="24">
        <v>45161</v>
      </c>
      <c r="C186" s="31" cm="1">
        <f t="array" ref="C186" xml:space="preserve"> BonoM(100,C$2,C$1 - $B186,Portafolio!C186)</f>
        <v>90.297682135738185</v>
      </c>
      <c r="D186" s="31" cm="1">
        <f t="array" ref="D186" xml:space="preserve"> BonoM(100,D$2,D$1 - $B186,Portafolio!D186)</f>
        <v>98.238062592241889</v>
      </c>
      <c r="E186" s="31" cm="1">
        <f t="array" ref="E186" xml:space="preserve"> BonoM(100,E$2,E$1 - $B186,Portafolio!E186)</f>
        <v>93.270084736266313</v>
      </c>
      <c r="F186" s="31" cm="1">
        <f t="array" ref="F186" xml:space="preserve"> BonoM(100,F$2,F$1 - $B186,Portafolio!F186)</f>
        <v>95.155207104600649</v>
      </c>
      <c r="G186" s="5">
        <f t="shared" si="33"/>
        <v>6.6606840765979225E-3</v>
      </c>
      <c r="H186" s="5">
        <f t="shared" si="34"/>
        <v>8.6822421440242437E-3</v>
      </c>
      <c r="I186" s="5">
        <f t="shared" si="35"/>
        <v>1.14739241071804E-2</v>
      </c>
      <c r="J186" s="5">
        <f t="shared" si="36"/>
        <v>1.7365757711210517E-2</v>
      </c>
      <c r="K186" s="10">
        <f t="shared" si="37"/>
        <v>90.150129908304947</v>
      </c>
      <c r="L186" s="10">
        <f t="shared" si="38"/>
        <v>99.062571548263207</v>
      </c>
      <c r="M186" s="10">
        <f t="shared" si="39"/>
        <v>93.881044764542935</v>
      </c>
      <c r="N186" s="10">
        <f t="shared" si="40"/>
        <v>95.002265217862629</v>
      </c>
      <c r="O186" s="11">
        <f t="shared" si="41"/>
        <v>-1968.4120936967972</v>
      </c>
      <c r="P186" s="11">
        <f t="shared" si="42"/>
        <v>-1279.0230624516355</v>
      </c>
      <c r="Q186" s="11">
        <f t="shared" si="43"/>
        <v>-2129.9293181126586</v>
      </c>
      <c r="R186" s="11">
        <f t="shared" si="44"/>
        <v>-1621.6255631614017</v>
      </c>
      <c r="S186" s="27">
        <f t="shared" si="45"/>
        <v>-6998.9900374224926</v>
      </c>
    </row>
    <row r="187" spans="1:19" x14ac:dyDescent="0.25">
      <c r="A187" s="6">
        <f t="shared" si="32"/>
        <v>182</v>
      </c>
      <c r="B187" s="24">
        <v>45160</v>
      </c>
      <c r="C187" s="31" cm="1">
        <f t="array" ref="C187" xml:space="preserve"> BonoM(100,C$2,C$1 - $B187,Portafolio!C187)</f>
        <v>89.70021732652404</v>
      </c>
      <c r="D187" s="31" cm="1">
        <f t="array" ref="D187" xml:space="preserve"> BonoM(100,D$2,D$1 - $B187,Portafolio!D187)</f>
        <v>97.392477519411926</v>
      </c>
      <c r="E187" s="31" cm="1">
        <f t="array" ref="E187" xml:space="preserve"> BonoM(100,E$2,E$1 - $B187,Portafolio!E187)</f>
        <v>92.212050665166714</v>
      </c>
      <c r="F187" s="31" cm="1">
        <f t="array" ref="F187" xml:space="preserve"> BonoM(100,F$2,F$1 - $B187,Portafolio!F187)</f>
        <v>93.53097092502243</v>
      </c>
      <c r="G187" s="5">
        <f t="shared" si="33"/>
        <v>8.7442056245690125E-4</v>
      </c>
      <c r="H187" s="5">
        <f t="shared" si="34"/>
        <v>1.1408613198542472E-3</v>
      </c>
      <c r="I187" s="5">
        <f t="shared" si="35"/>
        <v>1.372007699348865E-3</v>
      </c>
      <c r="J187" s="5">
        <f t="shared" si="36"/>
        <v>1.0635772100318075E-3</v>
      </c>
      <c r="K187" s="10">
        <f t="shared" si="37"/>
        <v>89.63194894054223</v>
      </c>
      <c r="L187" s="10">
        <f t="shared" si="38"/>
        <v>98.321933370794056</v>
      </c>
      <c r="M187" s="10">
        <f t="shared" si="39"/>
        <v>92.94342448201472</v>
      </c>
      <c r="N187" s="10">
        <f t="shared" si="40"/>
        <v>93.479957174896157</v>
      </c>
      <c r="O187" s="11">
        <f t="shared" si="41"/>
        <v>-258.41490007983055</v>
      </c>
      <c r="P187" s="11">
        <f t="shared" si="42"/>
        <v>-168.06579624790885</v>
      </c>
      <c r="Q187" s="11">
        <f t="shared" si="43"/>
        <v>-254.68875305622873</v>
      </c>
      <c r="R187" s="11">
        <f t="shared" si="44"/>
        <v>-99.317520194929898</v>
      </c>
      <c r="S187" s="27">
        <f t="shared" si="45"/>
        <v>-780.48696957889808</v>
      </c>
    </row>
    <row r="188" spans="1:19" x14ac:dyDescent="0.25">
      <c r="A188" s="6">
        <f t="shared" si="32"/>
        <v>183</v>
      </c>
      <c r="B188" s="24">
        <v>45159</v>
      </c>
      <c r="C188" s="31" cm="1">
        <f t="array" ref="C188" xml:space="preserve"> BonoM(100,C$2,C$1 - $B188,Portafolio!C188)</f>
        <v>89.621850137918017</v>
      </c>
      <c r="D188" s="31" cm="1">
        <f t="array" ref="D188" xml:space="preserve"> BonoM(100,D$2,D$1 - $B188,Portafolio!D188)</f>
        <v>97.281492827107797</v>
      </c>
      <c r="E188" s="31" cm="1">
        <f t="array" ref="E188" xml:space="preserve"> BonoM(100,E$2,E$1 - $B188,Portafolio!E188)</f>
        <v>92.085708364290923</v>
      </c>
      <c r="F188" s="31" cm="1">
        <f t="array" ref="F188" xml:space="preserve"> BonoM(100,F$2,F$1 - $B188,Portafolio!F188)</f>
        <v>93.431599205410734</v>
      </c>
      <c r="G188" s="5">
        <f t="shared" si="33"/>
        <v>8.9922900275860584E-3</v>
      </c>
      <c r="H188" s="5">
        <f t="shared" si="34"/>
        <v>1.0945199358737057E-2</v>
      </c>
      <c r="I188" s="5">
        <f t="shared" si="35"/>
        <v>1.362833438486577E-2</v>
      </c>
      <c r="J188" s="5">
        <f t="shared" si="36"/>
        <v>1.8965494322074283E-2</v>
      </c>
      <c r="K188" s="10">
        <f t="shared" si="37"/>
        <v>90.358933711514339</v>
      </c>
      <c r="L188" s="10">
        <f t="shared" si="38"/>
        <v>99.284816326278374</v>
      </c>
      <c r="M188" s="10">
        <f t="shared" si="39"/>
        <v>94.081008681456666</v>
      </c>
      <c r="N188" s="10">
        <f t="shared" si="40"/>
        <v>95.151649645864126</v>
      </c>
      <c r="O188" s="11">
        <f t="shared" si="41"/>
        <v>-2657.4646442877906</v>
      </c>
      <c r="P188" s="11">
        <f t="shared" si="42"/>
        <v>-1612.3902294743857</v>
      </c>
      <c r="Q188" s="11">
        <f t="shared" si="43"/>
        <v>-2529.8571519401207</v>
      </c>
      <c r="R188" s="11">
        <f t="shared" si="44"/>
        <v>-1771.0099911628986</v>
      </c>
      <c r="S188" s="27">
        <f t="shared" si="45"/>
        <v>-8570.7220168651966</v>
      </c>
    </row>
    <row r="189" spans="1:19" x14ac:dyDescent="0.25">
      <c r="A189" s="6">
        <f t="shared" si="32"/>
        <v>184</v>
      </c>
      <c r="B189" s="24">
        <v>45157</v>
      </c>
      <c r="C189" s="31" cm="1">
        <f t="array" ref="C189" xml:space="preserve"> BonoM(100,C$2,C$1 - $B189,Portafolio!C189)</f>
        <v>88.823126820391991</v>
      </c>
      <c r="D189" s="31" cm="1">
        <f t="array" ref="D189" xml:space="preserve"> BonoM(100,D$2,D$1 - $B189,Portafolio!D189)</f>
        <v>96.228255387943292</v>
      </c>
      <c r="E189" s="31" cm="1">
        <f t="array" ref="E189" xml:space="preserve"> BonoM(100,E$2,E$1 - $B189,Portafolio!E189)</f>
        <v>90.847606800745567</v>
      </c>
      <c r="F189" s="31" cm="1">
        <f t="array" ref="F189" xml:space="preserve"> BonoM(100,F$2,F$1 - $B189,Portafolio!F189)</f>
        <v>91.692603651482329</v>
      </c>
      <c r="G189" s="5">
        <f t="shared" si="33"/>
        <v>-1.0531191237013626E-2</v>
      </c>
      <c r="H189" s="5">
        <f t="shared" si="34"/>
        <v>-1.4431111245745476E-2</v>
      </c>
      <c r="I189" s="5">
        <f t="shared" si="35"/>
        <v>-1.8179616526314613E-2</v>
      </c>
      <c r="J189" s="5">
        <f t="shared" si="36"/>
        <v>-2.8890301433673216E-2</v>
      </c>
      <c r="K189" s="10">
        <f t="shared" si="37"/>
        <v>88.610534871561143</v>
      </c>
      <c r="L189" s="10">
        <f t="shared" si="38"/>
        <v>96.792611665726255</v>
      </c>
      <c r="M189" s="10">
        <f t="shared" si="39"/>
        <v>91.128719361693157</v>
      </c>
      <c r="N189" s="10">
        <f t="shared" si="40"/>
        <v>90.682844827007685</v>
      </c>
      <c r="O189" s="11">
        <f t="shared" si="41"/>
        <v>3112.2515275577584</v>
      </c>
      <c r="P189" s="11">
        <f t="shared" si="42"/>
        <v>2125.9167613537925</v>
      </c>
      <c r="Q189" s="11">
        <f t="shared" si="43"/>
        <v>3374.7214875868963</v>
      </c>
      <c r="R189" s="11">
        <f t="shared" si="44"/>
        <v>2697.7948276935422</v>
      </c>
      <c r="S189" s="27">
        <f t="shared" si="45"/>
        <v>11310.684604191989</v>
      </c>
    </row>
    <row r="190" spans="1:19" x14ac:dyDescent="0.25">
      <c r="A190" s="6">
        <f t="shared" si="32"/>
        <v>185</v>
      </c>
      <c r="B190" s="24">
        <v>45156</v>
      </c>
      <c r="C190" s="31" cm="1">
        <f t="array" ref="C190" xml:space="preserve"> BonoM(100,C$2,C$1 - $B190,Portafolio!C190)</f>
        <v>89.768496019027467</v>
      </c>
      <c r="D190" s="31" cm="1">
        <f t="array" ref="D190" xml:space="preserve"> BonoM(100,D$2,D$1 - $B190,Portafolio!D190)</f>
        <v>97.637269688549608</v>
      </c>
      <c r="E190" s="31" cm="1">
        <f t="array" ref="E190" xml:space="preserve"> BonoM(100,E$2,E$1 - $B190,Portafolio!E190)</f>
        <v>92.529762398419848</v>
      </c>
      <c r="F190" s="31" cm="1">
        <f t="array" ref="F190" xml:space="preserve"> BonoM(100,F$2,F$1 - $B190,Portafolio!F190)</f>
        <v>94.420438583664009</v>
      </c>
      <c r="G190" s="5">
        <f t="shared" si="33"/>
        <v>-1.2589965241759371E-3</v>
      </c>
      <c r="H190" s="5">
        <f t="shared" si="34"/>
        <v>-2.842666242379277E-3</v>
      </c>
      <c r="I190" s="5">
        <f t="shared" si="35"/>
        <v>-4.2112797660199819E-3</v>
      </c>
      <c r="J190" s="5">
        <f t="shared" si="36"/>
        <v>-5.4075662979354844E-3</v>
      </c>
      <c r="K190" s="10">
        <f t="shared" si="37"/>
        <v>89.440893671819808</v>
      </c>
      <c r="L190" s="10">
        <f t="shared" si="38"/>
        <v>97.930711569060492</v>
      </c>
      <c r="M190" s="10">
        <f t="shared" si="39"/>
        <v>92.425205625377075</v>
      </c>
      <c r="N190" s="10">
        <f t="shared" si="40"/>
        <v>92.875677654824813</v>
      </c>
      <c r="O190" s="11">
        <f t="shared" si="41"/>
        <v>372.06748670416374</v>
      </c>
      <c r="P190" s="11">
        <f t="shared" si="42"/>
        <v>418.76690635243818</v>
      </c>
      <c r="Q190" s="11">
        <f t="shared" si="43"/>
        <v>781.74896021906193</v>
      </c>
      <c r="R190" s="11">
        <f t="shared" si="44"/>
        <v>504.96199987641432</v>
      </c>
      <c r="S190" s="27">
        <f t="shared" si="45"/>
        <v>2077.545353152078</v>
      </c>
    </row>
    <row r="191" spans="1:19" x14ac:dyDescent="0.25">
      <c r="A191" s="6">
        <f t="shared" si="32"/>
        <v>186</v>
      </c>
      <c r="B191" s="24">
        <v>45155</v>
      </c>
      <c r="C191" s="31" cm="1">
        <f t="array" ref="C191" xml:space="preserve"> BonoM(100,C$2,C$1 - $B191,Portafolio!C191)</f>
        <v>89.881656712415577</v>
      </c>
      <c r="D191" s="31" cm="1">
        <f t="array" ref="D191" xml:space="preserve"> BonoM(100,D$2,D$1 - $B191,Portafolio!D191)</f>
        <v>97.915611090799359</v>
      </c>
      <c r="E191" s="31" cm="1">
        <f t="array" ref="E191" xml:space="preserve"> BonoM(100,E$2,E$1 - $B191,Portafolio!E191)</f>
        <v>92.921079058495636</v>
      </c>
      <c r="F191" s="31" cm="1">
        <f t="array" ref="F191" xml:space="preserve"> BonoM(100,F$2,F$1 - $B191,Portafolio!F191)</f>
        <v>94.933799397822639</v>
      </c>
      <c r="G191" s="5">
        <f t="shared" si="33"/>
        <v>-2.7864182653076774E-3</v>
      </c>
      <c r="H191" s="5">
        <f t="shared" si="34"/>
        <v>-4.6185817233447279E-3</v>
      </c>
      <c r="I191" s="5">
        <f t="shared" si="35"/>
        <v>-4.7795951156597294E-3</v>
      </c>
      <c r="J191" s="5">
        <f t="shared" si="36"/>
        <v>-7.0465130835891676E-3</v>
      </c>
      <c r="K191" s="10">
        <f t="shared" si="37"/>
        <v>89.304107492955481</v>
      </c>
      <c r="L191" s="10">
        <f t="shared" si="38"/>
        <v>97.756299105901761</v>
      </c>
      <c r="M191" s="10">
        <f t="shared" si="39"/>
        <v>92.372456822359737</v>
      </c>
      <c r="N191" s="10">
        <f t="shared" si="40"/>
        <v>92.722631755620455</v>
      </c>
      <c r="O191" s="11">
        <f t="shared" si="41"/>
        <v>823.46187695644198</v>
      </c>
      <c r="P191" s="11">
        <f t="shared" si="42"/>
        <v>680.38560109053492</v>
      </c>
      <c r="Q191" s="11">
        <f t="shared" si="43"/>
        <v>887.24656625373655</v>
      </c>
      <c r="R191" s="11">
        <f t="shared" si="44"/>
        <v>658.00789908077206</v>
      </c>
      <c r="S191" s="27">
        <f t="shared" si="45"/>
        <v>3049.1019433814854</v>
      </c>
    </row>
    <row r="192" spans="1:19" x14ac:dyDescent="0.25">
      <c r="A192" s="6">
        <f t="shared" si="32"/>
        <v>187</v>
      </c>
      <c r="B192" s="24">
        <v>45154</v>
      </c>
      <c r="C192" s="31" cm="1">
        <f t="array" ref="C192" xml:space="preserve"> BonoM(100,C$2,C$1 - $B192,Portafolio!C192)</f>
        <v>90.132804404912832</v>
      </c>
      <c r="D192" s="31" cm="1">
        <f t="array" ref="D192" xml:space="preserve"> BonoM(100,D$2,D$1 - $B192,Portafolio!D192)</f>
        <v>98.369940701047724</v>
      </c>
      <c r="E192" s="31" cm="1">
        <f t="array" ref="E192" xml:space="preserve"> BonoM(100,E$2,E$1 - $B192,Portafolio!E192)</f>
        <v>93.367337126989952</v>
      </c>
      <c r="F192" s="31" cm="1">
        <f t="array" ref="F192" xml:space="preserve"> BonoM(100,F$2,F$1 - $B192,Portafolio!F192)</f>
        <v>95.607498889637711</v>
      </c>
      <c r="G192" s="5">
        <f t="shared" si="33"/>
        <v>-8.3952459052694106E-4</v>
      </c>
      <c r="H192" s="5">
        <f t="shared" si="34"/>
        <v>-2.8577791859898394E-3</v>
      </c>
      <c r="I192" s="5">
        <f t="shared" si="35"/>
        <v>-3.1130828932903754E-3</v>
      </c>
      <c r="J192" s="5">
        <f t="shared" si="36"/>
        <v>-5.6479544041831975E-4</v>
      </c>
      <c r="K192" s="10">
        <f t="shared" si="37"/>
        <v>89.4784589109411</v>
      </c>
      <c r="L192" s="10">
        <f t="shared" si="38"/>
        <v>97.929227328538374</v>
      </c>
      <c r="M192" s="10">
        <f t="shared" si="39"/>
        <v>92.527135954287942</v>
      </c>
      <c r="N192" s="10">
        <f t="shared" si="40"/>
        <v>93.327898695200901</v>
      </c>
      <c r="O192" s="11">
        <f t="shared" si="41"/>
        <v>248.10219760389884</v>
      </c>
      <c r="P192" s="11">
        <f t="shared" si="42"/>
        <v>420.99326713561425</v>
      </c>
      <c r="Q192" s="11">
        <f t="shared" si="43"/>
        <v>577.88830239732647</v>
      </c>
      <c r="R192" s="11">
        <f t="shared" si="44"/>
        <v>52.740959500326312</v>
      </c>
      <c r="S192" s="27">
        <f t="shared" si="45"/>
        <v>1299.724726637166</v>
      </c>
    </row>
    <row r="193" spans="1:19" x14ac:dyDescent="0.25">
      <c r="A193" s="6">
        <f t="shared" si="32"/>
        <v>188</v>
      </c>
      <c r="B193" s="24">
        <v>45153</v>
      </c>
      <c r="C193" s="31" cm="1">
        <f t="array" ref="C193" xml:space="preserve"> BonoM(100,C$2,C$1 - $B193,Portafolio!C193)</f>
        <v>90.208536689739319</v>
      </c>
      <c r="D193" s="31" cm="1">
        <f t="array" ref="D193" xml:space="preserve"> BonoM(100,D$2,D$1 - $B193,Portafolio!D193)</f>
        <v>98.651865950219317</v>
      </c>
      <c r="E193" s="31" cm="1">
        <f t="array" ref="E193" xml:space="preserve"> BonoM(100,E$2,E$1 - $B193,Portafolio!E193)</f>
        <v>93.658905062143219</v>
      </c>
      <c r="F193" s="31" cm="1">
        <f t="array" ref="F193" xml:space="preserve"> BonoM(100,F$2,F$1 - $B193,Portafolio!F193)</f>
        <v>95.661528084523297</v>
      </c>
      <c r="G193" s="5">
        <f t="shared" si="33"/>
        <v>-1.6845591279146532E-4</v>
      </c>
      <c r="H193" s="5">
        <f t="shared" si="34"/>
        <v>1.5848557625186555E-3</v>
      </c>
      <c r="I193" s="5">
        <f t="shared" si="35"/>
        <v>1.3731798653213723E-3</v>
      </c>
      <c r="J193" s="5">
        <f t="shared" si="36"/>
        <v>-1.3814530836820937E-3</v>
      </c>
      <c r="K193" s="10">
        <f t="shared" si="37"/>
        <v>89.538555554658487</v>
      </c>
      <c r="L193" s="10">
        <f t="shared" si="38"/>
        <v>98.365538015949681</v>
      </c>
      <c r="M193" s="10">
        <f t="shared" si="39"/>
        <v>92.943533277865512</v>
      </c>
      <c r="N193" s="10">
        <f t="shared" si="40"/>
        <v>93.25163868209404</v>
      </c>
      <c r="O193" s="11">
        <f t="shared" si="41"/>
        <v>49.783273336522882</v>
      </c>
      <c r="P193" s="11">
        <f t="shared" si="42"/>
        <v>-233.47276398134653</v>
      </c>
      <c r="Q193" s="11">
        <f t="shared" si="43"/>
        <v>-254.90634475781349</v>
      </c>
      <c r="R193" s="11">
        <f t="shared" si="44"/>
        <v>129.00097260718724</v>
      </c>
      <c r="S193" s="27">
        <f t="shared" si="45"/>
        <v>-309.5948627954499</v>
      </c>
    </row>
    <row r="194" spans="1:19" x14ac:dyDescent="0.25">
      <c r="A194" s="6">
        <f t="shared" si="32"/>
        <v>189</v>
      </c>
      <c r="B194" s="24">
        <v>45152</v>
      </c>
      <c r="C194" s="31" cm="1">
        <f t="array" ref="C194" xml:space="preserve"> BonoM(100,C$2,C$1 - $B194,Portafolio!C194)</f>
        <v>90.223735411443513</v>
      </c>
      <c r="D194" s="31" cm="1">
        <f t="array" ref="D194" xml:space="preserve"> BonoM(100,D$2,D$1 - $B194,Portafolio!D194)</f>
        <v>98.495764370473083</v>
      </c>
      <c r="E194" s="31" cm="1">
        <f t="array" ref="E194" xml:space="preserve"> BonoM(100,E$2,E$1 - $B194,Portafolio!E194)</f>
        <v>93.530470902705588</v>
      </c>
      <c r="F194" s="31" cm="1">
        <f t="array" ref="F194" xml:space="preserve"> BonoM(100,F$2,F$1 - $B194,Portafolio!F194)</f>
        <v>95.79386281170234</v>
      </c>
      <c r="G194" s="5">
        <f t="shared" si="33"/>
        <v>8.2132376400407825E-3</v>
      </c>
      <c r="H194" s="5">
        <f t="shared" si="34"/>
        <v>1.0563333478639469E-2</v>
      </c>
      <c r="I194" s="5">
        <f t="shared" si="35"/>
        <v>1.3495998618331839E-2</v>
      </c>
      <c r="J194" s="5">
        <f t="shared" si="36"/>
        <v>2.6015742360951055E-2</v>
      </c>
      <c r="K194" s="10">
        <f t="shared" si="37"/>
        <v>90.289166733372141</v>
      </c>
      <c r="L194" s="10">
        <f t="shared" si="38"/>
        <v>99.247313320387633</v>
      </c>
      <c r="M194" s="10">
        <f t="shared" si="39"/>
        <v>94.068725794349234</v>
      </c>
      <c r="N194" s="10">
        <f t="shared" si="40"/>
        <v>95.810006317458743</v>
      </c>
      <c r="O194" s="11">
        <f t="shared" si="41"/>
        <v>-2427.2336164185376</v>
      </c>
      <c r="P194" s="11">
        <f t="shared" si="42"/>
        <v>-1556.1357206382738</v>
      </c>
      <c r="Q194" s="11">
        <f t="shared" si="43"/>
        <v>-2505.291377725257</v>
      </c>
      <c r="R194" s="11">
        <f t="shared" si="44"/>
        <v>-2429.3666627575162</v>
      </c>
      <c r="S194" s="27">
        <f t="shared" si="45"/>
        <v>-8918.0273775395854</v>
      </c>
    </row>
    <row r="195" spans="1:19" x14ac:dyDescent="0.25">
      <c r="A195" s="6">
        <f t="shared" si="32"/>
        <v>190</v>
      </c>
      <c r="B195" s="24">
        <v>45150</v>
      </c>
      <c r="C195" s="31" cm="1">
        <f t="array" ref="C195" xml:space="preserve"> BonoM(100,C$2,C$1 - $B195,Portafolio!C195)</f>
        <v>89.48874309826887</v>
      </c>
      <c r="D195" s="31" cm="1">
        <f t="array" ref="D195" xml:space="preserve"> BonoM(100,D$2,D$1 - $B195,Portafolio!D195)</f>
        <v>97.4661964346394</v>
      </c>
      <c r="E195" s="31" cm="1">
        <f t="array" ref="E195" xml:space="preserve"> BonoM(100,E$2,E$1 - $B195,Portafolio!E195)</f>
        <v>92.284992767818352</v>
      </c>
      <c r="F195" s="31" cm="1">
        <f t="array" ref="F195" xml:space="preserve"> BonoM(100,F$2,F$1 - $B195,Portafolio!F195)</f>
        <v>93.364905485048766</v>
      </c>
      <c r="G195" s="5">
        <f t="shared" si="33"/>
        <v>-1.0720416278265255E-2</v>
      </c>
      <c r="H195" s="5">
        <f t="shared" si="34"/>
        <v>-1.4998393298555568E-2</v>
      </c>
      <c r="I195" s="5">
        <f t="shared" si="35"/>
        <v>-1.8121775684509789E-2</v>
      </c>
      <c r="J195" s="5">
        <f t="shared" si="36"/>
        <v>-2.781195265842662E-2</v>
      </c>
      <c r="K195" s="10">
        <f t="shared" si="37"/>
        <v>88.593589080073926</v>
      </c>
      <c r="L195" s="10">
        <f t="shared" si="38"/>
        <v>96.73689895800068</v>
      </c>
      <c r="M195" s="10">
        <f t="shared" si="39"/>
        <v>91.134087921899479</v>
      </c>
      <c r="N195" s="10">
        <f t="shared" si="40"/>
        <v>90.783541725411084</v>
      </c>
      <c r="O195" s="11">
        <f t="shared" si="41"/>
        <v>3168.1726394655739</v>
      </c>
      <c r="P195" s="11">
        <f t="shared" si="42"/>
        <v>2209.4858229421561</v>
      </c>
      <c r="Q195" s="11">
        <f t="shared" si="43"/>
        <v>3363.9843671742537</v>
      </c>
      <c r="R195" s="11">
        <f t="shared" si="44"/>
        <v>2597.0979292901434</v>
      </c>
      <c r="S195" s="27">
        <f t="shared" si="45"/>
        <v>11338.740758872125</v>
      </c>
    </row>
    <row r="196" spans="1:19" x14ac:dyDescent="0.25">
      <c r="A196" s="6">
        <f t="shared" si="32"/>
        <v>191</v>
      </c>
      <c r="B196" s="24">
        <v>45149</v>
      </c>
      <c r="C196" s="31" cm="1">
        <f t="array" ref="C196" xml:space="preserve"> BonoM(100,C$2,C$1 - $B196,Portafolio!C196)</f>
        <v>90.458495829466472</v>
      </c>
      <c r="D196" s="31" cm="1">
        <f t="array" ref="D196" xml:space="preserve"> BonoM(100,D$2,D$1 - $B196,Portafolio!D196)</f>
        <v>98.950291828489938</v>
      </c>
      <c r="E196" s="31" cm="1">
        <f t="array" ref="E196" xml:space="preserve"> BonoM(100,E$2,E$1 - $B196,Portafolio!E196)</f>
        <v>93.988226322214459</v>
      </c>
      <c r="F196" s="31" cm="1">
        <f t="array" ref="F196" xml:space="preserve"> BonoM(100,F$2,F$1 - $B196,Portafolio!F196)</f>
        <v>96.03584999872507</v>
      </c>
      <c r="G196" s="5">
        <f t="shared" si="33"/>
        <v>-2.201221391943009E-3</v>
      </c>
      <c r="H196" s="5">
        <f t="shared" si="34"/>
        <v>-2.8771963257951949E-3</v>
      </c>
      <c r="I196" s="5">
        <f t="shared" si="35"/>
        <v>-4.256905517378673E-3</v>
      </c>
      <c r="J196" s="5">
        <f t="shared" si="36"/>
        <v>-4.6605631956935234E-3</v>
      </c>
      <c r="K196" s="10">
        <f t="shared" si="37"/>
        <v>89.356514003898283</v>
      </c>
      <c r="L196" s="10">
        <f t="shared" si="38"/>
        <v>97.927320373383566</v>
      </c>
      <c r="M196" s="10">
        <f t="shared" si="39"/>
        <v>92.420970821984099</v>
      </c>
      <c r="N196" s="10">
        <f t="shared" si="40"/>
        <v>92.945433282336211</v>
      </c>
      <c r="O196" s="11">
        <f t="shared" si="41"/>
        <v>650.5203908451947</v>
      </c>
      <c r="P196" s="11">
        <f t="shared" si="42"/>
        <v>423.85369986782706</v>
      </c>
      <c r="Q196" s="11">
        <f t="shared" si="43"/>
        <v>790.21856700501303</v>
      </c>
      <c r="R196" s="11">
        <f t="shared" si="44"/>
        <v>435.20637236501614</v>
      </c>
      <c r="S196" s="27">
        <f t="shared" si="45"/>
        <v>2299.7990300830511</v>
      </c>
    </row>
    <row r="197" spans="1:19" x14ac:dyDescent="0.25">
      <c r="A197" s="6">
        <f t="shared" ref="A197:A255" si="46">+A198-1</f>
        <v>192</v>
      </c>
      <c r="B197" s="24">
        <v>45148</v>
      </c>
      <c r="C197" s="31" cm="1">
        <f t="array" ref="C197" xml:space="preserve"> BonoM(100,C$2,C$1 - $B197,Portafolio!C197)</f>
        <v>90.658054277894905</v>
      </c>
      <c r="D197" s="31" cm="1">
        <f t="array" ref="D197" xml:space="preserve"> BonoM(100,D$2,D$1 - $B197,Portafolio!D197)</f>
        <v>99.23581274430515</v>
      </c>
      <c r="E197" s="31" cm="1">
        <f t="array" ref="E197" xml:space="preserve"> BonoM(100,E$2,E$1 - $B197,Portafolio!E197)</f>
        <v>94.390035786338899</v>
      </c>
      <c r="F197" s="31" cm="1">
        <f t="array" ref="F197" xml:space="preserve"> BonoM(100,F$2,F$1 - $B197,Portafolio!F197)</f>
        <v>96.48552689428567</v>
      </c>
      <c r="G197" s="5">
        <f t="shared" si="33"/>
        <v>-3.6109095657477219E-4</v>
      </c>
      <c r="H197" s="5">
        <f t="shared" si="34"/>
        <v>-1.5438488475109091E-3</v>
      </c>
      <c r="I197" s="5">
        <f t="shared" si="35"/>
        <v>-3.2031500481766173E-4</v>
      </c>
      <c r="J197" s="5">
        <f t="shared" si="36"/>
        <v>-3.8556481455371827E-3</v>
      </c>
      <c r="K197" s="10">
        <f t="shared" si="37"/>
        <v>89.521304385027392</v>
      </c>
      <c r="L197" s="10">
        <f t="shared" si="38"/>
        <v>98.058268281899799</v>
      </c>
      <c r="M197" s="10">
        <f t="shared" si="39"/>
        <v>92.786349722340461</v>
      </c>
      <c r="N197" s="10">
        <f t="shared" si="40"/>
        <v>93.020596764587509</v>
      </c>
      <c r="O197" s="11">
        <f t="shared" si="41"/>
        <v>106.7121331191359</v>
      </c>
      <c r="P197" s="11">
        <f t="shared" si="42"/>
        <v>227.43183709347647</v>
      </c>
      <c r="Q197" s="11">
        <f t="shared" si="43"/>
        <v>59.460766292289691</v>
      </c>
      <c r="R197" s="11">
        <f t="shared" si="44"/>
        <v>360.04289011371782</v>
      </c>
      <c r="S197" s="27">
        <f t="shared" si="45"/>
        <v>753.64762661861982</v>
      </c>
    </row>
    <row r="198" spans="1:19" x14ac:dyDescent="0.25">
      <c r="A198" s="6">
        <f t="shared" si="46"/>
        <v>193</v>
      </c>
      <c r="B198" s="24">
        <v>45147</v>
      </c>
      <c r="C198" s="31" cm="1">
        <f t="array" ref="C198" xml:space="preserve"> BonoM(100,C$2,C$1 - $B198,Portafolio!C198)</f>
        <v>90.690801906307783</v>
      </c>
      <c r="D198" s="31" cm="1">
        <f t="array" ref="D198" xml:space="preserve"> BonoM(100,D$2,D$1 - $B198,Portafolio!D198)</f>
        <v>99.389254730676072</v>
      </c>
      <c r="E198" s="31" cm="1">
        <f t="array" ref="E198" xml:space="preserve"> BonoM(100,E$2,E$1 - $B198,Portafolio!E198)</f>
        <v>94.420280018788006</v>
      </c>
      <c r="F198" s="31" cm="1">
        <f t="array" ref="F198" xml:space="preserve"> BonoM(100,F$2,F$1 - $B198,Portafolio!F198)</f>
        <v>96.858981044930175</v>
      </c>
      <c r="G198" s="5">
        <f t="shared" ref="G198:G256" si="47" xml:space="preserve"> C198/C199 - 1</f>
        <v>2.7229965720438898E-3</v>
      </c>
      <c r="H198" s="5">
        <f t="shared" ref="H198:H256" si="48" xml:space="preserve"> D198/D199 - 1</f>
        <v>5.1784450803789017E-3</v>
      </c>
      <c r="I198" s="5">
        <f t="shared" ref="I198:I256" si="49" xml:space="preserve"> E198/E199 - 1</f>
        <v>5.9074132054777184E-3</v>
      </c>
      <c r="J198" s="5">
        <f t="shared" ref="J198:J256" si="50" xml:space="preserve"> F198/F199 - 1</f>
        <v>6.0181809682888776E-3</v>
      </c>
      <c r="K198" s="10">
        <f t="shared" ref="K198:K256" si="51" xml:space="preserve"> C$5 * (1 + G198)</f>
        <v>89.7974956535963</v>
      </c>
      <c r="L198" s="10">
        <f t="shared" ref="L198:L256" si="52" xml:space="preserve"> D$5 * (1 + H198)</f>
        <v>98.718464025788947</v>
      </c>
      <c r="M198" s="10">
        <f t="shared" ref="M198:M256" si="53" xml:space="preserve"> E$5 * (1 + I198)</f>
        <v>93.364383042782435</v>
      </c>
      <c r="N198" s="10">
        <f t="shared" ref="N198:N256" si="54" xml:space="preserve"> F$5 * (1 + J198)</f>
        <v>93.942621243077795</v>
      </c>
      <c r="O198" s="11">
        <f t="shared" ref="O198:O256" si="55" xml:space="preserve"> (C$5 - K198) * O$2</f>
        <v>-804.71905315826143</v>
      </c>
      <c r="P198" s="11">
        <f t="shared" ref="P198:P256" si="56" xml:space="preserve"> (D$5 - L198) * P$2</f>
        <v>-762.86177874024474</v>
      </c>
      <c r="Q198" s="11">
        <f t="shared" ref="Q198:Q256" si="57" xml:space="preserve"> (E$5 - M198) * Q$2</f>
        <v>-1096.6058745916598</v>
      </c>
      <c r="R198" s="11">
        <f t="shared" ref="R198:R256" si="58" xml:space="preserve"> (F$5 - N198) * R$2</f>
        <v>-561.9815883765682</v>
      </c>
      <c r="S198" s="27">
        <f t="shared" ref="S198:S256" si="59" xml:space="preserve"> SUM(O198:R198)</f>
        <v>-3226.1682948667344</v>
      </c>
    </row>
    <row r="199" spans="1:19" x14ac:dyDescent="0.25">
      <c r="A199" s="6">
        <f t="shared" si="46"/>
        <v>194</v>
      </c>
      <c r="B199" s="24">
        <v>45146</v>
      </c>
      <c r="C199" s="31" cm="1">
        <f t="array" ref="C199" xml:space="preserve"> BonoM(100,C$2,C$1 - $B199,Portafolio!C199)</f>
        <v>90.444521783531087</v>
      </c>
      <c r="D199" s="31" cm="1">
        <f t="array" ref="D199" xml:space="preserve"> BonoM(100,D$2,D$1 - $B199,Portafolio!D199)</f>
        <v>98.877224454140006</v>
      </c>
      <c r="E199" s="31" cm="1">
        <f t="array" ref="E199" xml:space="preserve"> BonoM(100,E$2,E$1 - $B199,Portafolio!E199)</f>
        <v>93.865776093550551</v>
      </c>
      <c r="F199" s="31" cm="1">
        <f t="array" ref="F199" xml:space="preserve"> BonoM(100,F$2,F$1 - $B199,Portafolio!F199)</f>
        <v>96.27955326980647</v>
      </c>
      <c r="G199" s="5">
        <f t="shared" si="47"/>
        <v>1.1818463934334389E-3</v>
      </c>
      <c r="H199" s="5">
        <f t="shared" si="48"/>
        <v>1.5894796877105044E-3</v>
      </c>
      <c r="I199" s="5">
        <f t="shared" si="49"/>
        <v>1.3763260954613443E-3</v>
      </c>
      <c r="J199" s="5">
        <f t="shared" si="50"/>
        <v>6.0061859713202992E-3</v>
      </c>
      <c r="K199" s="10">
        <f t="shared" si="51"/>
        <v>89.659480043165075</v>
      </c>
      <c r="L199" s="10">
        <f t="shared" si="52"/>
        <v>98.365992131131861</v>
      </c>
      <c r="M199" s="10">
        <f t="shared" si="53"/>
        <v>92.943825298614215</v>
      </c>
      <c r="N199" s="10">
        <f t="shared" si="54"/>
        <v>93.941501142588208</v>
      </c>
      <c r="O199" s="11">
        <f t="shared" si="55"/>
        <v>-349.26753873521932</v>
      </c>
      <c r="P199" s="11">
        <f t="shared" si="56"/>
        <v>-234.15393675461615</v>
      </c>
      <c r="Q199" s="11">
        <f t="shared" si="57"/>
        <v>-255.49038625521803</v>
      </c>
      <c r="R199" s="11">
        <f t="shared" si="58"/>
        <v>-560.86148788698154</v>
      </c>
      <c r="S199" s="27">
        <f t="shared" si="59"/>
        <v>-1399.7733496320352</v>
      </c>
    </row>
    <row r="200" spans="1:19" x14ac:dyDescent="0.25">
      <c r="A200" s="6">
        <f t="shared" si="46"/>
        <v>195</v>
      </c>
      <c r="B200" s="24">
        <v>45145</v>
      </c>
      <c r="C200" s="31" cm="1">
        <f t="array" ref="C200" xml:space="preserve"> BonoM(100,C$2,C$1 - $B200,Portafolio!C200)</f>
        <v>90.337756431901184</v>
      </c>
      <c r="D200" s="31" cm="1">
        <f t="array" ref="D200" xml:space="preserve"> BonoM(100,D$2,D$1 - $B200,Portafolio!D200)</f>
        <v>98.720310525794787</v>
      </c>
      <c r="E200" s="31" cm="1">
        <f t="array" ref="E200" xml:space="preserve"> BonoM(100,E$2,E$1 - $B200,Portafolio!E200)</f>
        <v>93.736763739511773</v>
      </c>
      <c r="F200" s="31" cm="1">
        <f t="array" ref="F200" xml:space="preserve"> BonoM(100,F$2,F$1 - $B200,Portafolio!F200)</f>
        <v>95.704732845997881</v>
      </c>
      <c r="G200" s="5">
        <f t="shared" si="47"/>
        <v>9.2862292125936996E-3</v>
      </c>
      <c r="H200" s="5">
        <f t="shared" si="48"/>
        <v>1.0837269242850001E-2</v>
      </c>
      <c r="I200" s="5">
        <f t="shared" si="49"/>
        <v>1.3778621866722851E-2</v>
      </c>
      <c r="J200" s="5">
        <f t="shared" si="50"/>
        <v>1.8704664868586462E-2</v>
      </c>
      <c r="K200" s="10">
        <f t="shared" si="51"/>
        <v>90.385257035880471</v>
      </c>
      <c r="L200" s="10">
        <f t="shared" si="52"/>
        <v>99.274216521522675</v>
      </c>
      <c r="M200" s="10">
        <f t="shared" si="53"/>
        <v>94.094957776411562</v>
      </c>
      <c r="N200" s="10">
        <f t="shared" si="54"/>
        <v>95.127293224656654</v>
      </c>
      <c r="O200" s="11">
        <f t="shared" si="55"/>
        <v>-2744.3316146960256</v>
      </c>
      <c r="P200" s="11">
        <f t="shared" si="56"/>
        <v>-1596.4905223408366</v>
      </c>
      <c r="Q200" s="11">
        <f t="shared" si="57"/>
        <v>-2557.7553418499119</v>
      </c>
      <c r="R200" s="11">
        <f t="shared" si="58"/>
        <v>-1746.653569955427</v>
      </c>
      <c r="S200" s="27">
        <f t="shared" si="59"/>
        <v>-8645.2310488422008</v>
      </c>
    </row>
    <row r="201" spans="1:19" x14ac:dyDescent="0.25">
      <c r="A201" s="6">
        <f t="shared" si="46"/>
        <v>196</v>
      </c>
      <c r="B201" s="24">
        <v>45143</v>
      </c>
      <c r="C201" s="31" cm="1">
        <f t="array" ref="C201" xml:space="preserve"> BonoM(100,C$2,C$1 - $B201,Portafolio!C201)</f>
        <v>89.506577834098877</v>
      </c>
      <c r="D201" s="31" cm="1">
        <f t="array" ref="D201" xml:space="preserve"> BonoM(100,D$2,D$1 - $B201,Portafolio!D201)</f>
        <v>97.661921982496267</v>
      </c>
      <c r="E201" s="31" cm="1">
        <f t="array" ref="E201" xml:space="preserve"> BonoM(100,E$2,E$1 - $B201,Portafolio!E201)</f>
        <v>92.46275440974425</v>
      </c>
      <c r="F201" s="31" cm="1">
        <f t="array" ref="F201" xml:space="preserve"> BonoM(100,F$2,F$1 - $B201,Portafolio!F201)</f>
        <v>93.947476777623123</v>
      </c>
      <c r="G201" s="5">
        <f t="shared" si="47"/>
        <v>-1.0273547091382618E-2</v>
      </c>
      <c r="H201" s="5">
        <f t="shared" si="48"/>
        <v>-1.3973883969363721E-2</v>
      </c>
      <c r="I201" s="5">
        <f t="shared" si="49"/>
        <v>-1.7869912180582315E-2</v>
      </c>
      <c r="J201" s="5">
        <f t="shared" si="50"/>
        <v>-2.7264079645827444E-2</v>
      </c>
      <c r="K201" s="10">
        <f t="shared" si="51"/>
        <v>88.633607842986521</v>
      </c>
      <c r="L201" s="10">
        <f t="shared" si="52"/>
        <v>96.837515906019121</v>
      </c>
      <c r="M201" s="10">
        <f t="shared" si="53"/>
        <v>91.157464905055662</v>
      </c>
      <c r="N201" s="10">
        <f t="shared" si="54"/>
        <v>90.834702457777141</v>
      </c>
      <c r="O201" s="11">
        <f t="shared" si="55"/>
        <v>3036.1107218540101</v>
      </c>
      <c r="P201" s="11">
        <f t="shared" si="56"/>
        <v>2058.5604009144945</v>
      </c>
      <c r="Q201" s="11">
        <f t="shared" si="57"/>
        <v>3317.230400861888</v>
      </c>
      <c r="R201" s="11">
        <f t="shared" si="58"/>
        <v>2545.9371969240865</v>
      </c>
      <c r="S201" s="27">
        <f t="shared" si="59"/>
        <v>10957.838720554479</v>
      </c>
    </row>
    <row r="202" spans="1:19" x14ac:dyDescent="0.25">
      <c r="A202" s="6">
        <f t="shared" si="46"/>
        <v>197</v>
      </c>
      <c r="B202" s="24">
        <v>45142</v>
      </c>
      <c r="C202" s="31" cm="1">
        <f t="array" ref="C202" xml:space="preserve"> BonoM(100,C$2,C$1 - $B202,Portafolio!C202)</f>
        <v>90.43567297919148</v>
      </c>
      <c r="D202" s="31" cm="1">
        <f t="array" ref="D202" xml:space="preserve"> BonoM(100,D$2,D$1 - $B202,Portafolio!D202)</f>
        <v>99.045979000683857</v>
      </c>
      <c r="E202" s="31" cm="1">
        <f t="array" ref="E202" xml:space="preserve"> BonoM(100,E$2,E$1 - $B202,Portafolio!E202)</f>
        <v>94.145119426119436</v>
      </c>
      <c r="F202" s="31" cm="1">
        <f t="array" ref="F202" xml:space="preserve"> BonoM(100,F$2,F$1 - $B202,Portafolio!F202)</f>
        <v>96.58065957245303</v>
      </c>
      <c r="G202" s="5">
        <f t="shared" si="47"/>
        <v>-6.7267740945609056E-4</v>
      </c>
      <c r="H202" s="5">
        <f t="shared" si="48"/>
        <v>-6.5283183033026937E-4</v>
      </c>
      <c r="I202" s="5">
        <f t="shared" si="49"/>
        <v>-3.2119409834296953E-4</v>
      </c>
      <c r="J202" s="5">
        <f t="shared" si="50"/>
        <v>-1.4008232867686043E-3</v>
      </c>
      <c r="K202" s="10">
        <f t="shared" si="51"/>
        <v>89.493400683562498</v>
      </c>
      <c r="L202" s="10">
        <f t="shared" si="52"/>
        <v>98.145774964705637</v>
      </c>
      <c r="M202" s="10">
        <f t="shared" si="53"/>
        <v>92.786268128325389</v>
      </c>
      <c r="N202" s="10">
        <f t="shared" si="54"/>
        <v>93.249829880139572</v>
      </c>
      <c r="O202" s="11">
        <f t="shared" si="55"/>
        <v>198.7943479532845</v>
      </c>
      <c r="P202" s="11">
        <f t="shared" si="56"/>
        <v>96.171812884719543</v>
      </c>
      <c r="Q202" s="11">
        <f t="shared" si="57"/>
        <v>59.623954322432837</v>
      </c>
      <c r="R202" s="11">
        <f t="shared" si="58"/>
        <v>130.80977456165499</v>
      </c>
      <c r="S202" s="27">
        <f t="shared" si="59"/>
        <v>485.39988972209187</v>
      </c>
    </row>
    <row r="203" spans="1:19" x14ac:dyDescent="0.25">
      <c r="A203" s="6">
        <f t="shared" si="46"/>
        <v>198</v>
      </c>
      <c r="B203" s="24">
        <v>45141</v>
      </c>
      <c r="C203" s="31" cm="1">
        <f t="array" ref="C203" xml:space="preserve"> BonoM(100,C$2,C$1 - $B203,Portafolio!C203)</f>
        <v>90.49654796263971</v>
      </c>
      <c r="D203" s="31" cm="1">
        <f t="array" ref="D203" xml:space="preserve"> BonoM(100,D$2,D$1 - $B203,Portafolio!D203)</f>
        <v>99.110681608363521</v>
      </c>
      <c r="E203" s="31" cm="1">
        <f t="array" ref="E203" xml:space="preserve"> BonoM(100,E$2,E$1 - $B203,Portafolio!E203)</f>
        <v>94.175367998529836</v>
      </c>
      <c r="F203" s="31" cm="1">
        <f t="array" ref="F203" xml:space="preserve"> BonoM(100,F$2,F$1 - $B203,Portafolio!F203)</f>
        <v>96.716141796087399</v>
      </c>
      <c r="G203" s="5">
        <f t="shared" si="47"/>
        <v>-9.8407043807036132E-4</v>
      </c>
      <c r="H203" s="5">
        <f t="shared" si="48"/>
        <v>-2.0003562053295676E-3</v>
      </c>
      <c r="I203" s="5">
        <f t="shared" si="49"/>
        <v>-3.1508083485375371E-3</v>
      </c>
      <c r="J203" s="5">
        <f t="shared" si="50"/>
        <v>-8.8064796751320396E-3</v>
      </c>
      <c r="K203" s="10">
        <f t="shared" si="51"/>
        <v>89.465514303945056</v>
      </c>
      <c r="L203" s="10">
        <f t="shared" si="52"/>
        <v>98.013434744729466</v>
      </c>
      <c r="M203" s="10">
        <f t="shared" si="53"/>
        <v>92.523634425411714</v>
      </c>
      <c r="N203" s="10">
        <f t="shared" si="54"/>
        <v>92.55828494953127</v>
      </c>
      <c r="O203" s="11">
        <f t="shared" si="55"/>
        <v>290.81940069084311</v>
      </c>
      <c r="P203" s="11">
        <f t="shared" si="56"/>
        <v>294.68214284897698</v>
      </c>
      <c r="Q203" s="11">
        <f t="shared" si="57"/>
        <v>584.89136014978271</v>
      </c>
      <c r="R203" s="11">
        <f t="shared" si="58"/>
        <v>822.3547051699569</v>
      </c>
      <c r="S203" s="27">
        <f t="shared" si="59"/>
        <v>1992.7476088595599</v>
      </c>
    </row>
    <row r="204" spans="1:19" x14ac:dyDescent="0.25">
      <c r="A204" s="6">
        <f t="shared" si="46"/>
        <v>199</v>
      </c>
      <c r="B204" s="24">
        <v>45140</v>
      </c>
      <c r="C204" s="31" cm="1">
        <f t="array" ref="C204" xml:space="preserve"> BonoM(100,C$2,C$1 - $B204,Portafolio!C204)</f>
        <v>90.585690662933288</v>
      </c>
      <c r="D204" s="31" cm="1">
        <f t="array" ref="D204" xml:space="preserve"> BonoM(100,D$2,D$1 - $B204,Portafolio!D204)</f>
        <v>99.309335654186526</v>
      </c>
      <c r="E204" s="31" cm="1">
        <f t="array" ref="E204" xml:space="preserve"> BonoM(100,E$2,E$1 - $B204,Portafolio!E204)</f>
        <v>94.473034424104981</v>
      </c>
      <c r="F204" s="31" cm="1">
        <f t="array" ref="F204" xml:space="preserve"> BonoM(100,F$2,F$1 - $B204,Portafolio!F204)</f>
        <v>97.575437906805789</v>
      </c>
      <c r="G204" s="5">
        <f t="shared" si="47"/>
        <v>6.7584025895017774E-5</v>
      </c>
      <c r="H204" s="5">
        <f t="shared" si="48"/>
        <v>-2.4533141748668275E-3</v>
      </c>
      <c r="I204" s="5">
        <f t="shared" si="49"/>
        <v>-4.2888903711771897E-3</v>
      </c>
      <c r="J204" s="5">
        <f t="shared" si="50"/>
        <v>-2.241444018105998E-3</v>
      </c>
      <c r="K204" s="10">
        <f t="shared" si="51"/>
        <v>89.55969379068253</v>
      </c>
      <c r="L204" s="10">
        <f t="shared" si="52"/>
        <v>97.968949792590067</v>
      </c>
      <c r="M204" s="10">
        <f t="shared" si="53"/>
        <v>92.418002113231779</v>
      </c>
      <c r="N204" s="10">
        <f t="shared" si="54"/>
        <v>93.171332178540283</v>
      </c>
      <c r="O204" s="11">
        <f t="shared" si="55"/>
        <v>-19.97290554282074</v>
      </c>
      <c r="P204" s="11">
        <f t="shared" si="56"/>
        <v>361.40957105807558</v>
      </c>
      <c r="Q204" s="11">
        <f t="shared" si="57"/>
        <v>796.15598450965308</v>
      </c>
      <c r="R204" s="11">
        <f t="shared" si="58"/>
        <v>209.30747616094436</v>
      </c>
      <c r="S204" s="27">
        <f t="shared" si="59"/>
        <v>1346.9001261858523</v>
      </c>
    </row>
    <row r="205" spans="1:19" x14ac:dyDescent="0.25">
      <c r="A205" s="6">
        <f t="shared" si="46"/>
        <v>200</v>
      </c>
      <c r="B205" s="24">
        <v>45139</v>
      </c>
      <c r="C205" s="31" cm="1">
        <f t="array" ref="C205" xml:space="preserve"> BonoM(100,C$2,C$1 - $B205,Portafolio!C205)</f>
        <v>90.579568931001091</v>
      </c>
      <c r="D205" s="31" cm="1">
        <f t="array" ref="D205" xml:space="preserve"> BonoM(100,D$2,D$1 - $B205,Portafolio!D205)</f>
        <v>99.553571843147949</v>
      </c>
      <c r="E205" s="31" cm="1">
        <f t="array" ref="E205" xml:space="preserve"> BonoM(100,E$2,E$1 - $B205,Portafolio!E205)</f>
        <v>94.879964188932533</v>
      </c>
      <c r="F205" s="31" cm="1">
        <f t="array" ref="F205" xml:space="preserve"> BonoM(100,F$2,F$1 - $B205,Portafolio!F205)</f>
        <v>97.794639115654405</v>
      </c>
      <c r="G205" s="5">
        <f t="shared" si="47"/>
        <v>1.2934786371232576E-4</v>
      </c>
      <c r="H205" s="5">
        <f t="shared" si="48"/>
        <v>-1.1092685554323634E-3</v>
      </c>
      <c r="I205" s="5">
        <f t="shared" si="49"/>
        <v>-2.5982354000152474E-3</v>
      </c>
      <c r="J205" s="5">
        <f t="shared" si="50"/>
        <v>-5.5583298694633632E-3</v>
      </c>
      <c r="K205" s="10">
        <f t="shared" si="51"/>
        <v>89.565224967265607</v>
      </c>
      <c r="L205" s="10">
        <f t="shared" si="52"/>
        <v>98.100948364366587</v>
      </c>
      <c r="M205" s="10">
        <f t="shared" si="53"/>
        <v>92.574922080465882</v>
      </c>
      <c r="N205" s="10">
        <f t="shared" si="54"/>
        <v>92.861599256078904</v>
      </c>
      <c r="O205" s="11">
        <f t="shared" si="55"/>
        <v>-38.225788266973382</v>
      </c>
      <c r="P205" s="11">
        <f t="shared" si="56"/>
        <v>163.41171339329463</v>
      </c>
      <c r="Q205" s="11">
        <f t="shared" si="57"/>
        <v>482.3160500414474</v>
      </c>
      <c r="R205" s="11">
        <f t="shared" si="58"/>
        <v>519.0403986223231</v>
      </c>
      <c r="S205" s="27">
        <f t="shared" si="59"/>
        <v>1126.5423737900919</v>
      </c>
    </row>
    <row r="206" spans="1:19" x14ac:dyDescent="0.25">
      <c r="A206" s="6">
        <f t="shared" si="46"/>
        <v>201</v>
      </c>
      <c r="B206" s="24">
        <v>45138</v>
      </c>
      <c r="C206" s="31" cm="1">
        <f t="array" ref="C206" xml:space="preserve"> BonoM(100,C$2,C$1 - $B206,Portafolio!C206)</f>
        <v>90.567854172542866</v>
      </c>
      <c r="D206" s="31" cm="1">
        <f t="array" ref="D206" xml:space="preserve"> BonoM(100,D$2,D$1 - $B206,Portafolio!D206)</f>
        <v>99.664126124362355</v>
      </c>
      <c r="E206" s="31" cm="1">
        <f t="array" ref="E206" xml:space="preserve"> BonoM(100,E$2,E$1 - $B206,Portafolio!E206)</f>
        <v>95.127126857435258</v>
      </c>
      <c r="F206" s="31" cm="1">
        <f t="array" ref="F206" xml:space="preserve"> BonoM(100,F$2,F$1 - $B206,Portafolio!F206)</f>
        <v>98.341252235354602</v>
      </c>
      <c r="G206" s="5">
        <f t="shared" si="47"/>
        <v>1.3355889011299915E-2</v>
      </c>
      <c r="H206" s="5">
        <f t="shared" si="48"/>
        <v>1.6912398235938708E-2</v>
      </c>
      <c r="I206" s="5">
        <f t="shared" si="49"/>
        <v>2.1942894252532597E-2</v>
      </c>
      <c r="J206" s="5">
        <f t="shared" si="50"/>
        <v>3.2907581478163417E-2</v>
      </c>
      <c r="K206" s="10">
        <f t="shared" si="51"/>
        <v>90.749709890093712</v>
      </c>
      <c r="L206" s="10">
        <f t="shared" si="52"/>
        <v>99.870854268672431</v>
      </c>
      <c r="M206" s="10">
        <f t="shared" si="53"/>
        <v>94.85273353617589</v>
      </c>
      <c r="N206" s="10">
        <f t="shared" si="54"/>
        <v>96.453570662621331</v>
      </c>
      <c r="O206" s="11">
        <f t="shared" si="55"/>
        <v>-3947.0260335997195</v>
      </c>
      <c r="P206" s="11">
        <f t="shared" si="56"/>
        <v>-2491.4471430654712</v>
      </c>
      <c r="Q206" s="11">
        <f t="shared" si="57"/>
        <v>-4073.306861378569</v>
      </c>
      <c r="R206" s="11">
        <f t="shared" si="58"/>
        <v>-3072.9310079201041</v>
      </c>
      <c r="S206" s="27">
        <f t="shared" si="59"/>
        <v>-13584.711045963864</v>
      </c>
    </row>
    <row r="207" spans="1:19" x14ac:dyDescent="0.25">
      <c r="A207" s="6">
        <f t="shared" si="46"/>
        <v>202</v>
      </c>
      <c r="B207" s="24">
        <v>45136</v>
      </c>
      <c r="C207" s="31" cm="1">
        <f t="array" ref="C207" xml:space="preserve"> BonoM(100,C$2,C$1 - $B207,Portafolio!C207)</f>
        <v>89.37418251045753</v>
      </c>
      <c r="D207" s="31" cm="1">
        <f t="array" ref="D207" xml:space="preserve"> BonoM(100,D$2,D$1 - $B207,Portafolio!D207)</f>
        <v>98.006599484136487</v>
      </c>
      <c r="E207" s="31" cm="1">
        <f t="array" ref="E207" xml:space="preserve"> BonoM(100,E$2,E$1 - $B207,Portafolio!E207)</f>
        <v>93.08458172412162</v>
      </c>
      <c r="F207" s="31" cm="1">
        <f t="array" ref="F207" xml:space="preserve"> BonoM(100,F$2,F$1 - $B207,Portafolio!F207)</f>
        <v>95.208181253371521</v>
      </c>
      <c r="G207" s="5">
        <f t="shared" si="47"/>
        <v>-9.9682856206562143E-3</v>
      </c>
      <c r="H207" s="5">
        <f t="shared" si="48"/>
        <v>-1.4144324798282093E-2</v>
      </c>
      <c r="I207" s="5">
        <f t="shared" si="49"/>
        <v>-1.8312045982004865E-2</v>
      </c>
      <c r="J207" s="5">
        <f t="shared" si="50"/>
        <v>-2.5180257326606004E-2</v>
      </c>
      <c r="K207" s="10">
        <f t="shared" si="51"/>
        <v>88.66094511926768</v>
      </c>
      <c r="L207" s="10">
        <f t="shared" si="52"/>
        <v>96.820776931043625</v>
      </c>
      <c r="M207" s="10">
        <f t="shared" si="53"/>
        <v>91.116427778725495</v>
      </c>
      <c r="N207" s="10">
        <f t="shared" si="54"/>
        <v>91.029291118872777</v>
      </c>
      <c r="O207" s="11">
        <f t="shared" si="55"/>
        <v>2945.8977101261853</v>
      </c>
      <c r="P207" s="11">
        <f t="shared" si="56"/>
        <v>2083.6688633777385</v>
      </c>
      <c r="Q207" s="11">
        <f t="shared" si="57"/>
        <v>3399.304653522222</v>
      </c>
      <c r="R207" s="11">
        <f t="shared" si="58"/>
        <v>2351.3485358284497</v>
      </c>
      <c r="S207" s="27">
        <f t="shared" si="59"/>
        <v>10780.219762854595</v>
      </c>
    </row>
    <row r="208" spans="1:19" x14ac:dyDescent="0.25">
      <c r="A208" s="6">
        <f t="shared" si="46"/>
        <v>203</v>
      </c>
      <c r="B208" s="24">
        <v>45135</v>
      </c>
      <c r="C208" s="31" cm="1">
        <f t="array" ref="C208" xml:space="preserve"> BonoM(100,C$2,C$1 - $B208,Portafolio!C208)</f>
        <v>90.274060125929083</v>
      </c>
      <c r="D208" s="31" cm="1">
        <f t="array" ref="D208" xml:space="preserve"> BonoM(100,D$2,D$1 - $B208,Portafolio!D208)</f>
        <v>99.412725360720941</v>
      </c>
      <c r="E208" s="31" cm="1">
        <f t="array" ref="E208" xml:space="preserve"> BonoM(100,E$2,E$1 - $B208,Portafolio!E208)</f>
        <v>94.820947270598069</v>
      </c>
      <c r="F208" s="31" cm="1">
        <f t="array" ref="F208" xml:space="preserve"> BonoM(100,F$2,F$1 - $B208,Portafolio!F208)</f>
        <v>97.667473365145312</v>
      </c>
      <c r="G208" s="5">
        <f t="shared" si="47"/>
        <v>5.6696679637502356E-4</v>
      </c>
      <c r="H208" s="5">
        <f t="shared" si="48"/>
        <v>1.5799843403385694E-5</v>
      </c>
      <c r="I208" s="5">
        <f t="shared" si="49"/>
        <v>-2.7169832135132133E-4</v>
      </c>
      <c r="J208" s="5">
        <f t="shared" si="50"/>
        <v>1.5722703324603238E-3</v>
      </c>
      <c r="K208" s="10">
        <f t="shared" si="51"/>
        <v>89.604415336228968</v>
      </c>
      <c r="L208" s="10">
        <f t="shared" si="52"/>
        <v>98.211441207503654</v>
      </c>
      <c r="M208" s="10">
        <f t="shared" si="53"/>
        <v>92.790862132327533</v>
      </c>
      <c r="N208" s="10">
        <f t="shared" si="54"/>
        <v>93.527459264056475</v>
      </c>
      <c r="O208" s="11">
        <f t="shared" si="55"/>
        <v>-167.55400584606406</v>
      </c>
      <c r="P208" s="11">
        <f t="shared" si="56"/>
        <v>-2.3275513123053315</v>
      </c>
      <c r="Q208" s="11">
        <f t="shared" si="57"/>
        <v>50.435946318145852</v>
      </c>
      <c r="R208" s="11">
        <f t="shared" si="58"/>
        <v>-146.81960935524785</v>
      </c>
      <c r="S208" s="27">
        <f t="shared" si="59"/>
        <v>-266.26522019547139</v>
      </c>
    </row>
    <row r="209" spans="1:19" x14ac:dyDescent="0.25">
      <c r="A209" s="6">
        <f t="shared" si="46"/>
        <v>204</v>
      </c>
      <c r="B209" s="24">
        <v>45134</v>
      </c>
      <c r="C209" s="31" cm="1">
        <f t="array" ref="C209" xml:space="preserve"> BonoM(100,C$2,C$1 - $B209,Portafolio!C209)</f>
        <v>90.222906733538721</v>
      </c>
      <c r="D209" s="31" cm="1">
        <f t="array" ref="D209" xml:space="preserve"> BonoM(100,D$2,D$1 - $B209,Portafolio!D209)</f>
        <v>99.411154680044447</v>
      </c>
      <c r="E209" s="31" cm="1">
        <f t="array" ref="E209" xml:space="preserve"> BonoM(100,E$2,E$1 - $B209,Portafolio!E209)</f>
        <v>94.846716964382978</v>
      </c>
      <c r="F209" s="31" cm="1">
        <f t="array" ref="F209" xml:space="preserve"> BonoM(100,F$2,F$1 - $B209,Portafolio!F209)</f>
        <v>97.514154752632805</v>
      </c>
      <c r="G209" s="5">
        <f t="shared" si="47"/>
        <v>-9.9006275006086053E-4</v>
      </c>
      <c r="H209" s="5">
        <f t="shared" si="48"/>
        <v>-1.338638710588369E-3</v>
      </c>
      <c r="I209" s="5">
        <f t="shared" si="49"/>
        <v>-1.7526115670030151E-3</v>
      </c>
      <c r="J209" s="5">
        <f t="shared" si="50"/>
        <v>-4.7343604152959573E-3</v>
      </c>
      <c r="K209" s="10">
        <f t="shared" si="51"/>
        <v>89.464977670585938</v>
      </c>
      <c r="L209" s="10">
        <f t="shared" si="52"/>
        <v>98.078421946772607</v>
      </c>
      <c r="M209" s="10">
        <f t="shared" si="53"/>
        <v>92.653409569889845</v>
      </c>
      <c r="N209" s="10">
        <f t="shared" si="54"/>
        <v>92.938542050764994</v>
      </c>
      <c r="O209" s="11">
        <f t="shared" si="55"/>
        <v>292.59029077593368</v>
      </c>
      <c r="P209" s="11">
        <f t="shared" si="56"/>
        <v>197.20133978426446</v>
      </c>
      <c r="Q209" s="11">
        <f t="shared" si="57"/>
        <v>325.34107119352029</v>
      </c>
      <c r="R209" s="11">
        <f t="shared" si="58"/>
        <v>442.09760393623299</v>
      </c>
      <c r="S209" s="27">
        <f t="shared" si="59"/>
        <v>1257.2303056899514</v>
      </c>
    </row>
    <row r="210" spans="1:19" x14ac:dyDescent="0.25">
      <c r="A210" s="6">
        <f t="shared" si="46"/>
        <v>205</v>
      </c>
      <c r="B210" s="24">
        <v>45133</v>
      </c>
      <c r="C210" s="31" cm="1">
        <f t="array" ref="C210" xml:space="preserve"> BonoM(100,C$2,C$1 - $B210,Portafolio!C210)</f>
        <v>90.312321599025438</v>
      </c>
      <c r="D210" s="31" cm="1">
        <f t="array" ref="D210" xml:space="preserve"> BonoM(100,D$2,D$1 - $B210,Portafolio!D210)</f>
        <v>99.544408678924682</v>
      </c>
      <c r="E210" s="31" cm="1">
        <f t="array" ref="E210" xml:space="preserve"> BonoM(100,E$2,E$1 - $B210,Portafolio!E210)</f>
        <v>95.013238264784249</v>
      </c>
      <c r="F210" s="31" cm="1">
        <f t="array" ref="F210" xml:space="preserve"> BonoM(100,F$2,F$1 - $B210,Portafolio!F210)</f>
        <v>97.978018002633632</v>
      </c>
      <c r="G210" s="5">
        <f t="shared" si="47"/>
        <v>2.5475781882033921E-4</v>
      </c>
      <c r="H210" s="5">
        <f t="shared" si="48"/>
        <v>1.5975145510023214E-3</v>
      </c>
      <c r="I210" s="5">
        <f t="shared" si="49"/>
        <v>1.9520735876810136E-3</v>
      </c>
      <c r="J210" s="5">
        <f t="shared" si="50"/>
        <v>1.4908695891100443E-3</v>
      </c>
      <c r="K210" s="10">
        <f t="shared" si="51"/>
        <v>89.576455885412713</v>
      </c>
      <c r="L210" s="10">
        <f t="shared" si="52"/>
        <v>98.366781234167959</v>
      </c>
      <c r="M210" s="10">
        <f t="shared" si="53"/>
        <v>92.997263923972611</v>
      </c>
      <c r="N210" s="10">
        <f t="shared" si="54"/>
        <v>93.519858010574069</v>
      </c>
      <c r="O210" s="11">
        <f t="shared" si="55"/>
        <v>-75.287818152423824</v>
      </c>
      <c r="P210" s="11">
        <f t="shared" si="56"/>
        <v>-235.33759130876319</v>
      </c>
      <c r="Q210" s="11">
        <f t="shared" si="57"/>
        <v>-362.36763697201013</v>
      </c>
      <c r="R210" s="11">
        <f t="shared" si="58"/>
        <v>-139.21835587284193</v>
      </c>
      <c r="S210" s="27">
        <f t="shared" si="59"/>
        <v>-812.21140230603908</v>
      </c>
    </row>
    <row r="211" spans="1:19" x14ac:dyDescent="0.25">
      <c r="A211" s="6">
        <f t="shared" si="46"/>
        <v>206</v>
      </c>
      <c r="B211" s="24">
        <v>45132</v>
      </c>
      <c r="C211" s="31" cm="1">
        <f t="array" ref="C211" xml:space="preserve"> BonoM(100,C$2,C$1 - $B211,Portafolio!C211)</f>
        <v>90.28931968887872</v>
      </c>
      <c r="D211" s="31" cm="1">
        <f t="array" ref="D211" xml:space="preserve"> BonoM(100,D$2,D$1 - $B211,Portafolio!D211)</f>
        <v>99.38563867498074</v>
      </c>
      <c r="E211" s="31" cm="1">
        <f t="array" ref="E211" xml:space="preserve"> BonoM(100,E$2,E$1 - $B211,Portafolio!E211)</f>
        <v>94.828126783121647</v>
      </c>
      <c r="F211" s="31" cm="1">
        <f t="array" ref="F211" xml:space="preserve"> BonoM(100,F$2,F$1 - $B211,Portafolio!F211)</f>
        <v>97.832163005971182</v>
      </c>
      <c r="G211" s="5">
        <f t="shared" si="47"/>
        <v>-1.6173455456093278E-3</v>
      </c>
      <c r="H211" s="5">
        <f t="shared" si="48"/>
        <v>-1.1148455668467117E-3</v>
      </c>
      <c r="I211" s="5">
        <f t="shared" si="49"/>
        <v>-9.0003669940075248E-4</v>
      </c>
      <c r="J211" s="5">
        <f t="shared" si="50"/>
        <v>-1.0068844793388321E-3</v>
      </c>
      <c r="K211" s="10">
        <f t="shared" si="51"/>
        <v>89.408802212060095</v>
      </c>
      <c r="L211" s="10">
        <f t="shared" si="52"/>
        <v>98.10040064669181</v>
      </c>
      <c r="M211" s="10">
        <f t="shared" si="53"/>
        <v>92.732542227097142</v>
      </c>
      <c r="N211" s="10">
        <f t="shared" si="54"/>
        <v>93.28661613796217</v>
      </c>
      <c r="O211" s="11">
        <f t="shared" si="55"/>
        <v>477.96930391121464</v>
      </c>
      <c r="P211" s="11">
        <f t="shared" si="56"/>
        <v>164.23328990546082</v>
      </c>
      <c r="Q211" s="11">
        <f t="shared" si="57"/>
        <v>167.07575677892805</v>
      </c>
      <c r="R211" s="11">
        <f t="shared" si="58"/>
        <v>94.023516739056845</v>
      </c>
      <c r="S211" s="27">
        <f t="shared" si="59"/>
        <v>903.30186733466041</v>
      </c>
    </row>
    <row r="212" spans="1:19" x14ac:dyDescent="0.25">
      <c r="A212" s="6">
        <f t="shared" si="46"/>
        <v>207</v>
      </c>
      <c r="B212" s="24">
        <v>45131</v>
      </c>
      <c r="C212" s="31" cm="1">
        <f t="array" ref="C212" xml:space="preserve"> BonoM(100,C$2,C$1 - $B212,Portafolio!C212)</f>
        <v>90.435585279895733</v>
      </c>
      <c r="D212" s="31" cm="1">
        <f t="array" ref="D212" xml:space="preserve"> BonoM(100,D$2,D$1 - $B212,Portafolio!D212)</f>
        <v>99.496561976016196</v>
      </c>
      <c r="E212" s="31" cm="1">
        <f t="array" ref="E212" xml:space="preserve"> BonoM(100,E$2,E$1 - $B212,Portafolio!E212)</f>
        <v>94.913552463609392</v>
      </c>
      <c r="F212" s="31" cm="1">
        <f t="array" ref="F212" xml:space="preserve"> BonoM(100,F$2,F$1 - $B212,Portafolio!F212)</f>
        <v>97.930767976296252</v>
      </c>
      <c r="G212" s="5">
        <f t="shared" si="47"/>
        <v>9.898256618924961E-3</v>
      </c>
      <c r="H212" s="5">
        <f t="shared" si="48"/>
        <v>-8.7756786336024017E-4</v>
      </c>
      <c r="I212" s="5">
        <f t="shared" si="49"/>
        <v>1.6568514209673202E-2</v>
      </c>
      <c r="J212" s="5">
        <f t="shared" si="50"/>
        <v>2.4566629822551755E-2</v>
      </c>
      <c r="K212" s="10">
        <f t="shared" si="51"/>
        <v>90.440066318751008</v>
      </c>
      <c r="L212" s="10">
        <f t="shared" si="52"/>
        <v>98.123703663733608</v>
      </c>
      <c r="M212" s="10">
        <f t="shared" si="53"/>
        <v>94.35390464760053</v>
      </c>
      <c r="N212" s="10">
        <f t="shared" si="54"/>
        <v>95.674687261691375</v>
      </c>
      <c r="O212" s="11">
        <f t="shared" si="55"/>
        <v>-2925.2022481687959</v>
      </c>
      <c r="P212" s="11">
        <f t="shared" si="56"/>
        <v>129.27876434276442</v>
      </c>
      <c r="Q212" s="11">
        <f t="shared" si="57"/>
        <v>-3075.6490842278481</v>
      </c>
      <c r="R212" s="11">
        <f t="shared" si="58"/>
        <v>-2294.0476069901479</v>
      </c>
      <c r="S212" s="27">
        <f t="shared" si="59"/>
        <v>-8165.6201750440277</v>
      </c>
    </row>
    <row r="213" spans="1:19" x14ac:dyDescent="0.25">
      <c r="A213" s="6">
        <f t="shared" si="46"/>
        <v>208</v>
      </c>
      <c r="B213" s="24">
        <v>45129</v>
      </c>
      <c r="C213" s="31" cm="1">
        <f t="array" ref="C213" xml:space="preserve"> BonoM(100,C$2,C$1 - $B213,Portafolio!C213)</f>
        <v>89.549204275951837</v>
      </c>
      <c r="D213" s="31" cm="1">
        <f t="array" ref="D213" xml:space="preserve"> BonoM(100,D$2,D$1 - $B213,Portafolio!D213)</f>
        <v>99.583953653448816</v>
      </c>
      <c r="E213" s="31" cm="1">
        <f t="array" ref="E213" xml:space="preserve"> BonoM(100,E$2,E$1 - $B213,Portafolio!E213)</f>
        <v>93.36660651682638</v>
      </c>
      <c r="F213" s="31" cm="1">
        <f t="array" ref="F213" xml:space="preserve"> BonoM(100,F$2,F$1 - $B213,Portafolio!F213)</f>
        <v>95.582625010202833</v>
      </c>
      <c r="G213" s="5">
        <f t="shared" si="47"/>
        <v>-1.047541412606301E-2</v>
      </c>
      <c r="H213" s="5">
        <f t="shared" si="48"/>
        <v>2.3961719119802716E-4</v>
      </c>
      <c r="I213" s="5">
        <f t="shared" si="49"/>
        <v>-1.7838123054902066E-2</v>
      </c>
      <c r="J213" s="5">
        <f t="shared" si="50"/>
        <v>-2.6525342200583224E-2</v>
      </c>
      <c r="K213" s="10">
        <f t="shared" si="51"/>
        <v>88.615529914953271</v>
      </c>
      <c r="L213" s="10">
        <f t="shared" si="52"/>
        <v>98.233422284500236</v>
      </c>
      <c r="M213" s="10">
        <f t="shared" si="53"/>
        <v>91.160415447091282</v>
      </c>
      <c r="N213" s="10">
        <f t="shared" si="54"/>
        <v>90.903686232950932</v>
      </c>
      <c r="O213" s="11">
        <f t="shared" si="55"/>
        <v>3095.7678843637354</v>
      </c>
      <c r="P213" s="11">
        <f t="shared" si="56"/>
        <v>-35.29916680717804</v>
      </c>
      <c r="Q213" s="11">
        <f t="shared" si="57"/>
        <v>3311.3293167906477</v>
      </c>
      <c r="R213" s="11">
        <f t="shared" si="58"/>
        <v>2476.9534217502951</v>
      </c>
      <c r="S213" s="27">
        <f t="shared" si="59"/>
        <v>8848.7514560974996</v>
      </c>
    </row>
    <row r="214" spans="1:19" x14ac:dyDescent="0.25">
      <c r="A214" s="6">
        <f t="shared" si="46"/>
        <v>209</v>
      </c>
      <c r="B214" s="24">
        <v>45128</v>
      </c>
      <c r="C214" s="31" cm="1">
        <f t="array" ref="C214" xml:space="preserve"> BonoM(100,C$2,C$1 - $B214,Portafolio!C214)</f>
        <v>90.497199922387964</v>
      </c>
      <c r="D214" s="31" cm="1">
        <f t="array" ref="D214" xml:space="preserve"> BonoM(100,D$2,D$1 - $B214,Portafolio!D214)</f>
        <v>99.560097342568184</v>
      </c>
      <c r="E214" s="31" cm="1">
        <f t="array" ref="E214" xml:space="preserve"> BonoM(100,E$2,E$1 - $B214,Portafolio!E214)</f>
        <v>95.062340239912913</v>
      </c>
      <c r="F214" s="31" cm="1">
        <f t="array" ref="F214" xml:space="preserve"> BonoM(100,F$2,F$1 - $B214,Portafolio!F214)</f>
        <v>98.187070659108528</v>
      </c>
      <c r="G214" s="5">
        <f t="shared" si="47"/>
        <v>1.5381124126809809E-3</v>
      </c>
      <c r="H214" s="5">
        <f t="shared" si="48"/>
        <v>1.6011900270123114E-3</v>
      </c>
      <c r="I214" s="5">
        <f t="shared" si="49"/>
        <v>2.5289963396051274E-3</v>
      </c>
      <c r="J214" s="5">
        <f t="shared" si="50"/>
        <v>3.5849092543889238E-3</v>
      </c>
      <c r="K214" s="10">
        <f t="shared" si="51"/>
        <v>89.691384962494027</v>
      </c>
      <c r="L214" s="10">
        <f t="shared" si="52"/>
        <v>98.36714220226078</v>
      </c>
      <c r="M214" s="10">
        <f t="shared" si="53"/>
        <v>93.050811632329882</v>
      </c>
      <c r="N214" s="10">
        <f t="shared" si="54"/>
        <v>93.715400773980122</v>
      </c>
      <c r="O214" s="11">
        <f t="shared" si="55"/>
        <v>-454.55377252075948</v>
      </c>
      <c r="P214" s="11">
        <f t="shared" si="56"/>
        <v>-235.87904344799426</v>
      </c>
      <c r="Q214" s="11">
        <f t="shared" si="57"/>
        <v>-469.46305368655317</v>
      </c>
      <c r="R214" s="11">
        <f t="shared" si="58"/>
        <v>-334.76111927889463</v>
      </c>
      <c r="S214" s="27">
        <f t="shared" si="59"/>
        <v>-1494.6569889342013</v>
      </c>
    </row>
    <row r="215" spans="1:19" x14ac:dyDescent="0.25">
      <c r="A215" s="6">
        <f t="shared" si="46"/>
        <v>210</v>
      </c>
      <c r="B215" s="24">
        <v>45127</v>
      </c>
      <c r="C215" s="31" cm="1">
        <f t="array" ref="C215" xml:space="preserve"> BonoM(100,C$2,C$1 - $B215,Portafolio!C215)</f>
        <v>90.358218824426359</v>
      </c>
      <c r="D215" s="31" cm="1">
        <f t="array" ref="D215" xml:space="preserve"> BonoM(100,D$2,D$1 - $B215,Portafolio!D215)</f>
        <v>99.40093755268316</v>
      </c>
      <c r="E215" s="31" cm="1">
        <f t="array" ref="E215" xml:space="preserve"> BonoM(100,E$2,E$1 - $B215,Portafolio!E215)</f>
        <v>94.822534397509529</v>
      </c>
      <c r="F215" s="31" cm="1">
        <f t="array" ref="F215" xml:space="preserve"> BonoM(100,F$2,F$1 - $B215,Portafolio!F215)</f>
        <v>97.836336271792277</v>
      </c>
      <c r="G215" s="5">
        <f t="shared" si="47"/>
        <v>-1.1579270096599981E-3</v>
      </c>
      <c r="H215" s="5">
        <f t="shared" si="48"/>
        <v>-2.0263555067591144E-3</v>
      </c>
      <c r="I215" s="5">
        <f t="shared" si="49"/>
        <v>-5.4680892120165803E-3</v>
      </c>
      <c r="J215" s="5">
        <f t="shared" si="50"/>
        <v>-2.2603581357730773E-3</v>
      </c>
      <c r="K215" s="10">
        <f t="shared" si="51"/>
        <v>89.449944814878748</v>
      </c>
      <c r="L215" s="10">
        <f t="shared" si="52"/>
        <v>98.010881356208827</v>
      </c>
      <c r="M215" s="10">
        <f t="shared" si="53"/>
        <v>92.308553499160126</v>
      </c>
      <c r="N215" s="10">
        <f t="shared" si="54"/>
        <v>93.16956596613403</v>
      </c>
      <c r="O215" s="11">
        <f t="shared" si="55"/>
        <v>342.19871460966118</v>
      </c>
      <c r="P215" s="11">
        <f t="shared" si="56"/>
        <v>298.51222562993485</v>
      </c>
      <c r="Q215" s="11">
        <f t="shared" si="57"/>
        <v>1015.0532126529583</v>
      </c>
      <c r="R215" s="11">
        <f t="shared" si="58"/>
        <v>211.07368856719688</v>
      </c>
      <c r="S215" s="27">
        <f t="shared" si="59"/>
        <v>1866.8378414597514</v>
      </c>
    </row>
    <row r="216" spans="1:19" x14ac:dyDescent="0.25">
      <c r="A216" s="6">
        <f t="shared" si="46"/>
        <v>211</v>
      </c>
      <c r="B216" s="24">
        <v>45126</v>
      </c>
      <c r="C216" s="31" cm="1">
        <f t="array" ref="C216" xml:space="preserve"> BonoM(100,C$2,C$1 - $B216,Portafolio!C216)</f>
        <v>90.462968338839914</v>
      </c>
      <c r="D216" s="31" cm="1">
        <f t="array" ref="D216" xml:space="preserve"> BonoM(100,D$2,D$1 - $B216,Portafolio!D216)</f>
        <v>99.602768170453814</v>
      </c>
      <c r="E216" s="31" cm="1">
        <f t="array" ref="E216" xml:space="preserve"> BonoM(100,E$2,E$1 - $B216,Portafolio!E216)</f>
        <v>95.343883256978785</v>
      </c>
      <c r="F216" s="31" cm="1">
        <f t="array" ref="F216" xml:space="preserve"> BonoM(100,F$2,F$1 - $B216,Portafolio!F216)</f>
        <v>98.057982430155775</v>
      </c>
      <c r="G216" s="5">
        <f t="shared" si="47"/>
        <v>-2.5718672349194227E-3</v>
      </c>
      <c r="H216" s="5">
        <f t="shared" si="48"/>
        <v>-2.9370377083711707E-3</v>
      </c>
      <c r="I216" s="5">
        <f t="shared" si="49"/>
        <v>-2.6256016876715638E-3</v>
      </c>
      <c r="J216" s="5">
        <f t="shared" si="50"/>
        <v>-3.93310444928896E-3</v>
      </c>
      <c r="K216" s="10">
        <f t="shared" si="51"/>
        <v>89.323321318991802</v>
      </c>
      <c r="L216" s="10">
        <f t="shared" si="52"/>
        <v>97.921443357812848</v>
      </c>
      <c r="M216" s="10">
        <f t="shared" si="53"/>
        <v>92.572382048918584</v>
      </c>
      <c r="N216" s="10">
        <f t="shared" si="54"/>
        <v>93.013363845397876</v>
      </c>
      <c r="O216" s="11">
        <f t="shared" si="55"/>
        <v>760.05625103658326</v>
      </c>
      <c r="P216" s="11">
        <f t="shared" si="56"/>
        <v>432.669223223904</v>
      </c>
      <c r="Q216" s="11">
        <f t="shared" si="57"/>
        <v>487.39611313604314</v>
      </c>
      <c r="R216" s="11">
        <f t="shared" si="58"/>
        <v>367.2758093033508</v>
      </c>
      <c r="S216" s="27">
        <f t="shared" si="59"/>
        <v>2047.3973966998813</v>
      </c>
    </row>
    <row r="217" spans="1:19" x14ac:dyDescent="0.25">
      <c r="A217" s="6">
        <f t="shared" si="46"/>
        <v>212</v>
      </c>
      <c r="B217" s="24">
        <v>45125</v>
      </c>
      <c r="C217" s="31" cm="1">
        <f t="array" ref="C217" xml:space="preserve"> BonoM(100,C$2,C$1 - $B217,Portafolio!C217)</f>
        <v>90.696226993374992</v>
      </c>
      <c r="D217" s="31" cm="1">
        <f t="array" ref="D217" xml:space="preserve"> BonoM(100,D$2,D$1 - $B217,Portafolio!D217)</f>
        <v>99.896166979795211</v>
      </c>
      <c r="E217" s="31" cm="1">
        <f t="array" ref="E217" xml:space="preserve"> BonoM(100,E$2,E$1 - $B217,Portafolio!E217)</f>
        <v>95.594877328224527</v>
      </c>
      <c r="F217" s="31" cm="1">
        <f t="array" ref="F217" xml:space="preserve"> BonoM(100,F$2,F$1 - $B217,Portafolio!F217)</f>
        <v>98.445177596170311</v>
      </c>
      <c r="G217" s="5">
        <f t="shared" si="47"/>
        <v>2.494500406211575E-4</v>
      </c>
      <c r="H217" s="5">
        <f t="shared" si="48"/>
        <v>-1.1268028465432067E-3</v>
      </c>
      <c r="I217" s="5">
        <f t="shared" si="49"/>
        <v>1.3841287642626376E-3</v>
      </c>
      <c r="J217" s="5">
        <f t="shared" si="50"/>
        <v>2.3908518707904669E-4</v>
      </c>
      <c r="K217" s="10">
        <f t="shared" si="51"/>
        <v>89.575980554547272</v>
      </c>
      <c r="L217" s="10">
        <f t="shared" si="52"/>
        <v>98.099226323574015</v>
      </c>
      <c r="M217" s="10">
        <f t="shared" si="53"/>
        <v>92.944549511746715</v>
      </c>
      <c r="N217" s="10">
        <f t="shared" si="54"/>
        <v>93.402965582402629</v>
      </c>
      <c r="O217" s="11">
        <f t="shared" si="55"/>
        <v>-73.7192262964669</v>
      </c>
      <c r="P217" s="11">
        <f t="shared" si="56"/>
        <v>165.99477458215262</v>
      </c>
      <c r="Q217" s="11">
        <f t="shared" si="57"/>
        <v>-256.93881252021811</v>
      </c>
      <c r="R217" s="11">
        <f t="shared" si="58"/>
        <v>-22.325927701402293</v>
      </c>
      <c r="S217" s="27">
        <f t="shared" si="59"/>
        <v>-186.98919193593468</v>
      </c>
    </row>
    <row r="218" spans="1:19" x14ac:dyDescent="0.25">
      <c r="A218" s="6">
        <f t="shared" si="46"/>
        <v>213</v>
      </c>
      <c r="B218" s="24">
        <v>45124</v>
      </c>
      <c r="C218" s="31" cm="1">
        <f t="array" ref="C218" xml:space="preserve"> BonoM(100,C$2,C$1 - $B218,Portafolio!C218)</f>
        <v>90.673608458061864</v>
      </c>
      <c r="D218" s="31" cm="1">
        <f t="array" ref="D218" xml:space="preserve"> BonoM(100,D$2,D$1 - $B218,Portafolio!D218)</f>
        <v>100.0088572448182</v>
      </c>
      <c r="E218" s="31" cm="1">
        <f t="array" ref="E218" xml:space="preserve"> BonoM(100,E$2,E$1 - $B218,Portafolio!E218)</f>
        <v>95.462744597511644</v>
      </c>
      <c r="F218" s="31" cm="1">
        <f t="array" ref="F218" xml:space="preserve"> BonoM(100,F$2,F$1 - $B218,Portafolio!F218)</f>
        <v>98.421646438418961</v>
      </c>
      <c r="G218" s="5">
        <f t="shared" si="47"/>
        <v>1.2021579777631963E-2</v>
      </c>
      <c r="H218" s="5">
        <f t="shared" si="48"/>
        <v>1.6517198537575828E-2</v>
      </c>
      <c r="I218" s="5">
        <f t="shared" si="49"/>
        <v>2.0896370581833246E-2</v>
      </c>
      <c r="J218" s="5">
        <f t="shared" si="50"/>
        <v>3.0730472783425666E-2</v>
      </c>
      <c r="K218" s="10">
        <f t="shared" si="51"/>
        <v>90.630217639471695</v>
      </c>
      <c r="L218" s="10">
        <f t="shared" si="52"/>
        <v>99.832041749963153</v>
      </c>
      <c r="M218" s="10">
        <f t="shared" si="53"/>
        <v>94.755599311323977</v>
      </c>
      <c r="N218" s="10">
        <f t="shared" si="54"/>
        <v>96.250270860108898</v>
      </c>
      <c r="O218" s="11">
        <f t="shared" si="55"/>
        <v>-3552.7016065470648</v>
      </c>
      <c r="P218" s="11">
        <f t="shared" si="56"/>
        <v>-2433.2283650015543</v>
      </c>
      <c r="Q218" s="11">
        <f t="shared" si="57"/>
        <v>-3879.0384116747418</v>
      </c>
      <c r="R218" s="11">
        <f t="shared" si="58"/>
        <v>-2869.6312054076716</v>
      </c>
      <c r="S218" s="27">
        <f t="shared" si="59"/>
        <v>-12734.599588631032</v>
      </c>
    </row>
    <row r="219" spans="1:19" x14ac:dyDescent="0.25">
      <c r="A219" s="6">
        <f t="shared" si="46"/>
        <v>214</v>
      </c>
      <c r="B219" s="24">
        <v>45122</v>
      </c>
      <c r="C219" s="31" cm="1">
        <f t="array" ref="C219" xml:space="preserve"> BonoM(100,C$2,C$1 - $B219,Portafolio!C219)</f>
        <v>89.5965167837481</v>
      </c>
      <c r="D219" s="31" cm="1">
        <f t="array" ref="D219" xml:space="preserve"> BonoM(100,D$2,D$1 - $B219,Portafolio!D219)</f>
        <v>98.383831959456373</v>
      </c>
      <c r="E219" s="31" cm="1">
        <f t="array" ref="E219" xml:space="preserve"> BonoM(100,E$2,E$1 - $B219,Portafolio!E219)</f>
        <v>93.508751082252502</v>
      </c>
      <c r="F219" s="31" cm="1">
        <f t="array" ref="F219" xml:space="preserve"> BonoM(100,F$2,F$1 - $B219,Portafolio!F219)</f>
        <v>95.487277263315235</v>
      </c>
      <c r="G219" s="5">
        <f t="shared" si="47"/>
        <v>-1.0515455195293844E-2</v>
      </c>
      <c r="H219" s="5">
        <f t="shared" si="48"/>
        <v>-1.3305658300682088E-2</v>
      </c>
      <c r="I219" s="5">
        <f t="shared" si="49"/>
        <v>-1.7519852554320536E-2</v>
      </c>
      <c r="J219" s="5">
        <f t="shared" si="50"/>
        <v>-2.6675430907090014E-2</v>
      </c>
      <c r="K219" s="10">
        <f t="shared" si="51"/>
        <v>88.611944091398286</v>
      </c>
      <c r="L219" s="10">
        <f t="shared" si="52"/>
        <v>96.903142275105836</v>
      </c>
      <c r="M219" s="10">
        <f t="shared" si="53"/>
        <v>91.18995606736847</v>
      </c>
      <c r="N219" s="10">
        <f t="shared" si="54"/>
        <v>90.88967085353238</v>
      </c>
      <c r="O219" s="11">
        <f t="shared" si="55"/>
        <v>3107.6011020951869</v>
      </c>
      <c r="P219" s="11">
        <f t="shared" si="56"/>
        <v>1960.1208472844221</v>
      </c>
      <c r="Q219" s="11">
        <f t="shared" si="57"/>
        <v>3252.2480762362702</v>
      </c>
      <c r="R219" s="11">
        <f t="shared" si="58"/>
        <v>2490.9688011688472</v>
      </c>
      <c r="S219" s="27">
        <f t="shared" si="59"/>
        <v>10810.938826784726</v>
      </c>
    </row>
    <row r="220" spans="1:19" x14ac:dyDescent="0.25">
      <c r="A220" s="6">
        <f t="shared" si="46"/>
        <v>215</v>
      </c>
      <c r="B220" s="24">
        <v>45121</v>
      </c>
      <c r="C220" s="31" cm="1">
        <f t="array" ref="C220" xml:space="preserve"> BonoM(100,C$2,C$1 - $B220,Portafolio!C220)</f>
        <v>90.548677343345162</v>
      </c>
      <c r="D220" s="31" cm="1">
        <f t="array" ref="D220" xml:space="preserve"> BonoM(100,D$2,D$1 - $B220,Portafolio!D220)</f>
        <v>99.710546419082988</v>
      </c>
      <c r="E220" s="31" cm="1">
        <f t="array" ref="E220" xml:space="preserve"> BonoM(100,E$2,E$1 - $B220,Portafolio!E220)</f>
        <v>95.1762245022081</v>
      </c>
      <c r="F220" s="31" cm="1">
        <f t="array" ref="F220" xml:space="preserve"> BonoM(100,F$2,F$1 - $B220,Portafolio!F220)</f>
        <v>98.104250417005929</v>
      </c>
      <c r="G220" s="5">
        <f t="shared" si="47"/>
        <v>-1.3269309489863934E-3</v>
      </c>
      <c r="H220" s="5">
        <f t="shared" si="48"/>
        <v>-2.0396329048065764E-3</v>
      </c>
      <c r="I220" s="5">
        <f t="shared" si="49"/>
        <v>-2.0581876697444157E-3</v>
      </c>
      <c r="J220" s="5">
        <f t="shared" si="50"/>
        <v>1.9158820612450445E-3</v>
      </c>
      <c r="K220" s="10">
        <f t="shared" si="51"/>
        <v>89.43480989670195</v>
      </c>
      <c r="L220" s="10">
        <f t="shared" si="52"/>
        <v>98.009577384413646</v>
      </c>
      <c r="M220" s="10">
        <f t="shared" si="53"/>
        <v>92.625047193859487</v>
      </c>
      <c r="N220" s="10">
        <f t="shared" si="54"/>
        <v>93.559545947083251</v>
      </c>
      <c r="O220" s="11">
        <f t="shared" si="55"/>
        <v>392.14394459309574</v>
      </c>
      <c r="P220" s="11">
        <f t="shared" si="56"/>
        <v>300.46818332270675</v>
      </c>
      <c r="Q220" s="11">
        <f t="shared" si="57"/>
        <v>382.0658232542371</v>
      </c>
      <c r="R220" s="11">
        <f t="shared" si="58"/>
        <v>-178.90629238202393</v>
      </c>
      <c r="S220" s="27">
        <f t="shared" si="59"/>
        <v>895.77165878801577</v>
      </c>
    </row>
    <row r="221" spans="1:19" x14ac:dyDescent="0.25">
      <c r="A221" s="6">
        <f t="shared" si="46"/>
        <v>216</v>
      </c>
      <c r="B221" s="24">
        <v>45120</v>
      </c>
      <c r="C221" s="31" cm="1">
        <f t="array" ref="C221" xml:space="preserve"> BonoM(100,C$2,C$1 - $B221,Portafolio!C221)</f>
        <v>90.668988830737973</v>
      </c>
      <c r="D221" s="31" cm="1">
        <f t="array" ref="D221" xml:space="preserve"> BonoM(100,D$2,D$1 - $B221,Portafolio!D221)</f>
        <v>99.914334984378996</v>
      </c>
      <c r="E221" s="31" cm="1">
        <f t="array" ref="E221" xml:space="preserve"> BonoM(100,E$2,E$1 - $B221,Portafolio!E221)</f>
        <v>95.372519044938855</v>
      </c>
      <c r="F221" s="31" cm="1">
        <f t="array" ref="F221" xml:space="preserve"> BonoM(100,F$2,F$1 - $B221,Portafolio!F221)</f>
        <v>97.916653656767778</v>
      </c>
      <c r="G221" s="5">
        <f t="shared" si="47"/>
        <v>3.0953470928811733E-3</v>
      </c>
      <c r="H221" s="5">
        <f t="shared" si="48"/>
        <v>2.5203399057629472E-3</v>
      </c>
      <c r="I221" s="5">
        <f t="shared" si="49"/>
        <v>3.1145486723955784E-3</v>
      </c>
      <c r="J221" s="5">
        <f t="shared" si="50"/>
        <v>2.4041510135952571E-4</v>
      </c>
      <c r="K221" s="10">
        <f t="shared" si="51"/>
        <v>89.830840998612629</v>
      </c>
      <c r="L221" s="10">
        <f t="shared" si="52"/>
        <v>98.457411810292911</v>
      </c>
      <c r="M221" s="10">
        <f t="shared" si="53"/>
        <v>93.105160304556108</v>
      </c>
      <c r="N221" s="10">
        <f t="shared" si="54"/>
        <v>93.403089770648833</v>
      </c>
      <c r="O221" s="11">
        <f t="shared" si="55"/>
        <v>-914.75869171214731</v>
      </c>
      <c r="P221" s="11">
        <f t="shared" si="56"/>
        <v>-371.28345549619013</v>
      </c>
      <c r="Q221" s="11">
        <f t="shared" si="57"/>
        <v>-578.16039813900488</v>
      </c>
      <c r="R221" s="11">
        <f t="shared" si="58"/>
        <v>-22.450115947606264</v>
      </c>
      <c r="S221" s="27">
        <f t="shared" si="59"/>
        <v>-1886.6526612949485</v>
      </c>
    </row>
    <row r="222" spans="1:19" x14ac:dyDescent="0.25">
      <c r="A222" s="6">
        <f t="shared" si="46"/>
        <v>217</v>
      </c>
      <c r="B222" s="24">
        <v>45119</v>
      </c>
      <c r="C222" s="31" cm="1">
        <f t="array" ref="C222" xml:space="preserve"> BonoM(100,C$2,C$1 - $B222,Portafolio!C222)</f>
        <v>90.389202874392865</v>
      </c>
      <c r="D222" s="31" cm="1">
        <f t="array" ref="D222" xml:space="preserve"> BonoM(100,D$2,D$1 - $B222,Portafolio!D222)</f>
        <v>99.663149970374619</v>
      </c>
      <c r="E222" s="31" cm="1">
        <f t="array" ref="E222" xml:space="preserve"> BonoM(100,E$2,E$1 - $B222,Portafolio!E222)</f>
        <v>95.07639897274214</v>
      </c>
      <c r="F222" s="31" cm="1">
        <f t="array" ref="F222" xml:space="preserve"> BonoM(100,F$2,F$1 - $B222,Portafolio!F222)</f>
        <v>97.893118672719666</v>
      </c>
      <c r="G222" s="5">
        <f t="shared" si="47"/>
        <v>7.2218820379532644E-3</v>
      </c>
      <c r="H222" s="5">
        <f t="shared" si="48"/>
        <v>1.0775860105278312E-2</v>
      </c>
      <c r="I222" s="5">
        <f t="shared" si="49"/>
        <v>1.1782171215611426E-2</v>
      </c>
      <c r="J222" s="5">
        <f t="shared" si="50"/>
        <v>1.3689131116087605E-2</v>
      </c>
      <c r="K222" s="10">
        <f t="shared" si="51"/>
        <v>90.200387229287813</v>
      </c>
      <c r="L222" s="10">
        <f t="shared" si="52"/>
        <v>99.268185536907055</v>
      </c>
      <c r="M222" s="10">
        <f t="shared" si="53"/>
        <v>93.909655052851349</v>
      </c>
      <c r="N222" s="10">
        <f t="shared" si="54"/>
        <v>94.658939474638558</v>
      </c>
      <c r="O222" s="11">
        <f t="shared" si="55"/>
        <v>-2134.2612529402531</v>
      </c>
      <c r="P222" s="11">
        <f t="shared" si="56"/>
        <v>-1587.4440454174064</v>
      </c>
      <c r="Q222" s="11">
        <f t="shared" si="57"/>
        <v>-2187.1498947294867</v>
      </c>
      <c r="R222" s="11">
        <f t="shared" si="58"/>
        <v>-1278.299819937331</v>
      </c>
      <c r="S222" s="27">
        <f t="shared" si="59"/>
        <v>-7187.1550130244777</v>
      </c>
    </row>
    <row r="223" spans="1:19" x14ac:dyDescent="0.25">
      <c r="A223" s="6">
        <f t="shared" si="46"/>
        <v>218</v>
      </c>
      <c r="B223" s="24">
        <v>45118</v>
      </c>
      <c r="C223" s="31" cm="1">
        <f t="array" ref="C223" xml:space="preserve"> BonoM(100,C$2,C$1 - $B223,Portafolio!C223)</f>
        <v>89.741103213032559</v>
      </c>
      <c r="D223" s="31" cm="1">
        <f t="array" ref="D223" xml:space="preserve"> BonoM(100,D$2,D$1 - $B223,Portafolio!D223)</f>
        <v>98.600643232609571</v>
      </c>
      <c r="E223" s="31" cm="1">
        <f t="array" ref="E223" xml:space="preserve"> BonoM(100,E$2,E$1 - $B223,Portafolio!E223)</f>
        <v>93.969237329525242</v>
      </c>
      <c r="F223" s="31" cm="1">
        <f t="array" ref="F223" xml:space="preserve"> BonoM(100,F$2,F$1 - $B223,Portafolio!F223)</f>
        <v>96.571143625598324</v>
      </c>
      <c r="G223" s="5">
        <f t="shared" si="47"/>
        <v>8.885719383158186E-4</v>
      </c>
      <c r="H223" s="5">
        <f t="shared" si="48"/>
        <v>6.9938472421626763E-4</v>
      </c>
      <c r="I223" s="5">
        <f t="shared" si="49"/>
        <v>2.4307397014844412E-4</v>
      </c>
      <c r="J223" s="5">
        <f t="shared" si="50"/>
        <v>1.9107141001541983E-3</v>
      </c>
      <c r="K223" s="10">
        <f t="shared" si="51"/>
        <v>89.633216247781149</v>
      </c>
      <c r="L223" s="10">
        <f t="shared" si="52"/>
        <v>98.278576003116683</v>
      </c>
      <c r="M223" s="10">
        <f t="shared" si="53"/>
        <v>92.838641278571458</v>
      </c>
      <c r="N223" s="10">
        <f t="shared" si="54"/>
        <v>93.559063359570885</v>
      </c>
      <c r="O223" s="11">
        <f t="shared" si="55"/>
        <v>-262.59701396826358</v>
      </c>
      <c r="P223" s="11">
        <f t="shared" si="56"/>
        <v>-103.02974473184889</v>
      </c>
      <c r="Q223" s="11">
        <f t="shared" si="57"/>
        <v>-45.122346169705452</v>
      </c>
      <c r="R223" s="11">
        <f t="shared" si="58"/>
        <v>-178.4237048696582</v>
      </c>
      <c r="S223" s="27">
        <f t="shared" si="59"/>
        <v>-589.17280973947618</v>
      </c>
    </row>
    <row r="224" spans="1:19" x14ac:dyDescent="0.25">
      <c r="A224" s="6">
        <f t="shared" si="46"/>
        <v>219</v>
      </c>
      <c r="B224" s="24">
        <v>45117</v>
      </c>
      <c r="C224" s="31" cm="1">
        <f t="array" ref="C224" xml:space="preserve"> BonoM(100,C$2,C$1 - $B224,Portafolio!C224)</f>
        <v>89.661432580092693</v>
      </c>
      <c r="D224" s="31" cm="1">
        <f t="array" ref="D224" xml:space="preserve"> BonoM(100,D$2,D$1 - $B224,Portafolio!D224)</f>
        <v>98.531731644646726</v>
      </c>
      <c r="E224" s="31" cm="1">
        <f t="array" ref="E224" xml:space="preserve"> BonoM(100,E$2,E$1 - $B224,Portafolio!E224)</f>
        <v>93.946401404754639</v>
      </c>
      <c r="F224" s="31" cm="1">
        <f t="array" ref="F224" xml:space="preserve"> BonoM(100,F$2,F$1 - $B224,Portafolio!F224)</f>
        <v>96.38697567211041</v>
      </c>
      <c r="G224" s="5">
        <f t="shared" si="47"/>
        <v>9.8483912501108328E-3</v>
      </c>
      <c r="H224" s="5">
        <f t="shared" si="48"/>
        <v>1.4745527745199993E-2</v>
      </c>
      <c r="I224" s="5">
        <f t="shared" si="49"/>
        <v>1.8101655272904749E-2</v>
      </c>
      <c r="J224" s="5">
        <f t="shared" si="50"/>
        <v>2.6483867936907268E-2</v>
      </c>
      <c r="K224" s="10">
        <f t="shared" si="51"/>
        <v>90.435600693394207</v>
      </c>
      <c r="L224" s="10">
        <f t="shared" si="52"/>
        <v>99.658046157201809</v>
      </c>
      <c r="M224" s="10">
        <f t="shared" si="53"/>
        <v>94.496204791338442</v>
      </c>
      <c r="N224" s="10">
        <f t="shared" si="54"/>
        <v>95.853720183180258</v>
      </c>
      <c r="O224" s="11">
        <f t="shared" si="55"/>
        <v>-2910.4656844913534</v>
      </c>
      <c r="P224" s="11">
        <f t="shared" si="56"/>
        <v>-2172.2349758595383</v>
      </c>
      <c r="Q224" s="11">
        <f t="shared" si="57"/>
        <v>-3360.2493717036737</v>
      </c>
      <c r="R224" s="11">
        <f t="shared" si="58"/>
        <v>-2473.0805284790308</v>
      </c>
      <c r="S224" s="27">
        <f t="shared" si="59"/>
        <v>-10916.030560533596</v>
      </c>
    </row>
    <row r="225" spans="1:19" x14ac:dyDescent="0.25">
      <c r="A225" s="6">
        <f t="shared" si="46"/>
        <v>220</v>
      </c>
      <c r="B225" s="24">
        <v>45115</v>
      </c>
      <c r="C225" s="31" cm="1">
        <f t="array" ref="C225" xml:space="preserve"> BonoM(100,C$2,C$1 - $B225,Portafolio!C225)</f>
        <v>88.787023237318891</v>
      </c>
      <c r="D225" s="31" cm="1">
        <f t="array" ref="D225" xml:space="preserve"> BonoM(100,D$2,D$1 - $B225,Portafolio!D225)</f>
        <v>97.099941759376534</v>
      </c>
      <c r="E225" s="31" cm="1">
        <f t="array" ref="E225" xml:space="preserve"> BonoM(100,E$2,E$1 - $B225,Portafolio!E225)</f>
        <v>92.27605211934565</v>
      </c>
      <c r="F225" s="31" cm="1">
        <f t="array" ref="F225" xml:space="preserve"> BonoM(100,F$2,F$1 - $B225,Portafolio!F225)</f>
        <v>93.900136848555732</v>
      </c>
      <c r="G225" s="5">
        <f t="shared" si="47"/>
        <v>-1.0241215282907334E-2</v>
      </c>
      <c r="H225" s="5">
        <f t="shared" si="48"/>
        <v>-1.4259006682837971E-2</v>
      </c>
      <c r="I225" s="5">
        <f t="shared" si="49"/>
        <v>-1.8754717375874308E-2</v>
      </c>
      <c r="J225" s="5">
        <f t="shared" si="50"/>
        <v>-2.7517288594838152E-2</v>
      </c>
      <c r="K225" s="10">
        <f t="shared" si="51"/>
        <v>88.636503274168362</v>
      </c>
      <c r="L225" s="10">
        <f t="shared" si="52"/>
        <v>96.80951403583299</v>
      </c>
      <c r="M225" s="10">
        <f t="shared" si="53"/>
        <v>91.075340755171695</v>
      </c>
      <c r="N225" s="10">
        <f t="shared" si="54"/>
        <v>90.811057644152228</v>
      </c>
      <c r="O225" s="11">
        <f t="shared" si="55"/>
        <v>3026.5557989539348</v>
      </c>
      <c r="P225" s="11">
        <f t="shared" si="56"/>
        <v>2100.5632061936908</v>
      </c>
      <c r="Q225" s="11">
        <f t="shared" si="57"/>
        <v>3481.478700629822</v>
      </c>
      <c r="R225" s="11">
        <f t="shared" si="58"/>
        <v>2569.5820105489984</v>
      </c>
      <c r="S225" s="27">
        <f t="shared" si="59"/>
        <v>11178.179716326445</v>
      </c>
    </row>
    <row r="226" spans="1:19" x14ac:dyDescent="0.25">
      <c r="A226" s="6">
        <f t="shared" si="46"/>
        <v>221</v>
      </c>
      <c r="B226" s="24">
        <v>45114</v>
      </c>
      <c r="C226" s="31" cm="1">
        <f t="array" ref="C226" xml:space="preserve"> BonoM(100,C$2,C$1 - $B226,Portafolio!C226)</f>
        <v>89.705718815819651</v>
      </c>
      <c r="D226" s="31" cm="1">
        <f t="array" ref="D226" xml:space="preserve"> BonoM(100,D$2,D$1 - $B226,Portafolio!D226)</f>
        <v>98.504518344743971</v>
      </c>
      <c r="E226" s="31" cm="1">
        <f t="array" ref="E226" xml:space="preserve"> BonoM(100,E$2,E$1 - $B226,Portafolio!E226)</f>
        <v>94.03974088168205</v>
      </c>
      <c r="F226" s="31" cm="1">
        <f t="array" ref="F226" xml:space="preserve"> BonoM(100,F$2,F$1 - $B226,Portafolio!F226)</f>
        <v>96.557127183142768</v>
      </c>
      <c r="G226" s="5">
        <f t="shared" si="47"/>
        <v>-4.2039437192872287E-3</v>
      </c>
      <c r="H226" s="5">
        <f t="shared" si="48"/>
        <v>-4.3133826005985476E-3</v>
      </c>
      <c r="I226" s="5">
        <f t="shared" si="49"/>
        <v>-3.5449210466271808E-3</v>
      </c>
      <c r="J226" s="5">
        <f t="shared" si="50"/>
        <v>-3.5881768947805259E-3</v>
      </c>
      <c r="K226" s="10">
        <f t="shared" si="51"/>
        <v>89.177162926781421</v>
      </c>
      <c r="L226" s="10">
        <f t="shared" si="52"/>
        <v>97.78627267802419</v>
      </c>
      <c r="M226" s="10">
        <f t="shared" si="53"/>
        <v>92.487054429655231</v>
      </c>
      <c r="N226" s="10">
        <f t="shared" si="54"/>
        <v>93.045573401072403</v>
      </c>
      <c r="O226" s="11">
        <f t="shared" si="55"/>
        <v>1242.3789453308416</v>
      </c>
      <c r="P226" s="11">
        <f t="shared" si="56"/>
        <v>635.42524290689073</v>
      </c>
      <c r="Q226" s="11">
        <f t="shared" si="57"/>
        <v>658.05135166274908</v>
      </c>
      <c r="R226" s="11">
        <f t="shared" si="58"/>
        <v>335.06625362882403</v>
      </c>
      <c r="S226" s="27">
        <f t="shared" si="59"/>
        <v>2870.9217935293059</v>
      </c>
    </row>
    <row r="227" spans="1:19" x14ac:dyDescent="0.25">
      <c r="A227" s="6">
        <f t="shared" si="46"/>
        <v>222</v>
      </c>
      <c r="B227" s="24">
        <v>45113</v>
      </c>
      <c r="C227" s="31" cm="1">
        <f t="array" ref="C227" xml:space="preserve"> BonoM(100,C$2,C$1 - $B227,Portafolio!C227)</f>
        <v>90.084428683991291</v>
      </c>
      <c r="D227" s="31" cm="1">
        <f t="array" ref="D227" xml:space="preserve"> BonoM(100,D$2,D$1 - $B227,Portafolio!D227)</f>
        <v>98.931246662754617</v>
      </c>
      <c r="E227" s="31" cm="1">
        <f t="array" ref="E227" xml:space="preserve"> BonoM(100,E$2,E$1 - $B227,Portafolio!E227)</f>
        <v>94.374290289590121</v>
      </c>
      <c r="F227" s="31" cm="1">
        <f t="array" ref="F227" xml:space="preserve"> BonoM(100,F$2,F$1 - $B227,Portafolio!F227)</f>
        <v>96.904838887029641</v>
      </c>
      <c r="G227" s="5">
        <f t="shared" si="47"/>
        <v>-1.3020543559421061E-3</v>
      </c>
      <c r="H227" s="5">
        <f t="shared" si="48"/>
        <v>-2.0433358702314219E-3</v>
      </c>
      <c r="I227" s="5">
        <f t="shared" si="49"/>
        <v>-5.1583947485537296E-3</v>
      </c>
      <c r="J227" s="5">
        <f t="shared" si="50"/>
        <v>-3.4305552317989152E-3</v>
      </c>
      <c r="K227" s="10">
        <f t="shared" si="51"/>
        <v>89.437037686194572</v>
      </c>
      <c r="L227" s="10">
        <f t="shared" si="52"/>
        <v>98.00921371658842</v>
      </c>
      <c r="M227" s="10">
        <f t="shared" si="53"/>
        <v>92.337298125289124</v>
      </c>
      <c r="N227" s="10">
        <f t="shared" si="54"/>
        <v>93.060292212785058</v>
      </c>
      <c r="O227" s="11">
        <f t="shared" si="55"/>
        <v>384.79223926744339</v>
      </c>
      <c r="P227" s="11">
        <f t="shared" si="56"/>
        <v>301.01368506054627</v>
      </c>
      <c r="Q227" s="11">
        <f t="shared" si="57"/>
        <v>957.56396039496394</v>
      </c>
      <c r="R227" s="11">
        <f t="shared" si="58"/>
        <v>320.34744191616937</v>
      </c>
      <c r="S227" s="27">
        <f t="shared" si="59"/>
        <v>1963.717326639123</v>
      </c>
    </row>
    <row r="228" spans="1:19" x14ac:dyDescent="0.25">
      <c r="A228" s="6">
        <f t="shared" si="46"/>
        <v>223</v>
      </c>
      <c r="B228" s="24">
        <v>45112</v>
      </c>
      <c r="C228" s="31" cm="1">
        <f t="array" ref="C228" xml:space="preserve"> BonoM(100,C$2,C$1 - $B228,Portafolio!C228)</f>
        <v>90.20187643011127</v>
      </c>
      <c r="D228" s="31" cm="1">
        <f t="array" ref="D228" xml:space="preserve"> BonoM(100,D$2,D$1 - $B228,Portafolio!D228)</f>
        <v>99.133810333361495</v>
      </c>
      <c r="E228" s="31" cm="1">
        <f t="array" ref="E228" xml:space="preserve"> BonoM(100,E$2,E$1 - $B228,Portafolio!E228)</f>
        <v>94.863634362916514</v>
      </c>
      <c r="F228" s="31" cm="1">
        <f t="array" ref="F228" xml:space="preserve"> BonoM(100,F$2,F$1 - $B228,Portafolio!F228)</f>
        <v>97.238420659755832</v>
      </c>
      <c r="G228" s="5">
        <f t="shared" si="47"/>
        <v>-1.3369548553874289E-3</v>
      </c>
      <c r="H228" s="5">
        <f t="shared" si="48"/>
        <v>-2.0473230729859404E-3</v>
      </c>
      <c r="I228" s="5">
        <f t="shared" si="49"/>
        <v>-1.490715168586898E-3</v>
      </c>
      <c r="J228" s="5">
        <f t="shared" si="50"/>
        <v>-3.9404673022475079E-3</v>
      </c>
      <c r="K228" s="10">
        <f t="shared" si="51"/>
        <v>89.433912219382734</v>
      </c>
      <c r="L228" s="10">
        <f t="shared" si="52"/>
        <v>98.008822133846465</v>
      </c>
      <c r="M228" s="10">
        <f t="shared" si="53"/>
        <v>92.677717766984586</v>
      </c>
      <c r="N228" s="10">
        <f t="shared" si="54"/>
        <v>93.012676297478919</v>
      </c>
      <c r="O228" s="11">
        <f t="shared" si="55"/>
        <v>395.10627974650845</v>
      </c>
      <c r="P228" s="11">
        <f t="shared" si="56"/>
        <v>301.60105917347835</v>
      </c>
      <c r="Q228" s="11">
        <f t="shared" si="57"/>
        <v>276.72467700404013</v>
      </c>
      <c r="R228" s="11">
        <f t="shared" si="58"/>
        <v>367.96335722230822</v>
      </c>
      <c r="S228" s="27">
        <f t="shared" si="59"/>
        <v>1341.3953731463353</v>
      </c>
    </row>
    <row r="229" spans="1:19" x14ac:dyDescent="0.25">
      <c r="A229" s="6">
        <f t="shared" si="46"/>
        <v>224</v>
      </c>
      <c r="B229" s="24">
        <v>45111</v>
      </c>
      <c r="C229" s="31" cm="1">
        <f t="array" ref="C229" xml:space="preserve"> BonoM(100,C$2,C$1 - $B229,Portafolio!C229)</f>
        <v>90.322633713806326</v>
      </c>
      <c r="D229" s="31" cm="1">
        <f t="array" ref="D229" xml:space="preserve"> BonoM(100,D$2,D$1 - $B229,Portafolio!D229)</f>
        <v>99.337185645539094</v>
      </c>
      <c r="E229" s="31" cm="1">
        <f t="array" ref="E229" xml:space="preserve"> BonoM(100,E$2,E$1 - $B229,Portafolio!E229)</f>
        <v>95.005260145310672</v>
      </c>
      <c r="F229" s="31" cm="1">
        <f t="array" ref="F229" xml:space="preserve"> BonoM(100,F$2,F$1 - $B229,Portafolio!F229)</f>
        <v>97.623101298366038</v>
      </c>
      <c r="G229" s="5">
        <f t="shared" si="47"/>
        <v>-1.3401860787138897E-3</v>
      </c>
      <c r="H229" s="5">
        <f t="shared" si="48"/>
        <v>-1.5936513387281304E-3</v>
      </c>
      <c r="I229" s="5">
        <f t="shared" si="49"/>
        <v>-2.0694408327684988E-3</v>
      </c>
      <c r="J229" s="5">
        <f t="shared" si="50"/>
        <v>-3.9511060892073457E-3</v>
      </c>
      <c r="K229" s="10">
        <f t="shared" si="51"/>
        <v>89.433622851567691</v>
      </c>
      <c r="L229" s="10">
        <f t="shared" si="52"/>
        <v>98.053377184740199</v>
      </c>
      <c r="M229" s="10">
        <f t="shared" si="53"/>
        <v>92.624002719378794</v>
      </c>
      <c r="N229" s="10">
        <f t="shared" si="54"/>
        <v>93.011682840747454</v>
      </c>
      <c r="O229" s="11">
        <f t="shared" si="55"/>
        <v>396.06119353614986</v>
      </c>
      <c r="P229" s="11">
        <f t="shared" si="56"/>
        <v>234.76848283287666</v>
      </c>
      <c r="Q229" s="11">
        <f t="shared" si="57"/>
        <v>384.15477221562355</v>
      </c>
      <c r="R229" s="11">
        <f t="shared" si="58"/>
        <v>368.95681395377267</v>
      </c>
      <c r="S229" s="27">
        <f t="shared" si="59"/>
        <v>1383.9412625384227</v>
      </c>
    </row>
    <row r="230" spans="1:19" x14ac:dyDescent="0.25">
      <c r="A230" s="6">
        <f t="shared" si="46"/>
        <v>225</v>
      </c>
      <c r="B230" s="24">
        <v>45110</v>
      </c>
      <c r="C230" s="31" cm="1">
        <f t="array" ref="C230" xml:space="preserve"> BonoM(100,C$2,C$1 - $B230,Portafolio!C230)</f>
        <v>90.443845296177614</v>
      </c>
      <c r="D230" s="31" cm="1">
        <f t="array" ref="D230" xml:space="preserve"> BonoM(100,D$2,D$1 - $B230,Portafolio!D230)</f>
        <v>99.495747176224242</v>
      </c>
      <c r="E230" s="31" cm="1">
        <f t="array" ref="E230" xml:space="preserve"> BonoM(100,E$2,E$1 - $B230,Portafolio!E230)</f>
        <v>95.202275621855023</v>
      </c>
      <c r="F230" s="31" cm="1">
        <f t="array" ref="F230" xml:space="preserve"> BonoM(100,F$2,F$1 - $B230,Portafolio!F230)</f>
        <v>98.010350591393035</v>
      </c>
      <c r="G230" s="5">
        <f t="shared" si="47"/>
        <v>9.458862403840973E-3</v>
      </c>
      <c r="H230" s="5">
        <f t="shared" si="48"/>
        <v>1.3765845414996702E-2</v>
      </c>
      <c r="I230" s="5">
        <f t="shared" si="49"/>
        <v>1.7692780230491367E-2</v>
      </c>
      <c r="J230" s="5">
        <f t="shared" si="50"/>
        <v>2.5304505590761917E-2</v>
      </c>
      <c r="K230" s="10">
        <f t="shared" si="51"/>
        <v>90.400716966782312</v>
      </c>
      <c r="L230" s="10">
        <f t="shared" si="52"/>
        <v>99.561831663800945</v>
      </c>
      <c r="M230" s="10">
        <f t="shared" si="53"/>
        <v>94.458254612648659</v>
      </c>
      <c r="N230" s="10">
        <f t="shared" si="54"/>
        <v>95.743590572912538</v>
      </c>
      <c r="O230" s="11">
        <f t="shared" si="55"/>
        <v>-2795.3493866721005</v>
      </c>
      <c r="P230" s="11">
        <f t="shared" si="56"/>
        <v>-2027.9132357582412</v>
      </c>
      <c r="Q230" s="11">
        <f t="shared" si="57"/>
        <v>-3284.349014324107</v>
      </c>
      <c r="R230" s="11">
        <f t="shared" si="58"/>
        <v>-2362.9509182113111</v>
      </c>
      <c r="S230" s="27">
        <f t="shared" si="59"/>
        <v>-10470.56255496576</v>
      </c>
    </row>
    <row r="231" spans="1:19" x14ac:dyDescent="0.25">
      <c r="A231" s="6">
        <f t="shared" si="46"/>
        <v>226</v>
      </c>
      <c r="B231" s="24">
        <v>45108</v>
      </c>
      <c r="C231" s="31" cm="1">
        <f t="array" ref="C231" xml:space="preserve"> BonoM(100,C$2,C$1 - $B231,Portafolio!C231)</f>
        <v>89.596365602063472</v>
      </c>
      <c r="D231" s="31" cm="1">
        <f t="array" ref="D231" xml:space="preserve"> BonoM(100,D$2,D$1 - $B231,Portafolio!D231)</f>
        <v>98.144702375028743</v>
      </c>
      <c r="E231" s="31" cm="1">
        <f t="array" ref="E231" xml:space="preserve"> BonoM(100,E$2,E$1 - $B231,Portafolio!E231)</f>
        <v>93.547166169630501</v>
      </c>
      <c r="F231" s="31" cm="1">
        <f t="array" ref="F231" xml:space="preserve"> BonoM(100,F$2,F$1 - $B231,Portafolio!F231)</f>
        <v>95.591456057165416</v>
      </c>
      <c r="G231" s="5">
        <f t="shared" si="47"/>
        <v>-9.8956850030714749E-3</v>
      </c>
      <c r="H231" s="5">
        <f t="shared" si="48"/>
        <v>-1.4235322012481899E-2</v>
      </c>
      <c r="I231" s="5">
        <f t="shared" si="49"/>
        <v>-1.7825445837854614E-2</v>
      </c>
      <c r="J231" s="5">
        <f t="shared" si="50"/>
        <v>-2.644180499510318E-2</v>
      </c>
      <c r="K231" s="10">
        <f t="shared" si="51"/>
        <v>88.667446768939925</v>
      </c>
      <c r="L231" s="10">
        <f t="shared" si="52"/>
        <v>96.811840104691655</v>
      </c>
      <c r="M231" s="10">
        <f t="shared" si="53"/>
        <v>91.161592096684274</v>
      </c>
      <c r="N231" s="10">
        <f t="shared" si="54"/>
        <v>90.91148699063362</v>
      </c>
      <c r="O231" s="11">
        <f t="shared" si="55"/>
        <v>2924.4422662077768</v>
      </c>
      <c r="P231" s="11">
        <f t="shared" si="56"/>
        <v>2097.074102905694</v>
      </c>
      <c r="Q231" s="11">
        <f t="shared" si="57"/>
        <v>3308.9760176046639</v>
      </c>
      <c r="R231" s="11">
        <f t="shared" si="58"/>
        <v>2469.1526640676075</v>
      </c>
      <c r="S231" s="27">
        <f t="shared" si="59"/>
        <v>10799.645050785743</v>
      </c>
    </row>
    <row r="232" spans="1:19" x14ac:dyDescent="0.25">
      <c r="A232" s="6">
        <f t="shared" si="46"/>
        <v>227</v>
      </c>
      <c r="B232" s="24">
        <v>45107</v>
      </c>
      <c r="C232" s="31" cm="1">
        <f t="array" ref="C232" xml:space="preserve"> BonoM(100,C$2,C$1 - $B232,Portafolio!C232)</f>
        <v>90.491844389488818</v>
      </c>
      <c r="D232" s="31" cm="1">
        <f t="array" ref="D232" xml:space="preserve"> BonoM(100,D$2,D$1 - $B232,Portafolio!D232)</f>
        <v>99.561999498090628</v>
      </c>
      <c r="E232" s="31" cm="1">
        <f t="array" ref="E232" xml:space="preserve"> BonoM(100,E$2,E$1 - $B232,Portafolio!E232)</f>
        <v>95.244949864774213</v>
      </c>
      <c r="F232" s="31" cm="1">
        <f t="array" ref="F232" xml:space="preserve"> BonoM(100,F$2,F$1 - $B232,Portafolio!F232)</f>
        <v>98.187716510038328</v>
      </c>
      <c r="G232" s="5">
        <f t="shared" si="47"/>
        <v>-1.348922350736026E-3</v>
      </c>
      <c r="H232" s="5">
        <f t="shared" si="48"/>
        <v>2.3669053454167255E-4</v>
      </c>
      <c r="I232" s="5">
        <f t="shared" si="49"/>
        <v>1.9730103638808671E-3</v>
      </c>
      <c r="J232" s="5">
        <f t="shared" si="50"/>
        <v>3.6134554541060737E-3</v>
      </c>
      <c r="K232" s="10">
        <f t="shared" si="51"/>
        <v>89.432840486595893</v>
      </c>
      <c r="L232" s="10">
        <f t="shared" si="52"/>
        <v>98.233134857873381</v>
      </c>
      <c r="M232" s="10">
        <f t="shared" si="53"/>
        <v>92.99920719346953</v>
      </c>
      <c r="N232" s="10">
        <f t="shared" si="54"/>
        <v>93.718066436369426</v>
      </c>
      <c r="O232" s="11">
        <f t="shared" si="55"/>
        <v>398.64299794308238</v>
      </c>
      <c r="P232" s="11">
        <f t="shared" si="56"/>
        <v>-34.868026866895718</v>
      </c>
      <c r="Q232" s="11">
        <f t="shared" si="57"/>
        <v>-366.25417596584953</v>
      </c>
      <c r="R232" s="11">
        <f t="shared" si="58"/>
        <v>-337.42678166819928</v>
      </c>
      <c r="S232" s="27">
        <f t="shared" si="59"/>
        <v>-339.90598655786215</v>
      </c>
    </row>
    <row r="233" spans="1:19" x14ac:dyDescent="0.25">
      <c r="A233" s="6">
        <f t="shared" si="46"/>
        <v>228</v>
      </c>
      <c r="B233" s="24">
        <v>45106</v>
      </c>
      <c r="C233" s="31" cm="1">
        <f t="array" ref="C233" xml:space="preserve"> BonoM(100,C$2,C$1 - $B233,Portafolio!C233)</f>
        <v>90.614075741547879</v>
      </c>
      <c r="D233" s="31" cm="1">
        <f t="array" ref="D233" xml:space="preserve"> BonoM(100,D$2,D$1 - $B233,Portafolio!D233)</f>
        <v>99.538439691592572</v>
      </c>
      <c r="E233" s="31" cm="1">
        <f t="array" ref="E233" xml:space="preserve"> BonoM(100,E$2,E$1 - $B233,Portafolio!E233)</f>
        <v>95.057400628171251</v>
      </c>
      <c r="F233" s="31" cm="1">
        <f t="array" ref="F233" xml:space="preserve"> BonoM(100,F$2,F$1 - $B233,Portafolio!F233)</f>
        <v>97.834196997300353</v>
      </c>
      <c r="G233" s="5">
        <f t="shared" si="47"/>
        <v>-3.267658199757939E-3</v>
      </c>
      <c r="H233" s="5">
        <f t="shared" si="48"/>
        <v>-5.2727566821716421E-3</v>
      </c>
      <c r="I233" s="5">
        <f t="shared" si="49"/>
        <v>-7.2668801548797513E-3</v>
      </c>
      <c r="J233" s="5">
        <f t="shared" si="50"/>
        <v>-5.6443884591167448E-3</v>
      </c>
      <c r="K233" s="10">
        <f t="shared" si="51"/>
        <v>89.261010704440736</v>
      </c>
      <c r="L233" s="10">
        <f t="shared" si="52"/>
        <v>97.692052655477369</v>
      </c>
      <c r="M233" s="10">
        <f t="shared" si="53"/>
        <v>92.141596774914319</v>
      </c>
      <c r="N233" s="10">
        <f t="shared" si="54"/>
        <v>92.853563049929292</v>
      </c>
      <c r="O233" s="11">
        <f t="shared" si="55"/>
        <v>965.68127905510153</v>
      </c>
      <c r="P233" s="11">
        <f t="shared" si="56"/>
        <v>776.75527672712269</v>
      </c>
      <c r="Q233" s="11">
        <f t="shared" si="57"/>
        <v>1348.9666611445728</v>
      </c>
      <c r="R233" s="11">
        <f t="shared" si="58"/>
        <v>527.07660477193485</v>
      </c>
      <c r="S233" s="27">
        <f t="shared" si="59"/>
        <v>3618.4798216987319</v>
      </c>
    </row>
    <row r="234" spans="1:19" x14ac:dyDescent="0.25">
      <c r="A234" s="6">
        <f t="shared" si="46"/>
        <v>229</v>
      </c>
      <c r="B234" s="24">
        <v>45105</v>
      </c>
      <c r="C234" s="31" cm="1">
        <f t="array" ref="C234" xml:space="preserve"> BonoM(100,C$2,C$1 - $B234,Portafolio!C234)</f>
        <v>90.911142281071989</v>
      </c>
      <c r="D234" s="31" cm="1">
        <f t="array" ref="D234" xml:space="preserve"> BonoM(100,D$2,D$1 - $B234,Portafolio!D234)</f>
        <v>100.06606369761278</v>
      </c>
      <c r="E234" s="31" cm="1">
        <f t="array" ref="E234" xml:space="preserve"> BonoM(100,E$2,E$1 - $B234,Portafolio!E234)</f>
        <v>95.753227859468907</v>
      </c>
      <c r="F234" s="31" cm="1">
        <f t="array" ref="F234" xml:space="preserve"> BonoM(100,F$2,F$1 - $B234,Portafolio!F234)</f>
        <v>98.38954581419172</v>
      </c>
      <c r="G234" s="5">
        <f t="shared" si="47"/>
        <v>-7.702373333973167E-5</v>
      </c>
      <c r="H234" s="5">
        <f t="shared" si="48"/>
        <v>-2.2740036357871141E-4</v>
      </c>
      <c r="I234" s="5">
        <f t="shared" si="49"/>
        <v>8.1330176609717419E-4</v>
      </c>
      <c r="J234" s="5">
        <f t="shared" si="50"/>
        <v>2.7728469034311587E-3</v>
      </c>
      <c r="K234" s="10">
        <f t="shared" si="51"/>
        <v>89.546743639269081</v>
      </c>
      <c r="L234" s="10">
        <f t="shared" si="52"/>
        <v>98.187556542047957</v>
      </c>
      <c r="M234" s="10">
        <f t="shared" si="53"/>
        <v>92.891567587358608</v>
      </c>
      <c r="N234" s="10">
        <f t="shared" si="54"/>
        <v>93.639569872208185</v>
      </c>
      <c r="O234" s="11">
        <f t="shared" si="55"/>
        <v>22.762594121560653</v>
      </c>
      <c r="P234" s="11">
        <f t="shared" si="56"/>
        <v>33.499446871239513</v>
      </c>
      <c r="Q234" s="11">
        <f t="shared" si="57"/>
        <v>-150.97496374400521</v>
      </c>
      <c r="R234" s="11">
        <f t="shared" si="58"/>
        <v>-258.93021750695766</v>
      </c>
      <c r="S234" s="27">
        <f t="shared" si="59"/>
        <v>-353.6431402581627</v>
      </c>
    </row>
    <row r="235" spans="1:19" x14ac:dyDescent="0.25">
      <c r="A235" s="6">
        <f t="shared" si="46"/>
        <v>230</v>
      </c>
      <c r="B235" s="24">
        <v>45104</v>
      </c>
      <c r="C235" s="31" cm="1">
        <f t="array" ref="C235" xml:space="preserve"> BonoM(100,C$2,C$1 - $B235,Portafolio!C235)</f>
        <v>90.918145136038689</v>
      </c>
      <c r="D235" s="31" cm="1">
        <f t="array" ref="D235" xml:space="preserve"> BonoM(100,D$2,D$1 - $B235,Portafolio!D235)</f>
        <v>100.08882393256521</v>
      </c>
      <c r="E235" s="31" cm="1">
        <f t="array" ref="E235" xml:space="preserve"> BonoM(100,E$2,E$1 - $B235,Portafolio!E235)</f>
        <v>95.675414875578525</v>
      </c>
      <c r="F235" s="31" cm="1">
        <f t="array" ref="F235" xml:space="preserve"> BonoM(100,F$2,F$1 - $B235,Portafolio!F235)</f>
        <v>98.117481060660211</v>
      </c>
      <c r="G235" s="5">
        <f t="shared" si="47"/>
        <v>-1.3593946769083765E-3</v>
      </c>
      <c r="H235" s="5">
        <f t="shared" si="48"/>
        <v>-1.6106795470371971E-3</v>
      </c>
      <c r="I235" s="5">
        <f t="shared" si="49"/>
        <v>-2.0863750957520466E-3</v>
      </c>
      <c r="J235" s="5">
        <f t="shared" si="50"/>
        <v>-2.2909280778508068E-3</v>
      </c>
      <c r="K235" s="10">
        <f t="shared" si="51"/>
        <v>89.431902651653289</v>
      </c>
      <c r="L235" s="10">
        <f t="shared" si="52"/>
        <v>98.05170484628367</v>
      </c>
      <c r="M235" s="10">
        <f t="shared" si="53"/>
        <v>92.622430947469198</v>
      </c>
      <c r="N235" s="10">
        <f t="shared" si="54"/>
        <v>93.166711325388604</v>
      </c>
      <c r="O235" s="11">
        <f t="shared" si="55"/>
        <v>401.73785325367675</v>
      </c>
      <c r="P235" s="11">
        <f t="shared" si="56"/>
        <v>237.27699051767104</v>
      </c>
      <c r="Q235" s="11">
        <f t="shared" si="57"/>
        <v>387.29831603481557</v>
      </c>
      <c r="R235" s="11">
        <f t="shared" si="58"/>
        <v>213.92832931262262</v>
      </c>
      <c r="S235" s="27">
        <f t="shared" si="59"/>
        <v>1240.2414891187859</v>
      </c>
    </row>
    <row r="236" spans="1:19" x14ac:dyDescent="0.25">
      <c r="A236" s="6">
        <f t="shared" si="46"/>
        <v>231</v>
      </c>
      <c r="B236" s="24">
        <v>45103</v>
      </c>
      <c r="C236" s="31" cm="1">
        <f t="array" ref="C236" xml:space="preserve"> BonoM(100,C$2,C$1 - $B236,Portafolio!C236)</f>
        <v>91.041907019817017</v>
      </c>
      <c r="D236" s="31" cm="1">
        <f t="array" ref="D236" xml:space="preserve"> BonoM(100,D$2,D$1 - $B236,Portafolio!D236)</f>
        <v>100.25029503235827</v>
      </c>
      <c r="E236" s="31" cm="1">
        <f t="array" ref="E236" xml:space="preserve"> BonoM(100,E$2,E$1 - $B236,Portafolio!E236)</f>
        <v>95.875447020536271</v>
      </c>
      <c r="F236" s="31" cm="1">
        <f t="array" ref="F236" xml:space="preserve"> BonoM(100,F$2,F$1 - $B236,Portafolio!F236)</f>
        <v>98.342777290408634</v>
      </c>
      <c r="G236" s="5">
        <f t="shared" si="47"/>
        <v>1.2203722071627565E-2</v>
      </c>
      <c r="H236" s="5">
        <f t="shared" si="48"/>
        <v>1.5895995012257469E-2</v>
      </c>
      <c r="I236" s="5">
        <f t="shared" si="49"/>
        <v>2.0021275152498186E-2</v>
      </c>
      <c r="J236" s="5">
        <f t="shared" si="50"/>
        <v>3.2970450696246711E-2</v>
      </c>
      <c r="K236" s="10">
        <f t="shared" si="51"/>
        <v>90.64652914515105</v>
      </c>
      <c r="L236" s="10">
        <f t="shared" si="52"/>
        <v>99.771033420380519</v>
      </c>
      <c r="M236" s="10">
        <f t="shared" si="53"/>
        <v>94.674376383854863</v>
      </c>
      <c r="N236" s="10">
        <f t="shared" si="54"/>
        <v>96.45944143042054</v>
      </c>
      <c r="O236" s="11">
        <f t="shared" si="55"/>
        <v>-3606.5295752889342</v>
      </c>
      <c r="P236" s="11">
        <f t="shared" si="56"/>
        <v>-2341.7158706276027</v>
      </c>
      <c r="Q236" s="11">
        <f t="shared" si="57"/>
        <v>-3716.5925567365148</v>
      </c>
      <c r="R236" s="11">
        <f t="shared" si="58"/>
        <v>-3078.8017757193129</v>
      </c>
      <c r="S236" s="27">
        <f t="shared" si="59"/>
        <v>-12743.639778372362</v>
      </c>
    </row>
    <row r="237" spans="1:19" x14ac:dyDescent="0.25">
      <c r="A237" s="6">
        <f t="shared" si="46"/>
        <v>232</v>
      </c>
      <c r="B237" s="24">
        <v>45101</v>
      </c>
      <c r="C237" s="31" cm="1">
        <f t="array" ref="C237" xml:space="preserve"> BonoM(100,C$2,C$1 - $B237,Portafolio!C237)</f>
        <v>89.944252362050221</v>
      </c>
      <c r="D237" s="31" cm="1">
        <f t="array" ref="D237" xml:space="preserve"> BonoM(100,D$2,D$1 - $B237,Portafolio!D237)</f>
        <v>98.681651984609587</v>
      </c>
      <c r="E237" s="31" cm="1">
        <f t="array" ref="E237" xml:space="preserve"> BonoM(100,E$2,E$1 - $B237,Portafolio!E237)</f>
        <v>93.993575777331131</v>
      </c>
      <c r="F237" s="31" cm="1">
        <f t="array" ref="F237" xml:space="preserve"> BonoM(100,F$2,F$1 - $B237,Portafolio!F237)</f>
        <v>95.203863018659689</v>
      </c>
      <c r="G237" s="5">
        <f t="shared" si="47"/>
        <v>-9.4312044576293497E-3</v>
      </c>
      <c r="H237" s="5">
        <f t="shared" si="48"/>
        <v>-1.4050624627364838E-2</v>
      </c>
      <c r="I237" s="5">
        <f t="shared" si="49"/>
        <v>-1.7233003563746019E-2</v>
      </c>
      <c r="J237" s="5">
        <f t="shared" si="50"/>
        <v>-2.6307123483457762E-2</v>
      </c>
      <c r="K237" s="10">
        <f t="shared" si="51"/>
        <v>88.709042693141427</v>
      </c>
      <c r="L237" s="10">
        <f t="shared" si="52"/>
        <v>96.829979214476168</v>
      </c>
      <c r="M237" s="10">
        <f t="shared" si="53"/>
        <v>91.216580266255818</v>
      </c>
      <c r="N237" s="10">
        <f t="shared" si="54"/>
        <v>90.924063636340733</v>
      </c>
      <c r="O237" s="11">
        <f t="shared" si="55"/>
        <v>2787.1757163428201</v>
      </c>
      <c r="P237" s="11">
        <f t="shared" si="56"/>
        <v>2069.8654382289233</v>
      </c>
      <c r="Q237" s="11">
        <f t="shared" si="57"/>
        <v>3198.9996784615755</v>
      </c>
      <c r="R237" s="11">
        <f t="shared" si="58"/>
        <v>2456.5760183604934</v>
      </c>
      <c r="S237" s="27">
        <f t="shared" si="59"/>
        <v>10512.616851393814</v>
      </c>
    </row>
    <row r="238" spans="1:19" x14ac:dyDescent="0.25">
      <c r="A238" s="6">
        <f t="shared" si="46"/>
        <v>233</v>
      </c>
      <c r="B238" s="24">
        <v>45100</v>
      </c>
      <c r="C238" s="31" cm="1">
        <f t="array" ref="C238" xml:space="preserve"> BonoM(100,C$2,C$1 - $B238,Portafolio!C238)</f>
        <v>90.800611493927221</v>
      </c>
      <c r="D238" s="31" cm="1">
        <f t="array" ref="D238" xml:space="preserve"> BonoM(100,D$2,D$1 - $B238,Portafolio!D238)</f>
        <v>100.08795020262912</v>
      </c>
      <c r="E238" s="31" cm="1">
        <f t="array" ref="E238" xml:space="preserve"> BonoM(100,E$2,E$1 - $B238,Portafolio!E238)</f>
        <v>95.641770753570384</v>
      </c>
      <c r="F238" s="31" cm="1">
        <f t="array" ref="F238" xml:space="preserve"> BonoM(100,F$2,F$1 - $B238,Portafolio!F238)</f>
        <v>97.776070170358537</v>
      </c>
      <c r="G238" s="5">
        <f t="shared" si="47"/>
        <v>3.7872395182543261E-3</v>
      </c>
      <c r="H238" s="5">
        <f t="shared" si="48"/>
        <v>4.8653889403413864E-3</v>
      </c>
      <c r="I238" s="5">
        <f t="shared" si="49"/>
        <v>6.0607420613940644E-3</v>
      </c>
      <c r="J238" s="5">
        <f t="shared" si="50"/>
        <v>7.0026089136903114E-3</v>
      </c>
      <c r="K238" s="10">
        <f t="shared" si="51"/>
        <v>89.892802484758448</v>
      </c>
      <c r="L238" s="10">
        <f t="shared" si="52"/>
        <v>98.687718816866479</v>
      </c>
      <c r="M238" s="10">
        <f t="shared" si="53"/>
        <v>93.37861442615565</v>
      </c>
      <c r="N238" s="10">
        <f t="shared" si="54"/>
        <v>94.034547754313337</v>
      </c>
      <c r="O238" s="11">
        <f t="shared" si="55"/>
        <v>-1119.2315959933494</v>
      </c>
      <c r="P238" s="11">
        <f t="shared" si="56"/>
        <v>-716.74396535654239</v>
      </c>
      <c r="Q238" s="11">
        <f t="shared" si="57"/>
        <v>-1125.068641338089</v>
      </c>
      <c r="R238" s="11">
        <f t="shared" si="58"/>
        <v>-653.90809961211005</v>
      </c>
      <c r="S238" s="27">
        <f t="shared" si="59"/>
        <v>-3614.9523023000911</v>
      </c>
    </row>
    <row r="239" spans="1:19" x14ac:dyDescent="0.25">
      <c r="A239" s="6">
        <f t="shared" si="46"/>
        <v>234</v>
      </c>
      <c r="B239" s="24">
        <v>45099</v>
      </c>
      <c r="C239" s="31" cm="1">
        <f t="array" ref="C239" xml:space="preserve"> BonoM(100,C$2,C$1 - $B239,Portafolio!C239)</f>
        <v>90.458025285821506</v>
      </c>
      <c r="D239" s="31" cm="1">
        <f t="array" ref="D239" xml:space="preserve"> BonoM(100,D$2,D$1 - $B239,Portafolio!D239)</f>
        <v>99.603341207895184</v>
      </c>
      <c r="E239" s="31" cm="1">
        <f t="array" ref="E239" xml:space="preserve"> BonoM(100,E$2,E$1 - $B239,Portafolio!E239)</f>
        <v>95.065602656955591</v>
      </c>
      <c r="F239" s="31" cm="1">
        <f t="array" ref="F239" xml:space="preserve"> BonoM(100,F$2,F$1 - $B239,Portafolio!F239)</f>
        <v>97.09614384796383</v>
      </c>
      <c r="G239" s="5">
        <f t="shared" si="47"/>
        <v>3.1451759797973544E-3</v>
      </c>
      <c r="H239" s="5">
        <f t="shared" si="48"/>
        <v>3.9380709479877041E-3</v>
      </c>
      <c r="I239" s="5">
        <f t="shared" si="49"/>
        <v>4.3078874039292891E-3</v>
      </c>
      <c r="J239" s="5">
        <f t="shared" si="50"/>
        <v>2.4147880239433483E-4</v>
      </c>
      <c r="K239" s="10">
        <f t="shared" si="51"/>
        <v>89.835303356882633</v>
      </c>
      <c r="L239" s="10">
        <f t="shared" si="52"/>
        <v>98.596647019299922</v>
      </c>
      <c r="M239" s="10">
        <f t="shared" si="53"/>
        <v>93.215921327855128</v>
      </c>
      <c r="N239" s="10">
        <f t="shared" si="54"/>
        <v>93.403189099731861</v>
      </c>
      <c r="O239" s="11">
        <f t="shared" si="55"/>
        <v>-929.4844740031607</v>
      </c>
      <c r="P239" s="11">
        <f t="shared" si="56"/>
        <v>-580.13626900670806</v>
      </c>
      <c r="Q239" s="11">
        <f t="shared" si="57"/>
        <v>-799.68244473704431</v>
      </c>
      <c r="R239" s="11">
        <f t="shared" si="58"/>
        <v>-22.549445030634274</v>
      </c>
      <c r="S239" s="27">
        <f t="shared" si="59"/>
        <v>-2331.8526327775471</v>
      </c>
    </row>
    <row r="240" spans="1:19" x14ac:dyDescent="0.25">
      <c r="A240" s="6">
        <f t="shared" si="46"/>
        <v>235</v>
      </c>
      <c r="B240" s="24">
        <v>45098</v>
      </c>
      <c r="C240" s="31" cm="1">
        <f t="array" ref="C240" xml:space="preserve"> BonoM(100,C$2,C$1 - $B240,Portafolio!C240)</f>
        <v>90.174410894683177</v>
      </c>
      <c r="D240" s="31" cm="1">
        <f t="array" ref="D240" xml:space="preserve"> BonoM(100,D$2,D$1 - $B240,Portafolio!D240)</f>
        <v>99.21263481306454</v>
      </c>
      <c r="E240" s="31" cm="1">
        <f t="array" ref="E240" xml:space="preserve"> BonoM(100,E$2,E$1 - $B240,Portafolio!E240)</f>
        <v>94.657827394638915</v>
      </c>
      <c r="F240" s="31" cm="1">
        <f t="array" ref="F240" xml:space="preserve"> BonoM(100,F$2,F$1 - $B240,Portafolio!F240)</f>
        <v>97.072702847934934</v>
      </c>
      <c r="G240" s="5">
        <f t="shared" si="47"/>
        <v>5.7048994587582946E-4</v>
      </c>
      <c r="H240" s="5">
        <f t="shared" si="48"/>
        <v>1.6243184490558615E-3</v>
      </c>
      <c r="I240" s="5">
        <f t="shared" si="49"/>
        <v>1.3990081533679088E-3</v>
      </c>
      <c r="J240" s="5">
        <f t="shared" si="50"/>
        <v>2.7686547336309708E-3</v>
      </c>
      <c r="K240" s="10">
        <f t="shared" si="51"/>
        <v>89.604730847095951</v>
      </c>
      <c r="L240" s="10">
        <f t="shared" si="52"/>
        <v>98.369413642034132</v>
      </c>
      <c r="M240" s="10">
        <f t="shared" si="53"/>
        <v>92.945930558317826</v>
      </c>
      <c r="N240" s="10">
        <f t="shared" si="54"/>
        <v>93.639178404710705</v>
      </c>
      <c r="O240" s="11">
        <f t="shared" si="55"/>
        <v>-168.59519170710797</v>
      </c>
      <c r="P240" s="11">
        <f t="shared" si="56"/>
        <v>-239.28620310802273</v>
      </c>
      <c r="Q240" s="11">
        <f t="shared" si="57"/>
        <v>-259.70090566244153</v>
      </c>
      <c r="R240" s="11">
        <f t="shared" si="58"/>
        <v>-258.53875000947824</v>
      </c>
      <c r="S240" s="27">
        <f t="shared" si="59"/>
        <v>-926.12105048705052</v>
      </c>
    </row>
    <row r="241" spans="1:19" x14ac:dyDescent="0.25">
      <c r="A241" s="6">
        <f t="shared" si="46"/>
        <v>236</v>
      </c>
      <c r="B241" s="24">
        <v>45097</v>
      </c>
      <c r="C241" s="31" cm="1">
        <f t="array" ref="C241" xml:space="preserve"> BonoM(100,C$2,C$1 - $B241,Portafolio!C241)</f>
        <v>90.122996631212871</v>
      </c>
      <c r="D241" s="31" cm="1">
        <f t="array" ref="D241" xml:space="preserve"> BonoM(100,D$2,D$1 - $B241,Portafolio!D241)</f>
        <v>99.05174323911011</v>
      </c>
      <c r="E241" s="31" cm="1">
        <f t="array" ref="E241" xml:space="preserve"> BonoM(100,E$2,E$1 - $B241,Portafolio!E241)</f>
        <v>94.525585330060295</v>
      </c>
      <c r="F241" s="31" cm="1">
        <f t="array" ref="F241" xml:space="preserve"> BonoM(100,F$2,F$1 - $B241,Portafolio!F241)</f>
        <v>96.804684101060872</v>
      </c>
      <c r="G241" s="5">
        <f t="shared" si="47"/>
        <v>1.8601153464214981E-3</v>
      </c>
      <c r="H241" s="5">
        <f t="shared" si="48"/>
        <v>1.6254334067344889E-3</v>
      </c>
      <c r="I241" s="5">
        <f t="shared" si="49"/>
        <v>1.9809129685566251E-3</v>
      </c>
      <c r="J241" s="5">
        <f t="shared" si="50"/>
        <v>4.4526767422425895E-3</v>
      </c>
      <c r="K241" s="10">
        <f t="shared" si="51"/>
        <v>89.720221497750373</v>
      </c>
      <c r="L241" s="10">
        <f t="shared" si="52"/>
        <v>98.369523141904565</v>
      </c>
      <c r="M241" s="10">
        <f t="shared" si="53"/>
        <v>92.999940682258156</v>
      </c>
      <c r="N241" s="10">
        <f t="shared" si="54"/>
        <v>93.796433457067451</v>
      </c>
      <c r="O241" s="11">
        <f t="shared" si="55"/>
        <v>-549.71433886670127</v>
      </c>
      <c r="P241" s="11">
        <f t="shared" si="56"/>
        <v>-239.45045291367251</v>
      </c>
      <c r="Q241" s="11">
        <f t="shared" si="57"/>
        <v>-367.72115354310131</v>
      </c>
      <c r="R241" s="11">
        <f t="shared" si="58"/>
        <v>-415.79380236622399</v>
      </c>
      <c r="S241" s="27">
        <f t="shared" si="59"/>
        <v>-1572.6797476896991</v>
      </c>
    </row>
    <row r="242" spans="1:19" x14ac:dyDescent="0.25">
      <c r="A242" s="6">
        <f t="shared" si="46"/>
        <v>237</v>
      </c>
      <c r="B242" s="24">
        <v>45096</v>
      </c>
      <c r="C242" s="31" cm="1">
        <f t="array" ref="C242" xml:space="preserve"> BonoM(100,C$2,C$1 - $B242,Portafolio!C242)</f>
        <v>89.955668711345282</v>
      </c>
      <c r="D242" s="31" cm="1">
        <f t="array" ref="D242" xml:space="preserve"> BonoM(100,D$2,D$1 - $B242,Portafolio!D242)</f>
        <v>98.891002500021102</v>
      </c>
      <c r="E242" s="31" cm="1">
        <f t="array" ref="E242" xml:space="preserve"> BonoM(100,E$2,E$1 - $B242,Portafolio!E242)</f>
        <v>94.338708558839201</v>
      </c>
      <c r="F242" s="31" cm="1">
        <f t="array" ref="F242" xml:space="preserve"> BonoM(100,F$2,F$1 - $B242,Portafolio!F242)</f>
        <v>96.375554909195969</v>
      </c>
      <c r="G242" s="5">
        <f t="shared" si="47"/>
        <v>1.1448243302228045E-2</v>
      </c>
      <c r="H242" s="5">
        <f t="shared" si="48"/>
        <v>1.4475905163177982E-2</v>
      </c>
      <c r="I242" s="5">
        <f t="shared" si="49"/>
        <v>1.8312064946829576E-2</v>
      </c>
      <c r="J242" s="5">
        <f t="shared" si="50"/>
        <v>2.8168171800399655E-2</v>
      </c>
      <c r="K242" s="10">
        <f t="shared" si="51"/>
        <v>90.578873270354663</v>
      </c>
      <c r="L242" s="10">
        <f t="shared" si="52"/>
        <v>99.631566553212934</v>
      </c>
      <c r="M242" s="10">
        <f t="shared" si="53"/>
        <v>94.515734192488409</v>
      </c>
      <c r="N242" s="10">
        <f t="shared" si="54"/>
        <v>96.011001555326061</v>
      </c>
      <c r="O242" s="11">
        <f t="shared" si="55"/>
        <v>-3383.2651884608581</v>
      </c>
      <c r="P242" s="11">
        <f t="shared" si="56"/>
        <v>-2132.515569876226</v>
      </c>
      <c r="Q242" s="11">
        <f t="shared" si="57"/>
        <v>-3399.3081740036077</v>
      </c>
      <c r="R242" s="11">
        <f t="shared" si="58"/>
        <v>-2630.3619006248341</v>
      </c>
      <c r="S242" s="27">
        <f t="shared" si="59"/>
        <v>-11545.450832965525</v>
      </c>
    </row>
    <row r="243" spans="1:19" x14ac:dyDescent="0.25">
      <c r="A243" s="6">
        <f t="shared" si="46"/>
        <v>238</v>
      </c>
      <c r="B243" s="24">
        <v>45094</v>
      </c>
      <c r="C243" s="31" cm="1">
        <f t="array" ref="C243" xml:space="preserve"> BonoM(100,C$2,C$1 - $B243,Portafolio!C243)</f>
        <v>88.937490679358348</v>
      </c>
      <c r="D243" s="31" cm="1">
        <f t="array" ref="D243" xml:space="preserve"> BonoM(100,D$2,D$1 - $B243,Portafolio!D243)</f>
        <v>97.47989281629566</v>
      </c>
      <c r="E243" s="31" cm="1">
        <f t="array" ref="E243" xml:space="preserve"> BonoM(100,E$2,E$1 - $B243,Portafolio!E243)</f>
        <v>92.642237881925752</v>
      </c>
      <c r="F243" s="31" cm="1">
        <f t="array" ref="F243" xml:space="preserve"> BonoM(100,F$2,F$1 - $B243,Portafolio!F243)</f>
        <v>93.735205535914545</v>
      </c>
      <c r="G243" s="5">
        <f t="shared" si="47"/>
        <v>-1.0576236490755009E-2</v>
      </c>
      <c r="H243" s="5">
        <f t="shared" si="48"/>
        <v>-1.6115481905634277E-2</v>
      </c>
      <c r="I243" s="5">
        <f t="shared" si="49"/>
        <v>-1.9218828470565996E-2</v>
      </c>
      <c r="J243" s="5">
        <f t="shared" si="50"/>
        <v>-3.1258654660251906E-2</v>
      </c>
      <c r="K243" s="10">
        <f t="shared" si="51"/>
        <v>88.60650090506104</v>
      </c>
      <c r="L243" s="10">
        <f t="shared" si="52"/>
        <v>96.627189809330361</v>
      </c>
      <c r="M243" s="10">
        <f t="shared" si="53"/>
        <v>91.032263782628945</v>
      </c>
      <c r="N243" s="10">
        <f t="shared" si="54"/>
        <v>90.461686487781492</v>
      </c>
      <c r="O243" s="11">
        <f t="shared" si="55"/>
        <v>3125.5636170080975</v>
      </c>
      <c r="P243" s="11">
        <f t="shared" si="56"/>
        <v>2374.0495459476351</v>
      </c>
      <c r="Q243" s="11">
        <f t="shared" si="57"/>
        <v>3567.6326457153209</v>
      </c>
      <c r="R243" s="11">
        <f t="shared" si="58"/>
        <v>2918.9531669197349</v>
      </c>
      <c r="S243" s="27">
        <f t="shared" si="59"/>
        <v>11986.198975590789</v>
      </c>
    </row>
    <row r="244" spans="1:19" x14ac:dyDescent="0.25">
      <c r="A244" s="6">
        <f t="shared" si="46"/>
        <v>239</v>
      </c>
      <c r="B244" s="24">
        <v>45093</v>
      </c>
      <c r="C244" s="31" cm="1">
        <f t="array" ref="C244" xml:space="preserve"> BonoM(100,C$2,C$1 - $B244,Portafolio!C244)</f>
        <v>89.88816921469396</v>
      </c>
      <c r="D244" s="31" cm="1">
        <f t="array" ref="D244" xml:space="preserve"> BonoM(100,D$2,D$1 - $B244,Portafolio!D244)</f>
        <v>99.076559315212464</v>
      </c>
      <c r="E244" s="31" cm="1">
        <f t="array" ref="E244" xml:space="preserve"> BonoM(100,E$2,E$1 - $B244,Portafolio!E244)</f>
        <v>94.457602339020312</v>
      </c>
      <c r="F244" s="31" cm="1">
        <f t="array" ref="F244" xml:space="preserve"> BonoM(100,F$2,F$1 - $B244,Portafolio!F244)</f>
        <v>96.759786280248619</v>
      </c>
      <c r="G244" s="5">
        <f t="shared" si="47"/>
        <v>-7.2696805974992174E-5</v>
      </c>
      <c r="H244" s="5">
        <f t="shared" si="48"/>
        <v>2.8348560002413592E-3</v>
      </c>
      <c r="I244" s="5">
        <f t="shared" si="49"/>
        <v>1.6346981533452709E-3</v>
      </c>
      <c r="J244" s="5">
        <f t="shared" si="50"/>
        <v>4.1211288195199813E-3</v>
      </c>
      <c r="K244" s="10">
        <f t="shared" si="51"/>
        <v>89.547131131370648</v>
      </c>
      <c r="L244" s="10">
        <f t="shared" si="52"/>
        <v>98.488300401179686</v>
      </c>
      <c r="M244" s="10">
        <f t="shared" si="53"/>
        <v>92.967806380235785</v>
      </c>
      <c r="N244" s="10">
        <f t="shared" si="54"/>
        <v>93.765473299967425</v>
      </c>
      <c r="O244" s="11">
        <f t="shared" si="55"/>
        <v>21.48387018639113</v>
      </c>
      <c r="P244" s="11">
        <f t="shared" si="56"/>
        <v>-417.61634182635277</v>
      </c>
      <c r="Q244" s="11">
        <f t="shared" si="57"/>
        <v>-303.45254949835976</v>
      </c>
      <c r="R244" s="11">
        <f t="shared" si="58"/>
        <v>-384.83364526619823</v>
      </c>
      <c r="S244" s="27">
        <f t="shared" si="59"/>
        <v>-1084.4186664045196</v>
      </c>
    </row>
    <row r="245" spans="1:19" x14ac:dyDescent="0.25">
      <c r="A245" s="6">
        <f t="shared" si="46"/>
        <v>240</v>
      </c>
      <c r="B245" s="24">
        <v>45092</v>
      </c>
      <c r="C245" s="31" cm="1">
        <f t="array" ref="C245" xml:space="preserve"> BonoM(100,C$2,C$1 - $B245,Portafolio!C245)</f>
        <v>89.894704272568646</v>
      </c>
      <c r="D245" s="31" cm="1">
        <f t="array" ref="D245" xml:space="preserve"> BonoM(100,D$2,D$1 - $B245,Portafolio!D245)</f>
        <v>98.796485505474507</v>
      </c>
      <c r="E245" s="31" cm="1">
        <f t="array" ref="E245" xml:space="preserve"> BonoM(100,E$2,E$1 - $B245,Portafolio!E245)</f>
        <v>94.303444672160637</v>
      </c>
      <c r="F245" s="31" cm="1">
        <f t="array" ref="F245" xml:space="preserve"> BonoM(100,F$2,F$1 - $B245,Portafolio!F245)</f>
        <v>96.362663331268422</v>
      </c>
      <c r="G245" s="5">
        <f t="shared" si="47"/>
        <v>1.5437194459386738E-3</v>
      </c>
      <c r="H245" s="5">
        <f t="shared" si="48"/>
        <v>3.0218521385927399E-3</v>
      </c>
      <c r="I245" s="5">
        <f t="shared" si="49"/>
        <v>3.1503427835057884E-3</v>
      </c>
      <c r="J245" s="5">
        <f t="shared" si="50"/>
        <v>3.611076771958821E-3</v>
      </c>
      <c r="K245" s="10">
        <f t="shared" si="51"/>
        <v>89.691887092739677</v>
      </c>
      <c r="L245" s="10">
        <f t="shared" si="52"/>
        <v>98.506665271265348</v>
      </c>
      <c r="M245" s="10">
        <f t="shared" si="53"/>
        <v>93.108482573640217</v>
      </c>
      <c r="N245" s="10">
        <f t="shared" si="54"/>
        <v>93.717844313508976</v>
      </c>
      <c r="O245" s="11">
        <f t="shared" si="55"/>
        <v>-456.2108023314039</v>
      </c>
      <c r="P245" s="11">
        <f t="shared" si="56"/>
        <v>-445.16364695484612</v>
      </c>
      <c r="Q245" s="11">
        <f t="shared" si="57"/>
        <v>-584.80493630722208</v>
      </c>
      <c r="R245" s="11">
        <f t="shared" si="58"/>
        <v>-337.20465880774952</v>
      </c>
      <c r="S245" s="27">
        <f t="shared" si="59"/>
        <v>-1823.3840444012217</v>
      </c>
    </row>
    <row r="246" spans="1:19" x14ac:dyDescent="0.25">
      <c r="A246" s="6">
        <f t="shared" si="46"/>
        <v>241</v>
      </c>
      <c r="B246" s="24">
        <v>45091</v>
      </c>
      <c r="C246" s="31" cm="1">
        <f t="array" ref="C246" xml:space="preserve"> BonoM(100,C$2,C$1 - $B246,Portafolio!C246)</f>
        <v>89.7561459646505</v>
      </c>
      <c r="D246" s="31" cm="1">
        <f t="array" ref="D246" xml:space="preserve"> BonoM(100,D$2,D$1 - $B246,Portafolio!D246)</f>
        <v>98.498836585489741</v>
      </c>
      <c r="E246" s="31" cm="1">
        <f t="array" ref="E246" xml:space="preserve"> BonoM(100,E$2,E$1 - $B246,Portafolio!E246)</f>
        <v>94.007289486131057</v>
      </c>
      <c r="F246" s="31" cm="1">
        <f t="array" ref="F246" xml:space="preserve"> BonoM(100,F$2,F$1 - $B246,Portafolio!F246)</f>
        <v>96.015942391959086</v>
      </c>
      <c r="G246" s="5">
        <f t="shared" si="47"/>
        <v>-7.23609305068873E-5</v>
      </c>
      <c r="H246" s="5">
        <f t="shared" si="48"/>
        <v>7.0401745656978321E-4</v>
      </c>
      <c r="I246" s="5">
        <f t="shared" si="49"/>
        <v>1.4034703159468975E-3</v>
      </c>
      <c r="J246" s="5">
        <f t="shared" si="50"/>
        <v>2.7665711962197026E-3</v>
      </c>
      <c r="K246" s="10">
        <f t="shared" si="51"/>
        <v>89.547161210241867</v>
      </c>
      <c r="L246" s="10">
        <f t="shared" si="52"/>
        <v>98.279030983249243</v>
      </c>
      <c r="M246" s="10">
        <f t="shared" si="53"/>
        <v>92.946344718757203</v>
      </c>
      <c r="N246" s="10">
        <f t="shared" si="54"/>
        <v>93.638983842654497</v>
      </c>
      <c r="O246" s="11">
        <f t="shared" si="55"/>
        <v>21.384609911366681</v>
      </c>
      <c r="P246" s="11">
        <f t="shared" si="56"/>
        <v>-103.71221493068816</v>
      </c>
      <c r="Q246" s="11">
        <f t="shared" si="57"/>
        <v>-260.5292265411947</v>
      </c>
      <c r="R246" s="11">
        <f t="shared" si="58"/>
        <v>-258.34418795326997</v>
      </c>
      <c r="S246" s="27">
        <f t="shared" si="59"/>
        <v>-601.20101951378615</v>
      </c>
    </row>
    <row r="247" spans="1:19" x14ac:dyDescent="0.25">
      <c r="A247" s="6">
        <f t="shared" si="46"/>
        <v>242</v>
      </c>
      <c r="B247" s="24">
        <v>45090</v>
      </c>
      <c r="C247" s="31" cm="1">
        <f t="array" ref="C247" xml:space="preserve"> BonoM(100,C$2,C$1 - $B247,Portafolio!C247)</f>
        <v>89.762641272897767</v>
      </c>
      <c r="D247" s="31" cm="1">
        <f t="array" ref="D247" xml:space="preserve"> BonoM(100,D$2,D$1 - $B247,Portafolio!D247)</f>
        <v>98.429540470756194</v>
      </c>
      <c r="E247" s="31" cm="1">
        <f t="array" ref="E247" xml:space="preserve"> BonoM(100,E$2,E$1 - $B247,Portafolio!E247)</f>
        <v>93.875537955217368</v>
      </c>
      <c r="F247" s="31" cm="1">
        <f t="array" ref="F247" xml:space="preserve"> BonoM(100,F$2,F$1 - $B247,Portafolio!F247)</f>
        <v>95.751040321796737</v>
      </c>
      <c r="G247" s="5">
        <f t="shared" si="47"/>
        <v>-7.2915180900579024E-5</v>
      </c>
      <c r="H247" s="5">
        <f t="shared" si="48"/>
        <v>-2.2244083534506132E-4</v>
      </c>
      <c r="I247" s="5">
        <f t="shared" si="49"/>
        <v>2.4041510135952571E-4</v>
      </c>
      <c r="J247" s="5">
        <f t="shared" si="50"/>
        <v>-5.9405801015166571E-4</v>
      </c>
      <c r="K247" s="10">
        <f t="shared" si="51"/>
        <v>89.547111575100871</v>
      </c>
      <c r="L247" s="10">
        <f t="shared" si="52"/>
        <v>98.188043616767786</v>
      </c>
      <c r="M247" s="10">
        <f t="shared" si="53"/>
        <v>92.838394492792958</v>
      </c>
      <c r="N247" s="10">
        <f t="shared" si="54"/>
        <v>93.325166137721268</v>
      </c>
      <c r="O247" s="11">
        <f t="shared" si="55"/>
        <v>21.548405876654897</v>
      </c>
      <c r="P247" s="11">
        <f t="shared" si="56"/>
        <v>32.76883479149717</v>
      </c>
      <c r="Q247" s="11">
        <f t="shared" si="57"/>
        <v>-44.628774612704092</v>
      </c>
      <c r="R247" s="11">
        <f t="shared" si="58"/>
        <v>55.473516979958504</v>
      </c>
      <c r="S247" s="27">
        <f t="shared" si="59"/>
        <v>65.161983035406479</v>
      </c>
    </row>
    <row r="248" spans="1:19" x14ac:dyDescent="0.25">
      <c r="A248" s="6">
        <f t="shared" si="46"/>
        <v>243</v>
      </c>
      <c r="B248" s="24">
        <v>45089</v>
      </c>
      <c r="C248" s="31" cm="1">
        <f t="array" ref="C248" xml:space="preserve"> BonoM(100,C$2,C$1 - $B248,Portafolio!C248)</f>
        <v>89.769186809393275</v>
      </c>
      <c r="D248" s="31" cm="1">
        <f t="array" ref="D248" xml:space="preserve"> BonoM(100,D$2,D$1 - $B248,Portafolio!D248)</f>
        <v>98.451440091331037</v>
      </c>
      <c r="E248" s="31" cm="1">
        <f t="array" ref="E248" xml:space="preserve"> BonoM(100,E$2,E$1 - $B248,Portafolio!E248)</f>
        <v>93.852974282892248</v>
      </c>
      <c r="F248" s="31" cm="1">
        <f t="array" ref="F248" xml:space="preserve"> BonoM(100,F$2,F$1 - $B248,Portafolio!F248)</f>
        <v>95.80795580537918</v>
      </c>
      <c r="G248" s="5">
        <f t="shared" si="47"/>
        <v>1.1511440896333047E-2</v>
      </c>
      <c r="H248" s="5">
        <f t="shared" si="48"/>
        <v>9.4566630288372977E-4</v>
      </c>
      <c r="I248" s="5">
        <f t="shared" si="49"/>
        <v>2.0126489778663936E-2</v>
      </c>
      <c r="J248" s="5">
        <f t="shared" si="50"/>
        <v>2.9459590231885935E-2</v>
      </c>
      <c r="K248" s="10">
        <f t="shared" si="51"/>
        <v>90.584532845034175</v>
      </c>
      <c r="L248" s="10">
        <f t="shared" si="52"/>
        <v>98.302763289745144</v>
      </c>
      <c r="M248" s="10">
        <f t="shared" si="53"/>
        <v>94.684141993025335</v>
      </c>
      <c r="N248" s="10">
        <f t="shared" si="54"/>
        <v>96.131595034520117</v>
      </c>
      <c r="O248" s="11">
        <f t="shared" si="55"/>
        <v>-3401.9417849032493</v>
      </c>
      <c r="P248" s="11">
        <f t="shared" si="56"/>
        <v>-139.31067467454028</v>
      </c>
      <c r="Q248" s="11">
        <f t="shared" si="57"/>
        <v>-3736.123775077459</v>
      </c>
      <c r="R248" s="11">
        <f t="shared" si="58"/>
        <v>-2750.9553798188904</v>
      </c>
      <c r="S248" s="27">
        <f t="shared" si="59"/>
        <v>-10028.331614474138</v>
      </c>
    </row>
    <row r="249" spans="1:19" x14ac:dyDescent="0.25">
      <c r="A249" s="6">
        <f t="shared" si="46"/>
        <v>244</v>
      </c>
      <c r="B249" s="24">
        <v>45087</v>
      </c>
      <c r="C249" s="31" cm="1">
        <f t="array" ref="C249" xml:space="preserve"> BonoM(100,C$2,C$1 - $B249,Portafolio!C249)</f>
        <v>88.747574352541079</v>
      </c>
      <c r="D249" s="31" cm="1">
        <f t="array" ref="D249" xml:space="preserve"> BonoM(100,D$2,D$1 - $B249,Portafolio!D249)</f>
        <v>98.358425842407186</v>
      </c>
      <c r="E249" s="31" cm="1">
        <f t="array" ref="E249" xml:space="preserve"> BonoM(100,E$2,E$1 - $B249,Portafolio!E249)</f>
        <v>92.001310840634531</v>
      </c>
      <c r="F249" s="31" cm="1">
        <f t="array" ref="F249" xml:space="preserve"> BonoM(100,F$2,F$1 - $B249,Portafolio!F249)</f>
        <v>93.066261866382177</v>
      </c>
      <c r="G249" s="5">
        <f t="shared" si="47"/>
        <v>-1.0316205580988558E-2</v>
      </c>
      <c r="H249" s="5">
        <f t="shared" si="48"/>
        <v>2.4094697747023552E-4</v>
      </c>
      <c r="I249" s="5">
        <f t="shared" si="49"/>
        <v>-1.7879314985040473E-2</v>
      </c>
      <c r="J249" s="5">
        <f t="shared" si="50"/>
        <v>-2.7902607600028606E-2</v>
      </c>
      <c r="K249" s="10">
        <f t="shared" si="51"/>
        <v>88.629787619905898</v>
      </c>
      <c r="L249" s="10">
        <f t="shared" si="52"/>
        <v>98.233552882663091</v>
      </c>
      <c r="M249" s="10">
        <f t="shared" si="53"/>
        <v>91.156592173603869</v>
      </c>
      <c r="N249" s="10">
        <f t="shared" si="54"/>
        <v>90.775076308976423</v>
      </c>
      <c r="O249" s="11">
        <f t="shared" si="55"/>
        <v>3048.7174580200672</v>
      </c>
      <c r="P249" s="11">
        <f t="shared" si="56"/>
        <v>-35.49506405146019</v>
      </c>
      <c r="Q249" s="11">
        <f t="shared" si="57"/>
        <v>3318.9758637654732</v>
      </c>
      <c r="R249" s="11">
        <f t="shared" si="58"/>
        <v>2605.5633457248036</v>
      </c>
      <c r="S249" s="27">
        <f t="shared" si="59"/>
        <v>8937.7616034588846</v>
      </c>
    </row>
    <row r="250" spans="1:19" x14ac:dyDescent="0.25">
      <c r="A250" s="6">
        <f t="shared" si="46"/>
        <v>245</v>
      </c>
      <c r="B250" s="24">
        <v>45086</v>
      </c>
      <c r="C250" s="31" cm="1">
        <f t="array" ref="C250" xml:space="preserve"> BonoM(100,C$2,C$1 - $B250,Portafolio!C250)</f>
        <v>89.672655905859173</v>
      </c>
      <c r="D250" s="31" cm="1">
        <f t="array" ref="D250" xml:space="preserve"> BonoM(100,D$2,D$1 - $B250,Portafolio!D250)</f>
        <v>98.334732385858473</v>
      </c>
      <c r="E250" s="31" cm="1">
        <f t="array" ref="E250" xml:space="preserve"> BonoM(100,E$2,E$1 - $B250,Portafolio!E250)</f>
        <v>93.676176710638345</v>
      </c>
      <c r="F250" s="31" cm="1">
        <f t="array" ref="F250" xml:space="preserve"> BonoM(100,F$2,F$1 - $B250,Portafolio!F250)</f>
        <v>95.737590280552752</v>
      </c>
      <c r="G250" s="5">
        <f t="shared" si="47"/>
        <v>-7.2323936358686947E-4</v>
      </c>
      <c r="H250" s="5">
        <f t="shared" si="48"/>
        <v>-2.0796894800373389E-3</v>
      </c>
      <c r="I250" s="5">
        <f t="shared" si="49"/>
        <v>-2.6685115896217804E-3</v>
      </c>
      <c r="J250" s="5">
        <f t="shared" si="50"/>
        <v>1.9273735131772884E-3</v>
      </c>
      <c r="K250" s="10">
        <f t="shared" si="51"/>
        <v>89.488872676454037</v>
      </c>
      <c r="L250" s="10">
        <f t="shared" si="52"/>
        <v>98.005643432586226</v>
      </c>
      <c r="M250" s="10">
        <f t="shared" si="53"/>
        <v>92.568399320021854</v>
      </c>
      <c r="N250" s="10">
        <f t="shared" si="54"/>
        <v>93.56061902621525</v>
      </c>
      <c r="O250" s="11">
        <f t="shared" si="55"/>
        <v>213.73677141120879</v>
      </c>
      <c r="P250" s="11">
        <f t="shared" si="56"/>
        <v>306.36911106383735</v>
      </c>
      <c r="Q250" s="11">
        <f t="shared" si="57"/>
        <v>495.36157092950361</v>
      </c>
      <c r="R250" s="11">
        <f t="shared" si="58"/>
        <v>-179.97937151402255</v>
      </c>
      <c r="S250" s="27">
        <f t="shared" si="59"/>
        <v>835.48808189052727</v>
      </c>
    </row>
    <row r="251" spans="1:19" x14ac:dyDescent="0.25">
      <c r="A251" s="6">
        <f t="shared" si="46"/>
        <v>246</v>
      </c>
      <c r="B251" s="24">
        <v>45085</v>
      </c>
      <c r="C251" s="31" cm="1">
        <f t="array" ref="C251" xml:space="preserve"> BonoM(100,C$2,C$1 - $B251,Portafolio!C251)</f>
        <v>89.737557639936526</v>
      </c>
      <c r="D251" s="31" cm="1">
        <f t="array" ref="D251" xml:space="preserve"> BonoM(100,D$2,D$1 - $B251,Portafolio!D251)</f>
        <v>98.539664289046812</v>
      </c>
      <c r="E251" s="31" cm="1">
        <f t="array" ref="E251" xml:space="preserve"> BonoM(100,E$2,E$1 - $B251,Portafolio!E251)</f>
        <v>93.926821522447327</v>
      </c>
      <c r="F251" s="31" cm="1">
        <f t="array" ref="F251" xml:space="preserve"> BonoM(100,F$2,F$1 - $B251,Portafolio!F251)</f>
        <v>95.553423143692186</v>
      </c>
      <c r="G251" s="5">
        <f t="shared" si="47"/>
        <v>3.8313914181564712E-3</v>
      </c>
      <c r="H251" s="5">
        <f t="shared" si="48"/>
        <v>-3.8564773310933997E-2</v>
      </c>
      <c r="I251" s="5">
        <f t="shared" si="49"/>
        <v>-3.6585034416968476E-2</v>
      </c>
      <c r="J251" s="5">
        <f t="shared" si="50"/>
        <v>-3.8178137018584191E-2</v>
      </c>
      <c r="K251" s="10">
        <f t="shared" si="51"/>
        <v>89.896756448169199</v>
      </c>
      <c r="L251" s="10">
        <f t="shared" si="52"/>
        <v>94.422447380913766</v>
      </c>
      <c r="M251" s="10">
        <f t="shared" si="53"/>
        <v>89.420400620379269</v>
      </c>
      <c r="N251" s="10">
        <f t="shared" si="54"/>
        <v>89.815540799081006</v>
      </c>
      <c r="O251" s="11">
        <f t="shared" si="55"/>
        <v>-1132.2796752488287</v>
      </c>
      <c r="P251" s="11">
        <f t="shared" si="56"/>
        <v>5681.1631885725265</v>
      </c>
      <c r="Q251" s="11">
        <f t="shared" si="57"/>
        <v>6791.3589702146737</v>
      </c>
      <c r="R251" s="11">
        <f t="shared" si="58"/>
        <v>3565.098855620221</v>
      </c>
      <c r="S251" s="27">
        <f t="shared" si="59"/>
        <v>14905.341339158593</v>
      </c>
    </row>
    <row r="252" spans="1:19" x14ac:dyDescent="0.25">
      <c r="A252" s="6">
        <f t="shared" si="46"/>
        <v>247</v>
      </c>
      <c r="B252" s="24">
        <v>45084</v>
      </c>
      <c r="C252" s="31" cm="1">
        <f t="array" ref="C252" xml:space="preserve"> BonoM(100,C$2,C$1 - $B252,Portafolio!C252)</f>
        <v>89.395050211729639</v>
      </c>
      <c r="D252" s="31" cm="1">
        <f t="array" ref="D252" xml:space="preserve"> BonoM(100,D$2,D$1 - $B252,Portafolio!D252)</f>
        <v>102.49225486400358</v>
      </c>
      <c r="E252" s="31" cm="1">
        <f t="array" ref="E252" xml:space="preserve"> BonoM(100,E$2,E$1 - $B252,Portafolio!E252)</f>
        <v>97.493629306044113</v>
      </c>
      <c r="F252" s="31" cm="1">
        <f t="array" ref="F252" xml:space="preserve"> BonoM(100,F$2,F$1 - $B252,Portafolio!F252)</f>
        <v>99.346278995467642</v>
      </c>
      <c r="G252" s="5">
        <f t="shared" si="47"/>
        <v>-7.2214337472154E-4</v>
      </c>
      <c r="H252" s="5">
        <f t="shared" si="48"/>
        <v>-2.0394118095456992E-4</v>
      </c>
      <c r="I252" s="5">
        <f t="shared" si="49"/>
        <v>-3.6704470637871633E-3</v>
      </c>
      <c r="J252" s="5">
        <f t="shared" si="50"/>
        <v>-3.7618434191968309E-3</v>
      </c>
      <c r="K252" s="10">
        <f t="shared" si="51"/>
        <v>89.488970826247865</v>
      </c>
      <c r="L252" s="10">
        <f t="shared" si="52"/>
        <v>98.189860465781379</v>
      </c>
      <c r="M252" s="10">
        <f t="shared" si="53"/>
        <v>92.475403596791182</v>
      </c>
      <c r="N252" s="10">
        <f t="shared" si="54"/>
        <v>93.029356309935793</v>
      </c>
      <c r="O252" s="11">
        <f t="shared" si="55"/>
        <v>213.41287709157513</v>
      </c>
      <c r="P252" s="11">
        <f t="shared" si="56"/>
        <v>30.043561271106967</v>
      </c>
      <c r="Q252" s="11">
        <f t="shared" si="57"/>
        <v>681.35301739084753</v>
      </c>
      <c r="R252" s="11">
        <f t="shared" si="58"/>
        <v>351.28334476543444</v>
      </c>
      <c r="S252" s="27">
        <f t="shared" si="59"/>
        <v>1276.0928005189639</v>
      </c>
    </row>
    <row r="253" spans="1:19" x14ac:dyDescent="0.25">
      <c r="A253" s="6">
        <f t="shared" si="46"/>
        <v>248</v>
      </c>
      <c r="B253" s="24">
        <v>45083</v>
      </c>
      <c r="C253" s="31" cm="1">
        <f t="array" ref="C253" xml:space="preserve"> BonoM(100,C$2,C$1 - $B253,Portafolio!C253)</f>
        <v>89.459652907381596</v>
      </c>
      <c r="D253" s="31" cm="1">
        <f t="array" ref="D253" xml:space="preserve"> BonoM(100,D$2,D$1 - $B253,Portafolio!D253)</f>
        <v>102.5131615192272</v>
      </c>
      <c r="E253" s="31" cm="1">
        <f t="array" ref="E253" xml:space="preserve"> BonoM(100,E$2,E$1 - $B253,Portafolio!E253)</f>
        <v>97.852792802067839</v>
      </c>
      <c r="F253" s="31" cm="1">
        <f t="array" ref="F253" xml:space="preserve"> BonoM(100,F$2,F$1 - $B253,Portafolio!F253)</f>
        <v>99.721415345538247</v>
      </c>
      <c r="G253" s="5">
        <f t="shared" si="47"/>
        <v>2.5324374361030966E-3</v>
      </c>
      <c r="H253" s="5">
        <f t="shared" si="48"/>
        <v>2.4121289632983434E-4</v>
      </c>
      <c r="I253" s="5">
        <f t="shared" si="49"/>
        <v>2.4831512001510792E-3</v>
      </c>
      <c r="J253" s="5">
        <f t="shared" si="50"/>
        <v>-5.5860815364228156E-4</v>
      </c>
      <c r="K253" s="10">
        <f t="shared" si="51"/>
        <v>89.780430389071711</v>
      </c>
      <c r="L253" s="10">
        <f t="shared" si="52"/>
        <v>98.233578998524905</v>
      </c>
      <c r="M253" s="10">
        <f t="shared" si="53"/>
        <v>93.046556466193863</v>
      </c>
      <c r="N253" s="10">
        <f t="shared" si="54"/>
        <v>93.328476467997774</v>
      </c>
      <c r="O253" s="11">
        <f t="shared" si="55"/>
        <v>-748.4036802271163</v>
      </c>
      <c r="P253" s="11">
        <f t="shared" si="56"/>
        <v>-35.53423784418186</v>
      </c>
      <c r="Q253" s="11">
        <f t="shared" si="57"/>
        <v>-460.9527214145146</v>
      </c>
      <c r="R253" s="11">
        <f t="shared" si="58"/>
        <v>52.16318670345288</v>
      </c>
      <c r="S253" s="27">
        <f t="shared" si="59"/>
        <v>-1192.7274527823597</v>
      </c>
    </row>
    <row r="254" spans="1:19" x14ac:dyDescent="0.25">
      <c r="A254" s="6">
        <f t="shared" si="46"/>
        <v>249</v>
      </c>
      <c r="B254" s="24">
        <v>45082</v>
      </c>
      <c r="C254" s="31" cm="1">
        <f t="array" ref="C254" xml:space="preserve"> BonoM(100,C$2,C$1 - $B254,Portafolio!C254)</f>
        <v>89.233674210250527</v>
      </c>
      <c r="D254" s="31" cm="1">
        <f t="array" ref="D254" xml:space="preserve"> BonoM(100,D$2,D$1 - $B254,Portafolio!D254)</f>
        <v>102.4884399857779</v>
      </c>
      <c r="E254" s="31" cm="1">
        <f t="array" ref="E254" xml:space="preserve"> BonoM(100,E$2,E$1 - $B254,Portafolio!E254)</f>
        <v>97.610411391872873</v>
      </c>
      <c r="F254" s="31" cm="1">
        <f t="array" ref="F254" xml:space="preserve"> BonoM(100,F$2,F$1 - $B254,Portafolio!F254)</f>
        <v>99.77715167601167</v>
      </c>
      <c r="G254" s="5">
        <f t="shared" si="47"/>
        <v>1.1867265760880485E-2</v>
      </c>
      <c r="H254" s="5">
        <f t="shared" si="48"/>
        <v>1.5787411002398555E-2</v>
      </c>
      <c r="I254" s="5">
        <f t="shared" si="49"/>
        <v>1.9272836147975259E-2</v>
      </c>
      <c r="J254" s="5">
        <f t="shared" si="50"/>
        <v>2.102737207426042E-3</v>
      </c>
      <c r="K254" s="10">
        <f t="shared" si="51"/>
        <v>90.616398257353296</v>
      </c>
      <c r="L254" s="10">
        <f t="shared" si="52"/>
        <v>99.760369396770088</v>
      </c>
      <c r="M254" s="10">
        <f t="shared" si="53"/>
        <v>94.604909209257002</v>
      </c>
      <c r="N254" s="10">
        <f t="shared" si="54"/>
        <v>93.576994600156411</v>
      </c>
      <c r="O254" s="11">
        <f t="shared" si="55"/>
        <v>-3507.0976455563482</v>
      </c>
      <c r="P254" s="11">
        <f t="shared" si="56"/>
        <v>-2325.7198352119558</v>
      </c>
      <c r="Q254" s="11">
        <f t="shared" si="57"/>
        <v>-3577.6582075407932</v>
      </c>
      <c r="R254" s="11">
        <f t="shared" si="58"/>
        <v>-196.35494545518384</v>
      </c>
      <c r="S254" s="27">
        <f t="shared" si="59"/>
        <v>-9606.8306337642807</v>
      </c>
    </row>
    <row r="255" spans="1:19" x14ac:dyDescent="0.25">
      <c r="A255" s="6">
        <f t="shared" si="46"/>
        <v>250</v>
      </c>
      <c r="B255" s="24">
        <v>45080</v>
      </c>
      <c r="C255" s="31" cm="1">
        <f t="array" ref="C255" xml:space="preserve"> BonoM(100,C$2,C$1 - $B255,Portafolio!C255)</f>
        <v>88.187134053744359</v>
      </c>
      <c r="D255" s="31" cm="1">
        <f t="array" ref="D255" xml:space="preserve"> BonoM(100,D$2,D$1 - $B255,Portafolio!D255)</f>
        <v>100.89556030689565</v>
      </c>
      <c r="E255" s="31" cm="1">
        <f t="array" ref="E255" xml:space="preserve"> BonoM(100,E$2,E$1 - $B255,Portafolio!E255)</f>
        <v>95.764752998579922</v>
      </c>
      <c r="F255" s="31" cm="1">
        <f t="array" ref="F255" xml:space="preserve"> BonoM(100,F$2,F$1 - $B255,Portafolio!F255)</f>
        <v>99.56778678607553</v>
      </c>
      <c r="G255" s="5">
        <f t="shared" si="47"/>
        <v>-1.0329892169232635E-2</v>
      </c>
      <c r="H255" s="5">
        <f t="shared" si="48"/>
        <v>-1.3509210919253278E-2</v>
      </c>
      <c r="I255" s="5">
        <f t="shared" si="49"/>
        <v>-1.7099071695986456E-2</v>
      </c>
      <c r="J255" s="5">
        <f t="shared" si="50"/>
        <v>2.4599724900165043E-4</v>
      </c>
      <c r="K255" s="10">
        <f t="shared" si="51"/>
        <v>88.628561936090364</v>
      </c>
      <c r="L255" s="10">
        <f t="shared" si="52"/>
        <v>96.883151394927182</v>
      </c>
      <c r="M255" s="10">
        <f t="shared" si="53"/>
        <v>91.22901129722247</v>
      </c>
      <c r="N255" s="10">
        <f t="shared" si="54"/>
        <v>93.403611035166293</v>
      </c>
      <c r="O255" s="11">
        <f t="shared" si="55"/>
        <v>3052.762214611329</v>
      </c>
      <c r="P255" s="11">
        <f t="shared" si="56"/>
        <v>1990.1071675524022</v>
      </c>
      <c r="Q255" s="11">
        <f t="shared" si="57"/>
        <v>3174.13761652827</v>
      </c>
      <c r="R255" s="11">
        <f t="shared" si="58"/>
        <v>-22.971380465065749</v>
      </c>
      <c r="S255" s="27">
        <f t="shared" si="59"/>
        <v>8194.035618226937</v>
      </c>
    </row>
    <row r="256" spans="1:19" x14ac:dyDescent="0.25">
      <c r="A256" s="6">
        <f>+A257-1</f>
        <v>251</v>
      </c>
      <c r="B256" s="24">
        <v>45079</v>
      </c>
      <c r="C256" s="31" cm="1">
        <f t="array" ref="C256" xml:space="preserve"> BonoM(100,C$2,C$1 - $B256,Portafolio!C256)</f>
        <v>89.107606015341304</v>
      </c>
      <c r="D256" s="31" cm="1">
        <f t="array" ref="D256" xml:space="preserve"> BonoM(100,D$2,D$1 - $B256,Portafolio!D256)</f>
        <v>102.27724518433095</v>
      </c>
      <c r="E256" s="31" cm="1">
        <f t="array" ref="E256" xml:space="preserve"> BonoM(100,E$2,E$1 - $B256,Portafolio!E256)</f>
        <v>97.430728002079633</v>
      </c>
      <c r="F256" s="31" cm="1">
        <f t="array" ref="F256" xml:space="preserve"> BonoM(100,F$2,F$1 - $B256,Portafolio!F256)</f>
        <v>99.543299408264559</v>
      </c>
      <c r="G256" s="5">
        <f t="shared" si="47"/>
        <v>-2.6790632868405329E-3</v>
      </c>
      <c r="H256" s="5">
        <f t="shared" si="48"/>
        <v>-3.7726371064382702E-3</v>
      </c>
      <c r="I256" s="5">
        <f t="shared" si="49"/>
        <v>-3.6806944026924748E-3</v>
      </c>
      <c r="J256" s="5">
        <f t="shared" si="50"/>
        <v>-2.9723909201848642E-3</v>
      </c>
      <c r="K256" s="10">
        <f t="shared" si="51"/>
        <v>89.313721522199103</v>
      </c>
      <c r="L256" s="10">
        <f t="shared" si="52"/>
        <v>97.839379233256878</v>
      </c>
      <c r="M256" s="10">
        <f t="shared" si="53"/>
        <v>92.47445247896249</v>
      </c>
      <c r="N256" s="10">
        <f t="shared" si="54"/>
        <v>93.103075889270542</v>
      </c>
      <c r="O256" s="11">
        <f t="shared" si="55"/>
        <v>791.73558045249024</v>
      </c>
      <c r="P256" s="11">
        <f t="shared" si="56"/>
        <v>555.76541005785884</v>
      </c>
      <c r="Q256" s="11">
        <f t="shared" si="57"/>
        <v>683.25525304823032</v>
      </c>
      <c r="R256" s="11">
        <f t="shared" si="58"/>
        <v>277.56376543068484</v>
      </c>
      <c r="S256" s="27">
        <f t="shared" si="59"/>
        <v>2308.3200089892644</v>
      </c>
    </row>
    <row r="257" spans="1:19" x14ac:dyDescent="0.25">
      <c r="A257" s="6">
        <v>252</v>
      </c>
      <c r="B257" s="24">
        <v>45078</v>
      </c>
      <c r="C257" s="31" cm="1">
        <f t="array" ref="C257" xml:space="preserve"> BonoM(100,C$2,C$1 - $B257,Portafolio!C257)</f>
        <v>89.346972208375121</v>
      </c>
      <c r="D257" s="31" cm="1">
        <f t="array" ref="D257" xml:space="preserve"> BonoM(100,D$2,D$1 - $B257,Portafolio!D257)</f>
        <v>102.66456131787497</v>
      </c>
      <c r="E257" s="31" cm="1">
        <f t="array" ref="E257" xml:space="preserve"> BonoM(100,E$2,E$1 - $B257,Portafolio!E257)</f>
        <v>97.790665557432447</v>
      </c>
      <c r="F257" s="31" cm="1">
        <f t="array" ref="F257" xml:space="preserve"> BonoM(100,F$2,F$1 - $B257,Portafolio!F257)</f>
        <v>99.840063105309468</v>
      </c>
      <c r="G257" s="5"/>
      <c r="H257" s="5"/>
      <c r="I257" s="5"/>
      <c r="J257" s="5"/>
      <c r="K257" s="10"/>
      <c r="L257" s="10"/>
      <c r="M257" s="10"/>
      <c r="N257" s="10"/>
      <c r="O257" s="11"/>
      <c r="P257" s="11"/>
      <c r="Q257" s="11"/>
      <c r="R257" s="11"/>
      <c r="S257" s="27"/>
    </row>
    <row r="258" spans="1:19" x14ac:dyDescent="0.25">
      <c r="O258" s="11"/>
      <c r="P258" s="11"/>
      <c r="Q258" s="11"/>
      <c r="R258" s="11"/>
      <c r="S258" s="27"/>
    </row>
    <row r="259" spans="1:19" x14ac:dyDescent="0.25">
      <c r="E259" s="133" t="s">
        <v>65</v>
      </c>
      <c r="F259" s="134"/>
      <c r="G259" s="113">
        <f>AVERAGE(G5:G256)</f>
        <v>3.3689840031007606E-5</v>
      </c>
      <c r="H259" s="113">
        <f t="shared" ref="H259:J259" si="60">AVERAGE(H5:H256)</f>
        <v>-1.2782944884906809E-4</v>
      </c>
      <c r="I259" s="113">
        <f t="shared" si="60"/>
        <v>-1.2584189436663101E-4</v>
      </c>
      <c r="J259" s="113">
        <f t="shared" si="60"/>
        <v>-1.0642648240420903E-4</v>
      </c>
      <c r="K259" s="28"/>
      <c r="L259" s="28"/>
      <c r="M259" s="28"/>
      <c r="N259" s="28"/>
    </row>
    <row r="264" spans="1:19" x14ac:dyDescent="0.25">
      <c r="E264" s="135" t="s">
        <v>66</v>
      </c>
      <c r="F264" s="135"/>
      <c r="G264" s="114">
        <f>+AVERAGEIF(G5:G256,"&gt;"&amp;0, G5:G256)</f>
        <v>4.759394957249548E-3</v>
      </c>
      <c r="H264" s="114">
        <f t="shared" ref="H264:J264" si="61">+AVERAGEIF(H5:H256,"&gt;"&amp;0, H5:H256)</f>
        <v>6.6679209999926155E-3</v>
      </c>
      <c r="I264" s="114">
        <f t="shared" si="61"/>
        <v>8.8791128365666751E-3</v>
      </c>
      <c r="J264" s="114">
        <f t="shared" si="61"/>
        <v>1.2569706732275312E-2</v>
      </c>
    </row>
    <row r="265" spans="1:19" x14ac:dyDescent="0.25">
      <c r="E265" s="135" t="s">
        <v>67</v>
      </c>
      <c r="F265" s="135"/>
      <c r="G265" s="114">
        <f>+AVERAGEIF(G5:G256, "&lt;"&amp;0, G5:G256)</f>
        <v>-5.1645857889093868E-3</v>
      </c>
      <c r="H265" s="114">
        <f t="shared" ref="H265:J265" si="62">+AVERAGEIF(H5:H256, "&lt;"&amp;0, H5:H256)</f>
        <v>-7.4852121661900641E-3</v>
      </c>
      <c r="I265" s="114">
        <f t="shared" si="62"/>
        <v>-1.003129209839327E-2</v>
      </c>
      <c r="J265" s="114">
        <f t="shared" si="62"/>
        <v>-1.3400907658775418E-2</v>
      </c>
    </row>
  </sheetData>
  <mergeCells count="8">
    <mergeCell ref="K3:N3"/>
    <mergeCell ref="O3:R3"/>
    <mergeCell ref="T5:X5"/>
    <mergeCell ref="E259:F259"/>
    <mergeCell ref="E264:F264"/>
    <mergeCell ref="E265:F265"/>
    <mergeCell ref="C3:F3"/>
    <mergeCell ref="G3:J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B23EF-8B4F-48F6-B5E0-FD516D4F62F2}">
  <sheetPr codeName="Hoja6">
    <tabColor theme="4"/>
  </sheetPr>
  <dimension ref="B1:J24"/>
  <sheetViews>
    <sheetView workbookViewId="0">
      <selection activeCell="K24" sqref="K24"/>
    </sheetView>
  </sheetViews>
  <sheetFormatPr baseColWidth="10" defaultRowHeight="15" x14ac:dyDescent="0.25"/>
  <cols>
    <col min="5" max="6" width="15.28515625" bestFit="1" customWidth="1"/>
  </cols>
  <sheetData>
    <row r="1" spans="2:10" ht="15.75" thickBot="1" x14ac:dyDescent="0.3">
      <c r="I1" s="133" t="s">
        <v>51</v>
      </c>
      <c r="J1" s="134"/>
    </row>
    <row r="2" spans="2:10" x14ac:dyDescent="0.25">
      <c r="B2" s="96" t="s">
        <v>46</v>
      </c>
      <c r="C2" s="96" t="s">
        <v>48</v>
      </c>
      <c r="D2" s="96" t="s">
        <v>49</v>
      </c>
    </row>
    <row r="3" spans="2:10" x14ac:dyDescent="0.25">
      <c r="B3">
        <v>-22495.356522611506</v>
      </c>
      <c r="C3">
        <v>1</v>
      </c>
      <c r="D3" s="93">
        <v>3.968253968253968E-3</v>
      </c>
    </row>
    <row r="4" spans="2:10" x14ac:dyDescent="0.25">
      <c r="B4">
        <v>-19878.893735046862</v>
      </c>
      <c r="C4">
        <v>0</v>
      </c>
      <c r="D4" s="93">
        <v>3.968253968253968E-3</v>
      </c>
    </row>
    <row r="5" spans="2:10" x14ac:dyDescent="0.25">
      <c r="B5">
        <v>-17262.430947482222</v>
      </c>
      <c r="C5">
        <v>1</v>
      </c>
      <c r="D5" s="93">
        <v>7.9365079365079361E-3</v>
      </c>
    </row>
    <row r="6" spans="2:10" x14ac:dyDescent="0.25">
      <c r="B6">
        <v>-14645.96815991758</v>
      </c>
      <c r="C6">
        <v>1</v>
      </c>
      <c r="D6" s="93">
        <v>1.1904761904761904E-2</v>
      </c>
    </row>
    <row r="7" spans="2:10" x14ac:dyDescent="0.25">
      <c r="B7">
        <v>-12029.505372352938</v>
      </c>
      <c r="C7">
        <v>8</v>
      </c>
      <c r="D7" s="93">
        <v>4.3650793650793648E-2</v>
      </c>
    </row>
    <row r="8" spans="2:10" x14ac:dyDescent="0.25">
      <c r="B8">
        <v>-9413.0425847882962</v>
      </c>
      <c r="C8">
        <v>21</v>
      </c>
      <c r="D8" s="93">
        <v>0.12698412698412698</v>
      </c>
    </row>
    <row r="9" spans="2:10" x14ac:dyDescent="0.25">
      <c r="B9">
        <v>-6796.5797972236542</v>
      </c>
      <c r="C9">
        <v>13</v>
      </c>
      <c r="D9" s="93">
        <v>0.17857142857142858</v>
      </c>
    </row>
    <row r="10" spans="2:10" x14ac:dyDescent="0.25">
      <c r="B10">
        <v>-4180.1170096590104</v>
      </c>
      <c r="C10">
        <v>11</v>
      </c>
      <c r="D10" s="93">
        <v>0.22222222222222221</v>
      </c>
    </row>
    <row r="11" spans="2:10" x14ac:dyDescent="0.25">
      <c r="B11">
        <v>-1563.6542220943702</v>
      </c>
      <c r="C11">
        <v>31</v>
      </c>
      <c r="D11" s="93">
        <v>0.34523809523809523</v>
      </c>
    </row>
    <row r="12" spans="2:10" x14ac:dyDescent="0.25">
      <c r="B12">
        <v>1052.80856547027</v>
      </c>
      <c r="C12">
        <v>66</v>
      </c>
      <c r="D12" s="93">
        <v>0.6071428571428571</v>
      </c>
    </row>
    <row r="13" spans="2:10" x14ac:dyDescent="0.25">
      <c r="B13">
        <v>3669.2713530349138</v>
      </c>
      <c r="C13">
        <v>44</v>
      </c>
      <c r="D13" s="93">
        <v>0.78174603174603174</v>
      </c>
    </row>
    <row r="14" spans="2:10" x14ac:dyDescent="0.25">
      <c r="B14">
        <v>6285.7341405995576</v>
      </c>
      <c r="C14">
        <v>5</v>
      </c>
      <c r="D14" s="93">
        <v>0.80158730158730163</v>
      </c>
    </row>
    <row r="15" spans="2:10" x14ac:dyDescent="0.25">
      <c r="B15">
        <v>8902.1969281641977</v>
      </c>
      <c r="C15">
        <v>6</v>
      </c>
      <c r="D15" s="93">
        <v>0.82539682539682535</v>
      </c>
    </row>
    <row r="16" spans="2:10" x14ac:dyDescent="0.25">
      <c r="B16">
        <v>11518.659715728838</v>
      </c>
      <c r="C16">
        <v>30</v>
      </c>
      <c r="D16" s="93">
        <v>0.94444444444444442</v>
      </c>
    </row>
    <row r="17" spans="2:7" x14ac:dyDescent="0.25">
      <c r="B17">
        <v>14135.122503293485</v>
      </c>
      <c r="C17">
        <v>12</v>
      </c>
      <c r="D17" s="93">
        <v>0.99206349206349209</v>
      </c>
    </row>
    <row r="18" spans="2:7" ht="15.75" thickBot="1" x14ac:dyDescent="0.3">
      <c r="B18" s="94" t="s">
        <v>47</v>
      </c>
      <c r="C18" s="94">
        <v>2</v>
      </c>
      <c r="D18" s="95">
        <v>1</v>
      </c>
    </row>
    <row r="22" spans="2:7" x14ac:dyDescent="0.25">
      <c r="F22" s="98" t="s">
        <v>52</v>
      </c>
    </row>
    <row r="23" spans="2:7" x14ac:dyDescent="0.25">
      <c r="F23" s="99">
        <v>-18832.988753641621</v>
      </c>
      <c r="G23" s="97" t="s">
        <v>50</v>
      </c>
    </row>
    <row r="24" spans="2:7" x14ac:dyDescent="0.25">
      <c r="G24" s="99">
        <v>-14894.895550827054</v>
      </c>
    </row>
  </sheetData>
  <mergeCells count="1">
    <mergeCell ref="I1:J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0B02B-E1A9-47D0-BB50-8F9420F033F7}">
  <sheetPr codeName="Hoja2">
    <tabColor rgb="FF92D050"/>
  </sheetPr>
  <dimension ref="A1:R5017"/>
  <sheetViews>
    <sheetView zoomScale="85" zoomScaleNormal="85" workbookViewId="0">
      <selection activeCell="J12" sqref="J12"/>
    </sheetView>
  </sheetViews>
  <sheetFormatPr baseColWidth="10" defaultRowHeight="15" x14ac:dyDescent="0.25"/>
  <cols>
    <col min="1" max="1" width="22.28515625" bestFit="1" customWidth="1"/>
    <col min="2" max="4" width="15.5703125" style="100" customWidth="1"/>
    <col min="5" max="5" width="14.140625" style="100" customWidth="1"/>
    <col min="6" max="13" width="13.28515625" style="100" bestFit="1" customWidth="1"/>
    <col min="14" max="17" width="11.42578125" style="100"/>
    <col min="18" max="18" width="13.7109375" style="100" customWidth="1"/>
  </cols>
  <sheetData>
    <row r="1" spans="1:18" x14ac:dyDescent="0.25">
      <c r="F1"/>
      <c r="G1"/>
      <c r="H1"/>
      <c r="I1"/>
      <c r="J1"/>
      <c r="K1"/>
      <c r="L1"/>
      <c r="M1"/>
      <c r="N1"/>
      <c r="O1"/>
      <c r="P1"/>
      <c r="Q1"/>
      <c r="R1"/>
    </row>
    <row r="2" spans="1:18" ht="23.25" x14ac:dyDescent="0.25">
      <c r="A2" s="140" t="s">
        <v>53</v>
      </c>
      <c r="B2" s="141"/>
      <c r="C2" s="141"/>
      <c r="D2" s="141"/>
      <c r="E2" s="142"/>
      <c r="H2"/>
      <c r="I2"/>
      <c r="J2"/>
      <c r="K2"/>
      <c r="L2"/>
      <c r="M2"/>
      <c r="N2"/>
      <c r="O2"/>
      <c r="P2"/>
      <c r="Q2"/>
      <c r="R2"/>
    </row>
    <row r="3" spans="1:18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1:18" x14ac:dyDescent="0.25">
      <c r="A4" s="101"/>
      <c r="B4" s="101" t="s">
        <v>25</v>
      </c>
      <c r="C4" s="101" t="s">
        <v>26</v>
      </c>
      <c r="D4" s="101" t="s">
        <v>21</v>
      </c>
      <c r="E4" s="101" t="s">
        <v>27</v>
      </c>
      <c r="F4"/>
      <c r="G4"/>
      <c r="H4"/>
      <c r="I4"/>
      <c r="N4"/>
      <c r="O4"/>
      <c r="P4"/>
      <c r="Q4"/>
      <c r="R4"/>
    </row>
    <row r="5" spans="1:18" ht="30" x14ac:dyDescent="0.25">
      <c r="A5" s="112" t="s">
        <v>64</v>
      </c>
      <c r="B5" s="115">
        <f xml:space="preserve"> 'VaR Histórico'!C5</f>
        <v>89.553641395063494</v>
      </c>
      <c r="C5" s="115">
        <f xml:space="preserve"> 'VaR Histórico'!D5</f>
        <v>98.209889506628784</v>
      </c>
      <c r="D5" s="115">
        <f xml:space="preserve"> 'VaR Histórico'!E5</f>
        <v>92.816080105486606</v>
      </c>
      <c r="E5" s="115">
        <f xml:space="preserve"> 'VaR Histórico'!F5</f>
        <v>93.380639654701227</v>
      </c>
      <c r="F5"/>
      <c r="G5"/>
      <c r="M5"/>
      <c r="N5"/>
      <c r="O5"/>
      <c r="P5"/>
      <c r="Q5"/>
      <c r="R5"/>
    </row>
    <row r="6" spans="1:18" x14ac:dyDescent="0.25">
      <c r="A6" s="102" t="s">
        <v>1</v>
      </c>
      <c r="B6" s="103">
        <f xml:space="preserve"> 'VaR Histórico'!O2</f>
        <v>3300</v>
      </c>
      <c r="C6" s="103">
        <f xml:space="preserve"> 'VaR Histórico'!P2</f>
        <v>1500</v>
      </c>
      <c r="D6" s="103">
        <f xml:space="preserve"> 'VaR Histórico'!Q2</f>
        <v>2000</v>
      </c>
      <c r="E6" s="103">
        <f xml:space="preserve"> 'VaR Histórico'!R2</f>
        <v>1000</v>
      </c>
      <c r="F6"/>
      <c r="G6"/>
      <c r="H6"/>
      <c r="I6"/>
      <c r="J6"/>
      <c r="K6"/>
      <c r="L6"/>
      <c r="M6"/>
      <c r="N6"/>
      <c r="O6"/>
      <c r="P6"/>
      <c r="Q6"/>
      <c r="R6"/>
    </row>
    <row r="7" spans="1:18" x14ac:dyDescent="0.25">
      <c r="A7" s="102" t="s">
        <v>54</v>
      </c>
      <c r="B7" s="104">
        <f xml:space="preserve"> 'VaR Histórico'!G259</f>
        <v>3.3689840031007606E-5</v>
      </c>
      <c r="C7" s="104">
        <f xml:space="preserve"> 'VaR Histórico'!H259</f>
        <v>-1.2782944884906809E-4</v>
      </c>
      <c r="D7" s="104">
        <f xml:space="preserve"> 'VaR Histórico'!I259</f>
        <v>-1.2584189436663101E-4</v>
      </c>
      <c r="E7" s="104">
        <f xml:space="preserve"> 'VaR Histórico'!J259</f>
        <v>-1.0642648240420903E-4</v>
      </c>
      <c r="F7"/>
      <c r="G7"/>
      <c r="H7"/>
      <c r="I7"/>
      <c r="J7"/>
      <c r="N7"/>
      <c r="O7"/>
      <c r="P7"/>
      <c r="Q7"/>
      <c r="R7"/>
    </row>
    <row r="8" spans="1:18" x14ac:dyDescent="0.25">
      <c r="A8" s="102" t="s">
        <v>55</v>
      </c>
      <c r="B8" s="105">
        <f xml:space="preserve"> 'VaR Paramétrico'!K9</f>
        <v>9.057945335856063E-2</v>
      </c>
      <c r="C8" s="105">
        <f xml:space="preserve"> 'VaR Paramétrico'!K10</f>
        <v>0.14198003396830197</v>
      </c>
      <c r="D8" s="105">
        <f xml:space="preserve"> 'VaR Paramétrico'!K11</f>
        <v>0.18249892104591781</v>
      </c>
      <c r="E8" s="105">
        <f xml:space="preserve"> 'VaR Paramétrico'!K12</f>
        <v>0.27232832974517551</v>
      </c>
      <c r="F8"/>
      <c r="G8"/>
      <c r="H8"/>
      <c r="I8"/>
      <c r="J8"/>
      <c r="N8"/>
      <c r="O8"/>
      <c r="P8"/>
      <c r="Q8"/>
      <c r="R8"/>
    </row>
    <row r="9" spans="1:18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18" x14ac:dyDescent="0.25">
      <c r="B10"/>
      <c r="C10"/>
      <c r="D10"/>
      <c r="E10" s="143" t="s">
        <v>56</v>
      </c>
      <c r="F10" s="144"/>
      <c r="G10" s="106">
        <f xml:space="preserve"> SUMPRODUCT(B6:E6,B5:E5)</f>
        <v>721854.65072932711</v>
      </c>
      <c r="H10"/>
      <c r="M10"/>
      <c r="N10"/>
      <c r="O10"/>
    </row>
    <row r="11" spans="1:18" x14ac:dyDescent="0.25">
      <c r="A11" s="3" t="s">
        <v>57</v>
      </c>
      <c r="B11" s="116">
        <v>5000</v>
      </c>
      <c r="C11"/>
      <c r="D11"/>
      <c r="E11"/>
      <c r="F11"/>
      <c r="G11"/>
      <c r="H11"/>
      <c r="J11" s="111"/>
      <c r="M11"/>
      <c r="N11"/>
      <c r="O11"/>
    </row>
    <row r="12" spans="1:18" ht="18" x14ac:dyDescent="0.25">
      <c r="B12"/>
      <c r="C12"/>
      <c r="D12"/>
      <c r="E12"/>
      <c r="F12" s="2" t="s">
        <v>58</v>
      </c>
      <c r="G12" s="107">
        <f xml:space="preserve"> PERCENTILE(J18:J5017, 0.01)</f>
        <v>-7894.5893264837368</v>
      </c>
      <c r="H12" s="34">
        <f xml:space="preserve"> G12 / G10</f>
        <v>-1.0936535933525433E-2</v>
      </c>
      <c r="M12"/>
      <c r="N12"/>
      <c r="O12"/>
      <c r="P12"/>
      <c r="Q12"/>
      <c r="R12"/>
    </row>
    <row r="13" spans="1:18" ht="18" x14ac:dyDescent="0.25">
      <c r="D13"/>
      <c r="E13"/>
      <c r="F13" s="2" t="s">
        <v>59</v>
      </c>
      <c r="G13" s="108">
        <f xml:space="preserve"> AVERAGEIF(J18:J5017, "&lt;" &amp; G12, J18:J5017)</f>
        <v>-9103.5976157747482</v>
      </c>
      <c r="H13" s="109">
        <f xml:space="preserve"> G13 / G10</f>
        <v>-1.261139982484966E-2</v>
      </c>
      <c r="M13"/>
      <c r="N13"/>
      <c r="O13"/>
      <c r="P13"/>
      <c r="Q13"/>
      <c r="R13"/>
    </row>
    <row r="14" spans="1:18" ht="18.75" x14ac:dyDescent="0.25">
      <c r="B14" s="145" t="s">
        <v>60</v>
      </c>
      <c r="C14" s="146"/>
      <c r="D14" s="147"/>
      <c r="E14"/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1:18" x14ac:dyDescent="0.2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</row>
    <row r="16" spans="1:18" ht="15" customHeight="1" x14ac:dyDescent="0.25">
      <c r="B16" s="148" t="s">
        <v>61</v>
      </c>
      <c r="C16" s="149"/>
      <c r="D16" s="149"/>
      <c r="E16" s="149"/>
      <c r="F16" s="150" t="s">
        <v>62</v>
      </c>
      <c r="G16" s="150"/>
      <c r="H16" s="150"/>
      <c r="I16" s="150"/>
      <c r="J16"/>
      <c r="K16"/>
      <c r="L16"/>
      <c r="M16"/>
      <c r="N16"/>
      <c r="O16"/>
      <c r="P16"/>
      <c r="Q16"/>
      <c r="R16"/>
    </row>
    <row r="17" spans="1:18" x14ac:dyDescent="0.25">
      <c r="A17" s="101" t="s">
        <v>63</v>
      </c>
      <c r="B17" s="101" t="s">
        <v>25</v>
      </c>
      <c r="C17" s="101" t="s">
        <v>26</v>
      </c>
      <c r="D17" s="101" t="s">
        <v>21</v>
      </c>
      <c r="E17" s="101" t="s">
        <v>27</v>
      </c>
      <c r="F17" s="101" t="s">
        <v>25</v>
      </c>
      <c r="G17" s="101" t="s">
        <v>26</v>
      </c>
      <c r="H17" s="101" t="s">
        <v>21</v>
      </c>
      <c r="I17" s="101" t="s">
        <v>27</v>
      </c>
      <c r="J17" s="110" t="s">
        <v>34</v>
      </c>
      <c r="K17"/>
      <c r="L17"/>
      <c r="M17"/>
      <c r="N17"/>
      <c r="O17"/>
      <c r="P17"/>
      <c r="Q17"/>
      <c r="R17"/>
    </row>
    <row r="18" spans="1:18" x14ac:dyDescent="0.25">
      <c r="A18">
        <v>1</v>
      </c>
      <c r="B18" s="100">
        <v>89.49438332503199</v>
      </c>
      <c r="C18" s="100">
        <v>97.601639855156762</v>
      </c>
      <c r="D18" s="100">
        <v>92.340527581036042</v>
      </c>
      <c r="E18" s="100">
        <v>92.43038156458995</v>
      </c>
      <c r="F18" s="100">
        <v>195.55163110396308</v>
      </c>
      <c r="G18" s="100">
        <v>912.37447720803289</v>
      </c>
      <c r="H18" s="100">
        <v>951.10504890112679</v>
      </c>
      <c r="I18" s="100">
        <v>950.25809011127649</v>
      </c>
      <c r="J18" s="100">
        <v>3009.2892473243992</v>
      </c>
      <c r="K18"/>
      <c r="L18"/>
      <c r="M18"/>
      <c r="N18"/>
      <c r="O18"/>
      <c r="P18"/>
      <c r="Q18"/>
      <c r="R18"/>
    </row>
    <row r="19" spans="1:18" x14ac:dyDescent="0.25">
      <c r="A19">
        <v>2</v>
      </c>
      <c r="B19" s="100">
        <v>90.299147455383505</v>
      </c>
      <c r="C19" s="100">
        <v>98.269223892666631</v>
      </c>
      <c r="D19" s="100">
        <v>93.897264497067255</v>
      </c>
      <c r="E19" s="100">
        <v>93.410447666819195</v>
      </c>
      <c r="F19" s="100">
        <v>-2460.1699990560364</v>
      </c>
      <c r="G19" s="100">
        <v>-89.001579056770197</v>
      </c>
      <c r="H19" s="100">
        <v>-2162.3687831612983</v>
      </c>
      <c r="I19" s="100">
        <v>-29.808012117968019</v>
      </c>
      <c r="J19" s="100">
        <v>-4741.348373392073</v>
      </c>
      <c r="K19"/>
      <c r="L19"/>
      <c r="M19"/>
      <c r="N19"/>
      <c r="O19"/>
      <c r="P19"/>
      <c r="Q19"/>
      <c r="R19"/>
    </row>
    <row r="20" spans="1:18" x14ac:dyDescent="0.25">
      <c r="A20">
        <v>3</v>
      </c>
      <c r="B20" s="100">
        <v>88.93288545744764</v>
      </c>
      <c r="C20" s="100">
        <v>99.039647041460412</v>
      </c>
      <c r="D20" s="100">
        <v>92.022504152163322</v>
      </c>
      <c r="E20" s="100">
        <v>96.685562325208437</v>
      </c>
      <c r="F20" s="100">
        <v>2048.494594132319</v>
      </c>
      <c r="G20" s="100">
        <v>-1244.6363022474429</v>
      </c>
      <c r="H20" s="100">
        <v>1587.151906646568</v>
      </c>
      <c r="I20" s="100">
        <v>-3304.9226705072101</v>
      </c>
      <c r="J20" s="100">
        <v>-913.91247197576604</v>
      </c>
      <c r="K20"/>
      <c r="L20"/>
      <c r="M20"/>
      <c r="N20"/>
      <c r="O20"/>
      <c r="P20"/>
      <c r="Q20"/>
      <c r="R20"/>
    </row>
    <row r="21" spans="1:18" x14ac:dyDescent="0.25">
      <c r="A21">
        <v>4</v>
      </c>
      <c r="B21" s="100">
        <v>89.362361065880108</v>
      </c>
      <c r="C21" s="100">
        <v>98.382784311776931</v>
      </c>
      <c r="D21" s="100">
        <v>94.01841027613979</v>
      </c>
      <c r="E21" s="100">
        <v>94.365477483744897</v>
      </c>
      <c r="F21" s="100">
        <v>631.22508630517154</v>
      </c>
      <c r="G21" s="100">
        <v>-259.34220772222005</v>
      </c>
      <c r="H21" s="100">
        <v>-2404.6603413063676</v>
      </c>
      <c r="I21" s="100">
        <v>-984.8378290436699</v>
      </c>
      <c r="J21" s="100">
        <v>-3017.6152917670861</v>
      </c>
      <c r="K21"/>
      <c r="L21"/>
      <c r="M21"/>
      <c r="N21"/>
      <c r="O21"/>
      <c r="P21"/>
      <c r="Q21"/>
      <c r="R21"/>
    </row>
    <row r="22" spans="1:18" x14ac:dyDescent="0.25">
      <c r="A22">
        <v>5</v>
      </c>
      <c r="B22" s="100">
        <v>89.534625505811334</v>
      </c>
      <c r="C22" s="100">
        <v>98.084785937606796</v>
      </c>
      <c r="D22" s="100">
        <v>91.742300609204975</v>
      </c>
      <c r="E22" s="100">
        <v>92.423511366655958</v>
      </c>
      <c r="F22" s="100">
        <v>62.752434532126244</v>
      </c>
      <c r="G22" s="100">
        <v>187.65535353298191</v>
      </c>
      <c r="H22" s="100">
        <v>2147.5589925632621</v>
      </c>
      <c r="I22" s="100">
        <v>957.1282880452685</v>
      </c>
      <c r="J22" s="100">
        <v>3355.0950686736387</v>
      </c>
      <c r="K22"/>
      <c r="L22"/>
      <c r="M22"/>
      <c r="N22"/>
      <c r="O22"/>
      <c r="P22"/>
      <c r="Q22"/>
      <c r="R22"/>
    </row>
    <row r="23" spans="1:18" x14ac:dyDescent="0.25">
      <c r="A23">
        <v>6</v>
      </c>
      <c r="B23" s="100">
        <v>89.616341158310433</v>
      </c>
      <c r="C23" s="100">
        <v>98.242674212420653</v>
      </c>
      <c r="D23" s="100">
        <v>92.909034116255299</v>
      </c>
      <c r="E23" s="100">
        <v>92.071105046803282</v>
      </c>
      <c r="F23" s="100">
        <v>-206.90921871490104</v>
      </c>
      <c r="G23" s="100">
        <v>-49.17705868780331</v>
      </c>
      <c r="H23" s="100">
        <v>-185.9080215373865</v>
      </c>
      <c r="I23" s="100">
        <v>1309.5346078979446</v>
      </c>
      <c r="J23" s="100">
        <v>867.54030895785377</v>
      </c>
      <c r="K23"/>
      <c r="L23"/>
      <c r="M23"/>
      <c r="N23"/>
      <c r="O23"/>
      <c r="P23"/>
      <c r="Q23"/>
      <c r="R23"/>
    </row>
    <row r="24" spans="1:18" x14ac:dyDescent="0.25">
      <c r="A24">
        <v>7</v>
      </c>
      <c r="B24" s="100">
        <v>89.165666026212193</v>
      </c>
      <c r="C24" s="100">
        <v>97.24997718377486</v>
      </c>
      <c r="D24" s="100">
        <v>90.814970239605543</v>
      </c>
      <c r="E24" s="100">
        <v>93.840481548694015</v>
      </c>
      <c r="F24" s="100">
        <v>1280.3187172092919</v>
      </c>
      <c r="G24" s="100">
        <v>1439.8684842808862</v>
      </c>
      <c r="H24" s="100">
        <v>4002.2197317621249</v>
      </c>
      <c r="I24" s="100">
        <v>-459.84189399278819</v>
      </c>
      <c r="J24" s="100">
        <v>6262.5650392595153</v>
      </c>
      <c r="K24"/>
      <c r="L24"/>
      <c r="M24"/>
      <c r="N24"/>
      <c r="O24"/>
      <c r="P24"/>
      <c r="Q24"/>
      <c r="R24"/>
    </row>
    <row r="25" spans="1:18" x14ac:dyDescent="0.25">
      <c r="A25">
        <v>8</v>
      </c>
      <c r="B25" s="100">
        <v>89.878756906257308</v>
      </c>
      <c r="C25" s="100">
        <v>99.096205237027633</v>
      </c>
      <c r="D25" s="100">
        <v>95.141263429101684</v>
      </c>
      <c r="E25" s="100">
        <v>95.075538986596612</v>
      </c>
      <c r="F25" s="100">
        <v>-1072.8811869395884</v>
      </c>
      <c r="G25" s="100">
        <v>-1329.4735955982731</v>
      </c>
      <c r="H25" s="100">
        <v>-4650.3666472301575</v>
      </c>
      <c r="I25" s="100">
        <v>-1694.8993318953853</v>
      </c>
      <c r="J25" s="100">
        <v>-8747.6207616634038</v>
      </c>
      <c r="K25"/>
      <c r="L25"/>
      <c r="M25"/>
      <c r="N25"/>
      <c r="O25"/>
      <c r="P25"/>
      <c r="Q25"/>
      <c r="R25"/>
    </row>
    <row r="26" spans="1:18" x14ac:dyDescent="0.25">
      <c r="A26">
        <v>9</v>
      </c>
      <c r="B26" s="100">
        <v>90.023320882621718</v>
      </c>
      <c r="C26" s="100">
        <v>98.85073916403509</v>
      </c>
      <c r="D26" s="100">
        <v>94.635328560246123</v>
      </c>
      <c r="E26" s="100">
        <v>93.949948088011496</v>
      </c>
      <c r="F26" s="100">
        <v>-1549.9423089421398</v>
      </c>
      <c r="G26" s="100">
        <v>-961.27448610945976</v>
      </c>
      <c r="H26" s="100">
        <v>-3638.4969095190345</v>
      </c>
      <c r="I26" s="100">
        <v>-569.30843331026892</v>
      </c>
      <c r="J26" s="100">
        <v>-6719.0221378809028</v>
      </c>
      <c r="K26"/>
      <c r="L26"/>
      <c r="M26"/>
      <c r="N26"/>
      <c r="O26"/>
      <c r="P26"/>
      <c r="Q26"/>
      <c r="R26"/>
    </row>
    <row r="27" spans="1:18" x14ac:dyDescent="0.25">
      <c r="A27">
        <v>10</v>
      </c>
      <c r="B27" s="100">
        <v>89.517905724762187</v>
      </c>
      <c r="C27" s="100">
        <v>98.330391961184858</v>
      </c>
      <c r="D27" s="100">
        <v>93.480958822633724</v>
      </c>
      <c r="E27" s="100">
        <v>92.745882797942642</v>
      </c>
      <c r="F27" s="100">
        <v>117.92771199431229</v>
      </c>
      <c r="G27" s="100">
        <v>-180.753681834112</v>
      </c>
      <c r="H27" s="100">
        <v>-1329.7574342942369</v>
      </c>
      <c r="I27" s="100">
        <v>634.75685675858529</v>
      </c>
      <c r="J27" s="100">
        <v>-757.82654737545124</v>
      </c>
      <c r="K27"/>
      <c r="L27"/>
      <c r="M27"/>
      <c r="N27"/>
      <c r="O27"/>
      <c r="P27"/>
      <c r="Q27"/>
      <c r="R27"/>
    </row>
    <row r="28" spans="1:18" x14ac:dyDescent="0.25">
      <c r="A28">
        <v>11</v>
      </c>
      <c r="B28" s="100">
        <v>89.257692941372937</v>
      </c>
      <c r="C28" s="100">
        <v>99.276457937858652</v>
      </c>
      <c r="D28" s="100">
        <v>93.807144656800077</v>
      </c>
      <c r="E28" s="100">
        <v>95.740574454821456</v>
      </c>
      <c r="F28" s="100">
        <v>976.6298971788359</v>
      </c>
      <c r="G28" s="100">
        <v>-1599.8526468448019</v>
      </c>
      <c r="H28" s="100">
        <v>-1982.1291026269421</v>
      </c>
      <c r="I28" s="100">
        <v>-2359.9348001202288</v>
      </c>
      <c r="J28" s="100">
        <v>-4965.2866524131368</v>
      </c>
      <c r="K28"/>
      <c r="L28"/>
      <c r="M28"/>
      <c r="N28"/>
      <c r="O28"/>
      <c r="P28"/>
      <c r="Q28"/>
      <c r="R28"/>
    </row>
    <row r="29" spans="1:18" x14ac:dyDescent="0.25">
      <c r="A29">
        <v>12</v>
      </c>
      <c r="B29" s="100">
        <v>89.731021347132867</v>
      </c>
      <c r="C29" s="100">
        <v>99.375337758485301</v>
      </c>
      <c r="D29" s="100">
        <v>92.422166375082156</v>
      </c>
      <c r="E29" s="100">
        <v>95.829093074601914</v>
      </c>
      <c r="F29" s="100">
        <v>-585.3538418289304</v>
      </c>
      <c r="G29" s="100">
        <v>-1748.1723777847762</v>
      </c>
      <c r="H29" s="100">
        <v>787.82746080889865</v>
      </c>
      <c r="I29" s="100">
        <v>-2448.4534199006875</v>
      </c>
      <c r="J29" s="100">
        <v>-3994.1521787054953</v>
      </c>
      <c r="K29"/>
      <c r="L29"/>
      <c r="M29"/>
      <c r="N29"/>
      <c r="O29"/>
      <c r="P29"/>
      <c r="Q29"/>
      <c r="R29"/>
    </row>
    <row r="30" spans="1:18" x14ac:dyDescent="0.25">
      <c r="A30">
        <v>13</v>
      </c>
      <c r="B30" s="100">
        <v>89.060085548958355</v>
      </c>
      <c r="C30" s="100">
        <v>97.559075369141155</v>
      </c>
      <c r="D30" s="100">
        <v>93.292924280189339</v>
      </c>
      <c r="E30" s="100">
        <v>92.686589060894462</v>
      </c>
      <c r="F30" s="100">
        <v>1628.7342921469574</v>
      </c>
      <c r="G30" s="100">
        <v>976.22120623144326</v>
      </c>
      <c r="H30" s="100">
        <v>-953.68834940546776</v>
      </c>
      <c r="I30" s="100">
        <v>694.05059380676448</v>
      </c>
      <c r="J30" s="100">
        <v>2345.3177427796973</v>
      </c>
      <c r="O30"/>
      <c r="P30"/>
      <c r="Q30"/>
      <c r="R30"/>
    </row>
    <row r="31" spans="1:18" x14ac:dyDescent="0.25">
      <c r="A31">
        <v>14</v>
      </c>
      <c r="B31" s="100">
        <v>90.524116001377934</v>
      </c>
      <c r="C31" s="100">
        <v>97.964795334157827</v>
      </c>
      <c r="D31" s="100">
        <v>93.614386211712713</v>
      </c>
      <c r="E31" s="100">
        <v>91.785165109484737</v>
      </c>
      <c r="F31" s="100">
        <v>-3202.5662008376512</v>
      </c>
      <c r="G31" s="100">
        <v>367.64125870643483</v>
      </c>
      <c r="H31" s="100">
        <v>-1596.6122124522144</v>
      </c>
      <c r="I31" s="100">
        <v>1595.47454521649</v>
      </c>
      <c r="J31" s="100">
        <v>-2836.0626093669416</v>
      </c>
      <c r="O31"/>
      <c r="P31"/>
      <c r="Q31"/>
      <c r="R31"/>
    </row>
    <row r="32" spans="1:18" x14ac:dyDescent="0.25">
      <c r="A32">
        <v>15</v>
      </c>
      <c r="B32" s="100">
        <v>89.497915287166975</v>
      </c>
      <c r="C32" s="100">
        <v>97.121341217663769</v>
      </c>
      <c r="D32" s="100">
        <v>93.367897749051011</v>
      </c>
      <c r="E32" s="100">
        <v>93.512797050712678</v>
      </c>
      <c r="F32" s="100">
        <v>183.89615605851048</v>
      </c>
      <c r="G32" s="100">
        <v>1632.8224334475224</v>
      </c>
      <c r="H32" s="100">
        <v>-1103.6352871288102</v>
      </c>
      <c r="I32" s="100">
        <v>-132.1573960114506</v>
      </c>
      <c r="J32" s="100">
        <v>580.92590636577211</v>
      </c>
      <c r="O32"/>
      <c r="P32"/>
      <c r="Q32"/>
      <c r="R32"/>
    </row>
    <row r="33" spans="1:18" x14ac:dyDescent="0.25">
      <c r="A33">
        <v>16</v>
      </c>
      <c r="B33" s="100">
        <v>89.58203732998949</v>
      </c>
      <c r="C33" s="100">
        <v>97.592599129929724</v>
      </c>
      <c r="D33" s="100">
        <v>92.447261350915596</v>
      </c>
      <c r="E33" s="100">
        <v>96.093795583742931</v>
      </c>
      <c r="F33" s="100">
        <v>-93.706585255786479</v>
      </c>
      <c r="G33" s="100">
        <v>925.93556504859009</v>
      </c>
      <c r="H33" s="100">
        <v>737.63750914201864</v>
      </c>
      <c r="I33" s="100">
        <v>-2713.1559290417044</v>
      </c>
      <c r="J33" s="100">
        <v>-1143.2894401068822</v>
      </c>
      <c r="O33"/>
      <c r="P33"/>
      <c r="Q33"/>
      <c r="R33"/>
    </row>
    <row r="34" spans="1:18" x14ac:dyDescent="0.25">
      <c r="A34">
        <v>17</v>
      </c>
      <c r="B34" s="100">
        <v>89.602963056740947</v>
      </c>
      <c r="C34" s="100">
        <v>98.283910871393005</v>
      </c>
      <c r="D34" s="100">
        <v>94.494347494551832</v>
      </c>
      <c r="E34" s="100">
        <v>92.9674857642013</v>
      </c>
      <c r="F34" s="100">
        <v>-162.76148353559563</v>
      </c>
      <c r="G34" s="100">
        <v>-111.03204714633108</v>
      </c>
      <c r="H34" s="100">
        <v>-3356.5347781304527</v>
      </c>
      <c r="I34" s="100">
        <v>413.15389049992746</v>
      </c>
      <c r="J34" s="100">
        <v>-3217.174418312452</v>
      </c>
      <c r="O34"/>
      <c r="P34"/>
      <c r="Q34"/>
      <c r="R34"/>
    </row>
    <row r="35" spans="1:18" x14ac:dyDescent="0.25">
      <c r="A35">
        <v>18</v>
      </c>
      <c r="B35" s="100">
        <v>90.187570213056517</v>
      </c>
      <c r="C35" s="100">
        <v>98.989366458502147</v>
      </c>
      <c r="D35" s="100">
        <v>91.545494020592614</v>
      </c>
      <c r="E35" s="100">
        <v>92.983221931054217</v>
      </c>
      <c r="F35" s="100">
        <v>-2091.9650993769778</v>
      </c>
      <c r="G35" s="100">
        <v>-1169.2154278100447</v>
      </c>
      <c r="H35" s="100">
        <v>2541.1721697879839</v>
      </c>
      <c r="I35" s="100">
        <v>397.41772364700978</v>
      </c>
      <c r="J35" s="100">
        <v>-322.59063375202891</v>
      </c>
    </row>
    <row r="36" spans="1:18" x14ac:dyDescent="0.25">
      <c r="A36">
        <v>19</v>
      </c>
      <c r="B36" s="100">
        <v>89.315631908049838</v>
      </c>
      <c r="C36" s="100">
        <v>97.309859287552115</v>
      </c>
      <c r="D36" s="100">
        <v>92.540335432332</v>
      </c>
      <c r="E36" s="100">
        <v>94.930164408491891</v>
      </c>
      <c r="F36" s="100">
        <v>785.43130714506469</v>
      </c>
      <c r="G36" s="100">
        <v>1350.0453286150034</v>
      </c>
      <c r="H36" s="100">
        <v>551.48934630921076</v>
      </c>
      <c r="I36" s="100">
        <v>-1549.5247537906635</v>
      </c>
      <c r="J36" s="100">
        <v>1137.4412282786157</v>
      </c>
    </row>
    <row r="37" spans="1:18" x14ac:dyDescent="0.25">
      <c r="A37">
        <v>20</v>
      </c>
      <c r="B37" s="100">
        <v>90.091366627423227</v>
      </c>
      <c r="C37" s="100">
        <v>99.30927475018126</v>
      </c>
      <c r="D37" s="100">
        <v>91.503152020161963</v>
      </c>
      <c r="E37" s="100">
        <v>91.996679960332344</v>
      </c>
      <c r="F37" s="100">
        <v>-1774.4932667871196</v>
      </c>
      <c r="G37" s="100">
        <v>-1649.0778653287136</v>
      </c>
      <c r="H37" s="100">
        <v>2625.8561706492856</v>
      </c>
      <c r="I37" s="100">
        <v>1383.9596943688832</v>
      </c>
      <c r="J37" s="100">
        <v>586.2447329023355</v>
      </c>
    </row>
    <row r="38" spans="1:18" x14ac:dyDescent="0.25">
      <c r="A38">
        <v>21</v>
      </c>
      <c r="B38" s="100">
        <v>89.748863017016006</v>
      </c>
      <c r="C38" s="100">
        <v>97.225979287556584</v>
      </c>
      <c r="D38" s="100">
        <v>93.489323353571507</v>
      </c>
      <c r="E38" s="100">
        <v>92.52501025885266</v>
      </c>
      <c r="F38" s="100">
        <v>-644.23135244329183</v>
      </c>
      <c r="G38" s="100">
        <v>1475.8653286083004</v>
      </c>
      <c r="H38" s="100">
        <v>-1346.4864961698026</v>
      </c>
      <c r="I38" s="100">
        <v>855.62939584856679</v>
      </c>
      <c r="J38" s="100">
        <v>340.7768758437727</v>
      </c>
    </row>
    <row r="39" spans="1:18" x14ac:dyDescent="0.25">
      <c r="A39">
        <v>22</v>
      </c>
      <c r="B39" s="100">
        <v>89.949769419409122</v>
      </c>
      <c r="C39" s="100">
        <v>99.478140763143088</v>
      </c>
      <c r="D39" s="100">
        <v>92.583059709012929</v>
      </c>
      <c r="E39" s="100">
        <v>94.856626080580554</v>
      </c>
      <c r="F39" s="100">
        <v>-1307.2224803405745</v>
      </c>
      <c r="G39" s="100">
        <v>-1902.3768847714564</v>
      </c>
      <c r="H39" s="100">
        <v>466.04079294735357</v>
      </c>
      <c r="I39" s="100">
        <v>-1475.9864258793273</v>
      </c>
      <c r="J39" s="100">
        <v>-4219.5449980440044</v>
      </c>
    </row>
    <row r="40" spans="1:18" x14ac:dyDescent="0.25">
      <c r="A40">
        <v>23</v>
      </c>
      <c r="B40" s="100">
        <v>89.613142316500216</v>
      </c>
      <c r="C40" s="100">
        <v>97.518248288342789</v>
      </c>
      <c r="D40" s="100">
        <v>93.145581894905078</v>
      </c>
      <c r="E40" s="100">
        <v>92.367302368144749</v>
      </c>
      <c r="F40" s="100">
        <v>-196.3530407411838</v>
      </c>
      <c r="G40" s="100">
        <v>1037.4618274289915</v>
      </c>
      <c r="H40" s="100">
        <v>-659.00357883694483</v>
      </c>
      <c r="I40" s="100">
        <v>1013.337286556478</v>
      </c>
      <c r="J40" s="100">
        <v>1195.4424944073407</v>
      </c>
    </row>
    <row r="41" spans="1:18" x14ac:dyDescent="0.25">
      <c r="A41">
        <v>24</v>
      </c>
      <c r="B41" s="100">
        <v>88.400470845281404</v>
      </c>
      <c r="C41" s="100">
        <v>96.31057767413229</v>
      </c>
      <c r="D41" s="100">
        <v>93.994858683978848</v>
      </c>
      <c r="E41" s="100">
        <v>92.948527914849933</v>
      </c>
      <c r="F41" s="100">
        <v>3805.4628142808951</v>
      </c>
      <c r="G41" s="100">
        <v>2848.9677487447407</v>
      </c>
      <c r="H41" s="100">
        <v>-2357.5571569844842</v>
      </c>
      <c r="I41" s="100">
        <v>432.11173985129392</v>
      </c>
      <c r="J41" s="100">
        <v>4728.9851458924459</v>
      </c>
    </row>
    <row r="42" spans="1:18" x14ac:dyDescent="0.25">
      <c r="A42">
        <v>25</v>
      </c>
      <c r="B42" s="100">
        <v>90.379281890767999</v>
      </c>
      <c r="C42" s="100">
        <v>97.36053197516479</v>
      </c>
      <c r="D42" s="100">
        <v>91.87097883934824</v>
      </c>
      <c r="E42" s="100">
        <v>95.307573997121949</v>
      </c>
      <c r="F42" s="100">
        <v>-2724.6136358248664</v>
      </c>
      <c r="G42" s="100">
        <v>1274.0362971959912</v>
      </c>
      <c r="H42" s="100">
        <v>1890.2025322767315</v>
      </c>
      <c r="I42" s="100">
        <v>-1926.9343424207223</v>
      </c>
      <c r="J42" s="100">
        <v>-1487.3091487728659</v>
      </c>
    </row>
    <row r="43" spans="1:18" x14ac:dyDescent="0.25">
      <c r="A43">
        <v>26</v>
      </c>
      <c r="B43" s="100">
        <v>89.672634759488432</v>
      </c>
      <c r="C43" s="100">
        <v>96.772114037472022</v>
      </c>
      <c r="D43" s="100">
        <v>92.805389245441873</v>
      </c>
      <c r="E43" s="100">
        <v>93.256268788373561</v>
      </c>
      <c r="F43" s="100">
        <v>-392.6781026022951</v>
      </c>
      <c r="G43" s="100">
        <v>2156.6632037351424</v>
      </c>
      <c r="H43" s="100">
        <v>21.381720089465261</v>
      </c>
      <c r="I43" s="100">
        <v>124.37086632766636</v>
      </c>
      <c r="J43" s="100">
        <v>1909.737687549979</v>
      </c>
    </row>
    <row r="44" spans="1:18" x14ac:dyDescent="0.25">
      <c r="A44">
        <v>27</v>
      </c>
      <c r="B44" s="100">
        <v>89.268616453641798</v>
      </c>
      <c r="C44" s="100">
        <v>99.040761707830612</v>
      </c>
      <c r="D44" s="100">
        <v>91.852350360766522</v>
      </c>
      <c r="E44" s="100">
        <v>92.524113425517498</v>
      </c>
      <c r="F44" s="100">
        <v>940.58230669159707</v>
      </c>
      <c r="G44" s="100">
        <v>-1246.3083018027419</v>
      </c>
      <c r="H44" s="100">
        <v>1927.4594894401673</v>
      </c>
      <c r="I44" s="100">
        <v>856.52622918372856</v>
      </c>
      <c r="J44" s="100">
        <v>2478.259723512751</v>
      </c>
    </row>
    <row r="45" spans="1:18" x14ac:dyDescent="0.25">
      <c r="A45">
        <v>28</v>
      </c>
      <c r="B45" s="100">
        <v>90.6251870627394</v>
      </c>
      <c r="C45" s="100">
        <v>97.940089254587107</v>
      </c>
      <c r="D45" s="100">
        <v>91.963375782879993</v>
      </c>
      <c r="E45" s="100">
        <v>93.550369487333867</v>
      </c>
      <c r="F45" s="100">
        <v>-3536.10070333049</v>
      </c>
      <c r="G45" s="100">
        <v>404.70037806251469</v>
      </c>
      <c r="H45" s="100">
        <v>1705.4086452132253</v>
      </c>
      <c r="I45" s="100">
        <v>-169.72983263264041</v>
      </c>
      <c r="J45" s="100">
        <v>-1595.7215126873905</v>
      </c>
    </row>
    <row r="46" spans="1:18" x14ac:dyDescent="0.25">
      <c r="A46">
        <v>29</v>
      </c>
      <c r="B46" s="100">
        <v>89.754299171959289</v>
      </c>
      <c r="C46" s="100">
        <v>100.07236743458486</v>
      </c>
      <c r="D46" s="100">
        <v>92.171852382844875</v>
      </c>
      <c r="E46" s="100">
        <v>94.657746875591442</v>
      </c>
      <c r="F46" s="100">
        <v>-662.17066375612467</v>
      </c>
      <c r="G46" s="100">
        <v>-2793.7168919341175</v>
      </c>
      <c r="H46" s="100">
        <v>1288.4554452834607</v>
      </c>
      <c r="I46" s="100">
        <v>-1277.1072208902156</v>
      </c>
      <c r="J46" s="100">
        <v>-3444.5393312969968</v>
      </c>
    </row>
    <row r="47" spans="1:18" x14ac:dyDescent="0.25">
      <c r="A47">
        <v>30</v>
      </c>
      <c r="B47" s="100">
        <v>90.548413515077996</v>
      </c>
      <c r="C47" s="100">
        <v>98.387875368796983</v>
      </c>
      <c r="D47" s="100">
        <v>93.60454987638964</v>
      </c>
      <c r="E47" s="100">
        <v>92.781096869542239</v>
      </c>
      <c r="F47" s="100">
        <v>-3282.7479960478586</v>
      </c>
      <c r="G47" s="100">
        <v>-266.97879325229934</v>
      </c>
      <c r="H47" s="100">
        <v>-1576.9395418060697</v>
      </c>
      <c r="I47" s="100">
        <v>599.54278515898807</v>
      </c>
      <c r="J47" s="100">
        <v>-4527.1235459472391</v>
      </c>
    </row>
    <row r="48" spans="1:18" x14ac:dyDescent="0.25">
      <c r="A48">
        <v>31</v>
      </c>
      <c r="B48" s="100">
        <v>88.82091263599213</v>
      </c>
      <c r="C48" s="100">
        <v>97.328440406300658</v>
      </c>
      <c r="D48" s="100">
        <v>94.499544355162854</v>
      </c>
      <c r="E48" s="100">
        <v>93.496089133687818</v>
      </c>
      <c r="F48" s="100">
        <v>2418.0049049355007</v>
      </c>
      <c r="G48" s="100">
        <v>1322.1736504921892</v>
      </c>
      <c r="H48" s="100">
        <v>-3366.9284993524971</v>
      </c>
      <c r="I48" s="100">
        <v>-115.44947898659075</v>
      </c>
      <c r="J48" s="100">
        <v>257.80057708860204</v>
      </c>
    </row>
    <row r="49" spans="1:10" x14ac:dyDescent="0.25">
      <c r="A49">
        <v>32</v>
      </c>
      <c r="B49" s="100">
        <v>89.254796142985199</v>
      </c>
      <c r="C49" s="100">
        <v>99.050182019827119</v>
      </c>
      <c r="D49" s="100">
        <v>90.717120003496362</v>
      </c>
      <c r="E49" s="100">
        <v>94.718989840587071</v>
      </c>
      <c r="F49" s="100">
        <v>986.18933185837113</v>
      </c>
      <c r="G49" s="100">
        <v>-1260.4387697975028</v>
      </c>
      <c r="H49" s="100">
        <v>4197.9202039804877</v>
      </c>
      <c r="I49" s="100">
        <v>-1338.3501858858438</v>
      </c>
      <c r="J49" s="100">
        <v>2585.3205801555123</v>
      </c>
    </row>
    <row r="50" spans="1:10" x14ac:dyDescent="0.25">
      <c r="A50">
        <v>33</v>
      </c>
      <c r="B50" s="100">
        <v>89.632602447424375</v>
      </c>
      <c r="C50" s="100">
        <v>98.229892536284964</v>
      </c>
      <c r="D50" s="100">
        <v>92.039884105672783</v>
      </c>
      <c r="E50" s="100">
        <v>92.329797701221395</v>
      </c>
      <c r="F50" s="100">
        <v>-260.57147279090884</v>
      </c>
      <c r="G50" s="100">
        <v>-30.004544484270923</v>
      </c>
      <c r="H50" s="100">
        <v>1552.3919996276447</v>
      </c>
      <c r="I50" s="100">
        <v>1050.8419534798322</v>
      </c>
      <c r="J50" s="100">
        <v>2312.657935832297</v>
      </c>
    </row>
    <row r="51" spans="1:10" x14ac:dyDescent="0.25">
      <c r="A51">
        <v>34</v>
      </c>
      <c r="B51" s="100">
        <v>89.697274248612288</v>
      </c>
      <c r="C51" s="100">
        <v>98.7796501173557</v>
      </c>
      <c r="D51" s="100">
        <v>93.852565430552929</v>
      </c>
      <c r="E51" s="100">
        <v>93.088062179495807</v>
      </c>
      <c r="F51" s="100">
        <v>-473.9884167110219</v>
      </c>
      <c r="G51" s="100">
        <v>-854.64091609037496</v>
      </c>
      <c r="H51" s="100">
        <v>-2072.9706501326464</v>
      </c>
      <c r="I51" s="100">
        <v>292.57747520541955</v>
      </c>
      <c r="J51" s="100">
        <v>-3109.0225077286241</v>
      </c>
    </row>
    <row r="52" spans="1:10" x14ac:dyDescent="0.25">
      <c r="A52">
        <v>35</v>
      </c>
      <c r="B52" s="100">
        <v>89.839857728991774</v>
      </c>
      <c r="C52" s="100">
        <v>98.376503008838938</v>
      </c>
      <c r="D52" s="100">
        <v>93.633022954873454</v>
      </c>
      <c r="E52" s="100">
        <v>96.200026397742448</v>
      </c>
      <c r="F52" s="100">
        <v>-944.51390196332454</v>
      </c>
      <c r="G52" s="100">
        <v>-249.92025331523138</v>
      </c>
      <c r="H52" s="100">
        <v>-1633.885698773696</v>
      </c>
      <c r="I52" s="100">
        <v>-2819.3867430412211</v>
      </c>
      <c r="J52" s="100">
        <v>-5647.7065970934727</v>
      </c>
    </row>
    <row r="53" spans="1:10" x14ac:dyDescent="0.25">
      <c r="A53">
        <v>36</v>
      </c>
      <c r="B53" s="100">
        <v>89.057713000911917</v>
      </c>
      <c r="C53" s="100">
        <v>98.354891715744145</v>
      </c>
      <c r="D53" s="100">
        <v>92.973461342720256</v>
      </c>
      <c r="E53" s="100">
        <v>92.922148561883319</v>
      </c>
      <c r="F53" s="100">
        <v>1636.5637007002022</v>
      </c>
      <c r="G53" s="100">
        <v>-217.50331367304199</v>
      </c>
      <c r="H53" s="100">
        <v>-314.76247446730099</v>
      </c>
      <c r="I53" s="100">
        <v>458.49109281790845</v>
      </c>
      <c r="J53" s="100">
        <v>1562.7890053777678</v>
      </c>
    </row>
    <row r="54" spans="1:10" x14ac:dyDescent="0.25">
      <c r="A54">
        <v>37</v>
      </c>
      <c r="B54" s="100">
        <v>90.021763510155807</v>
      </c>
      <c r="C54" s="100">
        <v>97.780543856819335</v>
      </c>
      <c r="D54" s="100">
        <v>94.062591617416984</v>
      </c>
      <c r="E54" s="100">
        <v>90.480965152336623</v>
      </c>
      <c r="F54" s="100">
        <v>-1544.802979804635</v>
      </c>
      <c r="G54" s="100">
        <v>644.01847471417284</v>
      </c>
      <c r="H54" s="100">
        <v>-2493.0230238607578</v>
      </c>
      <c r="I54" s="100">
        <v>2899.6745023646045</v>
      </c>
      <c r="J54" s="100">
        <v>-494.13302658661541</v>
      </c>
    </row>
    <row r="55" spans="1:10" x14ac:dyDescent="0.25">
      <c r="A55">
        <v>38</v>
      </c>
      <c r="B55" s="100">
        <v>89.134852181239793</v>
      </c>
      <c r="C55" s="100">
        <v>99.324622736824224</v>
      </c>
      <c r="D55" s="100">
        <v>92.585569414138334</v>
      </c>
      <c r="E55" s="100">
        <v>95.429642120536187</v>
      </c>
      <c r="F55" s="100">
        <v>1382.0044056182112</v>
      </c>
      <c r="G55" s="100">
        <v>-1672.099845293161</v>
      </c>
      <c r="H55" s="100">
        <v>461.02138269654347</v>
      </c>
      <c r="I55" s="100">
        <v>-2049.0024658349598</v>
      </c>
      <c r="J55" s="100">
        <v>-1878.0765228133662</v>
      </c>
    </row>
    <row r="56" spans="1:10" x14ac:dyDescent="0.25">
      <c r="A56">
        <v>39</v>
      </c>
      <c r="B56" s="100">
        <v>89.564660263691266</v>
      </c>
      <c r="C56" s="100">
        <v>97.185637399123138</v>
      </c>
      <c r="D56" s="100">
        <v>93.669897328613601</v>
      </c>
      <c r="E56" s="100">
        <v>92.023725698443627</v>
      </c>
      <c r="F56" s="100">
        <v>-36.362266471648752</v>
      </c>
      <c r="G56" s="100">
        <v>1536.3781612584689</v>
      </c>
      <c r="H56" s="100">
        <v>-1707.6344462539907</v>
      </c>
      <c r="I56" s="100">
        <v>1356.9139562575997</v>
      </c>
      <c r="J56" s="100">
        <v>1149.2954047904291</v>
      </c>
    </row>
    <row r="57" spans="1:10" x14ac:dyDescent="0.25">
      <c r="A57">
        <v>40</v>
      </c>
      <c r="B57" s="100">
        <v>89.268653084012527</v>
      </c>
      <c r="C57" s="100">
        <v>98.288074173645327</v>
      </c>
      <c r="D57" s="100">
        <v>94.706154719462575</v>
      </c>
      <c r="E57" s="100">
        <v>93.171350161978665</v>
      </c>
      <c r="F57" s="100">
        <v>940.46142646818964</v>
      </c>
      <c r="G57" s="100">
        <v>-117.27700052481538</v>
      </c>
      <c r="H57" s="100">
        <v>-3780.149227951938</v>
      </c>
      <c r="I57" s="100">
        <v>209.28949272256148</v>
      </c>
      <c r="J57" s="100">
        <v>-2747.6753092860022</v>
      </c>
    </row>
    <row r="58" spans="1:10" x14ac:dyDescent="0.25">
      <c r="A58">
        <v>41</v>
      </c>
      <c r="B58" s="100">
        <v>90.004389830749687</v>
      </c>
      <c r="C58" s="100">
        <v>97.856839022716755</v>
      </c>
      <c r="D58" s="100">
        <v>92.563510250360764</v>
      </c>
      <c r="E58" s="100">
        <v>92.596919256208679</v>
      </c>
      <c r="F58" s="100">
        <v>-1487.4698377644393</v>
      </c>
      <c r="G58" s="100">
        <v>529.57572586804247</v>
      </c>
      <c r="H58" s="100">
        <v>505.13971025168303</v>
      </c>
      <c r="I58" s="100">
        <v>783.72039849254804</v>
      </c>
      <c r="J58" s="100">
        <v>330.96599684783428</v>
      </c>
    </row>
    <row r="59" spans="1:10" x14ac:dyDescent="0.25">
      <c r="A59">
        <v>42</v>
      </c>
      <c r="B59" s="100">
        <v>88.903786440643231</v>
      </c>
      <c r="C59" s="100">
        <v>97.187011981152708</v>
      </c>
      <c r="D59" s="100">
        <v>95.13556036349199</v>
      </c>
      <c r="E59" s="100">
        <v>91.928535995357535</v>
      </c>
      <c r="F59" s="100">
        <v>2144.5213495868684</v>
      </c>
      <c r="G59" s="100">
        <v>1534.3162882141144</v>
      </c>
      <c r="H59" s="100">
        <v>-4638.9605160107694</v>
      </c>
      <c r="I59" s="100">
        <v>1452.1036593436918</v>
      </c>
      <c r="J59" s="100">
        <v>491.98078113390488</v>
      </c>
    </row>
    <row r="60" spans="1:10" x14ac:dyDescent="0.25">
      <c r="A60">
        <v>43</v>
      </c>
      <c r="B60" s="100">
        <v>89.335792166557042</v>
      </c>
      <c r="C60" s="100">
        <v>97.356771653975386</v>
      </c>
      <c r="D60" s="100">
        <v>92.011048254167065</v>
      </c>
      <c r="E60" s="100">
        <v>94.529926588336835</v>
      </c>
      <c r="F60" s="100">
        <v>718.90245407129214</v>
      </c>
      <c r="G60" s="100">
        <v>1279.6767789800967</v>
      </c>
      <c r="H60" s="100">
        <v>1610.0637026390814</v>
      </c>
      <c r="I60" s="100">
        <v>-1149.286933635608</v>
      </c>
      <c r="J60" s="100">
        <v>2459.3560020548621</v>
      </c>
    </row>
    <row r="61" spans="1:10" x14ac:dyDescent="0.25">
      <c r="A61">
        <v>44</v>
      </c>
      <c r="B61" s="100">
        <v>89.753928418396086</v>
      </c>
      <c r="C61" s="100">
        <v>98.240264380923705</v>
      </c>
      <c r="D61" s="100">
        <v>94.46834765719656</v>
      </c>
      <c r="E61" s="100">
        <v>93.111594254213713</v>
      </c>
      <c r="F61" s="100">
        <v>-660.94717699755415</v>
      </c>
      <c r="G61" s="100">
        <v>-45.562311442381542</v>
      </c>
      <c r="H61" s="100">
        <v>-3304.5351034199084</v>
      </c>
      <c r="I61" s="100">
        <v>269.04540048751358</v>
      </c>
      <c r="J61" s="100">
        <v>-3741.9991913723306</v>
      </c>
    </row>
    <row r="62" spans="1:10" x14ac:dyDescent="0.25">
      <c r="A62">
        <v>45</v>
      </c>
      <c r="B62" s="100">
        <v>89.680573569645105</v>
      </c>
      <c r="C62" s="100">
        <v>98.991145750147041</v>
      </c>
      <c r="D62" s="100">
        <v>93.489578698834691</v>
      </c>
      <c r="E62" s="100">
        <v>93.258749201426639</v>
      </c>
      <c r="F62" s="100">
        <v>-418.87617611931773</v>
      </c>
      <c r="G62" s="100">
        <v>-1171.8843652773855</v>
      </c>
      <c r="H62" s="100">
        <v>-1346.9971866961714</v>
      </c>
      <c r="I62" s="100">
        <v>121.89045327458814</v>
      </c>
      <c r="J62" s="100">
        <v>-2815.8672748182862</v>
      </c>
    </row>
    <row r="63" spans="1:10" x14ac:dyDescent="0.25">
      <c r="A63">
        <v>46</v>
      </c>
      <c r="B63" s="100">
        <v>89.829009818386538</v>
      </c>
      <c r="C63" s="100">
        <v>98.536926768524282</v>
      </c>
      <c r="D63" s="100">
        <v>92.660677386299454</v>
      </c>
      <c r="E63" s="100">
        <v>91.829990730101756</v>
      </c>
      <c r="F63" s="100">
        <v>-908.7157969660467</v>
      </c>
      <c r="G63" s="100">
        <v>-490.55589284324697</v>
      </c>
      <c r="H63" s="100">
        <v>310.80543837430241</v>
      </c>
      <c r="I63" s="100">
        <v>1550.6489245994715</v>
      </c>
      <c r="J63" s="100">
        <v>462.18267316448032</v>
      </c>
    </row>
    <row r="64" spans="1:10" x14ac:dyDescent="0.25">
      <c r="A64">
        <v>47</v>
      </c>
      <c r="B64" s="100">
        <v>88.70162262204974</v>
      </c>
      <c r="C64" s="100">
        <v>97.234385193037625</v>
      </c>
      <c r="D64" s="100">
        <v>92.565367013281872</v>
      </c>
      <c r="E64" s="100">
        <v>91.37520834954411</v>
      </c>
      <c r="F64" s="100">
        <v>2811.6619509453867</v>
      </c>
      <c r="G64" s="100">
        <v>1463.2564703867388</v>
      </c>
      <c r="H64" s="100">
        <v>501.42618440946762</v>
      </c>
      <c r="I64" s="100">
        <v>2005.4313051571171</v>
      </c>
      <c r="J64" s="100">
        <v>6781.7759108987102</v>
      </c>
    </row>
    <row r="65" spans="1:10" x14ac:dyDescent="0.25">
      <c r="A65">
        <v>48</v>
      </c>
      <c r="B65" s="100">
        <v>89.864492132137329</v>
      </c>
      <c r="C65" s="100">
        <v>97.620945356893245</v>
      </c>
      <c r="D65" s="100">
        <v>92.176667006075178</v>
      </c>
      <c r="E65" s="100">
        <v>94.877719066533686</v>
      </c>
      <c r="F65" s="100">
        <v>-1025.807432343656</v>
      </c>
      <c r="G65" s="100">
        <v>883.41622460330882</v>
      </c>
      <c r="H65" s="100">
        <v>1278.8261988228555</v>
      </c>
      <c r="I65" s="100">
        <v>-1497.0794118324591</v>
      </c>
      <c r="J65" s="100">
        <v>-360.64442074995077</v>
      </c>
    </row>
    <row r="66" spans="1:10" x14ac:dyDescent="0.25">
      <c r="A66">
        <v>49</v>
      </c>
      <c r="B66" s="100">
        <v>90.157983272763033</v>
      </c>
      <c r="C66" s="100">
        <v>100.29315228283396</v>
      </c>
      <c r="D66" s="100">
        <v>93.83082454609324</v>
      </c>
      <c r="E66" s="100">
        <v>94.968114481740727</v>
      </c>
      <c r="F66" s="100">
        <v>-1994.3281964084804</v>
      </c>
      <c r="G66" s="100">
        <v>-3124.8941643077615</v>
      </c>
      <c r="H66" s="100">
        <v>-2029.4888812132683</v>
      </c>
      <c r="I66" s="100">
        <v>-1587.4748270395003</v>
      </c>
      <c r="J66" s="100">
        <v>-8736.1860689690111</v>
      </c>
    </row>
    <row r="67" spans="1:10" x14ac:dyDescent="0.25">
      <c r="A67">
        <v>50</v>
      </c>
      <c r="B67" s="100">
        <v>89.689147862423695</v>
      </c>
      <c r="C67" s="100">
        <v>99.799086223719698</v>
      </c>
      <c r="D67" s="100">
        <v>91.988707908081707</v>
      </c>
      <c r="E67" s="100">
        <v>94.562696608627476</v>
      </c>
      <c r="F67" s="100">
        <v>-447.17134228866513</v>
      </c>
      <c r="G67" s="100">
        <v>-2383.7950756363712</v>
      </c>
      <c r="H67" s="100">
        <v>1654.7443948097964</v>
      </c>
      <c r="I67" s="100">
        <v>-1182.0569539262492</v>
      </c>
      <c r="J67" s="100">
        <v>-2358.2789770414893</v>
      </c>
    </row>
    <row r="68" spans="1:10" x14ac:dyDescent="0.25">
      <c r="A68">
        <v>51</v>
      </c>
      <c r="B68" s="100">
        <v>89.865478795655363</v>
      </c>
      <c r="C68" s="100">
        <v>98.046484627232743</v>
      </c>
      <c r="D68" s="100">
        <v>92.534105056249203</v>
      </c>
      <c r="E68" s="100">
        <v>94.174970304523868</v>
      </c>
      <c r="F68" s="100">
        <v>-1029.0634219531696</v>
      </c>
      <c r="G68" s="100">
        <v>245.10731909406047</v>
      </c>
      <c r="H68" s="100">
        <v>563.95009847480537</v>
      </c>
      <c r="I68" s="100">
        <v>-794.33064982264057</v>
      </c>
      <c r="J68" s="100">
        <v>-1014.3366542069443</v>
      </c>
    </row>
    <row r="69" spans="1:10" x14ac:dyDescent="0.25">
      <c r="A69">
        <v>52</v>
      </c>
      <c r="B69" s="100">
        <v>89.109871569035178</v>
      </c>
      <c r="C69" s="100">
        <v>97.841567439211502</v>
      </c>
      <c r="D69" s="100">
        <v>93.956886927978886</v>
      </c>
      <c r="E69" s="100">
        <v>93.08167717849382</v>
      </c>
      <c r="F69" s="100">
        <v>1464.4404258934414</v>
      </c>
      <c r="G69" s="100">
        <v>552.4831011259223</v>
      </c>
      <c r="H69" s="100">
        <v>-2281.6136449845599</v>
      </c>
      <c r="I69" s="100">
        <v>298.96247620740724</v>
      </c>
      <c r="J69" s="100">
        <v>34.272358242211112</v>
      </c>
    </row>
    <row r="70" spans="1:10" x14ac:dyDescent="0.25">
      <c r="A70">
        <v>53</v>
      </c>
      <c r="B70" s="100">
        <v>89.879714368655044</v>
      </c>
      <c r="C70" s="100">
        <v>97.918269442207546</v>
      </c>
      <c r="D70" s="100">
        <v>91.988699129526879</v>
      </c>
      <c r="E70" s="100">
        <v>90.823366246283825</v>
      </c>
      <c r="F70" s="100">
        <v>-1076.0408128521162</v>
      </c>
      <c r="G70" s="100">
        <v>437.43009663185717</v>
      </c>
      <c r="H70" s="100">
        <v>1654.7619519194541</v>
      </c>
      <c r="I70" s="100">
        <v>2557.2734084174017</v>
      </c>
      <c r="J70" s="100">
        <v>3573.4246441165969</v>
      </c>
    </row>
    <row r="71" spans="1:10" x14ac:dyDescent="0.25">
      <c r="A71">
        <v>54</v>
      </c>
      <c r="B71" s="100">
        <v>90.71920393433291</v>
      </c>
      <c r="C71" s="100">
        <v>97.151611315355169</v>
      </c>
      <c r="D71" s="100">
        <v>92.311233408561762</v>
      </c>
      <c r="E71" s="100">
        <v>93.092913332441313</v>
      </c>
      <c r="F71" s="100">
        <v>-3846.3563795890736</v>
      </c>
      <c r="G71" s="100">
        <v>1587.4172869104227</v>
      </c>
      <c r="H71" s="100">
        <v>1009.6933938496875</v>
      </c>
      <c r="I71" s="100">
        <v>287.72632225991401</v>
      </c>
      <c r="J71" s="100">
        <v>-961.51937656904943</v>
      </c>
    </row>
    <row r="72" spans="1:10" x14ac:dyDescent="0.25">
      <c r="A72">
        <v>55</v>
      </c>
      <c r="B72" s="100">
        <v>89.056801903293632</v>
      </c>
      <c r="C72" s="100">
        <v>97.108764848526278</v>
      </c>
      <c r="D72" s="100">
        <v>92.283921378140448</v>
      </c>
      <c r="E72" s="100">
        <v>95.913278631754622</v>
      </c>
      <c r="F72" s="100">
        <v>1639.5703228405437</v>
      </c>
      <c r="G72" s="100">
        <v>1651.6869871537594</v>
      </c>
      <c r="H72" s="100">
        <v>1064.3174546923149</v>
      </c>
      <c r="I72" s="100">
        <v>-2532.6389770533951</v>
      </c>
      <c r="J72" s="100">
        <v>1822.9357876332224</v>
      </c>
    </row>
    <row r="73" spans="1:10" x14ac:dyDescent="0.25">
      <c r="A73">
        <v>56</v>
      </c>
      <c r="B73" s="100">
        <v>89.730644450536133</v>
      </c>
      <c r="C73" s="100">
        <v>98.606064121028012</v>
      </c>
      <c r="D73" s="100">
        <v>92.384730217054198</v>
      </c>
      <c r="E73" s="100">
        <v>93.8327829891373</v>
      </c>
      <c r="F73" s="100">
        <v>-584.11008305970859</v>
      </c>
      <c r="G73" s="100">
        <v>-594.26192159884295</v>
      </c>
      <c r="H73" s="100">
        <v>862.69977686481525</v>
      </c>
      <c r="I73" s="100">
        <v>-452.14333443607302</v>
      </c>
      <c r="J73" s="100">
        <v>-767.8155622298093</v>
      </c>
    </row>
    <row r="74" spans="1:10" x14ac:dyDescent="0.25">
      <c r="A74">
        <v>57</v>
      </c>
      <c r="B74" s="100">
        <v>90.073828355558859</v>
      </c>
      <c r="C74" s="100">
        <v>97.663009070391681</v>
      </c>
      <c r="D74" s="100">
        <v>93.185522941361299</v>
      </c>
      <c r="E74" s="100">
        <v>91.709690449606214</v>
      </c>
      <c r="F74" s="100">
        <v>-1716.6169696347069</v>
      </c>
      <c r="G74" s="100">
        <v>820.32065435565471</v>
      </c>
      <c r="H74" s="100">
        <v>-738.88567174938657</v>
      </c>
      <c r="I74" s="100">
        <v>1670.9492050950132</v>
      </c>
      <c r="J74" s="100">
        <v>35.767218066574287</v>
      </c>
    </row>
    <row r="75" spans="1:10" x14ac:dyDescent="0.25">
      <c r="A75">
        <v>58</v>
      </c>
      <c r="B75" s="100">
        <v>89.741425626747244</v>
      </c>
      <c r="C75" s="100">
        <v>98.905153710084306</v>
      </c>
      <c r="D75" s="100">
        <v>94.076172028415414</v>
      </c>
      <c r="E75" s="100">
        <v>94.840965133528826</v>
      </c>
      <c r="F75" s="100">
        <v>-619.68796455637539</v>
      </c>
      <c r="G75" s="100">
        <v>-1042.8963051832839</v>
      </c>
      <c r="H75" s="100">
        <v>-2520.1838458576162</v>
      </c>
      <c r="I75" s="100">
        <v>-1460.325478827599</v>
      </c>
      <c r="J75" s="100">
        <v>-5643.093594424874</v>
      </c>
    </row>
    <row r="76" spans="1:10" x14ac:dyDescent="0.25">
      <c r="A76">
        <v>59</v>
      </c>
      <c r="B76" s="100">
        <v>90.323178325634487</v>
      </c>
      <c r="C76" s="100">
        <v>98.213113468760753</v>
      </c>
      <c r="D76" s="100">
        <v>92.136085823514719</v>
      </c>
      <c r="E76" s="100">
        <v>94.981617829015704</v>
      </c>
      <c r="F76" s="100">
        <v>-2539.4718708842775</v>
      </c>
      <c r="G76" s="100">
        <v>-4.8359431979534406</v>
      </c>
      <c r="H76" s="100">
        <v>1359.988563943773</v>
      </c>
      <c r="I76" s="100">
        <v>-1600.9781743144772</v>
      </c>
      <c r="J76" s="100">
        <v>-2785.297424452935</v>
      </c>
    </row>
    <row r="77" spans="1:10" x14ac:dyDescent="0.25">
      <c r="A77">
        <v>60</v>
      </c>
      <c r="B77" s="100">
        <v>89.923661084617805</v>
      </c>
      <c r="C77" s="100">
        <v>97.318910807235426</v>
      </c>
      <c r="D77" s="100">
        <v>91.179453975228711</v>
      </c>
      <c r="E77" s="100">
        <v>91.793376513599043</v>
      </c>
      <c r="F77" s="100">
        <v>-1221.0649755292279</v>
      </c>
      <c r="G77" s="100">
        <v>1336.4680490900369</v>
      </c>
      <c r="H77" s="100">
        <v>3273.2522605157897</v>
      </c>
      <c r="I77" s="100">
        <v>1587.2631411021844</v>
      </c>
      <c r="J77" s="100">
        <v>4975.9184751787834</v>
      </c>
    </row>
    <row r="78" spans="1:10" x14ac:dyDescent="0.25">
      <c r="A78">
        <v>61</v>
      </c>
      <c r="B78" s="100">
        <v>88.72958349944102</v>
      </c>
      <c r="C78" s="100">
        <v>98.069154331336748</v>
      </c>
      <c r="D78" s="100">
        <v>91.889099714459931</v>
      </c>
      <c r="E78" s="100">
        <v>92.224214442214588</v>
      </c>
      <c r="F78" s="100">
        <v>2719.3910555541634</v>
      </c>
      <c r="G78" s="100">
        <v>211.10276293805441</v>
      </c>
      <c r="H78" s="100">
        <v>1853.960782053349</v>
      </c>
      <c r="I78" s="100">
        <v>1156.4252124866384</v>
      </c>
      <c r="J78" s="100">
        <v>5940.8798130322048</v>
      </c>
    </row>
    <row r="79" spans="1:10" x14ac:dyDescent="0.25">
      <c r="A79">
        <v>62</v>
      </c>
      <c r="B79" s="100">
        <v>88.722512224852537</v>
      </c>
      <c r="C79" s="100">
        <v>96.802111670352247</v>
      </c>
      <c r="D79" s="100">
        <v>91.445453009573527</v>
      </c>
      <c r="E79" s="100">
        <v>94.309487007004961</v>
      </c>
      <c r="F79" s="100">
        <v>2742.7262616961584</v>
      </c>
      <c r="G79" s="100">
        <v>2111.6667544148058</v>
      </c>
      <c r="H79" s="100">
        <v>2741.2541918261581</v>
      </c>
      <c r="I79" s="100">
        <v>-928.84735230373394</v>
      </c>
      <c r="J79" s="100">
        <v>6666.7998556333878</v>
      </c>
    </row>
    <row r="80" spans="1:10" x14ac:dyDescent="0.25">
      <c r="A80">
        <v>63</v>
      </c>
      <c r="B80" s="100">
        <v>89.65511181132544</v>
      </c>
      <c r="C80" s="100">
        <v>97.095114636556616</v>
      </c>
      <c r="D80" s="100">
        <v>91.616837829160531</v>
      </c>
      <c r="E80" s="100">
        <v>92.552809850100019</v>
      </c>
      <c r="F80" s="100">
        <v>-334.85237366442391</v>
      </c>
      <c r="G80" s="100">
        <v>1672.1623051082518</v>
      </c>
      <c r="H80" s="100">
        <v>2398.4845526521494</v>
      </c>
      <c r="I80" s="100">
        <v>827.82980460120825</v>
      </c>
      <c r="J80" s="100">
        <v>4563.624288697185</v>
      </c>
    </row>
    <row r="81" spans="1:10" x14ac:dyDescent="0.25">
      <c r="A81">
        <v>64</v>
      </c>
      <c r="B81" s="100">
        <v>88.949988116992017</v>
      </c>
      <c r="C81" s="100">
        <v>98.015827247918409</v>
      </c>
      <c r="D81" s="100">
        <v>94.394264189009462</v>
      </c>
      <c r="E81" s="100">
        <v>96.28493865867938</v>
      </c>
      <c r="F81" s="100">
        <v>1992.0558176358725</v>
      </c>
      <c r="G81" s="100">
        <v>291.09338806556195</v>
      </c>
      <c r="H81" s="100">
        <v>-3156.3681670457127</v>
      </c>
      <c r="I81" s="100">
        <v>-2904.299003978153</v>
      </c>
      <c r="J81" s="100">
        <v>-3777.5179653224313</v>
      </c>
    </row>
    <row r="82" spans="1:10" x14ac:dyDescent="0.25">
      <c r="A82">
        <v>65</v>
      </c>
      <c r="B82" s="100">
        <v>89.64047697282237</v>
      </c>
      <c r="C82" s="100">
        <v>97.565662781845418</v>
      </c>
      <c r="D82" s="100">
        <v>94.470043173430327</v>
      </c>
      <c r="E82" s="100">
        <v>91.170846315566806</v>
      </c>
      <c r="F82" s="100">
        <v>-286.55740660429103</v>
      </c>
      <c r="G82" s="100">
        <v>966.34008717504821</v>
      </c>
      <c r="H82" s="100">
        <v>-3307.9261358874419</v>
      </c>
      <c r="I82" s="100">
        <v>2209.7933391344213</v>
      </c>
      <c r="J82" s="100">
        <v>-418.35011618226326</v>
      </c>
    </row>
    <row r="83" spans="1:10" x14ac:dyDescent="0.25">
      <c r="A83">
        <v>66</v>
      </c>
      <c r="B83" s="100">
        <v>89.584464610326251</v>
      </c>
      <c r="C83" s="100">
        <v>97.07234688174259</v>
      </c>
      <c r="D83" s="100">
        <v>92.796591229966609</v>
      </c>
      <c r="E83" s="100">
        <v>94.990605663989498</v>
      </c>
      <c r="F83" s="100">
        <v>-101.71661036709736</v>
      </c>
      <c r="G83" s="100">
        <v>1706.3139373292913</v>
      </c>
      <c r="H83" s="100">
        <v>38.977751039993791</v>
      </c>
      <c r="I83" s="100">
        <v>-1609.9660092882714</v>
      </c>
      <c r="J83" s="100">
        <v>33.609068713916486</v>
      </c>
    </row>
    <row r="84" spans="1:10" x14ac:dyDescent="0.25">
      <c r="A84">
        <v>67</v>
      </c>
      <c r="B84" s="100">
        <v>89.458091775598945</v>
      </c>
      <c r="C84" s="100">
        <v>97.905627609664663</v>
      </c>
      <c r="D84" s="100">
        <v>92.689188754004007</v>
      </c>
      <c r="E84" s="100">
        <v>91.899304947141076</v>
      </c>
      <c r="F84" s="100">
        <v>315.31374423301202</v>
      </c>
      <c r="G84" s="100">
        <v>456.39284544618164</v>
      </c>
      <c r="H84" s="100">
        <v>253.78270296519645</v>
      </c>
      <c r="I84" s="100">
        <v>1481.3347075601514</v>
      </c>
      <c r="J84" s="100">
        <v>2506.8240002045413</v>
      </c>
    </row>
    <row r="85" spans="1:10" x14ac:dyDescent="0.25">
      <c r="A85">
        <v>68</v>
      </c>
      <c r="B85" s="100">
        <v>89.670486374958912</v>
      </c>
      <c r="C85" s="100">
        <v>97.295017508277226</v>
      </c>
      <c r="D85" s="100">
        <v>91.503884216703455</v>
      </c>
      <c r="E85" s="100">
        <v>90.513887307703214</v>
      </c>
      <c r="F85" s="100">
        <v>-385.58843365488116</v>
      </c>
      <c r="G85" s="100">
        <v>1372.3079975273365</v>
      </c>
      <c r="H85" s="100">
        <v>2624.3917775663022</v>
      </c>
      <c r="I85" s="100">
        <v>2866.7523469980124</v>
      </c>
      <c r="J85" s="100">
        <v>6477.8636884367697</v>
      </c>
    </row>
    <row r="86" spans="1:10" x14ac:dyDescent="0.25">
      <c r="A86">
        <v>69</v>
      </c>
      <c r="B86" s="100">
        <v>89.810763139434556</v>
      </c>
      <c r="C86" s="100">
        <v>98.384354415799535</v>
      </c>
      <c r="D86" s="100">
        <v>93.786383692586057</v>
      </c>
      <c r="E86" s="100">
        <v>91.790784972373118</v>
      </c>
      <c r="F86" s="100">
        <v>-848.50175642450552</v>
      </c>
      <c r="G86" s="100">
        <v>-261.69736375612729</v>
      </c>
      <c r="H86" s="100">
        <v>-1940.6071741989024</v>
      </c>
      <c r="I86" s="100">
        <v>1589.8546823281094</v>
      </c>
      <c r="J86" s="100">
        <v>-1460.9516120514254</v>
      </c>
    </row>
    <row r="87" spans="1:10" x14ac:dyDescent="0.25">
      <c r="A87">
        <v>70</v>
      </c>
      <c r="B87" s="100">
        <v>90.144597242256665</v>
      </c>
      <c r="C87" s="100">
        <v>99.171652904741265</v>
      </c>
      <c r="D87" s="100">
        <v>93.322521104651301</v>
      </c>
      <c r="E87" s="100">
        <v>92.36873928796706</v>
      </c>
      <c r="F87" s="100">
        <v>-1950.1542957374668</v>
      </c>
      <c r="G87" s="100">
        <v>-1442.6450971687218</v>
      </c>
      <c r="H87" s="100">
        <v>-1012.8819983293909</v>
      </c>
      <c r="I87" s="100">
        <v>1011.9003667341673</v>
      </c>
      <c r="J87" s="100">
        <v>-3393.781024501412</v>
      </c>
    </row>
    <row r="88" spans="1:10" x14ac:dyDescent="0.25">
      <c r="A88">
        <v>71</v>
      </c>
      <c r="B88" s="100">
        <v>90.120251503686291</v>
      </c>
      <c r="C88" s="100">
        <v>97.619865650193475</v>
      </c>
      <c r="D88" s="100">
        <v>93.698066993952907</v>
      </c>
      <c r="E88" s="100">
        <v>93.229444135200978</v>
      </c>
      <c r="F88" s="100">
        <v>-1869.8133584552295</v>
      </c>
      <c r="G88" s="100">
        <v>885.03578465296323</v>
      </c>
      <c r="H88" s="100">
        <v>-1763.9737769326018</v>
      </c>
      <c r="I88" s="100">
        <v>151.19551950024857</v>
      </c>
      <c r="J88" s="100">
        <v>-2597.5558312346193</v>
      </c>
    </row>
    <row r="89" spans="1:10" x14ac:dyDescent="0.25">
      <c r="A89">
        <v>72</v>
      </c>
      <c r="B89" s="100">
        <v>90.342543121497656</v>
      </c>
      <c r="C89" s="100">
        <v>98.169625121634809</v>
      </c>
      <c r="D89" s="100">
        <v>93.094164452021062</v>
      </c>
      <c r="E89" s="100">
        <v>94.462783130826111</v>
      </c>
      <c r="F89" s="100">
        <v>-2603.3756972327337</v>
      </c>
      <c r="G89" s="100">
        <v>60.3965774909625</v>
      </c>
      <c r="H89" s="100">
        <v>-556.16869306891203</v>
      </c>
      <c r="I89" s="100">
        <v>-1082.1434761248838</v>
      </c>
      <c r="J89" s="100">
        <v>-4181.2912889355666</v>
      </c>
    </row>
    <row r="90" spans="1:10" x14ac:dyDescent="0.25">
      <c r="A90">
        <v>73</v>
      </c>
      <c r="B90" s="100">
        <v>88.455063619727497</v>
      </c>
      <c r="C90" s="100">
        <v>98.77743081673276</v>
      </c>
      <c r="D90" s="100">
        <v>90.865168858163699</v>
      </c>
      <c r="E90" s="100">
        <v>94.913396769043473</v>
      </c>
      <c r="F90" s="100">
        <v>3625.3066586087898</v>
      </c>
      <c r="G90" s="100">
        <v>-851.3119651559648</v>
      </c>
      <c r="H90" s="100">
        <v>3901.8224946458131</v>
      </c>
      <c r="I90" s="100">
        <v>-1532.757114342246</v>
      </c>
      <c r="J90" s="100">
        <v>5143.0600737563927</v>
      </c>
    </row>
    <row r="91" spans="1:10" x14ac:dyDescent="0.25">
      <c r="A91">
        <v>74</v>
      </c>
      <c r="B91" s="100">
        <v>89.579044282769303</v>
      </c>
      <c r="C91" s="100">
        <v>98.630640394366623</v>
      </c>
      <c r="D91" s="100">
        <v>94.047006192657975</v>
      </c>
      <c r="E91" s="100">
        <v>91.31447437050106</v>
      </c>
      <c r="F91" s="100">
        <v>-83.829529429169725</v>
      </c>
      <c r="G91" s="100">
        <v>-631.12633160675819</v>
      </c>
      <c r="H91" s="100">
        <v>-2461.8521743427382</v>
      </c>
      <c r="I91" s="100">
        <v>2066.1652842001672</v>
      </c>
      <c r="J91" s="100">
        <v>-1110.6427511784991</v>
      </c>
    </row>
    <row r="92" spans="1:10" x14ac:dyDescent="0.25">
      <c r="A92">
        <v>75</v>
      </c>
      <c r="B92" s="100">
        <v>89.924608222901142</v>
      </c>
      <c r="C92" s="100">
        <v>100.03979517918958</v>
      </c>
      <c r="D92" s="100">
        <v>91.433208712527247</v>
      </c>
      <c r="E92" s="100">
        <v>92.875376498799298</v>
      </c>
      <c r="F92" s="100">
        <v>-1224.1905318642396</v>
      </c>
      <c r="G92" s="100">
        <v>-2744.8585088411974</v>
      </c>
      <c r="H92" s="100">
        <v>2765.7427859187183</v>
      </c>
      <c r="I92" s="100">
        <v>505.26315590192894</v>
      </c>
      <c r="J92" s="100">
        <v>-698.04309888478952</v>
      </c>
    </row>
    <row r="93" spans="1:10" x14ac:dyDescent="0.25">
      <c r="A93">
        <v>76</v>
      </c>
      <c r="B93" s="100">
        <v>89.515107397486219</v>
      </c>
      <c r="C93" s="100">
        <v>98.078269581753148</v>
      </c>
      <c r="D93" s="100">
        <v>91.868353190751279</v>
      </c>
      <c r="E93" s="100">
        <v>91.639437074847677</v>
      </c>
      <c r="F93" s="100">
        <v>127.16219200500802</v>
      </c>
      <c r="G93" s="100">
        <v>197.42988731345434</v>
      </c>
      <c r="H93" s="100">
        <v>1895.4538294706538</v>
      </c>
      <c r="I93" s="100">
        <v>1741.2025798535497</v>
      </c>
      <c r="J93" s="100">
        <v>3961.248488642666</v>
      </c>
    </row>
    <row r="94" spans="1:10" x14ac:dyDescent="0.25">
      <c r="A94">
        <v>77</v>
      </c>
      <c r="B94" s="100">
        <v>89.601385005783769</v>
      </c>
      <c r="C94" s="100">
        <v>97.680360180208211</v>
      </c>
      <c r="D94" s="100">
        <v>92.183426545529557</v>
      </c>
      <c r="E94" s="100">
        <v>90.955407372624165</v>
      </c>
      <c r="F94" s="100">
        <v>-157.55391537690713</v>
      </c>
      <c r="G94" s="100">
        <v>794.29398963085873</v>
      </c>
      <c r="H94" s="100">
        <v>1265.3071199140982</v>
      </c>
      <c r="I94" s="100">
        <v>2425.2322820770614</v>
      </c>
      <c r="J94" s="100">
        <v>4327.2794762451113</v>
      </c>
    </row>
    <row r="95" spans="1:10" x14ac:dyDescent="0.25">
      <c r="A95">
        <v>78</v>
      </c>
      <c r="B95" s="100">
        <v>89.729747353202853</v>
      </c>
      <c r="C95" s="100">
        <v>99.401914357985817</v>
      </c>
      <c r="D95" s="100">
        <v>93.895802810431078</v>
      </c>
      <c r="E95" s="100">
        <v>94.623972047475647</v>
      </c>
      <c r="F95" s="100">
        <v>-581.14966185988669</v>
      </c>
      <c r="G95" s="100">
        <v>-1788.0372770355493</v>
      </c>
      <c r="H95" s="100">
        <v>-2159.4454098889455</v>
      </c>
      <c r="I95" s="100">
        <v>-1243.3323927744198</v>
      </c>
      <c r="J95" s="100">
        <v>-5771.9647415588015</v>
      </c>
    </row>
    <row r="96" spans="1:10" x14ac:dyDescent="0.25">
      <c r="A96">
        <v>79</v>
      </c>
      <c r="B96" s="100">
        <v>88.571681883177618</v>
      </c>
      <c r="C96" s="100">
        <v>98.278995681869475</v>
      </c>
      <c r="D96" s="100">
        <v>94.257024373110113</v>
      </c>
      <c r="E96" s="100">
        <v>93.296869774675486</v>
      </c>
      <c r="F96" s="100">
        <v>3240.4663892233898</v>
      </c>
      <c r="G96" s="100">
        <v>-103.65926286103644</v>
      </c>
      <c r="H96" s="100">
        <v>-2881.8885352470147</v>
      </c>
      <c r="I96" s="100">
        <v>83.769880025741372</v>
      </c>
      <c r="J96" s="100">
        <v>338.68847114107996</v>
      </c>
    </row>
    <row r="97" spans="1:10" x14ac:dyDescent="0.25">
      <c r="A97">
        <v>80</v>
      </c>
      <c r="B97" s="100">
        <v>89.58644946976446</v>
      </c>
      <c r="C97" s="100">
        <v>97.221607613967691</v>
      </c>
      <c r="D97" s="100">
        <v>93.081518398256719</v>
      </c>
      <c r="E97" s="100">
        <v>92.047824099361037</v>
      </c>
      <c r="F97" s="100">
        <v>-108.26664651318936</v>
      </c>
      <c r="G97" s="100">
        <v>1482.4228389916384</v>
      </c>
      <c r="H97" s="100">
        <v>-530.8765855402271</v>
      </c>
      <c r="I97" s="100">
        <v>1332.8155553401898</v>
      </c>
      <c r="J97" s="100">
        <v>2176.0951622784119</v>
      </c>
    </row>
    <row r="98" spans="1:10" x14ac:dyDescent="0.25">
      <c r="A98">
        <v>81</v>
      </c>
      <c r="B98" s="100">
        <v>89.385780653403529</v>
      </c>
      <c r="C98" s="100">
        <v>100.08390690876203</v>
      </c>
      <c r="D98" s="100">
        <v>91.653107881565148</v>
      </c>
      <c r="E98" s="100">
        <v>93.648057844922775</v>
      </c>
      <c r="F98" s="100">
        <v>553.94044747788348</v>
      </c>
      <c r="G98" s="100">
        <v>-2811.0261031998716</v>
      </c>
      <c r="H98" s="100">
        <v>2325.9444478429145</v>
      </c>
      <c r="I98" s="100">
        <v>-267.418190221548</v>
      </c>
      <c r="J98" s="100">
        <v>-198.55939810062159</v>
      </c>
    </row>
    <row r="99" spans="1:10" x14ac:dyDescent="0.25">
      <c r="A99">
        <v>82</v>
      </c>
      <c r="B99" s="100">
        <v>89.098015446406208</v>
      </c>
      <c r="C99" s="100">
        <v>98.593067085886432</v>
      </c>
      <c r="D99" s="100">
        <v>93.740744305372644</v>
      </c>
      <c r="E99" s="100">
        <v>91.951243775421773</v>
      </c>
      <c r="F99" s="100">
        <v>1503.5656305690422</v>
      </c>
      <c r="G99" s="100">
        <v>-574.76636888647192</v>
      </c>
      <c r="H99" s="100">
        <v>-1849.3283997720766</v>
      </c>
      <c r="I99" s="100">
        <v>1429.3958792794542</v>
      </c>
      <c r="J99" s="100">
        <v>508.8667411899479</v>
      </c>
    </row>
    <row r="100" spans="1:10" x14ac:dyDescent="0.25">
      <c r="A100">
        <v>83</v>
      </c>
      <c r="B100" s="100">
        <v>89.030561354095113</v>
      </c>
      <c r="C100" s="100">
        <v>99.030826350463443</v>
      </c>
      <c r="D100" s="100">
        <v>93.940167031940703</v>
      </c>
      <c r="E100" s="100">
        <v>93.25006152662263</v>
      </c>
      <c r="F100" s="100">
        <v>1726.1641351956569</v>
      </c>
      <c r="G100" s="100">
        <v>-1231.4052657519881</v>
      </c>
      <c r="H100" s="100">
        <v>-2248.1738529081949</v>
      </c>
      <c r="I100" s="100">
        <v>130.57812807859648</v>
      </c>
      <c r="J100" s="100">
        <v>-1622.8368553859295</v>
      </c>
    </row>
    <row r="101" spans="1:10" x14ac:dyDescent="0.25">
      <c r="A101">
        <v>84</v>
      </c>
      <c r="B101" s="100">
        <v>88.936332364585141</v>
      </c>
      <c r="C101" s="100">
        <v>98.388549793887265</v>
      </c>
      <c r="D101" s="100">
        <v>91.787222802099734</v>
      </c>
      <c r="E101" s="100">
        <v>93.822656977071603</v>
      </c>
      <c r="F101" s="100">
        <v>2037.1198005785643</v>
      </c>
      <c r="G101" s="100">
        <v>-267.99043088772123</v>
      </c>
      <c r="H101" s="100">
        <v>2057.7146067737431</v>
      </c>
      <c r="I101" s="100">
        <v>-442.01732237037561</v>
      </c>
      <c r="J101" s="100">
        <v>3384.8266540942109</v>
      </c>
    </row>
    <row r="102" spans="1:10" x14ac:dyDescent="0.25">
      <c r="A102">
        <v>85</v>
      </c>
      <c r="B102" s="100">
        <v>89.75269728667368</v>
      </c>
      <c r="C102" s="100">
        <v>98.1983122839396</v>
      </c>
      <c r="D102" s="100">
        <v>93.680881519487883</v>
      </c>
      <c r="E102" s="100">
        <v>93.782168075921064</v>
      </c>
      <c r="F102" s="100">
        <v>-656.88444231361416</v>
      </c>
      <c r="G102" s="100">
        <v>17.365834033775229</v>
      </c>
      <c r="H102" s="100">
        <v>-1729.6028280025553</v>
      </c>
      <c r="I102" s="100">
        <v>-401.52842121983667</v>
      </c>
      <c r="J102" s="100">
        <v>-2770.6498575022306</v>
      </c>
    </row>
    <row r="103" spans="1:10" x14ac:dyDescent="0.25">
      <c r="A103">
        <v>86</v>
      </c>
      <c r="B103" s="100">
        <v>89.703952996977762</v>
      </c>
      <c r="C103" s="100">
        <v>97.879151706643057</v>
      </c>
      <c r="D103" s="100">
        <v>92.693228455525087</v>
      </c>
      <c r="E103" s="100">
        <v>91.185279360595572</v>
      </c>
      <c r="F103" s="100">
        <v>-496.02828631708462</v>
      </c>
      <c r="G103" s="100">
        <v>496.10669997858992</v>
      </c>
      <c r="H103" s="100">
        <v>245.70329992303641</v>
      </c>
      <c r="I103" s="100">
        <v>2195.3602941056542</v>
      </c>
      <c r="J103" s="100">
        <v>2441.1420076901959</v>
      </c>
    </row>
    <row r="104" spans="1:10" x14ac:dyDescent="0.25">
      <c r="A104">
        <v>87</v>
      </c>
      <c r="B104" s="100">
        <v>89.196848759357977</v>
      </c>
      <c r="C104" s="100">
        <v>98.394728014313628</v>
      </c>
      <c r="D104" s="100">
        <v>91.802180798327171</v>
      </c>
      <c r="E104" s="100">
        <v>92.945199786419209</v>
      </c>
      <c r="F104" s="100">
        <v>1177.4156978282065</v>
      </c>
      <c r="G104" s="100">
        <v>-277.25776152726667</v>
      </c>
      <c r="H104" s="100">
        <v>2027.7986143188684</v>
      </c>
      <c r="I104" s="100">
        <v>435.43986828201753</v>
      </c>
      <c r="J104" s="100">
        <v>3363.3964189018257</v>
      </c>
    </row>
    <row r="105" spans="1:10" x14ac:dyDescent="0.25">
      <c r="A105">
        <v>88</v>
      </c>
      <c r="B105" s="100">
        <v>89.715845513828725</v>
      </c>
      <c r="C105" s="100">
        <v>97.991225116611417</v>
      </c>
      <c r="D105" s="100">
        <v>94.797861211068977</v>
      </c>
      <c r="E105" s="100">
        <v>92.288614995912155</v>
      </c>
      <c r="F105" s="100">
        <v>-535.27359192526376</v>
      </c>
      <c r="G105" s="100">
        <v>327.99658502604956</v>
      </c>
      <c r="H105" s="100">
        <v>-3963.5622111647422</v>
      </c>
      <c r="I105" s="100">
        <v>1092.0246587890715</v>
      </c>
      <c r="J105" s="100">
        <v>-3078.8145592748851</v>
      </c>
    </row>
    <row r="106" spans="1:10" x14ac:dyDescent="0.25">
      <c r="A106">
        <v>89</v>
      </c>
      <c r="B106" s="100">
        <v>89.444942591730438</v>
      </c>
      <c r="C106" s="100">
        <v>97.468396550931757</v>
      </c>
      <c r="D106" s="100">
        <v>92.943743601655399</v>
      </c>
      <c r="E106" s="100">
        <v>93.876290550362739</v>
      </c>
      <c r="F106" s="100">
        <v>358.70605099908346</v>
      </c>
      <c r="G106" s="100">
        <v>1112.2394335455397</v>
      </c>
      <c r="H106" s="100">
        <v>-255.32699233758649</v>
      </c>
      <c r="I106" s="100">
        <v>-495.65089566151244</v>
      </c>
      <c r="J106" s="100">
        <v>719.96759654552409</v>
      </c>
    </row>
    <row r="107" spans="1:10" x14ac:dyDescent="0.25">
      <c r="A107">
        <v>90</v>
      </c>
      <c r="B107" s="100">
        <v>90.450341276453742</v>
      </c>
      <c r="C107" s="100">
        <v>96.900548107381454</v>
      </c>
      <c r="D107" s="100">
        <v>93.964547874344731</v>
      </c>
      <c r="E107" s="100">
        <v>93.526440865805782</v>
      </c>
      <c r="F107" s="100">
        <v>-2959.109608587818</v>
      </c>
      <c r="G107" s="100">
        <v>1964.0120988709953</v>
      </c>
      <c r="H107" s="100">
        <v>-2296.9355377162515</v>
      </c>
      <c r="I107" s="100">
        <v>-145.8012111045548</v>
      </c>
      <c r="J107" s="100">
        <v>-3437.8342585376286</v>
      </c>
    </row>
    <row r="108" spans="1:10" x14ac:dyDescent="0.25">
      <c r="A108">
        <v>91</v>
      </c>
      <c r="B108" s="100">
        <v>90.636134471230733</v>
      </c>
      <c r="C108" s="100">
        <v>98.142895506573922</v>
      </c>
      <c r="D108" s="100">
        <v>93.580649426002935</v>
      </c>
      <c r="E108" s="100">
        <v>94.031259215117529</v>
      </c>
      <c r="F108" s="100">
        <v>-3572.227151351889</v>
      </c>
      <c r="G108" s="100">
        <v>100.49100008229317</v>
      </c>
      <c r="H108" s="100">
        <v>-1529.1386410326595</v>
      </c>
      <c r="I108" s="100">
        <v>-650.61956041630253</v>
      </c>
      <c r="J108" s="100">
        <v>-5651.4943527185569</v>
      </c>
    </row>
    <row r="109" spans="1:10" x14ac:dyDescent="0.25">
      <c r="A109">
        <v>92</v>
      </c>
      <c r="B109" s="100">
        <v>89.529399910491506</v>
      </c>
      <c r="C109" s="100">
        <v>98.003620059972306</v>
      </c>
      <c r="D109" s="100">
        <v>94.25975838708483</v>
      </c>
      <c r="E109" s="100">
        <v>95.689204396901062</v>
      </c>
      <c r="F109" s="100">
        <v>79.996899087559825</v>
      </c>
      <c r="G109" s="100">
        <v>309.40416998471676</v>
      </c>
      <c r="H109" s="100">
        <v>-2887.3565631964484</v>
      </c>
      <c r="I109" s="100">
        <v>-2308.5647421998347</v>
      </c>
      <c r="J109" s="100">
        <v>-4806.520236324006</v>
      </c>
    </row>
    <row r="110" spans="1:10" x14ac:dyDescent="0.25">
      <c r="A110">
        <v>93</v>
      </c>
      <c r="B110" s="100">
        <v>89.739930965842234</v>
      </c>
      <c r="C110" s="100">
        <v>97.438274597313395</v>
      </c>
      <c r="D110" s="100">
        <v>92.842933173197849</v>
      </c>
      <c r="E110" s="100">
        <v>91.002218741035676</v>
      </c>
      <c r="F110" s="100">
        <v>-614.75558356984266</v>
      </c>
      <c r="G110" s="100">
        <v>1157.4223639730831</v>
      </c>
      <c r="H110" s="100">
        <v>-53.706135422487478</v>
      </c>
      <c r="I110" s="100">
        <v>2378.4209136655504</v>
      </c>
      <c r="J110" s="100">
        <v>2867.3815586463033</v>
      </c>
    </row>
    <row r="111" spans="1:10" x14ac:dyDescent="0.25">
      <c r="A111">
        <v>94</v>
      </c>
      <c r="B111" s="100">
        <v>89.284890246740673</v>
      </c>
      <c r="C111" s="100">
        <v>99.448319239703167</v>
      </c>
      <c r="D111" s="100">
        <v>92.862861456912896</v>
      </c>
      <c r="E111" s="100">
        <v>91.070431821905373</v>
      </c>
      <c r="F111" s="100">
        <v>886.87878946530816</v>
      </c>
      <c r="G111" s="100">
        <v>-1857.6445996115751</v>
      </c>
      <c r="H111" s="100">
        <v>-93.56270285258006</v>
      </c>
      <c r="I111" s="100">
        <v>2310.2078327958538</v>
      </c>
      <c r="J111" s="100">
        <v>1245.8793197970067</v>
      </c>
    </row>
    <row r="112" spans="1:10" x14ac:dyDescent="0.25">
      <c r="A112">
        <v>95</v>
      </c>
      <c r="B112" s="100">
        <v>89.728220886061337</v>
      </c>
      <c r="C112" s="100">
        <v>99.582172029798087</v>
      </c>
      <c r="D112" s="100">
        <v>92.963839129547665</v>
      </c>
      <c r="E112" s="100">
        <v>93.960037172659113</v>
      </c>
      <c r="F112" s="100">
        <v>-576.11232029288146</v>
      </c>
      <c r="G112" s="100">
        <v>-2058.4237847539553</v>
      </c>
      <c r="H112" s="100">
        <v>-295.51804812211913</v>
      </c>
      <c r="I112" s="100">
        <v>-579.39751795788652</v>
      </c>
      <c r="J112" s="100">
        <v>-3509.4516711268425</v>
      </c>
    </row>
    <row r="113" spans="1:10" x14ac:dyDescent="0.25">
      <c r="A113">
        <v>96</v>
      </c>
      <c r="B113" s="100">
        <v>88.96825706455148</v>
      </c>
      <c r="C113" s="100">
        <v>99.405742599854335</v>
      </c>
      <c r="D113" s="100">
        <v>93.082652573068458</v>
      </c>
      <c r="E113" s="100">
        <v>91.771646939006786</v>
      </c>
      <c r="F113" s="100">
        <v>1931.768290689645</v>
      </c>
      <c r="G113" s="100">
        <v>-1793.7796398383271</v>
      </c>
      <c r="H113" s="100">
        <v>-533.14493516370476</v>
      </c>
      <c r="I113" s="100">
        <v>1608.9927156944414</v>
      </c>
      <c r="J113" s="100">
        <v>1213.8364313820546</v>
      </c>
    </row>
    <row r="114" spans="1:10" x14ac:dyDescent="0.25">
      <c r="A114">
        <v>97</v>
      </c>
      <c r="B114" s="100">
        <v>89.439345940721225</v>
      </c>
      <c r="C114" s="100">
        <v>97.652021483972703</v>
      </c>
      <c r="D114" s="100">
        <v>94.200191945237918</v>
      </c>
      <c r="E114" s="100">
        <v>94.343744971634166</v>
      </c>
      <c r="F114" s="100">
        <v>377.17499932948755</v>
      </c>
      <c r="G114" s="100">
        <v>836.80203398412095</v>
      </c>
      <c r="H114" s="100">
        <v>-2768.2236795026256</v>
      </c>
      <c r="I114" s="100">
        <v>-963.1053169329391</v>
      </c>
      <c r="J114" s="100">
        <v>-2517.351963121956</v>
      </c>
    </row>
    <row r="115" spans="1:10" x14ac:dyDescent="0.25">
      <c r="A115">
        <v>98</v>
      </c>
      <c r="B115" s="100">
        <v>89.290411218758194</v>
      </c>
      <c r="C115" s="100">
        <v>98.040687099098079</v>
      </c>
      <c r="D115" s="100">
        <v>93.181638886686486</v>
      </c>
      <c r="E115" s="100">
        <v>91.93649857477989</v>
      </c>
      <c r="F115" s="100">
        <v>868.65958180748771</v>
      </c>
      <c r="G115" s="100">
        <v>253.80361129605689</v>
      </c>
      <c r="H115" s="100">
        <v>-731.11756239975989</v>
      </c>
      <c r="I115" s="100">
        <v>1444.1410799213372</v>
      </c>
      <c r="J115" s="100">
        <v>1835.486710625122</v>
      </c>
    </row>
    <row r="116" spans="1:10" x14ac:dyDescent="0.25">
      <c r="A116">
        <v>99</v>
      </c>
      <c r="B116" s="100">
        <v>89.888169046235859</v>
      </c>
      <c r="C116" s="100">
        <v>99.115653228225398</v>
      </c>
      <c r="D116" s="100">
        <v>91.120384296269648</v>
      </c>
      <c r="E116" s="100">
        <v>94.162138485039719</v>
      </c>
      <c r="F116" s="100">
        <v>-1103.9412488688058</v>
      </c>
      <c r="G116" s="100">
        <v>-1358.6455823949209</v>
      </c>
      <c r="H116" s="100">
        <v>3391.3916184339141</v>
      </c>
      <c r="I116" s="100">
        <v>-781.49883033849221</v>
      </c>
      <c r="J116" s="100">
        <v>147.3059568316952</v>
      </c>
    </row>
    <row r="117" spans="1:10" x14ac:dyDescent="0.25">
      <c r="A117">
        <v>100</v>
      </c>
      <c r="B117" s="100">
        <v>90.193063538693977</v>
      </c>
      <c r="C117" s="100">
        <v>96.309260394069355</v>
      </c>
      <c r="D117" s="100">
        <v>92.973927187605582</v>
      </c>
      <c r="E117" s="100">
        <v>94.939381367586464</v>
      </c>
      <c r="F117" s="100">
        <v>-2110.0930739805945</v>
      </c>
      <c r="G117" s="100">
        <v>2850.9436688391434</v>
      </c>
      <c r="H117" s="100">
        <v>-315.6941642379536</v>
      </c>
      <c r="I117" s="100">
        <v>-1558.7417128852367</v>
      </c>
      <c r="J117" s="100">
        <v>-1133.5852822646414</v>
      </c>
    </row>
    <row r="118" spans="1:10" x14ac:dyDescent="0.25">
      <c r="A118">
        <v>101</v>
      </c>
      <c r="B118" s="100">
        <v>89.271863974722137</v>
      </c>
      <c r="C118" s="100">
        <v>96.885852168772814</v>
      </c>
      <c r="D118" s="100">
        <v>93.442427696092196</v>
      </c>
      <c r="E118" s="100">
        <v>92.210547399041218</v>
      </c>
      <c r="F118" s="100">
        <v>929.86548712647595</v>
      </c>
      <c r="G118" s="100">
        <v>1986.0560067839542</v>
      </c>
      <c r="H118" s="100">
        <v>-1252.6951812111804</v>
      </c>
      <c r="I118" s="100">
        <v>1170.092255660009</v>
      </c>
      <c r="J118" s="100">
        <v>2833.3185683592592</v>
      </c>
    </row>
    <row r="119" spans="1:10" x14ac:dyDescent="0.25">
      <c r="A119">
        <v>102</v>
      </c>
      <c r="B119" s="100">
        <v>89.566572422350617</v>
      </c>
      <c r="C119" s="100">
        <v>98.528239654699206</v>
      </c>
      <c r="D119" s="100">
        <v>93.153347612298333</v>
      </c>
      <c r="E119" s="100">
        <v>93.396605487150097</v>
      </c>
      <c r="F119" s="100">
        <v>-42.672390047508202</v>
      </c>
      <c r="G119" s="100">
        <v>-477.52522210563342</v>
      </c>
      <c r="H119" s="100">
        <v>-674.53501362345492</v>
      </c>
      <c r="I119" s="100">
        <v>-15.965832448870287</v>
      </c>
      <c r="J119" s="100">
        <v>-1210.6984582254668</v>
      </c>
    </row>
    <row r="120" spans="1:10" x14ac:dyDescent="0.25">
      <c r="A120">
        <v>103</v>
      </c>
      <c r="B120" s="100">
        <v>89.880799663637248</v>
      </c>
      <c r="C120" s="100">
        <v>99.428778616598251</v>
      </c>
      <c r="D120" s="100">
        <v>92.027786993238195</v>
      </c>
      <c r="E120" s="100">
        <v>93.703607164139214</v>
      </c>
      <c r="F120" s="100">
        <v>-1079.6222862933887</v>
      </c>
      <c r="G120" s="100">
        <v>-1828.3336649542007</v>
      </c>
      <c r="H120" s="100">
        <v>1576.5862244968218</v>
      </c>
      <c r="I120" s="100">
        <v>-322.96750943798713</v>
      </c>
      <c r="J120" s="100">
        <v>-1654.3372361887546</v>
      </c>
    </row>
    <row r="121" spans="1:10" x14ac:dyDescent="0.25">
      <c r="A121">
        <v>104</v>
      </c>
      <c r="B121" s="100">
        <v>89.8291853515762</v>
      </c>
      <c r="C121" s="100">
        <v>98.010472986806931</v>
      </c>
      <c r="D121" s="100">
        <v>92.818434268197436</v>
      </c>
      <c r="E121" s="100">
        <v>93.32804674648898</v>
      </c>
      <c r="F121" s="100">
        <v>-909.29505649193061</v>
      </c>
      <c r="G121" s="100">
        <v>299.12477973277873</v>
      </c>
      <c r="H121" s="100">
        <v>-4.7083254216602199</v>
      </c>
      <c r="I121" s="100">
        <v>52.59290821224738</v>
      </c>
      <c r="J121" s="100">
        <v>-562.28569396856471</v>
      </c>
    </row>
    <row r="122" spans="1:10" x14ac:dyDescent="0.25">
      <c r="A122">
        <v>105</v>
      </c>
      <c r="B122" s="100">
        <v>89.44155758219074</v>
      </c>
      <c r="C122" s="100">
        <v>98.682022994025957</v>
      </c>
      <c r="D122" s="100">
        <v>92.696990729062691</v>
      </c>
      <c r="E122" s="100">
        <v>94.220481206394595</v>
      </c>
      <c r="F122" s="100">
        <v>369.8765824800887</v>
      </c>
      <c r="G122" s="100">
        <v>-708.20023109575914</v>
      </c>
      <c r="H122" s="100">
        <v>238.17875284782986</v>
      </c>
      <c r="I122" s="100">
        <v>-839.84155169336816</v>
      </c>
      <c r="J122" s="100">
        <v>-939.98644746120874</v>
      </c>
    </row>
    <row r="123" spans="1:10" x14ac:dyDescent="0.25">
      <c r="A123">
        <v>106</v>
      </c>
      <c r="B123" s="100">
        <v>88.924246094872672</v>
      </c>
      <c r="C123" s="100">
        <v>98.273308334183312</v>
      </c>
      <c r="D123" s="100">
        <v>93.847498382364023</v>
      </c>
      <c r="E123" s="100">
        <v>95.627498472483708</v>
      </c>
      <c r="F123" s="100">
        <v>2077.004490629713</v>
      </c>
      <c r="G123" s="100">
        <v>-95.128241331792651</v>
      </c>
      <c r="H123" s="100">
        <v>-2062.8365537548348</v>
      </c>
      <c r="I123" s="100">
        <v>-2246.8588177824813</v>
      </c>
      <c r="J123" s="100">
        <v>-2327.8191222393957</v>
      </c>
    </row>
    <row r="124" spans="1:10" x14ac:dyDescent="0.25">
      <c r="A124">
        <v>107</v>
      </c>
      <c r="B124" s="100">
        <v>89.603345164418002</v>
      </c>
      <c r="C124" s="100">
        <v>97.423935078882366</v>
      </c>
      <c r="D124" s="100">
        <v>93.18010542807815</v>
      </c>
      <c r="E124" s="100">
        <v>90.697917027571975</v>
      </c>
      <c r="F124" s="100">
        <v>-164.02243886987691</v>
      </c>
      <c r="G124" s="100">
        <v>1178.931641619627</v>
      </c>
      <c r="H124" s="100">
        <v>-728.05064518308882</v>
      </c>
      <c r="I124" s="100">
        <v>2682.7226271292516</v>
      </c>
      <c r="J124" s="100">
        <v>2969.5811846959132</v>
      </c>
    </row>
    <row r="125" spans="1:10" x14ac:dyDescent="0.25">
      <c r="A125">
        <v>108</v>
      </c>
      <c r="B125" s="100">
        <v>90.441597614725282</v>
      </c>
      <c r="C125" s="100">
        <v>97.03164836242135</v>
      </c>
      <c r="D125" s="100">
        <v>91.565350501983261</v>
      </c>
      <c r="E125" s="100">
        <v>95.845688779985409</v>
      </c>
      <c r="F125" s="100">
        <v>-2930.2555248839012</v>
      </c>
      <c r="G125" s="100">
        <v>1767.3617163111501</v>
      </c>
      <c r="H125" s="100">
        <v>2501.4592070066897</v>
      </c>
      <c r="I125" s="100">
        <v>-2465.0491252841816</v>
      </c>
      <c r="J125" s="100">
        <v>-1126.4837268502431</v>
      </c>
    </row>
    <row r="126" spans="1:10" x14ac:dyDescent="0.25">
      <c r="A126">
        <v>109</v>
      </c>
      <c r="B126" s="100">
        <v>89.265996804792408</v>
      </c>
      <c r="C126" s="100">
        <v>97.672426515623783</v>
      </c>
      <c r="D126" s="100">
        <v>91.868903635304321</v>
      </c>
      <c r="E126" s="100">
        <v>95.866131650458897</v>
      </c>
      <c r="F126" s="100">
        <v>949.22714789458246</v>
      </c>
      <c r="G126" s="100">
        <v>806.19448650750064</v>
      </c>
      <c r="H126" s="100">
        <v>1894.3529403645698</v>
      </c>
      <c r="I126" s="100">
        <v>-2485.4919957576699</v>
      </c>
      <c r="J126" s="100">
        <v>1164.2825790089832</v>
      </c>
    </row>
    <row r="127" spans="1:10" x14ac:dyDescent="0.25">
      <c r="A127">
        <v>110</v>
      </c>
      <c r="B127" s="100">
        <v>88.82442965531925</v>
      </c>
      <c r="C127" s="100">
        <v>97.876070987736767</v>
      </c>
      <c r="D127" s="100">
        <v>92.560549055680752</v>
      </c>
      <c r="E127" s="100">
        <v>93.726127099015912</v>
      </c>
      <c r="F127" s="100">
        <v>2406.3987411560047</v>
      </c>
      <c r="G127" s="100">
        <v>500.72777833802462</v>
      </c>
      <c r="H127" s="100">
        <v>511.06209961170634</v>
      </c>
      <c r="I127" s="100">
        <v>-345.48744431468492</v>
      </c>
      <c r="J127" s="100">
        <v>3072.7011747910506</v>
      </c>
    </row>
    <row r="128" spans="1:10" x14ac:dyDescent="0.25">
      <c r="A128">
        <v>111</v>
      </c>
      <c r="B128" s="100">
        <v>89.576428037983263</v>
      </c>
      <c r="C128" s="100">
        <v>97.852465210845807</v>
      </c>
      <c r="D128" s="100">
        <v>91.880743210277686</v>
      </c>
      <c r="E128" s="100">
        <v>93.889433936650235</v>
      </c>
      <c r="F128" s="100">
        <v>-75.195921635237539</v>
      </c>
      <c r="G128" s="100">
        <v>536.13644367446511</v>
      </c>
      <c r="H128" s="100">
        <v>1870.6737904178397</v>
      </c>
      <c r="I128" s="100">
        <v>-508.79428194900811</v>
      </c>
      <c r="J128" s="100">
        <v>1822.8200305080591</v>
      </c>
    </row>
    <row r="129" spans="1:10" x14ac:dyDescent="0.25">
      <c r="A129">
        <v>112</v>
      </c>
      <c r="B129" s="100">
        <v>89.574513653198096</v>
      </c>
      <c r="C129" s="100">
        <v>97.752263646708769</v>
      </c>
      <c r="D129" s="100">
        <v>93.072321448617927</v>
      </c>
      <c r="E129" s="100">
        <v>91.934669443722356</v>
      </c>
      <c r="F129" s="100">
        <v>-68.878451844187794</v>
      </c>
      <c r="G129" s="100">
        <v>686.43878988002166</v>
      </c>
      <c r="H129" s="100">
        <v>-512.48268626264348</v>
      </c>
      <c r="I129" s="100">
        <v>1445.9702109788709</v>
      </c>
      <c r="J129" s="100">
        <v>1551.0478627520613</v>
      </c>
    </row>
    <row r="130" spans="1:10" x14ac:dyDescent="0.25">
      <c r="A130">
        <v>113</v>
      </c>
      <c r="B130" s="100">
        <v>90.332274431414831</v>
      </c>
      <c r="C130" s="100">
        <v>98.623700081904232</v>
      </c>
      <c r="D130" s="100">
        <v>93.588597324387763</v>
      </c>
      <c r="E130" s="100">
        <v>92.943190273981386</v>
      </c>
      <c r="F130" s="100">
        <v>-2569.4890199594129</v>
      </c>
      <c r="G130" s="100">
        <v>-620.7158629131726</v>
      </c>
      <c r="H130" s="100">
        <v>-1545.0344378023146</v>
      </c>
      <c r="I130" s="100">
        <v>437.44938071984052</v>
      </c>
      <c r="J130" s="100">
        <v>-4297.7899399550597</v>
      </c>
    </row>
    <row r="131" spans="1:10" x14ac:dyDescent="0.25">
      <c r="A131">
        <v>114</v>
      </c>
      <c r="B131" s="100">
        <v>89.535997977944348</v>
      </c>
      <c r="C131" s="100">
        <v>96.91446151051197</v>
      </c>
      <c r="D131" s="100">
        <v>94.318800207038876</v>
      </c>
      <c r="E131" s="100">
        <v>93.54267446418055</v>
      </c>
      <c r="F131" s="100">
        <v>58.223276493181686</v>
      </c>
      <c r="G131" s="100">
        <v>1943.141994175221</v>
      </c>
      <c r="H131" s="100">
        <v>-3005.4402031045411</v>
      </c>
      <c r="I131" s="100">
        <v>-162.03480947932292</v>
      </c>
      <c r="J131" s="100">
        <v>-1166.1097419154612</v>
      </c>
    </row>
    <row r="132" spans="1:10" x14ac:dyDescent="0.25">
      <c r="A132">
        <v>115</v>
      </c>
      <c r="B132" s="100">
        <v>89.430275396803523</v>
      </c>
      <c r="C132" s="100">
        <v>96.325507672016201</v>
      </c>
      <c r="D132" s="100">
        <v>91.721473252042955</v>
      </c>
      <c r="E132" s="100">
        <v>95.572046591905945</v>
      </c>
      <c r="F132" s="100">
        <v>407.10779425790236</v>
      </c>
      <c r="G132" s="100">
        <v>2826.5727519188745</v>
      </c>
      <c r="H132" s="100">
        <v>2189.2137068873012</v>
      </c>
      <c r="I132" s="100">
        <v>-2191.4069372047179</v>
      </c>
      <c r="J132" s="100">
        <v>3231.48731585936</v>
      </c>
    </row>
    <row r="133" spans="1:10" x14ac:dyDescent="0.25">
      <c r="A133">
        <v>116</v>
      </c>
      <c r="B133" s="100">
        <v>88.788794054313129</v>
      </c>
      <c r="C133" s="100">
        <v>98.971138097376809</v>
      </c>
      <c r="D133" s="100">
        <v>92.521517035406433</v>
      </c>
      <c r="E133" s="100">
        <v>92.739606228477129</v>
      </c>
      <c r="F133" s="100">
        <v>2523.9962244762028</v>
      </c>
      <c r="G133" s="100">
        <v>-1141.8728861220372</v>
      </c>
      <c r="H133" s="100">
        <v>589.12614016034581</v>
      </c>
      <c r="I133" s="100">
        <v>641.03342622409798</v>
      </c>
      <c r="J133" s="100">
        <v>2612.2829047386094</v>
      </c>
    </row>
    <row r="134" spans="1:10" x14ac:dyDescent="0.25">
      <c r="A134">
        <v>117</v>
      </c>
      <c r="B134" s="100">
        <v>90.241232672027223</v>
      </c>
      <c r="C134" s="100">
        <v>98.265625311991485</v>
      </c>
      <c r="D134" s="100">
        <v>92.231664411739459</v>
      </c>
      <c r="E134" s="100">
        <v>92.459309520465439</v>
      </c>
      <c r="F134" s="100">
        <v>-2269.0512139803077</v>
      </c>
      <c r="G134" s="100">
        <v>-83.603708044051928</v>
      </c>
      <c r="H134" s="100">
        <v>1168.8313874942935</v>
      </c>
      <c r="I134" s="100">
        <v>921.33013423578802</v>
      </c>
      <c r="J134" s="100">
        <v>-262.4934002942781</v>
      </c>
    </row>
    <row r="135" spans="1:10" x14ac:dyDescent="0.25">
      <c r="A135">
        <v>118</v>
      </c>
      <c r="B135" s="100">
        <v>90.450192835068322</v>
      </c>
      <c r="C135" s="100">
        <v>97.16375614364145</v>
      </c>
      <c r="D135" s="100">
        <v>93.15972445682317</v>
      </c>
      <c r="E135" s="100">
        <v>94.027699084638328</v>
      </c>
      <c r="F135" s="100">
        <v>-2958.6197520159317</v>
      </c>
      <c r="G135" s="100">
        <v>1569.2000444810005</v>
      </c>
      <c r="H135" s="100">
        <v>-687.28870267312914</v>
      </c>
      <c r="I135" s="100">
        <v>-647.05942993710153</v>
      </c>
      <c r="J135" s="100">
        <v>-2723.7678401451617</v>
      </c>
    </row>
    <row r="136" spans="1:10" x14ac:dyDescent="0.25">
      <c r="A136">
        <v>119</v>
      </c>
      <c r="B136" s="100">
        <v>89.55647433032847</v>
      </c>
      <c r="C136" s="100">
        <v>97.657173302495238</v>
      </c>
      <c r="D136" s="100">
        <v>93.696961051531275</v>
      </c>
      <c r="E136" s="100">
        <v>95.173261157020605</v>
      </c>
      <c r="F136" s="100">
        <v>-9.3486863744217885</v>
      </c>
      <c r="G136" s="100">
        <v>829.07430620031869</v>
      </c>
      <c r="H136" s="100">
        <v>-1761.7618920893392</v>
      </c>
      <c r="I136" s="100">
        <v>-1792.6215023193777</v>
      </c>
      <c r="J136" s="100">
        <v>-2734.6577745828199</v>
      </c>
    </row>
    <row r="137" spans="1:10" x14ac:dyDescent="0.25">
      <c r="A137">
        <v>120</v>
      </c>
      <c r="B137" s="100">
        <v>89.980462874205415</v>
      </c>
      <c r="C137" s="100">
        <v>98.155000224175694</v>
      </c>
      <c r="D137" s="100">
        <v>92.020042858002256</v>
      </c>
      <c r="E137" s="100">
        <v>94.360428512833053</v>
      </c>
      <c r="F137" s="100">
        <v>-1408.5108811683399</v>
      </c>
      <c r="G137" s="100">
        <v>82.333923679634324</v>
      </c>
      <c r="H137" s="100">
        <v>1592.0744949686991</v>
      </c>
      <c r="I137" s="100">
        <v>-979.78885813182615</v>
      </c>
      <c r="J137" s="100">
        <v>-713.89132065183253</v>
      </c>
    </row>
    <row r="138" spans="1:10" x14ac:dyDescent="0.25">
      <c r="A138">
        <v>121</v>
      </c>
      <c r="B138" s="100">
        <v>89.085405638555159</v>
      </c>
      <c r="C138" s="100">
        <v>97.373798894107367</v>
      </c>
      <c r="D138" s="100">
        <v>91.799136934248608</v>
      </c>
      <c r="E138" s="100">
        <v>93.481229642288667</v>
      </c>
      <c r="F138" s="100">
        <v>1545.1779964775055</v>
      </c>
      <c r="G138" s="100">
        <v>1254.1359187821258</v>
      </c>
      <c r="H138" s="100">
        <v>2033.886342475995</v>
      </c>
      <c r="I138" s="100">
        <v>-100.58998758744053</v>
      </c>
      <c r="J138" s="100">
        <v>4732.6102701481859</v>
      </c>
    </row>
    <row r="139" spans="1:10" x14ac:dyDescent="0.25">
      <c r="A139">
        <v>122</v>
      </c>
      <c r="B139" s="100">
        <v>89.712777547262746</v>
      </c>
      <c r="C139" s="100">
        <v>98.848611492297366</v>
      </c>
      <c r="D139" s="100">
        <v>93.973554169329148</v>
      </c>
      <c r="E139" s="100">
        <v>91.694671723081314</v>
      </c>
      <c r="F139" s="100">
        <v>-525.14930225753324</v>
      </c>
      <c r="G139" s="100">
        <v>-958.08297850287261</v>
      </c>
      <c r="H139" s="100">
        <v>-2314.9481276850847</v>
      </c>
      <c r="I139" s="100">
        <v>1685.9679316199135</v>
      </c>
      <c r="J139" s="100">
        <v>-2112.2124768255771</v>
      </c>
    </row>
    <row r="140" spans="1:10" x14ac:dyDescent="0.25">
      <c r="A140">
        <v>123</v>
      </c>
      <c r="B140" s="100">
        <v>90.185533927629407</v>
      </c>
      <c r="C140" s="100">
        <v>98.898082976468999</v>
      </c>
      <c r="D140" s="100">
        <v>94.182633419655588</v>
      </c>
      <c r="E140" s="100">
        <v>91.130226512128772</v>
      </c>
      <c r="F140" s="100">
        <v>-2085.2453574675151</v>
      </c>
      <c r="G140" s="100">
        <v>-1032.2902047603222</v>
      </c>
      <c r="H140" s="100">
        <v>-2733.1066283379641</v>
      </c>
      <c r="I140" s="100">
        <v>2250.4131425724554</v>
      </c>
      <c r="J140" s="100">
        <v>-3600.2290479933463</v>
      </c>
    </row>
    <row r="141" spans="1:10" x14ac:dyDescent="0.25">
      <c r="A141">
        <v>124</v>
      </c>
      <c r="B141" s="100">
        <v>90.000988906056548</v>
      </c>
      <c r="C141" s="100">
        <v>97.162733540346025</v>
      </c>
      <c r="D141" s="100">
        <v>93.789435752930601</v>
      </c>
      <c r="E141" s="100">
        <v>93.576599513338934</v>
      </c>
      <c r="F141" s="100">
        <v>-1476.2467862770804</v>
      </c>
      <c r="G141" s="100">
        <v>1570.7339494241382</v>
      </c>
      <c r="H141" s="100">
        <v>-1946.7112948879901</v>
      </c>
      <c r="I141" s="100">
        <v>-195.95985863770693</v>
      </c>
      <c r="J141" s="100">
        <v>-2048.1839903786395</v>
      </c>
    </row>
    <row r="142" spans="1:10" x14ac:dyDescent="0.25">
      <c r="A142">
        <v>125</v>
      </c>
      <c r="B142" s="100">
        <v>90.012489969665296</v>
      </c>
      <c r="C142" s="100">
        <v>98.495324464739625</v>
      </c>
      <c r="D142" s="100">
        <v>93.467625811858909</v>
      </c>
      <c r="E142" s="100">
        <v>93.597472207246028</v>
      </c>
      <c r="F142" s="100">
        <v>-1514.2002961859475</v>
      </c>
      <c r="G142" s="100">
        <v>-428.15243716626128</v>
      </c>
      <c r="H142" s="100">
        <v>-1303.0914127446067</v>
      </c>
      <c r="I142" s="100">
        <v>-216.83255254480116</v>
      </c>
      <c r="J142" s="100">
        <v>-3462.2766986416168</v>
      </c>
    </row>
    <row r="143" spans="1:10" x14ac:dyDescent="0.25">
      <c r="A143">
        <v>126</v>
      </c>
      <c r="B143" s="100">
        <v>90.23838421979849</v>
      </c>
      <c r="C143" s="100">
        <v>98.418192148909469</v>
      </c>
      <c r="D143" s="100">
        <v>93.632051020909955</v>
      </c>
      <c r="E143" s="100">
        <v>93.223781078886176</v>
      </c>
      <c r="F143" s="100">
        <v>-2259.6513216254889</v>
      </c>
      <c r="G143" s="100">
        <v>-312.45396342102794</v>
      </c>
      <c r="H143" s="100">
        <v>-1631.9418308466993</v>
      </c>
      <c r="I143" s="100">
        <v>156.85857581505047</v>
      </c>
      <c r="J143" s="100">
        <v>-4047.1885400781657</v>
      </c>
    </row>
    <row r="144" spans="1:10" x14ac:dyDescent="0.25">
      <c r="A144">
        <v>127</v>
      </c>
      <c r="B144" s="100">
        <v>89.924929699675957</v>
      </c>
      <c r="C144" s="100">
        <v>97.739389984474286</v>
      </c>
      <c r="D144" s="100">
        <v>93.413746045710113</v>
      </c>
      <c r="E144" s="100">
        <v>92.080764970922615</v>
      </c>
      <c r="F144" s="100">
        <v>-1225.2514052211282</v>
      </c>
      <c r="G144" s="100">
        <v>705.7492832317464</v>
      </c>
      <c r="H144" s="100">
        <v>-1195.3318804470143</v>
      </c>
      <c r="I144" s="100">
        <v>1299.8746837786116</v>
      </c>
      <c r="J144" s="100">
        <v>-414.95931865778448</v>
      </c>
    </row>
    <row r="145" spans="1:10" x14ac:dyDescent="0.25">
      <c r="A145">
        <v>128</v>
      </c>
      <c r="B145" s="100">
        <v>90.076203506445168</v>
      </c>
      <c r="C145" s="100">
        <v>97.334102068113197</v>
      </c>
      <c r="D145" s="100">
        <v>91.774798961113518</v>
      </c>
      <c r="E145" s="100">
        <v>96.993170492714768</v>
      </c>
      <c r="F145" s="100">
        <v>-1724.4549675595251</v>
      </c>
      <c r="G145" s="100">
        <v>1313.6811577733808</v>
      </c>
      <c r="H145" s="100">
        <v>2082.562288746175</v>
      </c>
      <c r="I145" s="100">
        <v>-3612.5308380135407</v>
      </c>
      <c r="J145" s="100">
        <v>-1940.74235905351</v>
      </c>
    </row>
    <row r="146" spans="1:10" x14ac:dyDescent="0.25">
      <c r="A146">
        <v>129</v>
      </c>
      <c r="B146" s="100">
        <v>89.649826864375228</v>
      </c>
      <c r="C146" s="100">
        <v>97.696365353511766</v>
      </c>
      <c r="D146" s="100">
        <v>92.685381714632683</v>
      </c>
      <c r="E146" s="100">
        <v>91.782299440943802</v>
      </c>
      <c r="F146" s="100">
        <v>-317.41204872872402</v>
      </c>
      <c r="G146" s="100">
        <v>770.28622967552701</v>
      </c>
      <c r="H146" s="100">
        <v>261.39678170784464</v>
      </c>
      <c r="I146" s="100">
        <v>1598.3402137574244</v>
      </c>
      <c r="J146" s="100">
        <v>2312.6111764120719</v>
      </c>
    </row>
    <row r="147" spans="1:10" x14ac:dyDescent="0.25">
      <c r="A147">
        <v>130</v>
      </c>
      <c r="B147" s="100">
        <v>89.430664362163895</v>
      </c>
      <c r="C147" s="100">
        <v>97.505940298873682</v>
      </c>
      <c r="D147" s="100">
        <v>94.731543115509794</v>
      </c>
      <c r="E147" s="100">
        <v>90.828018985602654</v>
      </c>
      <c r="F147" s="100">
        <v>405.82420856867429</v>
      </c>
      <c r="G147" s="100">
        <v>1055.9238116326526</v>
      </c>
      <c r="H147" s="100">
        <v>-3830.9260200463768</v>
      </c>
      <c r="I147" s="100">
        <v>2552.6206690985732</v>
      </c>
      <c r="J147" s="100">
        <v>183.44266925352304</v>
      </c>
    </row>
    <row r="148" spans="1:10" x14ac:dyDescent="0.25">
      <c r="A148">
        <v>131</v>
      </c>
      <c r="B148" s="100">
        <v>89.379306248579724</v>
      </c>
      <c r="C148" s="100">
        <v>96.383798775326852</v>
      </c>
      <c r="D148" s="100">
        <v>92.566711023539312</v>
      </c>
      <c r="E148" s="100">
        <v>89.948815997975444</v>
      </c>
      <c r="F148" s="100">
        <v>575.30598339644143</v>
      </c>
      <c r="G148" s="100">
        <v>2739.1360969528973</v>
      </c>
      <c r="H148" s="100">
        <v>498.73816389458625</v>
      </c>
      <c r="I148" s="100">
        <v>3431.8236567257827</v>
      </c>
      <c r="J148" s="100">
        <v>7245.0039009697075</v>
      </c>
    </row>
    <row r="149" spans="1:10" x14ac:dyDescent="0.25">
      <c r="A149">
        <v>132</v>
      </c>
      <c r="B149" s="100">
        <v>90.191349320412499</v>
      </c>
      <c r="C149" s="100">
        <v>98.066207445821732</v>
      </c>
      <c r="D149" s="100">
        <v>93.432638297586465</v>
      </c>
      <c r="E149" s="100">
        <v>93.150782771389544</v>
      </c>
      <c r="F149" s="100">
        <v>-2104.4361536517172</v>
      </c>
      <c r="G149" s="100">
        <v>215.52309121057789</v>
      </c>
      <c r="H149" s="100">
        <v>-1233.1163841997181</v>
      </c>
      <c r="I149" s="100">
        <v>229.85688331168319</v>
      </c>
      <c r="J149" s="100">
        <v>-2892.1725633291744</v>
      </c>
    </row>
    <row r="150" spans="1:10" x14ac:dyDescent="0.25">
      <c r="A150">
        <v>133</v>
      </c>
      <c r="B150" s="100">
        <v>90.005381379325812</v>
      </c>
      <c r="C150" s="100">
        <v>97.885650305849865</v>
      </c>
      <c r="D150" s="100">
        <v>92.606757602222146</v>
      </c>
      <c r="E150" s="100">
        <v>92.455274998988159</v>
      </c>
      <c r="F150" s="100">
        <v>-1490.7419480656486</v>
      </c>
      <c r="G150" s="100">
        <v>486.35880116837882</v>
      </c>
      <c r="H150" s="100">
        <v>418.64500652891934</v>
      </c>
      <c r="I150" s="100">
        <v>925.36465571306792</v>
      </c>
      <c r="J150" s="100">
        <v>339.62651534471752</v>
      </c>
    </row>
    <row r="151" spans="1:10" x14ac:dyDescent="0.25">
      <c r="A151">
        <v>134</v>
      </c>
      <c r="B151" s="100">
        <v>89.850128890523962</v>
      </c>
      <c r="C151" s="100">
        <v>98.982351110357385</v>
      </c>
      <c r="D151" s="100">
        <v>95.66205944664641</v>
      </c>
      <c r="E151" s="100">
        <v>94.016564006527432</v>
      </c>
      <c r="F151" s="100">
        <v>-978.40873501954491</v>
      </c>
      <c r="G151" s="100">
        <v>-1158.6924055929017</v>
      </c>
      <c r="H151" s="100">
        <v>-5691.9586823196087</v>
      </c>
      <c r="I151" s="100">
        <v>-635.92435182620477</v>
      </c>
      <c r="J151" s="100">
        <v>-8464.9841747582595</v>
      </c>
    </row>
    <row r="152" spans="1:10" x14ac:dyDescent="0.25">
      <c r="A152">
        <v>135</v>
      </c>
      <c r="B152" s="100">
        <v>89.799739893117732</v>
      </c>
      <c r="C152" s="100">
        <v>97.074546528467707</v>
      </c>
      <c r="D152" s="100">
        <v>93.870805190535336</v>
      </c>
      <c r="E152" s="100">
        <v>94.241526495675757</v>
      </c>
      <c r="F152" s="100">
        <v>-812.12504357898467</v>
      </c>
      <c r="G152" s="100">
        <v>1703.0144672416156</v>
      </c>
      <c r="H152" s="100">
        <v>-2109.4501700974606</v>
      </c>
      <c r="I152" s="100">
        <v>-860.88684097452983</v>
      </c>
      <c r="J152" s="100">
        <v>-2079.4475874093596</v>
      </c>
    </row>
    <row r="153" spans="1:10" x14ac:dyDescent="0.25">
      <c r="A153">
        <v>136</v>
      </c>
      <c r="B153" s="100">
        <v>89.976796888409339</v>
      </c>
      <c r="C153" s="100">
        <v>98.794385366148177</v>
      </c>
      <c r="D153" s="100">
        <v>93.187887908002182</v>
      </c>
      <c r="E153" s="100">
        <v>95.295239735088913</v>
      </c>
      <c r="F153" s="100">
        <v>-1396.4131280412901</v>
      </c>
      <c r="G153" s="100">
        <v>-876.74378927908947</v>
      </c>
      <c r="H153" s="100">
        <v>-743.61560503115243</v>
      </c>
      <c r="I153" s="100">
        <v>-1914.6000803876859</v>
      </c>
      <c r="J153" s="100">
        <v>-4931.3726027392186</v>
      </c>
    </row>
    <row r="154" spans="1:10" x14ac:dyDescent="0.25">
      <c r="A154">
        <v>137</v>
      </c>
      <c r="B154" s="100">
        <v>89.442138787176219</v>
      </c>
      <c r="C154" s="100">
        <v>98.218832919335526</v>
      </c>
      <c r="D154" s="100">
        <v>90.916177766959265</v>
      </c>
      <c r="E154" s="100">
        <v>90.225771994608351</v>
      </c>
      <c r="F154" s="100">
        <v>367.95860602800587</v>
      </c>
      <c r="G154" s="100">
        <v>-13.415119060113057</v>
      </c>
      <c r="H154" s="100">
        <v>3799.8046770546807</v>
      </c>
      <c r="I154" s="100">
        <v>3154.8676600928757</v>
      </c>
      <c r="J154" s="100">
        <v>7309.2158241154493</v>
      </c>
    </row>
    <row r="155" spans="1:10" x14ac:dyDescent="0.25">
      <c r="A155">
        <v>138</v>
      </c>
      <c r="B155" s="100">
        <v>89.904173232289182</v>
      </c>
      <c r="C155" s="100">
        <v>99.5307282954697</v>
      </c>
      <c r="D155" s="100">
        <v>91.059622410655564</v>
      </c>
      <c r="E155" s="100">
        <v>93.897187914734189</v>
      </c>
      <c r="F155" s="100">
        <v>-1156.7550628447705</v>
      </c>
      <c r="G155" s="100">
        <v>-1981.2581832613746</v>
      </c>
      <c r="H155" s="100">
        <v>3512.9153896620837</v>
      </c>
      <c r="I155" s="100">
        <v>-516.5482600329625</v>
      </c>
      <c r="J155" s="100">
        <v>-141.64611647702361</v>
      </c>
    </row>
    <row r="156" spans="1:10" x14ac:dyDescent="0.25">
      <c r="A156">
        <v>139</v>
      </c>
      <c r="B156" s="100">
        <v>89.653315806890021</v>
      </c>
      <c r="C156" s="100">
        <v>97.621765575611931</v>
      </c>
      <c r="D156" s="100">
        <v>94.15113559709161</v>
      </c>
      <c r="E156" s="100">
        <v>97.291145421516973</v>
      </c>
      <c r="F156" s="100">
        <v>-328.92555902753884</v>
      </c>
      <c r="G156" s="100">
        <v>882.18589652527862</v>
      </c>
      <c r="H156" s="100">
        <v>-2670.1109832100087</v>
      </c>
      <c r="I156" s="100">
        <v>-3910.5057668157456</v>
      </c>
      <c r="J156" s="100">
        <v>-6027.3564125280145</v>
      </c>
    </row>
    <row r="157" spans="1:10" x14ac:dyDescent="0.25">
      <c r="A157">
        <v>140</v>
      </c>
      <c r="B157" s="100">
        <v>89.818641080028797</v>
      </c>
      <c r="C157" s="100">
        <v>98.108958448213301</v>
      </c>
      <c r="D157" s="100">
        <v>92.428080504879574</v>
      </c>
      <c r="E157" s="100">
        <v>93.932169935069012</v>
      </c>
      <c r="F157" s="100">
        <v>-874.49896038550173</v>
      </c>
      <c r="G157" s="100">
        <v>151.39658762322483</v>
      </c>
      <c r="H157" s="100">
        <v>775.99920121406285</v>
      </c>
      <c r="I157" s="100">
        <v>-551.53028036778551</v>
      </c>
      <c r="J157" s="100">
        <v>-498.63345191599956</v>
      </c>
    </row>
    <row r="158" spans="1:10" x14ac:dyDescent="0.25">
      <c r="A158">
        <v>141</v>
      </c>
      <c r="B158" s="100">
        <v>89.804002057193671</v>
      </c>
      <c r="C158" s="100">
        <v>98.420096537849915</v>
      </c>
      <c r="D158" s="100">
        <v>94.138530761254827</v>
      </c>
      <c r="E158" s="100">
        <v>93.919128299433225</v>
      </c>
      <c r="F158" s="100">
        <v>-826.1901850295842</v>
      </c>
      <c r="G158" s="100">
        <v>-315.31054683169657</v>
      </c>
      <c r="H158" s="100">
        <v>-2644.9013115364437</v>
      </c>
      <c r="I158" s="100">
        <v>-538.48864473199853</v>
      </c>
      <c r="J158" s="100">
        <v>-4324.8906881297225</v>
      </c>
    </row>
    <row r="159" spans="1:10" x14ac:dyDescent="0.25">
      <c r="A159">
        <v>142</v>
      </c>
      <c r="B159" s="100">
        <v>89.385377435867085</v>
      </c>
      <c r="C159" s="100">
        <v>98.570021650663193</v>
      </c>
      <c r="D159" s="100">
        <v>91.438105363898146</v>
      </c>
      <c r="E159" s="100">
        <v>92.120487827830402</v>
      </c>
      <c r="F159" s="100">
        <v>555.2710653481497</v>
      </c>
      <c r="G159" s="100">
        <v>-540.19821605161405</v>
      </c>
      <c r="H159" s="100">
        <v>2755.9494831769198</v>
      </c>
      <c r="I159" s="100">
        <v>1260.1518268708246</v>
      </c>
      <c r="J159" s="100">
        <v>4031.1741593442798</v>
      </c>
    </row>
    <row r="160" spans="1:10" x14ac:dyDescent="0.25">
      <c r="A160">
        <v>143</v>
      </c>
      <c r="B160" s="100">
        <v>89.690296069580924</v>
      </c>
      <c r="C160" s="100">
        <v>98.286717290077519</v>
      </c>
      <c r="D160" s="100">
        <v>92.146395721287959</v>
      </c>
      <c r="E160" s="100">
        <v>95.380088889373809</v>
      </c>
      <c r="F160" s="100">
        <v>-450.96042590752035</v>
      </c>
      <c r="G160" s="100">
        <v>-115.24167517310246</v>
      </c>
      <c r="H160" s="100">
        <v>1339.3687683972928</v>
      </c>
      <c r="I160" s="100">
        <v>-1999.449234672582</v>
      </c>
      <c r="J160" s="100">
        <v>-1226.2825673559119</v>
      </c>
    </row>
    <row r="161" spans="1:10" x14ac:dyDescent="0.25">
      <c r="A161">
        <v>144</v>
      </c>
      <c r="B161" s="100">
        <v>89.350156143242529</v>
      </c>
      <c r="C161" s="100">
        <v>97.058778519726815</v>
      </c>
      <c r="D161" s="100">
        <v>92.810428718088247</v>
      </c>
      <c r="E161" s="100">
        <v>95.267963718104227</v>
      </c>
      <c r="F161" s="100">
        <v>671.50133100918333</v>
      </c>
      <c r="G161" s="100">
        <v>1726.6664803529536</v>
      </c>
      <c r="H161" s="100">
        <v>11.30277479671804</v>
      </c>
      <c r="I161" s="100">
        <v>-1887.3240634029999</v>
      </c>
      <c r="J161" s="100">
        <v>522.14652275585513</v>
      </c>
    </row>
    <row r="162" spans="1:10" x14ac:dyDescent="0.25">
      <c r="A162">
        <v>145</v>
      </c>
      <c r="B162" s="100">
        <v>89.526957720154698</v>
      </c>
      <c r="C162" s="100">
        <v>98.95805817275</v>
      </c>
      <c r="D162" s="100">
        <v>93.92085613175017</v>
      </c>
      <c r="E162" s="100">
        <v>94.136583289823577</v>
      </c>
      <c r="F162" s="100">
        <v>88.05612719902598</v>
      </c>
      <c r="G162" s="100">
        <v>-1122.2529991818249</v>
      </c>
      <c r="H162" s="100">
        <v>-2209.5520525271295</v>
      </c>
      <c r="I162" s="100">
        <v>-755.94363512234963</v>
      </c>
      <c r="J162" s="100">
        <v>-3999.6925596322781</v>
      </c>
    </row>
    <row r="163" spans="1:10" x14ac:dyDescent="0.25">
      <c r="A163">
        <v>146</v>
      </c>
      <c r="B163" s="100">
        <v>89.381059454541528</v>
      </c>
      <c r="C163" s="100">
        <v>100.10428774440281</v>
      </c>
      <c r="D163" s="100">
        <v>92.961532335895001</v>
      </c>
      <c r="E163" s="100">
        <v>92.427361938310156</v>
      </c>
      <c r="F163" s="100">
        <v>569.52040372248553</v>
      </c>
      <c r="G163" s="100">
        <v>-2841.5973566610405</v>
      </c>
      <c r="H163" s="100">
        <v>-290.90446081679033</v>
      </c>
      <c r="I163" s="100">
        <v>953.27771639107084</v>
      </c>
      <c r="J163" s="100">
        <v>-1609.7036973642748</v>
      </c>
    </row>
    <row r="164" spans="1:10" x14ac:dyDescent="0.25">
      <c r="A164">
        <v>147</v>
      </c>
      <c r="B164" s="100">
        <v>90.06486787485936</v>
      </c>
      <c r="C164" s="100">
        <v>98.541519100265901</v>
      </c>
      <c r="D164" s="100">
        <v>92.65627475435447</v>
      </c>
      <c r="E164" s="100">
        <v>94.620330863301149</v>
      </c>
      <c r="F164" s="100">
        <v>-1687.0473833263575</v>
      </c>
      <c r="G164" s="100">
        <v>-497.44439045567646</v>
      </c>
      <c r="H164" s="100">
        <v>319.61070226427069</v>
      </c>
      <c r="I164" s="100">
        <v>-1239.691208599922</v>
      </c>
      <c r="J164" s="100">
        <v>-3104.5722801176853</v>
      </c>
    </row>
    <row r="165" spans="1:10" x14ac:dyDescent="0.25">
      <c r="A165">
        <v>148</v>
      </c>
      <c r="B165" s="100">
        <v>90.136493655500175</v>
      </c>
      <c r="C165" s="100">
        <v>98.015330191571209</v>
      </c>
      <c r="D165" s="100">
        <v>93.402507076072354</v>
      </c>
      <c r="E165" s="100">
        <v>93.120014808140269</v>
      </c>
      <c r="F165" s="100">
        <v>-1923.4124594410473</v>
      </c>
      <c r="G165" s="100">
        <v>291.83897258636193</v>
      </c>
      <c r="H165" s="100">
        <v>-1172.8539411714962</v>
      </c>
      <c r="I165" s="100">
        <v>260.62484656095819</v>
      </c>
      <c r="J165" s="100">
        <v>-2543.8025814652233</v>
      </c>
    </row>
    <row r="166" spans="1:10" x14ac:dyDescent="0.25">
      <c r="A166">
        <v>149</v>
      </c>
      <c r="B166" s="100">
        <v>89.151025065266381</v>
      </c>
      <c r="C166" s="100">
        <v>100.25530902571343</v>
      </c>
      <c r="D166" s="100">
        <v>93.052048518572846</v>
      </c>
      <c r="E166" s="100">
        <v>92.203113150668472</v>
      </c>
      <c r="F166" s="100">
        <v>1328.6338883304709</v>
      </c>
      <c r="G166" s="100">
        <v>-3068.1292786269696</v>
      </c>
      <c r="H166" s="100">
        <v>-471.93682617248101</v>
      </c>
      <c r="I166" s="100">
        <v>1177.5265040327554</v>
      </c>
      <c r="J166" s="100">
        <v>-1033.9057124362243</v>
      </c>
    </row>
    <row r="167" spans="1:10" x14ac:dyDescent="0.25">
      <c r="A167">
        <v>150</v>
      </c>
      <c r="B167" s="100">
        <v>89.183792272781545</v>
      </c>
      <c r="C167" s="100">
        <v>98.454422545968498</v>
      </c>
      <c r="D167" s="100">
        <v>93.210857916694735</v>
      </c>
      <c r="E167" s="100">
        <v>91.493065665292875</v>
      </c>
      <c r="F167" s="100">
        <v>1220.5021035304298</v>
      </c>
      <c r="G167" s="100">
        <v>-366.7995590095714</v>
      </c>
      <c r="H167" s="100">
        <v>-789.55562241625898</v>
      </c>
      <c r="I167" s="100">
        <v>1887.5739894083522</v>
      </c>
      <c r="J167" s="100">
        <v>1951.7209115129517</v>
      </c>
    </row>
    <row r="168" spans="1:10" x14ac:dyDescent="0.25">
      <c r="A168">
        <v>151</v>
      </c>
      <c r="B168" s="100">
        <v>89.121952353718626</v>
      </c>
      <c r="C168" s="100">
        <v>99.439333962243353</v>
      </c>
      <c r="D168" s="100">
        <v>93.581583375804087</v>
      </c>
      <c r="E168" s="100">
        <v>93.093888322053303</v>
      </c>
      <c r="F168" s="100">
        <v>1424.5738364380627</v>
      </c>
      <c r="G168" s="100">
        <v>-1844.1666834218538</v>
      </c>
      <c r="H168" s="100">
        <v>-1531.0065406349622</v>
      </c>
      <c r="I168" s="100">
        <v>286.75133264792407</v>
      </c>
      <c r="J168" s="100">
        <v>-1663.8480549708293</v>
      </c>
    </row>
    <row r="169" spans="1:10" x14ac:dyDescent="0.25">
      <c r="A169">
        <v>152</v>
      </c>
      <c r="B169" s="100">
        <v>89.771222314252711</v>
      </c>
      <c r="C169" s="100">
        <v>97.255543501066327</v>
      </c>
      <c r="D169" s="100">
        <v>91.220224130341521</v>
      </c>
      <c r="E169" s="100">
        <v>91.33475288693873</v>
      </c>
      <c r="F169" s="100">
        <v>-718.01703332441639</v>
      </c>
      <c r="G169" s="100">
        <v>1431.5190083436846</v>
      </c>
      <c r="H169" s="100">
        <v>3191.7119502901696</v>
      </c>
      <c r="I169" s="100">
        <v>2045.8867677624967</v>
      </c>
      <c r="J169" s="100">
        <v>5951.1006930719341</v>
      </c>
    </row>
    <row r="170" spans="1:10" x14ac:dyDescent="0.25">
      <c r="A170">
        <v>153</v>
      </c>
      <c r="B170" s="100">
        <v>88.917768532654534</v>
      </c>
      <c r="C170" s="100">
        <v>97.961115200838449</v>
      </c>
      <c r="D170" s="100">
        <v>91.54909353469067</v>
      </c>
      <c r="E170" s="100">
        <v>92.896805707216004</v>
      </c>
      <c r="F170" s="100">
        <v>2098.3804459495659</v>
      </c>
      <c r="G170" s="100">
        <v>373.16145868550166</v>
      </c>
      <c r="H170" s="100">
        <v>2533.9731415918723</v>
      </c>
      <c r="I170" s="100">
        <v>483.83394748522335</v>
      </c>
      <c r="J170" s="100">
        <v>5489.3489937121631</v>
      </c>
    </row>
    <row r="171" spans="1:10" x14ac:dyDescent="0.25">
      <c r="A171">
        <v>154</v>
      </c>
      <c r="B171" s="100">
        <v>90.205750444119815</v>
      </c>
      <c r="C171" s="100">
        <v>98.80297423459335</v>
      </c>
      <c r="D171" s="100">
        <v>93.967509011693267</v>
      </c>
      <c r="E171" s="100">
        <v>94.694760610156607</v>
      </c>
      <c r="F171" s="100">
        <v>-2151.9598618858595</v>
      </c>
      <c r="G171" s="100">
        <v>-889.62709194684919</v>
      </c>
      <c r="H171" s="100">
        <v>-2302.8578124133219</v>
      </c>
      <c r="I171" s="100">
        <v>-1314.1209554553798</v>
      </c>
      <c r="J171" s="100">
        <v>-6658.5657217014104</v>
      </c>
    </row>
    <row r="172" spans="1:10" x14ac:dyDescent="0.25">
      <c r="A172">
        <v>155</v>
      </c>
      <c r="B172" s="100">
        <v>89.088062416307622</v>
      </c>
      <c r="C172" s="100">
        <v>98.555187283943312</v>
      </c>
      <c r="D172" s="100">
        <v>92.210311896845212</v>
      </c>
      <c r="E172" s="100">
        <v>93.30903542496624</v>
      </c>
      <c r="F172" s="100">
        <v>1536.4106298943766</v>
      </c>
      <c r="G172" s="100">
        <v>-517.94666597179173</v>
      </c>
      <c r="H172" s="100">
        <v>1211.5364172827867</v>
      </c>
      <c r="I172" s="100">
        <v>71.604229734987257</v>
      </c>
      <c r="J172" s="100">
        <v>2301.6046109403587</v>
      </c>
    </row>
    <row r="173" spans="1:10" x14ac:dyDescent="0.25">
      <c r="A173">
        <v>156</v>
      </c>
      <c r="B173" s="100">
        <v>89.862094389205794</v>
      </c>
      <c r="C173" s="100">
        <v>99.279420082934166</v>
      </c>
      <c r="D173" s="100">
        <v>92.806707633610586</v>
      </c>
      <c r="E173" s="100">
        <v>90.403439236114508</v>
      </c>
      <c r="F173" s="100">
        <v>-1017.89488066959</v>
      </c>
      <c r="G173" s="100">
        <v>-1604.2958644580735</v>
      </c>
      <c r="H173" s="100">
        <v>18.744943752039944</v>
      </c>
      <c r="I173" s="100">
        <v>2977.200418586719</v>
      </c>
      <c r="J173" s="100">
        <v>373.75461721109559</v>
      </c>
    </row>
    <row r="174" spans="1:10" x14ac:dyDescent="0.25">
      <c r="A174">
        <v>157</v>
      </c>
      <c r="B174" s="100">
        <v>89.955069610851069</v>
      </c>
      <c r="C174" s="100">
        <v>97.592383297916697</v>
      </c>
      <c r="D174" s="100">
        <v>94.837727322226243</v>
      </c>
      <c r="E174" s="100">
        <v>90.341592369265825</v>
      </c>
      <c r="F174" s="100">
        <v>-1324.7131120989991</v>
      </c>
      <c r="G174" s="100">
        <v>926.25931306812959</v>
      </c>
      <c r="H174" s="100">
        <v>-4043.2944334792751</v>
      </c>
      <c r="I174" s="100">
        <v>3039.0472854354016</v>
      </c>
      <c r="J174" s="100">
        <v>-1402.700947074743</v>
      </c>
    </row>
    <row r="175" spans="1:10" x14ac:dyDescent="0.25">
      <c r="A175">
        <v>158</v>
      </c>
      <c r="B175" s="100">
        <v>88.947936734725602</v>
      </c>
      <c r="C175" s="100">
        <v>99.703022104817563</v>
      </c>
      <c r="D175" s="100">
        <v>91.177622723557661</v>
      </c>
      <c r="E175" s="100">
        <v>92.801956474925404</v>
      </c>
      <c r="F175" s="100">
        <v>1998.8253791150441</v>
      </c>
      <c r="G175" s="100">
        <v>-2239.6988972831691</v>
      </c>
      <c r="H175" s="100">
        <v>3276.9147638578888</v>
      </c>
      <c r="I175" s="100">
        <v>578.68317977582251</v>
      </c>
      <c r="J175" s="100">
        <v>3614.7244254655861</v>
      </c>
    </row>
    <row r="176" spans="1:10" x14ac:dyDescent="0.25">
      <c r="A176">
        <v>159</v>
      </c>
      <c r="B176" s="100">
        <v>89.162801841115282</v>
      </c>
      <c r="C176" s="100">
        <v>98.146912005976191</v>
      </c>
      <c r="D176" s="100">
        <v>94.689634821075941</v>
      </c>
      <c r="E176" s="100">
        <v>92.903617927786172</v>
      </c>
      <c r="F176" s="100">
        <v>1289.7705280290979</v>
      </c>
      <c r="G176" s="100">
        <v>94.466250978889832</v>
      </c>
      <c r="H176" s="100">
        <v>-3747.1094311786715</v>
      </c>
      <c r="I176" s="100">
        <v>477.02172691505496</v>
      </c>
      <c r="J176" s="100">
        <v>-1885.8509252556291</v>
      </c>
    </row>
    <row r="177" spans="1:10" x14ac:dyDescent="0.25">
      <c r="A177">
        <v>160</v>
      </c>
      <c r="B177" s="100">
        <v>89.940859118959168</v>
      </c>
      <c r="C177" s="100">
        <v>97.758883747107731</v>
      </c>
      <c r="D177" s="100">
        <v>91.182907839695048</v>
      </c>
      <c r="E177" s="100">
        <v>94.370820346040119</v>
      </c>
      <c r="F177" s="100">
        <v>-1277.8184888557234</v>
      </c>
      <c r="G177" s="100">
        <v>676.50863928157889</v>
      </c>
      <c r="H177" s="100">
        <v>3266.3445315831154</v>
      </c>
      <c r="I177" s="100">
        <v>-990.18069133889242</v>
      </c>
      <c r="J177" s="100">
        <v>1674.8539906700785</v>
      </c>
    </row>
    <row r="178" spans="1:10" x14ac:dyDescent="0.25">
      <c r="A178">
        <v>161</v>
      </c>
      <c r="B178" s="100">
        <v>89.33947722956772</v>
      </c>
      <c r="C178" s="100">
        <v>98.369045899798053</v>
      </c>
      <c r="D178" s="100">
        <v>90.650071555348603</v>
      </c>
      <c r="E178" s="100">
        <v>92.051362496541472</v>
      </c>
      <c r="F178" s="100">
        <v>706.74174613605351</v>
      </c>
      <c r="G178" s="100">
        <v>-238.73458975390349</v>
      </c>
      <c r="H178" s="100">
        <v>4332.0171002760053</v>
      </c>
      <c r="I178" s="100">
        <v>1329.2771581597549</v>
      </c>
      <c r="J178" s="100">
        <v>6129.30141481791</v>
      </c>
    </row>
    <row r="179" spans="1:10" x14ac:dyDescent="0.25">
      <c r="A179">
        <v>162</v>
      </c>
      <c r="B179" s="100">
        <v>89.92705751785347</v>
      </c>
      <c r="C179" s="100">
        <v>96.583974709790297</v>
      </c>
      <c r="D179" s="100">
        <v>93.754045450696267</v>
      </c>
      <c r="E179" s="100">
        <v>91.98335716174644</v>
      </c>
      <c r="F179" s="100">
        <v>-1232.2732052069214</v>
      </c>
      <c r="G179" s="100">
        <v>2438.8721952577298</v>
      </c>
      <c r="H179" s="100">
        <v>-1875.9306904193238</v>
      </c>
      <c r="I179" s="100">
        <v>1397.2824929547869</v>
      </c>
      <c r="J179" s="100">
        <v>727.95079258627152</v>
      </c>
    </row>
    <row r="180" spans="1:10" x14ac:dyDescent="0.25">
      <c r="A180">
        <v>163</v>
      </c>
      <c r="B180" s="100">
        <v>89.565714279366276</v>
      </c>
      <c r="C180" s="100">
        <v>98.566249059490616</v>
      </c>
      <c r="D180" s="100">
        <v>92.868236681236894</v>
      </c>
      <c r="E180" s="100">
        <v>92.858268362550888</v>
      </c>
      <c r="F180" s="100">
        <v>-39.840518199180508</v>
      </c>
      <c r="G180" s="100">
        <v>-534.53932929274833</v>
      </c>
      <c r="H180" s="100">
        <v>-104.31315150057685</v>
      </c>
      <c r="I180" s="100">
        <v>522.37129215033917</v>
      </c>
      <c r="J180" s="100">
        <v>-156.32170684216646</v>
      </c>
    </row>
    <row r="181" spans="1:10" x14ac:dyDescent="0.25">
      <c r="A181">
        <v>164</v>
      </c>
      <c r="B181" s="100">
        <v>89.215992871385552</v>
      </c>
      <c r="C181" s="100">
        <v>97.057171057606865</v>
      </c>
      <c r="D181" s="100">
        <v>93.63482451656327</v>
      </c>
      <c r="E181" s="100">
        <v>91.410840365749095</v>
      </c>
      <c r="F181" s="100">
        <v>1114.2401281372074</v>
      </c>
      <c r="G181" s="100">
        <v>1729.0776735328777</v>
      </c>
      <c r="H181" s="100">
        <v>-1637.4888221533297</v>
      </c>
      <c r="I181" s="100">
        <v>1969.7992889521315</v>
      </c>
      <c r="J181" s="100">
        <v>3175.6282684688867</v>
      </c>
    </row>
    <row r="182" spans="1:10" x14ac:dyDescent="0.25">
      <c r="A182">
        <v>165</v>
      </c>
      <c r="B182" s="100">
        <v>89.522082060348055</v>
      </c>
      <c r="C182" s="100">
        <v>99.317832942200624</v>
      </c>
      <c r="D182" s="100">
        <v>94.391538102500931</v>
      </c>
      <c r="E182" s="100">
        <v>91.659302326204866</v>
      </c>
      <c r="F182" s="100">
        <v>104.14580456094882</v>
      </c>
      <c r="G182" s="100">
        <v>-1661.9151533577608</v>
      </c>
      <c r="H182" s="100">
        <v>-3150.9159940286509</v>
      </c>
      <c r="I182" s="100">
        <v>1721.3373284963609</v>
      </c>
      <c r="J182" s="100">
        <v>-2987.3480143291017</v>
      </c>
    </row>
    <row r="183" spans="1:10" x14ac:dyDescent="0.25">
      <c r="A183">
        <v>166</v>
      </c>
      <c r="B183" s="100">
        <v>90.136435339656487</v>
      </c>
      <c r="C183" s="100">
        <v>98.557792389354518</v>
      </c>
      <c r="D183" s="100">
        <v>91.689424076603544</v>
      </c>
      <c r="E183" s="100">
        <v>92.307228558063798</v>
      </c>
      <c r="F183" s="100">
        <v>-1923.2200171568763</v>
      </c>
      <c r="G183" s="100">
        <v>-521.85432408860061</v>
      </c>
      <c r="H183" s="100">
        <v>2253.3120577661239</v>
      </c>
      <c r="I183" s="100">
        <v>1073.4110966374287</v>
      </c>
      <c r="J183" s="100">
        <v>881.64881315807588</v>
      </c>
    </row>
    <row r="184" spans="1:10" x14ac:dyDescent="0.25">
      <c r="A184">
        <v>167</v>
      </c>
      <c r="B184" s="100">
        <v>90.182315707369568</v>
      </c>
      <c r="C184" s="100">
        <v>97.932723011869555</v>
      </c>
      <c r="D184" s="100">
        <v>92.752250511481478</v>
      </c>
      <c r="E184" s="100">
        <v>91.180240251022539</v>
      </c>
      <c r="F184" s="100">
        <v>-2074.6252306100459</v>
      </c>
      <c r="G184" s="100">
        <v>415.74974213884275</v>
      </c>
      <c r="H184" s="100">
        <v>127.65918801025578</v>
      </c>
      <c r="I184" s="100">
        <v>2200.399403678688</v>
      </c>
      <c r="J184" s="100">
        <v>669.18310321774061</v>
      </c>
    </row>
    <row r="185" spans="1:10" x14ac:dyDescent="0.25">
      <c r="A185">
        <v>168</v>
      </c>
      <c r="B185" s="100">
        <v>88.672301031074909</v>
      </c>
      <c r="C185" s="100">
        <v>98.453976211251671</v>
      </c>
      <c r="D185" s="100">
        <v>94.606323134578318</v>
      </c>
      <c r="E185" s="100">
        <v>94.766915354314918</v>
      </c>
      <c r="F185" s="100">
        <v>2908.4232011623299</v>
      </c>
      <c r="G185" s="100">
        <v>-366.13005693433109</v>
      </c>
      <c r="H185" s="100">
        <v>-3580.4860581834246</v>
      </c>
      <c r="I185" s="100">
        <v>-1386.2756996136909</v>
      </c>
      <c r="J185" s="100">
        <v>-2424.4686135691168</v>
      </c>
    </row>
    <row r="186" spans="1:10" x14ac:dyDescent="0.25">
      <c r="A186">
        <v>169</v>
      </c>
      <c r="B186" s="100">
        <v>90.185163174278003</v>
      </c>
      <c r="C186" s="100">
        <v>97.215258205677017</v>
      </c>
      <c r="D186" s="100">
        <v>92.814116482810931</v>
      </c>
      <c r="E186" s="100">
        <v>90.169015263063571</v>
      </c>
      <c r="F186" s="100">
        <v>-2084.0218714078801</v>
      </c>
      <c r="G186" s="100">
        <v>1491.94695142765</v>
      </c>
      <c r="H186" s="100">
        <v>3.9272453513490291</v>
      </c>
      <c r="I186" s="100">
        <v>3211.6243916376561</v>
      </c>
      <c r="J186" s="100">
        <v>2623.4767170087753</v>
      </c>
    </row>
    <row r="187" spans="1:10" x14ac:dyDescent="0.25">
      <c r="A187">
        <v>170</v>
      </c>
      <c r="B187" s="100">
        <v>89.619926657695558</v>
      </c>
      <c r="C187" s="100">
        <v>97.868511393525296</v>
      </c>
      <c r="D187" s="100">
        <v>93.482295785543997</v>
      </c>
      <c r="E187" s="100">
        <v>93.848124493527621</v>
      </c>
      <c r="F187" s="100">
        <v>-218.74136668581201</v>
      </c>
      <c r="G187" s="100">
        <v>512.06716965523219</v>
      </c>
      <c r="H187" s="100">
        <v>-1332.4313601147821</v>
      </c>
      <c r="I187" s="100">
        <v>-467.48483882639391</v>
      </c>
      <c r="J187" s="100">
        <v>-1506.5903959717557</v>
      </c>
    </row>
    <row r="188" spans="1:10" x14ac:dyDescent="0.25">
      <c r="A188">
        <v>171</v>
      </c>
      <c r="B188" s="100">
        <v>90.068006681511207</v>
      </c>
      <c r="C188" s="100">
        <v>97.263582111569107</v>
      </c>
      <c r="D188" s="100">
        <v>93.382760699622239</v>
      </c>
      <c r="E188" s="100">
        <v>91.567475862416671</v>
      </c>
      <c r="F188" s="100">
        <v>-1697.405445277454</v>
      </c>
      <c r="G188" s="100">
        <v>1419.4610925895149</v>
      </c>
      <c r="H188" s="100">
        <v>-1133.361188271266</v>
      </c>
      <c r="I188" s="100">
        <v>1813.1637922845557</v>
      </c>
      <c r="J188" s="100">
        <v>401.85825132535069</v>
      </c>
    </row>
    <row r="189" spans="1:10" x14ac:dyDescent="0.25">
      <c r="A189">
        <v>172</v>
      </c>
      <c r="B189" s="100">
        <v>89.010468486801045</v>
      </c>
      <c r="C189" s="100">
        <v>97.281972929588619</v>
      </c>
      <c r="D189" s="100">
        <v>93.258354337271001</v>
      </c>
      <c r="E189" s="100">
        <v>90.469951862750847</v>
      </c>
      <c r="F189" s="100">
        <v>1792.4705972660804</v>
      </c>
      <c r="G189" s="100">
        <v>1391.8748655602471</v>
      </c>
      <c r="H189" s="100">
        <v>-884.54846356879102</v>
      </c>
      <c r="I189" s="100">
        <v>2910.6877919503804</v>
      </c>
      <c r="J189" s="100">
        <v>5210.4847912079167</v>
      </c>
    </row>
    <row r="190" spans="1:10" x14ac:dyDescent="0.25">
      <c r="A190">
        <v>173</v>
      </c>
      <c r="B190" s="100">
        <v>89.988756445966146</v>
      </c>
      <c r="C190" s="100">
        <v>97.749261604885405</v>
      </c>
      <c r="D190" s="100">
        <v>90.537641602085657</v>
      </c>
      <c r="E190" s="100">
        <v>95.345017191962</v>
      </c>
      <c r="F190" s="100">
        <v>-1435.8796679787531</v>
      </c>
      <c r="G190" s="100">
        <v>690.9418526150688</v>
      </c>
      <c r="H190" s="100">
        <v>4556.8770068018976</v>
      </c>
      <c r="I190" s="100">
        <v>-1964.3775372607734</v>
      </c>
      <c r="J190" s="100">
        <v>1847.5616541774398</v>
      </c>
    </row>
    <row r="191" spans="1:10" x14ac:dyDescent="0.25">
      <c r="A191">
        <v>174</v>
      </c>
      <c r="B191" s="100">
        <v>90.030004683393258</v>
      </c>
      <c r="C191" s="100">
        <v>99.059157137850733</v>
      </c>
      <c r="D191" s="100">
        <v>90.901578363959587</v>
      </c>
      <c r="E191" s="100">
        <v>94.536615208905701</v>
      </c>
      <c r="F191" s="100">
        <v>-1571.9988514882232</v>
      </c>
      <c r="G191" s="100">
        <v>-1273.9014468329231</v>
      </c>
      <c r="H191" s="100">
        <v>3829.003483054038</v>
      </c>
      <c r="I191" s="100">
        <v>-1155.9755542044741</v>
      </c>
      <c r="J191" s="100">
        <v>-172.87236947158226</v>
      </c>
    </row>
    <row r="192" spans="1:10" x14ac:dyDescent="0.25">
      <c r="A192">
        <v>175</v>
      </c>
      <c r="B192" s="100">
        <v>89.581332605017508</v>
      </c>
      <c r="C192" s="100">
        <v>97.60707684953725</v>
      </c>
      <c r="D192" s="100">
        <v>91.7410864782305</v>
      </c>
      <c r="E192" s="100">
        <v>93.67180961748025</v>
      </c>
      <c r="F192" s="100">
        <v>-91.380992848246478</v>
      </c>
      <c r="G192" s="100">
        <v>904.21898563729997</v>
      </c>
      <c r="H192" s="100">
        <v>2149.9872545122116</v>
      </c>
      <c r="I192" s="100">
        <v>-291.16996277902274</v>
      </c>
      <c r="J192" s="100">
        <v>2671.6552845222427</v>
      </c>
    </row>
    <row r="193" spans="1:10" x14ac:dyDescent="0.25">
      <c r="A193">
        <v>176</v>
      </c>
      <c r="B193" s="100">
        <v>89.632518506766161</v>
      </c>
      <c r="C193" s="100">
        <v>97.419336950567015</v>
      </c>
      <c r="D193" s="100">
        <v>90.033980011858986</v>
      </c>
      <c r="E193" s="100">
        <v>94.85605561512449</v>
      </c>
      <c r="F193" s="100">
        <v>-260.29446861880103</v>
      </c>
      <c r="G193" s="100">
        <v>1185.8288340926536</v>
      </c>
      <c r="H193" s="100">
        <v>5564.2001872552382</v>
      </c>
      <c r="I193" s="100">
        <v>-1475.4159604232627</v>
      </c>
      <c r="J193" s="100">
        <v>5014.3185923058281</v>
      </c>
    </row>
    <row r="194" spans="1:10" x14ac:dyDescent="0.25">
      <c r="A194">
        <v>177</v>
      </c>
      <c r="B194" s="100">
        <v>89.437554506806237</v>
      </c>
      <c r="C194" s="100">
        <v>98.821387496780261</v>
      </c>
      <c r="D194" s="100">
        <v>92.60940080989262</v>
      </c>
      <c r="E194" s="100">
        <v>94.242970573428508</v>
      </c>
      <c r="F194" s="100">
        <v>383.08673124894881</v>
      </c>
      <c r="G194" s="100">
        <v>-917.24698522721587</v>
      </c>
      <c r="H194" s="100">
        <v>413.35859118797202</v>
      </c>
      <c r="I194" s="100">
        <v>-862.33091872728096</v>
      </c>
      <c r="J194" s="100">
        <v>-983.132581517576</v>
      </c>
    </row>
    <row r="195" spans="1:10" x14ac:dyDescent="0.25">
      <c r="A195">
        <v>178</v>
      </c>
      <c r="B195" s="100">
        <v>89.37607452272799</v>
      </c>
      <c r="C195" s="100">
        <v>98.117388352445204</v>
      </c>
      <c r="D195" s="100">
        <v>91.863484748574379</v>
      </c>
      <c r="E195" s="100">
        <v>91.522350932007242</v>
      </c>
      <c r="F195" s="100">
        <v>585.97067870716296</v>
      </c>
      <c r="G195" s="100">
        <v>138.7517312753701</v>
      </c>
      <c r="H195" s="100">
        <v>1905.190713824453</v>
      </c>
      <c r="I195" s="100">
        <v>1858.2887226939847</v>
      </c>
      <c r="J195" s="100">
        <v>4488.2018465009705</v>
      </c>
    </row>
    <row r="196" spans="1:10" x14ac:dyDescent="0.25">
      <c r="A196">
        <v>179</v>
      </c>
      <c r="B196" s="100">
        <v>89.679436106015189</v>
      </c>
      <c r="C196" s="100">
        <v>97.596788208831057</v>
      </c>
      <c r="D196" s="100">
        <v>93.162569787377208</v>
      </c>
      <c r="E196" s="100">
        <v>92.534643656335646</v>
      </c>
      <c r="F196" s="100">
        <v>-415.12254614059287</v>
      </c>
      <c r="G196" s="100">
        <v>919.65194669658956</v>
      </c>
      <c r="H196" s="100">
        <v>-692.97936378120539</v>
      </c>
      <c r="I196" s="100">
        <v>845.9959983655807</v>
      </c>
      <c r="J196" s="100">
        <v>657.54603514037194</v>
      </c>
    </row>
    <row r="197" spans="1:10" x14ac:dyDescent="0.25">
      <c r="A197">
        <v>180</v>
      </c>
      <c r="B197" s="100">
        <v>89.471603234514106</v>
      </c>
      <c r="C197" s="100">
        <v>98.113568516849156</v>
      </c>
      <c r="D197" s="100">
        <v>93.360450040752724</v>
      </c>
      <c r="E197" s="100">
        <v>94.361597796137346</v>
      </c>
      <c r="F197" s="100">
        <v>270.72592981297987</v>
      </c>
      <c r="G197" s="100">
        <v>144.48148466944133</v>
      </c>
      <c r="H197" s="100">
        <v>-1088.7398705322369</v>
      </c>
      <c r="I197" s="100">
        <v>-980.95814143611904</v>
      </c>
      <c r="J197" s="100">
        <v>-1654.4905974859348</v>
      </c>
    </row>
    <row r="198" spans="1:10" x14ac:dyDescent="0.25">
      <c r="A198">
        <v>181</v>
      </c>
      <c r="B198" s="100">
        <v>89.840324172845158</v>
      </c>
      <c r="C198" s="100">
        <v>98.55885600197459</v>
      </c>
      <c r="D198" s="100">
        <v>92.254306306027701</v>
      </c>
      <c r="E198" s="100">
        <v>95.278886787171174</v>
      </c>
      <c r="F198" s="100">
        <v>-946.05316667949069</v>
      </c>
      <c r="G198" s="100">
        <v>-523.44974301870911</v>
      </c>
      <c r="H198" s="100">
        <v>1123.5475989178099</v>
      </c>
      <c r="I198" s="100">
        <v>-1898.2471324699475</v>
      </c>
      <c r="J198" s="100">
        <v>-2244.2024432503376</v>
      </c>
    </row>
    <row r="199" spans="1:10" x14ac:dyDescent="0.25">
      <c r="A199">
        <v>182</v>
      </c>
      <c r="B199" s="100">
        <v>88.699471173343852</v>
      </c>
      <c r="C199" s="100">
        <v>97.277090009844102</v>
      </c>
      <c r="D199" s="100">
        <v>92.752326847289737</v>
      </c>
      <c r="E199" s="100">
        <v>90.503882742775005</v>
      </c>
      <c r="F199" s="100">
        <v>2818.7617316748174</v>
      </c>
      <c r="G199" s="100">
        <v>1399.1992451770229</v>
      </c>
      <c r="H199" s="100">
        <v>127.506516393737</v>
      </c>
      <c r="I199" s="100">
        <v>2876.7569119262221</v>
      </c>
      <c r="J199" s="100">
        <v>7222.2244051717989</v>
      </c>
    </row>
    <row r="200" spans="1:10" x14ac:dyDescent="0.25">
      <c r="A200">
        <v>183</v>
      </c>
      <c r="B200" s="100">
        <v>89.112872080451751</v>
      </c>
      <c r="C200" s="100">
        <v>96.815282527323134</v>
      </c>
      <c r="D200" s="100">
        <v>92.106404668432987</v>
      </c>
      <c r="E200" s="100">
        <v>93.681364399731862</v>
      </c>
      <c r="F200" s="100">
        <v>1454.53873821875</v>
      </c>
      <c r="G200" s="100">
        <v>2091.9104689584742</v>
      </c>
      <c r="H200" s="100">
        <v>1419.3508741072378</v>
      </c>
      <c r="I200" s="100">
        <v>-300.72474503063518</v>
      </c>
      <c r="J200" s="100">
        <v>4665.0753362538271</v>
      </c>
    </row>
    <row r="201" spans="1:10" x14ac:dyDescent="0.25">
      <c r="A201">
        <v>184</v>
      </c>
      <c r="B201" s="100">
        <v>89.568285873000036</v>
      </c>
      <c r="C201" s="100">
        <v>97.692932290917611</v>
      </c>
      <c r="D201" s="100">
        <v>91.582572620778834</v>
      </c>
      <c r="E201" s="100">
        <v>93.914181996365329</v>
      </c>
      <c r="F201" s="100">
        <v>-48.326777190590064</v>
      </c>
      <c r="G201" s="100">
        <v>775.43582356675961</v>
      </c>
      <c r="H201" s="100">
        <v>2467.0149694155443</v>
      </c>
      <c r="I201" s="100">
        <v>-533.54234166410208</v>
      </c>
      <c r="J201" s="100">
        <v>2660.5816741276117</v>
      </c>
    </row>
    <row r="202" spans="1:10" x14ac:dyDescent="0.25">
      <c r="A202">
        <v>185</v>
      </c>
      <c r="B202" s="100">
        <v>89.888661664903566</v>
      </c>
      <c r="C202" s="100">
        <v>98.557813243258821</v>
      </c>
      <c r="D202" s="100">
        <v>93.58138927880691</v>
      </c>
      <c r="E202" s="100">
        <v>91.959324069468281</v>
      </c>
      <c r="F202" s="100">
        <v>-1105.5668904722381</v>
      </c>
      <c r="G202" s="100">
        <v>-521.88560494505509</v>
      </c>
      <c r="H202" s="100">
        <v>-1530.6183466406083</v>
      </c>
      <c r="I202" s="100">
        <v>1421.3155852329464</v>
      </c>
      <c r="J202" s="100">
        <v>-1736.7552568249548</v>
      </c>
    </row>
    <row r="203" spans="1:10" x14ac:dyDescent="0.25">
      <c r="A203">
        <v>186</v>
      </c>
      <c r="B203" s="100">
        <v>88.905112966178322</v>
      </c>
      <c r="C203" s="100">
        <v>99.23514267858198</v>
      </c>
      <c r="D203" s="100">
        <v>93.148420891186817</v>
      </c>
      <c r="E203" s="100">
        <v>93.719189598861362</v>
      </c>
      <c r="F203" s="100">
        <v>2140.1438153210661</v>
      </c>
      <c r="G203" s="100">
        <v>-1537.8797579297939</v>
      </c>
      <c r="H203" s="100">
        <v>-664.68157140042194</v>
      </c>
      <c r="I203" s="100">
        <v>-338.5499441601354</v>
      </c>
      <c r="J203" s="100">
        <v>-400.96745816928512</v>
      </c>
    </row>
    <row r="204" spans="1:10" x14ac:dyDescent="0.25">
      <c r="A204">
        <v>187</v>
      </c>
      <c r="B204" s="100">
        <v>90.181986441061596</v>
      </c>
      <c r="C204" s="100">
        <v>98.364510760063197</v>
      </c>
      <c r="D204" s="100">
        <v>92.025266102381934</v>
      </c>
      <c r="E204" s="100">
        <v>95.523885629977528</v>
      </c>
      <c r="F204" s="100">
        <v>-2073.5386517937386</v>
      </c>
      <c r="G204" s="100">
        <v>-231.93188015162036</v>
      </c>
      <c r="H204" s="100">
        <v>1581.6280062093426</v>
      </c>
      <c r="I204" s="100">
        <v>-2143.2459752763007</v>
      </c>
      <c r="J204" s="100">
        <v>-2867.0885010123166</v>
      </c>
    </row>
    <row r="205" spans="1:10" x14ac:dyDescent="0.25">
      <c r="A205">
        <v>188</v>
      </c>
      <c r="B205" s="100">
        <v>89.386575319664701</v>
      </c>
      <c r="C205" s="100">
        <v>97.692560555714991</v>
      </c>
      <c r="D205" s="100">
        <v>93.332967895823842</v>
      </c>
      <c r="E205" s="100">
        <v>93.655235712084718</v>
      </c>
      <c r="F205" s="100">
        <v>551.31804881601738</v>
      </c>
      <c r="G205" s="100">
        <v>775.99342637068958</v>
      </c>
      <c r="H205" s="100">
        <v>-1033.7755806744724</v>
      </c>
      <c r="I205" s="100">
        <v>-274.59605738349069</v>
      </c>
      <c r="J205" s="100">
        <v>18.939837128743875</v>
      </c>
    </row>
    <row r="206" spans="1:10" x14ac:dyDescent="0.25">
      <c r="A206">
        <v>189</v>
      </c>
      <c r="B206" s="100">
        <v>89.596547184920695</v>
      </c>
      <c r="C206" s="100">
        <v>98.20404953087079</v>
      </c>
      <c r="D206" s="100">
        <v>92.115089336611518</v>
      </c>
      <c r="E206" s="100">
        <v>93.560743520242411</v>
      </c>
      <c r="F206" s="100">
        <v>-141.58910652876386</v>
      </c>
      <c r="G206" s="100">
        <v>8.7599636369901646</v>
      </c>
      <c r="H206" s="100">
        <v>1401.9815377501743</v>
      </c>
      <c r="I206" s="100">
        <v>-180.1038655411844</v>
      </c>
      <c r="J206" s="100">
        <v>1089.0485293172162</v>
      </c>
    </row>
    <row r="207" spans="1:10" x14ac:dyDescent="0.25">
      <c r="A207">
        <v>190</v>
      </c>
      <c r="B207" s="100">
        <v>89.646947215796104</v>
      </c>
      <c r="C207" s="100">
        <v>98.459497506798243</v>
      </c>
      <c r="D207" s="100">
        <v>91.098795980633611</v>
      </c>
      <c r="E207" s="100">
        <v>91.601297876220414</v>
      </c>
      <c r="F207" s="100">
        <v>-307.90920841761249</v>
      </c>
      <c r="G207" s="100">
        <v>-374.41200025418908</v>
      </c>
      <c r="H207" s="100">
        <v>3434.5682497059897</v>
      </c>
      <c r="I207" s="100">
        <v>1779.3417784808128</v>
      </c>
      <c r="J207" s="100">
        <v>4531.588819515001</v>
      </c>
    </row>
    <row r="208" spans="1:10" x14ac:dyDescent="0.25">
      <c r="A208">
        <v>191</v>
      </c>
      <c r="B208" s="100">
        <v>89.730757171488506</v>
      </c>
      <c r="C208" s="100">
        <v>98.80857258368502</v>
      </c>
      <c r="D208" s="100">
        <v>93.341195648624989</v>
      </c>
      <c r="E208" s="100">
        <v>92.892306305216835</v>
      </c>
      <c r="F208" s="100">
        <v>-584.48206220253951</v>
      </c>
      <c r="G208" s="100">
        <v>-898.02461558435448</v>
      </c>
      <c r="H208" s="100">
        <v>-1050.2310862767672</v>
      </c>
      <c r="I208" s="100">
        <v>488.33334948439244</v>
      </c>
      <c r="J208" s="100">
        <v>-2044.4044145792691</v>
      </c>
    </row>
    <row r="209" spans="1:10" x14ac:dyDescent="0.25">
      <c r="A209">
        <v>192</v>
      </c>
      <c r="B209" s="100">
        <v>89.558570740534932</v>
      </c>
      <c r="C209" s="100">
        <v>96.972167553303095</v>
      </c>
      <c r="D209" s="100">
        <v>92.104481106571797</v>
      </c>
      <c r="E209" s="100">
        <v>93.804761138885794</v>
      </c>
      <c r="F209" s="100">
        <v>-16.266840055747878</v>
      </c>
      <c r="G209" s="100">
        <v>1856.5829299885336</v>
      </c>
      <c r="H209" s="100">
        <v>1423.1979978296181</v>
      </c>
      <c r="I209" s="100">
        <v>-424.12148418456752</v>
      </c>
      <c r="J209" s="100">
        <v>2839.3926035778359</v>
      </c>
    </row>
    <row r="210" spans="1:10" x14ac:dyDescent="0.25">
      <c r="A210">
        <v>193</v>
      </c>
      <c r="B210" s="100">
        <v>90.071808823670409</v>
      </c>
      <c r="C210" s="100">
        <v>98.00880715869404</v>
      </c>
      <c r="D210" s="100">
        <v>92.079005539480306</v>
      </c>
      <c r="E210" s="100">
        <v>92.692539236262789</v>
      </c>
      <c r="F210" s="100">
        <v>-1709.9525144028207</v>
      </c>
      <c r="G210" s="100">
        <v>301.6235219021155</v>
      </c>
      <c r="H210" s="100">
        <v>1474.1491320125988</v>
      </c>
      <c r="I210" s="100">
        <v>688.10041843843806</v>
      </c>
      <c r="J210" s="100">
        <v>753.92055795033161</v>
      </c>
    </row>
    <row r="211" spans="1:10" x14ac:dyDescent="0.25">
      <c r="A211">
        <v>194</v>
      </c>
      <c r="B211" s="100">
        <v>89.249333377453056</v>
      </c>
      <c r="C211" s="100">
        <v>97.822787834144478</v>
      </c>
      <c r="D211" s="100">
        <v>93.863534529777311</v>
      </c>
      <c r="E211" s="100">
        <v>93.242544071562165</v>
      </c>
      <c r="F211" s="100">
        <v>1004.2164581144461</v>
      </c>
      <c r="G211" s="100">
        <v>580.6525087264589</v>
      </c>
      <c r="H211" s="100">
        <v>-2094.9088485814118</v>
      </c>
      <c r="I211" s="100">
        <v>138.09558313906223</v>
      </c>
      <c r="J211" s="100">
        <v>-371.94429860144442</v>
      </c>
    </row>
    <row r="212" spans="1:10" x14ac:dyDescent="0.25">
      <c r="A212">
        <v>195</v>
      </c>
      <c r="B212" s="100">
        <v>88.667982688178768</v>
      </c>
      <c r="C212" s="100">
        <v>98.005401706083092</v>
      </c>
      <c r="D212" s="100">
        <v>92.489024972546474</v>
      </c>
      <c r="E212" s="100">
        <v>94.261471735960328</v>
      </c>
      <c r="F212" s="100">
        <v>2922.673732719596</v>
      </c>
      <c r="G212" s="100">
        <v>306.7317008185384</v>
      </c>
      <c r="H212" s="100">
        <v>654.11026588026289</v>
      </c>
      <c r="I212" s="100">
        <v>-880.83208125910062</v>
      </c>
      <c r="J212" s="100">
        <v>3002.6836181592967</v>
      </c>
    </row>
    <row r="213" spans="1:10" x14ac:dyDescent="0.25">
      <c r="A213">
        <v>196</v>
      </c>
      <c r="B213" s="100">
        <v>89.012788584005278</v>
      </c>
      <c r="C213" s="100">
        <v>97.248073492362323</v>
      </c>
      <c r="D213" s="100">
        <v>93.664210419959403</v>
      </c>
      <c r="E213" s="100">
        <v>90.85356071800544</v>
      </c>
      <c r="F213" s="100">
        <v>1784.8142764921108</v>
      </c>
      <c r="G213" s="100">
        <v>1442.7240213996911</v>
      </c>
      <c r="H213" s="100">
        <v>-1696.2606289455948</v>
      </c>
      <c r="I213" s="100">
        <v>2527.078936695787</v>
      </c>
      <c r="J213" s="100">
        <v>4058.3566056419941</v>
      </c>
    </row>
    <row r="214" spans="1:10" x14ac:dyDescent="0.25">
      <c r="A214">
        <v>197</v>
      </c>
      <c r="B214" s="100">
        <v>89.468191512881845</v>
      </c>
      <c r="C214" s="100">
        <v>99.135235078969927</v>
      </c>
      <c r="D214" s="100">
        <v>92.375380334869149</v>
      </c>
      <c r="E214" s="100">
        <v>92.651810493815773</v>
      </c>
      <c r="F214" s="100">
        <v>281.98461119944227</v>
      </c>
      <c r="G214" s="100">
        <v>-1388.0183585117152</v>
      </c>
      <c r="H214" s="100">
        <v>881.39954123491293</v>
      </c>
      <c r="I214" s="100">
        <v>728.82916088545358</v>
      </c>
      <c r="J214" s="100">
        <v>504.1949548080936</v>
      </c>
    </row>
    <row r="215" spans="1:10" x14ac:dyDescent="0.25">
      <c r="A215">
        <v>198</v>
      </c>
      <c r="B215" s="100">
        <v>90.06149624538233</v>
      </c>
      <c r="C215" s="100">
        <v>97.956897540897728</v>
      </c>
      <c r="D215" s="100">
        <v>94.694142916925301</v>
      </c>
      <c r="E215" s="100">
        <v>94.559856677971496</v>
      </c>
      <c r="F215" s="100">
        <v>-1675.9210060521582</v>
      </c>
      <c r="G215" s="100">
        <v>379.48794859658364</v>
      </c>
      <c r="H215" s="100">
        <v>-3756.1256228773914</v>
      </c>
      <c r="I215" s="100">
        <v>-1179.2170232702688</v>
      </c>
      <c r="J215" s="100">
        <v>-6231.7757036032344</v>
      </c>
    </row>
    <row r="216" spans="1:10" x14ac:dyDescent="0.25">
      <c r="A216">
        <v>199</v>
      </c>
      <c r="B216" s="100">
        <v>89.238440112862136</v>
      </c>
      <c r="C216" s="100">
        <v>97.126327256819678</v>
      </c>
      <c r="D216" s="100">
        <v>92.535675678312629</v>
      </c>
      <c r="E216" s="100">
        <v>93.862195535280577</v>
      </c>
      <c r="F216" s="100">
        <v>1040.1642312644797</v>
      </c>
      <c r="G216" s="100">
        <v>1625.3433747136582</v>
      </c>
      <c r="H216" s="100">
        <v>560.80885434795391</v>
      </c>
      <c r="I216" s="100">
        <v>-481.55588057935006</v>
      </c>
      <c r="J216" s="100">
        <v>2744.7605797467413</v>
      </c>
    </row>
    <row r="217" spans="1:10" x14ac:dyDescent="0.25">
      <c r="A217">
        <v>200</v>
      </c>
      <c r="B217" s="100">
        <v>88.795983710263073</v>
      </c>
      <c r="C217" s="100">
        <v>99.296511747306965</v>
      </c>
      <c r="D217" s="100">
        <v>92.527572853184893</v>
      </c>
      <c r="E217" s="100">
        <v>94.681467471293189</v>
      </c>
      <c r="F217" s="100">
        <v>2500.2703598413887</v>
      </c>
      <c r="G217" s="100">
        <v>-1629.9333610172723</v>
      </c>
      <c r="H217" s="100">
        <v>577.01450460342585</v>
      </c>
      <c r="I217" s="100">
        <v>-1300.8278165919619</v>
      </c>
      <c r="J217" s="100">
        <v>146.52368683558029</v>
      </c>
    </row>
    <row r="218" spans="1:10" x14ac:dyDescent="0.25">
      <c r="A218">
        <v>201</v>
      </c>
      <c r="B218" s="100">
        <v>89.445348077491516</v>
      </c>
      <c r="C218" s="100">
        <v>98.083760114158366</v>
      </c>
      <c r="D218" s="100">
        <v>94.300898269204339</v>
      </c>
      <c r="E218" s="100">
        <v>94.704759586522442</v>
      </c>
      <c r="F218" s="100">
        <v>357.36794798752527</v>
      </c>
      <c r="G218" s="100">
        <v>189.19408870562648</v>
      </c>
      <c r="H218" s="100">
        <v>-2969.6363274354667</v>
      </c>
      <c r="I218" s="100">
        <v>-1324.1199318212152</v>
      </c>
      <c r="J218" s="100">
        <v>-3747.1942225635303</v>
      </c>
    </row>
    <row r="219" spans="1:10" x14ac:dyDescent="0.25">
      <c r="A219">
        <v>202</v>
      </c>
      <c r="B219" s="100">
        <v>89.406436263462226</v>
      </c>
      <c r="C219" s="100">
        <v>97.640839636698615</v>
      </c>
      <c r="D219" s="100">
        <v>92.15211288314201</v>
      </c>
      <c r="E219" s="100">
        <v>93.223037407727475</v>
      </c>
      <c r="F219" s="100">
        <v>485.77693428418485</v>
      </c>
      <c r="G219" s="100">
        <v>853.57480489525278</v>
      </c>
      <c r="H219" s="100">
        <v>1327.9344446891912</v>
      </c>
      <c r="I219" s="100">
        <v>157.60224697375236</v>
      </c>
      <c r="J219" s="100">
        <v>2824.8884308423808</v>
      </c>
    </row>
    <row r="220" spans="1:10" x14ac:dyDescent="0.25">
      <c r="A220">
        <v>203</v>
      </c>
      <c r="B220" s="100">
        <v>89.314709110873892</v>
      </c>
      <c r="C220" s="100">
        <v>99.197627154611965</v>
      </c>
      <c r="D220" s="100">
        <v>92.507546702400987</v>
      </c>
      <c r="E220" s="100">
        <v>93.019878835593957</v>
      </c>
      <c r="F220" s="100">
        <v>788.47653782568591</v>
      </c>
      <c r="G220" s="100">
        <v>-1481.6064719747715</v>
      </c>
      <c r="H220" s="100">
        <v>617.06680617123766</v>
      </c>
      <c r="I220" s="100">
        <v>360.76081910726998</v>
      </c>
      <c r="J220" s="100">
        <v>284.69769112942208</v>
      </c>
    </row>
    <row r="221" spans="1:10" x14ac:dyDescent="0.25">
      <c r="A221">
        <v>204</v>
      </c>
      <c r="B221" s="100">
        <v>90.287259590602645</v>
      </c>
      <c r="C221" s="100">
        <v>98.106110415084416</v>
      </c>
      <c r="D221" s="100">
        <v>94.609406045027569</v>
      </c>
      <c r="E221" s="100">
        <v>94.019550613561321</v>
      </c>
      <c r="F221" s="100">
        <v>-2420.9400452791983</v>
      </c>
      <c r="G221" s="100">
        <v>155.66863731655189</v>
      </c>
      <c r="H221" s="100">
        <v>-3586.6518790819273</v>
      </c>
      <c r="I221" s="100">
        <v>-638.91095886009452</v>
      </c>
      <c r="J221" s="100">
        <v>-6490.8342459046689</v>
      </c>
    </row>
    <row r="222" spans="1:10" x14ac:dyDescent="0.25">
      <c r="A222">
        <v>205</v>
      </c>
      <c r="B222" s="100">
        <v>88.876986696300435</v>
      </c>
      <c r="C222" s="100">
        <v>97.70848669702923</v>
      </c>
      <c r="D222" s="100">
        <v>95.573803182583418</v>
      </c>
      <c r="E222" s="100">
        <v>95.618545776893896</v>
      </c>
      <c r="F222" s="100">
        <v>2232.9605059180949</v>
      </c>
      <c r="G222" s="100">
        <v>752.10421439933134</v>
      </c>
      <c r="H222" s="100">
        <v>-5515.4461541936253</v>
      </c>
      <c r="I222" s="100">
        <v>-2237.906122192669</v>
      </c>
      <c r="J222" s="100">
        <v>-4768.2875560688681</v>
      </c>
    </row>
    <row r="223" spans="1:10" x14ac:dyDescent="0.25">
      <c r="A223">
        <v>206</v>
      </c>
      <c r="B223" s="100">
        <v>88.528619783915616</v>
      </c>
      <c r="C223" s="100">
        <v>98.829090723501778</v>
      </c>
      <c r="D223" s="100">
        <v>93.440816075785079</v>
      </c>
      <c r="E223" s="100">
        <v>95.256234088745032</v>
      </c>
      <c r="F223" s="100">
        <v>3382.5713167879967</v>
      </c>
      <c r="G223" s="100">
        <v>-928.80182530949185</v>
      </c>
      <c r="H223" s="100">
        <v>-1249.4719405969477</v>
      </c>
      <c r="I223" s="100">
        <v>-1875.594434043805</v>
      </c>
      <c r="J223" s="100">
        <v>-671.29688316224792</v>
      </c>
    </row>
    <row r="224" spans="1:10" x14ac:dyDescent="0.25">
      <c r="A224">
        <v>207</v>
      </c>
      <c r="B224" s="100">
        <v>89.450241876938392</v>
      </c>
      <c r="C224" s="100">
        <v>98.847427276958499</v>
      </c>
      <c r="D224" s="100">
        <v>91.489769876558327</v>
      </c>
      <c r="E224" s="100">
        <v>90.47764483969874</v>
      </c>
      <c r="F224" s="100">
        <v>341.21840981283498</v>
      </c>
      <c r="G224" s="100">
        <v>-956.30665549457206</v>
      </c>
      <c r="H224" s="100">
        <v>2652.6204578565566</v>
      </c>
      <c r="I224" s="100">
        <v>2902.9948150024866</v>
      </c>
      <c r="J224" s="100">
        <v>4940.5270271773061</v>
      </c>
    </row>
    <row r="225" spans="1:10" x14ac:dyDescent="0.25">
      <c r="A225">
        <v>208</v>
      </c>
      <c r="B225" s="100">
        <v>88.916763814725741</v>
      </c>
      <c r="C225" s="100">
        <v>96.997585769885276</v>
      </c>
      <c r="D225" s="100">
        <v>92.228484717578425</v>
      </c>
      <c r="E225" s="100">
        <v>90.304498939954698</v>
      </c>
      <c r="F225" s="100">
        <v>2101.6960151145854</v>
      </c>
      <c r="G225" s="100">
        <v>1818.4556051152613</v>
      </c>
      <c r="H225" s="100">
        <v>1175.1907758163611</v>
      </c>
      <c r="I225" s="100">
        <v>3076.1407147465293</v>
      </c>
      <c r="J225" s="100">
        <v>8171.4831107927366</v>
      </c>
    </row>
    <row r="226" spans="1:10" x14ac:dyDescent="0.25">
      <c r="A226">
        <v>209</v>
      </c>
      <c r="B226" s="100">
        <v>89.13284234698456</v>
      </c>
      <c r="C226" s="100">
        <v>98.696547196032981</v>
      </c>
      <c r="D226" s="100">
        <v>93.066090851286418</v>
      </c>
      <c r="E226" s="100">
        <v>94.978867658949127</v>
      </c>
      <c r="F226" s="100">
        <v>1388.6368586604804</v>
      </c>
      <c r="G226" s="100">
        <v>-729.98653410629549</v>
      </c>
      <c r="H226" s="100">
        <v>-500.02149159962528</v>
      </c>
      <c r="I226" s="100">
        <v>-1598.2280042479006</v>
      </c>
      <c r="J226" s="100">
        <v>-1439.599171293341</v>
      </c>
    </row>
    <row r="227" spans="1:10" x14ac:dyDescent="0.25">
      <c r="A227">
        <v>210</v>
      </c>
      <c r="B227" s="100">
        <v>89.328418001434372</v>
      </c>
      <c r="C227" s="100">
        <v>98.04449581694044</v>
      </c>
      <c r="D227" s="100">
        <v>92.873123289908847</v>
      </c>
      <c r="E227" s="100">
        <v>94.623048391511816</v>
      </c>
      <c r="F227" s="100">
        <v>743.23719897610226</v>
      </c>
      <c r="G227" s="100">
        <v>248.09053453251551</v>
      </c>
      <c r="H227" s="100">
        <v>-114.08636884448242</v>
      </c>
      <c r="I227" s="100">
        <v>-1242.4087368105888</v>
      </c>
      <c r="J227" s="100">
        <v>-365.16737214645354</v>
      </c>
    </row>
    <row r="228" spans="1:10" x14ac:dyDescent="0.25">
      <c r="A228">
        <v>211</v>
      </c>
      <c r="B228" s="100">
        <v>89.793480739400579</v>
      </c>
      <c r="C228" s="100">
        <v>98.063266555340022</v>
      </c>
      <c r="D228" s="100">
        <v>93.628560543536693</v>
      </c>
      <c r="E228" s="100">
        <v>93.471062177210939</v>
      </c>
      <c r="F228" s="100">
        <v>-791.46983631238049</v>
      </c>
      <c r="G228" s="100">
        <v>219.93442693314336</v>
      </c>
      <c r="H228" s="100">
        <v>-1624.9608761001753</v>
      </c>
      <c r="I228" s="100">
        <v>-90.422522509712167</v>
      </c>
      <c r="J228" s="100">
        <v>-2286.9188079891242</v>
      </c>
    </row>
    <row r="229" spans="1:10" x14ac:dyDescent="0.25">
      <c r="A229">
        <v>212</v>
      </c>
      <c r="B229" s="100">
        <v>89.649786191203972</v>
      </c>
      <c r="C229" s="100">
        <v>99.427071486282045</v>
      </c>
      <c r="D229" s="100">
        <v>94.638206896897898</v>
      </c>
      <c r="E229" s="100">
        <v>93.542795796833786</v>
      </c>
      <c r="F229" s="100">
        <v>-317.27782726357958</v>
      </c>
      <c r="G229" s="100">
        <v>-1825.7729694798925</v>
      </c>
      <c r="H229" s="100">
        <v>-3644.2535828225855</v>
      </c>
      <c r="I229" s="100">
        <v>-162.15614213255947</v>
      </c>
      <c r="J229" s="100">
        <v>-5949.4605216986174</v>
      </c>
    </row>
    <row r="230" spans="1:10" x14ac:dyDescent="0.25">
      <c r="A230">
        <v>213</v>
      </c>
      <c r="B230" s="100">
        <v>89.7234812558534</v>
      </c>
      <c r="C230" s="100">
        <v>97.717434739147535</v>
      </c>
      <c r="D230" s="100">
        <v>92.799367266255544</v>
      </c>
      <c r="E230" s="100">
        <v>93.506917071204114</v>
      </c>
      <c r="F230" s="100">
        <v>-560.47154060669163</v>
      </c>
      <c r="G230" s="100">
        <v>738.68215122187303</v>
      </c>
      <c r="H230" s="100">
        <v>33.425678462123187</v>
      </c>
      <c r="I230" s="100">
        <v>-126.27741650288726</v>
      </c>
      <c r="J230" s="100">
        <v>85.358872574417319</v>
      </c>
    </row>
    <row r="231" spans="1:10" x14ac:dyDescent="0.25">
      <c r="A231">
        <v>214</v>
      </c>
      <c r="B231" s="100">
        <v>89.530103359819719</v>
      </c>
      <c r="C231" s="100">
        <v>98.497086140544624</v>
      </c>
      <c r="D231" s="100">
        <v>91.784046290809286</v>
      </c>
      <c r="E231" s="100">
        <v>94.343948073775778</v>
      </c>
      <c r="F231" s="100">
        <v>77.675516304455527</v>
      </c>
      <c r="G231" s="100">
        <v>-430.79495087376074</v>
      </c>
      <c r="H231" s="100">
        <v>2064.0676293546394</v>
      </c>
      <c r="I231" s="100">
        <v>-963.30841907455067</v>
      </c>
      <c r="J231" s="100">
        <v>747.63977571078351</v>
      </c>
    </row>
    <row r="232" spans="1:10" x14ac:dyDescent="0.25">
      <c r="A232">
        <v>215</v>
      </c>
      <c r="B232" s="100">
        <v>91.114750151381045</v>
      </c>
      <c r="C232" s="100">
        <v>100.06886706015874</v>
      </c>
      <c r="D232" s="100">
        <v>94.665389629501036</v>
      </c>
      <c r="E232" s="100">
        <v>96.822175952565289</v>
      </c>
      <c r="F232" s="100">
        <v>-5151.6588958479206</v>
      </c>
      <c r="G232" s="100">
        <v>-2788.4663302949307</v>
      </c>
      <c r="H232" s="100">
        <v>-3698.6190480288597</v>
      </c>
      <c r="I232" s="100">
        <v>-3441.5362978640615</v>
      </c>
      <c r="J232" s="100">
        <v>-15080.280572035772</v>
      </c>
    </row>
    <row r="233" spans="1:10" x14ac:dyDescent="0.25">
      <c r="A233">
        <v>216</v>
      </c>
      <c r="B233" s="100">
        <v>89.436304260228383</v>
      </c>
      <c r="C233" s="100">
        <v>98.440415609123107</v>
      </c>
      <c r="D233" s="100">
        <v>92.211594008596421</v>
      </c>
      <c r="E233" s="100">
        <v>91.686446887199352</v>
      </c>
      <c r="F233" s="100">
        <v>387.21254495586663</v>
      </c>
      <c r="G233" s="100">
        <v>-345.78915374148522</v>
      </c>
      <c r="H233" s="100">
        <v>1208.9721937803688</v>
      </c>
      <c r="I233" s="100">
        <v>1694.1927675018746</v>
      </c>
      <c r="J233" s="100">
        <v>2944.5883524966248</v>
      </c>
    </row>
    <row r="234" spans="1:10" x14ac:dyDescent="0.25">
      <c r="A234">
        <v>217</v>
      </c>
      <c r="B234" s="100">
        <v>89.033228214083678</v>
      </c>
      <c r="C234" s="100">
        <v>98.272632427658635</v>
      </c>
      <c r="D234" s="100">
        <v>93.49022955989777</v>
      </c>
      <c r="E234" s="100">
        <v>93.978704800986804</v>
      </c>
      <c r="F234" s="100">
        <v>1717.3634972333914</v>
      </c>
      <c r="G234" s="100">
        <v>-94.114381544777359</v>
      </c>
      <c r="H234" s="100">
        <v>-1348.2989088223292</v>
      </c>
      <c r="I234" s="100">
        <v>-598.0651462855775</v>
      </c>
      <c r="J234" s="100">
        <v>-323.11493941929268</v>
      </c>
    </row>
    <row r="235" spans="1:10" x14ac:dyDescent="0.25">
      <c r="A235">
        <v>218</v>
      </c>
      <c r="B235" s="100">
        <v>89.250946259893681</v>
      </c>
      <c r="C235" s="100">
        <v>98.074587674979625</v>
      </c>
      <c r="D235" s="100">
        <v>94.919647541734705</v>
      </c>
      <c r="E235" s="100">
        <v>93.416794751997827</v>
      </c>
      <c r="F235" s="100">
        <v>998.89394606038309</v>
      </c>
      <c r="G235" s="100">
        <v>202.95274747373782</v>
      </c>
      <c r="H235" s="100">
        <v>-4207.1348724961981</v>
      </c>
      <c r="I235" s="100">
        <v>-36.155097296600047</v>
      </c>
      <c r="J235" s="100">
        <v>-3041.4432762586771</v>
      </c>
    </row>
    <row r="236" spans="1:10" x14ac:dyDescent="0.25">
      <c r="A236">
        <v>219</v>
      </c>
      <c r="B236" s="100">
        <v>89.63683419288536</v>
      </c>
      <c r="C236" s="100">
        <v>97.561412384442221</v>
      </c>
      <c r="D236" s="100">
        <v>93.629534972030285</v>
      </c>
      <c r="E236" s="100">
        <v>92.63141993055558</v>
      </c>
      <c r="F236" s="100">
        <v>-274.53623281215727</v>
      </c>
      <c r="G236" s="100">
        <v>972.71568327984426</v>
      </c>
      <c r="H236" s="100">
        <v>-1626.9097330873592</v>
      </c>
      <c r="I236" s="100">
        <v>749.21972414564664</v>
      </c>
      <c r="J236" s="100">
        <v>-179.51055847402552</v>
      </c>
    </row>
    <row r="237" spans="1:10" x14ac:dyDescent="0.25">
      <c r="A237">
        <v>220</v>
      </c>
      <c r="B237" s="100">
        <v>89.108179051471808</v>
      </c>
      <c r="C237" s="100">
        <v>96.819109864552473</v>
      </c>
      <c r="D237" s="100">
        <v>91.626508785131108</v>
      </c>
      <c r="E237" s="100">
        <v>94.546738898627382</v>
      </c>
      <c r="F237" s="100">
        <v>1470.025733852563</v>
      </c>
      <c r="G237" s="100">
        <v>2086.169463114466</v>
      </c>
      <c r="H237" s="100">
        <v>2379.1426407109952</v>
      </c>
      <c r="I237" s="100">
        <v>-1166.0992439261549</v>
      </c>
      <c r="J237" s="100">
        <v>4769.2385937518684</v>
      </c>
    </row>
    <row r="238" spans="1:10" x14ac:dyDescent="0.25">
      <c r="A238">
        <v>221</v>
      </c>
      <c r="B238" s="100">
        <v>88.285831902729583</v>
      </c>
      <c r="C238" s="100">
        <v>98.850943191698889</v>
      </c>
      <c r="D238" s="100">
        <v>93.831381822611476</v>
      </c>
      <c r="E238" s="100">
        <v>96.699846074719005</v>
      </c>
      <c r="F238" s="100">
        <v>4183.7713247019037</v>
      </c>
      <c r="G238" s="100">
        <v>-961.58052760515739</v>
      </c>
      <c r="H238" s="100">
        <v>-2030.6034342497412</v>
      </c>
      <c r="I238" s="100">
        <v>-3319.2064200177783</v>
      </c>
      <c r="J238" s="100">
        <v>-2127.619057170773</v>
      </c>
    </row>
    <row r="239" spans="1:10" x14ac:dyDescent="0.25">
      <c r="A239">
        <v>222</v>
      </c>
      <c r="B239" s="100">
        <v>89.865028881214258</v>
      </c>
      <c r="C239" s="100">
        <v>99.793019955297112</v>
      </c>
      <c r="D239" s="100">
        <v>90.326448163464704</v>
      </c>
      <c r="E239" s="100">
        <v>91.022287329968975</v>
      </c>
      <c r="F239" s="100">
        <v>-1027.578704297521</v>
      </c>
      <c r="G239" s="100">
        <v>-2374.6956730024922</v>
      </c>
      <c r="H239" s="100">
        <v>4979.263884043803</v>
      </c>
      <c r="I239" s="100">
        <v>2358.3523247322519</v>
      </c>
      <c r="J239" s="100">
        <v>3935.341831476042</v>
      </c>
    </row>
    <row r="240" spans="1:10" x14ac:dyDescent="0.25">
      <c r="A240">
        <v>223</v>
      </c>
      <c r="B240" s="100">
        <v>89.208296429197915</v>
      </c>
      <c r="C240" s="100">
        <v>97.893208070551736</v>
      </c>
      <c r="D240" s="100">
        <v>92.688238619580844</v>
      </c>
      <c r="E240" s="100">
        <v>94.938157770238476</v>
      </c>
      <c r="F240" s="100">
        <v>1139.6383873564091</v>
      </c>
      <c r="G240" s="100">
        <v>475.02215411557103</v>
      </c>
      <c r="H240" s="100">
        <v>255.68297181152388</v>
      </c>
      <c r="I240" s="100">
        <v>-1557.5181155372491</v>
      </c>
      <c r="J240" s="100">
        <v>312.82539774625502</v>
      </c>
    </row>
    <row r="241" spans="1:10" x14ac:dyDescent="0.25">
      <c r="A241">
        <v>224</v>
      </c>
      <c r="B241" s="100">
        <v>89.425200189090148</v>
      </c>
      <c r="C241" s="100">
        <v>98.237217245513918</v>
      </c>
      <c r="D241" s="100">
        <v>93.836281237275315</v>
      </c>
      <c r="E241" s="100">
        <v>93.621601889259281</v>
      </c>
      <c r="F241" s="100">
        <v>423.85597971204021</v>
      </c>
      <c r="G241" s="100">
        <v>-40.991608327701101</v>
      </c>
      <c r="H241" s="100">
        <v>-2040.4022635774197</v>
      </c>
      <c r="I241" s="100">
        <v>-240.96223455805443</v>
      </c>
      <c r="J241" s="100">
        <v>-1898.500126751135</v>
      </c>
    </row>
    <row r="242" spans="1:10" x14ac:dyDescent="0.25">
      <c r="A242">
        <v>225</v>
      </c>
      <c r="B242" s="100">
        <v>89.292384853436133</v>
      </c>
      <c r="C242" s="100">
        <v>99.1117326000264</v>
      </c>
      <c r="D242" s="100">
        <v>92.922830901317184</v>
      </c>
      <c r="E242" s="100">
        <v>93.942353995347389</v>
      </c>
      <c r="F242" s="100">
        <v>862.14658737029163</v>
      </c>
      <c r="G242" s="100">
        <v>-1352.7646400964245</v>
      </c>
      <c r="H242" s="100">
        <v>-213.50159166115645</v>
      </c>
      <c r="I242" s="100">
        <v>-561.71434064616221</v>
      </c>
      <c r="J242" s="100">
        <v>-1265.8339850334514</v>
      </c>
    </row>
    <row r="243" spans="1:10" x14ac:dyDescent="0.25">
      <c r="A243">
        <v>226</v>
      </c>
      <c r="B243" s="100">
        <v>89.829184372938116</v>
      </c>
      <c r="C243" s="100">
        <v>99.602332965477089</v>
      </c>
      <c r="D243" s="100">
        <v>92.086671790881567</v>
      </c>
      <c r="E243" s="100">
        <v>94.103533494470526</v>
      </c>
      <c r="F243" s="100">
        <v>-909.29182698625232</v>
      </c>
      <c r="G243" s="100">
        <v>-2088.6651882724577</v>
      </c>
      <c r="H243" s="100">
        <v>1458.8166292100766</v>
      </c>
      <c r="I243" s="100">
        <v>-722.89383976929855</v>
      </c>
      <c r="J243" s="100">
        <v>-2262.0342258179321</v>
      </c>
    </row>
    <row r="244" spans="1:10" x14ac:dyDescent="0.25">
      <c r="A244">
        <v>227</v>
      </c>
      <c r="B244" s="100">
        <v>90.093275399313654</v>
      </c>
      <c r="C244" s="100">
        <v>97.745583445124765</v>
      </c>
      <c r="D244" s="100">
        <v>91.294674331622076</v>
      </c>
      <c r="E244" s="100">
        <v>94.787564951433737</v>
      </c>
      <c r="F244" s="100">
        <v>-1780.79221402553</v>
      </c>
      <c r="G244" s="100">
        <v>696.45909225602759</v>
      </c>
      <c r="H244" s="100">
        <v>3042.8115477290589</v>
      </c>
      <c r="I244" s="100">
        <v>-1406.9252967325099</v>
      </c>
      <c r="J244" s="100">
        <v>551.55312922704661</v>
      </c>
    </row>
    <row r="245" spans="1:10" x14ac:dyDescent="0.25">
      <c r="A245">
        <v>228</v>
      </c>
      <c r="B245" s="100">
        <v>88.489425460112471</v>
      </c>
      <c r="C245" s="100">
        <v>99.647320127094076</v>
      </c>
      <c r="D245" s="100">
        <v>92.383169944196624</v>
      </c>
      <c r="E245" s="100">
        <v>90.631370278957817</v>
      </c>
      <c r="F245" s="100">
        <v>3511.9125853383734</v>
      </c>
      <c r="G245" s="100">
        <v>-2156.1459306979386</v>
      </c>
      <c r="H245" s="100">
        <v>865.82032257996389</v>
      </c>
      <c r="I245" s="100">
        <v>2749.2693757434099</v>
      </c>
      <c r="J245" s="100">
        <v>4970.8563529638086</v>
      </c>
    </row>
    <row r="246" spans="1:10" x14ac:dyDescent="0.25">
      <c r="A246">
        <v>229</v>
      </c>
      <c r="B246" s="100">
        <v>89.187931799742628</v>
      </c>
      <c r="C246" s="100">
        <v>98.070044828164896</v>
      </c>
      <c r="D246" s="100">
        <v>92.663490815239953</v>
      </c>
      <c r="E246" s="100">
        <v>95.349512036426589</v>
      </c>
      <c r="F246" s="100">
        <v>1206.8416645588557</v>
      </c>
      <c r="G246" s="100">
        <v>209.76701769583173</v>
      </c>
      <c r="H246" s="100">
        <v>305.17858049330471</v>
      </c>
      <c r="I246" s="100">
        <v>-1968.8723817253617</v>
      </c>
      <c r="J246" s="100">
        <v>-247.08511897736958</v>
      </c>
    </row>
    <row r="247" spans="1:10" x14ac:dyDescent="0.25">
      <c r="A247">
        <v>230</v>
      </c>
      <c r="B247" s="100">
        <v>89.73637985600584</v>
      </c>
      <c r="C247" s="100">
        <v>98.455210796949629</v>
      </c>
      <c r="D247" s="100">
        <v>92.440290634545548</v>
      </c>
      <c r="E247" s="100">
        <v>92.402940368110208</v>
      </c>
      <c r="F247" s="100">
        <v>-603.03692110974225</v>
      </c>
      <c r="G247" s="100">
        <v>-367.9819354812679</v>
      </c>
      <c r="H247" s="100">
        <v>751.57894188211571</v>
      </c>
      <c r="I247" s="100">
        <v>977.69928659101879</v>
      </c>
      <c r="J247" s="100">
        <v>758.25937188212436</v>
      </c>
    </row>
    <row r="248" spans="1:10" x14ac:dyDescent="0.25">
      <c r="A248">
        <v>231</v>
      </c>
      <c r="B248" s="100">
        <v>89.733473859317129</v>
      </c>
      <c r="C248" s="100">
        <v>99.285170078985402</v>
      </c>
      <c r="D248" s="100">
        <v>92.611979593399667</v>
      </c>
      <c r="E248" s="100">
        <v>94.307976697670981</v>
      </c>
      <c r="F248" s="100">
        <v>-593.44713203699803</v>
      </c>
      <c r="G248" s="100">
        <v>-1612.9208585349274</v>
      </c>
      <c r="H248" s="100">
        <v>408.20102417387716</v>
      </c>
      <c r="I248" s="100">
        <v>-927.33704296975361</v>
      </c>
      <c r="J248" s="100">
        <v>-2725.5040093678017</v>
      </c>
    </row>
    <row r="249" spans="1:10" x14ac:dyDescent="0.25">
      <c r="A249">
        <v>232</v>
      </c>
      <c r="B249" s="100">
        <v>90.338604875636534</v>
      </c>
      <c r="C249" s="100">
        <v>97.766379002534435</v>
      </c>
      <c r="D249" s="100">
        <v>92.150250422732739</v>
      </c>
      <c r="E249" s="100">
        <v>93.764346723896338</v>
      </c>
      <c r="F249" s="100">
        <v>-2590.3794858910333</v>
      </c>
      <c r="G249" s="100">
        <v>665.2657561415225</v>
      </c>
      <c r="H249" s="100">
        <v>1331.6593655077327</v>
      </c>
      <c r="I249" s="100">
        <v>-383.70706919511122</v>
      </c>
      <c r="J249" s="100">
        <v>-977.16143343688918</v>
      </c>
    </row>
    <row r="250" spans="1:10" x14ac:dyDescent="0.25">
      <c r="A250">
        <v>233</v>
      </c>
      <c r="B250" s="100">
        <v>90.078429786595677</v>
      </c>
      <c r="C250" s="100">
        <v>97.407895415833821</v>
      </c>
      <c r="D250" s="100">
        <v>92.441402730319012</v>
      </c>
      <c r="E250" s="100">
        <v>93.744047104290701</v>
      </c>
      <c r="F250" s="100">
        <v>-1731.8016920562059</v>
      </c>
      <c r="G250" s="100">
        <v>1202.9911361924449</v>
      </c>
      <c r="H250" s="100">
        <v>749.35475033518628</v>
      </c>
      <c r="I250" s="100">
        <v>-363.40744958947369</v>
      </c>
      <c r="J250" s="100">
        <v>-142.86325511804841</v>
      </c>
    </row>
    <row r="251" spans="1:10" x14ac:dyDescent="0.25">
      <c r="A251">
        <v>234</v>
      </c>
      <c r="B251" s="100">
        <v>89.48918842131863</v>
      </c>
      <c r="C251" s="100">
        <v>98.055497958046374</v>
      </c>
      <c r="D251" s="100">
        <v>92.896260188955736</v>
      </c>
      <c r="E251" s="100">
        <v>90.79303616028217</v>
      </c>
      <c r="F251" s="100">
        <v>212.69481335804983</v>
      </c>
      <c r="G251" s="100">
        <v>231.58732287361516</v>
      </c>
      <c r="H251" s="100">
        <v>-160.36016693826127</v>
      </c>
      <c r="I251" s="100">
        <v>2587.6034944190565</v>
      </c>
      <c r="J251" s="100">
        <v>2871.5254637124604</v>
      </c>
    </row>
    <row r="252" spans="1:10" x14ac:dyDescent="0.25">
      <c r="A252">
        <v>235</v>
      </c>
      <c r="B252" s="100">
        <v>88.920160222057248</v>
      </c>
      <c r="C252" s="100">
        <v>96.724597674218344</v>
      </c>
      <c r="D252" s="100">
        <v>91.368067476759009</v>
      </c>
      <c r="E252" s="100">
        <v>96.650746215322059</v>
      </c>
      <c r="F252" s="100">
        <v>2090.48787092061</v>
      </c>
      <c r="G252" s="100">
        <v>2227.9377486156591</v>
      </c>
      <c r="H252" s="100">
        <v>2896.0252574551932</v>
      </c>
      <c r="I252" s="100">
        <v>-3270.1065606208317</v>
      </c>
      <c r="J252" s="100">
        <v>3944.3443163706302</v>
      </c>
    </row>
    <row r="253" spans="1:10" x14ac:dyDescent="0.25">
      <c r="A253">
        <v>236</v>
      </c>
      <c r="B253" s="100">
        <v>89.482688958833748</v>
      </c>
      <c r="C253" s="100">
        <v>96.374997391537349</v>
      </c>
      <c r="D253" s="100">
        <v>92.822675043200718</v>
      </c>
      <c r="E253" s="100">
        <v>94.577444537834069</v>
      </c>
      <c r="F253" s="100">
        <v>234.14303955816109</v>
      </c>
      <c r="G253" s="100">
        <v>2752.3381726371526</v>
      </c>
      <c r="H253" s="100">
        <v>-13.189875428224695</v>
      </c>
      <c r="I253" s="100">
        <v>-1196.8048831328417</v>
      </c>
      <c r="J253" s="100">
        <v>1776.4864536342473</v>
      </c>
    </row>
    <row r="254" spans="1:10" x14ac:dyDescent="0.25">
      <c r="A254">
        <v>237</v>
      </c>
      <c r="B254" s="100">
        <v>89.58921318151377</v>
      </c>
      <c r="C254" s="100">
        <v>96.511368745071749</v>
      </c>
      <c r="D254" s="100">
        <v>90.862404823713405</v>
      </c>
      <c r="E254" s="100">
        <v>94.972339860198701</v>
      </c>
      <c r="F254" s="100">
        <v>-117.38689528591237</v>
      </c>
      <c r="G254" s="100">
        <v>2547.781142335552</v>
      </c>
      <c r="H254" s="100">
        <v>3907.3505635464016</v>
      </c>
      <c r="I254" s="100">
        <v>-1591.7002054974746</v>
      </c>
      <c r="J254" s="100">
        <v>4746.0446050985665</v>
      </c>
    </row>
    <row r="255" spans="1:10" x14ac:dyDescent="0.25">
      <c r="A255">
        <v>238</v>
      </c>
      <c r="B255" s="100">
        <v>88.994251437431998</v>
      </c>
      <c r="C255" s="100">
        <v>97.864475906713594</v>
      </c>
      <c r="D255" s="100">
        <v>93.736568819473973</v>
      </c>
      <c r="E255" s="100">
        <v>96.543651802307878</v>
      </c>
      <c r="F255" s="100">
        <v>1845.9868601839346</v>
      </c>
      <c r="G255" s="100">
        <v>518.12039987278524</v>
      </c>
      <c r="H255" s="100">
        <v>-1840.9774279747353</v>
      </c>
      <c r="I255" s="100">
        <v>-3163.0121476066506</v>
      </c>
      <c r="J255" s="100">
        <v>-2639.882315524666</v>
      </c>
    </row>
    <row r="256" spans="1:10" x14ac:dyDescent="0.25">
      <c r="A256">
        <v>239</v>
      </c>
      <c r="B256" s="100">
        <v>90.185714569224388</v>
      </c>
      <c r="C256" s="100">
        <v>98.451298677915005</v>
      </c>
      <c r="D256" s="100">
        <v>91.568804110022143</v>
      </c>
      <c r="E256" s="100">
        <v>94.675191783233089</v>
      </c>
      <c r="F256" s="100">
        <v>-2085.8414747309498</v>
      </c>
      <c r="G256" s="100">
        <v>-362.11375692933245</v>
      </c>
      <c r="H256" s="100">
        <v>2494.551990928926</v>
      </c>
      <c r="I256" s="100">
        <v>-1294.5521285318619</v>
      </c>
      <c r="J256" s="100">
        <v>-1247.955369263218</v>
      </c>
    </row>
    <row r="257" spans="1:10" x14ac:dyDescent="0.25">
      <c r="A257">
        <v>240</v>
      </c>
      <c r="B257" s="100">
        <v>89.326274893370851</v>
      </c>
      <c r="C257" s="100">
        <v>97.801051780638048</v>
      </c>
      <c r="D257" s="100">
        <v>91.060021290253573</v>
      </c>
      <c r="E257" s="100">
        <v>92.235828310957061</v>
      </c>
      <c r="F257" s="100">
        <v>750.30945558572171</v>
      </c>
      <c r="G257" s="100">
        <v>613.25658898610413</v>
      </c>
      <c r="H257" s="100">
        <v>3512.1176304660648</v>
      </c>
      <c r="I257" s="100">
        <v>1144.8113437441662</v>
      </c>
      <c r="J257" s="100">
        <v>6020.4950187820568</v>
      </c>
    </row>
    <row r="258" spans="1:10" x14ac:dyDescent="0.25">
      <c r="A258">
        <v>241</v>
      </c>
      <c r="B258" s="100">
        <v>89.488596618794872</v>
      </c>
      <c r="C258" s="100">
        <v>98.808806182121359</v>
      </c>
      <c r="D258" s="100">
        <v>92.883138599050724</v>
      </c>
      <c r="E258" s="100">
        <v>90.316410181870538</v>
      </c>
      <c r="F258" s="100">
        <v>214.64776168645017</v>
      </c>
      <c r="G258" s="100">
        <v>-898.37501323886215</v>
      </c>
      <c r="H258" s="100">
        <v>-134.1169871282375</v>
      </c>
      <c r="I258" s="100">
        <v>3064.2294728306892</v>
      </c>
      <c r="J258" s="100">
        <v>2246.3852341500397</v>
      </c>
    </row>
    <row r="259" spans="1:10" x14ac:dyDescent="0.25">
      <c r="A259">
        <v>242</v>
      </c>
      <c r="B259" s="100">
        <v>90.128923934693262</v>
      </c>
      <c r="C259" s="100">
        <v>97.690318237254218</v>
      </c>
      <c r="D259" s="100">
        <v>92.279410663388745</v>
      </c>
      <c r="E259" s="100">
        <v>93.46346219392646</v>
      </c>
      <c r="F259" s="100">
        <v>-1898.4323807782346</v>
      </c>
      <c r="G259" s="100">
        <v>779.35690406184926</v>
      </c>
      <c r="H259" s="100">
        <v>1073.3388841957208</v>
      </c>
      <c r="I259" s="100">
        <v>-82.822539225233527</v>
      </c>
      <c r="J259" s="100">
        <v>-128.55913174589807</v>
      </c>
    </row>
    <row r="260" spans="1:10" x14ac:dyDescent="0.25">
      <c r="A260">
        <v>243</v>
      </c>
      <c r="B260" s="100">
        <v>89.301396161154798</v>
      </c>
      <c r="C260" s="100">
        <v>98.694961099620215</v>
      </c>
      <c r="D260" s="100">
        <v>91.878612817568865</v>
      </c>
      <c r="E260" s="100">
        <v>90.913835151166694</v>
      </c>
      <c r="F260" s="100">
        <v>832.40927189869467</v>
      </c>
      <c r="G260" s="100">
        <v>-727.60738948714732</v>
      </c>
      <c r="H260" s="100">
        <v>1874.9345758354821</v>
      </c>
      <c r="I260" s="100">
        <v>2466.8045035345331</v>
      </c>
      <c r="J260" s="100">
        <v>4446.5409617815621</v>
      </c>
    </row>
    <row r="261" spans="1:10" x14ac:dyDescent="0.25">
      <c r="A261">
        <v>244</v>
      </c>
      <c r="B261" s="100">
        <v>89.267586742548843</v>
      </c>
      <c r="C261" s="100">
        <v>99.443000272418345</v>
      </c>
      <c r="D261" s="100">
        <v>93.556248723017205</v>
      </c>
      <c r="E261" s="100">
        <v>94.86503185210033</v>
      </c>
      <c r="F261" s="100">
        <v>943.98035329834613</v>
      </c>
      <c r="G261" s="100">
        <v>-1849.6661486843423</v>
      </c>
      <c r="H261" s="100">
        <v>-1480.3372350611994</v>
      </c>
      <c r="I261" s="100">
        <v>-1484.392197399103</v>
      </c>
      <c r="J261" s="100">
        <v>-3870.4152278462989</v>
      </c>
    </row>
    <row r="262" spans="1:10" x14ac:dyDescent="0.25">
      <c r="A262">
        <v>245</v>
      </c>
      <c r="B262" s="100">
        <v>89.158362931425458</v>
      </c>
      <c r="C262" s="100">
        <v>98.641660578098566</v>
      </c>
      <c r="D262" s="100">
        <v>94.228807807452597</v>
      </c>
      <c r="E262" s="100">
        <v>94.969965683758886</v>
      </c>
      <c r="F262" s="100">
        <v>1304.418930005518</v>
      </c>
      <c r="G262" s="100">
        <v>-647.65660720467372</v>
      </c>
      <c r="H262" s="100">
        <v>-2825.4554039319828</v>
      </c>
      <c r="I262" s="100">
        <v>-1589.3260290576591</v>
      </c>
      <c r="J262" s="100">
        <v>-3758.0191101887976</v>
      </c>
    </row>
    <row r="263" spans="1:10" x14ac:dyDescent="0.25">
      <c r="A263">
        <v>246</v>
      </c>
      <c r="B263" s="100">
        <v>89.770455202910341</v>
      </c>
      <c r="C263" s="100">
        <v>98.545232737692416</v>
      </c>
      <c r="D263" s="100">
        <v>94.68275728212808</v>
      </c>
      <c r="E263" s="100">
        <v>94.471014572054088</v>
      </c>
      <c r="F263" s="100">
        <v>-715.48556589459622</v>
      </c>
      <c r="G263" s="100">
        <v>-503.01484659544826</v>
      </c>
      <c r="H263" s="100">
        <v>-3733.3543532829481</v>
      </c>
      <c r="I263" s="100">
        <v>-1090.3749173528608</v>
      </c>
      <c r="J263" s="100">
        <v>-6042.2296831258536</v>
      </c>
    </row>
    <row r="264" spans="1:10" x14ac:dyDescent="0.25">
      <c r="A264">
        <v>247</v>
      </c>
      <c r="B264" s="100">
        <v>89.214244613470214</v>
      </c>
      <c r="C264" s="100">
        <v>98.351234154690971</v>
      </c>
      <c r="D264" s="100">
        <v>93.051118044433395</v>
      </c>
      <c r="E264" s="100">
        <v>93.106451127524352</v>
      </c>
      <c r="F264" s="100">
        <v>1120.009379257823</v>
      </c>
      <c r="G264" s="100">
        <v>-212.01697209328074</v>
      </c>
      <c r="H264" s="100">
        <v>-470.07587789357785</v>
      </c>
      <c r="I264" s="100">
        <v>274.18852717687514</v>
      </c>
      <c r="J264" s="100">
        <v>712.1050564478395</v>
      </c>
    </row>
    <row r="265" spans="1:10" x14ac:dyDescent="0.25">
      <c r="A265">
        <v>248</v>
      </c>
      <c r="B265" s="100">
        <v>89.707457897103254</v>
      </c>
      <c r="C265" s="100">
        <v>97.883566112104262</v>
      </c>
      <c r="D265" s="100">
        <v>93.642119396209139</v>
      </c>
      <c r="E265" s="100">
        <v>93.301219034848714</v>
      </c>
      <c r="F265" s="100">
        <v>-507.5944567312078</v>
      </c>
      <c r="G265" s="100">
        <v>489.48509178678279</v>
      </c>
      <c r="H265" s="100">
        <v>-1652.0785814450676</v>
      </c>
      <c r="I265" s="100">
        <v>79.420619852513141</v>
      </c>
      <c r="J265" s="100">
        <v>-1590.7673265369795</v>
      </c>
    </row>
    <row r="266" spans="1:10" x14ac:dyDescent="0.25">
      <c r="A266">
        <v>249</v>
      </c>
      <c r="B266" s="100">
        <v>88.231388129030208</v>
      </c>
      <c r="C266" s="100">
        <v>98.854643768683033</v>
      </c>
      <c r="D266" s="100">
        <v>92.223652334781193</v>
      </c>
      <c r="E266" s="100">
        <v>93.310636292670878</v>
      </c>
      <c r="F266" s="100">
        <v>4363.4357779098436</v>
      </c>
      <c r="G266" s="100">
        <v>-967.13139308137386</v>
      </c>
      <c r="H266" s="100">
        <v>1184.8555414108262</v>
      </c>
      <c r="I266" s="100">
        <v>70.003362030348626</v>
      </c>
      <c r="J266" s="100">
        <v>4651.163288269644</v>
      </c>
    </row>
    <row r="267" spans="1:10" x14ac:dyDescent="0.25">
      <c r="A267">
        <v>250</v>
      </c>
      <c r="B267" s="100">
        <v>90.15635110842922</v>
      </c>
      <c r="C267" s="100">
        <v>98.250213848693122</v>
      </c>
      <c r="D267" s="100">
        <v>92.559147999706326</v>
      </c>
      <c r="E267" s="100">
        <v>92.597501545158565</v>
      </c>
      <c r="F267" s="100">
        <v>-1988.9420541068971</v>
      </c>
      <c r="G267" s="100">
        <v>-60.486513096506656</v>
      </c>
      <c r="H267" s="100">
        <v>513.86421156055917</v>
      </c>
      <c r="I267" s="100">
        <v>783.13810954266216</v>
      </c>
      <c r="J267" s="100">
        <v>-752.42624610018254</v>
      </c>
    </row>
    <row r="268" spans="1:10" x14ac:dyDescent="0.25">
      <c r="A268">
        <v>251</v>
      </c>
      <c r="B268" s="100">
        <v>89.766922441611854</v>
      </c>
      <c r="C268" s="100">
        <v>99.187895692590345</v>
      </c>
      <c r="D268" s="100">
        <v>93.377268264255065</v>
      </c>
      <c r="E268" s="100">
        <v>93.227622189754811</v>
      </c>
      <c r="F268" s="100">
        <v>-703.82745360958836</v>
      </c>
      <c r="G268" s="100">
        <v>-1467.009278942342</v>
      </c>
      <c r="H268" s="100">
        <v>-1122.3763175369186</v>
      </c>
      <c r="I268" s="100">
        <v>153.01746494641577</v>
      </c>
      <c r="J268" s="100">
        <v>-3140.1955851424332</v>
      </c>
    </row>
    <row r="269" spans="1:10" x14ac:dyDescent="0.25">
      <c r="A269">
        <v>252</v>
      </c>
      <c r="B269" s="100">
        <v>89.405056858457925</v>
      </c>
      <c r="C269" s="100">
        <v>97.159725330232902</v>
      </c>
      <c r="D269" s="100">
        <v>92.084793415020812</v>
      </c>
      <c r="E269" s="100">
        <v>92.023180054909474</v>
      </c>
      <c r="F269" s="100">
        <v>490.32897079837596</v>
      </c>
      <c r="G269" s="100">
        <v>1575.2462645938224</v>
      </c>
      <c r="H269" s="100">
        <v>1462.5733809315875</v>
      </c>
      <c r="I269" s="100">
        <v>1357.4595997917527</v>
      </c>
      <c r="J269" s="100">
        <v>4885.6082161155391</v>
      </c>
    </row>
    <row r="270" spans="1:10" x14ac:dyDescent="0.25">
      <c r="A270">
        <v>253</v>
      </c>
      <c r="B270" s="100">
        <v>90.190883208707248</v>
      </c>
      <c r="C270" s="100">
        <v>97.492993482302708</v>
      </c>
      <c r="D270" s="100">
        <v>91.427719848182548</v>
      </c>
      <c r="E270" s="100">
        <v>93.730838904704115</v>
      </c>
      <c r="F270" s="100">
        <v>-2102.89798502439</v>
      </c>
      <c r="G270" s="100">
        <v>1075.3440364891135</v>
      </c>
      <c r="H270" s="100">
        <v>2776.7205146081151</v>
      </c>
      <c r="I270" s="100">
        <v>-350.19925000288765</v>
      </c>
      <c r="J270" s="100">
        <v>1398.9673160699508</v>
      </c>
    </row>
    <row r="271" spans="1:10" x14ac:dyDescent="0.25">
      <c r="A271">
        <v>254</v>
      </c>
      <c r="B271" s="100">
        <v>89.38722764651834</v>
      </c>
      <c r="C271" s="100">
        <v>98.592320026960593</v>
      </c>
      <c r="D271" s="100">
        <v>92.405998329604913</v>
      </c>
      <c r="E271" s="100">
        <v>95.04979129992833</v>
      </c>
      <c r="F271" s="100">
        <v>549.16537019900602</v>
      </c>
      <c r="G271" s="100">
        <v>-573.64578049771353</v>
      </c>
      <c r="H271" s="100">
        <v>820.16355176338607</v>
      </c>
      <c r="I271" s="100">
        <v>-1669.151645227103</v>
      </c>
      <c r="J271" s="100">
        <v>-873.46850376242446</v>
      </c>
    </row>
    <row r="272" spans="1:10" x14ac:dyDescent="0.25">
      <c r="A272">
        <v>255</v>
      </c>
      <c r="B272" s="100">
        <v>88.722341493487988</v>
      </c>
      <c r="C272" s="100">
        <v>98.224777837225773</v>
      </c>
      <c r="D272" s="100">
        <v>92.638100648133843</v>
      </c>
      <c r="E272" s="100">
        <v>94.19264546566238</v>
      </c>
      <c r="F272" s="100">
        <v>2743.2896751991675</v>
      </c>
      <c r="G272" s="100">
        <v>-22.332495895483362</v>
      </c>
      <c r="H272" s="100">
        <v>355.95891470552488</v>
      </c>
      <c r="I272" s="100">
        <v>-812.00581096115343</v>
      </c>
      <c r="J272" s="100">
        <v>2264.9102830480551</v>
      </c>
    </row>
    <row r="273" spans="1:10" x14ac:dyDescent="0.25">
      <c r="A273">
        <v>256</v>
      </c>
      <c r="B273" s="100">
        <v>89.129776636272908</v>
      </c>
      <c r="C273" s="100">
        <v>98.412542345027205</v>
      </c>
      <c r="D273" s="100">
        <v>92.544747750067728</v>
      </c>
      <c r="E273" s="100">
        <v>88.812066006297101</v>
      </c>
      <c r="F273" s="100">
        <v>1398.7537040089337</v>
      </c>
      <c r="G273" s="100">
        <v>-303.97925759763211</v>
      </c>
      <c r="H273" s="100">
        <v>542.66471083775514</v>
      </c>
      <c r="I273" s="100">
        <v>4568.5736484041254</v>
      </c>
      <c r="J273" s="100">
        <v>6206.0128056531821</v>
      </c>
    </row>
    <row r="274" spans="1:10" x14ac:dyDescent="0.25">
      <c r="A274">
        <v>257</v>
      </c>
      <c r="B274" s="100">
        <v>89.297812767618055</v>
      </c>
      <c r="C274" s="100">
        <v>99.391630506775769</v>
      </c>
      <c r="D274" s="100">
        <v>91.394258741085622</v>
      </c>
      <c r="E274" s="100">
        <v>93.329945343606795</v>
      </c>
      <c r="F274" s="100">
        <v>844.23447056994837</v>
      </c>
      <c r="G274" s="100">
        <v>-1772.6115002204779</v>
      </c>
      <c r="H274" s="100">
        <v>2843.6427288019672</v>
      </c>
      <c r="I274" s="100">
        <v>50.69431109443201</v>
      </c>
      <c r="J274" s="100">
        <v>1965.9600102458699</v>
      </c>
    </row>
    <row r="275" spans="1:10" x14ac:dyDescent="0.25">
      <c r="A275">
        <v>258</v>
      </c>
      <c r="B275" s="100">
        <v>89.572715698377507</v>
      </c>
      <c r="C275" s="100">
        <v>98.162095348887803</v>
      </c>
      <c r="D275" s="100">
        <v>92.746523842518101</v>
      </c>
      <c r="E275" s="100">
        <v>94.731131107361549</v>
      </c>
      <c r="F275" s="100">
        <v>-62.945200936245271</v>
      </c>
      <c r="G275" s="100">
        <v>71.691236611471254</v>
      </c>
      <c r="H275" s="100">
        <v>139.11252593700851</v>
      </c>
      <c r="I275" s="100">
        <v>-1350.4914526603216</v>
      </c>
      <c r="J275" s="100">
        <v>-1202.632891048087</v>
      </c>
    </row>
    <row r="276" spans="1:10" x14ac:dyDescent="0.25">
      <c r="A276">
        <v>259</v>
      </c>
      <c r="B276" s="100">
        <v>88.737896667702643</v>
      </c>
      <c r="C276" s="100">
        <v>96.455330344190045</v>
      </c>
      <c r="D276" s="100">
        <v>94.365102562628081</v>
      </c>
      <c r="E276" s="100">
        <v>93.710160837812495</v>
      </c>
      <c r="F276" s="100">
        <v>2691.9576002908088</v>
      </c>
      <c r="G276" s="100">
        <v>2631.8387436581079</v>
      </c>
      <c r="H276" s="100">
        <v>-3098.0449142829511</v>
      </c>
      <c r="I276" s="100">
        <v>-329.5211831112681</v>
      </c>
      <c r="J276" s="100">
        <v>1896.2302465546975</v>
      </c>
    </row>
    <row r="277" spans="1:10" x14ac:dyDescent="0.25">
      <c r="A277">
        <v>260</v>
      </c>
      <c r="B277" s="100">
        <v>89.578754803672055</v>
      </c>
      <c r="C277" s="100">
        <v>97.370696416909524</v>
      </c>
      <c r="D277" s="100">
        <v>92.61815217804758</v>
      </c>
      <c r="E277" s="100">
        <v>92.44715567122158</v>
      </c>
      <c r="F277" s="100">
        <v>-82.874248408252527</v>
      </c>
      <c r="G277" s="100">
        <v>1258.789634578889</v>
      </c>
      <c r="H277" s="100">
        <v>395.8558548780502</v>
      </c>
      <c r="I277" s="100">
        <v>933.48398347964689</v>
      </c>
      <c r="J277" s="100">
        <v>2505.2552245283337</v>
      </c>
    </row>
    <row r="278" spans="1:10" x14ac:dyDescent="0.25">
      <c r="A278">
        <v>261</v>
      </c>
      <c r="B278" s="100">
        <v>89.907031339323481</v>
      </c>
      <c r="C278" s="100">
        <v>97.322416469717538</v>
      </c>
      <c r="D278" s="100">
        <v>91.508360691548816</v>
      </c>
      <c r="E278" s="100">
        <v>92.136938389425879</v>
      </c>
      <c r="F278" s="100">
        <v>-1166.1868160579588</v>
      </c>
      <c r="G278" s="100">
        <v>1331.2095553668682</v>
      </c>
      <c r="H278" s="100">
        <v>2615.4388278755787</v>
      </c>
      <c r="I278" s="100">
        <v>1243.7012652753481</v>
      </c>
      <c r="J278" s="100">
        <v>4024.162832459836</v>
      </c>
    </row>
    <row r="279" spans="1:10" x14ac:dyDescent="0.25">
      <c r="A279">
        <v>262</v>
      </c>
      <c r="B279" s="100">
        <v>89.53761613264092</v>
      </c>
      <c r="C279" s="100">
        <v>98.681653165182922</v>
      </c>
      <c r="D279" s="100">
        <v>93.734996246195095</v>
      </c>
      <c r="E279" s="100">
        <v>91.821940592525834</v>
      </c>
      <c r="F279" s="100">
        <v>52.883365994492237</v>
      </c>
      <c r="G279" s="100">
        <v>-707.64548783120767</v>
      </c>
      <c r="H279" s="100">
        <v>-1837.8322814169792</v>
      </c>
      <c r="I279" s="100">
        <v>1558.6990621753926</v>
      </c>
      <c r="J279" s="100">
        <v>-933.89534107830195</v>
      </c>
    </row>
    <row r="280" spans="1:10" x14ac:dyDescent="0.25">
      <c r="A280">
        <v>263</v>
      </c>
      <c r="B280" s="100">
        <v>90.304214081223293</v>
      </c>
      <c r="C280" s="100">
        <v>97.57439301175863</v>
      </c>
      <c r="D280" s="100">
        <v>95.58713222036188</v>
      </c>
      <c r="E280" s="100">
        <v>92.444125911026802</v>
      </c>
      <c r="F280" s="100">
        <v>-2476.8898643273374</v>
      </c>
      <c r="G280" s="100">
        <v>953.24474230523037</v>
      </c>
      <c r="H280" s="100">
        <v>-5542.1042297505492</v>
      </c>
      <c r="I280" s="100">
        <v>936.51374367442486</v>
      </c>
      <c r="J280" s="100">
        <v>-6129.2356080982318</v>
      </c>
    </row>
    <row r="281" spans="1:10" x14ac:dyDescent="0.25">
      <c r="A281">
        <v>264</v>
      </c>
      <c r="B281" s="100">
        <v>89.375911772160634</v>
      </c>
      <c r="C281" s="100">
        <v>97.683407973496003</v>
      </c>
      <c r="D281" s="100">
        <v>93.105751452810352</v>
      </c>
      <c r="E281" s="100">
        <v>93.056260206258116</v>
      </c>
      <c r="F281" s="100">
        <v>586.50775557943575</v>
      </c>
      <c r="G281" s="100">
        <v>789.72229969917157</v>
      </c>
      <c r="H281" s="100">
        <v>-579.34269464749377</v>
      </c>
      <c r="I281" s="100">
        <v>324.37944844311062</v>
      </c>
      <c r="J281" s="100">
        <v>1121.2668090742241</v>
      </c>
    </row>
    <row r="282" spans="1:10" x14ac:dyDescent="0.25">
      <c r="A282">
        <v>265</v>
      </c>
      <c r="B282" s="100">
        <v>89.634289195982532</v>
      </c>
      <c r="C282" s="100">
        <v>98.292815284394607</v>
      </c>
      <c r="D282" s="100">
        <v>91.061866085232566</v>
      </c>
      <c r="E282" s="100">
        <v>91.461585158251978</v>
      </c>
      <c r="F282" s="100">
        <v>-266.13774303282725</v>
      </c>
      <c r="G282" s="100">
        <v>-124.38866664873416</v>
      </c>
      <c r="H282" s="100">
        <v>3508.428040508079</v>
      </c>
      <c r="I282" s="100">
        <v>1919.0544964492487</v>
      </c>
      <c r="J282" s="100">
        <v>5036.9561272757664</v>
      </c>
    </row>
    <row r="283" spans="1:10" x14ac:dyDescent="0.25">
      <c r="A283">
        <v>266</v>
      </c>
      <c r="B283" s="100">
        <v>89.256622135092186</v>
      </c>
      <c r="C283" s="100">
        <v>97.089021796129941</v>
      </c>
      <c r="D283" s="100">
        <v>91.419369859036408</v>
      </c>
      <c r="E283" s="100">
        <v>91.363023162691803</v>
      </c>
      <c r="F283" s="100">
        <v>980.16355790531406</v>
      </c>
      <c r="G283" s="100">
        <v>1681.3015657482638</v>
      </c>
      <c r="H283" s="100">
        <v>2793.4204929003954</v>
      </c>
      <c r="I283" s="100">
        <v>2017.6164920094238</v>
      </c>
      <c r="J283" s="100">
        <v>7472.5021085633962</v>
      </c>
    </row>
    <row r="284" spans="1:10" x14ac:dyDescent="0.25">
      <c r="A284">
        <v>267</v>
      </c>
      <c r="B284" s="100">
        <v>88.90390149875239</v>
      </c>
      <c r="C284" s="100">
        <v>97.471978764741991</v>
      </c>
      <c r="D284" s="100">
        <v>92.895128492091018</v>
      </c>
      <c r="E284" s="100">
        <v>95.031213118777572</v>
      </c>
      <c r="F284" s="100">
        <v>2144.1416578266426</v>
      </c>
      <c r="G284" s="100">
        <v>1106.8661128301896</v>
      </c>
      <c r="H284" s="100">
        <v>-158.09677320882543</v>
      </c>
      <c r="I284" s="100">
        <v>-1650.5734640763449</v>
      </c>
      <c r="J284" s="100">
        <v>1442.3375333716622</v>
      </c>
    </row>
    <row r="285" spans="1:10" x14ac:dyDescent="0.25">
      <c r="A285">
        <v>268</v>
      </c>
      <c r="B285" s="100">
        <v>89.328318995123155</v>
      </c>
      <c r="C285" s="100">
        <v>97.484985463844268</v>
      </c>
      <c r="D285" s="100">
        <v>92.543473983068367</v>
      </c>
      <c r="E285" s="100">
        <v>91.697469960535244</v>
      </c>
      <c r="F285" s="100">
        <v>743.56391980311832</v>
      </c>
      <c r="G285" s="100">
        <v>1087.356064176774</v>
      </c>
      <c r="H285" s="100">
        <v>545.21224483647757</v>
      </c>
      <c r="I285" s="100">
        <v>1683.1696941659829</v>
      </c>
      <c r="J285" s="100">
        <v>4059.3019229823531</v>
      </c>
    </row>
    <row r="286" spans="1:10" x14ac:dyDescent="0.25">
      <c r="A286">
        <v>269</v>
      </c>
      <c r="B286" s="100">
        <v>89.498574946519611</v>
      </c>
      <c r="C286" s="100">
        <v>98.451271918999254</v>
      </c>
      <c r="D286" s="100">
        <v>94.450442370913976</v>
      </c>
      <c r="E286" s="100">
        <v>92.947753464989603</v>
      </c>
      <c r="F286" s="100">
        <v>181.71928019481385</v>
      </c>
      <c r="G286" s="100">
        <v>-362.07361855570497</v>
      </c>
      <c r="H286" s="100">
        <v>-3268.7245308547404</v>
      </c>
      <c r="I286" s="100">
        <v>432.88618971162407</v>
      </c>
      <c r="J286" s="100">
        <v>-3016.1926795040076</v>
      </c>
    </row>
    <row r="287" spans="1:10" x14ac:dyDescent="0.25">
      <c r="A287">
        <v>270</v>
      </c>
      <c r="B287" s="100">
        <v>89.251969217600148</v>
      </c>
      <c r="C287" s="100">
        <v>98.489742573152768</v>
      </c>
      <c r="D287" s="100">
        <v>93.589936524741546</v>
      </c>
      <c r="E287" s="100">
        <v>93.204175151651057</v>
      </c>
      <c r="F287" s="100">
        <v>995.51818562903941</v>
      </c>
      <c r="G287" s="100">
        <v>-419.77959978597568</v>
      </c>
      <c r="H287" s="100">
        <v>-1547.7128385098808</v>
      </c>
      <c r="I287" s="100">
        <v>176.4645030501697</v>
      </c>
      <c r="J287" s="100">
        <v>-795.50974961664747</v>
      </c>
    </row>
    <row r="288" spans="1:10" x14ac:dyDescent="0.25">
      <c r="A288">
        <v>271</v>
      </c>
      <c r="B288" s="100">
        <v>88.648123812027521</v>
      </c>
      <c r="C288" s="100">
        <v>98.472779177158074</v>
      </c>
      <c r="D288" s="100">
        <v>91.302435893556478</v>
      </c>
      <c r="E288" s="100">
        <v>91.148291614143474</v>
      </c>
      <c r="F288" s="100">
        <v>2988.2080240187106</v>
      </c>
      <c r="G288" s="100">
        <v>-394.33450579393536</v>
      </c>
      <c r="H288" s="100">
        <v>3027.2884238602555</v>
      </c>
      <c r="I288" s="100">
        <v>2232.3480405577529</v>
      </c>
      <c r="J288" s="100">
        <v>7853.5099826427841</v>
      </c>
    </row>
    <row r="289" spans="1:10" x14ac:dyDescent="0.25">
      <c r="A289">
        <v>272</v>
      </c>
      <c r="B289" s="100">
        <v>90.286751984668513</v>
      </c>
      <c r="C289" s="100">
        <v>99.35997886641151</v>
      </c>
      <c r="D289" s="100">
        <v>92.979579671466979</v>
      </c>
      <c r="E289" s="100">
        <v>93.108435657922087</v>
      </c>
      <c r="F289" s="100">
        <v>-2419.2649456965628</v>
      </c>
      <c r="G289" s="100">
        <v>-1725.1340396740886</v>
      </c>
      <c r="H289" s="100">
        <v>-326.99913196074704</v>
      </c>
      <c r="I289" s="100">
        <v>272.20399677914031</v>
      </c>
      <c r="J289" s="100">
        <v>-4199.194120552258</v>
      </c>
    </row>
    <row r="290" spans="1:10" x14ac:dyDescent="0.25">
      <c r="A290">
        <v>273</v>
      </c>
      <c r="B290" s="100">
        <v>89.464557148418663</v>
      </c>
      <c r="C290" s="100">
        <v>97.476338143859934</v>
      </c>
      <c r="D290" s="100">
        <v>92.584464203655017</v>
      </c>
      <c r="E290" s="100">
        <v>94.189412630544865</v>
      </c>
      <c r="F290" s="100">
        <v>293.97801392794065</v>
      </c>
      <c r="G290" s="100">
        <v>1100.327044153275</v>
      </c>
      <c r="H290" s="100">
        <v>463.23180366317729</v>
      </c>
      <c r="I290" s="100">
        <v>-808.77297584363816</v>
      </c>
      <c r="J290" s="100">
        <v>1048.7638859007548</v>
      </c>
    </row>
    <row r="291" spans="1:10" x14ac:dyDescent="0.25">
      <c r="A291">
        <v>274</v>
      </c>
      <c r="B291" s="100">
        <v>89.551382423458634</v>
      </c>
      <c r="C291" s="100">
        <v>97.845319746142081</v>
      </c>
      <c r="D291" s="100">
        <v>92.166105789248419</v>
      </c>
      <c r="E291" s="100">
        <v>87.207287123837702</v>
      </c>
      <c r="F291" s="100">
        <v>7.45460629603798</v>
      </c>
      <c r="G291" s="100">
        <v>546.85464073005369</v>
      </c>
      <c r="H291" s="100">
        <v>1299.9486324763723</v>
      </c>
      <c r="I291" s="100">
        <v>6173.3525308635253</v>
      </c>
      <c r="J291" s="100">
        <v>8027.6104103659891</v>
      </c>
    </row>
    <row r="292" spans="1:10" x14ac:dyDescent="0.25">
      <c r="A292">
        <v>275</v>
      </c>
      <c r="B292" s="100">
        <v>89.083400906591407</v>
      </c>
      <c r="C292" s="100">
        <v>97.588891006956004</v>
      </c>
      <c r="D292" s="100">
        <v>93.254644204298302</v>
      </c>
      <c r="E292" s="100">
        <v>93.416973344604486</v>
      </c>
      <c r="F292" s="100">
        <v>1551.7936119578849</v>
      </c>
      <c r="G292" s="100">
        <v>931.49774950916958</v>
      </c>
      <c r="H292" s="100">
        <v>-877.12819762339223</v>
      </c>
      <c r="I292" s="100">
        <v>-36.333689903258914</v>
      </c>
      <c r="J292" s="100">
        <v>1569.8294739404032</v>
      </c>
    </row>
    <row r="293" spans="1:10" x14ac:dyDescent="0.25">
      <c r="A293">
        <v>276</v>
      </c>
      <c r="B293" s="100">
        <v>88.805142745079706</v>
      </c>
      <c r="C293" s="100">
        <v>99.490538008023577</v>
      </c>
      <c r="D293" s="100">
        <v>91.784630949720409</v>
      </c>
      <c r="E293" s="100">
        <v>93.422503120582903</v>
      </c>
      <c r="F293" s="100">
        <v>2470.045544946498</v>
      </c>
      <c r="G293" s="100">
        <v>-1920.9727520921901</v>
      </c>
      <c r="H293" s="100">
        <v>2062.8983115323936</v>
      </c>
      <c r="I293" s="100">
        <v>-41.863465881675666</v>
      </c>
      <c r="J293" s="100">
        <v>2570.1076385050255</v>
      </c>
    </row>
    <row r="294" spans="1:10" x14ac:dyDescent="0.25">
      <c r="A294">
        <v>277</v>
      </c>
      <c r="B294" s="100">
        <v>88.860493272966423</v>
      </c>
      <c r="C294" s="100">
        <v>98.71125296589409</v>
      </c>
      <c r="D294" s="100">
        <v>94.903668987920668</v>
      </c>
      <c r="E294" s="100">
        <v>93.309787007434153</v>
      </c>
      <c r="F294" s="100">
        <v>2287.3888029203345</v>
      </c>
      <c r="G294" s="100">
        <v>-752.04518889795941</v>
      </c>
      <c r="H294" s="100">
        <v>-4175.1777648681236</v>
      </c>
      <c r="I294" s="100">
        <v>70.852647267074076</v>
      </c>
      <c r="J294" s="100">
        <v>-2568.9815035786746</v>
      </c>
    </row>
    <row r="295" spans="1:10" x14ac:dyDescent="0.25">
      <c r="A295">
        <v>278</v>
      </c>
      <c r="B295" s="100">
        <v>89.926560372603078</v>
      </c>
      <c r="C295" s="100">
        <v>99.199290632514064</v>
      </c>
      <c r="D295" s="100">
        <v>92.656994457345903</v>
      </c>
      <c r="E295" s="100">
        <v>92.915043937654204</v>
      </c>
      <c r="F295" s="100">
        <v>-1230.6326258806266</v>
      </c>
      <c r="G295" s="100">
        <v>-1484.10168882792</v>
      </c>
      <c r="H295" s="100">
        <v>318.17129628140606</v>
      </c>
      <c r="I295" s="100">
        <v>465.59571704702307</v>
      </c>
      <c r="J295" s="100">
        <v>-1930.9673013801173</v>
      </c>
    </row>
    <row r="296" spans="1:10" x14ac:dyDescent="0.25">
      <c r="A296">
        <v>279</v>
      </c>
      <c r="B296" s="100">
        <v>88.840377081472582</v>
      </c>
      <c r="C296" s="100">
        <v>97.744924024176939</v>
      </c>
      <c r="D296" s="100">
        <v>94.780932029971254</v>
      </c>
      <c r="E296" s="100">
        <v>92.549256085372605</v>
      </c>
      <c r="F296" s="100">
        <v>2353.7722348500097</v>
      </c>
      <c r="G296" s="100">
        <v>697.44822367776749</v>
      </c>
      <c r="H296" s="100">
        <v>-3929.7038489692968</v>
      </c>
      <c r="I296" s="100">
        <v>831.38356932862223</v>
      </c>
      <c r="J296" s="100">
        <v>-47.099821112897303</v>
      </c>
    </row>
    <row r="297" spans="1:10" x14ac:dyDescent="0.25">
      <c r="A297">
        <v>280</v>
      </c>
      <c r="B297" s="100">
        <v>90.360765286081403</v>
      </c>
      <c r="C297" s="100">
        <v>98.217238086877444</v>
      </c>
      <c r="D297" s="100">
        <v>92.285415203905558</v>
      </c>
      <c r="E297" s="100">
        <v>93.170038196411866</v>
      </c>
      <c r="F297" s="100">
        <v>-2663.5088403590998</v>
      </c>
      <c r="G297" s="100">
        <v>-11.022870372990212</v>
      </c>
      <c r="H297" s="100">
        <v>1061.3298031620957</v>
      </c>
      <c r="I297" s="100">
        <v>210.60145828936072</v>
      </c>
      <c r="J297" s="100">
        <v>-1402.6004492806337</v>
      </c>
    </row>
    <row r="298" spans="1:10" x14ac:dyDescent="0.25">
      <c r="A298">
        <v>281</v>
      </c>
      <c r="B298" s="100">
        <v>89.99821753269876</v>
      </c>
      <c r="C298" s="100">
        <v>96.535824266131968</v>
      </c>
      <c r="D298" s="100">
        <v>94.311214410441906</v>
      </c>
      <c r="E298" s="100">
        <v>92.906400914053719</v>
      </c>
      <c r="F298" s="100">
        <v>-1467.1012541963792</v>
      </c>
      <c r="G298" s="100">
        <v>2511.0978607452239</v>
      </c>
      <c r="H298" s="100">
        <v>-2990.2686099106004</v>
      </c>
      <c r="I298" s="100">
        <v>474.23874064750748</v>
      </c>
      <c r="J298" s="100">
        <v>-1472.0332627142482</v>
      </c>
    </row>
    <row r="299" spans="1:10" x14ac:dyDescent="0.25">
      <c r="A299">
        <v>282</v>
      </c>
      <c r="B299" s="100">
        <v>90.172256911870107</v>
      </c>
      <c r="C299" s="100">
        <v>98.159191136373906</v>
      </c>
      <c r="D299" s="100">
        <v>92.18666958479173</v>
      </c>
      <c r="E299" s="100">
        <v>93.627557650279343</v>
      </c>
      <c r="F299" s="100">
        <v>-2041.4312054618249</v>
      </c>
      <c r="G299" s="100">
        <v>76.047555382317</v>
      </c>
      <c r="H299" s="100">
        <v>1258.8210413897514</v>
      </c>
      <c r="I299" s="100">
        <v>-246.91799557811578</v>
      </c>
      <c r="J299" s="100">
        <v>-953.4806042678722</v>
      </c>
    </row>
    <row r="300" spans="1:10" x14ac:dyDescent="0.25">
      <c r="A300">
        <v>283</v>
      </c>
      <c r="B300" s="100">
        <v>89.303173792118486</v>
      </c>
      <c r="C300" s="100">
        <v>97.47734625647216</v>
      </c>
      <c r="D300" s="100">
        <v>90.91441978461026</v>
      </c>
      <c r="E300" s="100">
        <v>93.72771544627507</v>
      </c>
      <c r="F300" s="100">
        <v>826.54308971852686</v>
      </c>
      <c r="G300" s="100">
        <v>1098.8148752349362</v>
      </c>
      <c r="H300" s="100">
        <v>3803.3206417526912</v>
      </c>
      <c r="I300" s="100">
        <v>-347.07579157384316</v>
      </c>
      <c r="J300" s="100">
        <v>5381.6028151323117</v>
      </c>
    </row>
    <row r="301" spans="1:10" x14ac:dyDescent="0.25">
      <c r="A301">
        <v>284</v>
      </c>
      <c r="B301" s="100">
        <v>89.878188121477066</v>
      </c>
      <c r="C301" s="100">
        <v>98.703459163505784</v>
      </c>
      <c r="D301" s="100">
        <v>93.218925635662359</v>
      </c>
      <c r="E301" s="100">
        <v>96.844435448910275</v>
      </c>
      <c r="F301" s="100">
        <v>-1071.0041971647897</v>
      </c>
      <c r="G301" s="100">
        <v>-740.35448531549969</v>
      </c>
      <c r="H301" s="100">
        <v>-805.69106035150639</v>
      </c>
      <c r="I301" s="100">
        <v>-3463.7957942090479</v>
      </c>
      <c r="J301" s="100">
        <v>-6080.8455370408437</v>
      </c>
    </row>
    <row r="302" spans="1:10" x14ac:dyDescent="0.25">
      <c r="A302">
        <v>285</v>
      </c>
      <c r="B302" s="100">
        <v>90.634905286199583</v>
      </c>
      <c r="C302" s="100">
        <v>98.43174474699218</v>
      </c>
      <c r="D302" s="100">
        <v>93.725784020366319</v>
      </c>
      <c r="E302" s="100">
        <v>97.955706730164778</v>
      </c>
      <c r="F302" s="100">
        <v>-3568.1708407490946</v>
      </c>
      <c r="G302" s="100">
        <v>-332.78286054509465</v>
      </c>
      <c r="H302" s="100">
        <v>-1819.4078297594274</v>
      </c>
      <c r="I302" s="100">
        <v>-4575.0670754635503</v>
      </c>
      <c r="J302" s="100">
        <v>-10295.428606517167</v>
      </c>
    </row>
    <row r="303" spans="1:10" x14ac:dyDescent="0.25">
      <c r="A303">
        <v>286</v>
      </c>
      <c r="B303" s="100">
        <v>89.236480659717003</v>
      </c>
      <c r="C303" s="100">
        <v>99.376561678900572</v>
      </c>
      <c r="D303" s="100">
        <v>94.408680437464653</v>
      </c>
      <c r="E303" s="100">
        <v>93.103294537767525</v>
      </c>
      <c r="F303" s="100">
        <v>1046.6304266434192</v>
      </c>
      <c r="G303" s="100">
        <v>-1750.0082584076822</v>
      </c>
      <c r="H303" s="100">
        <v>-3185.2006639560955</v>
      </c>
      <c r="I303" s="100">
        <v>277.34511693370223</v>
      </c>
      <c r="J303" s="100">
        <v>-3611.2333787866564</v>
      </c>
    </row>
    <row r="304" spans="1:10" x14ac:dyDescent="0.25">
      <c r="A304">
        <v>287</v>
      </c>
      <c r="B304" s="100">
        <v>88.929308292702672</v>
      </c>
      <c r="C304" s="100">
        <v>97.433275079515809</v>
      </c>
      <c r="D304" s="100">
        <v>92.293126565489302</v>
      </c>
      <c r="E304" s="100">
        <v>94.541384929875989</v>
      </c>
      <c r="F304" s="100">
        <v>2060.2992377907131</v>
      </c>
      <c r="G304" s="100">
        <v>1164.921640669462</v>
      </c>
      <c r="H304" s="100">
        <v>1045.9070799946062</v>
      </c>
      <c r="I304" s="100">
        <v>-1160.7452751747614</v>
      </c>
      <c r="J304" s="100">
        <v>3110.3826832800196</v>
      </c>
    </row>
    <row r="305" spans="1:10" x14ac:dyDescent="0.25">
      <c r="A305">
        <v>288</v>
      </c>
      <c r="B305" s="100">
        <v>89.177530892937042</v>
      </c>
      <c r="C305" s="100">
        <v>97.592259908158425</v>
      </c>
      <c r="D305" s="100">
        <v>92.602463374810583</v>
      </c>
      <c r="E305" s="100">
        <v>95.611167379787616</v>
      </c>
      <c r="F305" s="100">
        <v>1241.1646570172891</v>
      </c>
      <c r="G305" s="100">
        <v>926.44439770553788</v>
      </c>
      <c r="H305" s="100">
        <v>427.23346135204565</v>
      </c>
      <c r="I305" s="100">
        <v>-2230.5277250863896</v>
      </c>
      <c r="J305" s="100">
        <v>364.31479098848286</v>
      </c>
    </row>
    <row r="306" spans="1:10" x14ac:dyDescent="0.25">
      <c r="A306">
        <v>289</v>
      </c>
      <c r="B306" s="100">
        <v>90.346464583770654</v>
      </c>
      <c r="C306" s="100">
        <v>101.18403980059681</v>
      </c>
      <c r="D306" s="100">
        <v>92.478679229757546</v>
      </c>
      <c r="E306" s="100">
        <v>92.845874497432717</v>
      </c>
      <c r="F306" s="100">
        <v>-2616.3165227336294</v>
      </c>
      <c r="G306" s="100">
        <v>-4461.2254409520347</v>
      </c>
      <c r="H306" s="100">
        <v>674.80175145811927</v>
      </c>
      <c r="I306" s="100">
        <v>534.76515726850948</v>
      </c>
      <c r="J306" s="100">
        <v>-5867.9750549590353</v>
      </c>
    </row>
    <row r="307" spans="1:10" x14ac:dyDescent="0.25">
      <c r="A307">
        <v>290</v>
      </c>
      <c r="B307" s="100">
        <v>89.804529698528611</v>
      </c>
      <c r="C307" s="100">
        <v>97.596823977751825</v>
      </c>
      <c r="D307" s="100">
        <v>93.515892807790493</v>
      </c>
      <c r="E307" s="100">
        <v>92.723325291458124</v>
      </c>
      <c r="F307" s="100">
        <v>-827.93140143488836</v>
      </c>
      <c r="G307" s="100">
        <v>919.59829331543824</v>
      </c>
      <c r="H307" s="100">
        <v>-1399.6254046077752</v>
      </c>
      <c r="I307" s="100">
        <v>657.31436324310266</v>
      </c>
      <c r="J307" s="100">
        <v>-650.64414948412264</v>
      </c>
    </row>
    <row r="308" spans="1:10" x14ac:dyDescent="0.25">
      <c r="A308">
        <v>291</v>
      </c>
      <c r="B308" s="100">
        <v>89.104051820229159</v>
      </c>
      <c r="C308" s="100">
        <v>97.657749759960495</v>
      </c>
      <c r="D308" s="100">
        <v>91.890220294270534</v>
      </c>
      <c r="E308" s="100">
        <v>93.475949226296166</v>
      </c>
      <c r="F308" s="100">
        <v>1483.6455969533035</v>
      </c>
      <c r="G308" s="100">
        <v>828.20962000243276</v>
      </c>
      <c r="H308" s="100">
        <v>1851.7196224321424</v>
      </c>
      <c r="I308" s="100">
        <v>-95.309571594938802</v>
      </c>
      <c r="J308" s="100">
        <v>4068.2652677929395</v>
      </c>
    </row>
    <row r="309" spans="1:10" x14ac:dyDescent="0.25">
      <c r="A309">
        <v>292</v>
      </c>
      <c r="B309" s="100">
        <v>89.05402955596918</v>
      </c>
      <c r="C309" s="100">
        <v>97.956388295799655</v>
      </c>
      <c r="D309" s="100">
        <v>91.536485390243413</v>
      </c>
      <c r="E309" s="100">
        <v>92.72333564426738</v>
      </c>
      <c r="F309" s="100">
        <v>1648.7190690112357</v>
      </c>
      <c r="G309" s="100">
        <v>380.25181624369253</v>
      </c>
      <c r="H309" s="100">
        <v>2559.1894304863845</v>
      </c>
      <c r="I309" s="100">
        <v>657.30401043384745</v>
      </c>
      <c r="J309" s="100">
        <v>5245.4643261751607</v>
      </c>
    </row>
    <row r="310" spans="1:10" x14ac:dyDescent="0.25">
      <c r="A310">
        <v>293</v>
      </c>
      <c r="B310" s="100">
        <v>89.558052971941024</v>
      </c>
      <c r="C310" s="100">
        <v>96.592682067385226</v>
      </c>
      <c r="D310" s="100">
        <v>92.230103854245712</v>
      </c>
      <c r="E310" s="100">
        <v>93.456801425617115</v>
      </c>
      <c r="F310" s="100">
        <v>-14.558203695848704</v>
      </c>
      <c r="G310" s="100">
        <v>2425.8111588653364</v>
      </c>
      <c r="H310" s="100">
        <v>1171.952502481787</v>
      </c>
      <c r="I310" s="100">
        <v>-76.161770915888383</v>
      </c>
      <c r="J310" s="100">
        <v>3507.0436867353865</v>
      </c>
    </row>
    <row r="311" spans="1:10" x14ac:dyDescent="0.25">
      <c r="A311">
        <v>294</v>
      </c>
      <c r="B311" s="100">
        <v>89.982021224335739</v>
      </c>
      <c r="C311" s="100">
        <v>97.880894173113262</v>
      </c>
      <c r="D311" s="100">
        <v>91.185236277957202</v>
      </c>
      <c r="E311" s="100">
        <v>92.379654589043341</v>
      </c>
      <c r="F311" s="100">
        <v>-1413.6534365984089</v>
      </c>
      <c r="G311" s="100">
        <v>493.49300027328269</v>
      </c>
      <c r="H311" s="100">
        <v>3261.6876550588076</v>
      </c>
      <c r="I311" s="100">
        <v>1000.9850656578863</v>
      </c>
      <c r="J311" s="100">
        <v>3342.5122843915678</v>
      </c>
    </row>
    <row r="312" spans="1:10" x14ac:dyDescent="0.25">
      <c r="A312">
        <v>295</v>
      </c>
      <c r="B312" s="100">
        <v>88.988410989232605</v>
      </c>
      <c r="C312" s="100">
        <v>99.797171783582684</v>
      </c>
      <c r="D312" s="100">
        <v>93.479374290834414</v>
      </c>
      <c r="E312" s="100">
        <v>93.672352695716498</v>
      </c>
      <c r="F312" s="100">
        <v>1865.2603392419323</v>
      </c>
      <c r="G312" s="100">
        <v>-2380.9234154308497</v>
      </c>
      <c r="H312" s="100">
        <v>-1326.5883706956174</v>
      </c>
      <c r="I312" s="100">
        <v>-291.71304101527085</v>
      </c>
      <c r="J312" s="100">
        <v>-2133.9644878998056</v>
      </c>
    </row>
    <row r="313" spans="1:10" x14ac:dyDescent="0.25">
      <c r="A313">
        <v>296</v>
      </c>
      <c r="B313" s="100">
        <v>89.698376582069898</v>
      </c>
      <c r="C313" s="100">
        <v>97.232583344884574</v>
      </c>
      <c r="D313" s="100">
        <v>93.273820232952161</v>
      </c>
      <c r="E313" s="100">
        <v>94.13984148611452</v>
      </c>
      <c r="F313" s="100">
        <v>-477.62611712113312</v>
      </c>
      <c r="G313" s="100">
        <v>1465.9592426163144</v>
      </c>
      <c r="H313" s="100">
        <v>-915.4802549311114</v>
      </c>
      <c r="I313" s="100">
        <v>-759.20183141329289</v>
      </c>
      <c r="J313" s="100">
        <v>-686.34896084922298</v>
      </c>
    </row>
    <row r="314" spans="1:10" x14ac:dyDescent="0.25">
      <c r="A314">
        <v>297</v>
      </c>
      <c r="B314" s="100">
        <v>90.315865263830929</v>
      </c>
      <c r="C314" s="100">
        <v>98.448826388904052</v>
      </c>
      <c r="D314" s="100">
        <v>93.824912118796803</v>
      </c>
      <c r="E314" s="100">
        <v>93.222900530675858</v>
      </c>
      <c r="F314" s="100">
        <v>-2515.3387669325371</v>
      </c>
      <c r="G314" s="100">
        <v>-358.40532341290299</v>
      </c>
      <c r="H314" s="100">
        <v>-2017.6640266203947</v>
      </c>
      <c r="I314" s="100">
        <v>157.73912402536894</v>
      </c>
      <c r="J314" s="100">
        <v>-4733.6689929404656</v>
      </c>
    </row>
    <row r="315" spans="1:10" x14ac:dyDescent="0.25">
      <c r="A315">
        <v>298</v>
      </c>
      <c r="B315" s="100">
        <v>88.6625720341072</v>
      </c>
      <c r="C315" s="100">
        <v>99.070340008450501</v>
      </c>
      <c r="D315" s="100">
        <v>94.302614487417785</v>
      </c>
      <c r="E315" s="100">
        <v>93.63157520935809</v>
      </c>
      <c r="F315" s="100">
        <v>2940.5288911557705</v>
      </c>
      <c r="G315" s="100">
        <v>-1290.6757527325751</v>
      </c>
      <c r="H315" s="100">
        <v>-2973.0687638623576</v>
      </c>
      <c r="I315" s="100">
        <v>-250.93555465686279</v>
      </c>
      <c r="J315" s="100">
        <v>-1574.1511800960252</v>
      </c>
    </row>
    <row r="316" spans="1:10" x14ac:dyDescent="0.25">
      <c r="A316">
        <v>299</v>
      </c>
      <c r="B316" s="100">
        <v>89.251847517124702</v>
      </c>
      <c r="C316" s="100">
        <v>99.023078440818821</v>
      </c>
      <c r="D316" s="100">
        <v>92.993558648629005</v>
      </c>
      <c r="E316" s="100">
        <v>94.366049318020657</v>
      </c>
      <c r="F316" s="100">
        <v>995.91979719801316</v>
      </c>
      <c r="G316" s="100">
        <v>-1219.7834012850562</v>
      </c>
      <c r="H316" s="100">
        <v>-354.95708628479861</v>
      </c>
      <c r="I316" s="100">
        <v>-985.40966331943025</v>
      </c>
      <c r="J316" s="100">
        <v>-1564.2303536912718</v>
      </c>
    </row>
    <row r="317" spans="1:10" x14ac:dyDescent="0.25">
      <c r="A317">
        <v>300</v>
      </c>
      <c r="B317" s="100">
        <v>89.682744644450551</v>
      </c>
      <c r="C317" s="100">
        <v>97.996273621034931</v>
      </c>
      <c r="D317" s="100">
        <v>93.910626677167073</v>
      </c>
      <c r="E317" s="100">
        <v>91.070278613630393</v>
      </c>
      <c r="F317" s="100">
        <v>-426.04072297728948</v>
      </c>
      <c r="G317" s="100">
        <v>320.42382839077987</v>
      </c>
      <c r="H317" s="100">
        <v>-2189.0931433609353</v>
      </c>
      <c r="I317" s="100">
        <v>2310.3610410708343</v>
      </c>
      <c r="J317" s="100">
        <v>15.651003123389273</v>
      </c>
    </row>
    <row r="318" spans="1:10" x14ac:dyDescent="0.25">
      <c r="A318">
        <v>301</v>
      </c>
      <c r="B318" s="100">
        <v>89.694096938743613</v>
      </c>
      <c r="C318" s="100">
        <v>97.714701533480664</v>
      </c>
      <c r="D318" s="100">
        <v>92.878254362735888</v>
      </c>
      <c r="E318" s="100">
        <v>92.119823136751108</v>
      </c>
      <c r="F318" s="100">
        <v>-463.50329414439244</v>
      </c>
      <c r="G318" s="100">
        <v>742.78195972217986</v>
      </c>
      <c r="H318" s="100">
        <v>-124.3485144985641</v>
      </c>
      <c r="I318" s="100">
        <v>1260.8165179501184</v>
      </c>
      <c r="J318" s="100">
        <v>1415.7466690293418</v>
      </c>
    </row>
    <row r="319" spans="1:10" x14ac:dyDescent="0.25">
      <c r="A319">
        <v>302</v>
      </c>
      <c r="B319" s="100">
        <v>89.268028721475176</v>
      </c>
      <c r="C319" s="100">
        <v>98.348942485375986</v>
      </c>
      <c r="D319" s="100">
        <v>94.604902784675716</v>
      </c>
      <c r="E319" s="100">
        <v>93.010496476582759</v>
      </c>
      <c r="F319" s="100">
        <v>942.52182284144942</v>
      </c>
      <c r="G319" s="100">
        <v>-208.57946812080286</v>
      </c>
      <c r="H319" s="100">
        <v>-3577.64535837822</v>
      </c>
      <c r="I319" s="100">
        <v>370.14317811846809</v>
      </c>
      <c r="J319" s="100">
        <v>-2473.5598255391051</v>
      </c>
    </row>
    <row r="320" spans="1:10" x14ac:dyDescent="0.25">
      <c r="A320">
        <v>303</v>
      </c>
      <c r="B320" s="100">
        <v>89.107067469736606</v>
      </c>
      <c r="C320" s="100">
        <v>96.040571412042638</v>
      </c>
      <c r="D320" s="100">
        <v>91.294259138177964</v>
      </c>
      <c r="E320" s="100">
        <v>94.774970363139971</v>
      </c>
      <c r="F320" s="100">
        <v>1473.6939535787301</v>
      </c>
      <c r="G320" s="100">
        <v>3253.9771418792184</v>
      </c>
      <c r="H320" s="100">
        <v>3043.6419346172843</v>
      </c>
      <c r="I320" s="100">
        <v>-1394.3307084387443</v>
      </c>
      <c r="J320" s="100">
        <v>6376.9823216364885</v>
      </c>
    </row>
    <row r="321" spans="1:10" x14ac:dyDescent="0.25">
      <c r="A321">
        <v>304</v>
      </c>
      <c r="B321" s="100">
        <v>89.232448489447634</v>
      </c>
      <c r="C321" s="100">
        <v>98.509914495024688</v>
      </c>
      <c r="D321" s="100">
        <v>91.901210933088748</v>
      </c>
      <c r="E321" s="100">
        <v>93.91460742678909</v>
      </c>
      <c r="F321" s="100">
        <v>1059.9365885323366</v>
      </c>
      <c r="G321" s="100">
        <v>-450.03748259385645</v>
      </c>
      <c r="H321" s="100">
        <v>1829.7383447957145</v>
      </c>
      <c r="I321" s="100">
        <v>-533.96777208786261</v>
      </c>
      <c r="J321" s="100">
        <v>1905.6696786463322</v>
      </c>
    </row>
    <row r="322" spans="1:10" x14ac:dyDescent="0.25">
      <c r="A322">
        <v>305</v>
      </c>
      <c r="B322" s="100">
        <v>90.152278685760919</v>
      </c>
      <c r="C322" s="100">
        <v>98.49311998823552</v>
      </c>
      <c r="D322" s="100">
        <v>91.15252473736507</v>
      </c>
      <c r="E322" s="100">
        <v>92.863126711293191</v>
      </c>
      <c r="F322" s="100">
        <v>-1975.5030593015035</v>
      </c>
      <c r="G322" s="100">
        <v>-424.84572241010454</v>
      </c>
      <c r="H322" s="100">
        <v>3327.1107362430712</v>
      </c>
      <c r="I322" s="100">
        <v>517.51294340803611</v>
      </c>
      <c r="J322" s="100">
        <v>1444.2748979394994</v>
      </c>
    </row>
    <row r="323" spans="1:10" x14ac:dyDescent="0.25">
      <c r="A323">
        <v>306</v>
      </c>
      <c r="B323" s="100">
        <v>89.887390255647986</v>
      </c>
      <c r="C323" s="100">
        <v>96.715899568422941</v>
      </c>
      <c r="D323" s="100">
        <v>91.717742390340916</v>
      </c>
      <c r="E323" s="100">
        <v>91.158467464015345</v>
      </c>
      <c r="F323" s="100">
        <v>-1101.3712399288252</v>
      </c>
      <c r="G323" s="100">
        <v>2240.9849073087644</v>
      </c>
      <c r="H323" s="100">
        <v>2196.6754302913787</v>
      </c>
      <c r="I323" s="100">
        <v>2222.172190685882</v>
      </c>
      <c r="J323" s="100">
        <v>5558.4612883571999</v>
      </c>
    </row>
    <row r="324" spans="1:10" x14ac:dyDescent="0.25">
      <c r="A324">
        <v>307</v>
      </c>
      <c r="B324" s="100">
        <v>89.640951794984943</v>
      </c>
      <c r="C324" s="100">
        <v>98.041820360936669</v>
      </c>
      <c r="D324" s="100">
        <v>92.491296725056458</v>
      </c>
      <c r="E324" s="100">
        <v>90.842920164199114</v>
      </c>
      <c r="F324" s="100">
        <v>-288.12431974078265</v>
      </c>
      <c r="G324" s="100">
        <v>252.10371853817293</v>
      </c>
      <c r="H324" s="100">
        <v>649.56676086029574</v>
      </c>
      <c r="I324" s="100">
        <v>2537.7194905021129</v>
      </c>
      <c r="J324" s="100">
        <v>3151.265650159799</v>
      </c>
    </row>
    <row r="325" spans="1:10" x14ac:dyDescent="0.25">
      <c r="A325">
        <v>308</v>
      </c>
      <c r="B325" s="100">
        <v>89.70536610373685</v>
      </c>
      <c r="C325" s="100">
        <v>97.804746461352721</v>
      </c>
      <c r="D325" s="100">
        <v>92.827621753974341</v>
      </c>
      <c r="E325" s="100">
        <v>96.425280600637194</v>
      </c>
      <c r="F325" s="100">
        <v>-500.69153862207543</v>
      </c>
      <c r="G325" s="100">
        <v>607.714567914094</v>
      </c>
      <c r="H325" s="100">
        <v>-23.083296975471512</v>
      </c>
      <c r="I325" s="100">
        <v>-3044.640945935967</v>
      </c>
      <c r="J325" s="100">
        <v>-2960.7012136194198</v>
      </c>
    </row>
    <row r="326" spans="1:10" x14ac:dyDescent="0.25">
      <c r="A326">
        <v>309</v>
      </c>
      <c r="B326" s="100">
        <v>89.536242043722595</v>
      </c>
      <c r="C326" s="100">
        <v>98.915266978770418</v>
      </c>
      <c r="D326" s="100">
        <v>91.971706704052153</v>
      </c>
      <c r="E326" s="100">
        <v>90.862554538639429</v>
      </c>
      <c r="F326" s="100">
        <v>57.417859424965911</v>
      </c>
      <c r="G326" s="100">
        <v>-1058.0662082124518</v>
      </c>
      <c r="H326" s="100">
        <v>1688.7468028689057</v>
      </c>
      <c r="I326" s="100">
        <v>2518.0851160617976</v>
      </c>
      <c r="J326" s="100">
        <v>3206.1835701432174</v>
      </c>
    </row>
    <row r="327" spans="1:10" x14ac:dyDescent="0.25">
      <c r="A327">
        <v>310</v>
      </c>
      <c r="B327" s="100">
        <v>89.955193469238196</v>
      </c>
      <c r="C327" s="100">
        <v>97.668382820646428</v>
      </c>
      <c r="D327" s="100">
        <v>92.494067549104969</v>
      </c>
      <c r="E327" s="100">
        <v>95.008610721336126</v>
      </c>
      <c r="F327" s="100">
        <v>-1325.1218447765182</v>
      </c>
      <c r="G327" s="100">
        <v>812.26002897353305</v>
      </c>
      <c r="H327" s="100">
        <v>644.02511276327346</v>
      </c>
      <c r="I327" s="100">
        <v>-1627.971066634899</v>
      </c>
      <c r="J327" s="100">
        <v>-1496.8077696746107</v>
      </c>
    </row>
    <row r="328" spans="1:10" x14ac:dyDescent="0.25">
      <c r="A328">
        <v>311</v>
      </c>
      <c r="B328" s="100">
        <v>89.193276076885255</v>
      </c>
      <c r="C328" s="100">
        <v>96.497194449334998</v>
      </c>
      <c r="D328" s="100">
        <v>92.782598439224813</v>
      </c>
      <c r="E328" s="100">
        <v>92.552147721683298</v>
      </c>
      <c r="F328" s="100">
        <v>1189.2055499881892</v>
      </c>
      <c r="G328" s="100">
        <v>2569.0425859406787</v>
      </c>
      <c r="H328" s="100">
        <v>66.963332523584995</v>
      </c>
      <c r="I328" s="100">
        <v>828.49193301792923</v>
      </c>
      <c r="J328" s="100">
        <v>4653.7034014703822</v>
      </c>
    </row>
    <row r="329" spans="1:10" x14ac:dyDescent="0.25">
      <c r="A329">
        <v>312</v>
      </c>
      <c r="B329" s="100">
        <v>90.403629446218687</v>
      </c>
      <c r="C329" s="100">
        <v>97.485738531922721</v>
      </c>
      <c r="D329" s="100">
        <v>91.861618963079195</v>
      </c>
      <c r="E329" s="100">
        <v>93.633119448340381</v>
      </c>
      <c r="F329" s="100">
        <v>-2804.9605688121387</v>
      </c>
      <c r="G329" s="100">
        <v>1086.226462059095</v>
      </c>
      <c r="H329" s="100">
        <v>1908.9222848148211</v>
      </c>
      <c r="I329" s="100">
        <v>-252.47979363915363</v>
      </c>
      <c r="J329" s="100">
        <v>-62.291615577376319</v>
      </c>
    </row>
    <row r="330" spans="1:10" x14ac:dyDescent="0.25">
      <c r="A330">
        <v>313</v>
      </c>
      <c r="B330" s="100">
        <v>89.26630523257964</v>
      </c>
      <c r="C330" s="100">
        <v>98.905442955505578</v>
      </c>
      <c r="D330" s="100">
        <v>93.109357344672674</v>
      </c>
      <c r="E330" s="100">
        <v>94.360284224253135</v>
      </c>
      <c r="F330" s="100">
        <v>948.20933619671735</v>
      </c>
      <c r="G330" s="100">
        <v>-1043.3301733151907</v>
      </c>
      <c r="H330" s="100">
        <v>-586.55447837213615</v>
      </c>
      <c r="I330" s="100">
        <v>-979.64456955190826</v>
      </c>
      <c r="J330" s="100">
        <v>-1661.3198850425179</v>
      </c>
    </row>
    <row r="331" spans="1:10" x14ac:dyDescent="0.25">
      <c r="A331">
        <v>314</v>
      </c>
      <c r="B331" s="100">
        <v>89.51779039713584</v>
      </c>
      <c r="C331" s="100">
        <v>98.655842694509417</v>
      </c>
      <c r="D331" s="100">
        <v>93.040331164570546</v>
      </c>
      <c r="E331" s="100">
        <v>91.790471846670357</v>
      </c>
      <c r="F331" s="100">
        <v>118.30829316125602</v>
      </c>
      <c r="G331" s="100">
        <v>-668.92978182094964</v>
      </c>
      <c r="H331" s="100">
        <v>-448.50211816788033</v>
      </c>
      <c r="I331" s="100">
        <v>1590.1678080308698</v>
      </c>
      <c r="J331" s="100">
        <v>591.04420120329587</v>
      </c>
    </row>
    <row r="332" spans="1:10" x14ac:dyDescent="0.25">
      <c r="A332">
        <v>315</v>
      </c>
      <c r="B332" s="100">
        <v>89.678534502848947</v>
      </c>
      <c r="C332" s="100">
        <v>98.063187450655718</v>
      </c>
      <c r="D332" s="100">
        <v>92.484604463789225</v>
      </c>
      <c r="E332" s="100">
        <v>94.635487915303742</v>
      </c>
      <c r="F332" s="100">
        <v>-412.14725569199686</v>
      </c>
      <c r="G332" s="100">
        <v>220.05308395959844</v>
      </c>
      <c r="H332" s="100">
        <v>662.9512833947615</v>
      </c>
      <c r="I332" s="100">
        <v>-1254.8482606025145</v>
      </c>
      <c r="J332" s="100">
        <v>-783.99114894015145</v>
      </c>
    </row>
    <row r="333" spans="1:10" x14ac:dyDescent="0.25">
      <c r="A333">
        <v>316</v>
      </c>
      <c r="B333" s="100">
        <v>89.801263995471245</v>
      </c>
      <c r="C333" s="100">
        <v>98.562908626002667</v>
      </c>
      <c r="D333" s="100">
        <v>91.71911964085065</v>
      </c>
      <c r="E333" s="100">
        <v>92.060206369471445</v>
      </c>
      <c r="F333" s="100">
        <v>-817.15458134558071</v>
      </c>
      <c r="G333" s="100">
        <v>-529.52867906082452</v>
      </c>
      <c r="H333" s="100">
        <v>2193.9209292719115</v>
      </c>
      <c r="I333" s="100">
        <v>1320.4332852297825</v>
      </c>
      <c r="J333" s="100">
        <v>2167.6709540952888</v>
      </c>
    </row>
    <row r="334" spans="1:10" x14ac:dyDescent="0.25">
      <c r="A334">
        <v>317</v>
      </c>
      <c r="B334" s="100">
        <v>89.526880967591211</v>
      </c>
      <c r="C334" s="100">
        <v>99.180274800586119</v>
      </c>
      <c r="D334" s="100">
        <v>94.206690387286855</v>
      </c>
      <c r="E334" s="100">
        <v>90.907683237859885</v>
      </c>
      <c r="F334" s="100">
        <v>88.309410658533238</v>
      </c>
      <c r="G334" s="100">
        <v>-1455.5779409360027</v>
      </c>
      <c r="H334" s="100">
        <v>-2781.2205636004992</v>
      </c>
      <c r="I334" s="100">
        <v>2472.9564168413417</v>
      </c>
      <c r="J334" s="100">
        <v>-1675.5326770366264</v>
      </c>
    </row>
    <row r="335" spans="1:10" x14ac:dyDescent="0.25">
      <c r="A335">
        <v>318</v>
      </c>
      <c r="B335" s="100">
        <v>89.31872258069825</v>
      </c>
      <c r="C335" s="100">
        <v>97.146804977109113</v>
      </c>
      <c r="D335" s="100">
        <v>92.447776103760859</v>
      </c>
      <c r="E335" s="100">
        <v>93.26946084098752</v>
      </c>
      <c r="F335" s="100">
        <v>775.23208740530549</v>
      </c>
      <c r="G335" s="100">
        <v>1594.6267942795062</v>
      </c>
      <c r="H335" s="100">
        <v>736.60800345149369</v>
      </c>
      <c r="I335" s="100">
        <v>111.17881371370686</v>
      </c>
      <c r="J335" s="100">
        <v>3217.6456988500117</v>
      </c>
    </row>
    <row r="336" spans="1:10" x14ac:dyDescent="0.25">
      <c r="A336">
        <v>319</v>
      </c>
      <c r="B336" s="100">
        <v>90.028897747006056</v>
      </c>
      <c r="C336" s="100">
        <v>98.560334270260483</v>
      </c>
      <c r="D336" s="100">
        <v>91.600098244581361</v>
      </c>
      <c r="E336" s="100">
        <v>93.281679272856579</v>
      </c>
      <c r="F336" s="100">
        <v>-1568.3459614104549</v>
      </c>
      <c r="G336" s="100">
        <v>-525.6671454475495</v>
      </c>
      <c r="H336" s="100">
        <v>2431.9637218104899</v>
      </c>
      <c r="I336" s="100">
        <v>98.960381844648282</v>
      </c>
      <c r="J336" s="100">
        <v>436.91099679713375</v>
      </c>
    </row>
    <row r="337" spans="1:10" x14ac:dyDescent="0.25">
      <c r="A337">
        <v>320</v>
      </c>
      <c r="B337" s="100">
        <v>90.013842852090008</v>
      </c>
      <c r="C337" s="100">
        <v>98.640980031985123</v>
      </c>
      <c r="D337" s="100">
        <v>92.799247476453459</v>
      </c>
      <c r="E337" s="100">
        <v>91.717431458263334</v>
      </c>
      <c r="F337" s="100">
        <v>-1518.6648081874964</v>
      </c>
      <c r="G337" s="100">
        <v>-646.63578803450855</v>
      </c>
      <c r="H337" s="100">
        <v>33.665258066292836</v>
      </c>
      <c r="I337" s="100">
        <v>1663.2081964378926</v>
      </c>
      <c r="J337" s="100">
        <v>-468.42714171781927</v>
      </c>
    </row>
    <row r="338" spans="1:10" x14ac:dyDescent="0.25">
      <c r="A338">
        <v>321</v>
      </c>
      <c r="B338" s="100">
        <v>89.914649510562271</v>
      </c>
      <c r="C338" s="100">
        <v>98.962665551754696</v>
      </c>
      <c r="D338" s="100">
        <v>94.603597740040087</v>
      </c>
      <c r="E338" s="100">
        <v>94.336779330357288</v>
      </c>
      <c r="F338" s="100">
        <v>-1191.3267811459632</v>
      </c>
      <c r="G338" s="100">
        <v>-1129.164067688869</v>
      </c>
      <c r="H338" s="100">
        <v>-3575.035269106962</v>
      </c>
      <c r="I338" s="100">
        <v>-956.13967565606117</v>
      </c>
      <c r="J338" s="100">
        <v>-6851.6657935978546</v>
      </c>
    </row>
    <row r="339" spans="1:10" x14ac:dyDescent="0.25">
      <c r="A339">
        <v>322</v>
      </c>
      <c r="B339" s="100">
        <v>88.891519062345637</v>
      </c>
      <c r="C339" s="100">
        <v>97.257555813714333</v>
      </c>
      <c r="D339" s="100">
        <v>92.721560966180149</v>
      </c>
      <c r="E339" s="100">
        <v>93.952346937804023</v>
      </c>
      <c r="F339" s="100">
        <v>2185.003697968928</v>
      </c>
      <c r="G339" s="100">
        <v>1428.5005393716758</v>
      </c>
      <c r="H339" s="100">
        <v>189.03827861291234</v>
      </c>
      <c r="I339" s="100">
        <v>-571.70728310279628</v>
      </c>
      <c r="J339" s="100">
        <v>3230.8352328507199</v>
      </c>
    </row>
    <row r="340" spans="1:10" x14ac:dyDescent="0.25">
      <c r="A340">
        <v>323</v>
      </c>
      <c r="B340" s="100">
        <v>89.440713909733034</v>
      </c>
      <c r="C340" s="100">
        <v>96.96431449230225</v>
      </c>
      <c r="D340" s="100">
        <v>89.943839431370066</v>
      </c>
      <c r="E340" s="100">
        <v>93.725413874090549</v>
      </c>
      <c r="F340" s="100">
        <v>372.66070159051594</v>
      </c>
      <c r="G340" s="100">
        <v>1868.3625214898002</v>
      </c>
      <c r="H340" s="100">
        <v>5744.4813482330801</v>
      </c>
      <c r="I340" s="100">
        <v>-344.77421938932196</v>
      </c>
      <c r="J340" s="100">
        <v>7640.730351924075</v>
      </c>
    </row>
    <row r="341" spans="1:10" x14ac:dyDescent="0.25">
      <c r="A341">
        <v>324</v>
      </c>
      <c r="B341" s="100">
        <v>90.562678545685927</v>
      </c>
      <c r="C341" s="100">
        <v>100.89231857818069</v>
      </c>
      <c r="D341" s="100">
        <v>91.160868643381065</v>
      </c>
      <c r="E341" s="100">
        <v>89.85284164164699</v>
      </c>
      <c r="F341" s="100">
        <v>-3329.8225970540288</v>
      </c>
      <c r="G341" s="100">
        <v>-4023.6436073278624</v>
      </c>
      <c r="H341" s="100">
        <v>3310.4229242110819</v>
      </c>
      <c r="I341" s="100">
        <v>3527.7980130542373</v>
      </c>
      <c r="J341" s="100">
        <v>-515.24526711657245</v>
      </c>
    </row>
    <row r="342" spans="1:10" x14ac:dyDescent="0.25">
      <c r="A342">
        <v>325</v>
      </c>
      <c r="B342" s="100">
        <v>88.852020541379304</v>
      </c>
      <c r="C342" s="100">
        <v>98.718049945113719</v>
      </c>
      <c r="D342" s="100">
        <v>93.386796718779749</v>
      </c>
      <c r="E342" s="100">
        <v>91.338611022047658</v>
      </c>
      <c r="F342" s="100">
        <v>2315.3488171578274</v>
      </c>
      <c r="G342" s="100">
        <v>-762.24065772740346</v>
      </c>
      <c r="H342" s="100">
        <v>-1141.4332265862868</v>
      </c>
      <c r="I342" s="100">
        <v>2042.0286326535688</v>
      </c>
      <c r="J342" s="100">
        <v>2453.7035654977062</v>
      </c>
    </row>
    <row r="343" spans="1:10" x14ac:dyDescent="0.25">
      <c r="A343">
        <v>326</v>
      </c>
      <c r="B343" s="100">
        <v>89.630295669967438</v>
      </c>
      <c r="C343" s="100">
        <v>97.985787144916856</v>
      </c>
      <c r="D343" s="100">
        <v>92.073418866755688</v>
      </c>
      <c r="E343" s="100">
        <v>92.392366947564454</v>
      </c>
      <c r="F343" s="100">
        <v>-252.95910718301684</v>
      </c>
      <c r="G343" s="100">
        <v>336.15354256789232</v>
      </c>
      <c r="H343" s="100">
        <v>1485.3224774618354</v>
      </c>
      <c r="I343" s="100">
        <v>988.27270713677251</v>
      </c>
      <c r="J343" s="100">
        <v>2556.7896199834836</v>
      </c>
    </row>
    <row r="344" spans="1:10" x14ac:dyDescent="0.25">
      <c r="A344">
        <v>327</v>
      </c>
      <c r="B344" s="100">
        <v>89.618956940687568</v>
      </c>
      <c r="C344" s="100">
        <v>97.922367521683725</v>
      </c>
      <c r="D344" s="100">
        <v>90.567892090957102</v>
      </c>
      <c r="E344" s="100">
        <v>90.016990882590378</v>
      </c>
      <c r="F344" s="100">
        <v>-215.54130055944398</v>
      </c>
      <c r="G344" s="100">
        <v>431.28297741758814</v>
      </c>
      <c r="H344" s="100">
        <v>4496.3760290590071</v>
      </c>
      <c r="I344" s="100">
        <v>3363.6487721108497</v>
      </c>
      <c r="J344" s="100">
        <v>8075.7664780280011</v>
      </c>
    </row>
    <row r="345" spans="1:10" x14ac:dyDescent="0.25">
      <c r="A345">
        <v>328</v>
      </c>
      <c r="B345" s="100">
        <v>90.865332311063142</v>
      </c>
      <c r="C345" s="100">
        <v>98.446689825963901</v>
      </c>
      <c r="D345" s="100">
        <v>93.167908243458754</v>
      </c>
      <c r="E345" s="100">
        <v>93.162503281810217</v>
      </c>
      <c r="F345" s="100">
        <v>-4328.5800227988393</v>
      </c>
      <c r="G345" s="100">
        <v>-355.20047900267571</v>
      </c>
      <c r="H345" s="100">
        <v>-703.65627594429725</v>
      </c>
      <c r="I345" s="100">
        <v>218.13637289100996</v>
      </c>
      <c r="J345" s="100">
        <v>-5169.3004048548019</v>
      </c>
    </row>
    <row r="346" spans="1:10" x14ac:dyDescent="0.25">
      <c r="A346">
        <v>329</v>
      </c>
      <c r="B346" s="100">
        <v>89.971255278654695</v>
      </c>
      <c r="C346" s="100">
        <v>97.488656649535827</v>
      </c>
      <c r="D346" s="100">
        <v>93.462867624920349</v>
      </c>
      <c r="E346" s="100">
        <v>93.100351633945664</v>
      </c>
      <c r="F346" s="100">
        <v>-1378.1258158509645</v>
      </c>
      <c r="G346" s="100">
        <v>1081.8492856394357</v>
      </c>
      <c r="H346" s="100">
        <v>-1293.5750388674876</v>
      </c>
      <c r="I346" s="100">
        <v>280.28802075556314</v>
      </c>
      <c r="J346" s="100">
        <v>-1309.5635483234532</v>
      </c>
    </row>
    <row r="347" spans="1:10" x14ac:dyDescent="0.25">
      <c r="A347">
        <v>330</v>
      </c>
      <c r="B347" s="100">
        <v>89.493739131912008</v>
      </c>
      <c r="C347" s="100">
        <v>97.397642260810557</v>
      </c>
      <c r="D347" s="100">
        <v>92.228552953828071</v>
      </c>
      <c r="E347" s="100">
        <v>92.924836344564326</v>
      </c>
      <c r="F347" s="100">
        <v>197.67746839990252</v>
      </c>
      <c r="G347" s="100">
        <v>1218.3708687273408</v>
      </c>
      <c r="H347" s="100">
        <v>1175.0543033170686</v>
      </c>
      <c r="I347" s="100">
        <v>455.80331013690056</v>
      </c>
      <c r="J347" s="100">
        <v>3046.9059505812124</v>
      </c>
    </row>
    <row r="348" spans="1:10" x14ac:dyDescent="0.25">
      <c r="A348">
        <v>331</v>
      </c>
      <c r="B348" s="100">
        <v>89.778758546758155</v>
      </c>
      <c r="C348" s="100">
        <v>97.309944229327897</v>
      </c>
      <c r="D348" s="100">
        <v>92.931199660150909</v>
      </c>
      <c r="E348" s="100">
        <v>94.700214127137656</v>
      </c>
      <c r="F348" s="100">
        <v>-742.88660059238225</v>
      </c>
      <c r="G348" s="100">
        <v>1349.9179159513303</v>
      </c>
      <c r="H348" s="100">
        <v>-230.23910932860758</v>
      </c>
      <c r="I348" s="100">
        <v>-1319.574472436429</v>
      </c>
      <c r="J348" s="100">
        <v>-942.78226640608852</v>
      </c>
    </row>
    <row r="349" spans="1:10" x14ac:dyDescent="0.25">
      <c r="A349">
        <v>332</v>
      </c>
      <c r="B349" s="100">
        <v>90.266258635535621</v>
      </c>
      <c r="C349" s="100">
        <v>96.022088320050372</v>
      </c>
      <c r="D349" s="100">
        <v>92.291658083373179</v>
      </c>
      <c r="E349" s="100">
        <v>92.517044689913178</v>
      </c>
      <c r="F349" s="100">
        <v>-2351.6368935580203</v>
      </c>
      <c r="G349" s="100">
        <v>3281.7017798676175</v>
      </c>
      <c r="H349" s="100">
        <v>1048.8440442268541</v>
      </c>
      <c r="I349" s="100">
        <v>863.59496478804942</v>
      </c>
      <c r="J349" s="100">
        <v>2842.5038953245007</v>
      </c>
    </row>
    <row r="350" spans="1:10" x14ac:dyDescent="0.25">
      <c r="A350">
        <v>333</v>
      </c>
      <c r="B350" s="100">
        <v>89.188052276846818</v>
      </c>
      <c r="C350" s="100">
        <v>98.221426404002173</v>
      </c>
      <c r="D350" s="100">
        <v>93.154224846928926</v>
      </c>
      <c r="E350" s="100">
        <v>91.156588080231444</v>
      </c>
      <c r="F350" s="100">
        <v>1206.4440901150292</v>
      </c>
      <c r="G350" s="100">
        <v>-17.305346060084048</v>
      </c>
      <c r="H350" s="100">
        <v>-676.2894828846413</v>
      </c>
      <c r="I350" s="100">
        <v>2224.0515744697832</v>
      </c>
      <c r="J350" s="100">
        <v>2736.9008356400873</v>
      </c>
    </row>
    <row r="351" spans="1:10" x14ac:dyDescent="0.25">
      <c r="A351">
        <v>334</v>
      </c>
      <c r="B351" s="100">
        <v>90.11717732638931</v>
      </c>
      <c r="C351" s="100">
        <v>97.740466516143556</v>
      </c>
      <c r="D351" s="100">
        <v>95.302009935570268</v>
      </c>
      <c r="E351" s="100">
        <v>94.744224769171723</v>
      </c>
      <c r="F351" s="100">
        <v>-1859.668573375194</v>
      </c>
      <c r="G351" s="100">
        <v>704.13448572784182</v>
      </c>
      <c r="H351" s="100">
        <v>-4971.8596601673253</v>
      </c>
      <c r="I351" s="100">
        <v>-1363.5851144704957</v>
      </c>
      <c r="J351" s="100">
        <v>-7490.9788622851729</v>
      </c>
    </row>
    <row r="352" spans="1:10" x14ac:dyDescent="0.25">
      <c r="A352">
        <v>335</v>
      </c>
      <c r="B352" s="100">
        <v>90.708776144391422</v>
      </c>
      <c r="C352" s="100">
        <v>98.306061185646499</v>
      </c>
      <c r="D352" s="100">
        <v>92.506722418353448</v>
      </c>
      <c r="E352" s="100">
        <v>95.171290709041784</v>
      </c>
      <c r="F352" s="100">
        <v>-3811.9446727821623</v>
      </c>
      <c r="G352" s="100">
        <v>-144.25751852657243</v>
      </c>
      <c r="H352" s="100">
        <v>618.71537426631562</v>
      </c>
      <c r="I352" s="100">
        <v>-1790.6510543405575</v>
      </c>
      <c r="J352" s="100">
        <v>-5128.1378713829763</v>
      </c>
    </row>
    <row r="353" spans="1:10" x14ac:dyDescent="0.25">
      <c r="A353">
        <v>336</v>
      </c>
      <c r="B353" s="100">
        <v>90.359775159540547</v>
      </c>
      <c r="C353" s="100">
        <v>98.379362357787741</v>
      </c>
      <c r="D353" s="100">
        <v>92.811959188454381</v>
      </c>
      <c r="E353" s="100">
        <v>93.804786948464468</v>
      </c>
      <c r="F353" s="100">
        <v>-2660.2414227742756</v>
      </c>
      <c r="G353" s="100">
        <v>-254.20927673843607</v>
      </c>
      <c r="H353" s="100">
        <v>8.2418340644494492</v>
      </c>
      <c r="I353" s="100">
        <v>-424.1472937632409</v>
      </c>
      <c r="J353" s="100">
        <v>-3330.3561592115029</v>
      </c>
    </row>
    <row r="354" spans="1:10" x14ac:dyDescent="0.25">
      <c r="A354">
        <v>337</v>
      </c>
      <c r="B354" s="100">
        <v>89.639454197525609</v>
      </c>
      <c r="C354" s="100">
        <v>98.011124300567275</v>
      </c>
      <c r="D354" s="100">
        <v>92.88723995371339</v>
      </c>
      <c r="E354" s="100">
        <v>94.507506559424129</v>
      </c>
      <c r="F354" s="100">
        <v>-283.18224812498016</v>
      </c>
      <c r="G354" s="100">
        <v>298.14780909226357</v>
      </c>
      <c r="H354" s="100">
        <v>-142.31969645356912</v>
      </c>
      <c r="I354" s="100">
        <v>-1126.8669047229025</v>
      </c>
      <c r="J354" s="100">
        <v>-1254.2210402091882</v>
      </c>
    </row>
    <row r="355" spans="1:10" x14ac:dyDescent="0.25">
      <c r="A355">
        <v>338</v>
      </c>
      <c r="B355" s="100">
        <v>88.668098714564337</v>
      </c>
      <c r="C355" s="100">
        <v>98.791923334487279</v>
      </c>
      <c r="D355" s="100">
        <v>94.300789844002935</v>
      </c>
      <c r="E355" s="100">
        <v>94.260277064052076</v>
      </c>
      <c r="F355" s="100">
        <v>2922.2908456472169</v>
      </c>
      <c r="G355" s="100">
        <v>-873.05074178774339</v>
      </c>
      <c r="H355" s="100">
        <v>-2969.419477032659</v>
      </c>
      <c r="I355" s="100">
        <v>-879.637409350849</v>
      </c>
      <c r="J355" s="100">
        <v>-1799.8167825240344</v>
      </c>
    </row>
    <row r="356" spans="1:10" x14ac:dyDescent="0.25">
      <c r="A356">
        <v>339</v>
      </c>
      <c r="B356" s="100">
        <v>89.757616276822361</v>
      </c>
      <c r="C356" s="100">
        <v>97.947168186485186</v>
      </c>
      <c r="D356" s="100">
        <v>91.32398074155212</v>
      </c>
      <c r="E356" s="100">
        <v>93.42248232359492</v>
      </c>
      <c r="F356" s="100">
        <v>-673.11710980426233</v>
      </c>
      <c r="G356" s="100">
        <v>394.08198021539675</v>
      </c>
      <c r="H356" s="100">
        <v>2984.1987278689712</v>
      </c>
      <c r="I356" s="100">
        <v>-41.842668893693258</v>
      </c>
      <c r="J356" s="100">
        <v>2663.3209293864124</v>
      </c>
    </row>
    <row r="357" spans="1:10" x14ac:dyDescent="0.25">
      <c r="A357">
        <v>340</v>
      </c>
      <c r="B357" s="100">
        <v>90.048252026456623</v>
      </c>
      <c r="C357" s="100">
        <v>98.64764219391445</v>
      </c>
      <c r="D357" s="100">
        <v>93.403200064205564</v>
      </c>
      <c r="E357" s="100">
        <v>93.420857263452206</v>
      </c>
      <c r="F357" s="100">
        <v>-1632.2150835973275</v>
      </c>
      <c r="G357" s="100">
        <v>-656.62903092849945</v>
      </c>
      <c r="H357" s="100">
        <v>-1174.2399174379159</v>
      </c>
      <c r="I357" s="100">
        <v>-40.217608750978684</v>
      </c>
      <c r="J357" s="100">
        <v>-3503.3016407147215</v>
      </c>
    </row>
    <row r="358" spans="1:10" x14ac:dyDescent="0.25">
      <c r="A358">
        <v>341</v>
      </c>
      <c r="B358" s="100">
        <v>89.619788350207756</v>
      </c>
      <c r="C358" s="100">
        <v>96.715471099757906</v>
      </c>
      <c r="D358" s="100">
        <v>93.431882222024086</v>
      </c>
      <c r="E358" s="100">
        <v>89.715439807205513</v>
      </c>
      <c r="F358" s="100">
        <v>-218.28495197606514</v>
      </c>
      <c r="G358" s="100">
        <v>2241.6276103063169</v>
      </c>
      <c r="H358" s="100">
        <v>-1231.604233074961</v>
      </c>
      <c r="I358" s="100">
        <v>3665.199847495714</v>
      </c>
      <c r="J358" s="100">
        <v>4456.9382727510047</v>
      </c>
    </row>
    <row r="359" spans="1:10" x14ac:dyDescent="0.25">
      <c r="A359">
        <v>342</v>
      </c>
      <c r="B359" s="100">
        <v>89.805645790256676</v>
      </c>
      <c r="C359" s="100">
        <v>97.609824392979519</v>
      </c>
      <c r="D359" s="100">
        <v>93.487852584625614</v>
      </c>
      <c r="E359" s="100">
        <v>95.551073882084538</v>
      </c>
      <c r="F359" s="100">
        <v>-831.61450413750231</v>
      </c>
      <c r="G359" s="100">
        <v>900.09767047389744</v>
      </c>
      <c r="H359" s="100">
        <v>-1343.5449582780166</v>
      </c>
      <c r="I359" s="100">
        <v>-2170.4342273833108</v>
      </c>
      <c r="J359" s="100">
        <v>-3445.4960193249321</v>
      </c>
    </row>
    <row r="360" spans="1:10" x14ac:dyDescent="0.25">
      <c r="A360">
        <v>343</v>
      </c>
      <c r="B360" s="100">
        <v>89.909085400942189</v>
      </c>
      <c r="C360" s="100">
        <v>97.635707596665782</v>
      </c>
      <c r="D360" s="100">
        <v>93.951972568581638</v>
      </c>
      <c r="E360" s="100">
        <v>94.555979944357574</v>
      </c>
      <c r="F360" s="100">
        <v>-1172.965219399694</v>
      </c>
      <c r="G360" s="100">
        <v>861.27286494450323</v>
      </c>
      <c r="H360" s="100">
        <v>-2271.7849261900656</v>
      </c>
      <c r="I360" s="100">
        <v>-1175.3402896563471</v>
      </c>
      <c r="J360" s="100">
        <v>-3758.8175703016036</v>
      </c>
    </row>
    <row r="361" spans="1:10" x14ac:dyDescent="0.25">
      <c r="A361">
        <v>344</v>
      </c>
      <c r="B361" s="100">
        <v>88.687115404780201</v>
      </c>
      <c r="C361" s="100">
        <v>97.958133277696092</v>
      </c>
      <c r="D361" s="100">
        <v>93.608006700708742</v>
      </c>
      <c r="E361" s="100">
        <v>90.357711350167065</v>
      </c>
      <c r="F361" s="100">
        <v>2859.5357679348667</v>
      </c>
      <c r="G361" s="100">
        <v>377.63434339903768</v>
      </c>
      <c r="H361" s="100">
        <v>-1583.8531904442732</v>
      </c>
      <c r="I361" s="100">
        <v>3022.9283045341617</v>
      </c>
      <c r="J361" s="100">
        <v>4676.2452254237933</v>
      </c>
    </row>
    <row r="362" spans="1:10" x14ac:dyDescent="0.25">
      <c r="A362">
        <v>345</v>
      </c>
      <c r="B362" s="100">
        <v>89.499399485239792</v>
      </c>
      <c r="C362" s="100">
        <v>97.300602978093153</v>
      </c>
      <c r="D362" s="100">
        <v>94.038543071584186</v>
      </c>
      <c r="E362" s="100">
        <v>93.426069501225527</v>
      </c>
      <c r="F362" s="100">
        <v>178.99830241821633</v>
      </c>
      <c r="G362" s="100">
        <v>1363.9297928034466</v>
      </c>
      <c r="H362" s="100">
        <v>-2444.9259321951613</v>
      </c>
      <c r="I362" s="100">
        <v>-45.429846524299933</v>
      </c>
      <c r="J362" s="100">
        <v>-947.42768349779828</v>
      </c>
    </row>
    <row r="363" spans="1:10" x14ac:dyDescent="0.25">
      <c r="A363">
        <v>346</v>
      </c>
      <c r="B363" s="100">
        <v>89.670354559075633</v>
      </c>
      <c r="C363" s="100">
        <v>97.858945811502039</v>
      </c>
      <c r="D363" s="100">
        <v>90.988516606903175</v>
      </c>
      <c r="E363" s="100">
        <v>93.05119430477157</v>
      </c>
      <c r="F363" s="100">
        <v>-385.15344124006106</v>
      </c>
      <c r="G363" s="100">
        <v>526.41554269011692</v>
      </c>
      <c r="H363" s="100">
        <v>3655.1269971668603</v>
      </c>
      <c r="I363" s="100">
        <v>329.44534992965657</v>
      </c>
      <c r="J363" s="100">
        <v>4125.8344485465732</v>
      </c>
    </row>
    <row r="364" spans="1:10" x14ac:dyDescent="0.25">
      <c r="A364">
        <v>347</v>
      </c>
      <c r="B364" s="100">
        <v>89.442034717205047</v>
      </c>
      <c r="C364" s="100">
        <v>97.78153032635457</v>
      </c>
      <c r="D364" s="100">
        <v>91.775167365177651</v>
      </c>
      <c r="E364" s="100">
        <v>92.734708313362518</v>
      </c>
      <c r="F364" s="100">
        <v>368.30203693287444</v>
      </c>
      <c r="G364" s="100">
        <v>642.53877041132057</v>
      </c>
      <c r="H364" s="100">
        <v>2081.8254806179084</v>
      </c>
      <c r="I364" s="100">
        <v>645.93134133870933</v>
      </c>
      <c r="J364" s="100">
        <v>3738.597629300813</v>
      </c>
    </row>
    <row r="365" spans="1:10" x14ac:dyDescent="0.25">
      <c r="A365">
        <v>348</v>
      </c>
      <c r="B365" s="100">
        <v>89.648655622298094</v>
      </c>
      <c r="C365" s="100">
        <v>97.839808371736794</v>
      </c>
      <c r="D365" s="100">
        <v>92.010940732204148</v>
      </c>
      <c r="E365" s="100">
        <v>92.022659341544909</v>
      </c>
      <c r="F365" s="100">
        <v>-313.54694987417986</v>
      </c>
      <c r="G365" s="100">
        <v>555.12170233798486</v>
      </c>
      <c r="H365" s="100">
        <v>1610.2787465649158</v>
      </c>
      <c r="I365" s="100">
        <v>1357.9803131563181</v>
      </c>
      <c r="J365" s="100">
        <v>3209.8338121850388</v>
      </c>
    </row>
    <row r="366" spans="1:10" x14ac:dyDescent="0.25">
      <c r="A366">
        <v>349</v>
      </c>
      <c r="B366" s="100">
        <v>89.216773935989423</v>
      </c>
      <c r="C366" s="100">
        <v>97.249163770560401</v>
      </c>
      <c r="D366" s="100">
        <v>92.975476647177857</v>
      </c>
      <c r="E366" s="100">
        <v>95.635849348118015</v>
      </c>
      <c r="F366" s="100">
        <v>1111.6626149444344</v>
      </c>
      <c r="G366" s="100">
        <v>1441.0886041025747</v>
      </c>
      <c r="H366" s="100">
        <v>-318.79308338250212</v>
      </c>
      <c r="I366" s="100">
        <v>-2255.2096934167876</v>
      </c>
      <c r="J366" s="100">
        <v>-21.25155775228086</v>
      </c>
    </row>
    <row r="367" spans="1:10" x14ac:dyDescent="0.25">
      <c r="A367">
        <v>350</v>
      </c>
      <c r="B367" s="100">
        <v>89.401707690936817</v>
      </c>
      <c r="C367" s="100">
        <v>96.844004148477012</v>
      </c>
      <c r="D367" s="100">
        <v>93.408726282093127</v>
      </c>
      <c r="E367" s="100">
        <v>94.029611434422876</v>
      </c>
      <c r="F367" s="100">
        <v>501.38122361803283</v>
      </c>
      <c r="G367" s="100">
        <v>2048.8280372276577</v>
      </c>
      <c r="H367" s="100">
        <v>-1185.2923532130433</v>
      </c>
      <c r="I367" s="100">
        <v>-648.97177972164855</v>
      </c>
      <c r="J367" s="100">
        <v>715.94512791099874</v>
      </c>
    </row>
    <row r="368" spans="1:10" x14ac:dyDescent="0.25">
      <c r="A368">
        <v>351</v>
      </c>
      <c r="B368" s="100">
        <v>89.438144882787938</v>
      </c>
      <c r="C368" s="100">
        <v>97.97761555883605</v>
      </c>
      <c r="D368" s="100">
        <v>95.225349000582682</v>
      </c>
      <c r="E368" s="100">
        <v>97.087897140531098</v>
      </c>
      <c r="F368" s="100">
        <v>381.13849050933339</v>
      </c>
      <c r="G368" s="100">
        <v>348.41092168910137</v>
      </c>
      <c r="H368" s="100">
        <v>-4818.5377901921529</v>
      </c>
      <c r="I368" s="100">
        <v>-3707.2574858298708</v>
      </c>
      <c r="J368" s="100">
        <v>-7796.2458638235894</v>
      </c>
    </row>
    <row r="369" spans="1:10" x14ac:dyDescent="0.25">
      <c r="A369">
        <v>352</v>
      </c>
      <c r="B369" s="100">
        <v>89.038159327492465</v>
      </c>
      <c r="C369" s="100">
        <v>98.450258330453451</v>
      </c>
      <c r="D369" s="100">
        <v>93.003003828606111</v>
      </c>
      <c r="E369" s="100">
        <v>93.695127177439105</v>
      </c>
      <c r="F369" s="100">
        <v>1701.0908229843935</v>
      </c>
      <c r="G369" s="100">
        <v>-360.55323573700093</v>
      </c>
      <c r="H369" s="100">
        <v>-373.84744623901156</v>
      </c>
      <c r="I369" s="100">
        <v>-314.48752273787761</v>
      </c>
      <c r="J369" s="100">
        <v>652.20261827050342</v>
      </c>
    </row>
    <row r="370" spans="1:10" x14ac:dyDescent="0.25">
      <c r="A370">
        <v>353</v>
      </c>
      <c r="B370" s="100">
        <v>89.086976809547593</v>
      </c>
      <c r="C370" s="100">
        <v>97.940512263207793</v>
      </c>
      <c r="D370" s="100">
        <v>92.144071424523005</v>
      </c>
      <c r="E370" s="100">
        <v>92.689527127620565</v>
      </c>
      <c r="F370" s="100">
        <v>1539.9931322024713</v>
      </c>
      <c r="G370" s="100">
        <v>404.06586513148568</v>
      </c>
      <c r="H370" s="100">
        <v>1344.0173619272002</v>
      </c>
      <c r="I370" s="100">
        <v>691.11252708066218</v>
      </c>
      <c r="J370" s="100">
        <v>3979.1888863418199</v>
      </c>
    </row>
    <row r="371" spans="1:10" x14ac:dyDescent="0.25">
      <c r="A371">
        <v>354</v>
      </c>
      <c r="B371" s="100">
        <v>89.158357028141268</v>
      </c>
      <c r="C371" s="100">
        <v>98.285063862729089</v>
      </c>
      <c r="D371" s="100">
        <v>94.447267615903314</v>
      </c>
      <c r="E371" s="100">
        <v>94.095738833683853</v>
      </c>
      <c r="F371" s="100">
        <v>1304.4384108433462</v>
      </c>
      <c r="G371" s="100">
        <v>-112.76153415045798</v>
      </c>
      <c r="H371" s="100">
        <v>-3262.3750208334172</v>
      </c>
      <c r="I371" s="100">
        <v>-715.09917898262643</v>
      </c>
      <c r="J371" s="100">
        <v>-2785.7973231231554</v>
      </c>
    </row>
    <row r="372" spans="1:10" x14ac:dyDescent="0.25">
      <c r="A372">
        <v>355</v>
      </c>
      <c r="B372" s="100">
        <v>88.569363513901308</v>
      </c>
      <c r="C372" s="100">
        <v>98.969852627778636</v>
      </c>
      <c r="D372" s="100">
        <v>92.849291508355961</v>
      </c>
      <c r="E372" s="100">
        <v>93.459405033947505</v>
      </c>
      <c r="F372" s="100">
        <v>3248.117007835212</v>
      </c>
      <c r="G372" s="100">
        <v>-1139.9446817247779</v>
      </c>
      <c r="H372" s="100">
        <v>-66.422805738710622</v>
      </c>
      <c r="I372" s="100">
        <v>-78.765379246277689</v>
      </c>
      <c r="J372" s="100">
        <v>1962.9841411254461</v>
      </c>
    </row>
    <row r="373" spans="1:10" x14ac:dyDescent="0.25">
      <c r="A373">
        <v>356</v>
      </c>
      <c r="B373" s="100">
        <v>90.007962349474894</v>
      </c>
      <c r="C373" s="100">
        <v>97.21576437075683</v>
      </c>
      <c r="D373" s="100">
        <v>92.690197284980158</v>
      </c>
      <c r="E373" s="100">
        <v>93.139644898914241</v>
      </c>
      <c r="F373" s="100">
        <v>-1499.2591495576221</v>
      </c>
      <c r="G373" s="100">
        <v>1491.187703807931</v>
      </c>
      <c r="H373" s="100">
        <v>251.765641012895</v>
      </c>
      <c r="I373" s="100">
        <v>240.99475578698559</v>
      </c>
      <c r="J373" s="100">
        <v>484.68895105018953</v>
      </c>
    </row>
    <row r="374" spans="1:10" x14ac:dyDescent="0.25">
      <c r="A374">
        <v>357</v>
      </c>
      <c r="B374" s="100">
        <v>89.963769276092094</v>
      </c>
      <c r="C374" s="100">
        <v>99.335459422358753</v>
      </c>
      <c r="D374" s="100">
        <v>93.476565675015749</v>
      </c>
      <c r="E374" s="100">
        <v>90.635221432440375</v>
      </c>
      <c r="F374" s="100">
        <v>-1353.4220073943814</v>
      </c>
      <c r="G374" s="100">
        <v>-1688.3548735949532</v>
      </c>
      <c r="H374" s="100">
        <v>-1320.9711390582868</v>
      </c>
      <c r="I374" s="100">
        <v>2745.4182222608524</v>
      </c>
      <c r="J374" s="100">
        <v>-1617.3297977867687</v>
      </c>
    </row>
    <row r="375" spans="1:10" x14ac:dyDescent="0.25">
      <c r="A375">
        <v>358</v>
      </c>
      <c r="B375" s="100">
        <v>89.49075546622305</v>
      </c>
      <c r="C375" s="100">
        <v>97.604492150274453</v>
      </c>
      <c r="D375" s="100">
        <v>93.959005855750476</v>
      </c>
      <c r="E375" s="100">
        <v>97.286479501295418</v>
      </c>
      <c r="F375" s="100">
        <v>207.52356517346584</v>
      </c>
      <c r="G375" s="100">
        <v>908.09603453149634</v>
      </c>
      <c r="H375" s="100">
        <v>-2285.8515005277413</v>
      </c>
      <c r="I375" s="100">
        <v>-3905.8398465941905</v>
      </c>
      <c r="J375" s="100">
        <v>-5076.0717474169696</v>
      </c>
    </row>
    <row r="376" spans="1:10" x14ac:dyDescent="0.25">
      <c r="A376">
        <v>359</v>
      </c>
      <c r="B376" s="100">
        <v>90.247895041007297</v>
      </c>
      <c r="C376" s="100">
        <v>96.787357793203626</v>
      </c>
      <c r="D376" s="100">
        <v>92.086022351363908</v>
      </c>
      <c r="E376" s="100">
        <v>94.698845750633183</v>
      </c>
      <c r="F376" s="100">
        <v>-2291.0370316145504</v>
      </c>
      <c r="G376" s="100">
        <v>2133.7975701377372</v>
      </c>
      <c r="H376" s="100">
        <v>1460.1155082453943</v>
      </c>
      <c r="I376" s="100">
        <v>-1318.2060959319556</v>
      </c>
      <c r="J376" s="100">
        <v>-15.330049163374497</v>
      </c>
    </row>
    <row r="377" spans="1:10" x14ac:dyDescent="0.25">
      <c r="A377">
        <v>360</v>
      </c>
      <c r="B377" s="100">
        <v>88.42831532258549</v>
      </c>
      <c r="C377" s="100">
        <v>97.754483807789768</v>
      </c>
      <c r="D377" s="100">
        <v>91.243706160068996</v>
      </c>
      <c r="E377" s="100">
        <v>93.724004759651891</v>
      </c>
      <c r="F377" s="100">
        <v>3713.5760391774111</v>
      </c>
      <c r="G377" s="100">
        <v>683.1085482585238</v>
      </c>
      <c r="H377" s="100">
        <v>3144.7478908352196</v>
      </c>
      <c r="I377" s="100">
        <v>-343.36510495066364</v>
      </c>
      <c r="J377" s="100">
        <v>7198.0673733204912</v>
      </c>
    </row>
    <row r="378" spans="1:10" x14ac:dyDescent="0.25">
      <c r="A378">
        <v>361</v>
      </c>
      <c r="B378" s="100">
        <v>90.386518154670014</v>
      </c>
      <c r="C378" s="100">
        <v>98.689130333615267</v>
      </c>
      <c r="D378" s="100">
        <v>92.521108528656029</v>
      </c>
      <c r="E378" s="100">
        <v>91.879794702950647</v>
      </c>
      <c r="F378" s="100">
        <v>-2748.4933067015177</v>
      </c>
      <c r="G378" s="100">
        <v>-718.86124047972544</v>
      </c>
      <c r="H378" s="100">
        <v>589.94315366115302</v>
      </c>
      <c r="I378" s="100">
        <v>1500.8449517505796</v>
      </c>
      <c r="J378" s="100">
        <v>-1376.5664417695107</v>
      </c>
    </row>
    <row r="379" spans="1:10" x14ac:dyDescent="0.25">
      <c r="A379">
        <v>362</v>
      </c>
      <c r="B379" s="100">
        <v>89.055270992937295</v>
      </c>
      <c r="C379" s="100">
        <v>97.336662858451277</v>
      </c>
      <c r="D379" s="100">
        <v>92.6473700561735</v>
      </c>
      <c r="E379" s="100">
        <v>94.399308998775624</v>
      </c>
      <c r="F379" s="100">
        <v>1644.6223270164551</v>
      </c>
      <c r="G379" s="100">
        <v>1309.8399722662607</v>
      </c>
      <c r="H379" s="100">
        <v>337.42009862621103</v>
      </c>
      <c r="I379" s="100">
        <v>-1018.6693440743966</v>
      </c>
      <c r="J379" s="100">
        <v>2273.21305383453</v>
      </c>
    </row>
    <row r="380" spans="1:10" x14ac:dyDescent="0.25">
      <c r="A380">
        <v>363</v>
      </c>
      <c r="B380" s="100">
        <v>89.889775116862765</v>
      </c>
      <c r="C380" s="100">
        <v>98.817712650460976</v>
      </c>
      <c r="D380" s="100">
        <v>91.663155995932726</v>
      </c>
      <c r="E380" s="100">
        <v>93.549843307497838</v>
      </c>
      <c r="F380" s="100">
        <v>-1109.2412819375952</v>
      </c>
      <c r="G380" s="100">
        <v>-911.73471574828818</v>
      </c>
      <c r="H380" s="100">
        <v>2305.8482191077587</v>
      </c>
      <c r="I380" s="100">
        <v>-169.20365279661098</v>
      </c>
      <c r="J380" s="100">
        <v>115.66856862526436</v>
      </c>
    </row>
    <row r="381" spans="1:10" x14ac:dyDescent="0.25">
      <c r="A381">
        <v>364</v>
      </c>
      <c r="B381" s="100">
        <v>89.23281596705381</v>
      </c>
      <c r="C381" s="100">
        <v>97.131719803566909</v>
      </c>
      <c r="D381" s="100">
        <v>92.578325331565338</v>
      </c>
      <c r="E381" s="100">
        <v>93.808111727753356</v>
      </c>
      <c r="F381" s="100">
        <v>1058.7239124319567</v>
      </c>
      <c r="G381" s="100">
        <v>1617.2545545928117</v>
      </c>
      <c r="H381" s="100">
        <v>475.50954784253463</v>
      </c>
      <c r="I381" s="100">
        <v>-427.47207305212953</v>
      </c>
      <c r="J381" s="100">
        <v>2724.0159418151734</v>
      </c>
    </row>
    <row r="382" spans="1:10" x14ac:dyDescent="0.25">
      <c r="A382">
        <v>365</v>
      </c>
      <c r="B382" s="100">
        <v>89.037431768882811</v>
      </c>
      <c r="C382" s="100">
        <v>97.97650952328749</v>
      </c>
      <c r="D382" s="100">
        <v>92.438196666073281</v>
      </c>
      <c r="E382" s="100">
        <v>91.632779144395826</v>
      </c>
      <c r="F382" s="100">
        <v>1703.4917663962517</v>
      </c>
      <c r="G382" s="100">
        <v>350.06997501194093</v>
      </c>
      <c r="H382" s="100">
        <v>755.76687882664828</v>
      </c>
      <c r="I382" s="100">
        <v>1747.8605103054008</v>
      </c>
      <c r="J382" s="100">
        <v>4557.1891305402414</v>
      </c>
    </row>
    <row r="383" spans="1:10" x14ac:dyDescent="0.25">
      <c r="A383">
        <v>366</v>
      </c>
      <c r="B383" s="100">
        <v>89.324856096869055</v>
      </c>
      <c r="C383" s="100">
        <v>98.555588716919829</v>
      </c>
      <c r="D383" s="100">
        <v>93.816642687179552</v>
      </c>
      <c r="E383" s="100">
        <v>94.034080580334432</v>
      </c>
      <c r="F383" s="100">
        <v>754.99148404164634</v>
      </c>
      <c r="G383" s="100">
        <v>-518.54881543656711</v>
      </c>
      <c r="H383" s="100">
        <v>-2001.1251633858933</v>
      </c>
      <c r="I383" s="100">
        <v>-653.44092563320544</v>
      </c>
      <c r="J383" s="100">
        <v>-2418.1234204140196</v>
      </c>
    </row>
    <row r="384" spans="1:10" x14ac:dyDescent="0.25">
      <c r="A384">
        <v>367</v>
      </c>
      <c r="B384" s="100">
        <v>89.134937743183173</v>
      </c>
      <c r="C384" s="100">
        <v>98.648045034976036</v>
      </c>
      <c r="D384" s="100">
        <v>92.761755037585658</v>
      </c>
      <c r="E384" s="100">
        <v>96.523150099885243</v>
      </c>
      <c r="F384" s="100">
        <v>1381.7220512050596</v>
      </c>
      <c r="G384" s="100">
        <v>-657.23329252087842</v>
      </c>
      <c r="H384" s="100">
        <v>108.65013580189498</v>
      </c>
      <c r="I384" s="100">
        <v>-3142.5104451840157</v>
      </c>
      <c r="J384" s="100">
        <v>-2309.3715506979397</v>
      </c>
    </row>
    <row r="385" spans="1:10" x14ac:dyDescent="0.25">
      <c r="A385">
        <v>368</v>
      </c>
      <c r="B385" s="100">
        <v>89.802945882342755</v>
      </c>
      <c r="C385" s="100">
        <v>96.966422088728365</v>
      </c>
      <c r="D385" s="100">
        <v>91.793365727965138</v>
      </c>
      <c r="E385" s="100">
        <v>93.101845265500756</v>
      </c>
      <c r="F385" s="100">
        <v>-822.70480802156101</v>
      </c>
      <c r="G385" s="100">
        <v>1865.2011268506285</v>
      </c>
      <c r="H385" s="100">
        <v>2045.4287550429342</v>
      </c>
      <c r="I385" s="100">
        <v>278.7943892004705</v>
      </c>
      <c r="J385" s="100">
        <v>3366.7194630724725</v>
      </c>
    </row>
    <row r="386" spans="1:10" x14ac:dyDescent="0.25">
      <c r="A386">
        <v>369</v>
      </c>
      <c r="B386" s="100">
        <v>89.373908769362799</v>
      </c>
      <c r="C386" s="100">
        <v>98.791721548632452</v>
      </c>
      <c r="D386" s="100">
        <v>92.17937064310351</v>
      </c>
      <c r="E386" s="100">
        <v>93.015583023927235</v>
      </c>
      <c r="F386" s="100">
        <v>593.11766481229142</v>
      </c>
      <c r="G386" s="100">
        <v>-872.74806300550267</v>
      </c>
      <c r="H386" s="100">
        <v>1273.4189247661902</v>
      </c>
      <c r="I386" s="100">
        <v>365.0566307739922</v>
      </c>
      <c r="J386" s="100">
        <v>1358.8451573469711</v>
      </c>
    </row>
    <row r="387" spans="1:10" x14ac:dyDescent="0.25">
      <c r="A387">
        <v>370</v>
      </c>
      <c r="B387" s="100">
        <v>89.834105528695517</v>
      </c>
      <c r="C387" s="100">
        <v>97.789855540837493</v>
      </c>
      <c r="D387" s="100">
        <v>93.126766240152648</v>
      </c>
      <c r="E387" s="100">
        <v>90.931887535853278</v>
      </c>
      <c r="F387" s="100">
        <v>-925.53164098567606</v>
      </c>
      <c r="G387" s="100">
        <v>630.05094868693595</v>
      </c>
      <c r="H387" s="100">
        <v>-621.37226933208467</v>
      </c>
      <c r="I387" s="100">
        <v>2448.7521188479491</v>
      </c>
      <c r="J387" s="100">
        <v>1531.8991572171244</v>
      </c>
    </row>
    <row r="388" spans="1:10" x14ac:dyDescent="0.25">
      <c r="A388">
        <v>371</v>
      </c>
      <c r="B388" s="100">
        <v>89.562722448394226</v>
      </c>
      <c r="C388" s="100">
        <v>98.105483656055853</v>
      </c>
      <c r="D388" s="100">
        <v>92.314191920018601</v>
      </c>
      <c r="E388" s="100">
        <v>91.598977991037344</v>
      </c>
      <c r="F388" s="100">
        <v>-29.967475991415427</v>
      </c>
      <c r="G388" s="100">
        <v>156.60877585939659</v>
      </c>
      <c r="H388" s="100">
        <v>1003.7763709360092</v>
      </c>
      <c r="I388" s="100">
        <v>1781.6616636638828</v>
      </c>
      <c r="J388" s="100">
        <v>2912.0793344678732</v>
      </c>
    </row>
    <row r="389" spans="1:10" x14ac:dyDescent="0.25">
      <c r="A389">
        <v>372</v>
      </c>
      <c r="B389" s="100">
        <v>89.204356930542588</v>
      </c>
      <c r="C389" s="100">
        <v>98.816428082134067</v>
      </c>
      <c r="D389" s="100">
        <v>91.319525858386058</v>
      </c>
      <c r="E389" s="100">
        <v>93.915416524138948</v>
      </c>
      <c r="F389" s="100">
        <v>1152.6387329189902</v>
      </c>
      <c r="G389" s="100">
        <v>-909.80786325792451</v>
      </c>
      <c r="H389" s="100">
        <v>2993.1084942010957</v>
      </c>
      <c r="I389" s="100">
        <v>-534.77686943772085</v>
      </c>
      <c r="J389" s="100">
        <v>2701.1624944244404</v>
      </c>
    </row>
    <row r="390" spans="1:10" x14ac:dyDescent="0.25">
      <c r="A390">
        <v>373</v>
      </c>
      <c r="B390" s="100">
        <v>89.110642671714302</v>
      </c>
      <c r="C390" s="100">
        <v>96.557111920384756</v>
      </c>
      <c r="D390" s="100">
        <v>92.99585805105616</v>
      </c>
      <c r="E390" s="100">
        <v>95.411486244744992</v>
      </c>
      <c r="F390" s="100">
        <v>1461.8957870523318</v>
      </c>
      <c r="G390" s="100">
        <v>2479.1663793660418</v>
      </c>
      <c r="H390" s="100">
        <v>-359.55589113910946</v>
      </c>
      <c r="I390" s="100">
        <v>-2030.8465900437654</v>
      </c>
      <c r="J390" s="100">
        <v>1550.6596852354987</v>
      </c>
    </row>
    <row r="391" spans="1:10" x14ac:dyDescent="0.25">
      <c r="A391">
        <v>374</v>
      </c>
      <c r="B391" s="100">
        <v>89.37838645988495</v>
      </c>
      <c r="C391" s="100">
        <v>98.855984727743717</v>
      </c>
      <c r="D391" s="100">
        <v>92.798545924140285</v>
      </c>
      <c r="E391" s="100">
        <v>93.75354340586992</v>
      </c>
      <c r="F391" s="100">
        <v>578.34128608919286</v>
      </c>
      <c r="G391" s="100">
        <v>-969.14283167240001</v>
      </c>
      <c r="H391" s="100">
        <v>35.068362692641131</v>
      </c>
      <c r="I391" s="100">
        <v>-372.90375116869257</v>
      </c>
      <c r="J391" s="100">
        <v>-728.63693405925858</v>
      </c>
    </row>
    <row r="392" spans="1:10" x14ac:dyDescent="0.25">
      <c r="A392">
        <v>375</v>
      </c>
      <c r="B392" s="100">
        <v>88.891686935067938</v>
      </c>
      <c r="C392" s="100">
        <v>100.27422001684398</v>
      </c>
      <c r="D392" s="100">
        <v>91.68532906229882</v>
      </c>
      <c r="E392" s="100">
        <v>93.986485077799088</v>
      </c>
      <c r="F392" s="100">
        <v>2184.4497179853347</v>
      </c>
      <c r="G392" s="100">
        <v>-3096.4957653227998</v>
      </c>
      <c r="H392" s="100">
        <v>2261.5020863755717</v>
      </c>
      <c r="I392" s="100">
        <v>-605.84542309786116</v>
      </c>
      <c r="J392" s="100">
        <v>743.61061594024545</v>
      </c>
    </row>
    <row r="393" spans="1:10" x14ac:dyDescent="0.25">
      <c r="A393">
        <v>376</v>
      </c>
      <c r="B393" s="100">
        <v>90.125223082151479</v>
      </c>
      <c r="C393" s="100">
        <v>98.556234979042628</v>
      </c>
      <c r="D393" s="100">
        <v>92.493660692252888</v>
      </c>
      <c r="E393" s="100">
        <v>94.179778231691415</v>
      </c>
      <c r="F393" s="100">
        <v>-1886.21956739035</v>
      </c>
      <c r="G393" s="100">
        <v>-519.51820862076659</v>
      </c>
      <c r="H393" s="100">
        <v>644.83882646743496</v>
      </c>
      <c r="I393" s="100">
        <v>-799.1385769901882</v>
      </c>
      <c r="J393" s="100">
        <v>-2560.0375265338698</v>
      </c>
    </row>
    <row r="394" spans="1:10" x14ac:dyDescent="0.25">
      <c r="A394">
        <v>377</v>
      </c>
      <c r="B394" s="100">
        <v>88.963829243154009</v>
      </c>
      <c r="C394" s="100">
        <v>97.66574012806467</v>
      </c>
      <c r="D394" s="100">
        <v>94.41170873518702</v>
      </c>
      <c r="E394" s="100">
        <v>94.528709931939844</v>
      </c>
      <c r="F394" s="100">
        <v>1946.3801013012983</v>
      </c>
      <c r="G394" s="100">
        <v>816.22406784617147</v>
      </c>
      <c r="H394" s="100">
        <v>-3191.2572594008279</v>
      </c>
      <c r="I394" s="100">
        <v>-1148.0702772386167</v>
      </c>
      <c r="J394" s="100">
        <v>-1576.7233674919748</v>
      </c>
    </row>
    <row r="395" spans="1:10" x14ac:dyDescent="0.25">
      <c r="A395">
        <v>378</v>
      </c>
      <c r="B395" s="100">
        <v>90.472456044223549</v>
      </c>
      <c r="C395" s="100">
        <v>97.013491429657336</v>
      </c>
      <c r="D395" s="100">
        <v>92.167393902578027</v>
      </c>
      <c r="E395" s="100">
        <v>93.484738719293205</v>
      </c>
      <c r="F395" s="100">
        <v>-3032.0883422281809</v>
      </c>
      <c r="G395" s="100">
        <v>1794.5971154571723</v>
      </c>
      <c r="H395" s="100">
        <v>1297.372405817157</v>
      </c>
      <c r="I395" s="100">
        <v>-104.09906459197771</v>
      </c>
      <c r="J395" s="100">
        <v>-44.21788554582929</v>
      </c>
    </row>
    <row r="396" spans="1:10" x14ac:dyDescent="0.25">
      <c r="A396">
        <v>379</v>
      </c>
      <c r="B396" s="100">
        <v>90.011175289288772</v>
      </c>
      <c r="C396" s="100">
        <v>96.584893134480367</v>
      </c>
      <c r="D396" s="100">
        <v>93.173204599374699</v>
      </c>
      <c r="E396" s="100">
        <v>92.124517244510628</v>
      </c>
      <c r="F396" s="100">
        <v>-1509.8618509434189</v>
      </c>
      <c r="G396" s="100">
        <v>2437.4945582226246</v>
      </c>
      <c r="H396" s="100">
        <v>-714.24898777618751</v>
      </c>
      <c r="I396" s="100">
        <v>1256.1224101905991</v>
      </c>
      <c r="J396" s="100">
        <v>1469.5061296936174</v>
      </c>
    </row>
    <row r="397" spans="1:10" x14ac:dyDescent="0.25">
      <c r="A397">
        <v>380</v>
      </c>
      <c r="B397" s="100">
        <v>89.659126355209253</v>
      </c>
      <c r="C397" s="100">
        <v>100.27884368870833</v>
      </c>
      <c r="D397" s="100">
        <v>93.876890410414433</v>
      </c>
      <c r="E397" s="100">
        <v>90.338211119578176</v>
      </c>
      <c r="F397" s="100">
        <v>-348.10036848100481</v>
      </c>
      <c r="G397" s="100">
        <v>-3103.4312731193268</v>
      </c>
      <c r="H397" s="100">
        <v>-2121.620609855654</v>
      </c>
      <c r="I397" s="100">
        <v>3042.428535123051</v>
      </c>
      <c r="J397" s="100">
        <v>-2530.7237163329346</v>
      </c>
    </row>
    <row r="398" spans="1:10" x14ac:dyDescent="0.25">
      <c r="A398">
        <v>381</v>
      </c>
      <c r="B398" s="100">
        <v>89.553395987267237</v>
      </c>
      <c r="C398" s="100">
        <v>99.589445663450704</v>
      </c>
      <c r="D398" s="100">
        <v>93.332439665184609</v>
      </c>
      <c r="E398" s="100">
        <v>96.802736512522998</v>
      </c>
      <c r="F398" s="100">
        <v>0.80984572764748464</v>
      </c>
      <c r="G398" s="100">
        <v>-2069.33423523288</v>
      </c>
      <c r="H398" s="100">
        <v>-1032.7191193960061</v>
      </c>
      <c r="I398" s="100">
        <v>-3422.0968578217708</v>
      </c>
      <c r="J398" s="100">
        <v>-6523.3403667230095</v>
      </c>
    </row>
    <row r="399" spans="1:10" x14ac:dyDescent="0.25">
      <c r="A399">
        <v>382</v>
      </c>
      <c r="B399" s="100">
        <v>89.043811624029004</v>
      </c>
      <c r="C399" s="100">
        <v>96.257927402297653</v>
      </c>
      <c r="D399" s="100">
        <v>94.034500462313758</v>
      </c>
      <c r="E399" s="100">
        <v>90.440344141623839</v>
      </c>
      <c r="F399" s="100">
        <v>1682.4382444138153</v>
      </c>
      <c r="G399" s="100">
        <v>2927.9431564966953</v>
      </c>
      <c r="H399" s="100">
        <v>-2436.8407136543055</v>
      </c>
      <c r="I399" s="100">
        <v>2940.2955130773876</v>
      </c>
      <c r="J399" s="100">
        <v>5113.8362003335933</v>
      </c>
    </row>
    <row r="400" spans="1:10" x14ac:dyDescent="0.25">
      <c r="A400">
        <v>383</v>
      </c>
      <c r="B400" s="100">
        <v>89.688437695428334</v>
      </c>
      <c r="C400" s="100">
        <v>98.921918872857617</v>
      </c>
      <c r="D400" s="100">
        <v>92.142691294673881</v>
      </c>
      <c r="E400" s="100">
        <v>92.585052742413708</v>
      </c>
      <c r="F400" s="100">
        <v>-444.82779120397282</v>
      </c>
      <c r="G400" s="100">
        <v>-1068.04404934325</v>
      </c>
      <c r="H400" s="100">
        <v>1346.7776216254492</v>
      </c>
      <c r="I400" s="100">
        <v>795.58691228751854</v>
      </c>
      <c r="J400" s="100">
        <v>629.49269336574503</v>
      </c>
    </row>
    <row r="401" spans="1:10" x14ac:dyDescent="0.25">
      <c r="A401">
        <v>384</v>
      </c>
      <c r="B401" s="100">
        <v>89.452043102105222</v>
      </c>
      <c r="C401" s="100">
        <v>96.253489381949635</v>
      </c>
      <c r="D401" s="100">
        <v>92.115908050105304</v>
      </c>
      <c r="E401" s="100">
        <v>93.262067157519368</v>
      </c>
      <c r="F401" s="100">
        <v>335.2743667622974</v>
      </c>
      <c r="G401" s="100">
        <v>2934.6001870187238</v>
      </c>
      <c r="H401" s="100">
        <v>1400.3441107626031</v>
      </c>
      <c r="I401" s="100">
        <v>118.57249718185869</v>
      </c>
      <c r="J401" s="100">
        <v>4788.7911617254831</v>
      </c>
    </row>
    <row r="402" spans="1:10" x14ac:dyDescent="0.25">
      <c r="A402">
        <v>385</v>
      </c>
      <c r="B402" s="100">
        <v>90.005776347867624</v>
      </c>
      <c r="C402" s="100">
        <v>96.364603450187559</v>
      </c>
      <c r="D402" s="100">
        <v>94.593363500002923</v>
      </c>
      <c r="E402" s="100">
        <v>93.047751389051172</v>
      </c>
      <c r="F402" s="100">
        <v>-1492.0453442536286</v>
      </c>
      <c r="G402" s="100">
        <v>2767.9290846618374</v>
      </c>
      <c r="H402" s="100">
        <v>-3554.566789032634</v>
      </c>
      <c r="I402" s="100">
        <v>332.88826565005536</v>
      </c>
      <c r="J402" s="100">
        <v>-1945.7947829743698</v>
      </c>
    </row>
    <row r="403" spans="1:10" x14ac:dyDescent="0.25">
      <c r="A403">
        <v>386</v>
      </c>
      <c r="B403" s="100">
        <v>90.506777900858779</v>
      </c>
      <c r="C403" s="100">
        <v>98.010292257614651</v>
      </c>
      <c r="D403" s="100">
        <v>93.436069133082327</v>
      </c>
      <c r="E403" s="100">
        <v>95.47970743157039</v>
      </c>
      <c r="F403" s="100">
        <v>-3145.350469124442</v>
      </c>
      <c r="G403" s="100">
        <v>299.39587352119901</v>
      </c>
      <c r="H403" s="100">
        <v>-1239.9780551914432</v>
      </c>
      <c r="I403" s="100">
        <v>-2099.0677768691626</v>
      </c>
      <c r="J403" s="100">
        <v>-6185.0004276638483</v>
      </c>
    </row>
    <row r="404" spans="1:10" x14ac:dyDescent="0.25">
      <c r="A404">
        <v>387</v>
      </c>
      <c r="B404" s="100">
        <v>89.632355928602991</v>
      </c>
      <c r="C404" s="100">
        <v>98.432209201856608</v>
      </c>
      <c r="D404" s="100">
        <v>92.591342137767185</v>
      </c>
      <c r="E404" s="100">
        <v>95.717435199775053</v>
      </c>
      <c r="F404" s="100">
        <v>-259.75796068033929</v>
      </c>
      <c r="G404" s="100">
        <v>-333.47954284173653</v>
      </c>
      <c r="H404" s="100">
        <v>449.47593543884068</v>
      </c>
      <c r="I404" s="100">
        <v>-2336.7955450738264</v>
      </c>
      <c r="J404" s="100">
        <v>-2480.5571131570614</v>
      </c>
    </row>
    <row r="405" spans="1:10" x14ac:dyDescent="0.25">
      <c r="A405">
        <v>388</v>
      </c>
      <c r="B405" s="100">
        <v>89.668158803575537</v>
      </c>
      <c r="C405" s="100">
        <v>99.151229867418849</v>
      </c>
      <c r="D405" s="100">
        <v>93.056546607039976</v>
      </c>
      <c r="E405" s="100">
        <v>92.336496157429707</v>
      </c>
      <c r="F405" s="100">
        <v>-377.9074480897421</v>
      </c>
      <c r="G405" s="100">
        <v>-1412.0105411850973</v>
      </c>
      <c r="H405" s="100">
        <v>-480.93300310674181</v>
      </c>
      <c r="I405" s="100">
        <v>1044.1434972715201</v>
      </c>
      <c r="J405" s="100">
        <v>-1226.7074951100608</v>
      </c>
    </row>
    <row r="406" spans="1:10" x14ac:dyDescent="0.25">
      <c r="A406">
        <v>389</v>
      </c>
      <c r="B406" s="100">
        <v>90.045899039059194</v>
      </c>
      <c r="C406" s="100">
        <v>98.282096525140545</v>
      </c>
      <c r="D406" s="100">
        <v>93.831044452383608</v>
      </c>
      <c r="E406" s="100">
        <v>92.344240220068187</v>
      </c>
      <c r="F406" s="100">
        <v>-1624.4502251858094</v>
      </c>
      <c r="G406" s="100">
        <v>-108.31052776764238</v>
      </c>
      <c r="H406" s="100">
        <v>-2029.9286937940053</v>
      </c>
      <c r="I406" s="100">
        <v>1036.3994346330401</v>
      </c>
      <c r="J406" s="100">
        <v>-2726.2900121144166</v>
      </c>
    </row>
    <row r="407" spans="1:10" x14ac:dyDescent="0.25">
      <c r="A407">
        <v>390</v>
      </c>
      <c r="B407" s="100">
        <v>89.568395460801071</v>
      </c>
      <c r="C407" s="100">
        <v>97.416074147308905</v>
      </c>
      <c r="D407" s="100">
        <v>92.097904308624962</v>
      </c>
      <c r="E407" s="100">
        <v>94.43724564978028</v>
      </c>
      <c r="F407" s="100">
        <v>-48.688416934004408</v>
      </c>
      <c r="G407" s="100">
        <v>1190.7230389798187</v>
      </c>
      <c r="H407" s="100">
        <v>1436.3515937232876</v>
      </c>
      <c r="I407" s="100">
        <v>-1056.6059950790532</v>
      </c>
      <c r="J407" s="100">
        <v>1521.7802206900487</v>
      </c>
    </row>
    <row r="408" spans="1:10" x14ac:dyDescent="0.25">
      <c r="A408">
        <v>391</v>
      </c>
      <c r="B408" s="100">
        <v>89.635628707421077</v>
      </c>
      <c r="C408" s="100">
        <v>99.573156305728801</v>
      </c>
      <c r="D408" s="100">
        <v>92.814071219272492</v>
      </c>
      <c r="E408" s="100">
        <v>92.908609506718733</v>
      </c>
      <c r="F408" s="100">
        <v>-270.55813078002444</v>
      </c>
      <c r="G408" s="100">
        <v>-2044.9001986500264</v>
      </c>
      <c r="H408" s="100">
        <v>4.0177724282273175</v>
      </c>
      <c r="I408" s="100">
        <v>472.03014798249399</v>
      </c>
      <c r="J408" s="100">
        <v>-1839.4104090193296</v>
      </c>
    </row>
    <row r="409" spans="1:10" x14ac:dyDescent="0.25">
      <c r="A409">
        <v>392</v>
      </c>
      <c r="B409" s="100">
        <v>89.104141767137222</v>
      </c>
      <c r="C409" s="100">
        <v>97.671371530580245</v>
      </c>
      <c r="D409" s="100">
        <v>94.238406885808303</v>
      </c>
      <c r="E409" s="100">
        <v>94.41507247121713</v>
      </c>
      <c r="F409" s="100">
        <v>1483.3487721566983</v>
      </c>
      <c r="G409" s="100">
        <v>807.77696407280791</v>
      </c>
      <c r="H409" s="100">
        <v>-2844.653560643394</v>
      </c>
      <c r="I409" s="100">
        <v>-1034.4328165159027</v>
      </c>
      <c r="J409" s="100">
        <v>-1587.9606409297903</v>
      </c>
    </row>
    <row r="410" spans="1:10" x14ac:dyDescent="0.25">
      <c r="A410">
        <v>393</v>
      </c>
      <c r="B410" s="100">
        <v>89.258227349446415</v>
      </c>
      <c r="C410" s="100">
        <v>96.69495187481283</v>
      </c>
      <c r="D410" s="100">
        <v>94.309344546684031</v>
      </c>
      <c r="E410" s="100">
        <v>91.710018145929297</v>
      </c>
      <c r="F410" s="100">
        <v>974.86635053636087</v>
      </c>
      <c r="G410" s="100">
        <v>2272.4064477239308</v>
      </c>
      <c r="H410" s="100">
        <v>-2986.5288823948504</v>
      </c>
      <c r="I410" s="100">
        <v>1670.6215087719302</v>
      </c>
      <c r="J410" s="100">
        <v>1931.3654246373717</v>
      </c>
    </row>
    <row r="411" spans="1:10" x14ac:dyDescent="0.25">
      <c r="A411">
        <v>394</v>
      </c>
      <c r="B411" s="100">
        <v>89.641921651848037</v>
      </c>
      <c r="C411" s="100">
        <v>97.362749075101249</v>
      </c>
      <c r="D411" s="100">
        <v>93.002536931309137</v>
      </c>
      <c r="E411" s="100">
        <v>96.171187968240986</v>
      </c>
      <c r="F411" s="100">
        <v>-291.32484738899223</v>
      </c>
      <c r="G411" s="100">
        <v>1270.7106472913026</v>
      </c>
      <c r="H411" s="100">
        <v>-372.91365164506374</v>
      </c>
      <c r="I411" s="100">
        <v>-2790.548313539759</v>
      </c>
      <c r="J411" s="100">
        <v>-2184.0761652825122</v>
      </c>
    </row>
    <row r="412" spans="1:10" x14ac:dyDescent="0.25">
      <c r="A412">
        <v>395</v>
      </c>
      <c r="B412" s="100">
        <v>88.876250357972339</v>
      </c>
      <c r="C412" s="100">
        <v>96.995487462766661</v>
      </c>
      <c r="D412" s="100">
        <v>90.994854377716152</v>
      </c>
      <c r="E412" s="100">
        <v>93.232760827572477</v>
      </c>
      <c r="F412" s="100">
        <v>2235.390422400812</v>
      </c>
      <c r="G412" s="100">
        <v>1821.6030657931838</v>
      </c>
      <c r="H412" s="100">
        <v>3642.4514555409078</v>
      </c>
      <c r="I412" s="100">
        <v>147.87882712874989</v>
      </c>
      <c r="J412" s="100">
        <v>7847.3237708636534</v>
      </c>
    </row>
    <row r="413" spans="1:10" x14ac:dyDescent="0.25">
      <c r="A413">
        <v>396</v>
      </c>
      <c r="B413" s="100">
        <v>89.576340946106328</v>
      </c>
      <c r="C413" s="100">
        <v>98.763774557405767</v>
      </c>
      <c r="D413" s="100">
        <v>93.01088607684315</v>
      </c>
      <c r="E413" s="100">
        <v>93.061697708197428</v>
      </c>
      <c r="F413" s="100">
        <v>-74.908518441351646</v>
      </c>
      <c r="G413" s="100">
        <v>-830.82757616547553</v>
      </c>
      <c r="H413" s="100">
        <v>-389.61194271308841</v>
      </c>
      <c r="I413" s="100">
        <v>318.94194650379859</v>
      </c>
      <c r="J413" s="100">
        <v>-976.40609081611706</v>
      </c>
    </row>
    <row r="414" spans="1:10" x14ac:dyDescent="0.25">
      <c r="A414">
        <v>397</v>
      </c>
      <c r="B414" s="100">
        <v>89.735837544517992</v>
      </c>
      <c r="C414" s="100">
        <v>97.634085485082622</v>
      </c>
      <c r="D414" s="100">
        <v>92.838178280319184</v>
      </c>
      <c r="E414" s="100">
        <v>95.370251649121911</v>
      </c>
      <c r="F414" s="100">
        <v>-601.24729319984317</v>
      </c>
      <c r="G414" s="100">
        <v>863.70603231924292</v>
      </c>
      <c r="H414" s="100">
        <v>-44.196349665156731</v>
      </c>
      <c r="I414" s="100">
        <v>-1989.6119944206844</v>
      </c>
      <c r="J414" s="100">
        <v>-1771.3496049664413</v>
      </c>
    </row>
    <row r="415" spans="1:10" x14ac:dyDescent="0.25">
      <c r="A415">
        <v>398</v>
      </c>
      <c r="B415" s="100">
        <v>88.412096711020027</v>
      </c>
      <c r="C415" s="100">
        <v>98.299650621626242</v>
      </c>
      <c r="D415" s="100">
        <v>92.026749662553499</v>
      </c>
      <c r="E415" s="100">
        <v>92.219871593058755</v>
      </c>
      <c r="F415" s="100">
        <v>3767.0974573434405</v>
      </c>
      <c r="G415" s="100">
        <v>-134.64167249618697</v>
      </c>
      <c r="H415" s="100">
        <v>1578.6608858662134</v>
      </c>
      <c r="I415" s="100">
        <v>1160.7680616424716</v>
      </c>
      <c r="J415" s="100">
        <v>6371.8847323559385</v>
      </c>
    </row>
    <row r="416" spans="1:10" x14ac:dyDescent="0.25">
      <c r="A416">
        <v>399</v>
      </c>
      <c r="B416" s="100">
        <v>90.037952321366532</v>
      </c>
      <c r="C416" s="100">
        <v>99.48805374056063</v>
      </c>
      <c r="D416" s="100">
        <v>93.668266398052538</v>
      </c>
      <c r="E416" s="100">
        <v>92.094575742127603</v>
      </c>
      <c r="F416" s="100">
        <v>-1598.226056800027</v>
      </c>
      <c r="G416" s="100">
        <v>-1917.2463508977698</v>
      </c>
      <c r="H416" s="100">
        <v>-1704.3725851318641</v>
      </c>
      <c r="I416" s="100">
        <v>1286.0639125736243</v>
      </c>
      <c r="J416" s="100">
        <v>-3933.7810802560371</v>
      </c>
    </row>
    <row r="417" spans="1:10" x14ac:dyDescent="0.25">
      <c r="A417">
        <v>400</v>
      </c>
      <c r="B417" s="100">
        <v>89.852197438467286</v>
      </c>
      <c r="C417" s="100">
        <v>97.619587073263133</v>
      </c>
      <c r="D417" s="100">
        <v>91.747120176770125</v>
      </c>
      <c r="E417" s="100">
        <v>93.908815924138452</v>
      </c>
      <c r="F417" s="100">
        <v>-985.23494323251407</v>
      </c>
      <c r="G417" s="100">
        <v>885.45365004847554</v>
      </c>
      <c r="H417" s="100">
        <v>2137.9198574329621</v>
      </c>
      <c r="I417" s="100">
        <v>-528.17626943722473</v>
      </c>
      <c r="J417" s="100">
        <v>1509.9622948116989</v>
      </c>
    </row>
    <row r="418" spans="1:10" x14ac:dyDescent="0.25">
      <c r="A418">
        <v>401</v>
      </c>
      <c r="B418" s="100">
        <v>89.125828018182617</v>
      </c>
      <c r="C418" s="100">
        <v>97.377812550586668</v>
      </c>
      <c r="D418" s="100">
        <v>93.278915991233262</v>
      </c>
      <c r="E418" s="100">
        <v>92.500058723811478</v>
      </c>
      <c r="F418" s="100">
        <v>1411.7841437068946</v>
      </c>
      <c r="G418" s="100">
        <v>1248.1154340631733</v>
      </c>
      <c r="H418" s="100">
        <v>-925.67177149331314</v>
      </c>
      <c r="I418" s="100">
        <v>880.58093088974942</v>
      </c>
      <c r="J418" s="100">
        <v>2614.8087371665042</v>
      </c>
    </row>
    <row r="419" spans="1:10" x14ac:dyDescent="0.25">
      <c r="A419">
        <v>402</v>
      </c>
      <c r="B419" s="100">
        <v>89.261236427370022</v>
      </c>
      <c r="C419" s="100">
        <v>98.959529042874465</v>
      </c>
      <c r="D419" s="100">
        <v>92.554695462821073</v>
      </c>
      <c r="E419" s="100">
        <v>94.43283942346379</v>
      </c>
      <c r="F419" s="100">
        <v>964.93639338845583</v>
      </c>
      <c r="G419" s="100">
        <v>-1124.4593043685213</v>
      </c>
      <c r="H419" s="100">
        <v>522.7692853310657</v>
      </c>
      <c r="I419" s="100">
        <v>-1052.1997687625628</v>
      </c>
      <c r="J419" s="100">
        <v>-688.95339441156261</v>
      </c>
    </row>
    <row r="420" spans="1:10" x14ac:dyDescent="0.25">
      <c r="A420">
        <v>403</v>
      </c>
      <c r="B420" s="100">
        <v>90.252329704067975</v>
      </c>
      <c r="C420" s="100">
        <v>96.983012503073951</v>
      </c>
      <c r="D420" s="100">
        <v>92.499577661781217</v>
      </c>
      <c r="E420" s="100">
        <v>91.386813806105948</v>
      </c>
      <c r="F420" s="100">
        <v>-2305.6714197147885</v>
      </c>
      <c r="G420" s="100">
        <v>1840.3155053322494</v>
      </c>
      <c r="H420" s="100">
        <v>633.00488741077743</v>
      </c>
      <c r="I420" s="100">
        <v>1993.8258485952788</v>
      </c>
      <c r="J420" s="100">
        <v>2161.4748216235171</v>
      </c>
    </row>
    <row r="421" spans="1:10" x14ac:dyDescent="0.25">
      <c r="A421">
        <v>404</v>
      </c>
      <c r="B421" s="100">
        <v>89.000607357773106</v>
      </c>
      <c r="C421" s="100">
        <v>97.80758343217191</v>
      </c>
      <c r="D421" s="100">
        <v>93.727941571900658</v>
      </c>
      <c r="E421" s="100">
        <v>95.199521030710414</v>
      </c>
      <c r="F421" s="100">
        <v>1825.0123230582801</v>
      </c>
      <c r="G421" s="100">
        <v>603.45911168531075</v>
      </c>
      <c r="H421" s="100">
        <v>-1823.7229328281046</v>
      </c>
      <c r="I421" s="100">
        <v>-1818.8813760091875</v>
      </c>
      <c r="J421" s="100">
        <v>-1214.132874093701</v>
      </c>
    </row>
    <row r="422" spans="1:10" x14ac:dyDescent="0.25">
      <c r="A422">
        <v>405</v>
      </c>
      <c r="B422" s="100">
        <v>89.389718946953181</v>
      </c>
      <c r="C422" s="100">
        <v>98.742867683957783</v>
      </c>
      <c r="D422" s="100">
        <v>91.689888098252979</v>
      </c>
      <c r="E422" s="100">
        <v>90.900427258276864</v>
      </c>
      <c r="F422" s="100">
        <v>540.94407876403216</v>
      </c>
      <c r="G422" s="100">
        <v>-799.46726599349915</v>
      </c>
      <c r="H422" s="100">
        <v>2252.3840144672531</v>
      </c>
      <c r="I422" s="100">
        <v>2480.2123964243633</v>
      </c>
      <c r="J422" s="100">
        <v>4474.0732236621498</v>
      </c>
    </row>
    <row r="423" spans="1:10" x14ac:dyDescent="0.25">
      <c r="A423">
        <v>406</v>
      </c>
      <c r="B423" s="100">
        <v>89.451432408234709</v>
      </c>
      <c r="C423" s="100">
        <v>96.992072219912004</v>
      </c>
      <c r="D423" s="100">
        <v>93.345544057321248</v>
      </c>
      <c r="E423" s="100">
        <v>92.826338690073385</v>
      </c>
      <c r="F423" s="100">
        <v>337.28965653499046</v>
      </c>
      <c r="G423" s="100">
        <v>1826.7259300751703</v>
      </c>
      <c r="H423" s="100">
        <v>-1058.9279036692858</v>
      </c>
      <c r="I423" s="100">
        <v>554.30096462784206</v>
      </c>
      <c r="J423" s="100">
        <v>1659.3886475687173</v>
      </c>
    </row>
    <row r="424" spans="1:10" x14ac:dyDescent="0.25">
      <c r="A424">
        <v>407</v>
      </c>
      <c r="B424" s="100">
        <v>89.01104554587603</v>
      </c>
      <c r="C424" s="100">
        <v>96.229197458089573</v>
      </c>
      <c r="D424" s="100">
        <v>91.423424157163581</v>
      </c>
      <c r="E424" s="100">
        <v>96.917184811571744</v>
      </c>
      <c r="F424" s="100">
        <v>1790.5663023186307</v>
      </c>
      <c r="G424" s="100">
        <v>2971.0380728088167</v>
      </c>
      <c r="H424" s="100">
        <v>2785.3118966460497</v>
      </c>
      <c r="I424" s="100">
        <v>-3536.5451568705166</v>
      </c>
      <c r="J424" s="100">
        <v>4010.3711149029805</v>
      </c>
    </row>
    <row r="425" spans="1:10" x14ac:dyDescent="0.25">
      <c r="A425">
        <v>408</v>
      </c>
      <c r="B425" s="100">
        <v>89.282370255847113</v>
      </c>
      <c r="C425" s="100">
        <v>98.398434489706162</v>
      </c>
      <c r="D425" s="100">
        <v>91.583707167702428</v>
      </c>
      <c r="E425" s="100">
        <v>93.1990301038757</v>
      </c>
      <c r="F425" s="100">
        <v>895.19475941405767</v>
      </c>
      <c r="G425" s="100">
        <v>-282.81747461606699</v>
      </c>
      <c r="H425" s="100">
        <v>2464.7458755683547</v>
      </c>
      <c r="I425" s="100">
        <v>181.60955082552732</v>
      </c>
      <c r="J425" s="100">
        <v>3258.732711191873</v>
      </c>
    </row>
    <row r="426" spans="1:10" x14ac:dyDescent="0.25">
      <c r="A426">
        <v>409</v>
      </c>
      <c r="B426" s="100">
        <v>89.270190045973365</v>
      </c>
      <c r="C426" s="100">
        <v>98.205667105597641</v>
      </c>
      <c r="D426" s="100">
        <v>93.154644840184034</v>
      </c>
      <c r="E426" s="100">
        <v>92.065248977275047</v>
      </c>
      <c r="F426" s="100">
        <v>935.38945199742466</v>
      </c>
      <c r="G426" s="100">
        <v>6.3336015467143625</v>
      </c>
      <c r="H426" s="100">
        <v>-677.12946939485619</v>
      </c>
      <c r="I426" s="100">
        <v>1315.39067742618</v>
      </c>
      <c r="J426" s="100">
        <v>1579.9842615754628</v>
      </c>
    </row>
    <row r="427" spans="1:10" x14ac:dyDescent="0.25">
      <c r="A427">
        <v>410</v>
      </c>
      <c r="B427" s="100">
        <v>89.930903094282755</v>
      </c>
      <c r="C427" s="100">
        <v>99.402862561666353</v>
      </c>
      <c r="D427" s="100">
        <v>93.449870954361458</v>
      </c>
      <c r="E427" s="100">
        <v>95.57067334325032</v>
      </c>
      <c r="F427" s="100">
        <v>-1244.9636074235614</v>
      </c>
      <c r="G427" s="100">
        <v>-1789.4595825563542</v>
      </c>
      <c r="H427" s="100">
        <v>-1267.581697749705</v>
      </c>
      <c r="I427" s="100">
        <v>-2190.0336885490929</v>
      </c>
      <c r="J427" s="100">
        <v>-6492.0385762787137</v>
      </c>
    </row>
    <row r="428" spans="1:10" x14ac:dyDescent="0.25">
      <c r="A428">
        <v>411</v>
      </c>
      <c r="B428" s="100">
        <v>89.881275806629873</v>
      </c>
      <c r="C428" s="100">
        <v>96.55147294604393</v>
      </c>
      <c r="D428" s="100">
        <v>91.557573133498209</v>
      </c>
      <c r="E428" s="100">
        <v>94.816899251059596</v>
      </c>
      <c r="F428" s="100">
        <v>-1081.1935581690504</v>
      </c>
      <c r="G428" s="100">
        <v>2487.6248408772808</v>
      </c>
      <c r="H428" s="100">
        <v>2517.0139439767922</v>
      </c>
      <c r="I428" s="100">
        <v>-1436.2595963583685</v>
      </c>
      <c r="J428" s="100">
        <v>2487.1856303266541</v>
      </c>
    </row>
    <row r="429" spans="1:10" x14ac:dyDescent="0.25">
      <c r="A429">
        <v>412</v>
      </c>
      <c r="B429" s="100">
        <v>89.931809399644223</v>
      </c>
      <c r="C429" s="100">
        <v>97.511581154509742</v>
      </c>
      <c r="D429" s="100">
        <v>92.69504425368882</v>
      </c>
      <c r="E429" s="100">
        <v>92.664901029580747</v>
      </c>
      <c r="F429" s="100">
        <v>-1247.9544151164064</v>
      </c>
      <c r="G429" s="100">
        <v>1047.4625281785634</v>
      </c>
      <c r="H429" s="100">
        <v>242.0717035955704</v>
      </c>
      <c r="I429" s="100">
        <v>715.73862512047981</v>
      </c>
      <c r="J429" s="100">
        <v>757.31844177820722</v>
      </c>
    </row>
    <row r="430" spans="1:10" x14ac:dyDescent="0.25">
      <c r="A430">
        <v>413</v>
      </c>
      <c r="B430" s="100">
        <v>88.827861157939111</v>
      </c>
      <c r="C430" s="100">
        <v>98.153766931437104</v>
      </c>
      <c r="D430" s="100">
        <v>93.695834666796202</v>
      </c>
      <c r="E430" s="100">
        <v>92.315304024061945</v>
      </c>
      <c r="F430" s="100">
        <v>2395.0747825104627</v>
      </c>
      <c r="G430" s="100">
        <v>84.183862787519104</v>
      </c>
      <c r="H430" s="100">
        <v>-1759.5091226191926</v>
      </c>
      <c r="I430" s="100">
        <v>1065.3356306392823</v>
      </c>
      <c r="J430" s="100">
        <v>1785.0851533180714</v>
      </c>
    </row>
    <row r="431" spans="1:10" x14ac:dyDescent="0.25">
      <c r="A431">
        <v>414</v>
      </c>
      <c r="B431" s="100">
        <v>89.29858511970923</v>
      </c>
      <c r="C431" s="100">
        <v>97.503598430823928</v>
      </c>
      <c r="D431" s="100">
        <v>94.690506933197099</v>
      </c>
      <c r="E431" s="100">
        <v>95.801247928173552</v>
      </c>
      <c r="F431" s="100">
        <v>841.68570866906975</v>
      </c>
      <c r="G431" s="100">
        <v>1059.4366137072839</v>
      </c>
      <c r="H431" s="100">
        <v>-3748.8536554209873</v>
      </c>
      <c r="I431" s="100">
        <v>-2420.6082734723254</v>
      </c>
      <c r="J431" s="100">
        <v>-4268.3396065169591</v>
      </c>
    </row>
    <row r="432" spans="1:10" x14ac:dyDescent="0.25">
      <c r="A432">
        <v>415</v>
      </c>
      <c r="B432" s="100">
        <v>89.717222495539019</v>
      </c>
      <c r="C432" s="100">
        <v>99.453936899904917</v>
      </c>
      <c r="D432" s="100">
        <v>93.744417962603208</v>
      </c>
      <c r="E432" s="100">
        <v>94.205911675876337</v>
      </c>
      <c r="F432" s="100">
        <v>-539.81763156923398</v>
      </c>
      <c r="G432" s="100">
        <v>-1866.0710899142005</v>
      </c>
      <c r="H432" s="100">
        <v>-1856.6757142332051</v>
      </c>
      <c r="I432" s="100">
        <v>-825.27202117510967</v>
      </c>
      <c r="J432" s="100">
        <v>-5087.8364568917486</v>
      </c>
    </row>
    <row r="433" spans="1:10" x14ac:dyDescent="0.25">
      <c r="A433">
        <v>416</v>
      </c>
      <c r="B433" s="100">
        <v>89.966622811188373</v>
      </c>
      <c r="C433" s="100">
        <v>98.204891533144973</v>
      </c>
      <c r="D433" s="100">
        <v>91.891387728804403</v>
      </c>
      <c r="E433" s="100">
        <v>90.608118554982369</v>
      </c>
      <c r="F433" s="100">
        <v>-1362.8386732121</v>
      </c>
      <c r="G433" s="100">
        <v>7.4969602257155543</v>
      </c>
      <c r="H433" s="100">
        <v>1849.3847533644043</v>
      </c>
      <c r="I433" s="100">
        <v>2772.5210997188583</v>
      </c>
      <c r="J433" s="100">
        <v>3266.564140096878</v>
      </c>
    </row>
    <row r="434" spans="1:10" x14ac:dyDescent="0.25">
      <c r="A434">
        <v>417</v>
      </c>
      <c r="B434" s="100">
        <v>89.374050754275117</v>
      </c>
      <c r="C434" s="100">
        <v>99.007889737180321</v>
      </c>
      <c r="D434" s="100">
        <v>94.047452967779464</v>
      </c>
      <c r="E434" s="100">
        <v>92.914875864061216</v>
      </c>
      <c r="F434" s="100">
        <v>592.64911460164171</v>
      </c>
      <c r="G434" s="100">
        <v>-1197.0003458273054</v>
      </c>
      <c r="H434" s="100">
        <v>-2462.7457245857158</v>
      </c>
      <c r="I434" s="100">
        <v>465.76379064001117</v>
      </c>
      <c r="J434" s="100">
        <v>-2601.3331651713679</v>
      </c>
    </row>
    <row r="435" spans="1:10" x14ac:dyDescent="0.25">
      <c r="A435">
        <v>418</v>
      </c>
      <c r="B435" s="100">
        <v>89.992256817360442</v>
      </c>
      <c r="C435" s="100">
        <v>97.016616861618516</v>
      </c>
      <c r="D435" s="100">
        <v>92.831871749816571</v>
      </c>
      <c r="E435" s="100">
        <v>93.120329547951101</v>
      </c>
      <c r="F435" s="100">
        <v>-1447.4308935799286</v>
      </c>
      <c r="G435" s="100">
        <v>1789.9089675154016</v>
      </c>
      <c r="H435" s="100">
        <v>-31.583288659930986</v>
      </c>
      <c r="I435" s="100">
        <v>260.31010675012567</v>
      </c>
      <c r="J435" s="100">
        <v>571.20489202566773</v>
      </c>
    </row>
    <row r="436" spans="1:10" x14ac:dyDescent="0.25">
      <c r="A436">
        <v>419</v>
      </c>
      <c r="B436" s="100">
        <v>88.858780119103727</v>
      </c>
      <c r="C436" s="100">
        <v>96.777039827247194</v>
      </c>
      <c r="D436" s="100">
        <v>92.653966020671902</v>
      </c>
      <c r="E436" s="100">
        <v>94.099576655781988</v>
      </c>
      <c r="F436" s="100">
        <v>2293.0422106672295</v>
      </c>
      <c r="G436" s="100">
        <v>2149.2745190723854</v>
      </c>
      <c r="H436" s="100">
        <v>324.22816962940715</v>
      </c>
      <c r="I436" s="100">
        <v>-718.93700108076075</v>
      </c>
      <c r="J436" s="100">
        <v>4047.6078982882618</v>
      </c>
    </row>
    <row r="437" spans="1:10" x14ac:dyDescent="0.25">
      <c r="A437">
        <v>420</v>
      </c>
      <c r="B437" s="100">
        <v>89.692264196983587</v>
      </c>
      <c r="C437" s="100">
        <v>99.026388618943841</v>
      </c>
      <c r="D437" s="100">
        <v>93.971756866707651</v>
      </c>
      <c r="E437" s="100">
        <v>94.780005776348773</v>
      </c>
      <c r="F437" s="100">
        <v>-457.45524633630623</v>
      </c>
      <c r="G437" s="100">
        <v>-1224.7486684725857</v>
      </c>
      <c r="H437" s="100">
        <v>-2311.3535224420903</v>
      </c>
      <c r="I437" s="100">
        <v>-1399.3661216475459</v>
      </c>
      <c r="J437" s="100">
        <v>-5392.9235588985284</v>
      </c>
    </row>
    <row r="438" spans="1:10" x14ac:dyDescent="0.25">
      <c r="A438">
        <v>421</v>
      </c>
      <c r="B438" s="100">
        <v>90.421706134928812</v>
      </c>
      <c r="C438" s="100">
        <v>98.200703817690467</v>
      </c>
      <c r="D438" s="100">
        <v>92.302070300647159</v>
      </c>
      <c r="E438" s="100">
        <v>95.951520538389076</v>
      </c>
      <c r="F438" s="100">
        <v>-2864.6136415555488</v>
      </c>
      <c r="G438" s="100">
        <v>13.778533407474924</v>
      </c>
      <c r="H438" s="100">
        <v>1028.0196096788927</v>
      </c>
      <c r="I438" s="100">
        <v>-2570.8808836878488</v>
      </c>
      <c r="J438" s="100">
        <v>-4393.6963821570298</v>
      </c>
    </row>
    <row r="439" spans="1:10" x14ac:dyDescent="0.25">
      <c r="A439">
        <v>422</v>
      </c>
      <c r="B439" s="100">
        <v>88.408394541349764</v>
      </c>
      <c r="C439" s="100">
        <v>97.455114366964466</v>
      </c>
      <c r="D439" s="100">
        <v>93.475591842286519</v>
      </c>
      <c r="E439" s="100">
        <v>92.103841648001335</v>
      </c>
      <c r="F439" s="100">
        <v>3779.3146172553065</v>
      </c>
      <c r="G439" s="100">
        <v>1132.1627094964767</v>
      </c>
      <c r="H439" s="100">
        <v>-1319.0234735998274</v>
      </c>
      <c r="I439" s="100">
        <v>1276.7980066998916</v>
      </c>
      <c r="J439" s="100">
        <v>4869.2518598518473</v>
      </c>
    </row>
    <row r="440" spans="1:10" x14ac:dyDescent="0.25">
      <c r="A440">
        <v>423</v>
      </c>
      <c r="B440" s="100">
        <v>88.627405541622423</v>
      </c>
      <c r="C440" s="100">
        <v>99.843685468358387</v>
      </c>
      <c r="D440" s="100">
        <v>92.551152681437671</v>
      </c>
      <c r="E440" s="100">
        <v>94.594191696766728</v>
      </c>
      <c r="F440" s="100">
        <v>3056.5783163555338</v>
      </c>
      <c r="G440" s="100">
        <v>-2450.6939425944056</v>
      </c>
      <c r="H440" s="100">
        <v>529.85484809786954</v>
      </c>
      <c r="I440" s="100">
        <v>-1213.5520420655012</v>
      </c>
      <c r="J440" s="100">
        <v>-77.812820206503375</v>
      </c>
    </row>
    <row r="441" spans="1:10" x14ac:dyDescent="0.25">
      <c r="A441">
        <v>424</v>
      </c>
      <c r="B441" s="100">
        <v>88.935852177209412</v>
      </c>
      <c r="C441" s="100">
        <v>99.306662091591932</v>
      </c>
      <c r="D441" s="100">
        <v>91.858743191100487</v>
      </c>
      <c r="E441" s="100">
        <v>91.998230561398756</v>
      </c>
      <c r="F441" s="100">
        <v>2038.7044189184692</v>
      </c>
      <c r="G441" s="100">
        <v>-1645.1588774447216</v>
      </c>
      <c r="H441" s="100">
        <v>1914.6738287722371</v>
      </c>
      <c r="I441" s="100">
        <v>1382.4090933024706</v>
      </c>
      <c r="J441" s="100">
        <v>3690.6284635484553</v>
      </c>
    </row>
    <row r="442" spans="1:10" x14ac:dyDescent="0.25">
      <c r="A442">
        <v>425</v>
      </c>
      <c r="B442" s="100">
        <v>88.770861628038546</v>
      </c>
      <c r="C442" s="100">
        <v>97.831439822189097</v>
      </c>
      <c r="D442" s="100">
        <v>94.353131275055034</v>
      </c>
      <c r="E442" s="100">
        <v>93.596816516779072</v>
      </c>
      <c r="F442" s="100">
        <v>2583.1732311823289</v>
      </c>
      <c r="G442" s="100">
        <v>567.67452665953044</v>
      </c>
      <c r="H442" s="100">
        <v>-3074.1023391368572</v>
      </c>
      <c r="I442" s="100">
        <v>-216.17686207784459</v>
      </c>
      <c r="J442" s="100">
        <v>-139.43144337284252</v>
      </c>
    </row>
    <row r="443" spans="1:10" x14ac:dyDescent="0.25">
      <c r="A443">
        <v>426</v>
      </c>
      <c r="B443" s="100">
        <v>90.259119466071937</v>
      </c>
      <c r="C443" s="100">
        <v>97.62013835745455</v>
      </c>
      <c r="D443" s="100">
        <v>92.684709296642168</v>
      </c>
      <c r="E443" s="100">
        <v>96.472707592993828</v>
      </c>
      <c r="F443" s="100">
        <v>-2328.0776343278617</v>
      </c>
      <c r="G443" s="100">
        <v>884.62672376135038</v>
      </c>
      <c r="H443" s="100">
        <v>262.74161768887438</v>
      </c>
      <c r="I443" s="100">
        <v>-3092.067938292601</v>
      </c>
      <c r="J443" s="100">
        <v>-4272.7772311702374</v>
      </c>
    </row>
    <row r="444" spans="1:10" x14ac:dyDescent="0.25">
      <c r="A444">
        <v>427</v>
      </c>
      <c r="B444" s="100">
        <v>90.2780116361333</v>
      </c>
      <c r="C444" s="100">
        <v>97.193749502625295</v>
      </c>
      <c r="D444" s="100">
        <v>92.28501109915571</v>
      </c>
      <c r="E444" s="100">
        <v>91.249485996652766</v>
      </c>
      <c r="F444" s="100">
        <v>-2390.4217955303607</v>
      </c>
      <c r="G444" s="100">
        <v>1524.2100060052337</v>
      </c>
      <c r="H444" s="100">
        <v>1062.1380126617908</v>
      </c>
      <c r="I444" s="100">
        <v>2131.1536580484612</v>
      </c>
      <c r="J444" s="100">
        <v>2327.079881185125</v>
      </c>
    </row>
    <row r="445" spans="1:10" x14ac:dyDescent="0.25">
      <c r="A445">
        <v>428</v>
      </c>
      <c r="B445" s="100">
        <v>89.998236761080292</v>
      </c>
      <c r="C445" s="100">
        <v>98.149453407401353</v>
      </c>
      <c r="D445" s="100">
        <v>91.827731680536928</v>
      </c>
      <c r="E445" s="100">
        <v>94.442557004307915</v>
      </c>
      <c r="F445" s="100">
        <v>-1467.1647078554358</v>
      </c>
      <c r="G445" s="100">
        <v>90.654148841146309</v>
      </c>
      <c r="H445" s="100">
        <v>1976.6968498993549</v>
      </c>
      <c r="I445" s="100">
        <v>-1061.9173496066878</v>
      </c>
      <c r="J445" s="100">
        <v>-461.7310587216225</v>
      </c>
    </row>
    <row r="446" spans="1:10" x14ac:dyDescent="0.25">
      <c r="A446">
        <v>429</v>
      </c>
      <c r="B446" s="100">
        <v>89.559413018490332</v>
      </c>
      <c r="C446" s="100">
        <v>97.277779472734707</v>
      </c>
      <c r="D446" s="100">
        <v>93.674299988278733</v>
      </c>
      <c r="E446" s="100">
        <v>94.355620996139322</v>
      </c>
      <c r="F446" s="100">
        <v>-19.046357308566542</v>
      </c>
      <c r="G446" s="100">
        <v>1398.1650508411149</v>
      </c>
      <c r="H446" s="100">
        <v>-1716.4397655842549</v>
      </c>
      <c r="I446" s="100">
        <v>-974.98134143809523</v>
      </c>
      <c r="J446" s="100">
        <v>-1312.3024134898019</v>
      </c>
    </row>
    <row r="447" spans="1:10" x14ac:dyDescent="0.25">
      <c r="A447">
        <v>430</v>
      </c>
      <c r="B447" s="100">
        <v>89.731659551847372</v>
      </c>
      <c r="C447" s="100">
        <v>98.56079881362723</v>
      </c>
      <c r="D447" s="100">
        <v>91.80622455009734</v>
      </c>
      <c r="E447" s="100">
        <v>94.268368875422382</v>
      </c>
      <c r="F447" s="100">
        <v>-587.45991738679777</v>
      </c>
      <c r="G447" s="100">
        <v>-526.36396049766881</v>
      </c>
      <c r="H447" s="100">
        <v>2019.7111107785304</v>
      </c>
      <c r="I447" s="100">
        <v>-887.72922072115534</v>
      </c>
      <c r="J447" s="100">
        <v>18.158012172908457</v>
      </c>
    </row>
    <row r="448" spans="1:10" x14ac:dyDescent="0.25">
      <c r="A448">
        <v>431</v>
      </c>
      <c r="B448" s="100">
        <v>89.417150474449286</v>
      </c>
      <c r="C448" s="100">
        <v>98.410034343752201</v>
      </c>
      <c r="D448" s="100">
        <v>91.954359785858117</v>
      </c>
      <c r="E448" s="100">
        <v>95.521577867586203</v>
      </c>
      <c r="F448" s="100">
        <v>450.42003802688413</v>
      </c>
      <c r="G448" s="100">
        <v>-300.21725568512636</v>
      </c>
      <c r="H448" s="100">
        <v>1723.4406392569781</v>
      </c>
      <c r="I448" s="100">
        <v>-2140.9382128849757</v>
      </c>
      <c r="J448" s="100">
        <v>-267.29479128623984</v>
      </c>
    </row>
    <row r="449" spans="1:10" x14ac:dyDescent="0.25">
      <c r="A449">
        <v>432</v>
      </c>
      <c r="B449" s="100">
        <v>89.380382726569863</v>
      </c>
      <c r="C449" s="100">
        <v>98.309125830491951</v>
      </c>
      <c r="D449" s="100">
        <v>93.660564186128937</v>
      </c>
      <c r="E449" s="100">
        <v>92.170386967261834</v>
      </c>
      <c r="F449" s="100">
        <v>571.75360602898172</v>
      </c>
      <c r="G449" s="100">
        <v>-148.85448579475025</v>
      </c>
      <c r="H449" s="100">
        <v>-1688.968161284663</v>
      </c>
      <c r="I449" s="100">
        <v>1210.252687439393</v>
      </c>
      <c r="J449" s="100">
        <v>-55.816353611038494</v>
      </c>
    </row>
    <row r="450" spans="1:10" x14ac:dyDescent="0.25">
      <c r="A450">
        <v>433</v>
      </c>
      <c r="B450" s="100">
        <v>89.517308202461095</v>
      </c>
      <c r="C450" s="100">
        <v>96.966330059098681</v>
      </c>
      <c r="D450" s="100">
        <v>89.552108452596414</v>
      </c>
      <c r="E450" s="100">
        <v>93.948736824296503</v>
      </c>
      <c r="F450" s="100">
        <v>119.89953558791626</v>
      </c>
      <c r="G450" s="100">
        <v>1865.3391712951545</v>
      </c>
      <c r="H450" s="100">
        <v>6527.9433057803826</v>
      </c>
      <c r="I450" s="100">
        <v>-568.09716959527634</v>
      </c>
      <c r="J450" s="100">
        <v>7945.0848430681772</v>
      </c>
    </row>
    <row r="451" spans="1:10" x14ac:dyDescent="0.25">
      <c r="A451">
        <v>434</v>
      </c>
      <c r="B451" s="100">
        <v>89.666122668442426</v>
      </c>
      <c r="C451" s="100">
        <v>98.129285089866187</v>
      </c>
      <c r="D451" s="100">
        <v>92.424290222025377</v>
      </c>
      <c r="E451" s="100">
        <v>90.691123263017928</v>
      </c>
      <c r="F451" s="100">
        <v>-371.18820215047776</v>
      </c>
      <c r="G451" s="100">
        <v>120.9066251438955</v>
      </c>
      <c r="H451" s="100">
        <v>783.57976692245757</v>
      </c>
      <c r="I451" s="100">
        <v>2689.5163916832985</v>
      </c>
      <c r="J451" s="100">
        <v>3222.8145815991738</v>
      </c>
    </row>
    <row r="452" spans="1:10" x14ac:dyDescent="0.25">
      <c r="A452">
        <v>435</v>
      </c>
      <c r="B452" s="100">
        <v>89.188059762696781</v>
      </c>
      <c r="C452" s="100">
        <v>98.76380342885129</v>
      </c>
      <c r="D452" s="100">
        <v>92.745626110610431</v>
      </c>
      <c r="E452" s="100">
        <v>94.234970932358834</v>
      </c>
      <c r="F452" s="100">
        <v>1206.4193868101511</v>
      </c>
      <c r="G452" s="100">
        <v>-830.87088333375902</v>
      </c>
      <c r="H452" s="100">
        <v>140.90798975234975</v>
      </c>
      <c r="I452" s="100">
        <v>-854.3312776576073</v>
      </c>
      <c r="J452" s="100">
        <v>-337.8747844288655</v>
      </c>
    </row>
    <row r="453" spans="1:10" x14ac:dyDescent="0.25">
      <c r="A453">
        <v>436</v>
      </c>
      <c r="B453" s="100">
        <v>89.115016410247648</v>
      </c>
      <c r="C453" s="100">
        <v>99.625951772108493</v>
      </c>
      <c r="D453" s="100">
        <v>93.182536160439597</v>
      </c>
      <c r="E453" s="100">
        <v>93.031889060594494</v>
      </c>
      <c r="F453" s="100">
        <v>1447.4624498922908</v>
      </c>
      <c r="G453" s="100">
        <v>-2124.0933982195643</v>
      </c>
      <c r="H453" s="100">
        <v>-732.91210990598188</v>
      </c>
      <c r="I453" s="100">
        <v>348.75059410673259</v>
      </c>
      <c r="J453" s="100">
        <v>-1060.7924641265226</v>
      </c>
    </row>
    <row r="454" spans="1:10" x14ac:dyDescent="0.25">
      <c r="A454">
        <v>437</v>
      </c>
      <c r="B454" s="100">
        <v>89.134218592753967</v>
      </c>
      <c r="C454" s="100">
        <v>98.978184615312784</v>
      </c>
      <c r="D454" s="100">
        <v>92.325699772358576</v>
      </c>
      <c r="E454" s="100">
        <v>93.830193530911657</v>
      </c>
      <c r="F454" s="100">
        <v>1384.095247621437</v>
      </c>
      <c r="G454" s="100">
        <v>-1152.4426630260009</v>
      </c>
      <c r="H454" s="100">
        <v>980.76066625606018</v>
      </c>
      <c r="I454" s="100">
        <v>-449.5538762104303</v>
      </c>
      <c r="J454" s="100">
        <v>762.85937464106598</v>
      </c>
    </row>
    <row r="455" spans="1:10" x14ac:dyDescent="0.25">
      <c r="A455">
        <v>438</v>
      </c>
      <c r="B455" s="100">
        <v>89.328857833387616</v>
      </c>
      <c r="C455" s="100">
        <v>98.081614342366152</v>
      </c>
      <c r="D455" s="100">
        <v>90.84767435357746</v>
      </c>
      <c r="E455" s="100">
        <v>95.192096749728307</v>
      </c>
      <c r="F455" s="100">
        <v>741.78575353039662</v>
      </c>
      <c r="G455" s="100">
        <v>192.41274639394845</v>
      </c>
      <c r="H455" s="100">
        <v>3936.8115038182905</v>
      </c>
      <c r="I455" s="100">
        <v>-1811.4570950270804</v>
      </c>
      <c r="J455" s="100">
        <v>3059.5529087155551</v>
      </c>
    </row>
    <row r="456" spans="1:10" x14ac:dyDescent="0.25">
      <c r="A456">
        <v>439</v>
      </c>
      <c r="B456" s="100">
        <v>90.422217779730346</v>
      </c>
      <c r="C456" s="100">
        <v>95.610558444108321</v>
      </c>
      <c r="D456" s="100">
        <v>93.414909250133206</v>
      </c>
      <c r="E456" s="100">
        <v>95.906537237059226</v>
      </c>
      <c r="F456" s="100">
        <v>-2866.3020694006123</v>
      </c>
      <c r="G456" s="100">
        <v>3898.9965937806942</v>
      </c>
      <c r="H456" s="100">
        <v>-1197.6582892932015</v>
      </c>
      <c r="I456" s="100">
        <v>-2525.8975823579985</v>
      </c>
      <c r="J456" s="100">
        <v>-2690.8613472711181</v>
      </c>
    </row>
    <row r="457" spans="1:10" x14ac:dyDescent="0.25">
      <c r="A457">
        <v>440</v>
      </c>
      <c r="B457" s="100">
        <v>88.950010388131261</v>
      </c>
      <c r="C457" s="100">
        <v>98.77533437199628</v>
      </c>
      <c r="D457" s="100">
        <v>91.903356786460535</v>
      </c>
      <c r="E457" s="100">
        <v>90.941801089217051</v>
      </c>
      <c r="F457" s="100">
        <v>1991.9823228763676</v>
      </c>
      <c r="G457" s="100">
        <v>-848.16729805124419</v>
      </c>
      <c r="H457" s="100">
        <v>1825.4466380521421</v>
      </c>
      <c r="I457" s="100">
        <v>2438.8385654841754</v>
      </c>
      <c r="J457" s="100">
        <v>5408.1002283614416</v>
      </c>
    </row>
    <row r="458" spans="1:10" x14ac:dyDescent="0.25">
      <c r="A458">
        <v>441</v>
      </c>
      <c r="B458" s="100">
        <v>90.401905222964629</v>
      </c>
      <c r="C458" s="100">
        <v>99.957476195445437</v>
      </c>
      <c r="D458" s="100">
        <v>91.812673691894446</v>
      </c>
      <c r="E458" s="100">
        <v>92.719889893797912</v>
      </c>
      <c r="F458" s="100">
        <v>-2799.270632073747</v>
      </c>
      <c r="G458" s="100">
        <v>-2621.3800332249803</v>
      </c>
      <c r="H458" s="100">
        <v>2006.8128271843193</v>
      </c>
      <c r="I458" s="100">
        <v>660.74976090331461</v>
      </c>
      <c r="J458" s="100">
        <v>-2753.0880772110932</v>
      </c>
    </row>
    <row r="459" spans="1:10" x14ac:dyDescent="0.25">
      <c r="A459">
        <v>442</v>
      </c>
      <c r="B459" s="100">
        <v>90.62037132062315</v>
      </c>
      <c r="C459" s="100">
        <v>98.612853449649819</v>
      </c>
      <c r="D459" s="100">
        <v>94.945370268205764</v>
      </c>
      <c r="E459" s="100">
        <v>93.299279283747026</v>
      </c>
      <c r="F459" s="100">
        <v>-3520.2087543468651</v>
      </c>
      <c r="G459" s="100">
        <v>-604.44591453155283</v>
      </c>
      <c r="H459" s="100">
        <v>-4258.5803254383163</v>
      </c>
      <c r="I459" s="100">
        <v>81.360370954200789</v>
      </c>
      <c r="J459" s="100">
        <v>-8301.8746233625352</v>
      </c>
    </row>
    <row r="460" spans="1:10" x14ac:dyDescent="0.25">
      <c r="A460">
        <v>443</v>
      </c>
      <c r="B460" s="100">
        <v>89.471683085347252</v>
      </c>
      <c r="C460" s="100">
        <v>98.136142019468537</v>
      </c>
      <c r="D460" s="100">
        <v>92.468730857782134</v>
      </c>
      <c r="E460" s="100">
        <v>92.261395042011813</v>
      </c>
      <c r="F460" s="100">
        <v>270.46242206359921</v>
      </c>
      <c r="G460" s="100">
        <v>110.62123074037089</v>
      </c>
      <c r="H460" s="100">
        <v>694.69849540894302</v>
      </c>
      <c r="I460" s="100">
        <v>1119.244612689414</v>
      </c>
      <c r="J460" s="100">
        <v>2195.0267609023272</v>
      </c>
    </row>
    <row r="461" spans="1:10" x14ac:dyDescent="0.25">
      <c r="A461">
        <v>444</v>
      </c>
      <c r="B461" s="100">
        <v>88.968643122242113</v>
      </c>
      <c r="C461" s="100">
        <v>98.733718947197787</v>
      </c>
      <c r="D461" s="100">
        <v>92.60392394631053</v>
      </c>
      <c r="E461" s="100">
        <v>93.888691655745461</v>
      </c>
      <c r="F461" s="100">
        <v>1930.494300310555</v>
      </c>
      <c r="G461" s="100">
        <v>-785.74416085350413</v>
      </c>
      <c r="H461" s="100">
        <v>424.31231835215044</v>
      </c>
      <c r="I461" s="100">
        <v>-508.0520010442342</v>
      </c>
      <c r="J461" s="100">
        <v>1061.0104567649671</v>
      </c>
    </row>
    <row r="462" spans="1:10" x14ac:dyDescent="0.25">
      <c r="A462">
        <v>445</v>
      </c>
      <c r="B462" s="100">
        <v>89.526081148269427</v>
      </c>
      <c r="C462" s="100">
        <v>96.954297360141922</v>
      </c>
      <c r="D462" s="100">
        <v>92.154549792210048</v>
      </c>
      <c r="E462" s="100">
        <v>92.980073956521821</v>
      </c>
      <c r="F462" s="100">
        <v>90.948814420421797</v>
      </c>
      <c r="G462" s="100">
        <v>1883.3882197302928</v>
      </c>
      <c r="H462" s="100">
        <v>1323.0606265531151</v>
      </c>
      <c r="I462" s="100">
        <v>400.56569817940613</v>
      </c>
      <c r="J462" s="100">
        <v>3697.9633588832357</v>
      </c>
    </row>
    <row r="463" spans="1:10" x14ac:dyDescent="0.25">
      <c r="A463">
        <v>446</v>
      </c>
      <c r="B463" s="100">
        <v>89.883186713270021</v>
      </c>
      <c r="C463" s="100">
        <v>97.210674409609268</v>
      </c>
      <c r="D463" s="100">
        <v>92.927781818254701</v>
      </c>
      <c r="E463" s="100">
        <v>93.050310225725866</v>
      </c>
      <c r="F463" s="100">
        <v>-1087.4995500815403</v>
      </c>
      <c r="G463" s="100">
        <v>1498.8226455292734</v>
      </c>
      <c r="H463" s="100">
        <v>-223.40342553619053</v>
      </c>
      <c r="I463" s="100">
        <v>330.32942897536088</v>
      </c>
      <c r="J463" s="100">
        <v>518.24909888690343</v>
      </c>
    </row>
    <row r="464" spans="1:10" x14ac:dyDescent="0.25">
      <c r="A464">
        <v>447</v>
      </c>
      <c r="B464" s="100">
        <v>89.643839159708278</v>
      </c>
      <c r="C464" s="100">
        <v>98.021690454679472</v>
      </c>
      <c r="D464" s="100">
        <v>92.539409852656263</v>
      </c>
      <c r="E464" s="100">
        <v>91.278055604221151</v>
      </c>
      <c r="F464" s="100">
        <v>-297.65262332778946</v>
      </c>
      <c r="G464" s="100">
        <v>282.29857792396729</v>
      </c>
      <c r="H464" s="100">
        <v>553.34050566068527</v>
      </c>
      <c r="I464" s="100">
        <v>2102.5840504800753</v>
      </c>
      <c r="J464" s="100">
        <v>2640.5705107369386</v>
      </c>
    </row>
    <row r="465" spans="1:10" x14ac:dyDescent="0.25">
      <c r="A465">
        <v>448</v>
      </c>
      <c r="B465" s="100">
        <v>89.658899820322276</v>
      </c>
      <c r="C465" s="100">
        <v>98.222223354587598</v>
      </c>
      <c r="D465" s="100">
        <v>93.790912735137624</v>
      </c>
      <c r="E465" s="100">
        <v>95.608116251823731</v>
      </c>
      <c r="F465" s="100">
        <v>-347.35280335398073</v>
      </c>
      <c r="G465" s="100">
        <v>-18.500771938221305</v>
      </c>
      <c r="H465" s="100">
        <v>-1949.6652593020372</v>
      </c>
      <c r="I465" s="100">
        <v>-2227.4765971225038</v>
      </c>
      <c r="J465" s="100">
        <v>-4542.995431716743</v>
      </c>
    </row>
    <row r="466" spans="1:10" x14ac:dyDescent="0.25">
      <c r="A466">
        <v>449</v>
      </c>
      <c r="B466" s="100">
        <v>89.722789365153972</v>
      </c>
      <c r="C466" s="100">
        <v>98.309021408222122</v>
      </c>
      <c r="D466" s="100">
        <v>93.869853530829317</v>
      </c>
      <c r="E466" s="100">
        <v>94.226923584248311</v>
      </c>
      <c r="F466" s="100">
        <v>-558.18830129857702</v>
      </c>
      <c r="G466" s="100">
        <v>-148.69785239000777</v>
      </c>
      <c r="H466" s="100">
        <v>-2107.5468506854236</v>
      </c>
      <c r="I466" s="100">
        <v>-846.28392954708431</v>
      </c>
      <c r="J466" s="100">
        <v>-3660.7169339210927</v>
      </c>
    </row>
    <row r="467" spans="1:10" x14ac:dyDescent="0.25">
      <c r="A467">
        <v>450</v>
      </c>
      <c r="B467" s="100">
        <v>88.964853841731355</v>
      </c>
      <c r="C467" s="100">
        <v>98.737426484851213</v>
      </c>
      <c r="D467" s="100">
        <v>92.38689482085303</v>
      </c>
      <c r="E467" s="100">
        <v>93.764185033393957</v>
      </c>
      <c r="F467" s="100">
        <v>1942.9989259960594</v>
      </c>
      <c r="G467" s="100">
        <v>-791.30546733364326</v>
      </c>
      <c r="H467" s="100">
        <v>858.3705692671515</v>
      </c>
      <c r="I467" s="100">
        <v>-383.54537869273031</v>
      </c>
      <c r="J467" s="100">
        <v>1626.5186492368373</v>
      </c>
    </row>
    <row r="468" spans="1:10" x14ac:dyDescent="0.25">
      <c r="A468">
        <v>451</v>
      </c>
      <c r="B468" s="100">
        <v>88.117987529783463</v>
      </c>
      <c r="C468" s="100">
        <v>97.874959560162466</v>
      </c>
      <c r="D468" s="100">
        <v>91.52638105917336</v>
      </c>
      <c r="E468" s="100">
        <v>91.983904722549596</v>
      </c>
      <c r="F468" s="100">
        <v>4737.6577554241021</v>
      </c>
      <c r="G468" s="100">
        <v>502.39491969947636</v>
      </c>
      <c r="H468" s="100">
        <v>2579.3980926264908</v>
      </c>
      <c r="I468" s="100">
        <v>1396.7349321516308</v>
      </c>
      <c r="J468" s="100">
        <v>9216.1856999017</v>
      </c>
    </row>
    <row r="469" spans="1:10" x14ac:dyDescent="0.25">
      <c r="A469">
        <v>452</v>
      </c>
      <c r="B469" s="100">
        <v>90.519279301365927</v>
      </c>
      <c r="C469" s="100">
        <v>98.196590231262618</v>
      </c>
      <c r="D469" s="100">
        <v>92.231446540594945</v>
      </c>
      <c r="E469" s="100">
        <v>92.822781146954625</v>
      </c>
      <c r="F469" s="100">
        <v>-3186.6050907980293</v>
      </c>
      <c r="G469" s="100">
        <v>19.948913049248063</v>
      </c>
      <c r="H469" s="100">
        <v>1169.2671297833215</v>
      </c>
      <c r="I469" s="100">
        <v>557.85850774660162</v>
      </c>
      <c r="J469" s="100">
        <v>-1439.5305402188583</v>
      </c>
    </row>
    <row r="470" spans="1:10" x14ac:dyDescent="0.25">
      <c r="A470">
        <v>453</v>
      </c>
      <c r="B470" s="100">
        <v>89.67063664335592</v>
      </c>
      <c r="C470" s="100">
        <v>98.920977551431449</v>
      </c>
      <c r="D470" s="100">
        <v>93.485156000345185</v>
      </c>
      <c r="E470" s="100">
        <v>92.893833935441364</v>
      </c>
      <c r="F470" s="100">
        <v>-386.08431936500551</v>
      </c>
      <c r="G470" s="100">
        <v>-1066.6320672039974</v>
      </c>
      <c r="H470" s="100">
        <v>-1338.1517897171591</v>
      </c>
      <c r="I470" s="100">
        <v>486.80571925986271</v>
      </c>
      <c r="J470" s="100">
        <v>-2304.0624570262994</v>
      </c>
    </row>
    <row r="471" spans="1:10" x14ac:dyDescent="0.25">
      <c r="A471">
        <v>454</v>
      </c>
      <c r="B471" s="100">
        <v>89.223941661393852</v>
      </c>
      <c r="C471" s="100">
        <v>99.26773605949036</v>
      </c>
      <c r="D471" s="100">
        <v>90.278152305668442</v>
      </c>
      <c r="E471" s="100">
        <v>95.029047370631403</v>
      </c>
      <c r="F471" s="100">
        <v>1088.009121109819</v>
      </c>
      <c r="G471" s="100">
        <v>-1586.7698292923649</v>
      </c>
      <c r="H471" s="100">
        <v>5075.8555996363266</v>
      </c>
      <c r="I471" s="100">
        <v>-1648.4077159301762</v>
      </c>
      <c r="J471" s="100">
        <v>2928.6871755236043</v>
      </c>
    </row>
    <row r="472" spans="1:10" x14ac:dyDescent="0.25">
      <c r="A472">
        <v>455</v>
      </c>
      <c r="B472" s="100">
        <v>89.817471730612297</v>
      </c>
      <c r="C472" s="100">
        <v>97.798834944482437</v>
      </c>
      <c r="D472" s="100">
        <v>91.150549382830746</v>
      </c>
      <c r="E472" s="100">
        <v>94.024638154227304</v>
      </c>
      <c r="F472" s="100">
        <v>-870.64010731105122</v>
      </c>
      <c r="G472" s="100">
        <v>616.58184321952092</v>
      </c>
      <c r="H472" s="100">
        <v>3331.0614453117182</v>
      </c>
      <c r="I472" s="100">
        <v>-643.99849952607724</v>
      </c>
      <c r="J472" s="100">
        <v>2433.0046816941103</v>
      </c>
    </row>
    <row r="473" spans="1:10" x14ac:dyDescent="0.25">
      <c r="A473">
        <v>456</v>
      </c>
      <c r="B473" s="100">
        <v>88.978528064610259</v>
      </c>
      <c r="C473" s="100">
        <v>98.102632143526364</v>
      </c>
      <c r="D473" s="100">
        <v>91.741963045253243</v>
      </c>
      <c r="E473" s="100">
        <v>96.965644636459842</v>
      </c>
      <c r="F473" s="100">
        <v>1897.873990495674</v>
      </c>
      <c r="G473" s="100">
        <v>160.88604465362977</v>
      </c>
      <c r="H473" s="100">
        <v>2148.234120466725</v>
      </c>
      <c r="I473" s="100">
        <v>-3585.0049817586155</v>
      </c>
      <c r="J473" s="100">
        <v>621.98917385741288</v>
      </c>
    </row>
    <row r="474" spans="1:10" x14ac:dyDescent="0.25">
      <c r="A474">
        <v>457</v>
      </c>
      <c r="B474" s="100">
        <v>88.902304969169876</v>
      </c>
      <c r="C474" s="100">
        <v>98.632577862797504</v>
      </c>
      <c r="D474" s="100">
        <v>92.676575135352238</v>
      </c>
      <c r="E474" s="100">
        <v>97.241926701475606</v>
      </c>
      <c r="F474" s="100">
        <v>2149.410205448939</v>
      </c>
      <c r="G474" s="100">
        <v>-634.03253425308037</v>
      </c>
      <c r="H474" s="100">
        <v>279.00994026873605</v>
      </c>
      <c r="I474" s="100">
        <v>-3861.2870467743787</v>
      </c>
      <c r="J474" s="100">
        <v>-2066.8994353097842</v>
      </c>
    </row>
    <row r="475" spans="1:10" x14ac:dyDescent="0.25">
      <c r="A475">
        <v>458</v>
      </c>
      <c r="B475" s="100">
        <v>89.642109907358829</v>
      </c>
      <c r="C475" s="100">
        <v>97.613888140412541</v>
      </c>
      <c r="D475" s="100">
        <v>94.431694203151451</v>
      </c>
      <c r="E475" s="100">
        <v>90.360995923930872</v>
      </c>
      <c r="F475" s="100">
        <v>-291.94609057460781</v>
      </c>
      <c r="G475" s="100">
        <v>894.00204932436372</v>
      </c>
      <c r="H475" s="100">
        <v>-3231.2281953296915</v>
      </c>
      <c r="I475" s="100">
        <v>3019.6437307703545</v>
      </c>
      <c r="J475" s="100">
        <v>390.47149419041898</v>
      </c>
    </row>
    <row r="476" spans="1:10" x14ac:dyDescent="0.25">
      <c r="A476">
        <v>459</v>
      </c>
      <c r="B476" s="100">
        <v>89.438083605815109</v>
      </c>
      <c r="C476" s="100">
        <v>98.881797768070115</v>
      </c>
      <c r="D476" s="100">
        <v>93.973632065676725</v>
      </c>
      <c r="E476" s="100">
        <v>92.037434936033961</v>
      </c>
      <c r="F476" s="100">
        <v>381.34070451966977</v>
      </c>
      <c r="G476" s="100">
        <v>-1007.8623921619965</v>
      </c>
      <c r="H476" s="100">
        <v>-2315.1039203802384</v>
      </c>
      <c r="I476" s="100">
        <v>1343.2047186672662</v>
      </c>
      <c r="J476" s="100">
        <v>-1598.4208893552986</v>
      </c>
    </row>
    <row r="477" spans="1:10" x14ac:dyDescent="0.25">
      <c r="A477">
        <v>460</v>
      </c>
      <c r="B477" s="100">
        <v>89.284621845460975</v>
      </c>
      <c r="C477" s="100">
        <v>98.682969508801861</v>
      </c>
      <c r="D477" s="100">
        <v>94.101722235173042</v>
      </c>
      <c r="E477" s="100">
        <v>93.836971908775951</v>
      </c>
      <c r="F477" s="100">
        <v>887.76451368831033</v>
      </c>
      <c r="G477" s="100">
        <v>-709.62000325961583</v>
      </c>
      <c r="H477" s="100">
        <v>-2571.2842593728737</v>
      </c>
      <c r="I477" s="100">
        <v>-456.33225407472366</v>
      </c>
      <c r="J477" s="100">
        <v>-2849.4720030189028</v>
      </c>
    </row>
    <row r="478" spans="1:10" x14ac:dyDescent="0.25">
      <c r="A478">
        <v>461</v>
      </c>
      <c r="B478" s="100">
        <v>89.425210509302914</v>
      </c>
      <c r="C478" s="100">
        <v>97.962101655107247</v>
      </c>
      <c r="D478" s="100">
        <v>93.71148720563346</v>
      </c>
      <c r="E478" s="100">
        <v>92.478081056156185</v>
      </c>
      <c r="F478" s="100">
        <v>423.82192300991193</v>
      </c>
      <c r="G478" s="100">
        <v>371.68177728230489</v>
      </c>
      <c r="H478" s="100">
        <v>-1790.8142002937097</v>
      </c>
      <c r="I478" s="100">
        <v>902.55859854504195</v>
      </c>
      <c r="J478" s="100">
        <v>-92.751901456451037</v>
      </c>
    </row>
    <row r="479" spans="1:10" x14ac:dyDescent="0.25">
      <c r="A479">
        <v>462</v>
      </c>
      <c r="B479" s="100">
        <v>90.826393191232967</v>
      </c>
      <c r="C479" s="100">
        <v>98.159717473390629</v>
      </c>
      <c r="D479" s="100">
        <v>92.212915425254877</v>
      </c>
      <c r="E479" s="100">
        <v>95.110240799977063</v>
      </c>
      <c r="F479" s="100">
        <v>-4200.0809273592604</v>
      </c>
      <c r="G479" s="100">
        <v>75.258049857232834</v>
      </c>
      <c r="H479" s="100">
        <v>1206.3293604634566</v>
      </c>
      <c r="I479" s="100">
        <v>-1729.6011452758364</v>
      </c>
      <c r="J479" s="100">
        <v>-4648.0946623144082</v>
      </c>
    </row>
    <row r="480" spans="1:10" x14ac:dyDescent="0.25">
      <c r="A480">
        <v>463</v>
      </c>
      <c r="B480" s="100">
        <v>89.366002071920789</v>
      </c>
      <c r="C480" s="100">
        <v>98.311767236706487</v>
      </c>
      <c r="D480" s="100">
        <v>93.912604016061366</v>
      </c>
      <c r="E480" s="100">
        <v>96.396370744645139</v>
      </c>
      <c r="F480" s="100">
        <v>619.20976637092485</v>
      </c>
      <c r="G480" s="100">
        <v>-152.81659511655477</v>
      </c>
      <c r="H480" s="100">
        <v>-2193.0478211495201</v>
      </c>
      <c r="I480" s="100">
        <v>-3015.7310899439126</v>
      </c>
      <c r="J480" s="100">
        <v>-4742.3857398390628</v>
      </c>
    </row>
    <row r="481" spans="1:10" x14ac:dyDescent="0.25">
      <c r="A481">
        <v>464</v>
      </c>
      <c r="B481" s="100">
        <v>89.389561013148111</v>
      </c>
      <c r="C481" s="100">
        <v>97.24890045710714</v>
      </c>
      <c r="D481" s="100">
        <v>90.477301894638842</v>
      </c>
      <c r="E481" s="100">
        <v>92.698564494763701</v>
      </c>
      <c r="F481" s="100">
        <v>541.46526032076417</v>
      </c>
      <c r="G481" s="100">
        <v>1441.483574282465</v>
      </c>
      <c r="H481" s="100">
        <v>4677.5564216955272</v>
      </c>
      <c r="I481" s="100">
        <v>682.07515993752565</v>
      </c>
      <c r="J481" s="100">
        <v>7342.580416236282</v>
      </c>
    </row>
    <row r="482" spans="1:10" x14ac:dyDescent="0.25">
      <c r="A482">
        <v>465</v>
      </c>
      <c r="B482" s="100">
        <v>89.548703083083268</v>
      </c>
      <c r="C482" s="100">
        <v>98.545912954521896</v>
      </c>
      <c r="D482" s="100">
        <v>93.892346838704029</v>
      </c>
      <c r="E482" s="100">
        <v>93.84531014561523</v>
      </c>
      <c r="F482" s="100">
        <v>16.296429534745016</v>
      </c>
      <c r="G482" s="100">
        <v>-504.03517183966784</v>
      </c>
      <c r="H482" s="100">
        <v>-2152.5334664348466</v>
      </c>
      <c r="I482" s="100">
        <v>-464.6704909140027</v>
      </c>
      <c r="J482" s="100">
        <v>-3104.9426996537718</v>
      </c>
    </row>
    <row r="483" spans="1:10" x14ac:dyDescent="0.25">
      <c r="A483">
        <v>466</v>
      </c>
      <c r="B483" s="100">
        <v>90.287054487776075</v>
      </c>
      <c r="C483" s="100">
        <v>98.360491366350317</v>
      </c>
      <c r="D483" s="100">
        <v>92.751753856169998</v>
      </c>
      <c r="E483" s="100">
        <v>91.029521359604288</v>
      </c>
      <c r="F483" s="100">
        <v>-2420.2632059515181</v>
      </c>
      <c r="G483" s="100">
        <v>-225.90278958229959</v>
      </c>
      <c r="H483" s="100">
        <v>128.65249863321537</v>
      </c>
      <c r="I483" s="100">
        <v>2351.1182950969387</v>
      </c>
      <c r="J483" s="100">
        <v>-166.39520180366344</v>
      </c>
    </row>
    <row r="484" spans="1:10" x14ac:dyDescent="0.25">
      <c r="A484">
        <v>467</v>
      </c>
      <c r="B484" s="100">
        <v>90.259830212731259</v>
      </c>
      <c r="C484" s="100">
        <v>98.535724088705962</v>
      </c>
      <c r="D484" s="100">
        <v>92.428852992712137</v>
      </c>
      <c r="E484" s="100">
        <v>93.548603397515578</v>
      </c>
      <c r="F484" s="100">
        <v>-2330.4230983036264</v>
      </c>
      <c r="G484" s="100">
        <v>-488.75187311576695</v>
      </c>
      <c r="H484" s="100">
        <v>774.45422554893639</v>
      </c>
      <c r="I484" s="100">
        <v>-167.96374281435078</v>
      </c>
      <c r="J484" s="100">
        <v>-2212.6844886848075</v>
      </c>
    </row>
    <row r="485" spans="1:10" x14ac:dyDescent="0.25">
      <c r="A485">
        <v>468</v>
      </c>
      <c r="B485" s="100">
        <v>89.662955484181424</v>
      </c>
      <c r="C485" s="100">
        <v>100.43955741384455</v>
      </c>
      <c r="D485" s="100">
        <v>92.274252285532157</v>
      </c>
      <c r="E485" s="100">
        <v>93.654897945779638</v>
      </c>
      <c r="F485" s="100">
        <v>-360.73649408916992</v>
      </c>
      <c r="G485" s="100">
        <v>-3344.5018608236551</v>
      </c>
      <c r="H485" s="100">
        <v>1083.6556399088977</v>
      </c>
      <c r="I485" s="100">
        <v>-274.25829107841082</v>
      </c>
      <c r="J485" s="100">
        <v>-2895.841006082338</v>
      </c>
    </row>
    <row r="486" spans="1:10" x14ac:dyDescent="0.25">
      <c r="A486">
        <v>469</v>
      </c>
      <c r="B486" s="100">
        <v>89.715595995013146</v>
      </c>
      <c r="C486" s="100">
        <v>98.844742702986167</v>
      </c>
      <c r="D486" s="100">
        <v>93.201898718084607</v>
      </c>
      <c r="E486" s="100">
        <v>93.218078360124238</v>
      </c>
      <c r="F486" s="100">
        <v>-534.45017983385264</v>
      </c>
      <c r="G486" s="100">
        <v>-952.27979453607509</v>
      </c>
      <c r="H486" s="100">
        <v>-771.63722519600242</v>
      </c>
      <c r="I486" s="100">
        <v>162.56129457698876</v>
      </c>
      <c r="J486" s="100">
        <v>-2095.8059049889416</v>
      </c>
    </row>
    <row r="487" spans="1:10" x14ac:dyDescent="0.25">
      <c r="A487">
        <v>470</v>
      </c>
      <c r="B487" s="100">
        <v>89.150494926440913</v>
      </c>
      <c r="C487" s="100">
        <v>100.08010365251916</v>
      </c>
      <c r="D487" s="100">
        <v>93.215352054384041</v>
      </c>
      <c r="E487" s="100">
        <v>93.613850311055202</v>
      </c>
      <c r="F487" s="100">
        <v>1330.383346454515</v>
      </c>
      <c r="G487" s="100">
        <v>-2805.3212188355587</v>
      </c>
      <c r="H487" s="100">
        <v>-798.54389779487178</v>
      </c>
      <c r="I487" s="100">
        <v>-233.21065635397531</v>
      </c>
      <c r="J487" s="100">
        <v>-2506.6924265298912</v>
      </c>
    </row>
    <row r="488" spans="1:10" x14ac:dyDescent="0.25">
      <c r="A488">
        <v>471</v>
      </c>
      <c r="B488" s="100">
        <v>90.23731193195276</v>
      </c>
      <c r="C488" s="100">
        <v>95.415224749503182</v>
      </c>
      <c r="D488" s="100">
        <v>92.859943638613601</v>
      </c>
      <c r="E488" s="100">
        <v>93.242976536296624</v>
      </c>
      <c r="F488" s="100">
        <v>-2256.1127717345798</v>
      </c>
      <c r="G488" s="100">
        <v>4191.9971356884034</v>
      </c>
      <c r="H488" s="100">
        <v>-87.72706625398996</v>
      </c>
      <c r="I488" s="100">
        <v>137.66311840460332</v>
      </c>
      <c r="J488" s="100">
        <v>1985.8204161044368</v>
      </c>
    </row>
    <row r="489" spans="1:10" x14ac:dyDescent="0.25">
      <c r="A489">
        <v>472</v>
      </c>
      <c r="B489" s="100">
        <v>89.09014841048095</v>
      </c>
      <c r="C489" s="100">
        <v>98.159940714323071</v>
      </c>
      <c r="D489" s="100">
        <v>92.129490353336564</v>
      </c>
      <c r="E489" s="100">
        <v>93.583346650855731</v>
      </c>
      <c r="F489" s="100">
        <v>1529.5268491223951</v>
      </c>
      <c r="G489" s="100">
        <v>74.923188458569712</v>
      </c>
      <c r="H489" s="100">
        <v>1373.179504300083</v>
      </c>
      <c r="I489" s="100">
        <v>-202.70699615450383</v>
      </c>
      <c r="J489" s="100">
        <v>2774.9225457265438</v>
      </c>
    </row>
    <row r="490" spans="1:10" x14ac:dyDescent="0.25">
      <c r="A490">
        <v>473</v>
      </c>
      <c r="B490" s="100">
        <v>89.071023031091627</v>
      </c>
      <c r="C490" s="100">
        <v>98.351997801266549</v>
      </c>
      <c r="D490" s="100">
        <v>93.377702508825251</v>
      </c>
      <c r="E490" s="100">
        <v>91.449904940926444</v>
      </c>
      <c r="F490" s="100">
        <v>1592.6406011071592</v>
      </c>
      <c r="G490" s="100">
        <v>-213.1624419566478</v>
      </c>
      <c r="H490" s="100">
        <v>-1123.2448066772918</v>
      </c>
      <c r="I490" s="100">
        <v>1930.7347137747824</v>
      </c>
      <c r="J490" s="100">
        <v>2186.9680662480023</v>
      </c>
    </row>
    <row r="491" spans="1:10" x14ac:dyDescent="0.25">
      <c r="A491">
        <v>474</v>
      </c>
      <c r="B491" s="100">
        <v>89.586744957168563</v>
      </c>
      <c r="C491" s="100">
        <v>97.907726229214276</v>
      </c>
      <c r="D491" s="100">
        <v>93.783472108737101</v>
      </c>
      <c r="E491" s="100">
        <v>96.260810907554955</v>
      </c>
      <c r="F491" s="100">
        <v>-109.2417549467271</v>
      </c>
      <c r="G491" s="100">
        <v>453.24491612176132</v>
      </c>
      <c r="H491" s="100">
        <v>-1934.7840065009905</v>
      </c>
      <c r="I491" s="100">
        <v>-2880.1712528537282</v>
      </c>
      <c r="J491" s="100">
        <v>-4470.952098179685</v>
      </c>
    </row>
    <row r="492" spans="1:10" x14ac:dyDescent="0.25">
      <c r="A492">
        <v>475</v>
      </c>
      <c r="B492" s="100">
        <v>89.623758865121545</v>
      </c>
      <c r="C492" s="100">
        <v>97.560472305777282</v>
      </c>
      <c r="D492" s="100">
        <v>91.662818874418008</v>
      </c>
      <c r="E492" s="100">
        <v>93.772373123005792</v>
      </c>
      <c r="F492" s="100">
        <v>-231.38765119156801</v>
      </c>
      <c r="G492" s="100">
        <v>974.12580127725334</v>
      </c>
      <c r="H492" s="100">
        <v>2306.5224621371954</v>
      </c>
      <c r="I492" s="100">
        <v>-391.73346830456524</v>
      </c>
      <c r="J492" s="100">
        <v>2657.5271439183157</v>
      </c>
    </row>
    <row r="493" spans="1:10" x14ac:dyDescent="0.25">
      <c r="A493">
        <v>476</v>
      </c>
      <c r="B493" s="100">
        <v>89.448833007596264</v>
      </c>
      <c r="C493" s="100">
        <v>98.189766644434613</v>
      </c>
      <c r="D493" s="100">
        <v>93.224913137714893</v>
      </c>
      <c r="E493" s="100">
        <v>96.179624470775607</v>
      </c>
      <c r="F493" s="100">
        <v>345.8676786418593</v>
      </c>
      <c r="G493" s="100">
        <v>30.184293291256381</v>
      </c>
      <c r="H493" s="100">
        <v>-817.6660644565743</v>
      </c>
      <c r="I493" s="100">
        <v>-2798.9848160743804</v>
      </c>
      <c r="J493" s="100">
        <v>-3240.598908597839</v>
      </c>
    </row>
    <row r="494" spans="1:10" x14ac:dyDescent="0.25">
      <c r="A494">
        <v>477</v>
      </c>
      <c r="B494" s="100">
        <v>89.576919603947445</v>
      </c>
      <c r="C494" s="100">
        <v>98.037199366527886</v>
      </c>
      <c r="D494" s="100">
        <v>92.039366491176509</v>
      </c>
      <c r="E494" s="100">
        <v>97.74838385478229</v>
      </c>
      <c r="F494" s="100">
        <v>-76.818089317039551</v>
      </c>
      <c r="G494" s="100">
        <v>259.03521015134601</v>
      </c>
      <c r="H494" s="100">
        <v>1553.427228620194</v>
      </c>
      <c r="I494" s="100">
        <v>-4367.7442000810624</v>
      </c>
      <c r="J494" s="100">
        <v>-2632.0998506265619</v>
      </c>
    </row>
    <row r="495" spans="1:10" x14ac:dyDescent="0.25">
      <c r="A495">
        <v>478</v>
      </c>
      <c r="B495" s="100">
        <v>89.589639430737037</v>
      </c>
      <c r="C495" s="100">
        <v>96.888603714303812</v>
      </c>
      <c r="D495" s="100">
        <v>94.04514862491223</v>
      </c>
      <c r="E495" s="100">
        <v>94.828594012712429</v>
      </c>
      <c r="F495" s="100">
        <v>-118.79351772269331</v>
      </c>
      <c r="G495" s="100">
        <v>1981.9286884874573</v>
      </c>
      <c r="H495" s="100">
        <v>-2458.1370388512482</v>
      </c>
      <c r="I495" s="100">
        <v>-1447.9543580112022</v>
      </c>
      <c r="J495" s="100">
        <v>-2042.9562260976863</v>
      </c>
    </row>
    <row r="496" spans="1:10" x14ac:dyDescent="0.25">
      <c r="A496">
        <v>479</v>
      </c>
      <c r="B496" s="100">
        <v>89.537898552651683</v>
      </c>
      <c r="C496" s="100">
        <v>98.420191479069047</v>
      </c>
      <c r="D496" s="100">
        <v>91.470923331135808</v>
      </c>
      <c r="E496" s="100">
        <v>93.454199031435337</v>
      </c>
      <c r="F496" s="100">
        <v>51.951379958975963</v>
      </c>
      <c r="G496" s="100">
        <v>-315.45295866039424</v>
      </c>
      <c r="H496" s="100">
        <v>2690.3135487015961</v>
      </c>
      <c r="I496" s="100">
        <v>-73.55937673411006</v>
      </c>
      <c r="J496" s="100">
        <v>2353.2525932660678</v>
      </c>
    </row>
    <row r="497" spans="1:10" x14ac:dyDescent="0.25">
      <c r="A497">
        <v>480</v>
      </c>
      <c r="B497" s="100">
        <v>89.74775294032942</v>
      </c>
      <c r="C497" s="100">
        <v>96.230758861824071</v>
      </c>
      <c r="D497" s="100">
        <v>93.738528499900923</v>
      </c>
      <c r="E497" s="100">
        <v>92.769974017816182</v>
      </c>
      <c r="F497" s="100">
        <v>-640.56809937755611</v>
      </c>
      <c r="G497" s="100">
        <v>2968.6959672070684</v>
      </c>
      <c r="H497" s="100">
        <v>-1844.8967888286347</v>
      </c>
      <c r="I497" s="100">
        <v>610.66563688504516</v>
      </c>
      <c r="J497" s="100">
        <v>1093.8967158859225</v>
      </c>
    </row>
    <row r="498" spans="1:10" x14ac:dyDescent="0.25">
      <c r="A498">
        <v>481</v>
      </c>
      <c r="B498" s="100">
        <v>88.423280557210589</v>
      </c>
      <c r="C498" s="100">
        <v>96.822685025996549</v>
      </c>
      <c r="D498" s="100">
        <v>92.346951654114633</v>
      </c>
      <c r="E498" s="100">
        <v>91.489415024584005</v>
      </c>
      <c r="F498" s="100">
        <v>3730.190764914586</v>
      </c>
      <c r="G498" s="100">
        <v>2080.8067209483524</v>
      </c>
      <c r="H498" s="100">
        <v>938.25690274394447</v>
      </c>
      <c r="I498" s="100">
        <v>1891.2246301172217</v>
      </c>
      <c r="J498" s="100">
        <v>8640.4790187241051</v>
      </c>
    </row>
    <row r="499" spans="1:10" x14ac:dyDescent="0.25">
      <c r="A499">
        <v>482</v>
      </c>
      <c r="B499" s="100">
        <v>90.357368778517042</v>
      </c>
      <c r="C499" s="100">
        <v>99.035812277680861</v>
      </c>
      <c r="D499" s="100">
        <v>92.203795652088345</v>
      </c>
      <c r="E499" s="100">
        <v>93.117532421004128</v>
      </c>
      <c r="F499" s="100">
        <v>-2652.3003653967094</v>
      </c>
      <c r="G499" s="100">
        <v>-1238.8841565781163</v>
      </c>
      <c r="H499" s="100">
        <v>1224.5689067965202</v>
      </c>
      <c r="I499" s="100">
        <v>263.10723369709876</v>
      </c>
      <c r="J499" s="100">
        <v>-2403.5083814812065</v>
      </c>
    </row>
    <row r="500" spans="1:10" x14ac:dyDescent="0.25">
      <c r="A500">
        <v>483</v>
      </c>
      <c r="B500" s="100">
        <v>90.165094138546522</v>
      </c>
      <c r="C500" s="100">
        <v>97.127313276273497</v>
      </c>
      <c r="D500" s="100">
        <v>92.436320015274475</v>
      </c>
      <c r="E500" s="100">
        <v>96.26110736780177</v>
      </c>
      <c r="F500" s="100">
        <v>-2017.7940534939921</v>
      </c>
      <c r="G500" s="100">
        <v>1623.8643455329295</v>
      </c>
      <c r="H500" s="100">
        <v>759.52018042426062</v>
      </c>
      <c r="I500" s="100">
        <v>-2880.4677131005433</v>
      </c>
      <c r="J500" s="100">
        <v>-2514.8772406373455</v>
      </c>
    </row>
    <row r="501" spans="1:10" x14ac:dyDescent="0.25">
      <c r="A501">
        <v>484</v>
      </c>
      <c r="B501" s="100">
        <v>89.54291594100556</v>
      </c>
      <c r="C501" s="100">
        <v>98.222860370945369</v>
      </c>
      <c r="D501" s="100">
        <v>94.557154279174242</v>
      </c>
      <c r="E501" s="100">
        <v>96.180114351506944</v>
      </c>
      <c r="F501" s="100">
        <v>35.393998391180048</v>
      </c>
      <c r="G501" s="100">
        <v>-19.456296474878343</v>
      </c>
      <c r="H501" s="100">
        <v>-3482.1483473752724</v>
      </c>
      <c r="I501" s="100">
        <v>-2799.474696805717</v>
      </c>
      <c r="J501" s="100">
        <v>-6265.6853422646873</v>
      </c>
    </row>
    <row r="502" spans="1:10" x14ac:dyDescent="0.25">
      <c r="A502">
        <v>485</v>
      </c>
      <c r="B502" s="100">
        <v>89.751280853342053</v>
      </c>
      <c r="C502" s="100">
        <v>98.115852796853943</v>
      </c>
      <c r="D502" s="100">
        <v>91.273344619996891</v>
      </c>
      <c r="E502" s="100">
        <v>93.416152074309636</v>
      </c>
      <c r="F502" s="100">
        <v>-652.21021231924396</v>
      </c>
      <c r="G502" s="100">
        <v>141.05506466226103</v>
      </c>
      <c r="H502" s="100">
        <v>3085.4709709794292</v>
      </c>
      <c r="I502" s="100">
        <v>-35.512419608409118</v>
      </c>
      <c r="J502" s="100">
        <v>2538.8034037140369</v>
      </c>
    </row>
    <row r="503" spans="1:10" x14ac:dyDescent="0.25">
      <c r="A503">
        <v>486</v>
      </c>
      <c r="B503" s="100">
        <v>89.775680925043915</v>
      </c>
      <c r="C503" s="100">
        <v>99.237276610906292</v>
      </c>
      <c r="D503" s="100">
        <v>92.763639431268899</v>
      </c>
      <c r="E503" s="100">
        <v>91.854861865472955</v>
      </c>
      <c r="F503" s="100">
        <v>-732.73044893538918</v>
      </c>
      <c r="G503" s="100">
        <v>-1541.0806564162626</v>
      </c>
      <c r="H503" s="100">
        <v>104.88134843541275</v>
      </c>
      <c r="I503" s="100">
        <v>1525.7777892282718</v>
      </c>
      <c r="J503" s="100">
        <v>-643.15196768796727</v>
      </c>
    </row>
    <row r="504" spans="1:10" x14ac:dyDescent="0.25">
      <c r="A504">
        <v>487</v>
      </c>
      <c r="B504" s="100">
        <v>89.737970969162276</v>
      </c>
      <c r="C504" s="100">
        <v>98.351124443439318</v>
      </c>
      <c r="D504" s="100">
        <v>90.909423730701846</v>
      </c>
      <c r="E504" s="100">
        <v>94.755259786971337</v>
      </c>
      <c r="F504" s="100">
        <v>-608.28759452598297</v>
      </c>
      <c r="G504" s="100">
        <v>-211.85240521580084</v>
      </c>
      <c r="H504" s="100">
        <v>3813.3127495695189</v>
      </c>
      <c r="I504" s="100">
        <v>-1374.6201322701097</v>
      </c>
      <c r="J504" s="100">
        <v>1618.5526175576254</v>
      </c>
    </row>
    <row r="505" spans="1:10" x14ac:dyDescent="0.25">
      <c r="A505">
        <v>488</v>
      </c>
      <c r="B505" s="100">
        <v>89.533615380200573</v>
      </c>
      <c r="C505" s="100">
        <v>97.738136757857816</v>
      </c>
      <c r="D505" s="100">
        <v>93.729049429125411</v>
      </c>
      <c r="E505" s="100">
        <v>92.540163689459362</v>
      </c>
      <c r="F505" s="100">
        <v>66.085849047640011</v>
      </c>
      <c r="G505" s="100">
        <v>707.6291231564511</v>
      </c>
      <c r="H505" s="100">
        <v>-1825.93864727761</v>
      </c>
      <c r="I505" s="100">
        <v>840.47596524186474</v>
      </c>
      <c r="J505" s="100">
        <v>-211.74770983165422</v>
      </c>
    </row>
    <row r="506" spans="1:10" x14ac:dyDescent="0.25">
      <c r="A506">
        <v>489</v>
      </c>
      <c r="B506" s="100">
        <v>88.625526679911374</v>
      </c>
      <c r="C506" s="100">
        <v>99.201766992026648</v>
      </c>
      <c r="D506" s="100">
        <v>92.123714751561224</v>
      </c>
      <c r="E506" s="100">
        <v>96.290264884030066</v>
      </c>
      <c r="F506" s="100">
        <v>3062.7785600019947</v>
      </c>
      <c r="G506" s="100">
        <v>-1487.816228096797</v>
      </c>
      <c r="H506" s="100">
        <v>1384.730707850764</v>
      </c>
      <c r="I506" s="100">
        <v>-2909.6252293288389</v>
      </c>
      <c r="J506" s="100">
        <v>50.067810427122822</v>
      </c>
    </row>
    <row r="507" spans="1:10" x14ac:dyDescent="0.25">
      <c r="A507">
        <v>490</v>
      </c>
      <c r="B507" s="100">
        <v>89.419660520797663</v>
      </c>
      <c r="C507" s="100">
        <v>97.783003036566811</v>
      </c>
      <c r="D507" s="100">
        <v>92.112163159637973</v>
      </c>
      <c r="E507" s="100">
        <v>95.113509168337217</v>
      </c>
      <c r="F507" s="100">
        <v>442.136885077241</v>
      </c>
      <c r="G507" s="100">
        <v>640.32970509295956</v>
      </c>
      <c r="H507" s="100">
        <v>1407.8338916972655</v>
      </c>
      <c r="I507" s="100">
        <v>-1732.8695136359897</v>
      </c>
      <c r="J507" s="100">
        <v>757.43096823147653</v>
      </c>
    </row>
    <row r="508" spans="1:10" x14ac:dyDescent="0.25">
      <c r="A508">
        <v>491</v>
      </c>
      <c r="B508" s="100">
        <v>89.431439435545613</v>
      </c>
      <c r="C508" s="100">
        <v>98.339309108875767</v>
      </c>
      <c r="D508" s="100">
        <v>93.14553228445503</v>
      </c>
      <c r="E508" s="100">
        <v>93.614506162992186</v>
      </c>
      <c r="F508" s="100">
        <v>403.26646640900634</v>
      </c>
      <c r="G508" s="100">
        <v>-194.12940337047502</v>
      </c>
      <c r="H508" s="100">
        <v>-658.90435793684787</v>
      </c>
      <c r="I508" s="100">
        <v>-233.86650829095856</v>
      </c>
      <c r="J508" s="100">
        <v>-683.63380318927511</v>
      </c>
    </row>
    <row r="509" spans="1:10" x14ac:dyDescent="0.25">
      <c r="A509">
        <v>492</v>
      </c>
      <c r="B509" s="100">
        <v>89.831172181553143</v>
      </c>
      <c r="C509" s="100">
        <v>99.523394477721752</v>
      </c>
      <c r="D509" s="100">
        <v>92.544245199749938</v>
      </c>
      <c r="E509" s="100">
        <v>91.957641918941107</v>
      </c>
      <c r="F509" s="100">
        <v>-915.85159541584176</v>
      </c>
      <c r="G509" s="100">
        <v>-1970.2574566394517</v>
      </c>
      <c r="H509" s="100">
        <v>543.66981147333604</v>
      </c>
      <c r="I509" s="100">
        <v>1422.9977357601201</v>
      </c>
      <c r="J509" s="100">
        <v>-919.44150482183704</v>
      </c>
    </row>
    <row r="510" spans="1:10" x14ac:dyDescent="0.25">
      <c r="A510">
        <v>493</v>
      </c>
      <c r="B510" s="100">
        <v>90.170580806250356</v>
      </c>
      <c r="C510" s="100">
        <v>100.74936985493181</v>
      </c>
      <c r="D510" s="100">
        <v>93.971555310548965</v>
      </c>
      <c r="E510" s="100">
        <v>94.11787260712255</v>
      </c>
      <c r="F510" s="100">
        <v>-2035.9000569166469</v>
      </c>
      <c r="G510" s="100">
        <v>-3809.2205224545451</v>
      </c>
      <c r="H510" s="100">
        <v>-2310.9504101247185</v>
      </c>
      <c r="I510" s="100">
        <v>-737.23295242132281</v>
      </c>
      <c r="J510" s="100">
        <v>-8893.3039419172346</v>
      </c>
    </row>
    <row r="511" spans="1:10" x14ac:dyDescent="0.25">
      <c r="A511">
        <v>494</v>
      </c>
      <c r="B511" s="100">
        <v>90.082555644364831</v>
      </c>
      <c r="C511" s="100">
        <v>98.327152677261054</v>
      </c>
      <c r="D511" s="100">
        <v>94.927461377070898</v>
      </c>
      <c r="E511" s="100">
        <v>91.823753915570904</v>
      </c>
      <c r="F511" s="100">
        <v>-1745.4170226944129</v>
      </c>
      <c r="G511" s="100">
        <v>-175.89475594840565</v>
      </c>
      <c r="H511" s="100">
        <v>-4222.7625431685847</v>
      </c>
      <c r="I511" s="100">
        <v>1556.8857391303227</v>
      </c>
      <c r="J511" s="100">
        <v>-4587.1885826810803</v>
      </c>
    </row>
    <row r="512" spans="1:10" x14ac:dyDescent="0.25">
      <c r="A512">
        <v>495</v>
      </c>
      <c r="B512" s="100">
        <v>89.074165117484455</v>
      </c>
      <c r="C512" s="100">
        <v>96.673922712402828</v>
      </c>
      <c r="D512" s="100">
        <v>92.545352121241734</v>
      </c>
      <c r="E512" s="100">
        <v>95.10501248741339</v>
      </c>
      <c r="F512" s="100">
        <v>1582.2717160108282</v>
      </c>
      <c r="G512" s="100">
        <v>2303.9501913389345</v>
      </c>
      <c r="H512" s="100">
        <v>541.45596848974265</v>
      </c>
      <c r="I512" s="100">
        <v>-1724.372832712163</v>
      </c>
      <c r="J512" s="100">
        <v>2703.3050431273418</v>
      </c>
    </row>
    <row r="513" spans="1:10" x14ac:dyDescent="0.25">
      <c r="A513">
        <v>496</v>
      </c>
      <c r="B513" s="100">
        <v>89.457832041846061</v>
      </c>
      <c r="C513" s="100">
        <v>97.800565650968196</v>
      </c>
      <c r="D513" s="100">
        <v>90.833603316699595</v>
      </c>
      <c r="E513" s="100">
        <v>94.740591493446601</v>
      </c>
      <c r="F513" s="100">
        <v>316.17086561752927</v>
      </c>
      <c r="G513" s="100">
        <v>613.98578349088234</v>
      </c>
      <c r="H513" s="100">
        <v>3964.9535775740219</v>
      </c>
      <c r="I513" s="100">
        <v>-1359.9518387453741</v>
      </c>
      <c r="J513" s="100">
        <v>3535.1583879370596</v>
      </c>
    </row>
    <row r="514" spans="1:10" x14ac:dyDescent="0.25">
      <c r="A514">
        <v>497</v>
      </c>
      <c r="B514" s="100">
        <v>89.757376176596296</v>
      </c>
      <c r="C514" s="100">
        <v>98.814629429063146</v>
      </c>
      <c r="D514" s="100">
        <v>94.69550846994936</v>
      </c>
      <c r="E514" s="100">
        <v>94.825373048135148</v>
      </c>
      <c r="F514" s="100">
        <v>-672.32477905824624</v>
      </c>
      <c r="G514" s="100">
        <v>-907.10988365154321</v>
      </c>
      <c r="H514" s="100">
        <v>-3758.8567289255079</v>
      </c>
      <c r="I514" s="100">
        <v>-1444.7333934339213</v>
      </c>
      <c r="J514" s="100">
        <v>-6783.0247850692185</v>
      </c>
    </row>
    <row r="515" spans="1:10" x14ac:dyDescent="0.25">
      <c r="A515">
        <v>498</v>
      </c>
      <c r="B515" s="100">
        <v>90.521065884605918</v>
      </c>
      <c r="C515" s="100">
        <v>97.28494453113106</v>
      </c>
      <c r="D515" s="100">
        <v>94.707800772033465</v>
      </c>
      <c r="E515" s="100">
        <v>95.012104840777724</v>
      </c>
      <c r="F515" s="100">
        <v>-3192.5008154899983</v>
      </c>
      <c r="G515" s="100">
        <v>1387.4174632465852</v>
      </c>
      <c r="H515" s="100">
        <v>-3783.4413330937195</v>
      </c>
      <c r="I515" s="100">
        <v>-1631.4651860764968</v>
      </c>
      <c r="J515" s="100">
        <v>-7219.9898714136298</v>
      </c>
    </row>
    <row r="516" spans="1:10" x14ac:dyDescent="0.25">
      <c r="A516">
        <v>499</v>
      </c>
      <c r="B516" s="100">
        <v>90.149355403446989</v>
      </c>
      <c r="C516" s="100">
        <v>97.792082821017686</v>
      </c>
      <c r="D516" s="100">
        <v>92.707029713408275</v>
      </c>
      <c r="E516" s="100">
        <v>95.601428111762488</v>
      </c>
      <c r="F516" s="100">
        <v>-1965.8562276655359</v>
      </c>
      <c r="G516" s="100">
        <v>626.71002841664608</v>
      </c>
      <c r="H516" s="100">
        <v>218.10078415666112</v>
      </c>
      <c r="I516" s="100">
        <v>-2220.7884570612605</v>
      </c>
      <c r="J516" s="100">
        <v>-3341.8338721534892</v>
      </c>
    </row>
    <row r="517" spans="1:10" x14ac:dyDescent="0.25">
      <c r="A517">
        <v>500</v>
      </c>
      <c r="B517" s="100">
        <v>89.87112864244375</v>
      </c>
      <c r="C517" s="100">
        <v>97.18487333270393</v>
      </c>
      <c r="D517" s="100">
        <v>92.826750323383223</v>
      </c>
      <c r="E517" s="100">
        <v>94.490704088621911</v>
      </c>
      <c r="F517" s="100">
        <v>-1047.7079163548467</v>
      </c>
      <c r="G517" s="100">
        <v>1537.5242608872809</v>
      </c>
      <c r="H517" s="100">
        <v>-21.340435793234747</v>
      </c>
      <c r="I517" s="100">
        <v>-1110.0644339206838</v>
      </c>
      <c r="J517" s="100">
        <v>-641.58852518148433</v>
      </c>
    </row>
    <row r="518" spans="1:10" x14ac:dyDescent="0.25">
      <c r="A518">
        <v>501</v>
      </c>
      <c r="B518" s="100">
        <v>89.484914680934111</v>
      </c>
      <c r="C518" s="100">
        <v>98.273597539666341</v>
      </c>
      <c r="D518" s="100">
        <v>93.997691595686121</v>
      </c>
      <c r="E518" s="100">
        <v>93.827786536195504</v>
      </c>
      <c r="F518" s="100">
        <v>226.79815662696399</v>
      </c>
      <c r="G518" s="100">
        <v>-95.562049556335182</v>
      </c>
      <c r="H518" s="100">
        <v>-2363.2229803990299</v>
      </c>
      <c r="I518" s="100">
        <v>-447.14688149427673</v>
      </c>
      <c r="J518" s="100">
        <v>-2679.1337548226779</v>
      </c>
    </row>
    <row r="519" spans="1:10" x14ac:dyDescent="0.25">
      <c r="A519">
        <v>502</v>
      </c>
      <c r="B519" s="100">
        <v>89.526823342810999</v>
      </c>
      <c r="C519" s="100">
        <v>97.09683631659189</v>
      </c>
      <c r="D519" s="100">
        <v>92.472407221749378</v>
      </c>
      <c r="E519" s="100">
        <v>94.8206269477338</v>
      </c>
      <c r="F519" s="100">
        <v>88.499572433231322</v>
      </c>
      <c r="G519" s="100">
        <v>1669.5797850553404</v>
      </c>
      <c r="H519" s="100">
        <v>687.34576747445431</v>
      </c>
      <c r="I519" s="100">
        <v>-1439.9872930325728</v>
      </c>
      <c r="J519" s="100">
        <v>1005.4378319304533</v>
      </c>
    </row>
    <row r="520" spans="1:10" x14ac:dyDescent="0.25">
      <c r="A520">
        <v>503</v>
      </c>
      <c r="B520" s="100">
        <v>90.387241073844422</v>
      </c>
      <c r="C520" s="100">
        <v>99.262615042273978</v>
      </c>
      <c r="D520" s="100">
        <v>94.924505971882041</v>
      </c>
      <c r="E520" s="100">
        <v>93.839207280137501</v>
      </c>
      <c r="F520" s="100">
        <v>-2750.8789399770621</v>
      </c>
      <c r="G520" s="100">
        <v>-1579.0883034677918</v>
      </c>
      <c r="H520" s="100">
        <v>-4216.8517327908721</v>
      </c>
      <c r="I520" s="100">
        <v>-458.56762543627383</v>
      </c>
      <c r="J520" s="100">
        <v>-9005.3866016719985</v>
      </c>
    </row>
    <row r="521" spans="1:10" x14ac:dyDescent="0.25">
      <c r="A521">
        <v>504</v>
      </c>
      <c r="B521" s="100">
        <v>90.247145639761385</v>
      </c>
      <c r="C521" s="100">
        <v>99.281848078976978</v>
      </c>
      <c r="D521" s="100">
        <v>91.290968605092516</v>
      </c>
      <c r="E521" s="100">
        <v>93.014443560177341</v>
      </c>
      <c r="F521" s="100">
        <v>-2288.564007503041</v>
      </c>
      <c r="G521" s="100">
        <v>-1607.9378585222912</v>
      </c>
      <c r="H521" s="100">
        <v>3050.223000788179</v>
      </c>
      <c r="I521" s="100">
        <v>366.19609452388602</v>
      </c>
      <c r="J521" s="100">
        <v>-480.08277071326722</v>
      </c>
    </row>
    <row r="522" spans="1:10" x14ac:dyDescent="0.25">
      <c r="A522">
        <v>505</v>
      </c>
      <c r="B522" s="100">
        <v>89.672718592813041</v>
      </c>
      <c r="C522" s="100">
        <v>96.96535322832311</v>
      </c>
      <c r="D522" s="100">
        <v>91.797085561923623</v>
      </c>
      <c r="E522" s="100">
        <v>91.035078841473961</v>
      </c>
      <c r="F522" s="100">
        <v>-392.95475257350603</v>
      </c>
      <c r="G522" s="100">
        <v>1866.8044174585107</v>
      </c>
      <c r="H522" s="100">
        <v>2037.9890871259647</v>
      </c>
      <c r="I522" s="100">
        <v>2345.560813227266</v>
      </c>
      <c r="J522" s="100">
        <v>5857.3995652382346</v>
      </c>
    </row>
    <row r="523" spans="1:10" x14ac:dyDescent="0.25">
      <c r="A523">
        <v>506</v>
      </c>
      <c r="B523" s="100">
        <v>89.789044802181877</v>
      </c>
      <c r="C523" s="100">
        <v>99.049835748682355</v>
      </c>
      <c r="D523" s="100">
        <v>92.854581212738466</v>
      </c>
      <c r="E523" s="100">
        <v>91.796984551151439</v>
      </c>
      <c r="F523" s="100">
        <v>-776.83124349066475</v>
      </c>
      <c r="G523" s="100">
        <v>-1259.919363080357</v>
      </c>
      <c r="H523" s="100">
        <v>-77.002214503721689</v>
      </c>
      <c r="I523" s="100">
        <v>1583.6551035497878</v>
      </c>
      <c r="J523" s="100">
        <v>-530.09771752495544</v>
      </c>
    </row>
    <row r="524" spans="1:10" x14ac:dyDescent="0.25">
      <c r="A524">
        <v>507</v>
      </c>
      <c r="B524" s="100">
        <v>89.09355328445092</v>
      </c>
      <c r="C524" s="100">
        <v>97.949519829052591</v>
      </c>
      <c r="D524" s="100">
        <v>93.123079977074326</v>
      </c>
      <c r="E524" s="100">
        <v>92.490355268844581</v>
      </c>
      <c r="F524" s="100">
        <v>1518.2907650214943</v>
      </c>
      <c r="G524" s="100">
        <v>390.55451636428984</v>
      </c>
      <c r="H524" s="100">
        <v>-613.99974317544093</v>
      </c>
      <c r="I524" s="100">
        <v>890.2843858566456</v>
      </c>
      <c r="J524" s="100">
        <v>2185.1299240669887</v>
      </c>
    </row>
    <row r="525" spans="1:10" x14ac:dyDescent="0.25">
      <c r="A525">
        <v>508</v>
      </c>
      <c r="B525" s="100">
        <v>89.550739785972567</v>
      </c>
      <c r="C525" s="100">
        <v>99.040071453433029</v>
      </c>
      <c r="D525" s="100">
        <v>93.10214264929499</v>
      </c>
      <c r="E525" s="100">
        <v>94.586301132916162</v>
      </c>
      <c r="F525" s="100">
        <v>9.5753100000578684</v>
      </c>
      <c r="G525" s="100">
        <v>-1245.2729202063679</v>
      </c>
      <c r="H525" s="100">
        <v>-572.12508761676872</v>
      </c>
      <c r="I525" s="100">
        <v>-1205.6614782149354</v>
      </c>
      <c r="J525" s="100">
        <v>-3013.4841760380141</v>
      </c>
    </row>
    <row r="526" spans="1:10" x14ac:dyDescent="0.25">
      <c r="A526">
        <v>509</v>
      </c>
      <c r="B526" s="100">
        <v>89.196820294076403</v>
      </c>
      <c r="C526" s="100">
        <v>96.315283386718221</v>
      </c>
      <c r="D526" s="100">
        <v>93.533527214918905</v>
      </c>
      <c r="E526" s="100">
        <v>95.407887441763165</v>
      </c>
      <c r="F526" s="100">
        <v>1177.5096332573994</v>
      </c>
      <c r="G526" s="100">
        <v>2841.9091798658442</v>
      </c>
      <c r="H526" s="100">
        <v>-1434.8942188645992</v>
      </c>
      <c r="I526" s="100">
        <v>-2027.2477870619382</v>
      </c>
      <c r="J526" s="100">
        <v>557.27680719670616</v>
      </c>
    </row>
    <row r="527" spans="1:10" x14ac:dyDescent="0.25">
      <c r="A527">
        <v>510</v>
      </c>
      <c r="B527" s="100">
        <v>89.493148652966653</v>
      </c>
      <c r="C527" s="100">
        <v>99.699434228960996</v>
      </c>
      <c r="D527" s="100">
        <v>93.116555157456773</v>
      </c>
      <c r="E527" s="100">
        <v>92.283118933460685</v>
      </c>
      <c r="F527" s="100">
        <v>199.62604891957483</v>
      </c>
      <c r="G527" s="100">
        <v>-2234.3170834983184</v>
      </c>
      <c r="H527" s="100">
        <v>-600.95010394033466</v>
      </c>
      <c r="I527" s="100">
        <v>1097.5207212405421</v>
      </c>
      <c r="J527" s="100">
        <v>-1538.1204172785365</v>
      </c>
    </row>
    <row r="528" spans="1:10" x14ac:dyDescent="0.25">
      <c r="A528">
        <v>511</v>
      </c>
      <c r="B528" s="100">
        <v>89.866421632808269</v>
      </c>
      <c r="C528" s="100">
        <v>97.733542212354806</v>
      </c>
      <c r="D528" s="100">
        <v>92.753091217183368</v>
      </c>
      <c r="E528" s="100">
        <v>91.956115061183013</v>
      </c>
      <c r="F528" s="100">
        <v>-1032.1747845577577</v>
      </c>
      <c r="G528" s="100">
        <v>714.52094141096723</v>
      </c>
      <c r="H528" s="100">
        <v>125.9777766064758</v>
      </c>
      <c r="I528" s="100">
        <v>1424.524593518214</v>
      </c>
      <c r="J528" s="100">
        <v>1232.8485269778994</v>
      </c>
    </row>
    <row r="529" spans="1:10" x14ac:dyDescent="0.25">
      <c r="A529">
        <v>512</v>
      </c>
      <c r="B529" s="100">
        <v>89.799060728512075</v>
      </c>
      <c r="C529" s="100">
        <v>98.519862060136319</v>
      </c>
      <c r="D529" s="100">
        <v>91.84385846651216</v>
      </c>
      <c r="E529" s="100">
        <v>93.055657711964429</v>
      </c>
      <c r="F529" s="100">
        <v>-809.88380038031664</v>
      </c>
      <c r="G529" s="100">
        <v>-464.95883026130258</v>
      </c>
      <c r="H529" s="100">
        <v>1944.443277948892</v>
      </c>
      <c r="I529" s="100">
        <v>324.98194273679815</v>
      </c>
      <c r="J529" s="100">
        <v>994.58259004407091</v>
      </c>
    </row>
    <row r="530" spans="1:10" x14ac:dyDescent="0.25">
      <c r="A530">
        <v>513</v>
      </c>
      <c r="B530" s="100">
        <v>89.951131532691491</v>
      </c>
      <c r="C530" s="100">
        <v>98.34544487814847</v>
      </c>
      <c r="D530" s="100">
        <v>93.742058293058122</v>
      </c>
      <c r="E530" s="100">
        <v>92.907188983989116</v>
      </c>
      <c r="F530" s="100">
        <v>-1311.7174541723912</v>
      </c>
      <c r="G530" s="100">
        <v>-203.33305727952933</v>
      </c>
      <c r="H530" s="100">
        <v>-1851.9563751430326</v>
      </c>
      <c r="I530" s="100">
        <v>473.45067071211133</v>
      </c>
      <c r="J530" s="100">
        <v>-2893.556215882842</v>
      </c>
    </row>
    <row r="531" spans="1:10" x14ac:dyDescent="0.25">
      <c r="A531">
        <v>514</v>
      </c>
      <c r="B531" s="100">
        <v>89.340074143857294</v>
      </c>
      <c r="C531" s="100">
        <v>98.820283163012448</v>
      </c>
      <c r="D531" s="100">
        <v>92.143602932112387</v>
      </c>
      <c r="E531" s="100">
        <v>90.991165050217603</v>
      </c>
      <c r="F531" s="100">
        <v>704.77192898046042</v>
      </c>
      <c r="G531" s="100">
        <v>-915.59048457549602</v>
      </c>
      <c r="H531" s="100">
        <v>1344.9543467484375</v>
      </c>
      <c r="I531" s="100">
        <v>2389.4746044836238</v>
      </c>
      <c r="J531" s="100">
        <v>3523.6103956370257</v>
      </c>
    </row>
    <row r="532" spans="1:10" x14ac:dyDescent="0.25">
      <c r="A532">
        <v>515</v>
      </c>
      <c r="B532" s="100">
        <v>89.476009022750944</v>
      </c>
      <c r="C532" s="100">
        <v>97.183568420787566</v>
      </c>
      <c r="D532" s="100">
        <v>91.891261817864759</v>
      </c>
      <c r="E532" s="100">
        <v>94.961550299149877</v>
      </c>
      <c r="F532" s="100">
        <v>256.18682863141515</v>
      </c>
      <c r="G532" s="100">
        <v>1539.4816287618269</v>
      </c>
      <c r="H532" s="100">
        <v>1849.636575243693</v>
      </c>
      <c r="I532" s="100">
        <v>-1580.9106444486501</v>
      </c>
      <c r="J532" s="100">
        <v>2064.3943881882847</v>
      </c>
    </row>
    <row r="533" spans="1:10" x14ac:dyDescent="0.25">
      <c r="A533">
        <v>516</v>
      </c>
      <c r="B533" s="100">
        <v>90.150651217923539</v>
      </c>
      <c r="C533" s="100">
        <v>98.638549484794495</v>
      </c>
      <c r="D533" s="100">
        <v>93.105852206411171</v>
      </c>
      <c r="E533" s="100">
        <v>92.118090688277974</v>
      </c>
      <c r="F533" s="100">
        <v>-1970.1324154381482</v>
      </c>
      <c r="G533" s="100">
        <v>-642.9899672485675</v>
      </c>
      <c r="H533" s="100">
        <v>-579.54420184913147</v>
      </c>
      <c r="I533" s="100">
        <v>1262.5489664232532</v>
      </c>
      <c r="J533" s="100">
        <v>-1930.1176181125943</v>
      </c>
    </row>
    <row r="534" spans="1:10" x14ac:dyDescent="0.25">
      <c r="A534">
        <v>517</v>
      </c>
      <c r="B534" s="100">
        <v>90.304248505665015</v>
      </c>
      <c r="C534" s="100">
        <v>96.97849158065911</v>
      </c>
      <c r="D534" s="100">
        <v>92.951533841081115</v>
      </c>
      <c r="E534" s="100">
        <v>91.386397478795772</v>
      </c>
      <c r="F534" s="100">
        <v>-2477.0034649850204</v>
      </c>
      <c r="G534" s="100">
        <v>1847.0968889545106</v>
      </c>
      <c r="H534" s="100">
        <v>-270.90747118901959</v>
      </c>
      <c r="I534" s="100">
        <v>1994.2421759054555</v>
      </c>
      <c r="J534" s="100">
        <v>1093.4281286859261</v>
      </c>
    </row>
    <row r="535" spans="1:10" x14ac:dyDescent="0.25">
      <c r="A535">
        <v>518</v>
      </c>
      <c r="B535" s="100">
        <v>90.34833841127913</v>
      </c>
      <c r="C535" s="100">
        <v>99.807054566218724</v>
      </c>
      <c r="D535" s="100">
        <v>91.670351352321717</v>
      </c>
      <c r="E535" s="100">
        <v>92.124585075025138</v>
      </c>
      <c r="F535" s="100">
        <v>-2622.5001535115994</v>
      </c>
      <c r="G535" s="100">
        <v>-2395.7475893849105</v>
      </c>
      <c r="H535" s="100">
        <v>2291.4575063297775</v>
      </c>
      <c r="I535" s="100">
        <v>1256.0545796760891</v>
      </c>
      <c r="J535" s="100">
        <v>-1470.7356568906437</v>
      </c>
    </row>
    <row r="536" spans="1:10" x14ac:dyDescent="0.25">
      <c r="A536">
        <v>519</v>
      </c>
      <c r="B536" s="100">
        <v>89.210584302310423</v>
      </c>
      <c r="C536" s="100">
        <v>96.620804549312084</v>
      </c>
      <c r="D536" s="100">
        <v>92.805650598977394</v>
      </c>
      <c r="E536" s="100">
        <v>90.760609879645855</v>
      </c>
      <c r="F536" s="100">
        <v>1132.088406085134</v>
      </c>
      <c r="G536" s="100">
        <v>2383.6274359750505</v>
      </c>
      <c r="H536" s="100">
        <v>20.859013018423411</v>
      </c>
      <c r="I536" s="100">
        <v>2620.0297750553718</v>
      </c>
      <c r="J536" s="100">
        <v>6156.6046301339793</v>
      </c>
    </row>
    <row r="537" spans="1:10" x14ac:dyDescent="0.25">
      <c r="A537">
        <v>520</v>
      </c>
      <c r="B537" s="100">
        <v>89.261897444508278</v>
      </c>
      <c r="C537" s="100">
        <v>99.083280409838551</v>
      </c>
      <c r="D537" s="100">
        <v>91.882920689307582</v>
      </c>
      <c r="E537" s="100">
        <v>93.783115053335351</v>
      </c>
      <c r="F537" s="100">
        <v>962.75503683221041</v>
      </c>
      <c r="G537" s="100">
        <v>-1310.0863548146506</v>
      </c>
      <c r="H537" s="100">
        <v>1866.3188323580471</v>
      </c>
      <c r="I537" s="100">
        <v>-402.47539863412385</v>
      </c>
      <c r="J537" s="100">
        <v>1116.5121157414831</v>
      </c>
    </row>
    <row r="538" spans="1:10" x14ac:dyDescent="0.25">
      <c r="A538">
        <v>521</v>
      </c>
      <c r="B538" s="100">
        <v>89.450021384836035</v>
      </c>
      <c r="C538" s="100">
        <v>97.825894668587182</v>
      </c>
      <c r="D538" s="100">
        <v>93.254308955879395</v>
      </c>
      <c r="E538" s="100">
        <v>92.594707661990185</v>
      </c>
      <c r="F538" s="100">
        <v>341.94603375061519</v>
      </c>
      <c r="G538" s="100">
        <v>575.99225706240281</v>
      </c>
      <c r="H538" s="100">
        <v>-876.45770078557916</v>
      </c>
      <c r="I538" s="100">
        <v>785.93199271104197</v>
      </c>
      <c r="J538" s="100">
        <v>827.41258273848086</v>
      </c>
    </row>
    <row r="539" spans="1:10" x14ac:dyDescent="0.25">
      <c r="A539">
        <v>522</v>
      </c>
      <c r="B539" s="100">
        <v>89.907972984813497</v>
      </c>
      <c r="C539" s="100">
        <v>97.08962581791269</v>
      </c>
      <c r="D539" s="100">
        <v>92.264456497289004</v>
      </c>
      <c r="E539" s="100">
        <v>92.86337928107956</v>
      </c>
      <c r="F539" s="100">
        <v>-1169.2942461750122</v>
      </c>
      <c r="G539" s="100">
        <v>1680.3955330741403</v>
      </c>
      <c r="H539" s="100">
        <v>1103.2472163952036</v>
      </c>
      <c r="I539" s="100">
        <v>517.26037362166721</v>
      </c>
      <c r="J539" s="100">
        <v>2131.6088769159987</v>
      </c>
    </row>
    <row r="540" spans="1:10" x14ac:dyDescent="0.25">
      <c r="A540">
        <v>523</v>
      </c>
      <c r="B540" s="100">
        <v>89.794360010384224</v>
      </c>
      <c r="C540" s="100">
        <v>99.623530115314907</v>
      </c>
      <c r="D540" s="100">
        <v>94.654715283555873</v>
      </c>
      <c r="E540" s="100">
        <v>92.963983087826364</v>
      </c>
      <c r="F540" s="100">
        <v>-794.37143055841091</v>
      </c>
      <c r="G540" s="100">
        <v>-2120.4609130291842</v>
      </c>
      <c r="H540" s="100">
        <v>-3677.2703561385356</v>
      </c>
      <c r="I540" s="100">
        <v>416.65656687486319</v>
      </c>
      <c r="J540" s="100">
        <v>-6175.4461328512671</v>
      </c>
    </row>
    <row r="541" spans="1:10" x14ac:dyDescent="0.25">
      <c r="A541">
        <v>524</v>
      </c>
      <c r="B541" s="100">
        <v>89.585579648943735</v>
      </c>
      <c r="C541" s="100">
        <v>97.666369723034563</v>
      </c>
      <c r="D541" s="100">
        <v>92.718375464562357</v>
      </c>
      <c r="E541" s="100">
        <v>93.505703343606186</v>
      </c>
      <c r="F541" s="100">
        <v>-105.39623780479701</v>
      </c>
      <c r="G541" s="100">
        <v>815.27967539133078</v>
      </c>
      <c r="H541" s="100">
        <v>195.40928184849804</v>
      </c>
      <c r="I541" s="100">
        <v>-125.06368890495878</v>
      </c>
      <c r="J541" s="100">
        <v>780.22903053007303</v>
      </c>
    </row>
    <row r="542" spans="1:10" x14ac:dyDescent="0.25">
      <c r="A542">
        <v>525</v>
      </c>
      <c r="B542" s="100">
        <v>90.046166712762911</v>
      </c>
      <c r="C542" s="100">
        <v>98.633359467412589</v>
      </c>
      <c r="D542" s="100">
        <v>93.443293457747586</v>
      </c>
      <c r="E542" s="100">
        <v>93.993303262593912</v>
      </c>
      <c r="F542" s="100">
        <v>-1625.3335484080778</v>
      </c>
      <c r="G542" s="100">
        <v>-635.20494117570797</v>
      </c>
      <c r="H542" s="100">
        <v>-1254.4267045219613</v>
      </c>
      <c r="I542" s="100">
        <v>-612.66360789268504</v>
      </c>
      <c r="J542" s="100">
        <v>-4127.6288019984322</v>
      </c>
    </row>
    <row r="543" spans="1:10" x14ac:dyDescent="0.25">
      <c r="A543">
        <v>526</v>
      </c>
      <c r="B543" s="100">
        <v>89.778388268484534</v>
      </c>
      <c r="C543" s="100">
        <v>98.989222898915557</v>
      </c>
      <c r="D543" s="100">
        <v>92.509782339542951</v>
      </c>
      <c r="E543" s="100">
        <v>92.837926972731296</v>
      </c>
      <c r="F543" s="100">
        <v>-741.66468228943222</v>
      </c>
      <c r="G543" s="100">
        <v>-1169.0000884301596</v>
      </c>
      <c r="H543" s="100">
        <v>612.5955318873082</v>
      </c>
      <c r="I543" s="100">
        <v>542.71268196993105</v>
      </c>
      <c r="J543" s="100">
        <v>-755.35655686235259</v>
      </c>
    </row>
    <row r="544" spans="1:10" x14ac:dyDescent="0.25">
      <c r="A544">
        <v>527</v>
      </c>
      <c r="B544" s="100">
        <v>90.272037497485783</v>
      </c>
      <c r="C544" s="100">
        <v>100.03399686082672</v>
      </c>
      <c r="D544" s="100">
        <v>91.034542977005032</v>
      </c>
      <c r="E544" s="100">
        <v>95.524586182810992</v>
      </c>
      <c r="F544" s="100">
        <v>-2370.7071379935555</v>
      </c>
      <c r="G544" s="100">
        <v>-2736.1610312969019</v>
      </c>
      <c r="H544" s="100">
        <v>3563.0742569631479</v>
      </c>
      <c r="I544" s="100">
        <v>-2143.9465281097655</v>
      </c>
      <c r="J544" s="100">
        <v>-3687.740440437075</v>
      </c>
    </row>
    <row r="545" spans="1:10" x14ac:dyDescent="0.25">
      <c r="A545">
        <v>528</v>
      </c>
      <c r="B545" s="100">
        <v>89.206515453553337</v>
      </c>
      <c r="C545" s="100">
        <v>97.226157062010969</v>
      </c>
      <c r="D545" s="100">
        <v>90.894069097889016</v>
      </c>
      <c r="E545" s="100">
        <v>91.184450994175577</v>
      </c>
      <c r="F545" s="100">
        <v>1145.5156069835184</v>
      </c>
      <c r="G545" s="100">
        <v>1475.5986669267215</v>
      </c>
      <c r="H545" s="100">
        <v>3844.0220151951789</v>
      </c>
      <c r="I545" s="100">
        <v>2196.1886605256495</v>
      </c>
      <c r="J545" s="100">
        <v>8661.3249496310673</v>
      </c>
    </row>
    <row r="546" spans="1:10" x14ac:dyDescent="0.25">
      <c r="A546">
        <v>529</v>
      </c>
      <c r="B546" s="100">
        <v>89.925294119215081</v>
      </c>
      <c r="C546" s="100">
        <v>97.330416843987607</v>
      </c>
      <c r="D546" s="100">
        <v>92.557621954053289</v>
      </c>
      <c r="E546" s="100">
        <v>92.662548001621516</v>
      </c>
      <c r="F546" s="100">
        <v>-1226.4539897002394</v>
      </c>
      <c r="G546" s="100">
        <v>1319.2089939617658</v>
      </c>
      <c r="H546" s="100">
        <v>516.91630286663326</v>
      </c>
      <c r="I546" s="100">
        <v>718.09165307971057</v>
      </c>
      <c r="J546" s="100">
        <v>1327.7629602078703</v>
      </c>
    </row>
    <row r="547" spans="1:10" x14ac:dyDescent="0.25">
      <c r="A547">
        <v>530</v>
      </c>
      <c r="B547" s="100">
        <v>89.517131198735015</v>
      </c>
      <c r="C547" s="100">
        <v>97.432786402887373</v>
      </c>
      <c r="D547" s="100">
        <v>92.054517588214736</v>
      </c>
      <c r="E547" s="100">
        <v>92.677269984461915</v>
      </c>
      <c r="F547" s="100">
        <v>120.48364788397947</v>
      </c>
      <c r="G547" s="100">
        <v>1165.6546556121157</v>
      </c>
      <c r="H547" s="100">
        <v>1523.1250345437388</v>
      </c>
      <c r="I547" s="100">
        <v>703.36967023931152</v>
      </c>
      <c r="J547" s="100">
        <v>3512.6330082791455</v>
      </c>
    </row>
    <row r="548" spans="1:10" x14ac:dyDescent="0.25">
      <c r="A548">
        <v>531</v>
      </c>
      <c r="B548" s="100">
        <v>89.938775957880054</v>
      </c>
      <c r="C548" s="100">
        <v>96.893323428898213</v>
      </c>
      <c r="D548" s="100">
        <v>92.691264050428416</v>
      </c>
      <c r="E548" s="100">
        <v>92.884930257524445</v>
      </c>
      <c r="F548" s="100">
        <v>-1270.9440572946492</v>
      </c>
      <c r="G548" s="100">
        <v>1974.8491165958555</v>
      </c>
      <c r="H548" s="100">
        <v>249.63211011638009</v>
      </c>
      <c r="I548" s="100">
        <v>495.70939717678186</v>
      </c>
      <c r="J548" s="100">
        <v>1449.2465665943682</v>
      </c>
    </row>
    <row r="549" spans="1:10" x14ac:dyDescent="0.25">
      <c r="A549">
        <v>532</v>
      </c>
      <c r="B549" s="100">
        <v>88.880183355963538</v>
      </c>
      <c r="C549" s="100">
        <v>97.106088095407983</v>
      </c>
      <c r="D549" s="100">
        <v>90.456907908504931</v>
      </c>
      <c r="E549" s="100">
        <v>91.427850501414639</v>
      </c>
      <c r="F549" s="100">
        <v>2222.4115290298528</v>
      </c>
      <c r="G549" s="100">
        <v>1655.7021168312006</v>
      </c>
      <c r="H549" s="100">
        <v>4718.3443939633489</v>
      </c>
      <c r="I549" s="100">
        <v>1952.7891532865879</v>
      </c>
      <c r="J549" s="100">
        <v>10549.24719311099</v>
      </c>
    </row>
    <row r="550" spans="1:10" x14ac:dyDescent="0.25">
      <c r="A550">
        <v>533</v>
      </c>
      <c r="B550" s="100">
        <v>90.039842944068567</v>
      </c>
      <c r="C550" s="100">
        <v>98.890761503524075</v>
      </c>
      <c r="D550" s="100">
        <v>89.366554319034819</v>
      </c>
      <c r="E550" s="100">
        <v>95.362880750428886</v>
      </c>
      <c r="F550" s="100">
        <v>-1604.4651117167432</v>
      </c>
      <c r="G550" s="100">
        <v>-1021.3079953429371</v>
      </c>
      <c r="H550" s="100">
        <v>6899.0515729035733</v>
      </c>
      <c r="I550" s="100">
        <v>-1982.2410957276588</v>
      </c>
      <c r="J550" s="100">
        <v>2291.0373701162343</v>
      </c>
    </row>
    <row r="551" spans="1:10" x14ac:dyDescent="0.25">
      <c r="A551">
        <v>534</v>
      </c>
      <c r="B551" s="100">
        <v>90.010610093201976</v>
      </c>
      <c r="C551" s="100">
        <v>97.967208850337911</v>
      </c>
      <c r="D551" s="100">
        <v>93.226475578395977</v>
      </c>
      <c r="E551" s="100">
        <v>94.441157800871522</v>
      </c>
      <c r="F551" s="100">
        <v>-1507.9967038569905</v>
      </c>
      <c r="G551" s="100">
        <v>364.02098443630848</v>
      </c>
      <c r="H551" s="100">
        <v>-820.79094581874301</v>
      </c>
      <c r="I551" s="100">
        <v>-1060.5181461702955</v>
      </c>
      <c r="J551" s="100">
        <v>-3025.2848114097205</v>
      </c>
    </row>
    <row r="552" spans="1:10" x14ac:dyDescent="0.25">
      <c r="A552">
        <v>535</v>
      </c>
      <c r="B552" s="100">
        <v>89.897063047091194</v>
      </c>
      <c r="C552" s="100">
        <v>98.576338994578492</v>
      </c>
      <c r="D552" s="100">
        <v>93.146283522280683</v>
      </c>
      <c r="E552" s="100">
        <v>96.349818410081824</v>
      </c>
      <c r="F552" s="100">
        <v>-1133.2914516914116</v>
      </c>
      <c r="G552" s="100">
        <v>-549.67423192456272</v>
      </c>
      <c r="H552" s="100">
        <v>-660.406833588155</v>
      </c>
      <c r="I552" s="100">
        <v>-2969.1787553805966</v>
      </c>
      <c r="J552" s="100">
        <v>-5312.5512725847257</v>
      </c>
    </row>
    <row r="553" spans="1:10" x14ac:dyDescent="0.25">
      <c r="A553">
        <v>536</v>
      </c>
      <c r="B553" s="100">
        <v>89.671985456555177</v>
      </c>
      <c r="C553" s="100">
        <v>97.789222496381612</v>
      </c>
      <c r="D553" s="100">
        <v>91.500537636801894</v>
      </c>
      <c r="E553" s="100">
        <v>95.287759510360189</v>
      </c>
      <c r="F553" s="100">
        <v>-390.53540292255491</v>
      </c>
      <c r="G553" s="100">
        <v>631.00051537075785</v>
      </c>
      <c r="H553" s="100">
        <v>2631.0849373694227</v>
      </c>
      <c r="I553" s="100">
        <v>-1907.119855658962</v>
      </c>
      <c r="J553" s="100">
        <v>964.43019415866365</v>
      </c>
    </row>
    <row r="554" spans="1:10" x14ac:dyDescent="0.25">
      <c r="A554">
        <v>537</v>
      </c>
      <c r="B554" s="100">
        <v>90.520512575181968</v>
      </c>
      <c r="C554" s="100">
        <v>97.100177102660084</v>
      </c>
      <c r="D554" s="100">
        <v>93.58354078051002</v>
      </c>
      <c r="E554" s="100">
        <v>94.707591707547707</v>
      </c>
      <c r="F554" s="100">
        <v>-3190.6748943909647</v>
      </c>
      <c r="G554" s="100">
        <v>1664.5686059530503</v>
      </c>
      <c r="H554" s="100">
        <v>-1534.9213500468295</v>
      </c>
      <c r="I554" s="100">
        <v>-1326.9520528464795</v>
      </c>
      <c r="J554" s="100">
        <v>-4387.9796913312239</v>
      </c>
    </row>
    <row r="555" spans="1:10" x14ac:dyDescent="0.25">
      <c r="A555">
        <v>538</v>
      </c>
      <c r="B555" s="100">
        <v>89.451909084085472</v>
      </c>
      <c r="C555" s="100">
        <v>97.879118165020571</v>
      </c>
      <c r="D555" s="100">
        <v>93.229247276333368</v>
      </c>
      <c r="E555" s="100">
        <v>93.820678946336201</v>
      </c>
      <c r="F555" s="100">
        <v>335.71662622747311</v>
      </c>
      <c r="G555" s="100">
        <v>496.15701241231847</v>
      </c>
      <c r="H555" s="100">
        <v>-826.33434169352427</v>
      </c>
      <c r="I555" s="100">
        <v>-440.03929163497446</v>
      </c>
      <c r="J555" s="100">
        <v>-434.49999468870715</v>
      </c>
    </row>
    <row r="556" spans="1:10" x14ac:dyDescent="0.25">
      <c r="A556">
        <v>539</v>
      </c>
      <c r="B556" s="100">
        <v>89.549797508119681</v>
      </c>
      <c r="C556" s="100">
        <v>98.169180656808521</v>
      </c>
      <c r="D556" s="100">
        <v>92.346187338159723</v>
      </c>
      <c r="E556" s="100">
        <v>93.997764149582807</v>
      </c>
      <c r="F556" s="100">
        <v>12.684826914581038</v>
      </c>
      <c r="G556" s="100">
        <v>61.063274730393857</v>
      </c>
      <c r="H556" s="100">
        <v>939.78553465376535</v>
      </c>
      <c r="I556" s="100">
        <v>-617.12449488157972</v>
      </c>
      <c r="J556" s="100">
        <v>396.40914141716053</v>
      </c>
    </row>
    <row r="557" spans="1:10" x14ac:dyDescent="0.25">
      <c r="A557">
        <v>540</v>
      </c>
      <c r="B557" s="100">
        <v>88.700446196549478</v>
      </c>
      <c r="C557" s="100">
        <v>98.137298631205496</v>
      </c>
      <c r="D557" s="100">
        <v>92.219456596832202</v>
      </c>
      <c r="E557" s="100">
        <v>92.209564412871984</v>
      </c>
      <c r="F557" s="100">
        <v>2815.5441550962505</v>
      </c>
      <c r="G557" s="100">
        <v>108.88631313493136</v>
      </c>
      <c r="H557" s="100">
        <v>1193.2470173088063</v>
      </c>
      <c r="I557" s="100">
        <v>1171.0752418292429</v>
      </c>
      <c r="J557" s="100">
        <v>5288.7527273692313</v>
      </c>
    </row>
    <row r="558" spans="1:10" x14ac:dyDescent="0.25">
      <c r="A558">
        <v>541</v>
      </c>
      <c r="B558" s="100">
        <v>88.779826384156181</v>
      </c>
      <c r="C558" s="100">
        <v>99.30963752805657</v>
      </c>
      <c r="D558" s="100">
        <v>93.400235909276304</v>
      </c>
      <c r="E558" s="100">
        <v>92.531395235591418</v>
      </c>
      <c r="F558" s="100">
        <v>2553.5895359941337</v>
      </c>
      <c r="G558" s="100">
        <v>-1649.6220321416786</v>
      </c>
      <c r="H558" s="100">
        <v>-1168.3116075793976</v>
      </c>
      <c r="I558" s="100">
        <v>849.24441910980875</v>
      </c>
      <c r="J558" s="100">
        <v>584.90031538286632</v>
      </c>
    </row>
    <row r="559" spans="1:10" x14ac:dyDescent="0.25">
      <c r="A559">
        <v>542</v>
      </c>
      <c r="B559" s="100">
        <v>88.58636676714147</v>
      </c>
      <c r="C559" s="100">
        <v>97.078681699282299</v>
      </c>
      <c r="D559" s="100">
        <v>92.527283301885589</v>
      </c>
      <c r="E559" s="100">
        <v>93.355139928868923</v>
      </c>
      <c r="F559" s="100">
        <v>3192.0062721426775</v>
      </c>
      <c r="G559" s="100">
        <v>1696.811711019727</v>
      </c>
      <c r="H559" s="100">
        <v>577.5936072020329</v>
      </c>
      <c r="I559" s="100">
        <v>25.499725832304421</v>
      </c>
      <c r="J559" s="100">
        <v>5491.9113161967425</v>
      </c>
    </row>
    <row r="560" spans="1:10" x14ac:dyDescent="0.25">
      <c r="A560">
        <v>543</v>
      </c>
      <c r="B560" s="100">
        <v>89.762590261918234</v>
      </c>
      <c r="C560" s="100">
        <v>99.309341944651237</v>
      </c>
      <c r="D560" s="100">
        <v>93.127769568990246</v>
      </c>
      <c r="E560" s="100">
        <v>94.052309929865586</v>
      </c>
      <c r="F560" s="100">
        <v>-689.53126062064314</v>
      </c>
      <c r="G560" s="100">
        <v>-1649.1786570336799</v>
      </c>
      <c r="H560" s="100">
        <v>-623.37892700728048</v>
      </c>
      <c r="I560" s="100">
        <v>-671.67027516435951</v>
      </c>
      <c r="J560" s="100">
        <v>-3633.7591198259634</v>
      </c>
    </row>
    <row r="561" spans="1:10" x14ac:dyDescent="0.25">
      <c r="A561">
        <v>544</v>
      </c>
      <c r="B561" s="100">
        <v>90.069172829214907</v>
      </c>
      <c r="C561" s="100">
        <v>97.538224854903149</v>
      </c>
      <c r="D561" s="100">
        <v>92.289877492071497</v>
      </c>
      <c r="E561" s="100">
        <v>95.08023693231307</v>
      </c>
      <c r="F561" s="100">
        <v>-1701.2537326996621</v>
      </c>
      <c r="G561" s="100">
        <v>1007.4969775884526</v>
      </c>
      <c r="H561" s="100">
        <v>1052.4052268302171</v>
      </c>
      <c r="I561" s="100">
        <v>-1699.5972776118435</v>
      </c>
      <c r="J561" s="100">
        <v>-1340.9488058928359</v>
      </c>
    </row>
    <row r="562" spans="1:10" x14ac:dyDescent="0.25">
      <c r="A562">
        <v>545</v>
      </c>
      <c r="B562" s="100">
        <v>89.756424136382961</v>
      </c>
      <c r="C562" s="100">
        <v>98.018022318598739</v>
      </c>
      <c r="D562" s="100">
        <v>91.189475984033038</v>
      </c>
      <c r="E562" s="100">
        <v>92.13946631583913</v>
      </c>
      <c r="F562" s="100">
        <v>-669.1830463542417</v>
      </c>
      <c r="G562" s="100">
        <v>287.80078204506765</v>
      </c>
      <c r="H562" s="100">
        <v>3253.2082429071352</v>
      </c>
      <c r="I562" s="100">
        <v>1241.1733388620974</v>
      </c>
      <c r="J562" s="100">
        <v>4112.9993174600586</v>
      </c>
    </row>
    <row r="563" spans="1:10" x14ac:dyDescent="0.25">
      <c r="A563">
        <v>546</v>
      </c>
      <c r="B563" s="100">
        <v>89.766032856439153</v>
      </c>
      <c r="C563" s="100">
        <v>98.329593102381779</v>
      </c>
      <c r="D563" s="100">
        <v>92.911236142863771</v>
      </c>
      <c r="E563" s="100">
        <v>93.821992349711223</v>
      </c>
      <c r="F563" s="100">
        <v>-700.89182253967692</v>
      </c>
      <c r="G563" s="100">
        <v>-179.55539362949224</v>
      </c>
      <c r="H563" s="100">
        <v>-190.31207475433121</v>
      </c>
      <c r="I563" s="100">
        <v>-441.35269500999641</v>
      </c>
      <c r="J563" s="100">
        <v>-1512.1119859334967</v>
      </c>
    </row>
    <row r="564" spans="1:10" x14ac:dyDescent="0.25">
      <c r="A564">
        <v>547</v>
      </c>
      <c r="B564" s="100">
        <v>89.521875754093188</v>
      </c>
      <c r="C564" s="100">
        <v>97.623790974534074</v>
      </c>
      <c r="D564" s="100">
        <v>94.080935635375099</v>
      </c>
      <c r="E564" s="100">
        <v>94.865242077869624</v>
      </c>
      <c r="F564" s="100">
        <v>104.82661520201049</v>
      </c>
      <c r="G564" s="100">
        <v>879.14779814206418</v>
      </c>
      <c r="H564" s="100">
        <v>-2529.7110597769861</v>
      </c>
      <c r="I564" s="100">
        <v>-1484.6024231683969</v>
      </c>
      <c r="J564" s="100">
        <v>-3030.3390696013084</v>
      </c>
    </row>
    <row r="565" spans="1:10" x14ac:dyDescent="0.25">
      <c r="A565">
        <v>548</v>
      </c>
      <c r="B565" s="100">
        <v>89.99458661465431</v>
      </c>
      <c r="C565" s="100">
        <v>99.018798125315598</v>
      </c>
      <c r="D565" s="100">
        <v>93.698551798348461</v>
      </c>
      <c r="E565" s="100">
        <v>92.347447261270261</v>
      </c>
      <c r="F565" s="100">
        <v>-1455.1192246496926</v>
      </c>
      <c r="G565" s="100">
        <v>-1213.3629280302216</v>
      </c>
      <c r="H565" s="100">
        <v>-1764.9433857237113</v>
      </c>
      <c r="I565" s="100">
        <v>1033.1923934309657</v>
      </c>
      <c r="J565" s="100">
        <v>-3400.2331449726603</v>
      </c>
    </row>
    <row r="566" spans="1:10" x14ac:dyDescent="0.25">
      <c r="A566">
        <v>549</v>
      </c>
      <c r="B566" s="100">
        <v>90.134062086697767</v>
      </c>
      <c r="C566" s="100">
        <v>98.148523781460781</v>
      </c>
      <c r="D566" s="100">
        <v>93.584239253507974</v>
      </c>
      <c r="E566" s="100">
        <v>94.842423546077924</v>
      </c>
      <c r="F566" s="100">
        <v>-1915.3882823931028</v>
      </c>
      <c r="G566" s="100">
        <v>92.048587752003641</v>
      </c>
      <c r="H566" s="100">
        <v>-1536.3182960427366</v>
      </c>
      <c r="I566" s="100">
        <v>-1461.7838913766973</v>
      </c>
      <c r="J566" s="100">
        <v>-4821.4418820605333</v>
      </c>
    </row>
    <row r="567" spans="1:10" x14ac:dyDescent="0.25">
      <c r="A567">
        <v>550</v>
      </c>
      <c r="B567" s="100">
        <v>89.825346579670523</v>
      </c>
      <c r="C567" s="100">
        <v>98.013298775460797</v>
      </c>
      <c r="D567" s="100">
        <v>91.994977501150998</v>
      </c>
      <c r="E567" s="100">
        <v>94.170627774367887</v>
      </c>
      <c r="F567" s="100">
        <v>-896.62710920319591</v>
      </c>
      <c r="G567" s="100">
        <v>294.88609675198063</v>
      </c>
      <c r="H567" s="100">
        <v>1642.2052086712142</v>
      </c>
      <c r="I567" s="100">
        <v>-789.98811966665983</v>
      </c>
      <c r="J567" s="100">
        <v>250.47607655333911</v>
      </c>
    </row>
    <row r="568" spans="1:10" x14ac:dyDescent="0.25">
      <c r="A568">
        <v>551</v>
      </c>
      <c r="B568" s="100">
        <v>89.564819740392579</v>
      </c>
      <c r="C568" s="100">
        <v>98.656639975238235</v>
      </c>
      <c r="D568" s="100">
        <v>92.986126331559603</v>
      </c>
      <c r="E568" s="100">
        <v>90.705805752622567</v>
      </c>
      <c r="F568" s="100">
        <v>-36.888539585982016</v>
      </c>
      <c r="G568" s="100">
        <v>-670.12570291417717</v>
      </c>
      <c r="H568" s="100">
        <v>-340.09245214599559</v>
      </c>
      <c r="I568" s="100">
        <v>2674.8339020786602</v>
      </c>
      <c r="J568" s="100">
        <v>1627.7272074325056</v>
      </c>
    </row>
    <row r="569" spans="1:10" x14ac:dyDescent="0.25">
      <c r="A569">
        <v>552</v>
      </c>
      <c r="B569" s="100">
        <v>89.873887646728107</v>
      </c>
      <c r="C569" s="100">
        <v>97.943445656466139</v>
      </c>
      <c r="D569" s="100">
        <v>92.918971818337894</v>
      </c>
      <c r="E569" s="100">
        <v>94.508647627328827</v>
      </c>
      <c r="F569" s="100">
        <v>-1056.812630493225</v>
      </c>
      <c r="G569" s="100">
        <v>399.6657752439674</v>
      </c>
      <c r="H569" s="100">
        <v>-205.78342570257746</v>
      </c>
      <c r="I569" s="100">
        <v>-1128.0079726275999</v>
      </c>
      <c r="J569" s="100">
        <v>-1990.938253579435</v>
      </c>
    </row>
    <row r="570" spans="1:10" x14ac:dyDescent="0.25">
      <c r="A570">
        <v>553</v>
      </c>
      <c r="B570" s="100">
        <v>89.112333845442038</v>
      </c>
      <c r="C570" s="100">
        <v>98.418290701948834</v>
      </c>
      <c r="D570" s="100">
        <v>92.757243896111802</v>
      </c>
      <c r="E570" s="100">
        <v>93.880396721353762</v>
      </c>
      <c r="F570" s="100">
        <v>1456.3149137508049</v>
      </c>
      <c r="G570" s="100">
        <v>-312.60179298007529</v>
      </c>
      <c r="H570" s="100">
        <v>117.67241874960632</v>
      </c>
      <c r="I570" s="100">
        <v>-499.75706665253483</v>
      </c>
      <c r="J570" s="100">
        <v>761.62847286780107</v>
      </c>
    </row>
    <row r="571" spans="1:10" x14ac:dyDescent="0.25">
      <c r="A571">
        <v>554</v>
      </c>
      <c r="B571" s="100">
        <v>89.306752247531463</v>
      </c>
      <c r="C571" s="100">
        <v>98.067748024055263</v>
      </c>
      <c r="D571" s="100">
        <v>90.720553025984927</v>
      </c>
      <c r="E571" s="100">
        <v>94.802791547507312</v>
      </c>
      <c r="F571" s="100">
        <v>814.73418685570073</v>
      </c>
      <c r="G571" s="100">
        <v>213.21222386028182</v>
      </c>
      <c r="H571" s="100">
        <v>4191.0541590033572</v>
      </c>
      <c r="I571" s="100">
        <v>-1422.1518928060846</v>
      </c>
      <c r="J571" s="100">
        <v>3796.8486769132546</v>
      </c>
    </row>
    <row r="572" spans="1:10" x14ac:dyDescent="0.25">
      <c r="A572">
        <v>555</v>
      </c>
      <c r="B572" s="100">
        <v>89.749907044186628</v>
      </c>
      <c r="C572" s="100">
        <v>98.028352047973968</v>
      </c>
      <c r="D572" s="100">
        <v>92.153038707915826</v>
      </c>
      <c r="E572" s="100">
        <v>90.581543078339479</v>
      </c>
      <c r="F572" s="100">
        <v>-647.67664210634302</v>
      </c>
      <c r="G572" s="100">
        <v>272.30618798222395</v>
      </c>
      <c r="H572" s="100">
        <v>1326.0827951415592</v>
      </c>
      <c r="I572" s="100">
        <v>2799.0965763617482</v>
      </c>
      <c r="J572" s="100">
        <v>3749.8089173791886</v>
      </c>
    </row>
    <row r="573" spans="1:10" x14ac:dyDescent="0.25">
      <c r="A573">
        <v>556</v>
      </c>
      <c r="B573" s="100">
        <v>89.141286950069599</v>
      </c>
      <c r="C573" s="100">
        <v>100.82532485634511</v>
      </c>
      <c r="D573" s="100">
        <v>93.000724105573184</v>
      </c>
      <c r="E573" s="100">
        <v>93.491557351039873</v>
      </c>
      <c r="F573" s="100">
        <v>1360.7696684798525</v>
      </c>
      <c r="G573" s="100">
        <v>-3923.1530245744821</v>
      </c>
      <c r="H573" s="100">
        <v>-369.28800017315666</v>
      </c>
      <c r="I573" s="100">
        <v>-110.91769633864601</v>
      </c>
      <c r="J573" s="100">
        <v>-3042.5890526064322</v>
      </c>
    </row>
    <row r="574" spans="1:10" x14ac:dyDescent="0.25">
      <c r="A574">
        <v>557</v>
      </c>
      <c r="B574" s="100">
        <v>89.28019272276984</v>
      </c>
      <c r="C574" s="100">
        <v>97.963654293925231</v>
      </c>
      <c r="D574" s="100">
        <v>91.898042895099579</v>
      </c>
      <c r="E574" s="100">
        <v>94.168755183633579</v>
      </c>
      <c r="F574" s="100">
        <v>902.38061856905745</v>
      </c>
      <c r="G574" s="100">
        <v>369.35281905532946</v>
      </c>
      <c r="H574" s="100">
        <v>1836.0744207740538</v>
      </c>
      <c r="I574" s="100">
        <v>-788.11552893235159</v>
      </c>
      <c r="J574" s="100">
        <v>2319.6923294660892</v>
      </c>
    </row>
    <row r="575" spans="1:10" x14ac:dyDescent="0.25">
      <c r="A575">
        <v>558</v>
      </c>
      <c r="B575" s="100">
        <v>89.725977119473754</v>
      </c>
      <c r="C575" s="100">
        <v>99.064223408834692</v>
      </c>
      <c r="D575" s="100">
        <v>92.959753081350854</v>
      </c>
      <c r="E575" s="100">
        <v>91.105730277802877</v>
      </c>
      <c r="F575" s="100">
        <v>-568.70789055385842</v>
      </c>
      <c r="G575" s="100">
        <v>-1281.500853308863</v>
      </c>
      <c r="H575" s="100">
        <v>-287.34595172849708</v>
      </c>
      <c r="I575" s="100">
        <v>2274.9093768983498</v>
      </c>
      <c r="J575" s="100">
        <v>137.35468130713116</v>
      </c>
    </row>
    <row r="576" spans="1:10" x14ac:dyDescent="0.25">
      <c r="A576">
        <v>559</v>
      </c>
      <c r="B576" s="100">
        <v>88.930649083654217</v>
      </c>
      <c r="C576" s="100">
        <v>96.89386058253686</v>
      </c>
      <c r="D576" s="100">
        <v>93.405993464015538</v>
      </c>
      <c r="E576" s="100">
        <v>93.834080510657415</v>
      </c>
      <c r="F576" s="100">
        <v>2055.874627650614</v>
      </c>
      <c r="G576" s="100">
        <v>1974.043386137886</v>
      </c>
      <c r="H576" s="100">
        <v>-1179.826717057864</v>
      </c>
      <c r="I576" s="100">
        <v>-453.44085595618822</v>
      </c>
      <c r="J576" s="100">
        <v>2396.6504407744478</v>
      </c>
    </row>
    <row r="577" spans="1:10" x14ac:dyDescent="0.25">
      <c r="A577">
        <v>560</v>
      </c>
      <c r="B577" s="100">
        <v>90.662337365060424</v>
      </c>
      <c r="C577" s="100">
        <v>98.65307089703515</v>
      </c>
      <c r="D577" s="100">
        <v>93.032167721756622</v>
      </c>
      <c r="E577" s="100">
        <v>91.903780941359841</v>
      </c>
      <c r="F577" s="100">
        <v>-3658.6967009898685</v>
      </c>
      <c r="G577" s="100">
        <v>-664.77208560954887</v>
      </c>
      <c r="H577" s="100">
        <v>-432.17523254003254</v>
      </c>
      <c r="I577" s="100">
        <v>1476.858713341386</v>
      </c>
      <c r="J577" s="100">
        <v>-3278.7853057980647</v>
      </c>
    </row>
    <row r="578" spans="1:10" x14ac:dyDescent="0.25">
      <c r="A578">
        <v>561</v>
      </c>
      <c r="B578" s="100">
        <v>89.30962537916038</v>
      </c>
      <c r="C578" s="100">
        <v>99.011897207973291</v>
      </c>
      <c r="D578" s="100">
        <v>90.744214465099134</v>
      </c>
      <c r="E578" s="100">
        <v>97.406656716507044</v>
      </c>
      <c r="F578" s="100">
        <v>805.25285248027535</v>
      </c>
      <c r="G578" s="100">
        <v>-1203.0115520167612</v>
      </c>
      <c r="H578" s="100">
        <v>4143.731280774944</v>
      </c>
      <c r="I578" s="100">
        <v>-4026.0170618058169</v>
      </c>
      <c r="J578" s="100">
        <v>-280.04448056735873</v>
      </c>
    </row>
    <row r="579" spans="1:10" x14ac:dyDescent="0.25">
      <c r="A579">
        <v>562</v>
      </c>
      <c r="B579" s="100">
        <v>90.006306358150781</v>
      </c>
      <c r="C579" s="100">
        <v>99.517161914662807</v>
      </c>
      <c r="D579" s="100">
        <v>92.866431566599502</v>
      </c>
      <c r="E579" s="100">
        <v>94.12236574976275</v>
      </c>
      <c r="F579" s="100">
        <v>-1493.7943781880463</v>
      </c>
      <c r="G579" s="100">
        <v>-1960.9086120510356</v>
      </c>
      <c r="H579" s="100">
        <v>-100.70292222579269</v>
      </c>
      <c r="I579" s="100">
        <v>-741.72609506152298</v>
      </c>
      <c r="J579" s="100">
        <v>-4297.1320075263975</v>
      </c>
    </row>
    <row r="580" spans="1:10" x14ac:dyDescent="0.25">
      <c r="A580">
        <v>563</v>
      </c>
      <c r="B580" s="100">
        <v>89.38329234718735</v>
      </c>
      <c r="C580" s="100">
        <v>98.834806271622412</v>
      </c>
      <c r="D580" s="100">
        <v>92.029157441217009</v>
      </c>
      <c r="E580" s="100">
        <v>96.018295838310053</v>
      </c>
      <c r="F580" s="100">
        <v>562.15185799127448</v>
      </c>
      <c r="G580" s="100">
        <v>-937.37514749044237</v>
      </c>
      <c r="H580" s="100">
        <v>1573.8453285391927</v>
      </c>
      <c r="I580" s="100">
        <v>-2637.6561836088258</v>
      </c>
      <c r="J580" s="100">
        <v>-1439.0341445688009</v>
      </c>
    </row>
    <row r="581" spans="1:10" x14ac:dyDescent="0.25">
      <c r="A581">
        <v>564</v>
      </c>
      <c r="B581" s="100">
        <v>89.939194610645885</v>
      </c>
      <c r="C581" s="100">
        <v>98.285598419216967</v>
      </c>
      <c r="D581" s="100">
        <v>92.716859731047521</v>
      </c>
      <c r="E581" s="100">
        <v>95.373763932187131</v>
      </c>
      <c r="F581" s="100">
        <v>-1272.3256114218898</v>
      </c>
      <c r="G581" s="100">
        <v>-113.56336888227503</v>
      </c>
      <c r="H581" s="100">
        <v>198.44074887816987</v>
      </c>
      <c r="I581" s="100">
        <v>-1993.1242774859043</v>
      </c>
      <c r="J581" s="100">
        <v>-3180.5725089118991</v>
      </c>
    </row>
    <row r="582" spans="1:10" x14ac:dyDescent="0.25">
      <c r="A582">
        <v>565</v>
      </c>
      <c r="B582" s="100">
        <v>89.572180994257366</v>
      </c>
      <c r="C582" s="100">
        <v>98.851630610000072</v>
      </c>
      <c r="D582" s="100">
        <v>94.545811116544243</v>
      </c>
      <c r="E582" s="100">
        <v>93.332907984999551</v>
      </c>
      <c r="F582" s="100">
        <v>-61.18067733977739</v>
      </c>
      <c r="G582" s="100">
        <v>-962.61165505693214</v>
      </c>
      <c r="H582" s="100">
        <v>-3459.4620221152754</v>
      </c>
      <c r="I582" s="100">
        <v>47.731669701676083</v>
      </c>
      <c r="J582" s="100">
        <v>-4435.5226848103093</v>
      </c>
    </row>
    <row r="583" spans="1:10" x14ac:dyDescent="0.25">
      <c r="A583">
        <v>566</v>
      </c>
      <c r="B583" s="100">
        <v>89.360308347539046</v>
      </c>
      <c r="C583" s="100">
        <v>98.376372006145644</v>
      </c>
      <c r="D583" s="100">
        <v>92.585875572476908</v>
      </c>
      <c r="E583" s="100">
        <v>96.923173258392893</v>
      </c>
      <c r="F583" s="100">
        <v>637.99905683067664</v>
      </c>
      <c r="G583" s="100">
        <v>-249.72374927529017</v>
      </c>
      <c r="H583" s="100">
        <v>460.40906601939469</v>
      </c>
      <c r="I583" s="100">
        <v>-3542.533603691666</v>
      </c>
      <c r="J583" s="100">
        <v>-2693.8492301168849</v>
      </c>
    </row>
    <row r="584" spans="1:10" x14ac:dyDescent="0.25">
      <c r="A584">
        <v>567</v>
      </c>
      <c r="B584" s="100">
        <v>89.514265867659134</v>
      </c>
      <c r="C584" s="100">
        <v>98.176178986699696</v>
      </c>
      <c r="D584" s="100">
        <v>94.751142055086973</v>
      </c>
      <c r="E584" s="100">
        <v>91.828997587451084</v>
      </c>
      <c r="F584" s="100">
        <v>129.93924043438767</v>
      </c>
      <c r="G584" s="100">
        <v>50.565779893631202</v>
      </c>
      <c r="H584" s="100">
        <v>-3870.1238992007347</v>
      </c>
      <c r="I584" s="100">
        <v>1551.6420672501426</v>
      </c>
      <c r="J584" s="100">
        <v>-2137.9768116225732</v>
      </c>
    </row>
    <row r="585" spans="1:10" x14ac:dyDescent="0.25">
      <c r="A585">
        <v>568</v>
      </c>
      <c r="B585" s="100">
        <v>90.201913671243162</v>
      </c>
      <c r="C585" s="100">
        <v>98.490441105439245</v>
      </c>
      <c r="D585" s="100">
        <v>92.340470529325273</v>
      </c>
      <c r="E585" s="100">
        <v>93.863485624016192</v>
      </c>
      <c r="F585" s="100">
        <v>-2139.2985113929044</v>
      </c>
      <c r="G585" s="100">
        <v>-420.82739821569248</v>
      </c>
      <c r="H585" s="100">
        <v>951.21915232266474</v>
      </c>
      <c r="I585" s="100">
        <v>-482.84596931496537</v>
      </c>
      <c r="J585" s="100">
        <v>-2091.7527266008974</v>
      </c>
    </row>
    <row r="586" spans="1:10" x14ac:dyDescent="0.25">
      <c r="A586">
        <v>569</v>
      </c>
      <c r="B586" s="100">
        <v>89.472079006892557</v>
      </c>
      <c r="C586" s="100">
        <v>98.53427633433509</v>
      </c>
      <c r="D586" s="100">
        <v>92.300131442422739</v>
      </c>
      <c r="E586" s="100">
        <v>92.62849705173123</v>
      </c>
      <c r="F586" s="100">
        <v>269.15588096409238</v>
      </c>
      <c r="G586" s="100">
        <v>-486.58024155945867</v>
      </c>
      <c r="H586" s="100">
        <v>1031.8973261277335</v>
      </c>
      <c r="I586" s="100">
        <v>752.14260296999669</v>
      </c>
      <c r="J586" s="100">
        <v>1566.6155685023639</v>
      </c>
    </row>
    <row r="587" spans="1:10" x14ac:dyDescent="0.25">
      <c r="A587">
        <v>570</v>
      </c>
      <c r="B587" s="100">
        <v>89.339566325643602</v>
      </c>
      <c r="C587" s="100">
        <v>98.268482040678322</v>
      </c>
      <c r="D587" s="100">
        <v>90.88739252034236</v>
      </c>
      <c r="E587" s="100">
        <v>93.386885254452025</v>
      </c>
      <c r="F587" s="100">
        <v>706.44772908564164</v>
      </c>
      <c r="G587" s="100">
        <v>-87.888801074306855</v>
      </c>
      <c r="H587" s="100">
        <v>3857.375170288492</v>
      </c>
      <c r="I587" s="100">
        <v>-6.245599750798192</v>
      </c>
      <c r="J587" s="100">
        <v>4469.6884985490287</v>
      </c>
    </row>
    <row r="588" spans="1:10" x14ac:dyDescent="0.25">
      <c r="A588">
        <v>571</v>
      </c>
      <c r="B588" s="100">
        <v>89.003687761076634</v>
      </c>
      <c r="C588" s="100">
        <v>97.854454996827002</v>
      </c>
      <c r="D588" s="100">
        <v>93.534420551620215</v>
      </c>
      <c r="E588" s="100">
        <v>92.127138830470997</v>
      </c>
      <c r="F588" s="100">
        <v>1814.8469921566375</v>
      </c>
      <c r="G588" s="100">
        <v>533.15176470267284</v>
      </c>
      <c r="H588" s="100">
        <v>-1436.6808922672192</v>
      </c>
      <c r="I588" s="100">
        <v>1253.5008242302297</v>
      </c>
      <c r="J588" s="100">
        <v>2164.8186888223208</v>
      </c>
    </row>
    <row r="589" spans="1:10" x14ac:dyDescent="0.25">
      <c r="A589">
        <v>572</v>
      </c>
      <c r="B589" s="100">
        <v>89.099684484829012</v>
      </c>
      <c r="C589" s="100">
        <v>97.373722185750722</v>
      </c>
      <c r="D589" s="100">
        <v>93.03660234048283</v>
      </c>
      <c r="E589" s="100">
        <v>89.861387091709219</v>
      </c>
      <c r="F589" s="100">
        <v>1498.0578037737885</v>
      </c>
      <c r="G589" s="100">
        <v>1254.2509813170923</v>
      </c>
      <c r="H589" s="100">
        <v>-441.04446999244828</v>
      </c>
      <c r="I589" s="100">
        <v>3519.2525629920083</v>
      </c>
      <c r="J589" s="100">
        <v>5830.5168780904405</v>
      </c>
    </row>
    <row r="590" spans="1:10" x14ac:dyDescent="0.25">
      <c r="A590">
        <v>573</v>
      </c>
      <c r="B590" s="100">
        <v>89.650854120133161</v>
      </c>
      <c r="C590" s="100">
        <v>97.567647422897551</v>
      </c>
      <c r="D590" s="100">
        <v>93.051829990971854</v>
      </c>
      <c r="E590" s="100">
        <v>95.108099688314255</v>
      </c>
      <c r="F590" s="100">
        <v>-320.801992729902</v>
      </c>
      <c r="G590" s="100">
        <v>963.36312559684961</v>
      </c>
      <c r="H590" s="100">
        <v>-471.499770970496</v>
      </c>
      <c r="I590" s="100">
        <v>-1727.4600336130277</v>
      </c>
      <c r="J590" s="100">
        <v>-1556.398671716576</v>
      </c>
    </row>
    <row r="591" spans="1:10" x14ac:dyDescent="0.25">
      <c r="A591">
        <v>574</v>
      </c>
      <c r="B591" s="100">
        <v>89.167723425895744</v>
      </c>
      <c r="C591" s="100">
        <v>98.371175700112616</v>
      </c>
      <c r="D591" s="100">
        <v>94.025934854060282</v>
      </c>
      <c r="E591" s="100">
        <v>94.261473698065245</v>
      </c>
      <c r="F591" s="100">
        <v>1273.5292982535739</v>
      </c>
      <c r="G591" s="100">
        <v>-241.92929022574816</v>
      </c>
      <c r="H591" s="100">
        <v>-2419.7094971473516</v>
      </c>
      <c r="I591" s="100">
        <v>-880.83404336401827</v>
      </c>
      <c r="J591" s="100">
        <v>-2268.943532483544</v>
      </c>
    </row>
    <row r="592" spans="1:10" x14ac:dyDescent="0.25">
      <c r="A592">
        <v>575</v>
      </c>
      <c r="B592" s="100">
        <v>90.107181238194627</v>
      </c>
      <c r="C592" s="100">
        <v>98.482781023227986</v>
      </c>
      <c r="D592" s="100">
        <v>93.224352793643476</v>
      </c>
      <c r="E592" s="100">
        <v>93.206571208026446</v>
      </c>
      <c r="F592" s="100">
        <v>-1826.6814823327409</v>
      </c>
      <c r="G592" s="100">
        <v>-409.33727489880312</v>
      </c>
      <c r="H592" s="100">
        <v>-816.54537631374069</v>
      </c>
      <c r="I592" s="100">
        <v>174.06844667478083</v>
      </c>
      <c r="J592" s="100">
        <v>-2878.495686870504</v>
      </c>
    </row>
    <row r="593" spans="1:10" x14ac:dyDescent="0.25">
      <c r="A593">
        <v>576</v>
      </c>
      <c r="B593" s="100">
        <v>89.725507441760797</v>
      </c>
      <c r="C593" s="100">
        <v>97.706739400162547</v>
      </c>
      <c r="D593" s="100">
        <v>95.739376473830092</v>
      </c>
      <c r="E593" s="100">
        <v>94.861271012380129</v>
      </c>
      <c r="F593" s="100">
        <v>-567.15795410110127</v>
      </c>
      <c r="G593" s="100">
        <v>754.72515969935466</v>
      </c>
      <c r="H593" s="100">
        <v>-5846.5927366869719</v>
      </c>
      <c r="I593" s="100">
        <v>-1480.6313576789023</v>
      </c>
      <c r="J593" s="100">
        <v>-7139.6568887676212</v>
      </c>
    </row>
    <row r="594" spans="1:10" x14ac:dyDescent="0.25">
      <c r="A594">
        <v>577</v>
      </c>
      <c r="B594" s="100">
        <v>89.615541986063704</v>
      </c>
      <c r="C594" s="100">
        <v>98.218198117384446</v>
      </c>
      <c r="D594" s="100">
        <v>93.30609744956044</v>
      </c>
      <c r="E594" s="100">
        <v>89.917705400589313</v>
      </c>
      <c r="F594" s="100">
        <v>-204.27195030069356</v>
      </c>
      <c r="G594" s="100">
        <v>-12.462916133493707</v>
      </c>
      <c r="H594" s="100">
        <v>-980.03468814766848</v>
      </c>
      <c r="I594" s="100">
        <v>3462.9342541119145</v>
      </c>
      <c r="J594" s="100">
        <v>2266.1646995300589</v>
      </c>
    </row>
    <row r="595" spans="1:10" x14ac:dyDescent="0.25">
      <c r="A595">
        <v>578</v>
      </c>
      <c r="B595" s="100">
        <v>89.406035139977291</v>
      </c>
      <c r="C595" s="100">
        <v>96.615645913955632</v>
      </c>
      <c r="D595" s="100">
        <v>94.053752631059908</v>
      </c>
      <c r="E595" s="100">
        <v>93.880999433594411</v>
      </c>
      <c r="F595" s="100">
        <v>487.10064178446828</v>
      </c>
      <c r="G595" s="100">
        <v>2391.365389009728</v>
      </c>
      <c r="H595" s="100">
        <v>-2475.3450511466044</v>
      </c>
      <c r="I595" s="100">
        <v>-500.35977889318417</v>
      </c>
      <c r="J595" s="100">
        <v>-97.238799245592304</v>
      </c>
    </row>
    <row r="596" spans="1:10" x14ac:dyDescent="0.25">
      <c r="A596">
        <v>579</v>
      </c>
      <c r="B596" s="100">
        <v>89.976280191763607</v>
      </c>
      <c r="C596" s="100">
        <v>98.07999756549151</v>
      </c>
      <c r="D596" s="100">
        <v>92.784191310288577</v>
      </c>
      <c r="E596" s="100">
        <v>93.606706334609243</v>
      </c>
      <c r="F596" s="100">
        <v>-1394.708029110373</v>
      </c>
      <c r="G596" s="100">
        <v>194.83791170591047</v>
      </c>
      <c r="H596" s="100">
        <v>63.777590396057349</v>
      </c>
      <c r="I596" s="100">
        <v>-226.06667990801554</v>
      </c>
      <c r="J596" s="100">
        <v>-1362.1592069164208</v>
      </c>
    </row>
    <row r="597" spans="1:10" x14ac:dyDescent="0.25">
      <c r="A597">
        <v>580</v>
      </c>
      <c r="B597" s="100">
        <v>89.559467721420489</v>
      </c>
      <c r="C597" s="100">
        <v>99.483957386445624</v>
      </c>
      <c r="D597" s="100">
        <v>93.197020452735686</v>
      </c>
      <c r="E597" s="100">
        <v>93.92377179464421</v>
      </c>
      <c r="F597" s="100">
        <v>-19.226876978085272</v>
      </c>
      <c r="G597" s="100">
        <v>-1911.1018197252606</v>
      </c>
      <c r="H597" s="100">
        <v>-761.88069449815998</v>
      </c>
      <c r="I597" s="100">
        <v>-543.13213994298337</v>
      </c>
      <c r="J597" s="100">
        <v>-3235.3415311444896</v>
      </c>
    </row>
    <row r="598" spans="1:10" x14ac:dyDescent="0.25">
      <c r="A598">
        <v>581</v>
      </c>
      <c r="B598" s="100">
        <v>89.5867006497934</v>
      </c>
      <c r="C598" s="100">
        <v>96.7986648690474</v>
      </c>
      <c r="D598" s="100">
        <v>94.209306581771756</v>
      </c>
      <c r="E598" s="100">
        <v>90.714252663036703</v>
      </c>
      <c r="F598" s="100">
        <v>-109.09554060869056</v>
      </c>
      <c r="G598" s="100">
        <v>2116.8369563720757</v>
      </c>
      <c r="H598" s="100">
        <v>-2786.4529525703006</v>
      </c>
      <c r="I598" s="100">
        <v>2666.386991664524</v>
      </c>
      <c r="J598" s="100">
        <v>1887.6754548576087</v>
      </c>
    </row>
    <row r="599" spans="1:10" x14ac:dyDescent="0.25">
      <c r="A599">
        <v>582</v>
      </c>
      <c r="B599" s="100">
        <v>89.872522544918311</v>
      </c>
      <c r="C599" s="100">
        <v>97.033235099654576</v>
      </c>
      <c r="D599" s="100">
        <v>93.695933990167092</v>
      </c>
      <c r="E599" s="100">
        <v>93.270557362726791</v>
      </c>
      <c r="F599" s="100">
        <v>-1052.3077945208981</v>
      </c>
      <c r="G599" s="100">
        <v>1764.9816104613124</v>
      </c>
      <c r="H599" s="100">
        <v>-1759.707769360972</v>
      </c>
      <c r="I599" s="100">
        <v>110.08229197443598</v>
      </c>
      <c r="J599" s="100">
        <v>-936.95166144612176</v>
      </c>
    </row>
    <row r="600" spans="1:10" x14ac:dyDescent="0.25">
      <c r="A600">
        <v>583</v>
      </c>
      <c r="B600" s="100">
        <v>89.080116818531565</v>
      </c>
      <c r="C600" s="100">
        <v>99.056087165264103</v>
      </c>
      <c r="D600" s="100">
        <v>94.786286279475604</v>
      </c>
      <c r="E600" s="100">
        <v>92.580286196055937</v>
      </c>
      <c r="F600" s="100">
        <v>1562.6311025553662</v>
      </c>
      <c r="G600" s="100">
        <v>-1269.2964879529782</v>
      </c>
      <c r="H600" s="100">
        <v>-3940.4123479779969</v>
      </c>
      <c r="I600" s="100">
        <v>800.35345864529006</v>
      </c>
      <c r="J600" s="100">
        <v>-2846.7242747303185</v>
      </c>
    </row>
    <row r="601" spans="1:10" x14ac:dyDescent="0.25">
      <c r="A601">
        <v>584</v>
      </c>
      <c r="B601" s="100">
        <v>89.850746061311511</v>
      </c>
      <c r="C601" s="100">
        <v>96.766500724724168</v>
      </c>
      <c r="D601" s="100">
        <v>92.515152748870477</v>
      </c>
      <c r="E601" s="100">
        <v>94.866084227184075</v>
      </c>
      <c r="F601" s="100">
        <v>-980.44539861845828</v>
      </c>
      <c r="G601" s="100">
        <v>2165.0831728569246</v>
      </c>
      <c r="H601" s="100">
        <v>601.8547132322567</v>
      </c>
      <c r="I601" s="100">
        <v>-1485.4445724828479</v>
      </c>
      <c r="J601" s="100">
        <v>301.04791498787517</v>
      </c>
    </row>
    <row r="602" spans="1:10" x14ac:dyDescent="0.25">
      <c r="A602">
        <v>585</v>
      </c>
      <c r="B602" s="100">
        <v>90.158654552499598</v>
      </c>
      <c r="C602" s="100">
        <v>97.49657441724095</v>
      </c>
      <c r="D602" s="100">
        <v>94.916901104817285</v>
      </c>
      <c r="E602" s="100">
        <v>93.023290781470592</v>
      </c>
      <c r="F602" s="100">
        <v>-1996.5434195391454</v>
      </c>
      <c r="G602" s="100">
        <v>1069.9726340817506</v>
      </c>
      <c r="H602" s="100">
        <v>-4201.6419986613582</v>
      </c>
      <c r="I602" s="100">
        <v>357.34887323063447</v>
      </c>
      <c r="J602" s="100">
        <v>-4770.8639108881189</v>
      </c>
    </row>
    <row r="603" spans="1:10" x14ac:dyDescent="0.25">
      <c r="A603">
        <v>586</v>
      </c>
      <c r="B603" s="100">
        <v>90.484729372458403</v>
      </c>
      <c r="C603" s="100">
        <v>98.941668411628925</v>
      </c>
      <c r="D603" s="100">
        <v>93.720074401949361</v>
      </c>
      <c r="E603" s="100">
        <v>92.66514302640644</v>
      </c>
      <c r="F603" s="100">
        <v>-3072.5903254032019</v>
      </c>
      <c r="G603" s="100">
        <v>-1097.6683575002112</v>
      </c>
      <c r="H603" s="100">
        <v>-1807.9885929255113</v>
      </c>
      <c r="I603" s="100">
        <v>715.49662829478677</v>
      </c>
      <c r="J603" s="100">
        <v>-5262.7506475341379</v>
      </c>
    </row>
    <row r="604" spans="1:10" x14ac:dyDescent="0.25">
      <c r="A604">
        <v>587</v>
      </c>
      <c r="B604" s="100">
        <v>89.555566344005257</v>
      </c>
      <c r="C604" s="100">
        <v>98.479231462509219</v>
      </c>
      <c r="D604" s="100">
        <v>92.24472622546763</v>
      </c>
      <c r="E604" s="100">
        <v>96.655727369337455</v>
      </c>
      <c r="F604" s="100">
        <v>-6.352331507818576</v>
      </c>
      <c r="G604" s="100">
        <v>-404.01293382065262</v>
      </c>
      <c r="H604" s="100">
        <v>1142.7077600379505</v>
      </c>
      <c r="I604" s="100">
        <v>-3275.0877146362286</v>
      </c>
      <c r="J604" s="100">
        <v>-2542.7452199267491</v>
      </c>
    </row>
    <row r="605" spans="1:10" x14ac:dyDescent="0.25">
      <c r="A605">
        <v>588</v>
      </c>
      <c r="B605" s="100">
        <v>89.230182137291848</v>
      </c>
      <c r="C605" s="100">
        <v>99.46225390877953</v>
      </c>
      <c r="D605" s="100">
        <v>94.218960211174192</v>
      </c>
      <c r="E605" s="100">
        <v>92.088834741436216</v>
      </c>
      <c r="F605" s="100">
        <v>1067.4155506464303</v>
      </c>
      <c r="G605" s="100">
        <v>-1878.5466032261197</v>
      </c>
      <c r="H605" s="100">
        <v>-2805.7602113751727</v>
      </c>
      <c r="I605" s="100">
        <v>1291.8049132650112</v>
      </c>
      <c r="J605" s="100">
        <v>-2325.0863506898509</v>
      </c>
    </row>
    <row r="606" spans="1:10" x14ac:dyDescent="0.25">
      <c r="A606">
        <v>589</v>
      </c>
      <c r="B606" s="100">
        <v>89.368417124668227</v>
      </c>
      <c r="C606" s="100">
        <v>98.014852284235928</v>
      </c>
      <c r="D606" s="100">
        <v>93.701837110200742</v>
      </c>
      <c r="E606" s="100">
        <v>93.991521496351709</v>
      </c>
      <c r="F606" s="100">
        <v>611.24009230438082</v>
      </c>
      <c r="G606" s="100">
        <v>292.55583358928305</v>
      </c>
      <c r="H606" s="100">
        <v>-1771.5140094282731</v>
      </c>
      <c r="I606" s="100">
        <v>-610.88184165048176</v>
      </c>
      <c r="J606" s="100">
        <v>-1478.5999251850908</v>
      </c>
    </row>
    <row r="607" spans="1:10" x14ac:dyDescent="0.25">
      <c r="A607">
        <v>590</v>
      </c>
      <c r="B607" s="100">
        <v>89.647363964388077</v>
      </c>
      <c r="C607" s="100">
        <v>97.927463131612868</v>
      </c>
      <c r="D607" s="100">
        <v>93.272374896877494</v>
      </c>
      <c r="E607" s="100">
        <v>92.544525845413375</v>
      </c>
      <c r="F607" s="100">
        <v>-309.28447877112575</v>
      </c>
      <c r="G607" s="100">
        <v>423.63956252387425</v>
      </c>
      <c r="H607" s="100">
        <v>-912.58958278177715</v>
      </c>
      <c r="I607" s="100">
        <v>836.11380928785195</v>
      </c>
      <c r="J607" s="100">
        <v>37.879310258823239</v>
      </c>
    </row>
    <row r="608" spans="1:10" x14ac:dyDescent="0.25">
      <c r="A608">
        <v>591</v>
      </c>
      <c r="B608" s="100">
        <v>89.331303486582101</v>
      </c>
      <c r="C608" s="100">
        <v>96.844346552626362</v>
      </c>
      <c r="D608" s="100">
        <v>91.899349533909856</v>
      </c>
      <c r="E608" s="100">
        <v>92.958200848850723</v>
      </c>
      <c r="F608" s="100">
        <v>733.7150979885962</v>
      </c>
      <c r="G608" s="100">
        <v>2048.3144310036323</v>
      </c>
      <c r="H608" s="100">
        <v>1833.4611431534995</v>
      </c>
      <c r="I608" s="100">
        <v>422.4388058505042</v>
      </c>
      <c r="J608" s="100">
        <v>5037.9294779962329</v>
      </c>
    </row>
    <row r="609" spans="1:10" x14ac:dyDescent="0.25">
      <c r="A609">
        <v>592</v>
      </c>
      <c r="B609" s="100">
        <v>90.886711644369925</v>
      </c>
      <c r="C609" s="100">
        <v>96.487793820246466</v>
      </c>
      <c r="D609" s="100">
        <v>92.57176836642131</v>
      </c>
      <c r="E609" s="100">
        <v>93.624197076780263</v>
      </c>
      <c r="F609" s="100">
        <v>-4399.1318227112215</v>
      </c>
      <c r="G609" s="100">
        <v>2583.1435295734764</v>
      </c>
      <c r="H609" s="100">
        <v>488.62347813059159</v>
      </c>
      <c r="I609" s="100">
        <v>-243.55742207903575</v>
      </c>
      <c r="J609" s="100">
        <v>-1570.9222370861894</v>
      </c>
    </row>
    <row r="610" spans="1:10" x14ac:dyDescent="0.25">
      <c r="A610">
        <v>593</v>
      </c>
      <c r="B610" s="100">
        <v>90.702866195603747</v>
      </c>
      <c r="C610" s="100">
        <v>98.0386151374733</v>
      </c>
      <c r="D610" s="100">
        <v>92.523870830792418</v>
      </c>
      <c r="E610" s="100">
        <v>94.753362403103452</v>
      </c>
      <c r="F610" s="100">
        <v>-3792.4418417828347</v>
      </c>
      <c r="G610" s="100">
        <v>256.91155373322516</v>
      </c>
      <c r="H610" s="100">
        <v>584.41854938837423</v>
      </c>
      <c r="I610" s="100">
        <v>-1372.7227484022251</v>
      </c>
      <c r="J610" s="100">
        <v>-4323.834487063461</v>
      </c>
    </row>
    <row r="611" spans="1:10" x14ac:dyDescent="0.25">
      <c r="A611">
        <v>594</v>
      </c>
      <c r="B611" s="100">
        <v>89.846818761370528</v>
      </c>
      <c r="C611" s="100">
        <v>99.693155838862396</v>
      </c>
      <c r="D611" s="100">
        <v>93.788611498343371</v>
      </c>
      <c r="E611" s="100">
        <v>94.914784156356433</v>
      </c>
      <c r="F611" s="100">
        <v>-967.48530881321381</v>
      </c>
      <c r="G611" s="100">
        <v>-2224.8994983504176</v>
      </c>
      <c r="H611" s="100">
        <v>-1945.0627857135316</v>
      </c>
      <c r="I611" s="100">
        <v>-1534.1445016552057</v>
      </c>
      <c r="J611" s="100">
        <v>-6671.5920945323687</v>
      </c>
    </row>
    <row r="612" spans="1:10" x14ac:dyDescent="0.25">
      <c r="A612">
        <v>595</v>
      </c>
      <c r="B612" s="100">
        <v>88.805572967995175</v>
      </c>
      <c r="C612" s="100">
        <v>98.461044756549356</v>
      </c>
      <c r="D612" s="100">
        <v>93.211834675939315</v>
      </c>
      <c r="E612" s="100">
        <v>93.250864236781524</v>
      </c>
      <c r="F612" s="100">
        <v>2468.625809325451</v>
      </c>
      <c r="G612" s="100">
        <v>-376.73287488085805</v>
      </c>
      <c r="H612" s="100">
        <v>-791.50914090541846</v>
      </c>
      <c r="I612" s="100">
        <v>129.77541791970282</v>
      </c>
      <c r="J612" s="100">
        <v>1430.1592114588771</v>
      </c>
    </row>
    <row r="613" spans="1:10" x14ac:dyDescent="0.25">
      <c r="A613">
        <v>596</v>
      </c>
      <c r="B613" s="100">
        <v>89.222915745145428</v>
      </c>
      <c r="C613" s="100">
        <v>98.118282558009497</v>
      </c>
      <c r="D613" s="100">
        <v>91.966344331830129</v>
      </c>
      <c r="E613" s="100">
        <v>93.967559249009511</v>
      </c>
      <c r="F613" s="100">
        <v>1091.3946447296155</v>
      </c>
      <c r="G613" s="100">
        <v>137.41042292893013</v>
      </c>
      <c r="H613" s="100">
        <v>1699.4715473129531</v>
      </c>
      <c r="I613" s="100">
        <v>-586.91959430828433</v>
      </c>
      <c r="J613" s="100">
        <v>2341.3570206632148</v>
      </c>
    </row>
    <row r="614" spans="1:10" x14ac:dyDescent="0.25">
      <c r="A614">
        <v>597</v>
      </c>
      <c r="B614" s="100">
        <v>89.651617005399871</v>
      </c>
      <c r="C614" s="100">
        <v>97.717023646158268</v>
      </c>
      <c r="D614" s="100">
        <v>92.639529060540369</v>
      </c>
      <c r="E614" s="100">
        <v>94.743233271797934</v>
      </c>
      <c r="F614" s="100">
        <v>-323.31951411004383</v>
      </c>
      <c r="G614" s="100">
        <v>739.29879070577442</v>
      </c>
      <c r="H614" s="100">
        <v>353.10208989247371</v>
      </c>
      <c r="I614" s="100">
        <v>-1362.5936170967066</v>
      </c>
      <c r="J614" s="100">
        <v>-593.5122506085022</v>
      </c>
    </row>
    <row r="615" spans="1:10" x14ac:dyDescent="0.25">
      <c r="A615">
        <v>598</v>
      </c>
      <c r="B615" s="100">
        <v>88.858990079284595</v>
      </c>
      <c r="C615" s="100">
        <v>99.173349323479513</v>
      </c>
      <c r="D615" s="100">
        <v>90.823081978386838</v>
      </c>
      <c r="E615" s="100">
        <v>93.390584246255301</v>
      </c>
      <c r="F615" s="100">
        <v>2292.3493420703649</v>
      </c>
      <c r="G615" s="100">
        <v>-1445.1897252760944</v>
      </c>
      <c r="H615" s="100">
        <v>3985.9962541995346</v>
      </c>
      <c r="I615" s="100">
        <v>-9.9445915540741225</v>
      </c>
      <c r="J615" s="100">
        <v>4823.2112794397308</v>
      </c>
    </row>
    <row r="616" spans="1:10" x14ac:dyDescent="0.25">
      <c r="A616">
        <v>599</v>
      </c>
      <c r="B616" s="100">
        <v>89.468281083255064</v>
      </c>
      <c r="C616" s="100">
        <v>98.525297436326412</v>
      </c>
      <c r="D616" s="100">
        <v>94.225022736431768</v>
      </c>
      <c r="E616" s="100">
        <v>91.836547269423249</v>
      </c>
      <c r="F616" s="100">
        <v>281.68902896781702</v>
      </c>
      <c r="G616" s="100">
        <v>-473.11189454644165</v>
      </c>
      <c r="H616" s="100">
        <v>-2817.8852618903247</v>
      </c>
      <c r="I616" s="100">
        <v>1544.0923852779774</v>
      </c>
      <c r="J616" s="100">
        <v>-1465.2157421909719</v>
      </c>
    </row>
    <row r="617" spans="1:10" x14ac:dyDescent="0.25">
      <c r="A617">
        <v>600</v>
      </c>
      <c r="B617" s="100">
        <v>90.381429594363198</v>
      </c>
      <c r="C617" s="100">
        <v>97.640606837089663</v>
      </c>
      <c r="D617" s="100">
        <v>92.327368016455054</v>
      </c>
      <c r="E617" s="100">
        <v>93.302666804131334</v>
      </c>
      <c r="F617" s="100">
        <v>-2731.7010576890225</v>
      </c>
      <c r="G617" s="100">
        <v>853.92400430868065</v>
      </c>
      <c r="H617" s="100">
        <v>977.424178063103</v>
      </c>
      <c r="I617" s="100">
        <v>77.972850569892671</v>
      </c>
      <c r="J617" s="100">
        <v>-822.38002474734617</v>
      </c>
    </row>
    <row r="618" spans="1:10" x14ac:dyDescent="0.25">
      <c r="A618">
        <v>601</v>
      </c>
      <c r="B618" s="100">
        <v>90.085839636675189</v>
      </c>
      <c r="C618" s="100">
        <v>97.149920787829288</v>
      </c>
      <c r="D618" s="100">
        <v>93.504182258799673</v>
      </c>
      <c r="E618" s="100">
        <v>92.736264296022995</v>
      </c>
      <c r="F618" s="100">
        <v>-1756.2541973185944</v>
      </c>
      <c r="G618" s="100">
        <v>1589.9530781992439</v>
      </c>
      <c r="H618" s="100">
        <v>-1376.2043066261356</v>
      </c>
      <c r="I618" s="100">
        <v>644.37535867823215</v>
      </c>
      <c r="J618" s="100">
        <v>-898.13006706725389</v>
      </c>
    </row>
    <row r="619" spans="1:10" x14ac:dyDescent="0.25">
      <c r="A619">
        <v>602</v>
      </c>
      <c r="B619" s="100">
        <v>89.855574179713059</v>
      </c>
      <c r="C619" s="100">
        <v>96.765455038849666</v>
      </c>
      <c r="D619" s="100">
        <v>93.940854171169477</v>
      </c>
      <c r="E619" s="100">
        <v>90.887711413581528</v>
      </c>
      <c r="F619" s="100">
        <v>-996.37818934356665</v>
      </c>
      <c r="G619" s="100">
        <v>2166.6517016686767</v>
      </c>
      <c r="H619" s="100">
        <v>-2249.5481313657419</v>
      </c>
      <c r="I619" s="100">
        <v>2492.9282411196991</v>
      </c>
      <c r="J619" s="100">
        <v>1413.6536220790672</v>
      </c>
    </row>
    <row r="620" spans="1:10" x14ac:dyDescent="0.25">
      <c r="A620">
        <v>603</v>
      </c>
      <c r="B620" s="100">
        <v>89.875521809066811</v>
      </c>
      <c r="C620" s="100">
        <v>97.004568853789664</v>
      </c>
      <c r="D620" s="100">
        <v>92.020710031865491</v>
      </c>
      <c r="E620" s="100">
        <v>95.628558746510322</v>
      </c>
      <c r="F620" s="100">
        <v>-1062.2053662109465</v>
      </c>
      <c r="G620" s="100">
        <v>1807.98097925868</v>
      </c>
      <c r="H620" s="100">
        <v>1590.7401472422293</v>
      </c>
      <c r="I620" s="100">
        <v>-2247.9190918090949</v>
      </c>
      <c r="J620" s="100">
        <v>88.59666848086772</v>
      </c>
    </row>
    <row r="621" spans="1:10" x14ac:dyDescent="0.25">
      <c r="A621">
        <v>604</v>
      </c>
      <c r="B621" s="100">
        <v>89.844473925754897</v>
      </c>
      <c r="C621" s="100">
        <v>99.88802157011628</v>
      </c>
      <c r="D621" s="100">
        <v>93.691503626915988</v>
      </c>
      <c r="E621" s="100">
        <v>93.113956460513265</v>
      </c>
      <c r="F621" s="100">
        <v>-959.74735128163218</v>
      </c>
      <c r="G621" s="100">
        <v>-2517.1980952312438</v>
      </c>
      <c r="H621" s="100">
        <v>-1750.8470428587657</v>
      </c>
      <c r="I621" s="100">
        <v>266.68319418796216</v>
      </c>
      <c r="J621" s="100">
        <v>-4961.1092951836799</v>
      </c>
    </row>
    <row r="622" spans="1:10" x14ac:dyDescent="0.25">
      <c r="A622">
        <v>605</v>
      </c>
      <c r="B622" s="100">
        <v>89.569697298590114</v>
      </c>
      <c r="C622" s="100">
        <v>97.423198049152219</v>
      </c>
      <c r="D622" s="100">
        <v>93.039294521069039</v>
      </c>
      <c r="E622" s="100">
        <v>96.594118205908984</v>
      </c>
      <c r="F622" s="100">
        <v>-52.984481637847125</v>
      </c>
      <c r="G622" s="100">
        <v>1180.0371862148468</v>
      </c>
      <c r="H622" s="100">
        <v>-446.42883116486587</v>
      </c>
      <c r="I622" s="100">
        <v>-3213.4785512077569</v>
      </c>
      <c r="J622" s="100">
        <v>-2532.8546777956235</v>
      </c>
    </row>
    <row r="623" spans="1:10" x14ac:dyDescent="0.25">
      <c r="A623">
        <v>606</v>
      </c>
      <c r="B623" s="100">
        <v>89.95950934330736</v>
      </c>
      <c r="C623" s="100">
        <v>98.611640179764052</v>
      </c>
      <c r="D623" s="100">
        <v>93.675109617854503</v>
      </c>
      <c r="E623" s="100">
        <v>91.613273030657282</v>
      </c>
      <c r="F623" s="100">
        <v>-1339.3642292047589</v>
      </c>
      <c r="G623" s="100">
        <v>-602.62600970290237</v>
      </c>
      <c r="H623" s="100">
        <v>-1718.0590247357941</v>
      </c>
      <c r="I623" s="100">
        <v>1767.3666240439445</v>
      </c>
      <c r="J623" s="100">
        <v>-1892.682639599511</v>
      </c>
    </row>
    <row r="624" spans="1:10" x14ac:dyDescent="0.25">
      <c r="A624">
        <v>607</v>
      </c>
      <c r="B624" s="100">
        <v>89.634580247696121</v>
      </c>
      <c r="C624" s="100">
        <v>97.763962700990248</v>
      </c>
      <c r="D624" s="100">
        <v>91.34768115458138</v>
      </c>
      <c r="E624" s="100">
        <v>92.496216423009756</v>
      </c>
      <c r="F624" s="100">
        <v>-267.09821368767024</v>
      </c>
      <c r="G624" s="100">
        <v>668.89020845780328</v>
      </c>
      <c r="H624" s="100">
        <v>2936.7979018104506</v>
      </c>
      <c r="I624" s="100">
        <v>884.4232316914713</v>
      </c>
      <c r="J624" s="100">
        <v>4223.0131282720549</v>
      </c>
    </row>
    <row r="625" spans="1:10" x14ac:dyDescent="0.25">
      <c r="A625">
        <v>608</v>
      </c>
      <c r="B625" s="100">
        <v>89.871993213405347</v>
      </c>
      <c r="C625" s="100">
        <v>97.069523894397349</v>
      </c>
      <c r="D625" s="100">
        <v>93.413240321740673</v>
      </c>
      <c r="E625" s="100">
        <v>96.083105811633146</v>
      </c>
      <c r="F625" s="100">
        <v>-1050.5610005281142</v>
      </c>
      <c r="G625" s="100">
        <v>1710.5484183471517</v>
      </c>
      <c r="H625" s="100">
        <v>-1194.3204325081354</v>
      </c>
      <c r="I625" s="100">
        <v>-2702.4661569319192</v>
      </c>
      <c r="J625" s="100">
        <v>-3236.7991716210172</v>
      </c>
    </row>
    <row r="626" spans="1:10" x14ac:dyDescent="0.25">
      <c r="A626">
        <v>609</v>
      </c>
      <c r="B626" s="100">
        <v>89.525785991693283</v>
      </c>
      <c r="C626" s="100">
        <v>98.651215276723647</v>
      </c>
      <c r="D626" s="100">
        <v>93.111503080140523</v>
      </c>
      <c r="E626" s="100">
        <v>92.647723160007615</v>
      </c>
      <c r="F626" s="100">
        <v>91.922831121695481</v>
      </c>
      <c r="G626" s="100">
        <v>-661.9886551422951</v>
      </c>
      <c r="H626" s="100">
        <v>-590.84594930783396</v>
      </c>
      <c r="I626" s="100">
        <v>732.91649469361175</v>
      </c>
      <c r="J626" s="100">
        <v>-427.99527863482183</v>
      </c>
    </row>
    <row r="627" spans="1:10" x14ac:dyDescent="0.25">
      <c r="A627">
        <v>610</v>
      </c>
      <c r="B627" s="100">
        <v>88.849134725518837</v>
      </c>
      <c r="C627" s="100">
        <v>98.356977727630422</v>
      </c>
      <c r="D627" s="100">
        <v>91.333747773885136</v>
      </c>
      <c r="E627" s="100">
        <v>92.856971741249808</v>
      </c>
      <c r="F627" s="100">
        <v>2324.8720094973664</v>
      </c>
      <c r="G627" s="100">
        <v>-220.63233150245765</v>
      </c>
      <c r="H627" s="100">
        <v>2964.6646632029388</v>
      </c>
      <c r="I627" s="100">
        <v>523.66791345141905</v>
      </c>
      <c r="J627" s="100">
        <v>5592.5722546492661</v>
      </c>
    </row>
    <row r="628" spans="1:10" x14ac:dyDescent="0.25">
      <c r="A628">
        <v>611</v>
      </c>
      <c r="B628" s="100">
        <v>88.682329373579279</v>
      </c>
      <c r="C628" s="100">
        <v>98.384157477120667</v>
      </c>
      <c r="D628" s="100">
        <v>95.067415067490273</v>
      </c>
      <c r="E628" s="100">
        <v>93.661709790673768</v>
      </c>
      <c r="F628" s="100">
        <v>2875.3296708979092</v>
      </c>
      <c r="G628" s="100">
        <v>-261.40195573782421</v>
      </c>
      <c r="H628" s="100">
        <v>-4502.6699240073358</v>
      </c>
      <c r="I628" s="100">
        <v>-281.07013597254138</v>
      </c>
      <c r="J628" s="100">
        <v>-2169.8123448197921</v>
      </c>
    </row>
    <row r="629" spans="1:10" x14ac:dyDescent="0.25">
      <c r="A629">
        <v>612</v>
      </c>
      <c r="B629" s="100">
        <v>89.456899910008246</v>
      </c>
      <c r="C629" s="100">
        <v>99.123430249679984</v>
      </c>
      <c r="D629" s="100">
        <v>92.273271714821306</v>
      </c>
      <c r="E629" s="100">
        <v>90.9663060308486</v>
      </c>
      <c r="F629" s="100">
        <v>319.24690068231598</v>
      </c>
      <c r="G629" s="100">
        <v>-1370.3111145768005</v>
      </c>
      <c r="H629" s="100">
        <v>1085.6167813306001</v>
      </c>
      <c r="I629" s="100">
        <v>2414.3336238526272</v>
      </c>
      <c r="J629" s="100">
        <v>2448.8861912887428</v>
      </c>
    </row>
    <row r="630" spans="1:10" x14ac:dyDescent="0.25">
      <c r="A630">
        <v>613</v>
      </c>
      <c r="B630" s="100">
        <v>90.466217678418843</v>
      </c>
      <c r="C630" s="100">
        <v>97.560979399946035</v>
      </c>
      <c r="D630" s="100">
        <v>92.525306424893259</v>
      </c>
      <c r="E630" s="100">
        <v>94.884499184047158</v>
      </c>
      <c r="F630" s="100">
        <v>-3011.501735072653</v>
      </c>
      <c r="G630" s="100">
        <v>973.36516002412304</v>
      </c>
      <c r="H630" s="100">
        <v>581.54736118669348</v>
      </c>
      <c r="I630" s="100">
        <v>-1503.8595293459309</v>
      </c>
      <c r="J630" s="100">
        <v>-2960.4487432077676</v>
      </c>
    </row>
    <row r="631" spans="1:10" x14ac:dyDescent="0.25">
      <c r="A631">
        <v>614</v>
      </c>
      <c r="B631" s="100">
        <v>88.959830453949564</v>
      </c>
      <c r="C631" s="100">
        <v>99.205651678592517</v>
      </c>
      <c r="D631" s="100">
        <v>91.828674806483548</v>
      </c>
      <c r="E631" s="100">
        <v>95.47572749137511</v>
      </c>
      <c r="F631" s="100">
        <v>1959.576105675967</v>
      </c>
      <c r="G631" s="100">
        <v>-1493.6432579455995</v>
      </c>
      <c r="H631" s="100">
        <v>1974.8105980061155</v>
      </c>
      <c r="I631" s="100">
        <v>-2095.0878366738834</v>
      </c>
      <c r="J631" s="100">
        <v>345.65560906259952</v>
      </c>
    </row>
    <row r="632" spans="1:10" x14ac:dyDescent="0.25">
      <c r="A632">
        <v>615</v>
      </c>
      <c r="B632" s="100">
        <v>88.381852133576601</v>
      </c>
      <c r="C632" s="100">
        <v>97.743112839077597</v>
      </c>
      <c r="D632" s="100">
        <v>94.121981303292529</v>
      </c>
      <c r="E632" s="100">
        <v>92.632646476741968</v>
      </c>
      <c r="F632" s="100">
        <v>3866.9045629067468</v>
      </c>
      <c r="G632" s="100">
        <v>700.16500132678061</v>
      </c>
      <c r="H632" s="100">
        <v>-2611.8023956118464</v>
      </c>
      <c r="I632" s="100">
        <v>747.99317795925901</v>
      </c>
      <c r="J632" s="100">
        <v>2703.2603465809402</v>
      </c>
    </row>
    <row r="633" spans="1:10" x14ac:dyDescent="0.25">
      <c r="A633">
        <v>616</v>
      </c>
      <c r="B633" s="100">
        <v>88.103131070066652</v>
      </c>
      <c r="C633" s="100">
        <v>96.829761434439206</v>
      </c>
      <c r="D633" s="100">
        <v>92.317734524732359</v>
      </c>
      <c r="E633" s="100">
        <v>91.771989509856127</v>
      </c>
      <c r="F633" s="100">
        <v>4786.6840724895765</v>
      </c>
      <c r="G633" s="100">
        <v>2070.1921082843669</v>
      </c>
      <c r="H633" s="100">
        <v>996.69116150849391</v>
      </c>
      <c r="I633" s="100">
        <v>1608.6501448451004</v>
      </c>
      <c r="J633" s="100">
        <v>9462.2174871275365</v>
      </c>
    </row>
    <row r="634" spans="1:10" x14ac:dyDescent="0.25">
      <c r="A634">
        <v>617</v>
      </c>
      <c r="B634" s="100">
        <v>89.730045466716703</v>
      </c>
      <c r="C634" s="100">
        <v>98.797959823033878</v>
      </c>
      <c r="D634" s="100">
        <v>90.72838988832477</v>
      </c>
      <c r="E634" s="100">
        <v>93.400961233398945</v>
      </c>
      <c r="F634" s="100">
        <v>-582.13343645559098</v>
      </c>
      <c r="G634" s="100">
        <v>-882.10547460764133</v>
      </c>
      <c r="H634" s="100">
        <v>4175.3804343236707</v>
      </c>
      <c r="I634" s="100">
        <v>-20.321578697718223</v>
      </c>
      <c r="J634" s="100">
        <v>2690.8199445627206</v>
      </c>
    </row>
    <row r="635" spans="1:10" x14ac:dyDescent="0.25">
      <c r="A635">
        <v>618</v>
      </c>
      <c r="B635" s="100">
        <v>89.108729913253256</v>
      </c>
      <c r="C635" s="100">
        <v>97.296892053474068</v>
      </c>
      <c r="D635" s="100">
        <v>91.337462482999342</v>
      </c>
      <c r="E635" s="100">
        <v>93.304465823998456</v>
      </c>
      <c r="F635" s="100">
        <v>1468.207889973783</v>
      </c>
      <c r="G635" s="100">
        <v>1369.4961797320743</v>
      </c>
      <c r="H635" s="100">
        <v>2957.2352449745267</v>
      </c>
      <c r="I635" s="100">
        <v>76.173830702771284</v>
      </c>
      <c r="J635" s="100">
        <v>5871.1131453831549</v>
      </c>
    </row>
    <row r="636" spans="1:10" x14ac:dyDescent="0.25">
      <c r="A636">
        <v>619</v>
      </c>
      <c r="B636" s="100">
        <v>89.59333221118095</v>
      </c>
      <c r="C636" s="100">
        <v>98.457691660907059</v>
      </c>
      <c r="D636" s="100">
        <v>91.782010891930881</v>
      </c>
      <c r="E636" s="100">
        <v>94.590965433499065</v>
      </c>
      <c r="F636" s="100">
        <v>-130.97969318760647</v>
      </c>
      <c r="G636" s="100">
        <v>-371.70323141741335</v>
      </c>
      <c r="H636" s="100">
        <v>2068.1384271114493</v>
      </c>
      <c r="I636" s="100">
        <v>-1210.3257787978378</v>
      </c>
      <c r="J636" s="100">
        <v>355.12972370859188</v>
      </c>
    </row>
    <row r="637" spans="1:10" x14ac:dyDescent="0.25">
      <c r="A637">
        <v>620</v>
      </c>
      <c r="B637" s="100">
        <v>89.499670053668666</v>
      </c>
      <c r="C637" s="100">
        <v>97.782326312578419</v>
      </c>
      <c r="D637" s="100">
        <v>92.12341486809963</v>
      </c>
      <c r="E637" s="100">
        <v>90.910485221909411</v>
      </c>
      <c r="F637" s="100">
        <v>178.10542660293152</v>
      </c>
      <c r="G637" s="100">
        <v>641.34479107554648</v>
      </c>
      <c r="H637" s="100">
        <v>1385.3304747739514</v>
      </c>
      <c r="I637" s="100">
        <v>2470.1544327918155</v>
      </c>
      <c r="J637" s="100">
        <v>4674.9351252442448</v>
      </c>
    </row>
    <row r="638" spans="1:10" x14ac:dyDescent="0.25">
      <c r="A638">
        <v>621</v>
      </c>
      <c r="B638" s="100">
        <v>89.275166825656299</v>
      </c>
      <c r="C638" s="100">
        <v>97.221693109812762</v>
      </c>
      <c r="D638" s="100">
        <v>93.950854795622476</v>
      </c>
      <c r="E638" s="100">
        <v>92.310376899485618</v>
      </c>
      <c r="F638" s="100">
        <v>918.9660790437415</v>
      </c>
      <c r="G638" s="100">
        <v>1482.2945952240332</v>
      </c>
      <c r="H638" s="100">
        <v>-2269.549380271741</v>
      </c>
      <c r="I638" s="100">
        <v>1070.2627552156086</v>
      </c>
      <c r="J638" s="100">
        <v>1201.9740492116421</v>
      </c>
    </row>
    <row r="639" spans="1:10" x14ac:dyDescent="0.25">
      <c r="A639">
        <v>622</v>
      </c>
      <c r="B639" s="100">
        <v>89.769615289613483</v>
      </c>
      <c r="C639" s="100">
        <v>97.936719657539669</v>
      </c>
      <c r="D639" s="100">
        <v>92.971501404539836</v>
      </c>
      <c r="E639" s="100">
        <v>95.840536668405861</v>
      </c>
      <c r="F639" s="100">
        <v>-712.71385201496571</v>
      </c>
      <c r="G639" s="100">
        <v>409.75477363367219</v>
      </c>
      <c r="H639" s="100">
        <v>-310.84259810646131</v>
      </c>
      <c r="I639" s="100">
        <v>-2459.8970137046335</v>
      </c>
      <c r="J639" s="100">
        <v>-3073.6986901923883</v>
      </c>
    </row>
    <row r="640" spans="1:10" x14ac:dyDescent="0.25">
      <c r="A640">
        <v>623</v>
      </c>
      <c r="B640" s="100">
        <v>89.374358512242424</v>
      </c>
      <c r="C640" s="100">
        <v>99.215190574100205</v>
      </c>
      <c r="D640" s="100">
        <v>92.179719242690538</v>
      </c>
      <c r="E640" s="100">
        <v>93.436028712041121</v>
      </c>
      <c r="F640" s="100">
        <v>591.63351330953162</v>
      </c>
      <c r="G640" s="100">
        <v>-1507.9516012071324</v>
      </c>
      <c r="H640" s="100">
        <v>1272.7217255921346</v>
      </c>
      <c r="I640" s="100">
        <v>-55.389057339894521</v>
      </c>
      <c r="J640" s="100">
        <v>301.01458035463929</v>
      </c>
    </row>
    <row r="641" spans="1:10" x14ac:dyDescent="0.25">
      <c r="A641">
        <v>624</v>
      </c>
      <c r="B641" s="100">
        <v>90.215467176536421</v>
      </c>
      <c r="C641" s="100">
        <v>98.491453598947871</v>
      </c>
      <c r="D641" s="100">
        <v>92.290000184557016</v>
      </c>
      <c r="E641" s="100">
        <v>95.890003712550239</v>
      </c>
      <c r="F641" s="100">
        <v>-2184.0250788606609</v>
      </c>
      <c r="G641" s="100">
        <v>-422.34613847863045</v>
      </c>
      <c r="H641" s="100">
        <v>1052.1598418591793</v>
      </c>
      <c r="I641" s="100">
        <v>-2509.3640578490122</v>
      </c>
      <c r="J641" s="100">
        <v>-4063.5754333291243</v>
      </c>
    </row>
    <row r="642" spans="1:10" x14ac:dyDescent="0.25">
      <c r="A642">
        <v>625</v>
      </c>
      <c r="B642" s="100">
        <v>89.980827526998951</v>
      </c>
      <c r="C642" s="100">
        <v>98.092926557371285</v>
      </c>
      <c r="D642" s="100">
        <v>93.583995489068059</v>
      </c>
      <c r="E642" s="100">
        <v>92.948089609512124</v>
      </c>
      <c r="F642" s="100">
        <v>-1409.7142353870083</v>
      </c>
      <c r="G642" s="100">
        <v>175.44442388624759</v>
      </c>
      <c r="H642" s="100">
        <v>-1535.8307671629063</v>
      </c>
      <c r="I642" s="100">
        <v>432.55004518910312</v>
      </c>
      <c r="J642" s="100">
        <v>-2337.550533474564</v>
      </c>
    </row>
    <row r="643" spans="1:10" x14ac:dyDescent="0.25">
      <c r="A643">
        <v>626</v>
      </c>
      <c r="B643" s="100">
        <v>89.217991588259579</v>
      </c>
      <c r="C643" s="100">
        <v>97.782409900165206</v>
      </c>
      <c r="D643" s="100">
        <v>92.04985344576933</v>
      </c>
      <c r="E643" s="100">
        <v>91.299260738643795</v>
      </c>
      <c r="F643" s="100">
        <v>1107.6443624529177</v>
      </c>
      <c r="G643" s="100">
        <v>641.21940969536695</v>
      </c>
      <c r="H643" s="100">
        <v>1532.453319434552</v>
      </c>
      <c r="I643" s="100">
        <v>2081.3789160574315</v>
      </c>
      <c r="J643" s="100">
        <v>5362.6960076402684</v>
      </c>
    </row>
    <row r="644" spans="1:10" x14ac:dyDescent="0.25">
      <c r="A644">
        <v>627</v>
      </c>
      <c r="B644" s="100">
        <v>89.192890731709241</v>
      </c>
      <c r="C644" s="100">
        <v>97.056700600134064</v>
      </c>
      <c r="D644" s="100">
        <v>92.310411555249431</v>
      </c>
      <c r="E644" s="100">
        <v>93.070431870021324</v>
      </c>
      <c r="F644" s="100">
        <v>1190.477189069034</v>
      </c>
      <c r="G644" s="100">
        <v>1729.783359742079</v>
      </c>
      <c r="H644" s="100">
        <v>1011.3371004743499</v>
      </c>
      <c r="I644" s="100">
        <v>310.2077846799034</v>
      </c>
      <c r="J644" s="100">
        <v>4241.8054339653663</v>
      </c>
    </row>
    <row r="645" spans="1:10" x14ac:dyDescent="0.25">
      <c r="A645">
        <v>628</v>
      </c>
      <c r="B645" s="100">
        <v>89.257390801242025</v>
      </c>
      <c r="C645" s="100">
        <v>98.670660821547116</v>
      </c>
      <c r="D645" s="100">
        <v>91.643700371184153</v>
      </c>
      <c r="E645" s="100">
        <v>95.083779231012272</v>
      </c>
      <c r="F645" s="100">
        <v>977.62695961084773</v>
      </c>
      <c r="G645" s="100">
        <v>-691.15697237749885</v>
      </c>
      <c r="H645" s="100">
        <v>2344.759468604906</v>
      </c>
      <c r="I645" s="100">
        <v>-1703.1395763110454</v>
      </c>
      <c r="J645" s="100">
        <v>928.08987952720963</v>
      </c>
    </row>
    <row r="646" spans="1:10" x14ac:dyDescent="0.25">
      <c r="A646">
        <v>629</v>
      </c>
      <c r="B646" s="100">
        <v>89.178419582921705</v>
      </c>
      <c r="C646" s="100">
        <v>98.754639478086176</v>
      </c>
      <c r="D646" s="100">
        <v>93.749960636125635</v>
      </c>
      <c r="E646" s="100">
        <v>90.726544663810287</v>
      </c>
      <c r="F646" s="100">
        <v>1238.2319800679013</v>
      </c>
      <c r="G646" s="100">
        <v>-817.1249571860883</v>
      </c>
      <c r="H646" s="100">
        <v>-1867.7610612780597</v>
      </c>
      <c r="I646" s="100">
        <v>2654.0949908909397</v>
      </c>
      <c r="J646" s="100">
        <v>1207.440952494693</v>
      </c>
    </row>
    <row r="647" spans="1:10" x14ac:dyDescent="0.25">
      <c r="A647">
        <v>630</v>
      </c>
      <c r="B647" s="100">
        <v>89.739870381720166</v>
      </c>
      <c r="C647" s="100">
        <v>98.46420695280527</v>
      </c>
      <c r="D647" s="100">
        <v>92.995706920058581</v>
      </c>
      <c r="E647" s="100">
        <v>91.13924526647466</v>
      </c>
      <c r="F647" s="100">
        <v>-614.55565596701967</v>
      </c>
      <c r="G647" s="100">
        <v>-381.47616926472949</v>
      </c>
      <c r="H647" s="100">
        <v>-359.25362914395009</v>
      </c>
      <c r="I647" s="100">
        <v>2241.3943882265671</v>
      </c>
      <c r="J647" s="100">
        <v>886.10893385086774</v>
      </c>
    </row>
    <row r="648" spans="1:10" x14ac:dyDescent="0.25">
      <c r="A648">
        <v>631</v>
      </c>
      <c r="B648" s="100">
        <v>88.999534040857384</v>
      </c>
      <c r="C648" s="100">
        <v>99.032795260474217</v>
      </c>
      <c r="D648" s="100">
        <v>92.461151750145703</v>
      </c>
      <c r="E648" s="100">
        <v>93.974450655630832</v>
      </c>
      <c r="F648" s="100">
        <v>1828.5542688801627</v>
      </c>
      <c r="G648" s="100">
        <v>-1234.3586307681492</v>
      </c>
      <c r="H648" s="100">
        <v>709.85671068180523</v>
      </c>
      <c r="I648" s="100">
        <v>-593.81100092960537</v>
      </c>
      <c r="J648" s="100">
        <v>710.24134786421337</v>
      </c>
    </row>
    <row r="649" spans="1:10" x14ac:dyDescent="0.25">
      <c r="A649">
        <v>632</v>
      </c>
      <c r="B649" s="100">
        <v>89.136258075940091</v>
      </c>
      <c r="C649" s="100">
        <v>98.983316485174811</v>
      </c>
      <c r="D649" s="100">
        <v>94.661740547153698</v>
      </c>
      <c r="E649" s="100">
        <v>91.086593230341876</v>
      </c>
      <c r="F649" s="100">
        <v>1377.3649531072281</v>
      </c>
      <c r="G649" s="100">
        <v>-1160.1404678190406</v>
      </c>
      <c r="H649" s="100">
        <v>-3691.3208833341855</v>
      </c>
      <c r="I649" s="100">
        <v>2294.046424359351</v>
      </c>
      <c r="J649" s="100">
        <v>-1180.0499736866473</v>
      </c>
    </row>
    <row r="650" spans="1:10" x14ac:dyDescent="0.25">
      <c r="A650">
        <v>633</v>
      </c>
      <c r="B650" s="100">
        <v>90.242834373343044</v>
      </c>
      <c r="C650" s="100">
        <v>98.701216815939617</v>
      </c>
      <c r="D650" s="100">
        <v>92.867273599407369</v>
      </c>
      <c r="E650" s="100">
        <v>90.639866826427308</v>
      </c>
      <c r="F650" s="100">
        <v>-2274.3368283225154</v>
      </c>
      <c r="G650" s="100">
        <v>-736.99096396624952</v>
      </c>
      <c r="H650" s="100">
        <v>-102.38698784152689</v>
      </c>
      <c r="I650" s="100">
        <v>2740.7728282739185</v>
      </c>
      <c r="J650" s="100">
        <v>-372.94195185637318</v>
      </c>
    </row>
    <row r="651" spans="1:10" x14ac:dyDescent="0.25">
      <c r="A651">
        <v>634</v>
      </c>
      <c r="B651" s="100">
        <v>89.26944445789573</v>
      </c>
      <c r="C651" s="100">
        <v>99.190489108634736</v>
      </c>
      <c r="D651" s="100">
        <v>93.133892222596799</v>
      </c>
      <c r="E651" s="100">
        <v>93.82276957536692</v>
      </c>
      <c r="F651" s="100">
        <v>937.84989265361958</v>
      </c>
      <c r="G651" s="100">
        <v>-1470.8994030089286</v>
      </c>
      <c r="H651" s="100">
        <v>-635.62423422038705</v>
      </c>
      <c r="I651" s="100">
        <v>-442.12992066569257</v>
      </c>
      <c r="J651" s="100">
        <v>-1610.8036652413889</v>
      </c>
    </row>
    <row r="652" spans="1:10" x14ac:dyDescent="0.25">
      <c r="A652">
        <v>635</v>
      </c>
      <c r="B652" s="100">
        <v>89.478894129386219</v>
      </c>
      <c r="C652" s="100">
        <v>97.444495144609888</v>
      </c>
      <c r="D652" s="100">
        <v>92.220202389382052</v>
      </c>
      <c r="E652" s="100">
        <v>92.858204168126179</v>
      </c>
      <c r="F652" s="100">
        <v>246.66597673500519</v>
      </c>
      <c r="G652" s="100">
        <v>1148.091543028343</v>
      </c>
      <c r="H652" s="100">
        <v>1191.7554322091064</v>
      </c>
      <c r="I652" s="100">
        <v>522.43548657504846</v>
      </c>
      <c r="J652" s="100">
        <v>3108.948438547503</v>
      </c>
    </row>
    <row r="653" spans="1:10" x14ac:dyDescent="0.25">
      <c r="A653">
        <v>636</v>
      </c>
      <c r="B653" s="100">
        <v>89.791918300052927</v>
      </c>
      <c r="C653" s="100">
        <v>96.179356732520162</v>
      </c>
      <c r="D653" s="100">
        <v>92.22795180091569</v>
      </c>
      <c r="E653" s="100">
        <v>90.806871573620924</v>
      </c>
      <c r="F653" s="100">
        <v>-786.31378646513076</v>
      </c>
      <c r="G653" s="100">
        <v>3045.7991611629323</v>
      </c>
      <c r="H653" s="100">
        <v>1176.2566091418307</v>
      </c>
      <c r="I653" s="100">
        <v>2573.7680810803026</v>
      </c>
      <c r="J653" s="100">
        <v>6009.5100649199348</v>
      </c>
    </row>
    <row r="654" spans="1:10" x14ac:dyDescent="0.25">
      <c r="A654">
        <v>637</v>
      </c>
      <c r="B654" s="100">
        <v>89.510345211543807</v>
      </c>
      <c r="C654" s="100">
        <v>98.972123733540826</v>
      </c>
      <c r="D654" s="100">
        <v>93.47956507927465</v>
      </c>
      <c r="E654" s="100">
        <v>92.647974612865909</v>
      </c>
      <c r="F654" s="100">
        <v>142.87740561496491</v>
      </c>
      <c r="G654" s="100">
        <v>-1143.3513403680636</v>
      </c>
      <c r="H654" s="100">
        <v>-1326.9699475760888</v>
      </c>
      <c r="I654" s="100">
        <v>732.66504183531822</v>
      </c>
      <c r="J654" s="100">
        <v>-1594.7788404938692</v>
      </c>
    </row>
    <row r="655" spans="1:10" x14ac:dyDescent="0.25">
      <c r="A655">
        <v>638</v>
      </c>
      <c r="B655" s="100">
        <v>89.716439597046232</v>
      </c>
      <c r="C655" s="100">
        <v>98.447920275499371</v>
      </c>
      <c r="D655" s="100">
        <v>94.276851651431187</v>
      </c>
      <c r="E655" s="100">
        <v>94.914935123071558</v>
      </c>
      <c r="F655" s="100">
        <v>-537.23406654303722</v>
      </c>
      <c r="G655" s="100">
        <v>-357.04615330588041</v>
      </c>
      <c r="H655" s="100">
        <v>-2921.5430918891625</v>
      </c>
      <c r="I655" s="100">
        <v>-1534.295468370331</v>
      </c>
      <c r="J655" s="100">
        <v>-5350.1187801084106</v>
      </c>
    </row>
    <row r="656" spans="1:10" x14ac:dyDescent="0.25">
      <c r="A656">
        <v>639</v>
      </c>
      <c r="B656" s="100">
        <v>89.681533633903712</v>
      </c>
      <c r="C656" s="100">
        <v>99.703284729876373</v>
      </c>
      <c r="D656" s="100">
        <v>93.155445138822913</v>
      </c>
      <c r="E656" s="100">
        <v>94.319832585604829</v>
      </c>
      <c r="F656" s="100">
        <v>-422.04438817271921</v>
      </c>
      <c r="G656" s="100">
        <v>-2240.0928348713833</v>
      </c>
      <c r="H656" s="100">
        <v>-678.73006667261393</v>
      </c>
      <c r="I656" s="100">
        <v>-939.19293090360156</v>
      </c>
      <c r="J656" s="100">
        <v>-4280.0602206203175</v>
      </c>
    </row>
    <row r="657" spans="1:10" x14ac:dyDescent="0.25">
      <c r="A657">
        <v>640</v>
      </c>
      <c r="B657" s="100">
        <v>90.079430586395318</v>
      </c>
      <c r="C657" s="100">
        <v>98.381111782166826</v>
      </c>
      <c r="D657" s="100">
        <v>92.803049499049777</v>
      </c>
      <c r="E657" s="100">
        <v>91.265637435002816</v>
      </c>
      <c r="F657" s="100">
        <v>-1735.1043313950213</v>
      </c>
      <c r="G657" s="100">
        <v>-256.83341330706355</v>
      </c>
      <c r="H657" s="100">
        <v>26.061212873656814</v>
      </c>
      <c r="I657" s="100">
        <v>2115.002219698411</v>
      </c>
      <c r="J657" s="100">
        <v>149.12568786998304</v>
      </c>
    </row>
    <row r="658" spans="1:10" x14ac:dyDescent="0.25">
      <c r="A658">
        <v>641</v>
      </c>
      <c r="B658" s="100">
        <v>89.422479925979673</v>
      </c>
      <c r="C658" s="100">
        <v>99.271221149175531</v>
      </c>
      <c r="D658" s="100">
        <v>94.025682067827304</v>
      </c>
      <c r="E658" s="100">
        <v>91.581632577545591</v>
      </c>
      <c r="F658" s="100">
        <v>432.83284797660997</v>
      </c>
      <c r="G658" s="100">
        <v>-1591.9974638201211</v>
      </c>
      <c r="H658" s="100">
        <v>-2419.2039246813974</v>
      </c>
      <c r="I658" s="100">
        <v>1799.0070771556361</v>
      </c>
      <c r="J658" s="100">
        <v>-1779.3614633692723</v>
      </c>
    </row>
    <row r="659" spans="1:10" x14ac:dyDescent="0.25">
      <c r="A659">
        <v>642</v>
      </c>
      <c r="B659" s="100">
        <v>89.01675357908664</v>
      </c>
      <c r="C659" s="100">
        <v>98.835109136810232</v>
      </c>
      <c r="D659" s="100">
        <v>93.212713584847691</v>
      </c>
      <c r="E659" s="100">
        <v>92.229627046303335</v>
      </c>
      <c r="F659" s="100">
        <v>1771.7297927236189</v>
      </c>
      <c r="G659" s="100">
        <v>-937.82944527217182</v>
      </c>
      <c r="H659" s="100">
        <v>-793.26695872217101</v>
      </c>
      <c r="I659" s="100">
        <v>1151.0126083978917</v>
      </c>
      <c r="J659" s="100">
        <v>1191.6459971271677</v>
      </c>
    </row>
    <row r="660" spans="1:10" x14ac:dyDescent="0.25">
      <c r="A660">
        <v>643</v>
      </c>
      <c r="B660" s="100">
        <v>89.697253795795731</v>
      </c>
      <c r="C660" s="100">
        <v>98.23020756796565</v>
      </c>
      <c r="D660" s="100">
        <v>92.854353498841562</v>
      </c>
      <c r="E660" s="100">
        <v>92.452757186415013</v>
      </c>
      <c r="F660" s="100">
        <v>-473.92092241638437</v>
      </c>
      <c r="G660" s="100">
        <v>-30.4770920052988</v>
      </c>
      <c r="H660" s="100">
        <v>-76.546786709911885</v>
      </c>
      <c r="I660" s="100">
        <v>927.88246828621368</v>
      </c>
      <c r="J660" s="100">
        <v>346.93766715461857</v>
      </c>
    </row>
    <row r="661" spans="1:10" x14ac:dyDescent="0.25">
      <c r="A661">
        <v>644</v>
      </c>
      <c r="B661" s="100">
        <v>89.349529215677805</v>
      </c>
      <c r="C661" s="100">
        <v>98.709034625224831</v>
      </c>
      <c r="D661" s="100">
        <v>94.101933320182695</v>
      </c>
      <c r="E661" s="100">
        <v>91.220525914691819</v>
      </c>
      <c r="F661" s="100">
        <v>673.57019197277305</v>
      </c>
      <c r="G661" s="100">
        <v>-748.71767789407068</v>
      </c>
      <c r="H661" s="100">
        <v>-2571.7064293921794</v>
      </c>
      <c r="I661" s="100">
        <v>2160.1137400094076</v>
      </c>
      <c r="J661" s="100">
        <v>-486.74017530406945</v>
      </c>
    </row>
    <row r="662" spans="1:10" x14ac:dyDescent="0.25">
      <c r="A662">
        <v>645</v>
      </c>
      <c r="B662" s="100">
        <v>88.938227160972886</v>
      </c>
      <c r="C662" s="100">
        <v>98.506979102749085</v>
      </c>
      <c r="D662" s="100">
        <v>94.061555592813292</v>
      </c>
      <c r="E662" s="100">
        <v>92.874714838378054</v>
      </c>
      <c r="F662" s="100">
        <v>2030.8669724990054</v>
      </c>
      <c r="G662" s="100">
        <v>-445.63439418045192</v>
      </c>
      <c r="H662" s="100">
        <v>-2490.9509746533731</v>
      </c>
      <c r="I662" s="100">
        <v>505.92481632317288</v>
      </c>
      <c r="J662" s="100">
        <v>-399.79358001164667</v>
      </c>
    </row>
    <row r="663" spans="1:10" x14ac:dyDescent="0.25">
      <c r="A663">
        <v>646</v>
      </c>
      <c r="B663" s="100">
        <v>90.227119132852465</v>
      </c>
      <c r="C663" s="100">
        <v>98.828106101318227</v>
      </c>
      <c r="D663" s="100">
        <v>92.806598655996595</v>
      </c>
      <c r="E663" s="100">
        <v>95.085164496401106</v>
      </c>
      <c r="F663" s="100">
        <v>-2222.4765347036055</v>
      </c>
      <c r="G663" s="100">
        <v>-927.32489203416435</v>
      </c>
      <c r="H663" s="100">
        <v>18.962898980021237</v>
      </c>
      <c r="I663" s="100">
        <v>-1704.5248416998788</v>
      </c>
      <c r="J663" s="100">
        <v>-4835.3633694576274</v>
      </c>
    </row>
    <row r="664" spans="1:10" x14ac:dyDescent="0.25">
      <c r="A664">
        <v>647</v>
      </c>
      <c r="B664" s="100">
        <v>88.821485914133405</v>
      </c>
      <c r="C664" s="100">
        <v>99.55507836594478</v>
      </c>
      <c r="D664" s="100">
        <v>92.275118021246598</v>
      </c>
      <c r="E664" s="100">
        <v>95.912554724395335</v>
      </c>
      <c r="F664" s="100">
        <v>2416.1130870692941</v>
      </c>
      <c r="G664" s="100">
        <v>-2017.7832889739946</v>
      </c>
      <c r="H664" s="100">
        <v>1081.9241684800147</v>
      </c>
      <c r="I664" s="100">
        <v>-2531.9150696941078</v>
      </c>
      <c r="J664" s="100">
        <v>-1051.6611031187936</v>
      </c>
    </row>
    <row r="665" spans="1:10" x14ac:dyDescent="0.25">
      <c r="A665">
        <v>648</v>
      </c>
      <c r="B665" s="100">
        <v>89.713246361765528</v>
      </c>
      <c r="C665" s="100">
        <v>98.543023205470703</v>
      </c>
      <c r="D665" s="100">
        <v>92.734030770257704</v>
      </c>
      <c r="E665" s="100">
        <v>93.828325833804229</v>
      </c>
      <c r="F665" s="100">
        <v>-526.69639011671165</v>
      </c>
      <c r="G665" s="100">
        <v>-499.70054826287935</v>
      </c>
      <c r="H665" s="100">
        <v>164.09867045780402</v>
      </c>
      <c r="I665" s="100">
        <v>-447.68617910300179</v>
      </c>
      <c r="J665" s="100">
        <v>-1309.984447024789</v>
      </c>
    </row>
    <row r="666" spans="1:10" x14ac:dyDescent="0.25">
      <c r="A666">
        <v>649</v>
      </c>
      <c r="B666" s="100">
        <v>89.372974402615696</v>
      </c>
      <c r="C666" s="100">
        <v>99.289951938966993</v>
      </c>
      <c r="D666" s="100">
        <v>93.767546421812895</v>
      </c>
      <c r="E666" s="100">
        <v>91.571674654333023</v>
      </c>
      <c r="F666" s="100">
        <v>596.20107507773105</v>
      </c>
      <c r="G666" s="100">
        <v>-1620.0936485073144</v>
      </c>
      <c r="H666" s="100">
        <v>-1902.9326326525791</v>
      </c>
      <c r="I666" s="100">
        <v>1808.9650003682038</v>
      </c>
      <c r="J666" s="100">
        <v>-1117.8602057139585</v>
      </c>
    </row>
    <row r="667" spans="1:10" x14ac:dyDescent="0.25">
      <c r="A667">
        <v>650</v>
      </c>
      <c r="B667" s="100">
        <v>89.989471901525505</v>
      </c>
      <c r="C667" s="100">
        <v>99.186452782865672</v>
      </c>
      <c r="D667" s="100">
        <v>93.780633298713425</v>
      </c>
      <c r="E667" s="100">
        <v>94.679480962083687</v>
      </c>
      <c r="F667" s="100">
        <v>-1438.2406713246369</v>
      </c>
      <c r="G667" s="100">
        <v>-1464.8449143553321</v>
      </c>
      <c r="H667" s="100">
        <v>-1929.1063864536397</v>
      </c>
      <c r="I667" s="100">
        <v>-1298.8413073824604</v>
      </c>
      <c r="J667" s="100">
        <v>-6131.0332795160693</v>
      </c>
    </row>
    <row r="668" spans="1:10" x14ac:dyDescent="0.25">
      <c r="A668">
        <v>651</v>
      </c>
      <c r="B668" s="100">
        <v>89.760263426103464</v>
      </c>
      <c r="C668" s="100">
        <v>98.980417816498544</v>
      </c>
      <c r="D668" s="100">
        <v>92.601278633568867</v>
      </c>
      <c r="E668" s="100">
        <v>94.543935958448287</v>
      </c>
      <c r="F668" s="100">
        <v>-681.85270243190098</v>
      </c>
      <c r="G668" s="100">
        <v>-1155.792464804641</v>
      </c>
      <c r="H668" s="100">
        <v>429.60294383547648</v>
      </c>
      <c r="I668" s="100">
        <v>-1163.2963037470604</v>
      </c>
      <c r="J668" s="100">
        <v>-2571.3385271481256</v>
      </c>
    </row>
    <row r="669" spans="1:10" x14ac:dyDescent="0.25">
      <c r="A669">
        <v>652</v>
      </c>
      <c r="B669" s="100">
        <v>89.760707388491227</v>
      </c>
      <c r="C669" s="100">
        <v>99.496795929589268</v>
      </c>
      <c r="D669" s="100">
        <v>93.146259468701103</v>
      </c>
      <c r="E669" s="100">
        <v>95.56450663271508</v>
      </c>
      <c r="F669" s="100">
        <v>-683.31777831151896</v>
      </c>
      <c r="G669" s="100">
        <v>-1930.3596344407267</v>
      </c>
      <c r="H669" s="100">
        <v>-660.35872642899562</v>
      </c>
      <c r="I669" s="100">
        <v>-2183.866978013853</v>
      </c>
      <c r="J669" s="100">
        <v>-5457.9031171950937</v>
      </c>
    </row>
    <row r="670" spans="1:10" x14ac:dyDescent="0.25">
      <c r="A670">
        <v>653</v>
      </c>
      <c r="B670" s="100">
        <v>88.936299837491319</v>
      </c>
      <c r="C670" s="100">
        <v>98.365908973274244</v>
      </c>
      <c r="D670" s="100">
        <v>91.513652274821013</v>
      </c>
      <c r="E670" s="100">
        <v>91.592979646327379</v>
      </c>
      <c r="F670" s="100">
        <v>2037.2271399881768</v>
      </c>
      <c r="G670" s="100">
        <v>-234.02919996819094</v>
      </c>
      <c r="H670" s="100">
        <v>2604.8556613311857</v>
      </c>
      <c r="I670" s="100">
        <v>1787.6600083738481</v>
      </c>
      <c r="J670" s="100">
        <v>6195.7136097250204</v>
      </c>
    </row>
    <row r="671" spans="1:10" x14ac:dyDescent="0.25">
      <c r="A671">
        <v>654</v>
      </c>
      <c r="B671" s="100">
        <v>89.112171776854524</v>
      </c>
      <c r="C671" s="100">
        <v>99.654562486909171</v>
      </c>
      <c r="D671" s="100">
        <v>91.940916110815152</v>
      </c>
      <c r="E671" s="100">
        <v>93.697138886374304</v>
      </c>
      <c r="F671" s="100">
        <v>1456.8497400896008</v>
      </c>
      <c r="G671" s="100">
        <v>-2167.0094704205808</v>
      </c>
      <c r="H671" s="100">
        <v>1750.3279893429067</v>
      </c>
      <c r="I671" s="100">
        <v>-316.49923167307747</v>
      </c>
      <c r="J671" s="100">
        <v>723.66902733884922</v>
      </c>
    </row>
    <row r="672" spans="1:10" x14ac:dyDescent="0.25">
      <c r="A672">
        <v>655</v>
      </c>
      <c r="B672" s="100">
        <v>90.199051349965316</v>
      </c>
      <c r="C672" s="100">
        <v>98.469148502626666</v>
      </c>
      <c r="D672" s="100">
        <v>93.372612378419419</v>
      </c>
      <c r="E672" s="100">
        <v>93.90298103400221</v>
      </c>
      <c r="F672" s="100">
        <v>-2129.8528511760142</v>
      </c>
      <c r="G672" s="100">
        <v>-388.88849399682357</v>
      </c>
      <c r="H672" s="100">
        <v>-1113.0645458656261</v>
      </c>
      <c r="I672" s="100">
        <v>-522.34137930098257</v>
      </c>
      <c r="J672" s="100">
        <v>-4154.1472703394456</v>
      </c>
    </row>
    <row r="673" spans="1:10" x14ac:dyDescent="0.25">
      <c r="A673">
        <v>656</v>
      </c>
      <c r="B673" s="100">
        <v>89.160221859067221</v>
      </c>
      <c r="C673" s="100">
        <v>98.791244776903056</v>
      </c>
      <c r="D673" s="100">
        <v>90.963350618407205</v>
      </c>
      <c r="E673" s="100">
        <v>92.412054841991107</v>
      </c>
      <c r="F673" s="100">
        <v>1298.2844687877005</v>
      </c>
      <c r="G673" s="100">
        <v>-872.03290541140882</v>
      </c>
      <c r="H673" s="100">
        <v>3705.4589741588015</v>
      </c>
      <c r="I673" s="100">
        <v>968.58481271011954</v>
      </c>
      <c r="J673" s="100">
        <v>5100.2953502452128</v>
      </c>
    </row>
    <row r="674" spans="1:10" x14ac:dyDescent="0.25">
      <c r="A674">
        <v>657</v>
      </c>
      <c r="B674" s="100">
        <v>89.274869794768875</v>
      </c>
      <c r="C674" s="100">
        <v>98.055502929137717</v>
      </c>
      <c r="D674" s="100">
        <v>94.122575337061548</v>
      </c>
      <c r="E674" s="100">
        <v>91.372109813918684</v>
      </c>
      <c r="F674" s="100">
        <v>919.94628097224052</v>
      </c>
      <c r="G674" s="100">
        <v>231.57986623660065</v>
      </c>
      <c r="H674" s="100">
        <v>-2612.9904631498848</v>
      </c>
      <c r="I674" s="100">
        <v>2008.5298407825435</v>
      </c>
      <c r="J674" s="100">
        <v>547.06552484149984</v>
      </c>
    </row>
    <row r="675" spans="1:10" x14ac:dyDescent="0.25">
      <c r="A675">
        <v>658</v>
      </c>
      <c r="B675" s="100">
        <v>89.035451820618079</v>
      </c>
      <c r="C675" s="100">
        <v>99.09034612112697</v>
      </c>
      <c r="D675" s="100">
        <v>93.027454989653094</v>
      </c>
      <c r="E675" s="100">
        <v>92.533200471237308</v>
      </c>
      <c r="F675" s="100">
        <v>1710.0255956698702</v>
      </c>
      <c r="G675" s="100">
        <v>-1320.6849217472793</v>
      </c>
      <c r="H675" s="100">
        <v>-422.74976833297728</v>
      </c>
      <c r="I675" s="100">
        <v>847.43918346391922</v>
      </c>
      <c r="J675" s="100">
        <v>814.03008905353283</v>
      </c>
    </row>
    <row r="676" spans="1:10" x14ac:dyDescent="0.25">
      <c r="A676">
        <v>659</v>
      </c>
      <c r="B676" s="100">
        <v>88.967805062786695</v>
      </c>
      <c r="C676" s="100">
        <v>97.428024366943148</v>
      </c>
      <c r="D676" s="100">
        <v>93.168886641207948</v>
      </c>
      <c r="E676" s="100">
        <v>94.445489104933017</v>
      </c>
      <c r="F676" s="100">
        <v>1933.2598965134353</v>
      </c>
      <c r="G676" s="100">
        <v>1172.797709528453</v>
      </c>
      <c r="H676" s="100">
        <v>-705.61307144268426</v>
      </c>
      <c r="I676" s="100">
        <v>-1064.8494502317903</v>
      </c>
      <c r="J676" s="100">
        <v>1335.5950843674132</v>
      </c>
    </row>
    <row r="677" spans="1:10" x14ac:dyDescent="0.25">
      <c r="A677">
        <v>660</v>
      </c>
      <c r="B677" s="100">
        <v>89.638495674785503</v>
      </c>
      <c r="C677" s="100">
        <v>98.176056900772295</v>
      </c>
      <c r="D677" s="100">
        <v>93.250461157472159</v>
      </c>
      <c r="E677" s="100">
        <v>94.413207546723413</v>
      </c>
      <c r="F677" s="100">
        <v>-280.01912308263002</v>
      </c>
      <c r="G677" s="100">
        <v>50.74890878473326</v>
      </c>
      <c r="H677" s="100">
        <v>-868.76210397110754</v>
      </c>
      <c r="I677" s="100">
        <v>-1032.5678920221862</v>
      </c>
      <c r="J677" s="100">
        <v>-2130.6002102911907</v>
      </c>
    </row>
    <row r="678" spans="1:10" x14ac:dyDescent="0.25">
      <c r="A678">
        <v>661</v>
      </c>
      <c r="B678" s="100">
        <v>89.884471547625097</v>
      </c>
      <c r="C678" s="100">
        <v>97.38733530902887</v>
      </c>
      <c r="D678" s="100">
        <v>93.42670205120686</v>
      </c>
      <c r="E678" s="100">
        <v>91.542391193959446</v>
      </c>
      <c r="F678" s="100">
        <v>-1091.7395034532901</v>
      </c>
      <c r="G678" s="100">
        <v>1233.8312963998703</v>
      </c>
      <c r="H678" s="100">
        <v>-1221.2438914405084</v>
      </c>
      <c r="I678" s="100">
        <v>1838.2484607417809</v>
      </c>
      <c r="J678" s="100">
        <v>759.09636224785277</v>
      </c>
    </row>
    <row r="679" spans="1:10" x14ac:dyDescent="0.25">
      <c r="A679">
        <v>662</v>
      </c>
      <c r="B679" s="100">
        <v>89.585244000221337</v>
      </c>
      <c r="C679" s="100">
        <v>97.824609899943354</v>
      </c>
      <c r="D679" s="100">
        <v>93.62072996908924</v>
      </c>
      <c r="E679" s="100">
        <v>95.560848623213843</v>
      </c>
      <c r="F679" s="100">
        <v>-104.28859702088289</v>
      </c>
      <c r="G679" s="100">
        <v>577.9194100281444</v>
      </c>
      <c r="H679" s="100">
        <v>-1609.2997272052685</v>
      </c>
      <c r="I679" s="100">
        <v>-2180.2089685126161</v>
      </c>
      <c r="J679" s="100">
        <v>-3315.877882710623</v>
      </c>
    </row>
    <row r="680" spans="1:10" x14ac:dyDescent="0.25">
      <c r="A680">
        <v>663</v>
      </c>
      <c r="B680" s="100">
        <v>89.586176402401989</v>
      </c>
      <c r="C680" s="100">
        <v>97.058947865698627</v>
      </c>
      <c r="D680" s="100">
        <v>92.167687740146917</v>
      </c>
      <c r="E680" s="100">
        <v>93.792587385394143</v>
      </c>
      <c r="F680" s="100">
        <v>-107.36552421703465</v>
      </c>
      <c r="G680" s="100">
        <v>1726.4124613952347</v>
      </c>
      <c r="H680" s="100">
        <v>1296.7847306793772</v>
      </c>
      <c r="I680" s="100">
        <v>-411.94773069291557</v>
      </c>
      <c r="J680" s="100">
        <v>2503.8839371646618</v>
      </c>
    </row>
    <row r="681" spans="1:10" x14ac:dyDescent="0.25">
      <c r="A681">
        <v>664</v>
      </c>
      <c r="B681" s="100">
        <v>89.464577171769605</v>
      </c>
      <c r="C681" s="100">
        <v>96.65160318175306</v>
      </c>
      <c r="D681" s="100">
        <v>92.86075461171086</v>
      </c>
      <c r="E681" s="100">
        <v>92.649453271957967</v>
      </c>
      <c r="F681" s="100">
        <v>293.91193686983286</v>
      </c>
      <c r="G681" s="100">
        <v>2337.429487313585</v>
      </c>
      <c r="H681" s="100">
        <v>-89.349012448508347</v>
      </c>
      <c r="I681" s="100">
        <v>731.18638274326031</v>
      </c>
      <c r="J681" s="100">
        <v>3273.1787944781699</v>
      </c>
    </row>
    <row r="682" spans="1:10" x14ac:dyDescent="0.25">
      <c r="A682">
        <v>665</v>
      </c>
      <c r="B682" s="100">
        <v>89.820602477982604</v>
      </c>
      <c r="C682" s="100">
        <v>97.115347017160758</v>
      </c>
      <c r="D682" s="100">
        <v>91.52737281858262</v>
      </c>
      <c r="E682" s="100">
        <v>90.509041116566408</v>
      </c>
      <c r="F682" s="100">
        <v>-880.97157363306314</v>
      </c>
      <c r="G682" s="100">
        <v>1641.8137342020386</v>
      </c>
      <c r="H682" s="100">
        <v>2577.414573807971</v>
      </c>
      <c r="I682" s="100">
        <v>2871.5985381348191</v>
      </c>
      <c r="J682" s="100">
        <v>6209.8552725117661</v>
      </c>
    </row>
    <row r="683" spans="1:10" x14ac:dyDescent="0.25">
      <c r="A683">
        <v>666</v>
      </c>
      <c r="B683" s="100">
        <v>89.619752412145914</v>
      </c>
      <c r="C683" s="100">
        <v>99.072714359241957</v>
      </c>
      <c r="D683" s="100">
        <v>90.681457339303392</v>
      </c>
      <c r="E683" s="100">
        <v>92.048337419066002</v>
      </c>
      <c r="F683" s="100">
        <v>-218.16635637198658</v>
      </c>
      <c r="G683" s="100">
        <v>-1294.2372789197591</v>
      </c>
      <c r="H683" s="100">
        <v>4269.2455323664262</v>
      </c>
      <c r="I683" s="100">
        <v>1332.3022356352253</v>
      </c>
      <c r="J683" s="100">
        <v>4089.144132709906</v>
      </c>
    </row>
    <row r="684" spans="1:10" x14ac:dyDescent="0.25">
      <c r="A684">
        <v>667</v>
      </c>
      <c r="B684" s="100">
        <v>89.740718240789633</v>
      </c>
      <c r="C684" s="100">
        <v>98.242056205250393</v>
      </c>
      <c r="D684" s="100">
        <v>94.488773989917036</v>
      </c>
      <c r="E684" s="100">
        <v>95.321363837948368</v>
      </c>
      <c r="F684" s="100">
        <v>-617.35359089625922</v>
      </c>
      <c r="G684" s="100">
        <v>-48.250047932413054</v>
      </c>
      <c r="H684" s="100">
        <v>-3345.38776886086</v>
      </c>
      <c r="I684" s="100">
        <v>-1940.7241832471414</v>
      </c>
      <c r="J684" s="100">
        <v>-5951.7155909366738</v>
      </c>
    </row>
    <row r="685" spans="1:10" x14ac:dyDescent="0.25">
      <c r="A685">
        <v>668</v>
      </c>
      <c r="B685" s="100">
        <v>90.048493426016719</v>
      </c>
      <c r="C685" s="100">
        <v>96.656802716038598</v>
      </c>
      <c r="D685" s="100">
        <v>90.677145452870988</v>
      </c>
      <c r="E685" s="100">
        <v>92.554210687250048</v>
      </c>
      <c r="F685" s="100">
        <v>-1633.0117021456444</v>
      </c>
      <c r="G685" s="100">
        <v>2329.6301858852785</v>
      </c>
      <c r="H685" s="100">
        <v>4277.8693052312346</v>
      </c>
      <c r="I685" s="100">
        <v>826.42896745117866</v>
      </c>
      <c r="J685" s="100">
        <v>5800.916756422047</v>
      </c>
    </row>
    <row r="686" spans="1:10" x14ac:dyDescent="0.25">
      <c r="A686">
        <v>669</v>
      </c>
      <c r="B686" s="100">
        <v>89.711323589402951</v>
      </c>
      <c r="C686" s="100">
        <v>97.771364427777783</v>
      </c>
      <c r="D686" s="100">
        <v>91.270877616357822</v>
      </c>
      <c r="E686" s="100">
        <v>92.565961046948019</v>
      </c>
      <c r="F686" s="100">
        <v>-520.35124132021053</v>
      </c>
      <c r="G686" s="100">
        <v>657.78761827650101</v>
      </c>
      <c r="H686" s="100">
        <v>3090.4049782575667</v>
      </c>
      <c r="I686" s="100">
        <v>814.67860775320844</v>
      </c>
      <c r="J686" s="100">
        <v>4042.5199629670656</v>
      </c>
    </row>
    <row r="687" spans="1:10" x14ac:dyDescent="0.25">
      <c r="A687">
        <v>670</v>
      </c>
      <c r="B687" s="100">
        <v>90.346382573994958</v>
      </c>
      <c r="C687" s="100">
        <v>97.785281027392301</v>
      </c>
      <c r="D687" s="100">
        <v>93.647706856677814</v>
      </c>
      <c r="E687" s="100">
        <v>93.086769421498232</v>
      </c>
      <c r="F687" s="100">
        <v>-2616.0458904738334</v>
      </c>
      <c r="G687" s="100">
        <v>636.91271885472383</v>
      </c>
      <c r="H687" s="100">
        <v>-1663.2535023824175</v>
      </c>
      <c r="I687" s="100">
        <v>293.87023320299477</v>
      </c>
      <c r="J687" s="100">
        <v>-3348.5164407985326</v>
      </c>
    </row>
    <row r="688" spans="1:10" x14ac:dyDescent="0.25">
      <c r="A688">
        <v>671</v>
      </c>
      <c r="B688" s="100">
        <v>89.430344942116932</v>
      </c>
      <c r="C688" s="100">
        <v>97.579485184095816</v>
      </c>
      <c r="D688" s="100">
        <v>89.896479566106905</v>
      </c>
      <c r="E688" s="100">
        <v>91.767439648604523</v>
      </c>
      <c r="F688" s="100">
        <v>406.87829472365422</v>
      </c>
      <c r="G688" s="100">
        <v>945.60648379945178</v>
      </c>
      <c r="H688" s="100">
        <v>5839.2010787594018</v>
      </c>
      <c r="I688" s="100">
        <v>1613.2000060967043</v>
      </c>
      <c r="J688" s="100">
        <v>8804.8858633792115</v>
      </c>
    </row>
    <row r="689" spans="1:10" x14ac:dyDescent="0.25">
      <c r="A689">
        <v>672</v>
      </c>
      <c r="B689" s="100">
        <v>89.484791468078512</v>
      </c>
      <c r="C689" s="100">
        <v>99.067557252662922</v>
      </c>
      <c r="D689" s="100">
        <v>93.834504172593654</v>
      </c>
      <c r="E689" s="100">
        <v>95.518954503040149</v>
      </c>
      <c r="F689" s="100">
        <v>227.20475905043855</v>
      </c>
      <c r="G689" s="100">
        <v>-1286.5016190512079</v>
      </c>
      <c r="H689" s="100">
        <v>-2036.8481342140967</v>
      </c>
      <c r="I689" s="100">
        <v>-2138.3148483389223</v>
      </c>
      <c r="J689" s="100">
        <v>-5234.4598425537879</v>
      </c>
    </row>
    <row r="690" spans="1:10" x14ac:dyDescent="0.25">
      <c r="A690">
        <v>673</v>
      </c>
      <c r="B690" s="100">
        <v>89.28460873956486</v>
      </c>
      <c r="C690" s="100">
        <v>96.923908524027112</v>
      </c>
      <c r="D690" s="100">
        <v>93.122368222870904</v>
      </c>
      <c r="E690" s="100">
        <v>93.671524153154749</v>
      </c>
      <c r="F690" s="100">
        <v>887.8077631454928</v>
      </c>
      <c r="G690" s="100">
        <v>1928.9714739025071</v>
      </c>
      <c r="H690" s="100">
        <v>-612.57623476859635</v>
      </c>
      <c r="I690" s="100">
        <v>-290.88449845352216</v>
      </c>
      <c r="J690" s="100">
        <v>1913.3185038258816</v>
      </c>
    </row>
    <row r="691" spans="1:10" x14ac:dyDescent="0.25">
      <c r="A691">
        <v>674</v>
      </c>
      <c r="B691" s="100">
        <v>89.565074954509484</v>
      </c>
      <c r="C691" s="100">
        <v>96.879194250903041</v>
      </c>
      <c r="D691" s="100">
        <v>90.893102623357152</v>
      </c>
      <c r="E691" s="100">
        <v>96.354625053264385</v>
      </c>
      <c r="F691" s="100">
        <v>-37.730746171767748</v>
      </c>
      <c r="G691" s="100">
        <v>1996.0428835886148</v>
      </c>
      <c r="H691" s="100">
        <v>3845.9549642589081</v>
      </c>
      <c r="I691" s="100">
        <v>-2973.9853985631585</v>
      </c>
      <c r="J691" s="100">
        <v>2830.2817031125965</v>
      </c>
    </row>
    <row r="692" spans="1:10" x14ac:dyDescent="0.25">
      <c r="A692">
        <v>675</v>
      </c>
      <c r="B692" s="100">
        <v>90.294865594026149</v>
      </c>
      <c r="C692" s="100">
        <v>97.86969399242551</v>
      </c>
      <c r="D692" s="100">
        <v>93.364785415357005</v>
      </c>
      <c r="E692" s="100">
        <v>94.784580907079686</v>
      </c>
      <c r="F692" s="100">
        <v>-2446.0398565767618</v>
      </c>
      <c r="G692" s="100">
        <v>510.29327130490998</v>
      </c>
      <c r="H692" s="100">
        <v>-1097.4106197407991</v>
      </c>
      <c r="I692" s="100">
        <v>-1403.941252378459</v>
      </c>
      <c r="J692" s="100">
        <v>-4437.0984573911101</v>
      </c>
    </row>
    <row r="693" spans="1:10" x14ac:dyDescent="0.25">
      <c r="A693">
        <v>676</v>
      </c>
      <c r="B693" s="100">
        <v>89.616181307018067</v>
      </c>
      <c r="C693" s="100">
        <v>98.592688850652692</v>
      </c>
      <c r="D693" s="100">
        <v>93.409708776441704</v>
      </c>
      <c r="E693" s="100">
        <v>93.07230801672695</v>
      </c>
      <c r="F693" s="100">
        <v>-206.38170945009193</v>
      </c>
      <c r="G693" s="100">
        <v>-574.19901603586254</v>
      </c>
      <c r="H693" s="100">
        <v>-1187.2573419101968</v>
      </c>
      <c r="I693" s="100">
        <v>308.33163797427687</v>
      </c>
      <c r="J693" s="100">
        <v>-1659.5064294218744</v>
      </c>
    </row>
    <row r="694" spans="1:10" x14ac:dyDescent="0.25">
      <c r="A694">
        <v>677</v>
      </c>
      <c r="B694" s="100">
        <v>90.648881953491298</v>
      </c>
      <c r="C694" s="100">
        <v>95.93058993616367</v>
      </c>
      <c r="D694" s="100">
        <v>92.781098531854681</v>
      </c>
      <c r="E694" s="100">
        <v>93.456141292550697</v>
      </c>
      <c r="F694" s="100">
        <v>-3614.2938428117532</v>
      </c>
      <c r="G694" s="100">
        <v>3418.9493556976699</v>
      </c>
      <c r="H694" s="100">
        <v>69.963147263848668</v>
      </c>
      <c r="I694" s="100">
        <v>-75.501637849470171</v>
      </c>
      <c r="J694" s="100">
        <v>-200.88297769970472</v>
      </c>
    </row>
    <row r="695" spans="1:10" x14ac:dyDescent="0.25">
      <c r="A695">
        <v>678</v>
      </c>
      <c r="B695" s="100">
        <v>88.75426280401355</v>
      </c>
      <c r="C695" s="100">
        <v>99.737097421407057</v>
      </c>
      <c r="D695" s="100">
        <v>93.531024453395091</v>
      </c>
      <c r="E695" s="100">
        <v>93.809327767905444</v>
      </c>
      <c r="F695" s="100">
        <v>2637.9493504648153</v>
      </c>
      <c r="G695" s="100">
        <v>-2290.81187216741</v>
      </c>
      <c r="H695" s="100">
        <v>-1429.8886958169703</v>
      </c>
      <c r="I695" s="100">
        <v>-428.68811320421685</v>
      </c>
      <c r="J695" s="100">
        <v>-1511.4393307237819</v>
      </c>
    </row>
    <row r="696" spans="1:10" x14ac:dyDescent="0.25">
      <c r="A696">
        <v>679</v>
      </c>
      <c r="B696" s="100">
        <v>89.195154661776414</v>
      </c>
      <c r="C696" s="100">
        <v>97.259227418275955</v>
      </c>
      <c r="D696" s="100">
        <v>92.858175689192961</v>
      </c>
      <c r="E696" s="100">
        <v>93.94337284549897</v>
      </c>
      <c r="F696" s="100">
        <v>1183.006219847364</v>
      </c>
      <c r="G696" s="100">
        <v>1425.9931325292428</v>
      </c>
      <c r="H696" s="100">
        <v>-84.19116741271182</v>
      </c>
      <c r="I696" s="100">
        <v>-562.73319079774353</v>
      </c>
      <c r="J696" s="100">
        <v>1962.0749941661516</v>
      </c>
    </row>
    <row r="697" spans="1:10" x14ac:dyDescent="0.25">
      <c r="A697">
        <v>680</v>
      </c>
      <c r="B697" s="100">
        <v>89.762537950127765</v>
      </c>
      <c r="C697" s="100">
        <v>98.97910985346293</v>
      </c>
      <c r="D697" s="100">
        <v>93.67940819421311</v>
      </c>
      <c r="E697" s="100">
        <v>92.955692653793889</v>
      </c>
      <c r="F697" s="100">
        <v>-689.35863171209485</v>
      </c>
      <c r="G697" s="100">
        <v>-1153.8305202512192</v>
      </c>
      <c r="H697" s="100">
        <v>-1726.6561774530089</v>
      </c>
      <c r="I697" s="100">
        <v>424.94700090733772</v>
      </c>
      <c r="J697" s="100">
        <v>-3144.8983285089853</v>
      </c>
    </row>
    <row r="698" spans="1:10" x14ac:dyDescent="0.25">
      <c r="A698">
        <v>681</v>
      </c>
      <c r="B698" s="100">
        <v>89.010466455514234</v>
      </c>
      <c r="C698" s="100">
        <v>99.649068889563182</v>
      </c>
      <c r="D698" s="100">
        <v>91.892497482413177</v>
      </c>
      <c r="E698" s="100">
        <v>93.962048272142496</v>
      </c>
      <c r="F698" s="100">
        <v>1792.4773005125587</v>
      </c>
      <c r="G698" s="100">
        <v>-2158.7690744015972</v>
      </c>
      <c r="H698" s="100">
        <v>1847.165246146858</v>
      </c>
      <c r="I698" s="100">
        <v>-581.40861744126937</v>
      </c>
      <c r="J698" s="100">
        <v>899.46485481655009</v>
      </c>
    </row>
    <row r="699" spans="1:10" x14ac:dyDescent="0.25">
      <c r="A699">
        <v>682</v>
      </c>
      <c r="B699" s="100">
        <v>89.715480148406769</v>
      </c>
      <c r="C699" s="100">
        <v>97.93797041583133</v>
      </c>
      <c r="D699" s="100">
        <v>93.2275406877216</v>
      </c>
      <c r="E699" s="100">
        <v>95.337775414530711</v>
      </c>
      <c r="F699" s="100">
        <v>-534.06788603280825</v>
      </c>
      <c r="G699" s="100">
        <v>407.87863619618037</v>
      </c>
      <c r="H699" s="100">
        <v>-822.92116446998875</v>
      </c>
      <c r="I699" s="100">
        <v>-1957.135759829484</v>
      </c>
      <c r="J699" s="100">
        <v>-2906.2461741361003</v>
      </c>
    </row>
    <row r="700" spans="1:10" x14ac:dyDescent="0.25">
      <c r="A700">
        <v>683</v>
      </c>
      <c r="B700" s="100">
        <v>88.736565158594573</v>
      </c>
      <c r="C700" s="100">
        <v>98.551794354494191</v>
      </c>
      <c r="D700" s="100">
        <v>91.227996035621786</v>
      </c>
      <c r="E700" s="100">
        <v>93.86462933897252</v>
      </c>
      <c r="F700" s="100">
        <v>2696.3515803474393</v>
      </c>
      <c r="G700" s="100">
        <v>-512.85727179811147</v>
      </c>
      <c r="H700" s="100">
        <v>3176.1681397296397</v>
      </c>
      <c r="I700" s="100">
        <v>-483.98968427129319</v>
      </c>
      <c r="J700" s="100">
        <v>4875.6727640076742</v>
      </c>
    </row>
    <row r="701" spans="1:10" x14ac:dyDescent="0.25">
      <c r="A701">
        <v>684</v>
      </c>
      <c r="B701" s="100">
        <v>88.647194694498822</v>
      </c>
      <c r="C701" s="100">
        <v>100.04809436386843</v>
      </c>
      <c r="D701" s="100">
        <v>92.102905453180227</v>
      </c>
      <c r="E701" s="100">
        <v>93.42590028430962</v>
      </c>
      <c r="F701" s="100">
        <v>2991.2741118634171</v>
      </c>
      <c r="G701" s="100">
        <v>-2757.3072858594687</v>
      </c>
      <c r="H701" s="100">
        <v>1426.3493046127564</v>
      </c>
      <c r="I701" s="100">
        <v>-45.260629608392833</v>
      </c>
      <c r="J701" s="100">
        <v>1615.0555010083121</v>
      </c>
    </row>
    <row r="702" spans="1:10" x14ac:dyDescent="0.25">
      <c r="A702">
        <v>685</v>
      </c>
      <c r="B702" s="100">
        <v>89.295617025504697</v>
      </c>
      <c r="C702" s="100">
        <v>100.47520434015324</v>
      </c>
      <c r="D702" s="100">
        <v>93.197371485254124</v>
      </c>
      <c r="E702" s="100">
        <v>92.022099982656158</v>
      </c>
      <c r="F702" s="100">
        <v>851.48041954402913</v>
      </c>
      <c r="G702" s="100">
        <v>-3397.9722502866848</v>
      </c>
      <c r="H702" s="100">
        <v>-762.58275953503585</v>
      </c>
      <c r="I702" s="100">
        <v>1358.539672045069</v>
      </c>
      <c r="J702" s="100">
        <v>-1950.5349182326227</v>
      </c>
    </row>
    <row r="703" spans="1:10" x14ac:dyDescent="0.25">
      <c r="A703">
        <v>686</v>
      </c>
      <c r="B703" s="100">
        <v>90.150958500969381</v>
      </c>
      <c r="C703" s="100">
        <v>98.297611155208472</v>
      </c>
      <c r="D703" s="100">
        <v>92.989796141381689</v>
      </c>
      <c r="E703" s="100">
        <v>92.345043094780451</v>
      </c>
      <c r="F703" s="100">
        <v>-1971.1464494894271</v>
      </c>
      <c r="G703" s="100">
        <v>-131.58247286953184</v>
      </c>
      <c r="H703" s="100">
        <v>-347.43207179016622</v>
      </c>
      <c r="I703" s="100">
        <v>1035.5965599207764</v>
      </c>
      <c r="J703" s="100">
        <v>-1414.5644342283488</v>
      </c>
    </row>
    <row r="704" spans="1:10" x14ac:dyDescent="0.25">
      <c r="A704">
        <v>687</v>
      </c>
      <c r="B704" s="100">
        <v>89.490647377551568</v>
      </c>
      <c r="C704" s="100">
        <v>96.1806452489257</v>
      </c>
      <c r="D704" s="100">
        <v>91.490072273199118</v>
      </c>
      <c r="E704" s="100">
        <v>92.862875811336892</v>
      </c>
      <c r="F704" s="100">
        <v>207.88025778935548</v>
      </c>
      <c r="G704" s="100">
        <v>3043.8663865546259</v>
      </c>
      <c r="H704" s="100">
        <v>2652.0156645749748</v>
      </c>
      <c r="I704" s="100">
        <v>517.76384336433523</v>
      </c>
      <c r="J704" s="100">
        <v>6421.5261522832916</v>
      </c>
    </row>
    <row r="705" spans="1:10" x14ac:dyDescent="0.25">
      <c r="A705">
        <v>688</v>
      </c>
      <c r="B705" s="100">
        <v>89.444928372914063</v>
      </c>
      <c r="C705" s="100">
        <v>96.996898651993803</v>
      </c>
      <c r="D705" s="100">
        <v>91.307754032548331</v>
      </c>
      <c r="E705" s="100">
        <v>91.874140457882135</v>
      </c>
      <c r="F705" s="100">
        <v>358.75297309312089</v>
      </c>
      <c r="G705" s="100">
        <v>1819.4862819524715</v>
      </c>
      <c r="H705" s="100">
        <v>3016.6521458765487</v>
      </c>
      <c r="I705" s="100">
        <v>1506.4991968190925</v>
      </c>
      <c r="J705" s="100">
        <v>6701.3905977412333</v>
      </c>
    </row>
    <row r="706" spans="1:10" x14ac:dyDescent="0.25">
      <c r="A706">
        <v>689</v>
      </c>
      <c r="B706" s="100">
        <v>89.999066702126399</v>
      </c>
      <c r="C706" s="100">
        <v>98.158624493253285</v>
      </c>
      <c r="D706" s="100">
        <v>91.766415285127664</v>
      </c>
      <c r="E706" s="100">
        <v>92.309601316330216</v>
      </c>
      <c r="F706" s="100">
        <v>-1469.9035133075868</v>
      </c>
      <c r="G706" s="100">
        <v>76.897520063248237</v>
      </c>
      <c r="H706" s="100">
        <v>2099.3296407178832</v>
      </c>
      <c r="I706" s="100">
        <v>1071.0383383710109</v>
      </c>
      <c r="J706" s="100">
        <v>1777.3619858445556</v>
      </c>
    </row>
    <row r="707" spans="1:10" x14ac:dyDescent="0.25">
      <c r="A707">
        <v>690</v>
      </c>
      <c r="B707" s="100">
        <v>90.21445678192427</v>
      </c>
      <c r="C707" s="100">
        <v>97.514860849862259</v>
      </c>
      <c r="D707" s="100">
        <v>92.655456410930071</v>
      </c>
      <c r="E707" s="100">
        <v>93.711219482852286</v>
      </c>
      <c r="F707" s="100">
        <v>-2180.6907766405602</v>
      </c>
      <c r="G707" s="100">
        <v>1042.5429851497868</v>
      </c>
      <c r="H707" s="100">
        <v>321.24738911306849</v>
      </c>
      <c r="I707" s="100">
        <v>-330.57982815105902</v>
      </c>
      <c r="J707" s="100">
        <v>-1147.480230528764</v>
      </c>
    </row>
    <row r="708" spans="1:10" x14ac:dyDescent="0.25">
      <c r="A708">
        <v>691</v>
      </c>
      <c r="B708" s="100">
        <v>89.732734455799175</v>
      </c>
      <c r="C708" s="100">
        <v>98.582107082984152</v>
      </c>
      <c r="D708" s="100">
        <v>93.074773737713571</v>
      </c>
      <c r="E708" s="100">
        <v>93.875812335363776</v>
      </c>
      <c r="F708" s="100">
        <v>-591.00710042774836</v>
      </c>
      <c r="G708" s="100">
        <v>-558.3263645330519</v>
      </c>
      <c r="H708" s="100">
        <v>-517.38726445393013</v>
      </c>
      <c r="I708" s="100">
        <v>-495.17268066254871</v>
      </c>
      <c r="J708" s="100">
        <v>-2161.893410077279</v>
      </c>
    </row>
    <row r="709" spans="1:10" x14ac:dyDescent="0.25">
      <c r="A709">
        <v>692</v>
      </c>
      <c r="B709" s="100">
        <v>90.137657798507973</v>
      </c>
      <c r="C709" s="100">
        <v>99.100565225191389</v>
      </c>
      <c r="D709" s="100">
        <v>94.143075263917595</v>
      </c>
      <c r="E709" s="100">
        <v>92.653515150384436</v>
      </c>
      <c r="F709" s="100">
        <v>-1927.254131366783</v>
      </c>
      <c r="G709" s="100">
        <v>-1336.0135778439073</v>
      </c>
      <c r="H709" s="100">
        <v>-2653.9903168619785</v>
      </c>
      <c r="I709" s="100">
        <v>727.12450431679088</v>
      </c>
      <c r="J709" s="100">
        <v>-5190.1335217558781</v>
      </c>
    </row>
    <row r="710" spans="1:10" x14ac:dyDescent="0.25">
      <c r="A710">
        <v>693</v>
      </c>
      <c r="B710" s="100">
        <v>89.74818519791549</v>
      </c>
      <c r="C710" s="100">
        <v>98.651035375462641</v>
      </c>
      <c r="D710" s="100">
        <v>92.658068785321248</v>
      </c>
      <c r="E710" s="100">
        <v>92.73770210171979</v>
      </c>
      <c r="F710" s="100">
        <v>-641.99454941158649</v>
      </c>
      <c r="G710" s="100">
        <v>-661.71880325078541</v>
      </c>
      <c r="H710" s="100">
        <v>316.02264033071492</v>
      </c>
      <c r="I710" s="100">
        <v>642.93755298143651</v>
      </c>
      <c r="J710" s="100">
        <v>-344.75315935022059</v>
      </c>
    </row>
    <row r="711" spans="1:10" x14ac:dyDescent="0.25">
      <c r="A711">
        <v>694</v>
      </c>
      <c r="B711" s="100">
        <v>89.070085388247151</v>
      </c>
      <c r="C711" s="100">
        <v>98.512874910549456</v>
      </c>
      <c r="D711" s="100">
        <v>92.977416695677476</v>
      </c>
      <c r="E711" s="100">
        <v>93.245833185344807</v>
      </c>
      <c r="F711" s="100">
        <v>1595.7348224939324</v>
      </c>
      <c r="G711" s="100">
        <v>-454.47810588100879</v>
      </c>
      <c r="H711" s="100">
        <v>-322.67318038174153</v>
      </c>
      <c r="I711" s="100">
        <v>134.80646935641971</v>
      </c>
      <c r="J711" s="100">
        <v>953.39000558760176</v>
      </c>
    </row>
    <row r="712" spans="1:10" x14ac:dyDescent="0.25">
      <c r="A712">
        <v>695</v>
      </c>
      <c r="B712" s="100">
        <v>88.848219048680292</v>
      </c>
      <c r="C712" s="100">
        <v>98.54950631635019</v>
      </c>
      <c r="D712" s="100">
        <v>93.955231655726138</v>
      </c>
      <c r="E712" s="100">
        <v>94.45077225677602</v>
      </c>
      <c r="F712" s="100">
        <v>2327.8937430645656</v>
      </c>
      <c r="G712" s="100">
        <v>-509.42521458210877</v>
      </c>
      <c r="H712" s="100">
        <v>-2278.3031004790646</v>
      </c>
      <c r="I712" s="100">
        <v>-1070.1326020747929</v>
      </c>
      <c r="J712" s="100">
        <v>-1529.9671740714007</v>
      </c>
    </row>
    <row r="713" spans="1:10" x14ac:dyDescent="0.25">
      <c r="A713">
        <v>696</v>
      </c>
      <c r="B713" s="100">
        <v>90.16012928461474</v>
      </c>
      <c r="C713" s="100">
        <v>98.088883410739442</v>
      </c>
      <c r="D713" s="100">
        <v>93.643692013807026</v>
      </c>
      <c r="E713" s="100">
        <v>95.267792241953416</v>
      </c>
      <c r="F713" s="100">
        <v>-2001.4100355191133</v>
      </c>
      <c r="G713" s="100">
        <v>181.50914383401329</v>
      </c>
      <c r="H713" s="100">
        <v>-1655.2238166408415</v>
      </c>
      <c r="I713" s="100">
        <v>-1887.1525872521886</v>
      </c>
      <c r="J713" s="100">
        <v>-5362.2772955781302</v>
      </c>
    </row>
    <row r="714" spans="1:10" x14ac:dyDescent="0.25">
      <c r="A714">
        <v>697</v>
      </c>
      <c r="B714" s="100">
        <v>89.880731554100876</v>
      </c>
      <c r="C714" s="100">
        <v>100.09095874008965</v>
      </c>
      <c r="D714" s="100">
        <v>92.511446812093808</v>
      </c>
      <c r="E714" s="100">
        <v>93.708852008057704</v>
      </c>
      <c r="F714" s="100">
        <v>-1079.3975248233621</v>
      </c>
      <c r="G714" s="100">
        <v>-2821.6038501912949</v>
      </c>
      <c r="H714" s="100">
        <v>609.2665867855942</v>
      </c>
      <c r="I714" s="100">
        <v>-328.21235335647714</v>
      </c>
      <c r="J714" s="100">
        <v>-3619.9471415855405</v>
      </c>
    </row>
    <row r="715" spans="1:10" x14ac:dyDescent="0.25">
      <c r="A715">
        <v>698</v>
      </c>
      <c r="B715" s="100">
        <v>90.099878858588241</v>
      </c>
      <c r="C715" s="100">
        <v>99.240293419340034</v>
      </c>
      <c r="D715" s="100">
        <v>94.6642217011577</v>
      </c>
      <c r="E715" s="100">
        <v>91.354363270026965</v>
      </c>
      <c r="F715" s="100">
        <v>-1802.5836296316654</v>
      </c>
      <c r="G715" s="100">
        <v>-1545.6058690668756</v>
      </c>
      <c r="H715" s="100">
        <v>-3696.2831913421896</v>
      </c>
      <c r="I715" s="100">
        <v>2026.2763846742614</v>
      </c>
      <c r="J715" s="100">
        <v>-5018.1963053664695</v>
      </c>
    </row>
    <row r="716" spans="1:10" x14ac:dyDescent="0.25">
      <c r="A716">
        <v>699</v>
      </c>
      <c r="B716" s="100">
        <v>89.844499998347388</v>
      </c>
      <c r="C716" s="100">
        <v>96.775237249200401</v>
      </c>
      <c r="D716" s="100">
        <v>94.777647962064876</v>
      </c>
      <c r="E716" s="100">
        <v>92.423103876339056</v>
      </c>
      <c r="F716" s="100">
        <v>-959.83339083685019</v>
      </c>
      <c r="G716" s="100">
        <v>2151.9783861425735</v>
      </c>
      <c r="H716" s="100">
        <v>-3923.1357131565401</v>
      </c>
      <c r="I716" s="100">
        <v>957.53577836217119</v>
      </c>
      <c r="J716" s="100">
        <v>-1773.4549394886453</v>
      </c>
    </row>
    <row r="717" spans="1:10" x14ac:dyDescent="0.25">
      <c r="A717">
        <v>700</v>
      </c>
      <c r="B717" s="100">
        <v>88.989163822476428</v>
      </c>
      <c r="C717" s="100">
        <v>97.599024548020594</v>
      </c>
      <c r="D717" s="100">
        <v>94.134023747716299</v>
      </c>
      <c r="E717" s="100">
        <v>91.693314605295228</v>
      </c>
      <c r="F717" s="100">
        <v>1862.7759895373174</v>
      </c>
      <c r="G717" s="100">
        <v>916.29743791228429</v>
      </c>
      <c r="H717" s="100">
        <v>-2635.8872844593861</v>
      </c>
      <c r="I717" s="100">
        <v>1687.3250494059989</v>
      </c>
      <c r="J717" s="100">
        <v>1830.5111923962145</v>
      </c>
    </row>
    <row r="718" spans="1:10" x14ac:dyDescent="0.25">
      <c r="A718">
        <v>701</v>
      </c>
      <c r="B718" s="100">
        <v>89.415818155093291</v>
      </c>
      <c r="C718" s="100">
        <v>97.95069843851121</v>
      </c>
      <c r="D718" s="100">
        <v>93.189877111085352</v>
      </c>
      <c r="E718" s="100">
        <v>94.042749775921905</v>
      </c>
      <c r="F718" s="100">
        <v>454.8166919016694</v>
      </c>
      <c r="G718" s="100">
        <v>388.78660217635996</v>
      </c>
      <c r="H718" s="100">
        <v>-747.59401119749214</v>
      </c>
      <c r="I718" s="100">
        <v>-662.11012122067814</v>
      </c>
      <c r="J718" s="100">
        <v>-566.10083834014085</v>
      </c>
    </row>
    <row r="719" spans="1:10" x14ac:dyDescent="0.25">
      <c r="A719">
        <v>702</v>
      </c>
      <c r="B719" s="100">
        <v>89.999036374467664</v>
      </c>
      <c r="C719" s="100">
        <v>98.331395438941101</v>
      </c>
      <c r="D719" s="100">
        <v>94.11668865372684</v>
      </c>
      <c r="E719" s="100">
        <v>92.912461030330945</v>
      </c>
      <c r="F719" s="100">
        <v>-1469.8034320337626</v>
      </c>
      <c r="G719" s="100">
        <v>-182.25889846847565</v>
      </c>
      <c r="H719" s="100">
        <v>-2601.2170964804682</v>
      </c>
      <c r="I719" s="100">
        <v>468.17862437028168</v>
      </c>
      <c r="J719" s="100">
        <v>-3785.1008026124246</v>
      </c>
    </row>
    <row r="720" spans="1:10" x14ac:dyDescent="0.25">
      <c r="A720">
        <v>703</v>
      </c>
      <c r="B720" s="100">
        <v>90.172998685247691</v>
      </c>
      <c r="C720" s="100">
        <v>98.537406647632423</v>
      </c>
      <c r="D720" s="100">
        <v>92.482422040744652</v>
      </c>
      <c r="E720" s="100">
        <v>89.642704948967065</v>
      </c>
      <c r="F720" s="100">
        <v>-2043.8790576078518</v>
      </c>
      <c r="G720" s="100">
        <v>-491.2757115054589</v>
      </c>
      <c r="H720" s="100">
        <v>667.31612948390762</v>
      </c>
      <c r="I720" s="100">
        <v>3737.934705734162</v>
      </c>
      <c r="J720" s="100">
        <v>1870.0960661047591</v>
      </c>
    </row>
    <row r="721" spans="1:10" x14ac:dyDescent="0.25">
      <c r="A721">
        <v>704</v>
      </c>
      <c r="B721" s="100">
        <v>88.726379128026664</v>
      </c>
      <c r="C721" s="100">
        <v>99.510469326417734</v>
      </c>
      <c r="D721" s="100">
        <v>93.656044031441184</v>
      </c>
      <c r="E721" s="100">
        <v>94.990639090916304</v>
      </c>
      <c r="F721" s="100">
        <v>2729.9654812215367</v>
      </c>
      <c r="G721" s="100">
        <v>-1950.8697296834257</v>
      </c>
      <c r="H721" s="100">
        <v>-1679.9278519091558</v>
      </c>
      <c r="I721" s="100">
        <v>-1609.9994362150767</v>
      </c>
      <c r="J721" s="100">
        <v>-2510.8315365861217</v>
      </c>
    </row>
    <row r="722" spans="1:10" x14ac:dyDescent="0.25">
      <c r="A722">
        <v>705</v>
      </c>
      <c r="B722" s="100">
        <v>89.842543338078329</v>
      </c>
      <c r="C722" s="100">
        <v>97.214200906219205</v>
      </c>
      <c r="D722" s="100">
        <v>92.770684140855565</v>
      </c>
      <c r="E722" s="100">
        <v>92.707209275067783</v>
      </c>
      <c r="F722" s="100">
        <v>-953.37641194895605</v>
      </c>
      <c r="G722" s="100">
        <v>1493.5329006143688</v>
      </c>
      <c r="H722" s="100">
        <v>90.791929262081794</v>
      </c>
      <c r="I722" s="100">
        <v>673.43037963344443</v>
      </c>
      <c r="J722" s="100">
        <v>1304.3787975609389</v>
      </c>
    </row>
    <row r="723" spans="1:10" x14ac:dyDescent="0.25">
      <c r="A723">
        <v>706</v>
      </c>
      <c r="B723" s="100">
        <v>89.273801976779936</v>
      </c>
      <c r="C723" s="100">
        <v>98.433796765437506</v>
      </c>
      <c r="D723" s="100">
        <v>92.331507491920689</v>
      </c>
      <c r="E723" s="100">
        <v>95.030674613222047</v>
      </c>
      <c r="F723" s="100">
        <v>923.47008033574127</v>
      </c>
      <c r="G723" s="100">
        <v>-335.8608882130838</v>
      </c>
      <c r="H723" s="100">
        <v>969.1452271318326</v>
      </c>
      <c r="I723" s="100">
        <v>-1650.0349585208198</v>
      </c>
      <c r="J723" s="100">
        <v>-93.280539266329697</v>
      </c>
    </row>
    <row r="724" spans="1:10" x14ac:dyDescent="0.25">
      <c r="A724">
        <v>707</v>
      </c>
      <c r="B724" s="100">
        <v>90.33592908915675</v>
      </c>
      <c r="C724" s="100">
        <v>97.015931820569278</v>
      </c>
      <c r="D724" s="100">
        <v>92.150565074127073</v>
      </c>
      <c r="E724" s="100">
        <v>93.016425141069263</v>
      </c>
      <c r="F724" s="100">
        <v>-2581.5493905077446</v>
      </c>
      <c r="G724" s="100">
        <v>1790.9365290892581</v>
      </c>
      <c r="H724" s="100">
        <v>1331.0300627190657</v>
      </c>
      <c r="I724" s="100">
        <v>364.21451363196411</v>
      </c>
      <c r="J724" s="100">
        <v>904.63171493254322</v>
      </c>
    </row>
    <row r="725" spans="1:10" x14ac:dyDescent="0.25">
      <c r="A725">
        <v>708</v>
      </c>
      <c r="B725" s="100">
        <v>89.826277471736432</v>
      </c>
      <c r="C725" s="100">
        <v>97.212309063718536</v>
      </c>
      <c r="D725" s="100">
        <v>91.824872966762783</v>
      </c>
      <c r="E725" s="100">
        <v>92.921226812747477</v>
      </c>
      <c r="F725" s="100">
        <v>-899.69905302069719</v>
      </c>
      <c r="G725" s="100">
        <v>1496.3706643653722</v>
      </c>
      <c r="H725" s="100">
        <v>1982.4142774476456</v>
      </c>
      <c r="I725" s="100">
        <v>459.41284195374976</v>
      </c>
      <c r="J725" s="100">
        <v>3038.4987307460701</v>
      </c>
    </row>
    <row r="726" spans="1:10" x14ac:dyDescent="0.25">
      <c r="A726">
        <v>709</v>
      </c>
      <c r="B726" s="100">
        <v>89.673317407819042</v>
      </c>
      <c r="C726" s="100">
        <v>97.628365600888927</v>
      </c>
      <c r="D726" s="100">
        <v>92.816554221900631</v>
      </c>
      <c r="E726" s="100">
        <v>93.927716763545817</v>
      </c>
      <c r="F726" s="100">
        <v>-394.93084209330789</v>
      </c>
      <c r="G726" s="100">
        <v>872.28585860978569</v>
      </c>
      <c r="H726" s="100">
        <v>-0.94823282805123199</v>
      </c>
      <c r="I726" s="100">
        <v>-547.07710884459004</v>
      </c>
      <c r="J726" s="100">
        <v>-70.670325156163472</v>
      </c>
    </row>
    <row r="727" spans="1:10" x14ac:dyDescent="0.25">
      <c r="A727">
        <v>710</v>
      </c>
      <c r="B727" s="100">
        <v>88.95678897525093</v>
      </c>
      <c r="C727" s="100">
        <v>99.814596823805331</v>
      </c>
      <c r="D727" s="100">
        <v>91.403500781868246</v>
      </c>
      <c r="E727" s="100">
        <v>95.320463145114019</v>
      </c>
      <c r="F727" s="100">
        <v>1969.6129853814596</v>
      </c>
      <c r="G727" s="100">
        <v>-2407.0609757648213</v>
      </c>
      <c r="H727" s="100">
        <v>2825.1586472367194</v>
      </c>
      <c r="I727" s="100">
        <v>-1939.8234904127917</v>
      </c>
      <c r="J727" s="100">
        <v>447.88716644056603</v>
      </c>
    </row>
    <row r="728" spans="1:10" x14ac:dyDescent="0.25">
      <c r="A728">
        <v>711</v>
      </c>
      <c r="B728" s="100">
        <v>90.345086696722632</v>
      </c>
      <c r="C728" s="100">
        <v>98.065539429470476</v>
      </c>
      <c r="D728" s="100">
        <v>91.150363535839688</v>
      </c>
      <c r="E728" s="100">
        <v>94.124471913455437</v>
      </c>
      <c r="F728" s="100">
        <v>-2611.7694954751555</v>
      </c>
      <c r="G728" s="100">
        <v>216.52511573746125</v>
      </c>
      <c r="H728" s="100">
        <v>3331.4331392938357</v>
      </c>
      <c r="I728" s="100">
        <v>-743.83225875421033</v>
      </c>
      <c r="J728" s="100">
        <v>192.35650080193125</v>
      </c>
    </row>
    <row r="729" spans="1:10" x14ac:dyDescent="0.25">
      <c r="A729">
        <v>712</v>
      </c>
      <c r="B729" s="100">
        <v>89.68703635891292</v>
      </c>
      <c r="C729" s="100">
        <v>98.901224854616046</v>
      </c>
      <c r="D729" s="100">
        <v>90.986152260543804</v>
      </c>
      <c r="E729" s="100">
        <v>91.956646472029476</v>
      </c>
      <c r="F729" s="100">
        <v>-440.20338070310601</v>
      </c>
      <c r="G729" s="100">
        <v>-1037.0030219808939</v>
      </c>
      <c r="H729" s="100">
        <v>3659.8556898856032</v>
      </c>
      <c r="I729" s="100">
        <v>1423.9931826717509</v>
      </c>
      <c r="J729" s="100">
        <v>3606.6424698733545</v>
      </c>
    </row>
    <row r="730" spans="1:10" x14ac:dyDescent="0.25">
      <c r="A730">
        <v>713</v>
      </c>
      <c r="B730" s="100">
        <v>89.98753317021982</v>
      </c>
      <c r="C730" s="100">
        <v>98.368033173916629</v>
      </c>
      <c r="D730" s="100">
        <v>92.150633585547098</v>
      </c>
      <c r="E730" s="100">
        <v>95.038962324718241</v>
      </c>
      <c r="F730" s="100">
        <v>-1431.8428580158752</v>
      </c>
      <c r="G730" s="100">
        <v>-237.21550093176802</v>
      </c>
      <c r="H730" s="100">
        <v>1330.8930398790153</v>
      </c>
      <c r="I730" s="100">
        <v>-1658.3226700170144</v>
      </c>
      <c r="J730" s="100">
        <v>-1996.4879890856423</v>
      </c>
    </row>
    <row r="731" spans="1:10" x14ac:dyDescent="0.25">
      <c r="A731">
        <v>714</v>
      </c>
      <c r="B731" s="100">
        <v>89.592705095651937</v>
      </c>
      <c r="C731" s="100">
        <v>98.622062405049022</v>
      </c>
      <c r="D731" s="100">
        <v>95.136654085125642</v>
      </c>
      <c r="E731" s="100">
        <v>93.479000606004576</v>
      </c>
      <c r="F731" s="100">
        <v>-128.91021194186152</v>
      </c>
      <c r="G731" s="100">
        <v>-618.25934763035661</v>
      </c>
      <c r="H731" s="100">
        <v>-4641.1479592780724</v>
      </c>
      <c r="I731" s="100">
        <v>-98.360951303348543</v>
      </c>
      <c r="J731" s="100">
        <v>-5486.678470153639</v>
      </c>
    </row>
    <row r="732" spans="1:10" x14ac:dyDescent="0.25">
      <c r="A732">
        <v>715</v>
      </c>
      <c r="B732" s="100">
        <v>88.888131783821692</v>
      </c>
      <c r="C732" s="100">
        <v>99.894339776783696</v>
      </c>
      <c r="D732" s="100">
        <v>91.983727690369861</v>
      </c>
      <c r="E732" s="100">
        <v>92.651694452363444</v>
      </c>
      <c r="F732" s="100">
        <v>2196.1817170979471</v>
      </c>
      <c r="G732" s="100">
        <v>-2526.6754052323677</v>
      </c>
      <c r="H732" s="100">
        <v>1664.7048302334895</v>
      </c>
      <c r="I732" s="100">
        <v>728.94520233778337</v>
      </c>
      <c r="J732" s="100">
        <v>2063.1563444368521</v>
      </c>
    </row>
    <row r="733" spans="1:10" x14ac:dyDescent="0.25">
      <c r="A733">
        <v>716</v>
      </c>
      <c r="B733" s="100">
        <v>90.06595273684033</v>
      </c>
      <c r="C733" s="100">
        <v>98.621961710942003</v>
      </c>
      <c r="D733" s="100">
        <v>94.586115684071927</v>
      </c>
      <c r="E733" s="100">
        <v>93.949334148703187</v>
      </c>
      <c r="F733" s="100">
        <v>-1690.6274278635606</v>
      </c>
      <c r="G733" s="100">
        <v>-618.10830646982845</v>
      </c>
      <c r="H733" s="100">
        <v>-3540.0711571706438</v>
      </c>
      <c r="I733" s="100">
        <v>-568.69449400196004</v>
      </c>
      <c r="J733" s="100">
        <v>-6417.5013855059933</v>
      </c>
    </row>
    <row r="734" spans="1:10" x14ac:dyDescent="0.25">
      <c r="A734">
        <v>717</v>
      </c>
      <c r="B734" s="100">
        <v>90.15316974424988</v>
      </c>
      <c r="C734" s="100">
        <v>98.563112519159162</v>
      </c>
      <c r="D734" s="100">
        <v>92.597379875782877</v>
      </c>
      <c r="E734" s="100">
        <v>95.930133715587985</v>
      </c>
      <c r="F734" s="100">
        <v>-1978.4435523150732</v>
      </c>
      <c r="G734" s="100">
        <v>-529.83451879556753</v>
      </c>
      <c r="H734" s="100">
        <v>437.40045940745631</v>
      </c>
      <c r="I734" s="100">
        <v>-2549.4940608867582</v>
      </c>
      <c r="J734" s="100">
        <v>-4620.371672589943</v>
      </c>
    </row>
    <row r="735" spans="1:10" x14ac:dyDescent="0.25">
      <c r="A735">
        <v>718</v>
      </c>
      <c r="B735" s="100">
        <v>88.454166311799796</v>
      </c>
      <c r="C735" s="100">
        <v>98.692807712097434</v>
      </c>
      <c r="D735" s="100">
        <v>90.84505395098941</v>
      </c>
      <c r="E735" s="100">
        <v>93.257274018563834</v>
      </c>
      <c r="F735" s="100">
        <v>3628.2677747702037</v>
      </c>
      <c r="G735" s="100">
        <v>-724.37730820297475</v>
      </c>
      <c r="H735" s="100">
        <v>3942.0523089943913</v>
      </c>
      <c r="I735" s="100">
        <v>123.36563613739315</v>
      </c>
      <c r="J735" s="100">
        <v>6969.308411699013</v>
      </c>
    </row>
    <row r="736" spans="1:10" x14ac:dyDescent="0.25">
      <c r="A736">
        <v>719</v>
      </c>
      <c r="B736" s="100">
        <v>90.106214116130019</v>
      </c>
      <c r="C736" s="100">
        <v>98.455739654697808</v>
      </c>
      <c r="D736" s="100">
        <v>92.451559355945861</v>
      </c>
      <c r="E736" s="100">
        <v>92.887681870626537</v>
      </c>
      <c r="F736" s="100">
        <v>-1823.4899795195333</v>
      </c>
      <c r="G736" s="100">
        <v>-368.77522210353675</v>
      </c>
      <c r="H736" s="100">
        <v>729.04149908148952</v>
      </c>
      <c r="I736" s="100">
        <v>492.95778407469015</v>
      </c>
      <c r="J736" s="100">
        <v>-970.2659184668903</v>
      </c>
    </row>
    <row r="737" spans="1:10" x14ac:dyDescent="0.25">
      <c r="A737">
        <v>720</v>
      </c>
      <c r="B737" s="100">
        <v>89.874351557669826</v>
      </c>
      <c r="C737" s="100">
        <v>97.115433766504012</v>
      </c>
      <c r="D737" s="100">
        <v>92.292988679484552</v>
      </c>
      <c r="E737" s="100">
        <v>93.830488861474109</v>
      </c>
      <c r="F737" s="100">
        <v>-1058.3435366008957</v>
      </c>
      <c r="G737" s="100">
        <v>1641.6836101871581</v>
      </c>
      <c r="H737" s="100">
        <v>1046.1828520041081</v>
      </c>
      <c r="I737" s="100">
        <v>-449.84920677288187</v>
      </c>
      <c r="J737" s="100">
        <v>1179.6737188174886</v>
      </c>
    </row>
    <row r="738" spans="1:10" x14ac:dyDescent="0.25">
      <c r="A738">
        <v>721</v>
      </c>
      <c r="B738" s="100">
        <v>90.07461013426294</v>
      </c>
      <c r="C738" s="100">
        <v>98.716596750492343</v>
      </c>
      <c r="D738" s="100">
        <v>93.579121050350892</v>
      </c>
      <c r="E738" s="100">
        <v>93.547219813294348</v>
      </c>
      <c r="F738" s="100">
        <v>-1719.1968393581733</v>
      </c>
      <c r="G738" s="100">
        <v>-760.06086579533871</v>
      </c>
      <c r="H738" s="100">
        <v>-1526.0818897285731</v>
      </c>
      <c r="I738" s="100">
        <v>-166.58015859312059</v>
      </c>
      <c r="J738" s="100">
        <v>-4171.9197534752057</v>
      </c>
    </row>
    <row r="739" spans="1:10" x14ac:dyDescent="0.25">
      <c r="A739">
        <v>722</v>
      </c>
      <c r="B739" s="100">
        <v>90.094306954491714</v>
      </c>
      <c r="C739" s="100">
        <v>97.766429461552178</v>
      </c>
      <c r="D739" s="100">
        <v>93.827645559544862</v>
      </c>
      <c r="E739" s="100">
        <v>93.654679083829905</v>
      </c>
      <c r="F739" s="100">
        <v>-1784.1963461131259</v>
      </c>
      <c r="G739" s="100">
        <v>665.19006761490823</v>
      </c>
      <c r="H739" s="100">
        <v>-2023.1309081165136</v>
      </c>
      <c r="I739" s="100">
        <v>-274.03942912867763</v>
      </c>
      <c r="J739" s="100">
        <v>-3416.1766157434085</v>
      </c>
    </row>
    <row r="740" spans="1:10" x14ac:dyDescent="0.25">
      <c r="A740">
        <v>723</v>
      </c>
      <c r="B740" s="100">
        <v>89.89264049469098</v>
      </c>
      <c r="C740" s="100">
        <v>97.299661993950636</v>
      </c>
      <c r="D740" s="100">
        <v>93.310326574644478</v>
      </c>
      <c r="E740" s="100">
        <v>92.478481727510257</v>
      </c>
      <c r="F740" s="100">
        <v>-1118.697028770704</v>
      </c>
      <c r="G740" s="100">
        <v>1365.3412690172217</v>
      </c>
      <c r="H740" s="100">
        <v>-988.49293831574414</v>
      </c>
      <c r="I740" s="100">
        <v>902.1579271909701</v>
      </c>
      <c r="J740" s="100">
        <v>160.30922912174367</v>
      </c>
    </row>
    <row r="741" spans="1:10" x14ac:dyDescent="0.25">
      <c r="A741">
        <v>724</v>
      </c>
      <c r="B741" s="100">
        <v>88.796707778135925</v>
      </c>
      <c r="C741" s="100">
        <v>98.122921195803684</v>
      </c>
      <c r="D741" s="100">
        <v>92.637073535815603</v>
      </c>
      <c r="E741" s="100">
        <v>93.460025739781258</v>
      </c>
      <c r="F741" s="100">
        <v>2497.8809358609765</v>
      </c>
      <c r="G741" s="100">
        <v>130.45246623764939</v>
      </c>
      <c r="H741" s="100">
        <v>358.01313934200607</v>
      </c>
      <c r="I741" s="100">
        <v>-79.386085080031421</v>
      </c>
      <c r="J741" s="100">
        <v>2906.9604563606003</v>
      </c>
    </row>
    <row r="742" spans="1:10" x14ac:dyDescent="0.25">
      <c r="A742">
        <v>725</v>
      </c>
      <c r="B742" s="100">
        <v>89.679099562441806</v>
      </c>
      <c r="C742" s="100">
        <v>99.360424979652421</v>
      </c>
      <c r="D742" s="100">
        <v>93.821945529302724</v>
      </c>
      <c r="E742" s="100">
        <v>90.828050832913846</v>
      </c>
      <c r="F742" s="100">
        <v>-414.01195234843016</v>
      </c>
      <c r="G742" s="100">
        <v>-1725.8032095354565</v>
      </c>
      <c r="H742" s="100">
        <v>-2011.7308476322364</v>
      </c>
      <c r="I742" s="100">
        <v>2552.5888217873812</v>
      </c>
      <c r="J742" s="100">
        <v>-1598.9571877287422</v>
      </c>
    </row>
    <row r="743" spans="1:10" x14ac:dyDescent="0.25">
      <c r="A743">
        <v>726</v>
      </c>
      <c r="B743" s="100">
        <v>89.642111921856809</v>
      </c>
      <c r="C743" s="100">
        <v>97.70751674585928</v>
      </c>
      <c r="D743" s="100">
        <v>92.537723790906554</v>
      </c>
      <c r="E743" s="100">
        <v>95.129683652849764</v>
      </c>
      <c r="F743" s="100">
        <v>-291.95273841794176</v>
      </c>
      <c r="G743" s="100">
        <v>753.55914115425549</v>
      </c>
      <c r="H743" s="100">
        <v>556.71262916010278</v>
      </c>
      <c r="I743" s="100">
        <v>-1749.0439981485365</v>
      </c>
      <c r="J743" s="100">
        <v>-730.72496625212</v>
      </c>
    </row>
    <row r="744" spans="1:10" x14ac:dyDescent="0.25">
      <c r="A744">
        <v>727</v>
      </c>
      <c r="B744" s="100">
        <v>90.326389311204963</v>
      </c>
      <c r="C744" s="100">
        <v>96.235988451570734</v>
      </c>
      <c r="D744" s="100">
        <v>91.463598426617637</v>
      </c>
      <c r="E744" s="100">
        <v>91.69933101643926</v>
      </c>
      <c r="F744" s="100">
        <v>-2550.0681232668485</v>
      </c>
      <c r="G744" s="100">
        <v>2960.8515825870754</v>
      </c>
      <c r="H744" s="100">
        <v>2704.9633577379382</v>
      </c>
      <c r="I744" s="100">
        <v>1681.3086382619672</v>
      </c>
      <c r="J744" s="100">
        <v>4797.0554553201328</v>
      </c>
    </row>
    <row r="745" spans="1:10" x14ac:dyDescent="0.25">
      <c r="A745">
        <v>728</v>
      </c>
      <c r="B745" s="100">
        <v>88.991021231159237</v>
      </c>
      <c r="C745" s="100">
        <v>97.394334725100762</v>
      </c>
      <c r="D745" s="100">
        <v>90.874996476235239</v>
      </c>
      <c r="E745" s="100">
        <v>96.779588292621057</v>
      </c>
      <c r="F745" s="100">
        <v>1856.6465408840459</v>
      </c>
      <c r="G745" s="100">
        <v>1223.3321722920323</v>
      </c>
      <c r="H745" s="100">
        <v>3882.1672585027327</v>
      </c>
      <c r="I745" s="100">
        <v>-3398.9486379198297</v>
      </c>
      <c r="J745" s="100">
        <v>3563.1973337589807</v>
      </c>
    </row>
    <row r="746" spans="1:10" x14ac:dyDescent="0.25">
      <c r="A746">
        <v>729</v>
      </c>
      <c r="B746" s="100">
        <v>90.015785793450419</v>
      </c>
      <c r="C746" s="100">
        <v>99.910503070696635</v>
      </c>
      <c r="D746" s="100">
        <v>93.176986047944226</v>
      </c>
      <c r="E746" s="100">
        <v>94.675228828403505</v>
      </c>
      <c r="F746" s="100">
        <v>-1525.0765146768545</v>
      </c>
      <c r="G746" s="100">
        <v>-2550.920346101776</v>
      </c>
      <c r="H746" s="100">
        <v>-721.8118849152404</v>
      </c>
      <c r="I746" s="100">
        <v>-1294.5891737022775</v>
      </c>
      <c r="J746" s="100">
        <v>-6092.3979193961486</v>
      </c>
    </row>
    <row r="747" spans="1:10" x14ac:dyDescent="0.25">
      <c r="A747">
        <v>730</v>
      </c>
      <c r="B747" s="100">
        <v>89.887152360941357</v>
      </c>
      <c r="C747" s="100">
        <v>98.432213881450792</v>
      </c>
      <c r="D747" s="100">
        <v>92.168999615972027</v>
      </c>
      <c r="E747" s="100">
        <v>92.111219758680576</v>
      </c>
      <c r="F747" s="100">
        <v>-1100.5861873969493</v>
      </c>
      <c r="G747" s="100">
        <v>-333.48656223301276</v>
      </c>
      <c r="H747" s="100">
        <v>1294.1609790291579</v>
      </c>
      <c r="I747" s="100">
        <v>1269.4198960206506</v>
      </c>
      <c r="J747" s="100">
        <v>1129.5081254198465</v>
      </c>
    </row>
    <row r="748" spans="1:10" x14ac:dyDescent="0.25">
      <c r="A748">
        <v>731</v>
      </c>
      <c r="B748" s="100">
        <v>89.697099294676207</v>
      </c>
      <c r="C748" s="100">
        <v>98.627588657161908</v>
      </c>
      <c r="D748" s="100">
        <v>91.991339182129678</v>
      </c>
      <c r="E748" s="100">
        <v>96.460751356135219</v>
      </c>
      <c r="F748" s="100">
        <v>-473.41106872195269</v>
      </c>
      <c r="G748" s="100">
        <v>-626.54872579968674</v>
      </c>
      <c r="H748" s="100">
        <v>1649.4818467138543</v>
      </c>
      <c r="I748" s="100">
        <v>-3080.1117014339925</v>
      </c>
      <c r="J748" s="100">
        <v>-2530.5896492417778</v>
      </c>
    </row>
    <row r="749" spans="1:10" x14ac:dyDescent="0.25">
      <c r="A749">
        <v>732</v>
      </c>
      <c r="B749" s="100">
        <v>90.528568027332213</v>
      </c>
      <c r="C749" s="100">
        <v>98.79512081912759</v>
      </c>
      <c r="D749" s="100">
        <v>93.686448992506186</v>
      </c>
      <c r="E749" s="100">
        <v>92.227326531384094</v>
      </c>
      <c r="F749" s="100">
        <v>-3217.2578864867733</v>
      </c>
      <c r="G749" s="100">
        <v>-877.84696874820861</v>
      </c>
      <c r="H749" s="100">
        <v>-1740.737774039161</v>
      </c>
      <c r="I749" s="100">
        <v>1153.3131233171332</v>
      </c>
      <c r="J749" s="100">
        <v>-4682.5295059570099</v>
      </c>
    </row>
    <row r="750" spans="1:10" x14ac:dyDescent="0.25">
      <c r="A750">
        <v>733</v>
      </c>
      <c r="B750" s="100">
        <v>89.605428747597202</v>
      </c>
      <c r="C750" s="100">
        <v>97.827842545766401</v>
      </c>
      <c r="D750" s="100">
        <v>93.12513076670804</v>
      </c>
      <c r="E750" s="100">
        <v>92.305371196125989</v>
      </c>
      <c r="F750" s="100">
        <v>-170.8982633612365</v>
      </c>
      <c r="G750" s="100">
        <v>573.07044129357359</v>
      </c>
      <c r="H750" s="100">
        <v>-618.1013224428682</v>
      </c>
      <c r="I750" s="100">
        <v>1075.2684585752377</v>
      </c>
      <c r="J750" s="100">
        <v>859.33931406470651</v>
      </c>
    </row>
    <row r="751" spans="1:10" x14ac:dyDescent="0.25">
      <c r="A751">
        <v>734</v>
      </c>
      <c r="B751" s="100">
        <v>89.445224965172471</v>
      </c>
      <c r="C751" s="100">
        <v>95.740419623787758</v>
      </c>
      <c r="D751" s="100">
        <v>92.081607235876788</v>
      </c>
      <c r="E751" s="100">
        <v>91.840002438641449</v>
      </c>
      <c r="F751" s="100">
        <v>357.77421864037393</v>
      </c>
      <c r="G751" s="100">
        <v>3704.2048242615379</v>
      </c>
      <c r="H751" s="100">
        <v>1468.9457392196346</v>
      </c>
      <c r="I751" s="100">
        <v>1540.6372160597784</v>
      </c>
      <c r="J751" s="100">
        <v>7071.5619981813252</v>
      </c>
    </row>
    <row r="752" spans="1:10" x14ac:dyDescent="0.25">
      <c r="A752">
        <v>735</v>
      </c>
      <c r="B752" s="100">
        <v>88.735714434924503</v>
      </c>
      <c r="C752" s="100">
        <v>98.5195949309241</v>
      </c>
      <c r="D752" s="100">
        <v>94.378357292250257</v>
      </c>
      <c r="E752" s="100">
        <v>92.736895890042476</v>
      </c>
      <c r="F752" s="100">
        <v>2699.1589684586684</v>
      </c>
      <c r="G752" s="100">
        <v>-464.5581364429745</v>
      </c>
      <c r="H752" s="100">
        <v>-3124.5543735273031</v>
      </c>
      <c r="I752" s="100">
        <v>643.74376465875116</v>
      </c>
      <c r="J752" s="100">
        <v>-246.20977685285811</v>
      </c>
    </row>
    <row r="753" spans="1:10" x14ac:dyDescent="0.25">
      <c r="A753">
        <v>736</v>
      </c>
      <c r="B753" s="100">
        <v>89.279358139629764</v>
      </c>
      <c r="C753" s="100">
        <v>98.561922412692141</v>
      </c>
      <c r="D753" s="100">
        <v>94.205661496108021</v>
      </c>
      <c r="E753" s="100">
        <v>92.929258633257859</v>
      </c>
      <c r="F753" s="100">
        <v>905.13474293130821</v>
      </c>
      <c r="G753" s="100">
        <v>-528.0493590950357</v>
      </c>
      <c r="H753" s="100">
        <v>-2779.1627812428314</v>
      </c>
      <c r="I753" s="100">
        <v>451.38102144336756</v>
      </c>
      <c r="J753" s="100">
        <v>-1950.6963759631913</v>
      </c>
    </row>
    <row r="754" spans="1:10" x14ac:dyDescent="0.25">
      <c r="A754">
        <v>737</v>
      </c>
      <c r="B754" s="100">
        <v>89.190449808580411</v>
      </c>
      <c r="C754" s="100">
        <v>98.065537892209221</v>
      </c>
      <c r="D754" s="100">
        <v>92.273519595334562</v>
      </c>
      <c r="E754" s="100">
        <v>92.816197633098525</v>
      </c>
      <c r="F754" s="100">
        <v>1198.532235394174</v>
      </c>
      <c r="G754" s="100">
        <v>216.52742162934402</v>
      </c>
      <c r="H754" s="100">
        <v>1085.1210203040864</v>
      </c>
      <c r="I754" s="100">
        <v>564.44202160270152</v>
      </c>
      <c r="J754" s="100">
        <v>3064.6226989303059</v>
      </c>
    </row>
    <row r="755" spans="1:10" x14ac:dyDescent="0.25">
      <c r="A755">
        <v>738</v>
      </c>
      <c r="B755" s="100">
        <v>89.1423741807547</v>
      </c>
      <c r="C755" s="100">
        <v>98.33661458779909</v>
      </c>
      <c r="D755" s="100">
        <v>90.030377716703128</v>
      </c>
      <c r="E755" s="100">
        <v>92.961734974927595</v>
      </c>
      <c r="F755" s="100">
        <v>1357.1818072190183</v>
      </c>
      <c r="G755" s="100">
        <v>-190.08762175545968</v>
      </c>
      <c r="H755" s="100">
        <v>5571.4047775669542</v>
      </c>
      <c r="I755" s="100">
        <v>418.90467977363244</v>
      </c>
      <c r="J755" s="100">
        <v>7157.4036428041454</v>
      </c>
    </row>
    <row r="756" spans="1:10" x14ac:dyDescent="0.25">
      <c r="A756">
        <v>739</v>
      </c>
      <c r="B756" s="100">
        <v>90.338992844935746</v>
      </c>
      <c r="C756" s="100">
        <v>99.050162320079977</v>
      </c>
      <c r="D756" s="100">
        <v>93.50533531835201</v>
      </c>
      <c r="E756" s="100">
        <v>93.355604949036987</v>
      </c>
      <c r="F756" s="100">
        <v>-2591.6597845784308</v>
      </c>
      <c r="G756" s="100">
        <v>-1260.4092201767899</v>
      </c>
      <c r="H756" s="100">
        <v>-1378.5104257308092</v>
      </c>
      <c r="I756" s="100">
        <v>25.034705664239709</v>
      </c>
      <c r="J756" s="100">
        <v>-5205.5447248217906</v>
      </c>
    </row>
    <row r="757" spans="1:10" x14ac:dyDescent="0.25">
      <c r="A757">
        <v>740</v>
      </c>
      <c r="B757" s="100">
        <v>89.540864151059097</v>
      </c>
      <c r="C757" s="100">
        <v>98.318516639309451</v>
      </c>
      <c r="D757" s="100">
        <v>91.848618563348566</v>
      </c>
      <c r="E757" s="100">
        <v>92.356218520043512</v>
      </c>
      <c r="F757" s="100">
        <v>42.164905214509929</v>
      </c>
      <c r="G757" s="100">
        <v>-162.94069902100006</v>
      </c>
      <c r="H757" s="100">
        <v>1934.923084276079</v>
      </c>
      <c r="I757" s="100">
        <v>1024.4211346577144</v>
      </c>
      <c r="J757" s="100">
        <v>2838.5684251273033</v>
      </c>
    </row>
    <row r="758" spans="1:10" x14ac:dyDescent="0.25">
      <c r="A758">
        <v>741</v>
      </c>
      <c r="B758" s="100">
        <v>89.389335033979492</v>
      </c>
      <c r="C758" s="100">
        <v>99.382790874366094</v>
      </c>
      <c r="D758" s="100">
        <v>93.01736823010576</v>
      </c>
      <c r="E758" s="100">
        <v>92.671418827749548</v>
      </c>
      <c r="F758" s="100">
        <v>542.2109915772055</v>
      </c>
      <c r="G758" s="100">
        <v>-1759.3520516059655</v>
      </c>
      <c r="H758" s="100">
        <v>-402.57624923830804</v>
      </c>
      <c r="I758" s="100">
        <v>709.22082695167887</v>
      </c>
      <c r="J758" s="100">
        <v>-910.49648231538913</v>
      </c>
    </row>
    <row r="759" spans="1:10" x14ac:dyDescent="0.25">
      <c r="A759">
        <v>742</v>
      </c>
      <c r="B759" s="100">
        <v>90.145541231521847</v>
      </c>
      <c r="C759" s="100">
        <v>99.942581958207185</v>
      </c>
      <c r="D759" s="100">
        <v>91.149091189290047</v>
      </c>
      <c r="E759" s="100">
        <v>93.214119549377614</v>
      </c>
      <c r="F759" s="100">
        <v>-1953.2694603125649</v>
      </c>
      <c r="G759" s="100">
        <v>-2599.0386773676023</v>
      </c>
      <c r="H759" s="100">
        <v>3333.9778323931168</v>
      </c>
      <c r="I759" s="100">
        <v>166.52010532361317</v>
      </c>
      <c r="J759" s="100">
        <v>-1051.8101999634373</v>
      </c>
    </row>
    <row r="760" spans="1:10" x14ac:dyDescent="0.25">
      <c r="A760">
        <v>743</v>
      </c>
      <c r="B760" s="100">
        <v>89.949053410673528</v>
      </c>
      <c r="C760" s="100">
        <v>98.260180009879107</v>
      </c>
      <c r="D760" s="100">
        <v>93.097667608960492</v>
      </c>
      <c r="E760" s="100">
        <v>92.371132859795978</v>
      </c>
      <c r="F760" s="100">
        <v>-1304.8596515131137</v>
      </c>
      <c r="G760" s="100">
        <v>-75.435754875485372</v>
      </c>
      <c r="H760" s="100">
        <v>-563.17500694777323</v>
      </c>
      <c r="I760" s="100">
        <v>1009.5067949052492</v>
      </c>
      <c r="J760" s="100">
        <v>-933.96361843112311</v>
      </c>
    </row>
    <row r="761" spans="1:10" x14ac:dyDescent="0.25">
      <c r="A761">
        <v>744</v>
      </c>
      <c r="B761" s="100">
        <v>88.76551656767414</v>
      </c>
      <c r="C761" s="100">
        <v>99.310464216413266</v>
      </c>
      <c r="D761" s="100">
        <v>95.030940792105739</v>
      </c>
      <c r="E761" s="100">
        <v>94.885037914460113</v>
      </c>
      <c r="F761" s="100">
        <v>2600.8119303848657</v>
      </c>
      <c r="G761" s="100">
        <v>-1650.8620646767226</v>
      </c>
      <c r="H761" s="100">
        <v>-4429.7213732382661</v>
      </c>
      <c r="I761" s="100">
        <v>-1504.3982597588865</v>
      </c>
      <c r="J761" s="100">
        <v>-4984.1697672890095</v>
      </c>
    </row>
    <row r="762" spans="1:10" x14ac:dyDescent="0.25">
      <c r="A762">
        <v>745</v>
      </c>
      <c r="B762" s="100">
        <v>89.62766862469266</v>
      </c>
      <c r="C762" s="100">
        <v>97.266561243381389</v>
      </c>
      <c r="D762" s="100">
        <v>90.717556968707683</v>
      </c>
      <c r="E762" s="100">
        <v>91.094446869068605</v>
      </c>
      <c r="F762" s="100">
        <v>-244.28985777624916</v>
      </c>
      <c r="G762" s="100">
        <v>1414.9923948710921</v>
      </c>
      <c r="H762" s="100">
        <v>4197.0462735578449</v>
      </c>
      <c r="I762" s="100">
        <v>2286.192785632622</v>
      </c>
      <c r="J762" s="100">
        <v>7653.94159628531</v>
      </c>
    </row>
    <row r="763" spans="1:10" x14ac:dyDescent="0.25">
      <c r="A763">
        <v>746</v>
      </c>
      <c r="B763" s="100">
        <v>88.997132979649507</v>
      </c>
      <c r="C763" s="100">
        <v>97.892990791970661</v>
      </c>
      <c r="D763" s="100">
        <v>92.866689777518602</v>
      </c>
      <c r="E763" s="100">
        <v>91.683094695550125</v>
      </c>
      <c r="F763" s="100">
        <v>1836.4777708661563</v>
      </c>
      <c r="G763" s="100">
        <v>475.34807198718454</v>
      </c>
      <c r="H763" s="100">
        <v>-101.21934406399191</v>
      </c>
      <c r="I763" s="100">
        <v>1697.5449591511024</v>
      </c>
      <c r="J763" s="100">
        <v>3908.1514579404511</v>
      </c>
    </row>
    <row r="764" spans="1:10" x14ac:dyDescent="0.25">
      <c r="A764">
        <v>747</v>
      </c>
      <c r="B764" s="100">
        <v>88.55487247961878</v>
      </c>
      <c r="C764" s="100">
        <v>98.140680946823352</v>
      </c>
      <c r="D764" s="100">
        <v>91.667120398527558</v>
      </c>
      <c r="E764" s="100">
        <v>92.669154956487176</v>
      </c>
      <c r="F764" s="100">
        <v>3295.9374209675561</v>
      </c>
      <c r="G764" s="100">
        <v>103.81283970814792</v>
      </c>
      <c r="H764" s="100">
        <v>2297.9194139180945</v>
      </c>
      <c r="I764" s="100">
        <v>711.48469821405058</v>
      </c>
      <c r="J764" s="100">
        <v>6409.1543728078495</v>
      </c>
    </row>
    <row r="765" spans="1:10" x14ac:dyDescent="0.25">
      <c r="A765">
        <v>748</v>
      </c>
      <c r="B765" s="100">
        <v>89.91069611754304</v>
      </c>
      <c r="C765" s="100">
        <v>98.116883813464867</v>
      </c>
      <c r="D765" s="100">
        <v>91.698670371032449</v>
      </c>
      <c r="E765" s="100">
        <v>94.718089856760898</v>
      </c>
      <c r="F765" s="100">
        <v>-1178.2805841825025</v>
      </c>
      <c r="G765" s="100">
        <v>139.50853974587574</v>
      </c>
      <c r="H765" s="100">
        <v>2234.819468908313</v>
      </c>
      <c r="I765" s="100">
        <v>-1337.4502020596708</v>
      </c>
      <c r="J765" s="100">
        <v>-141.4027775879847</v>
      </c>
    </row>
    <row r="766" spans="1:10" x14ac:dyDescent="0.25">
      <c r="A766">
        <v>749</v>
      </c>
      <c r="B766" s="100">
        <v>88.436889007725753</v>
      </c>
      <c r="C766" s="100">
        <v>99.302376213668268</v>
      </c>
      <c r="D766" s="100">
        <v>94.606411949244034</v>
      </c>
      <c r="E766" s="100">
        <v>94.896367495101956</v>
      </c>
      <c r="F766" s="100">
        <v>3685.2828782145439</v>
      </c>
      <c r="G766" s="100">
        <v>-1638.7300605592259</v>
      </c>
      <c r="H766" s="100">
        <v>-3580.663687514857</v>
      </c>
      <c r="I766" s="100">
        <v>-1515.7278404007286</v>
      </c>
      <c r="J766" s="100">
        <v>-3049.8387102602674</v>
      </c>
    </row>
    <row r="767" spans="1:10" x14ac:dyDescent="0.25">
      <c r="A767">
        <v>750</v>
      </c>
      <c r="B767" s="100">
        <v>90.177865641327386</v>
      </c>
      <c r="C767" s="100">
        <v>97.745944441731638</v>
      </c>
      <c r="D767" s="100">
        <v>90.743554527433432</v>
      </c>
      <c r="E767" s="100">
        <v>92.541280301757553</v>
      </c>
      <c r="F767" s="100">
        <v>-2059.940012670846</v>
      </c>
      <c r="G767" s="100">
        <v>695.91759734571929</v>
      </c>
      <c r="H767" s="100">
        <v>4145.0511561063477</v>
      </c>
      <c r="I767" s="100">
        <v>839.35935294367425</v>
      </c>
      <c r="J767" s="100">
        <v>3620.3880937248955</v>
      </c>
    </row>
    <row r="768" spans="1:10" x14ac:dyDescent="0.25">
      <c r="A768">
        <v>751</v>
      </c>
      <c r="B768" s="100">
        <v>89.519311594191763</v>
      </c>
      <c r="C768" s="100">
        <v>97.513719516077174</v>
      </c>
      <c r="D768" s="100">
        <v>91.66111771954786</v>
      </c>
      <c r="E768" s="100">
        <v>92.627564703528165</v>
      </c>
      <c r="F768" s="100">
        <v>113.28834287671299</v>
      </c>
      <c r="G768" s="100">
        <v>1044.2549858274149</v>
      </c>
      <c r="H768" s="100">
        <v>2309.9247718774905</v>
      </c>
      <c r="I768" s="100">
        <v>753.07495117306189</v>
      </c>
      <c r="J768" s="100">
        <v>4220.5430517546802</v>
      </c>
    </row>
    <row r="769" spans="1:10" x14ac:dyDescent="0.25">
      <c r="A769">
        <v>752</v>
      </c>
      <c r="B769" s="100">
        <v>89.445745150711915</v>
      </c>
      <c r="C769" s="100">
        <v>99.68586522159174</v>
      </c>
      <c r="D769" s="100">
        <v>93.817326413846615</v>
      </c>
      <c r="E769" s="100">
        <v>93.87656894216444</v>
      </c>
      <c r="F769" s="100">
        <v>356.05760636021131</v>
      </c>
      <c r="G769" s="100">
        <v>-2213.9635724444347</v>
      </c>
      <c r="H769" s="100">
        <v>-2002.4926167200192</v>
      </c>
      <c r="I769" s="100">
        <v>-495.92928746321263</v>
      </c>
      <c r="J769" s="100">
        <v>-4356.3278702674552</v>
      </c>
    </row>
    <row r="770" spans="1:10" x14ac:dyDescent="0.25">
      <c r="A770">
        <v>753</v>
      </c>
      <c r="B770" s="100">
        <v>88.700967793490321</v>
      </c>
      <c r="C770" s="100">
        <v>95.589992333750018</v>
      </c>
      <c r="D770" s="100">
        <v>92.24701712987634</v>
      </c>
      <c r="E770" s="100">
        <v>91.185818091041909</v>
      </c>
      <c r="F770" s="100">
        <v>2813.8228851914705</v>
      </c>
      <c r="G770" s="100">
        <v>3929.8457593181483</v>
      </c>
      <c r="H770" s="100">
        <v>1138.1259512205304</v>
      </c>
      <c r="I770" s="100">
        <v>2194.8215636593177</v>
      </c>
      <c r="J770" s="100">
        <v>10076.616159389467</v>
      </c>
    </row>
    <row r="771" spans="1:10" x14ac:dyDescent="0.25">
      <c r="A771">
        <v>754</v>
      </c>
      <c r="B771" s="100">
        <v>90.479792368806557</v>
      </c>
      <c r="C771" s="100">
        <v>98.154021131753936</v>
      </c>
      <c r="D771" s="100">
        <v>91.610911393122365</v>
      </c>
      <c r="E771" s="100">
        <v>93.686812905730577</v>
      </c>
      <c r="F771" s="100">
        <v>-3056.2982133521073</v>
      </c>
      <c r="G771" s="100">
        <v>83.802562312271789</v>
      </c>
      <c r="H771" s="100">
        <v>2410.3374247284819</v>
      </c>
      <c r="I771" s="100">
        <v>-306.17325102934956</v>
      </c>
      <c r="J771" s="100">
        <v>-868.33147734070326</v>
      </c>
    </row>
    <row r="772" spans="1:10" x14ac:dyDescent="0.25">
      <c r="A772">
        <v>755</v>
      </c>
      <c r="B772" s="100">
        <v>89.19895826150281</v>
      </c>
      <c r="C772" s="100">
        <v>97.175799874256739</v>
      </c>
      <c r="D772" s="100">
        <v>92.397292225267663</v>
      </c>
      <c r="E772" s="100">
        <v>95.71133498955281</v>
      </c>
      <c r="F772" s="100">
        <v>1170.454340750257</v>
      </c>
      <c r="G772" s="100">
        <v>1551.1344485580664</v>
      </c>
      <c r="H772" s="100">
        <v>837.57576043788617</v>
      </c>
      <c r="I772" s="100">
        <v>-2330.6953348515835</v>
      </c>
      <c r="J772" s="100">
        <v>1228.469214894626</v>
      </c>
    </row>
    <row r="773" spans="1:10" x14ac:dyDescent="0.25">
      <c r="A773">
        <v>756</v>
      </c>
      <c r="B773" s="100">
        <v>90.058701683450749</v>
      </c>
      <c r="C773" s="100">
        <v>98.085060693939681</v>
      </c>
      <c r="D773" s="100">
        <v>93.266982578480466</v>
      </c>
      <c r="E773" s="100">
        <v>94.352434404703345</v>
      </c>
      <c r="F773" s="100">
        <v>-1666.6989516779438</v>
      </c>
      <c r="G773" s="100">
        <v>187.24321903365393</v>
      </c>
      <c r="H773" s="100">
        <v>-901.80494598772043</v>
      </c>
      <c r="I773" s="100">
        <v>-971.79475000211823</v>
      </c>
      <c r="J773" s="100">
        <v>-3353.0554286341285</v>
      </c>
    </row>
    <row r="774" spans="1:10" x14ac:dyDescent="0.25">
      <c r="A774">
        <v>757</v>
      </c>
      <c r="B774" s="100">
        <v>89.736210561601808</v>
      </c>
      <c r="C774" s="100">
        <v>96.941533272705627</v>
      </c>
      <c r="D774" s="100">
        <v>93.057640609628592</v>
      </c>
      <c r="E774" s="100">
        <v>93.305482159725059</v>
      </c>
      <c r="F774" s="100">
        <v>-602.47824957643843</v>
      </c>
      <c r="G774" s="100">
        <v>1902.5343508847357</v>
      </c>
      <c r="H774" s="100">
        <v>-483.1210082839732</v>
      </c>
      <c r="I774" s="100">
        <v>75.157494976167527</v>
      </c>
      <c r="J774" s="100">
        <v>892.09258800049156</v>
      </c>
    </row>
    <row r="775" spans="1:10" x14ac:dyDescent="0.25">
      <c r="A775">
        <v>758</v>
      </c>
      <c r="B775" s="100">
        <v>89.828051149819942</v>
      </c>
      <c r="C775" s="100">
        <v>99.544345178032174</v>
      </c>
      <c r="D775" s="100">
        <v>94.132459471205749</v>
      </c>
      <c r="E775" s="100">
        <v>94.406776649469506</v>
      </c>
      <c r="F775" s="100">
        <v>-905.5521906962781</v>
      </c>
      <c r="G775" s="100">
        <v>-2001.683507105085</v>
      </c>
      <c r="H775" s="100">
        <v>-2632.7587314382868</v>
      </c>
      <c r="I775" s="100">
        <v>-1026.1369947682795</v>
      </c>
      <c r="J775" s="100">
        <v>-6566.13142400793</v>
      </c>
    </row>
    <row r="776" spans="1:10" x14ac:dyDescent="0.25">
      <c r="A776">
        <v>759</v>
      </c>
      <c r="B776" s="100">
        <v>90.297845647511082</v>
      </c>
      <c r="C776" s="100">
        <v>98.991059710533023</v>
      </c>
      <c r="D776" s="100">
        <v>91.52335828360151</v>
      </c>
      <c r="E776" s="100">
        <v>95.478526578005443</v>
      </c>
      <c r="F776" s="100">
        <v>-2455.8740330770406</v>
      </c>
      <c r="G776" s="100">
        <v>-1171.7553058563581</v>
      </c>
      <c r="H776" s="100">
        <v>2585.4436437701906</v>
      </c>
      <c r="I776" s="100">
        <v>-2097.886923304216</v>
      </c>
      <c r="J776" s="100">
        <v>-3140.072618467424</v>
      </c>
    </row>
    <row r="777" spans="1:10" x14ac:dyDescent="0.25">
      <c r="A777">
        <v>760</v>
      </c>
      <c r="B777" s="100">
        <v>88.715034687069547</v>
      </c>
      <c r="C777" s="100">
        <v>98.239251623318296</v>
      </c>
      <c r="D777" s="100">
        <v>90.235785513975017</v>
      </c>
      <c r="E777" s="100">
        <v>89.551336236819893</v>
      </c>
      <c r="F777" s="100">
        <v>2767.4021363800234</v>
      </c>
      <c r="G777" s="100">
        <v>-44.043175034268245</v>
      </c>
      <c r="H777" s="100">
        <v>5160.5891830231767</v>
      </c>
      <c r="I777" s="100">
        <v>3829.3034178813341</v>
      </c>
      <c r="J777" s="100">
        <v>11713.251562250265</v>
      </c>
    </row>
    <row r="778" spans="1:10" x14ac:dyDescent="0.25">
      <c r="A778">
        <v>761</v>
      </c>
      <c r="B778" s="100">
        <v>89.130364707146285</v>
      </c>
      <c r="C778" s="100">
        <v>98.381705016431184</v>
      </c>
      <c r="D778" s="100">
        <v>94.158209692408818</v>
      </c>
      <c r="E778" s="100">
        <v>92.769229197132162</v>
      </c>
      <c r="F778" s="100">
        <v>1396.8130701267896</v>
      </c>
      <c r="G778" s="100">
        <v>-257.72326470359985</v>
      </c>
      <c r="H778" s="100">
        <v>-2684.2591738444244</v>
      </c>
      <c r="I778" s="100">
        <v>611.41045756906465</v>
      </c>
      <c r="J778" s="100">
        <v>-933.75891085216995</v>
      </c>
    </row>
    <row r="779" spans="1:10" x14ac:dyDescent="0.25">
      <c r="A779">
        <v>762</v>
      </c>
      <c r="B779" s="100">
        <v>89.139282073163855</v>
      </c>
      <c r="C779" s="100">
        <v>98.194635846096574</v>
      </c>
      <c r="D779" s="100">
        <v>94.13602115258621</v>
      </c>
      <c r="E779" s="100">
        <v>92.495214985350529</v>
      </c>
      <c r="F779" s="100">
        <v>1367.3857622688074</v>
      </c>
      <c r="G779" s="100">
        <v>22.880490798314668</v>
      </c>
      <c r="H779" s="100">
        <v>-2639.8820941992085</v>
      </c>
      <c r="I779" s="100">
        <v>885.42466935069797</v>
      </c>
      <c r="J779" s="100">
        <v>-364.19117178138845</v>
      </c>
    </row>
    <row r="780" spans="1:10" x14ac:dyDescent="0.25">
      <c r="A780">
        <v>763</v>
      </c>
      <c r="B780" s="100">
        <v>88.872129283729805</v>
      </c>
      <c r="C780" s="100">
        <v>96.965149922417012</v>
      </c>
      <c r="D780" s="100">
        <v>92.137929421824452</v>
      </c>
      <c r="E780" s="100">
        <v>93.457529913449363</v>
      </c>
      <c r="F780" s="100">
        <v>2248.9899674011722</v>
      </c>
      <c r="G780" s="100">
        <v>1867.1093763176573</v>
      </c>
      <c r="H780" s="100">
        <v>1356.3013673243063</v>
      </c>
      <c r="I780" s="100">
        <v>-76.890258748136375</v>
      </c>
      <c r="J780" s="100">
        <v>5395.5104522949996</v>
      </c>
    </row>
    <row r="781" spans="1:10" x14ac:dyDescent="0.25">
      <c r="A781">
        <v>764</v>
      </c>
      <c r="B781" s="100">
        <v>89.870331088057881</v>
      </c>
      <c r="C781" s="100">
        <v>97.815274083092007</v>
      </c>
      <c r="D781" s="100">
        <v>90.187536041629272</v>
      </c>
      <c r="E781" s="100">
        <v>93.068106032328757</v>
      </c>
      <c r="F781" s="100">
        <v>-1045.0759868814785</v>
      </c>
      <c r="G781" s="100">
        <v>591.92313530516572</v>
      </c>
      <c r="H781" s="100">
        <v>5257.0881277146673</v>
      </c>
      <c r="I781" s="100">
        <v>312.53362237247018</v>
      </c>
      <c r="J781" s="100">
        <v>5116.4688985108241</v>
      </c>
    </row>
    <row r="782" spans="1:10" x14ac:dyDescent="0.25">
      <c r="A782">
        <v>765</v>
      </c>
      <c r="B782" s="100">
        <v>90.544738362334684</v>
      </c>
      <c r="C782" s="100">
        <v>98.362743612941813</v>
      </c>
      <c r="D782" s="100">
        <v>90.695571533241406</v>
      </c>
      <c r="E782" s="100">
        <v>94.646876420226818</v>
      </c>
      <c r="F782" s="100">
        <v>-3270.6199919949272</v>
      </c>
      <c r="G782" s="100">
        <v>-229.28115946954364</v>
      </c>
      <c r="H782" s="100">
        <v>4241.017144490399</v>
      </c>
      <c r="I782" s="100">
        <v>-1266.2367655255907</v>
      </c>
      <c r="J782" s="100">
        <v>-525.12077249966251</v>
      </c>
    </row>
    <row r="783" spans="1:10" x14ac:dyDescent="0.25">
      <c r="A783">
        <v>766</v>
      </c>
      <c r="B783" s="100">
        <v>89.879627839574482</v>
      </c>
      <c r="C783" s="100">
        <v>97.846144920945633</v>
      </c>
      <c r="D783" s="100">
        <v>92.304395213035477</v>
      </c>
      <c r="E783" s="100">
        <v>94.079209360458179</v>
      </c>
      <c r="F783" s="100">
        <v>-1075.7552668862616</v>
      </c>
      <c r="G783" s="100">
        <v>545.61687852472573</v>
      </c>
      <c r="H783" s="100">
        <v>1023.3697849022576</v>
      </c>
      <c r="I783" s="100">
        <v>-698.56970575695243</v>
      </c>
      <c r="J783" s="100">
        <v>-205.33830921623064</v>
      </c>
    </row>
    <row r="784" spans="1:10" x14ac:dyDescent="0.25">
      <c r="A784">
        <v>767</v>
      </c>
      <c r="B784" s="100">
        <v>89.702280839972744</v>
      </c>
      <c r="C784" s="100">
        <v>97.427266281416138</v>
      </c>
      <c r="D784" s="100">
        <v>91.799888937621745</v>
      </c>
      <c r="E784" s="100">
        <v>93.034106040166861</v>
      </c>
      <c r="F784" s="100">
        <v>-490.51016820052524</v>
      </c>
      <c r="G784" s="100">
        <v>1173.9348378189688</v>
      </c>
      <c r="H784" s="100">
        <v>2032.3823357297215</v>
      </c>
      <c r="I784" s="100">
        <v>346.5336145343656</v>
      </c>
      <c r="J784" s="100">
        <v>3062.3406198825305</v>
      </c>
    </row>
    <row r="785" spans="1:10" x14ac:dyDescent="0.25">
      <c r="A785">
        <v>768</v>
      </c>
      <c r="B785" s="100">
        <v>90.193372825995738</v>
      </c>
      <c r="C785" s="100">
        <v>97.065844070904689</v>
      </c>
      <c r="D785" s="100">
        <v>93.517001503995871</v>
      </c>
      <c r="E785" s="100">
        <v>93.73146549396931</v>
      </c>
      <c r="F785" s="100">
        <v>-2111.1137220764049</v>
      </c>
      <c r="G785" s="100">
        <v>1716.0681535861429</v>
      </c>
      <c r="H785" s="100">
        <v>-1401.8427970185314</v>
      </c>
      <c r="I785" s="100">
        <v>-350.82583926808297</v>
      </c>
      <c r="J785" s="100">
        <v>-2147.7142047768766</v>
      </c>
    </row>
    <row r="786" spans="1:10" x14ac:dyDescent="0.25">
      <c r="A786">
        <v>769</v>
      </c>
      <c r="B786" s="100">
        <v>89.185034957797413</v>
      </c>
      <c r="C786" s="100">
        <v>98.46323418577829</v>
      </c>
      <c r="D786" s="100">
        <v>92.544857624256224</v>
      </c>
      <c r="E786" s="100">
        <v>94.387150745967446</v>
      </c>
      <c r="F786" s="100">
        <v>1216.4012429780669</v>
      </c>
      <c r="G786" s="100">
        <v>-380.01701872425997</v>
      </c>
      <c r="H786" s="100">
        <v>542.44496246076324</v>
      </c>
      <c r="I786" s="100">
        <v>-1006.5110912662192</v>
      </c>
      <c r="J786" s="100">
        <v>372.31809544835096</v>
      </c>
    </row>
    <row r="787" spans="1:10" x14ac:dyDescent="0.25">
      <c r="A787">
        <v>770</v>
      </c>
      <c r="B787" s="100">
        <v>89.427703271735041</v>
      </c>
      <c r="C787" s="100">
        <v>98.493340712051122</v>
      </c>
      <c r="D787" s="100">
        <v>92.802462713659907</v>
      </c>
      <c r="E787" s="100">
        <v>92.498380664392329</v>
      </c>
      <c r="F787" s="100">
        <v>415.59580698389453</v>
      </c>
      <c r="G787" s="100">
        <v>-425.17680813350722</v>
      </c>
      <c r="H787" s="100">
        <v>27.234783653398154</v>
      </c>
      <c r="I787" s="100">
        <v>882.25899030889821</v>
      </c>
      <c r="J787" s="100">
        <v>899.91277281268367</v>
      </c>
    </row>
    <row r="788" spans="1:10" x14ac:dyDescent="0.25">
      <c r="A788">
        <v>771</v>
      </c>
      <c r="B788" s="100">
        <v>90.304015690572044</v>
      </c>
      <c r="C788" s="100">
        <v>97.685927235114377</v>
      </c>
      <c r="D788" s="100">
        <v>92.763022278725998</v>
      </c>
      <c r="E788" s="100">
        <v>93.207798984882828</v>
      </c>
      <c r="F788" s="100">
        <v>-2476.2351751782148</v>
      </c>
      <c r="G788" s="100">
        <v>785.94340727160989</v>
      </c>
      <c r="H788" s="100">
        <v>106.11565352121488</v>
      </c>
      <c r="I788" s="100">
        <v>172.84066981839885</v>
      </c>
      <c r="J788" s="100">
        <v>-1411.3354445669911</v>
      </c>
    </row>
    <row r="789" spans="1:10" x14ac:dyDescent="0.25">
      <c r="A789">
        <v>772</v>
      </c>
      <c r="B789" s="100">
        <v>88.812815064268733</v>
      </c>
      <c r="C789" s="100">
        <v>97.673283193520589</v>
      </c>
      <c r="D789" s="100">
        <v>91.331094239398453</v>
      </c>
      <c r="E789" s="100">
        <v>93.784025043025494</v>
      </c>
      <c r="F789" s="100">
        <v>2444.7268916227104</v>
      </c>
      <c r="G789" s="100">
        <v>804.9094696622916</v>
      </c>
      <c r="H789" s="100">
        <v>2969.9717321763046</v>
      </c>
      <c r="I789" s="100">
        <v>-403.38538832426707</v>
      </c>
      <c r="J789" s="100">
        <v>5816.2227051370392</v>
      </c>
    </row>
    <row r="790" spans="1:10" x14ac:dyDescent="0.25">
      <c r="A790">
        <v>773</v>
      </c>
      <c r="B790" s="100">
        <v>89.521822496678084</v>
      </c>
      <c r="C790" s="100">
        <v>98.250531794004488</v>
      </c>
      <c r="D790" s="100">
        <v>91.453134509608219</v>
      </c>
      <c r="E790" s="100">
        <v>90.655318385701008</v>
      </c>
      <c r="F790" s="100">
        <v>105.00236467185289</v>
      </c>
      <c r="G790" s="100">
        <v>-60.963431063555618</v>
      </c>
      <c r="H790" s="100">
        <v>2725.891191756773</v>
      </c>
      <c r="I790" s="100">
        <v>2725.3212690002188</v>
      </c>
      <c r="J790" s="100">
        <v>5495.2513943652884</v>
      </c>
    </row>
    <row r="791" spans="1:10" x14ac:dyDescent="0.25">
      <c r="A791">
        <v>774</v>
      </c>
      <c r="B791" s="100">
        <v>89.36838355710492</v>
      </c>
      <c r="C791" s="100">
        <v>99.032733566767106</v>
      </c>
      <c r="D791" s="100">
        <v>91.906985647082664</v>
      </c>
      <c r="E791" s="100">
        <v>93.564255174552244</v>
      </c>
      <c r="F791" s="100">
        <v>611.35086526329303</v>
      </c>
      <c r="G791" s="100">
        <v>-1234.266090207484</v>
      </c>
      <c r="H791" s="100">
        <v>1818.188916807884</v>
      </c>
      <c r="I791" s="100">
        <v>-183.61551985101698</v>
      </c>
      <c r="J791" s="100">
        <v>1011.6581720126759</v>
      </c>
    </row>
    <row r="792" spans="1:10" x14ac:dyDescent="0.25">
      <c r="A792">
        <v>775</v>
      </c>
      <c r="B792" s="100">
        <v>89.308171331450893</v>
      </c>
      <c r="C792" s="100">
        <v>98.437230191758147</v>
      </c>
      <c r="D792" s="100">
        <v>92.638752147241235</v>
      </c>
      <c r="E792" s="100">
        <v>94.356720491162761</v>
      </c>
      <c r="F792" s="100">
        <v>810.05120992158197</v>
      </c>
      <c r="G792" s="100">
        <v>-341.01102769404434</v>
      </c>
      <c r="H792" s="100">
        <v>354.65591649074213</v>
      </c>
      <c r="I792" s="100">
        <v>-976.08083646153432</v>
      </c>
      <c r="J792" s="100">
        <v>-152.38473774325462</v>
      </c>
    </row>
    <row r="793" spans="1:10" x14ac:dyDescent="0.25">
      <c r="A793">
        <v>776</v>
      </c>
      <c r="B793" s="100">
        <v>89.945786553567274</v>
      </c>
      <c r="C793" s="100">
        <v>97.535860226511261</v>
      </c>
      <c r="D793" s="100">
        <v>92.737137835263496</v>
      </c>
      <c r="E793" s="100">
        <v>93.221968793525008</v>
      </c>
      <c r="F793" s="100">
        <v>-1294.0790230624743</v>
      </c>
      <c r="G793" s="100">
        <v>1011.0439201762845</v>
      </c>
      <c r="H793" s="100">
        <v>157.88454044621858</v>
      </c>
      <c r="I793" s="100">
        <v>158.67086117621909</v>
      </c>
      <c r="J793" s="100">
        <v>33.52029873624781</v>
      </c>
    </row>
    <row r="794" spans="1:10" x14ac:dyDescent="0.25">
      <c r="A794">
        <v>777</v>
      </c>
      <c r="B794" s="100">
        <v>88.936891335873327</v>
      </c>
      <c r="C794" s="100">
        <v>98.624096948990839</v>
      </c>
      <c r="D794" s="100">
        <v>93.521637804688936</v>
      </c>
      <c r="E794" s="100">
        <v>93.437528561763585</v>
      </c>
      <c r="F794" s="100">
        <v>2035.2751953275515</v>
      </c>
      <c r="G794" s="100">
        <v>-621.31116354308347</v>
      </c>
      <c r="H794" s="100">
        <v>-1411.1153984046609</v>
      </c>
      <c r="I794" s="100">
        <v>-56.888907062358385</v>
      </c>
      <c r="J794" s="100">
        <v>-54.040273682551287</v>
      </c>
    </row>
    <row r="795" spans="1:10" x14ac:dyDescent="0.25">
      <c r="A795">
        <v>778</v>
      </c>
      <c r="B795" s="100">
        <v>89.530806691539951</v>
      </c>
      <c r="C795" s="100">
        <v>97.490615502940898</v>
      </c>
      <c r="D795" s="100">
        <v>91.212315302369063</v>
      </c>
      <c r="E795" s="100">
        <v>92.110089315655216</v>
      </c>
      <c r="F795" s="100">
        <v>75.354521627691895</v>
      </c>
      <c r="G795" s="100">
        <v>1078.911005531829</v>
      </c>
      <c r="H795" s="100">
        <v>3207.5296062350844</v>
      </c>
      <c r="I795" s="100">
        <v>1270.5503390460108</v>
      </c>
      <c r="J795" s="100">
        <v>5632.3454724406165</v>
      </c>
    </row>
    <row r="796" spans="1:10" x14ac:dyDescent="0.25">
      <c r="A796">
        <v>779</v>
      </c>
      <c r="B796" s="100">
        <v>89.870472825861498</v>
      </c>
      <c r="C796" s="100">
        <v>99.304724363533694</v>
      </c>
      <c r="D796" s="100">
        <v>91.296291160893219</v>
      </c>
      <c r="E796" s="100">
        <v>93.554596652481436</v>
      </c>
      <c r="F796" s="100">
        <v>-1045.5437216334133</v>
      </c>
      <c r="G796" s="100">
        <v>-1642.2522853573653</v>
      </c>
      <c r="H796" s="100">
        <v>3039.5778891867735</v>
      </c>
      <c r="I796" s="100">
        <v>-173.95699778020912</v>
      </c>
      <c r="J796" s="100">
        <v>177.82488441578585</v>
      </c>
    </row>
    <row r="797" spans="1:10" x14ac:dyDescent="0.25">
      <c r="A797">
        <v>780</v>
      </c>
      <c r="B797" s="100">
        <v>88.80715755349884</v>
      </c>
      <c r="C797" s="100">
        <v>98.911086468204232</v>
      </c>
      <c r="D797" s="100">
        <v>92.708782984752006</v>
      </c>
      <c r="E797" s="100">
        <v>93.123253811374866</v>
      </c>
      <c r="F797" s="100">
        <v>2463.3966771633582</v>
      </c>
      <c r="G797" s="100">
        <v>-1051.7954423631722</v>
      </c>
      <c r="H797" s="100">
        <v>214.59424146920014</v>
      </c>
      <c r="I797" s="100">
        <v>257.38584332636094</v>
      </c>
      <c r="J797" s="100">
        <v>1883.5813195957471</v>
      </c>
    </row>
    <row r="798" spans="1:10" x14ac:dyDescent="0.25">
      <c r="A798">
        <v>781</v>
      </c>
      <c r="B798" s="100">
        <v>89.044126488723535</v>
      </c>
      <c r="C798" s="100">
        <v>97.860148729558802</v>
      </c>
      <c r="D798" s="100">
        <v>92.756060264271298</v>
      </c>
      <c r="E798" s="100">
        <v>92.164040380680575</v>
      </c>
      <c r="F798" s="100">
        <v>1681.3991909218644</v>
      </c>
      <c r="G798" s="100">
        <v>524.61116560497339</v>
      </c>
      <c r="H798" s="100">
        <v>120.03968243061536</v>
      </c>
      <c r="I798" s="100">
        <v>1216.599274020652</v>
      </c>
      <c r="J798" s="100">
        <v>3542.6493129781052</v>
      </c>
    </row>
    <row r="799" spans="1:10" x14ac:dyDescent="0.25">
      <c r="A799">
        <v>782</v>
      </c>
      <c r="B799" s="100">
        <v>90.112948772456605</v>
      </c>
      <c r="C799" s="100">
        <v>97.689412991633247</v>
      </c>
      <c r="D799" s="100">
        <v>91.346552492174681</v>
      </c>
      <c r="E799" s="100">
        <v>91.235731293702699</v>
      </c>
      <c r="F799" s="100">
        <v>-1845.7143453972662</v>
      </c>
      <c r="G799" s="100">
        <v>780.71477249330451</v>
      </c>
      <c r="H799" s="100">
        <v>2939.0552266238501</v>
      </c>
      <c r="I799" s="100">
        <v>2144.9083609985282</v>
      </c>
      <c r="J799" s="100">
        <v>4018.9640147184164</v>
      </c>
    </row>
    <row r="800" spans="1:10" x14ac:dyDescent="0.25">
      <c r="A800">
        <v>783</v>
      </c>
      <c r="B800" s="100">
        <v>90.007111374606325</v>
      </c>
      <c r="C800" s="100">
        <v>97.89010272415122</v>
      </c>
      <c r="D800" s="100">
        <v>92.457804674808884</v>
      </c>
      <c r="E800" s="100">
        <v>92.786710375537979</v>
      </c>
      <c r="F800" s="100">
        <v>-1496.4509324913422</v>
      </c>
      <c r="G800" s="100">
        <v>479.6801737163463</v>
      </c>
      <c r="H800" s="100">
        <v>716.55086135544366</v>
      </c>
      <c r="I800" s="100">
        <v>593.92927916324822</v>
      </c>
      <c r="J800" s="100">
        <v>293.70938174369599</v>
      </c>
    </row>
    <row r="801" spans="1:10" x14ac:dyDescent="0.25">
      <c r="A801">
        <v>784</v>
      </c>
      <c r="B801" s="100">
        <v>89.675262936704385</v>
      </c>
      <c r="C801" s="100">
        <v>96.990615906512161</v>
      </c>
      <c r="D801" s="100">
        <v>93.23013428289029</v>
      </c>
      <c r="E801" s="100">
        <v>94.929326834760246</v>
      </c>
      <c r="F801" s="100">
        <v>-401.35108741494179</v>
      </c>
      <c r="G801" s="100">
        <v>1828.9104001749338</v>
      </c>
      <c r="H801" s="100">
        <v>-828.10835480736955</v>
      </c>
      <c r="I801" s="100">
        <v>-1548.6871800590193</v>
      </c>
      <c r="J801" s="100">
        <v>-949.23622210639678</v>
      </c>
    </row>
    <row r="802" spans="1:10" x14ac:dyDescent="0.25">
      <c r="A802">
        <v>785</v>
      </c>
      <c r="B802" s="100">
        <v>89.383634583169936</v>
      </c>
      <c r="C802" s="100">
        <v>98.013334055447189</v>
      </c>
      <c r="D802" s="100">
        <v>93.028625267208142</v>
      </c>
      <c r="E802" s="100">
        <v>94.288074299041995</v>
      </c>
      <c r="F802" s="100">
        <v>561.02247924874007</v>
      </c>
      <c r="G802" s="100">
        <v>294.83317677239285</v>
      </c>
      <c r="H802" s="100">
        <v>-425.09032344307229</v>
      </c>
      <c r="I802" s="100">
        <v>-907.4346443407677</v>
      </c>
      <c r="J802" s="100">
        <v>-476.66931176270703</v>
      </c>
    </row>
    <row r="803" spans="1:10" x14ac:dyDescent="0.25">
      <c r="A803">
        <v>786</v>
      </c>
      <c r="B803" s="100">
        <v>89.283953388285155</v>
      </c>
      <c r="C803" s="100">
        <v>98.41723526133147</v>
      </c>
      <c r="D803" s="100">
        <v>92.651476527667981</v>
      </c>
      <c r="E803" s="100">
        <v>95.281541685899185</v>
      </c>
      <c r="F803" s="100">
        <v>889.97042236851621</v>
      </c>
      <c r="G803" s="100">
        <v>-311.01863205402935</v>
      </c>
      <c r="H803" s="100">
        <v>329.20715563724912</v>
      </c>
      <c r="I803" s="100">
        <v>-1900.9020311979584</v>
      </c>
      <c r="J803" s="100">
        <v>-992.74308524622245</v>
      </c>
    </row>
    <row r="804" spans="1:10" x14ac:dyDescent="0.25">
      <c r="A804">
        <v>787</v>
      </c>
      <c r="B804" s="100">
        <v>89.723741575195518</v>
      </c>
      <c r="C804" s="100">
        <v>98.238917746959245</v>
      </c>
      <c r="D804" s="100">
        <v>92.638892142665611</v>
      </c>
      <c r="E804" s="100">
        <v>92.589075176806205</v>
      </c>
      <c r="F804" s="100">
        <v>-561.33059443568095</v>
      </c>
      <c r="G804" s="100">
        <v>-43.542360495692378</v>
      </c>
      <c r="H804" s="100">
        <v>354.37592564198894</v>
      </c>
      <c r="I804" s="100">
        <v>791.56447789502238</v>
      </c>
      <c r="J804" s="100">
        <v>541.06744860563799</v>
      </c>
    </row>
    <row r="805" spans="1:10" x14ac:dyDescent="0.25">
      <c r="A805">
        <v>788</v>
      </c>
      <c r="B805" s="100">
        <v>89.258265797070365</v>
      </c>
      <c r="C805" s="100">
        <v>98.525391226976396</v>
      </c>
      <c r="D805" s="100">
        <v>92.80791198955319</v>
      </c>
      <c r="E805" s="100">
        <v>92.671303758039244</v>
      </c>
      <c r="F805" s="100">
        <v>974.73947337732488</v>
      </c>
      <c r="G805" s="100">
        <v>-473.25258052141805</v>
      </c>
      <c r="H805" s="100">
        <v>16.336231866830531</v>
      </c>
      <c r="I805" s="100">
        <v>709.33589666198316</v>
      </c>
      <c r="J805" s="100">
        <v>1227.1590213847205</v>
      </c>
    </row>
    <row r="806" spans="1:10" x14ac:dyDescent="0.25">
      <c r="A806">
        <v>789</v>
      </c>
      <c r="B806" s="100">
        <v>89.403507361388776</v>
      </c>
      <c r="C806" s="100">
        <v>98.145005726629535</v>
      </c>
      <c r="D806" s="100">
        <v>91.485377238813129</v>
      </c>
      <c r="E806" s="100">
        <v>92.572446481182126</v>
      </c>
      <c r="F806" s="100">
        <v>495.44231112656831</v>
      </c>
      <c r="G806" s="100">
        <v>97.325669998873821</v>
      </c>
      <c r="H806" s="100">
        <v>2661.4057333469532</v>
      </c>
      <c r="I806" s="100">
        <v>808.19317351910058</v>
      </c>
      <c r="J806" s="100">
        <v>4062.3668879914958</v>
      </c>
    </row>
    <row r="807" spans="1:10" x14ac:dyDescent="0.25">
      <c r="A807">
        <v>790</v>
      </c>
      <c r="B807" s="100">
        <v>90.714458676562685</v>
      </c>
      <c r="C807" s="100">
        <v>98.092101773848455</v>
      </c>
      <c r="D807" s="100">
        <v>93.472338537826289</v>
      </c>
      <c r="E807" s="100">
        <v>94.108851223004081</v>
      </c>
      <c r="F807" s="100">
        <v>-3830.6970289473329</v>
      </c>
      <c r="G807" s="100">
        <v>176.68159917049309</v>
      </c>
      <c r="H807" s="100">
        <v>-1312.5168646793668</v>
      </c>
      <c r="I807" s="100">
        <v>-728.21156830285361</v>
      </c>
      <c r="J807" s="100">
        <v>-5694.74386275906</v>
      </c>
    </row>
    <row r="808" spans="1:10" x14ac:dyDescent="0.25">
      <c r="A808">
        <v>791</v>
      </c>
      <c r="B808" s="100">
        <v>90.006398478586831</v>
      </c>
      <c r="C808" s="100">
        <v>98.375859390241999</v>
      </c>
      <c r="D808" s="100">
        <v>92.352043384479884</v>
      </c>
      <c r="E808" s="100">
        <v>93.727948685824032</v>
      </c>
      <c r="F808" s="100">
        <v>-1494.0983756270143</v>
      </c>
      <c r="G808" s="100">
        <v>-248.95482541982261</v>
      </c>
      <c r="H808" s="100">
        <v>928.07344201344222</v>
      </c>
      <c r="I808" s="100">
        <v>-347.30903112280487</v>
      </c>
      <c r="J808" s="100">
        <v>-1162.2887901561994</v>
      </c>
    </row>
    <row r="809" spans="1:10" x14ac:dyDescent="0.25">
      <c r="A809">
        <v>792</v>
      </c>
      <c r="B809" s="100">
        <v>88.539998198371578</v>
      </c>
      <c r="C809" s="100">
        <v>97.837827848653603</v>
      </c>
      <c r="D809" s="100">
        <v>91.393564512885433</v>
      </c>
      <c r="E809" s="100">
        <v>95.38034765858643</v>
      </c>
      <c r="F809" s="100">
        <v>3345.0225490833232</v>
      </c>
      <c r="G809" s="100">
        <v>558.09248696277086</v>
      </c>
      <c r="H809" s="100">
        <v>2845.0311852023447</v>
      </c>
      <c r="I809" s="100">
        <v>-1999.7080038852032</v>
      </c>
      <c r="J809" s="100">
        <v>4748.4382173632348</v>
      </c>
    </row>
    <row r="810" spans="1:10" x14ac:dyDescent="0.25">
      <c r="A810">
        <v>793</v>
      </c>
      <c r="B810" s="100">
        <v>89.183166719947607</v>
      </c>
      <c r="C810" s="100">
        <v>98.260914272143069</v>
      </c>
      <c r="D810" s="100">
        <v>93.306872264837992</v>
      </c>
      <c r="E810" s="100">
        <v>94.444626598346758</v>
      </c>
      <c r="F810" s="100">
        <v>1222.5664278824254</v>
      </c>
      <c r="G810" s="100">
        <v>-76.537148271427213</v>
      </c>
      <c r="H810" s="100">
        <v>-981.58431870277241</v>
      </c>
      <c r="I810" s="100">
        <v>-1063.9869436455315</v>
      </c>
      <c r="J810" s="100">
        <v>-899.54198273730572</v>
      </c>
    </row>
    <row r="811" spans="1:10" x14ac:dyDescent="0.25">
      <c r="A811">
        <v>794</v>
      </c>
      <c r="B811" s="100">
        <v>89.514953227096967</v>
      </c>
      <c r="C811" s="100">
        <v>97.945300288444869</v>
      </c>
      <c r="D811" s="100">
        <v>92.544185214221017</v>
      </c>
      <c r="E811" s="100">
        <v>92.446386239987945</v>
      </c>
      <c r="F811" s="100">
        <v>127.67095428953752</v>
      </c>
      <c r="G811" s="100">
        <v>396.88382727587168</v>
      </c>
      <c r="H811" s="100">
        <v>543.78978253117793</v>
      </c>
      <c r="I811" s="100">
        <v>934.25341471328238</v>
      </c>
      <c r="J811" s="100">
        <v>2002.5979788098696</v>
      </c>
    </row>
    <row r="812" spans="1:10" x14ac:dyDescent="0.25">
      <c r="A812">
        <v>795</v>
      </c>
      <c r="B812" s="100">
        <v>89.096530548156338</v>
      </c>
      <c r="C812" s="100">
        <v>98.336579371785646</v>
      </c>
      <c r="D812" s="100">
        <v>93.815338864825435</v>
      </c>
      <c r="E812" s="100">
        <v>93.354128153695797</v>
      </c>
      <c r="F812" s="100">
        <v>1508.465794793615</v>
      </c>
      <c r="G812" s="100">
        <v>-190.03479773529364</v>
      </c>
      <c r="H812" s="100">
        <v>-1998.5175186776587</v>
      </c>
      <c r="I812" s="100">
        <v>26.511501005430205</v>
      </c>
      <c r="J812" s="100">
        <v>-653.57502061390721</v>
      </c>
    </row>
    <row r="813" spans="1:10" x14ac:dyDescent="0.25">
      <c r="A813">
        <v>796</v>
      </c>
      <c r="B813" s="100">
        <v>89.646468634633763</v>
      </c>
      <c r="C813" s="100">
        <v>97.593311910219967</v>
      </c>
      <c r="D813" s="100">
        <v>94.213826812238693</v>
      </c>
      <c r="E813" s="100">
        <v>94.662936346547198</v>
      </c>
      <c r="F813" s="100">
        <v>-306.32989058188826</v>
      </c>
      <c r="G813" s="100">
        <v>924.86639461322534</v>
      </c>
      <c r="H813" s="100">
        <v>-2795.4934135041754</v>
      </c>
      <c r="I813" s="100">
        <v>-1282.2966918459713</v>
      </c>
      <c r="J813" s="100">
        <v>-3459.2536013188101</v>
      </c>
    </row>
    <row r="814" spans="1:10" x14ac:dyDescent="0.25">
      <c r="A814">
        <v>797</v>
      </c>
      <c r="B814" s="100">
        <v>89.269367328049739</v>
      </c>
      <c r="C814" s="100">
        <v>99.192886036011515</v>
      </c>
      <c r="D814" s="100">
        <v>91.992354191326569</v>
      </c>
      <c r="E814" s="100">
        <v>90.7279787598886</v>
      </c>
      <c r="F814" s="100">
        <v>938.10442114538978</v>
      </c>
      <c r="G814" s="100">
        <v>-1474.4947940740972</v>
      </c>
      <c r="H814" s="100">
        <v>1647.4518283200723</v>
      </c>
      <c r="I814" s="100">
        <v>2652.6608948126268</v>
      </c>
      <c r="J814" s="100">
        <v>3763.7223502039915</v>
      </c>
    </row>
    <row r="815" spans="1:10" x14ac:dyDescent="0.25">
      <c r="A815">
        <v>798</v>
      </c>
      <c r="B815" s="100">
        <v>90.87421753570635</v>
      </c>
      <c r="C815" s="100">
        <v>98.093429393646133</v>
      </c>
      <c r="D815" s="100">
        <v>91.722472927809079</v>
      </c>
      <c r="E815" s="100">
        <v>93.904181213994292</v>
      </c>
      <c r="F815" s="100">
        <v>-4357.9012641214267</v>
      </c>
      <c r="G815" s="100">
        <v>174.6901694739762</v>
      </c>
      <c r="H815" s="100">
        <v>2187.2143553550532</v>
      </c>
      <c r="I815" s="100">
        <v>-523.54155929306501</v>
      </c>
      <c r="J815" s="100">
        <v>-2519.5382985854621</v>
      </c>
    </row>
    <row r="816" spans="1:10" x14ac:dyDescent="0.25">
      <c r="A816">
        <v>799</v>
      </c>
      <c r="B816" s="100">
        <v>89.394683457391963</v>
      </c>
      <c r="C816" s="100">
        <v>98.00027469064382</v>
      </c>
      <c r="D816" s="100">
        <v>92.711712046845861</v>
      </c>
      <c r="E816" s="100">
        <v>92.902479113605821</v>
      </c>
      <c r="F816" s="100">
        <v>524.56119431605111</v>
      </c>
      <c r="G816" s="100">
        <v>314.42222397744501</v>
      </c>
      <c r="H816" s="100">
        <v>208.73611728148944</v>
      </c>
      <c r="I816" s="100">
        <v>478.16054109540573</v>
      </c>
      <c r="J816" s="100">
        <v>1525.8800766703912</v>
      </c>
    </row>
    <row r="817" spans="1:10" x14ac:dyDescent="0.25">
      <c r="A817">
        <v>800</v>
      </c>
      <c r="B817" s="100">
        <v>89.729156959553251</v>
      </c>
      <c r="C817" s="100">
        <v>98.788472389734466</v>
      </c>
      <c r="D817" s="100">
        <v>92.537184978229035</v>
      </c>
      <c r="E817" s="100">
        <v>95.529461917661919</v>
      </c>
      <c r="F817" s="100">
        <v>-579.20136281619818</v>
      </c>
      <c r="G817" s="100">
        <v>-867.87432465852271</v>
      </c>
      <c r="H817" s="100">
        <v>557.7902545151403</v>
      </c>
      <c r="I817" s="100">
        <v>-2148.8222629606926</v>
      </c>
      <c r="J817" s="100">
        <v>-3038.1076959202728</v>
      </c>
    </row>
    <row r="818" spans="1:10" x14ac:dyDescent="0.25">
      <c r="A818">
        <v>801</v>
      </c>
      <c r="B818" s="100">
        <v>89.189142114087304</v>
      </c>
      <c r="C818" s="100">
        <v>97.470589032159936</v>
      </c>
      <c r="D818" s="100">
        <v>94.205455299384624</v>
      </c>
      <c r="E818" s="100">
        <v>95.660469296411961</v>
      </c>
      <c r="F818" s="100">
        <v>1202.8476272214277</v>
      </c>
      <c r="G818" s="100">
        <v>1108.9507117032724</v>
      </c>
      <c r="H818" s="100">
        <v>-2778.7503877960376</v>
      </c>
      <c r="I818" s="100">
        <v>-2279.829641710734</v>
      </c>
      <c r="J818" s="100">
        <v>-2746.7816905820714</v>
      </c>
    </row>
    <row r="819" spans="1:10" x14ac:dyDescent="0.25">
      <c r="A819">
        <v>802</v>
      </c>
      <c r="B819" s="100">
        <v>89.782827960641086</v>
      </c>
      <c r="C819" s="100">
        <v>98.047231224839891</v>
      </c>
      <c r="D819" s="100">
        <v>91.190219534239915</v>
      </c>
      <c r="E819" s="100">
        <v>92.622171483377969</v>
      </c>
      <c r="F819" s="100">
        <v>-756.31566640605433</v>
      </c>
      <c r="G819" s="100">
        <v>243.98742268333962</v>
      </c>
      <c r="H819" s="100">
        <v>3251.7211424933803</v>
      </c>
      <c r="I819" s="100">
        <v>758.46817132325839</v>
      </c>
      <c r="J819" s="100">
        <v>3497.8610700939244</v>
      </c>
    </row>
    <row r="820" spans="1:10" x14ac:dyDescent="0.25">
      <c r="A820">
        <v>803</v>
      </c>
      <c r="B820" s="100">
        <v>89.419218234617588</v>
      </c>
      <c r="C820" s="100">
        <v>96.51377704229516</v>
      </c>
      <c r="D820" s="100">
        <v>92.225890336707664</v>
      </c>
      <c r="E820" s="100">
        <v>90.589729286170893</v>
      </c>
      <c r="F820" s="100">
        <v>443.59642947148785</v>
      </c>
      <c r="G820" s="100">
        <v>2544.1686965004351</v>
      </c>
      <c r="H820" s="100">
        <v>1180.3795375578829</v>
      </c>
      <c r="I820" s="100">
        <v>2790.9103685303335</v>
      </c>
      <c r="J820" s="100">
        <v>6959.0550320601387</v>
      </c>
    </row>
    <row r="821" spans="1:10" x14ac:dyDescent="0.25">
      <c r="A821">
        <v>804</v>
      </c>
      <c r="B821" s="100">
        <v>88.835501859315116</v>
      </c>
      <c r="C821" s="100">
        <v>98.683024761541162</v>
      </c>
      <c r="D821" s="100">
        <v>93.404809392234029</v>
      </c>
      <c r="E821" s="100">
        <v>96.673813274722264</v>
      </c>
      <c r="F821" s="100">
        <v>2369.8604679696473</v>
      </c>
      <c r="G821" s="100">
        <v>-709.70288236856754</v>
      </c>
      <c r="H821" s="100">
        <v>-1177.458573494846</v>
      </c>
      <c r="I821" s="100">
        <v>-3293.1736200210366</v>
      </c>
      <c r="J821" s="100">
        <v>-2810.4746079148026</v>
      </c>
    </row>
    <row r="822" spans="1:10" x14ac:dyDescent="0.25">
      <c r="A822">
        <v>805</v>
      </c>
      <c r="B822" s="100">
        <v>89.333740612382087</v>
      </c>
      <c r="C822" s="100">
        <v>98.517065854515124</v>
      </c>
      <c r="D822" s="100">
        <v>91.34102879584735</v>
      </c>
      <c r="E822" s="100">
        <v>92.029969214708458</v>
      </c>
      <c r="F822" s="100">
        <v>725.67258284864238</v>
      </c>
      <c r="G822" s="100">
        <v>-460.76452182951044</v>
      </c>
      <c r="H822" s="100">
        <v>2950.1026192785102</v>
      </c>
      <c r="I822" s="100">
        <v>1350.6704399927685</v>
      </c>
      <c r="J822" s="100">
        <v>4565.68112029041</v>
      </c>
    </row>
    <row r="823" spans="1:10" x14ac:dyDescent="0.25">
      <c r="A823">
        <v>806</v>
      </c>
      <c r="B823" s="100">
        <v>89.897032681766888</v>
      </c>
      <c r="C823" s="100">
        <v>97.690798037875439</v>
      </c>
      <c r="D823" s="100">
        <v>92.791089820066688</v>
      </c>
      <c r="E823" s="100">
        <v>95.270562654054984</v>
      </c>
      <c r="F823" s="100">
        <v>-1133.1912461212</v>
      </c>
      <c r="G823" s="100">
        <v>778.6372031300175</v>
      </c>
      <c r="H823" s="100">
        <v>49.980570839835536</v>
      </c>
      <c r="I823" s="100">
        <v>-1889.9229993537574</v>
      </c>
      <c r="J823" s="100">
        <v>-2194.4964715051046</v>
      </c>
    </row>
    <row r="824" spans="1:10" x14ac:dyDescent="0.25">
      <c r="A824">
        <v>807</v>
      </c>
      <c r="B824" s="100">
        <v>89.84207239349891</v>
      </c>
      <c r="C824" s="100">
        <v>97.469868449246292</v>
      </c>
      <c r="D824" s="100">
        <v>93.120172309539569</v>
      </c>
      <c r="E824" s="100">
        <v>93.285989947987574</v>
      </c>
      <c r="F824" s="100">
        <v>-951.82229483687308</v>
      </c>
      <c r="G824" s="100">
        <v>1110.0315860737383</v>
      </c>
      <c r="H824" s="100">
        <v>-608.18440810592733</v>
      </c>
      <c r="I824" s="100">
        <v>94.649706713653359</v>
      </c>
      <c r="J824" s="100">
        <v>-355.3254101554088</v>
      </c>
    </row>
    <row r="825" spans="1:10" x14ac:dyDescent="0.25">
      <c r="A825">
        <v>808</v>
      </c>
      <c r="B825" s="100">
        <v>89.789280431237486</v>
      </c>
      <c r="C825" s="100">
        <v>98.180174933834067</v>
      </c>
      <c r="D825" s="100">
        <v>93.305210792080047</v>
      </c>
      <c r="E825" s="100">
        <v>94.84277480113667</v>
      </c>
      <c r="F825" s="100">
        <v>-777.60881937417571</v>
      </c>
      <c r="G825" s="100">
        <v>44.571859192075181</v>
      </c>
      <c r="H825" s="100">
        <v>-978.26137318688211</v>
      </c>
      <c r="I825" s="100">
        <v>-1462.1351464354434</v>
      </c>
      <c r="J825" s="100">
        <v>-3173.433479804426</v>
      </c>
    </row>
    <row r="826" spans="1:10" x14ac:dyDescent="0.25">
      <c r="A826">
        <v>809</v>
      </c>
      <c r="B826" s="100">
        <v>89.778767731620576</v>
      </c>
      <c r="C826" s="100">
        <v>98.622115731649387</v>
      </c>
      <c r="D826" s="100">
        <v>93.441901840558344</v>
      </c>
      <c r="E826" s="100">
        <v>93.237688486386205</v>
      </c>
      <c r="F826" s="100">
        <v>-742.91691063837106</v>
      </c>
      <c r="G826" s="100">
        <v>-618.33933753090514</v>
      </c>
      <c r="H826" s="100">
        <v>-1251.6434701434775</v>
      </c>
      <c r="I826" s="100">
        <v>142.95116831502241</v>
      </c>
      <c r="J826" s="100">
        <v>-2469.9485499977318</v>
      </c>
    </row>
    <row r="827" spans="1:10" x14ac:dyDescent="0.25">
      <c r="A827">
        <v>810</v>
      </c>
      <c r="B827" s="100">
        <v>89.562471993387291</v>
      </c>
      <c r="C827" s="100">
        <v>97.412155043697666</v>
      </c>
      <c r="D827" s="100">
        <v>92.972753489910957</v>
      </c>
      <c r="E827" s="100">
        <v>95.096021816557041</v>
      </c>
      <c r="F827" s="100">
        <v>-29.140974468531056</v>
      </c>
      <c r="G827" s="100">
        <v>1196.6016943966765</v>
      </c>
      <c r="H827" s="100">
        <v>-313.34676884870305</v>
      </c>
      <c r="I827" s="100">
        <v>-1715.382161855814</v>
      </c>
      <c r="J827" s="100">
        <v>-861.26821077637169</v>
      </c>
    </row>
    <row r="828" spans="1:10" x14ac:dyDescent="0.25">
      <c r="A828">
        <v>811</v>
      </c>
      <c r="B828" s="100">
        <v>88.891946116937461</v>
      </c>
      <c r="C828" s="100">
        <v>97.737046473588123</v>
      </c>
      <c r="D828" s="100">
        <v>93.15341872208991</v>
      </c>
      <c r="E828" s="100">
        <v>95.163346587352436</v>
      </c>
      <c r="F828" s="100">
        <v>2183.5944178159066</v>
      </c>
      <c r="G828" s="100">
        <v>709.26454956099155</v>
      </c>
      <c r="H828" s="100">
        <v>-674.67723320660866</v>
      </c>
      <c r="I828" s="100">
        <v>-1782.7069326512087</v>
      </c>
      <c r="J828" s="100">
        <v>435.47480151908121</v>
      </c>
    </row>
    <row r="829" spans="1:10" x14ac:dyDescent="0.25">
      <c r="A829">
        <v>812</v>
      </c>
      <c r="B829" s="100">
        <v>89.433493086504654</v>
      </c>
      <c r="C829" s="100">
        <v>98.595094617518541</v>
      </c>
      <c r="D829" s="100">
        <v>92.830533638097975</v>
      </c>
      <c r="E829" s="100">
        <v>93.363367523899612</v>
      </c>
      <c r="F829" s="100">
        <v>396.48941824416966</v>
      </c>
      <c r="G829" s="100">
        <v>-577.80766633463543</v>
      </c>
      <c r="H829" s="100">
        <v>-28.907065222739448</v>
      </c>
      <c r="I829" s="100">
        <v>17.272130801615049</v>
      </c>
      <c r="J829" s="100">
        <v>-192.95318251159017</v>
      </c>
    </row>
    <row r="830" spans="1:10" x14ac:dyDescent="0.25">
      <c r="A830">
        <v>813</v>
      </c>
      <c r="B830" s="100">
        <v>89.858731641266843</v>
      </c>
      <c r="C830" s="100">
        <v>97.774187692461297</v>
      </c>
      <c r="D830" s="100">
        <v>91.652798131116427</v>
      </c>
      <c r="E830" s="100">
        <v>91.348508361624525</v>
      </c>
      <c r="F830" s="100">
        <v>-1006.7978124710521</v>
      </c>
      <c r="G830" s="100">
        <v>653.55272125123065</v>
      </c>
      <c r="H830" s="100">
        <v>2326.5639487403578</v>
      </c>
      <c r="I830" s="100">
        <v>2032.1312930767021</v>
      </c>
      <c r="J830" s="100">
        <v>4005.4501505972385</v>
      </c>
    </row>
    <row r="831" spans="1:10" x14ac:dyDescent="0.25">
      <c r="A831">
        <v>814</v>
      </c>
      <c r="B831" s="100">
        <v>89.473977481970437</v>
      </c>
      <c r="C831" s="100">
        <v>97.945726236868779</v>
      </c>
      <c r="D831" s="100">
        <v>91.095698870427015</v>
      </c>
      <c r="E831" s="100">
        <v>93.162439905251901</v>
      </c>
      <c r="F831" s="100">
        <v>262.89091320708877</v>
      </c>
      <c r="G831" s="100">
        <v>396.24490464000672</v>
      </c>
      <c r="H831" s="100">
        <v>3440.7624701191821</v>
      </c>
      <c r="I831" s="100">
        <v>218.19974944932596</v>
      </c>
      <c r="J831" s="100">
        <v>4318.0980374156043</v>
      </c>
    </row>
    <row r="832" spans="1:10" x14ac:dyDescent="0.25">
      <c r="A832">
        <v>815</v>
      </c>
      <c r="B832" s="100">
        <v>89.274452293107942</v>
      </c>
      <c r="C832" s="100">
        <v>96.560804989827034</v>
      </c>
      <c r="D832" s="100">
        <v>93.712615804096785</v>
      </c>
      <c r="E832" s="100">
        <v>91.414186372070944</v>
      </c>
      <c r="F832" s="100">
        <v>921.32403645332204</v>
      </c>
      <c r="G832" s="100">
        <v>2473.6267752026251</v>
      </c>
      <c r="H832" s="100">
        <v>-1793.0713972203591</v>
      </c>
      <c r="I832" s="100">
        <v>1966.4532826302832</v>
      </c>
      <c r="J832" s="100">
        <v>3568.3326970658713</v>
      </c>
    </row>
    <row r="833" spans="1:10" x14ac:dyDescent="0.25">
      <c r="A833">
        <v>816</v>
      </c>
      <c r="B833" s="100">
        <v>89.203602246556272</v>
      </c>
      <c r="C833" s="100">
        <v>98.259375059173692</v>
      </c>
      <c r="D833" s="100">
        <v>93.532438815457965</v>
      </c>
      <c r="E833" s="100">
        <v>91.60820583401339</v>
      </c>
      <c r="F833" s="100">
        <v>1155.1291900738306</v>
      </c>
      <c r="G833" s="100">
        <v>-74.22832881736241</v>
      </c>
      <c r="H833" s="100">
        <v>-1432.7174199427191</v>
      </c>
      <c r="I833" s="100">
        <v>1772.4338206878372</v>
      </c>
      <c r="J833" s="100">
        <v>1420.6172620015864</v>
      </c>
    </row>
    <row r="834" spans="1:10" x14ac:dyDescent="0.25">
      <c r="A834">
        <v>817</v>
      </c>
      <c r="B834" s="100">
        <v>89.799539664337033</v>
      </c>
      <c r="C834" s="100">
        <v>98.20416278718686</v>
      </c>
      <c r="D834" s="100">
        <v>91.63381441223757</v>
      </c>
      <c r="E834" s="100">
        <v>95.240925319399423</v>
      </c>
      <c r="F834" s="100">
        <v>-811.46428860267861</v>
      </c>
      <c r="G834" s="100">
        <v>8.5900791628858997</v>
      </c>
      <c r="H834" s="100">
        <v>2364.5313864980722</v>
      </c>
      <c r="I834" s="100">
        <v>-1860.2856646981963</v>
      </c>
      <c r="J834" s="100">
        <v>-298.62848763991678</v>
      </c>
    </row>
    <row r="835" spans="1:10" x14ac:dyDescent="0.25">
      <c r="A835">
        <v>818</v>
      </c>
      <c r="B835" s="100">
        <v>88.378744059554549</v>
      </c>
      <c r="C835" s="100">
        <v>98.452981364920248</v>
      </c>
      <c r="D835" s="100">
        <v>91.943339425283213</v>
      </c>
      <c r="E835" s="100">
        <v>93.947747882447374</v>
      </c>
      <c r="F835" s="100">
        <v>3877.1612071795175</v>
      </c>
      <c r="G835" s="100">
        <v>-364.63778743719644</v>
      </c>
      <c r="H835" s="100">
        <v>1745.4813604067851</v>
      </c>
      <c r="I835" s="100">
        <v>-567.10822774614655</v>
      </c>
      <c r="J835" s="100">
        <v>4690.89655240296</v>
      </c>
    </row>
    <row r="836" spans="1:10" x14ac:dyDescent="0.25">
      <c r="A836">
        <v>819</v>
      </c>
      <c r="B836" s="100">
        <v>89.480931478644706</v>
      </c>
      <c r="C836" s="100">
        <v>97.786256967698733</v>
      </c>
      <c r="D836" s="100">
        <v>92.598875394883976</v>
      </c>
      <c r="E836" s="100">
        <v>95.030732409261759</v>
      </c>
      <c r="F836" s="100">
        <v>239.94272418199927</v>
      </c>
      <c r="G836" s="100">
        <v>635.4488083950755</v>
      </c>
      <c r="H836" s="100">
        <v>434.4094212052596</v>
      </c>
      <c r="I836" s="100">
        <v>-1650.0927545605323</v>
      </c>
      <c r="J836" s="100">
        <v>-340.29180077819797</v>
      </c>
    </row>
    <row r="837" spans="1:10" x14ac:dyDescent="0.25">
      <c r="A837">
        <v>820</v>
      </c>
      <c r="B837" s="100">
        <v>89.813435093755743</v>
      </c>
      <c r="C837" s="100">
        <v>97.295275002935995</v>
      </c>
      <c r="D837" s="100">
        <v>93.008126369082063</v>
      </c>
      <c r="E837" s="100">
        <v>96.591817573006907</v>
      </c>
      <c r="F837" s="100">
        <v>-857.31920568442206</v>
      </c>
      <c r="G837" s="100">
        <v>1371.9217555391836</v>
      </c>
      <c r="H837" s="100">
        <v>-384.09252719091569</v>
      </c>
      <c r="I837" s="100">
        <v>-3211.1779183056797</v>
      </c>
      <c r="J837" s="100">
        <v>-3080.6678956418336</v>
      </c>
    </row>
    <row r="838" spans="1:10" x14ac:dyDescent="0.25">
      <c r="A838">
        <v>821</v>
      </c>
      <c r="B838" s="100">
        <v>89.465721209303936</v>
      </c>
      <c r="C838" s="100">
        <v>98.452301133932025</v>
      </c>
      <c r="D838" s="100">
        <v>93.796648961342825</v>
      </c>
      <c r="E838" s="100">
        <v>97.890294719286828</v>
      </c>
      <c r="F838" s="100">
        <v>290.13661300653979</v>
      </c>
      <c r="G838" s="100">
        <v>-363.61744095486159</v>
      </c>
      <c r="H838" s="100">
        <v>-1961.1377117124391</v>
      </c>
      <c r="I838" s="100">
        <v>-4509.6550645856014</v>
      </c>
      <c r="J838" s="100">
        <v>-6544.2736042463621</v>
      </c>
    </row>
    <row r="839" spans="1:10" x14ac:dyDescent="0.25">
      <c r="A839">
        <v>822</v>
      </c>
      <c r="B839" s="100">
        <v>89.078467613849213</v>
      </c>
      <c r="C839" s="100">
        <v>98.502417886830202</v>
      </c>
      <c r="D839" s="100">
        <v>91.551610936537202</v>
      </c>
      <c r="E839" s="100">
        <v>94.794858283406441</v>
      </c>
      <c r="F839" s="100">
        <v>1568.0734780071261</v>
      </c>
      <c r="G839" s="100">
        <v>-438.79257030212671</v>
      </c>
      <c r="H839" s="100">
        <v>2528.9383378988077</v>
      </c>
      <c r="I839" s="100">
        <v>-1414.2186287052141</v>
      </c>
      <c r="J839" s="100">
        <v>2244.0006168985933</v>
      </c>
    </row>
    <row r="840" spans="1:10" x14ac:dyDescent="0.25">
      <c r="A840">
        <v>823</v>
      </c>
      <c r="B840" s="100">
        <v>89.395650710280407</v>
      </c>
      <c r="C840" s="100">
        <v>97.851331965902915</v>
      </c>
      <c r="D840" s="100">
        <v>92.728978721749314</v>
      </c>
      <c r="E840" s="100">
        <v>95.292434181739992</v>
      </c>
      <c r="F840" s="100">
        <v>521.36925978418708</v>
      </c>
      <c r="G840" s="100">
        <v>537.83631108880309</v>
      </c>
      <c r="H840" s="100">
        <v>174.20276747458274</v>
      </c>
      <c r="I840" s="100">
        <v>-1911.794527038765</v>
      </c>
      <c r="J840" s="100">
        <v>-678.38618869119205</v>
      </c>
    </row>
    <row r="841" spans="1:10" x14ac:dyDescent="0.25">
      <c r="A841">
        <v>824</v>
      </c>
      <c r="B841" s="100">
        <v>90.287650186332854</v>
      </c>
      <c r="C841" s="100">
        <v>98.113180230954157</v>
      </c>
      <c r="D841" s="100">
        <v>94.439264963355583</v>
      </c>
      <c r="E841" s="100">
        <v>93.725093613346118</v>
      </c>
      <c r="F841" s="100">
        <v>-2422.2290111888897</v>
      </c>
      <c r="G841" s="100">
        <v>145.06391351194026</v>
      </c>
      <c r="H841" s="100">
        <v>-3246.3697157379556</v>
      </c>
      <c r="I841" s="100">
        <v>-344.45395864489115</v>
      </c>
      <c r="J841" s="100">
        <v>-5867.9887720597953</v>
      </c>
    </row>
    <row r="842" spans="1:10" x14ac:dyDescent="0.25">
      <c r="A842">
        <v>825</v>
      </c>
      <c r="B842" s="100">
        <v>89.174960485978673</v>
      </c>
      <c r="C842" s="100">
        <v>98.658359211564232</v>
      </c>
      <c r="D842" s="100">
        <v>94.754166099067078</v>
      </c>
      <c r="E842" s="100">
        <v>92.285234756047728</v>
      </c>
      <c r="F842" s="100">
        <v>1249.646999979909</v>
      </c>
      <c r="G842" s="100">
        <v>-672.70455740317198</v>
      </c>
      <c r="H842" s="100">
        <v>-3876.1719871609444</v>
      </c>
      <c r="I842" s="100">
        <v>1095.4048986534985</v>
      </c>
      <c r="J842" s="100">
        <v>-2203.8246459307088</v>
      </c>
    </row>
    <row r="843" spans="1:10" x14ac:dyDescent="0.25">
      <c r="A843">
        <v>826</v>
      </c>
      <c r="B843" s="100">
        <v>89.395199047724148</v>
      </c>
      <c r="C843" s="100">
        <v>99.144577541323542</v>
      </c>
      <c r="D843" s="100">
        <v>93.006645954585949</v>
      </c>
      <c r="E843" s="100">
        <v>94.731863880581002</v>
      </c>
      <c r="F843" s="100">
        <v>522.85974621984087</v>
      </c>
      <c r="G843" s="100">
        <v>-1402.0320520421378</v>
      </c>
      <c r="H843" s="100">
        <v>-381.13169819868631</v>
      </c>
      <c r="I843" s="100">
        <v>-1351.2242258797755</v>
      </c>
      <c r="J843" s="100">
        <v>-2611.5282299007586</v>
      </c>
    </row>
    <row r="844" spans="1:10" x14ac:dyDescent="0.25">
      <c r="A844">
        <v>827</v>
      </c>
      <c r="B844" s="100">
        <v>89.301469770713908</v>
      </c>
      <c r="C844" s="100">
        <v>98.813563929089014</v>
      </c>
      <c r="D844" s="100">
        <v>92.703476098508489</v>
      </c>
      <c r="E844" s="100">
        <v>89.931573712487662</v>
      </c>
      <c r="F844" s="100">
        <v>832.16636035363365</v>
      </c>
      <c r="G844" s="100">
        <v>-905.51163369034521</v>
      </c>
      <c r="H844" s="100">
        <v>225.2080139562338</v>
      </c>
      <c r="I844" s="100">
        <v>3449.065942213565</v>
      </c>
      <c r="J844" s="100">
        <v>3600.9286828330874</v>
      </c>
    </row>
    <row r="845" spans="1:10" x14ac:dyDescent="0.25">
      <c r="A845">
        <v>828</v>
      </c>
      <c r="B845" s="100">
        <v>89.823226766972667</v>
      </c>
      <c r="C845" s="100">
        <v>97.729069065429982</v>
      </c>
      <c r="D845" s="100">
        <v>92.241643063919085</v>
      </c>
      <c r="E845" s="100">
        <v>98.260964641865343</v>
      </c>
      <c r="F845" s="100">
        <v>-889.63172730027077</v>
      </c>
      <c r="G845" s="100">
        <v>721.23066179820228</v>
      </c>
      <c r="H845" s="100">
        <v>1148.8740831350412</v>
      </c>
      <c r="I845" s="100">
        <v>-4880.3249871641156</v>
      </c>
      <c r="J845" s="100">
        <v>-3899.8519695311429</v>
      </c>
    </row>
    <row r="846" spans="1:10" x14ac:dyDescent="0.25">
      <c r="A846">
        <v>829</v>
      </c>
      <c r="B846" s="100">
        <v>89.713962278130779</v>
      </c>
      <c r="C846" s="100">
        <v>97.563805213332387</v>
      </c>
      <c r="D846" s="100">
        <v>91.875339093380262</v>
      </c>
      <c r="E846" s="100">
        <v>95.875989651694638</v>
      </c>
      <c r="F846" s="100">
        <v>-529.05891412204232</v>
      </c>
      <c r="G846" s="100">
        <v>969.12643994459563</v>
      </c>
      <c r="H846" s="100">
        <v>1881.4820242126871</v>
      </c>
      <c r="I846" s="100">
        <v>-2495.3499969934114</v>
      </c>
      <c r="J846" s="100">
        <v>-173.80044695817105</v>
      </c>
    </row>
    <row r="847" spans="1:10" x14ac:dyDescent="0.25">
      <c r="A847">
        <v>830</v>
      </c>
      <c r="B847" s="100">
        <v>89.057357292398734</v>
      </c>
      <c r="C847" s="100">
        <v>98.206603011392787</v>
      </c>
      <c r="D847" s="100">
        <v>93.247692961359149</v>
      </c>
      <c r="E847" s="100">
        <v>95.12884084497307</v>
      </c>
      <c r="F847" s="100">
        <v>1637.7375387937063</v>
      </c>
      <c r="G847" s="100">
        <v>4.9297428539958332</v>
      </c>
      <c r="H847" s="100">
        <v>-863.22571174508766</v>
      </c>
      <c r="I847" s="100">
        <v>-1748.2011902718427</v>
      </c>
      <c r="J847" s="100">
        <v>-968.75962036922829</v>
      </c>
    </row>
    <row r="848" spans="1:10" x14ac:dyDescent="0.25">
      <c r="A848">
        <v>831</v>
      </c>
      <c r="B848" s="100">
        <v>89.199796342331112</v>
      </c>
      <c r="C848" s="100">
        <v>97.327026498575719</v>
      </c>
      <c r="D848" s="100">
        <v>91.840808227780158</v>
      </c>
      <c r="E848" s="100">
        <v>94.98778511934583</v>
      </c>
      <c r="F848" s="100">
        <v>1167.6886740168597</v>
      </c>
      <c r="G848" s="100">
        <v>1324.2945120795966</v>
      </c>
      <c r="H848" s="100">
        <v>1950.5437554128946</v>
      </c>
      <c r="I848" s="100">
        <v>-1607.1454646446027</v>
      </c>
      <c r="J848" s="100">
        <v>2835.381476864748</v>
      </c>
    </row>
    <row r="849" spans="1:10" x14ac:dyDescent="0.25">
      <c r="A849">
        <v>832</v>
      </c>
      <c r="B849" s="100">
        <v>89.439636922271674</v>
      </c>
      <c r="C849" s="100">
        <v>97.522246094936804</v>
      </c>
      <c r="D849" s="100">
        <v>92.606707971041928</v>
      </c>
      <c r="E849" s="100">
        <v>91.682919809499239</v>
      </c>
      <c r="F849" s="100">
        <v>376.21476021300424</v>
      </c>
      <c r="G849" s="100">
        <v>1031.4651175379695</v>
      </c>
      <c r="H849" s="100">
        <v>418.74426888935545</v>
      </c>
      <c r="I849" s="100">
        <v>1697.7198452019877</v>
      </c>
      <c r="J849" s="100">
        <v>3524.1439918423166</v>
      </c>
    </row>
    <row r="850" spans="1:10" x14ac:dyDescent="0.25">
      <c r="A850">
        <v>833</v>
      </c>
      <c r="B850" s="100">
        <v>89.865708601709784</v>
      </c>
      <c r="C850" s="100">
        <v>97.833176244569728</v>
      </c>
      <c r="D850" s="100">
        <v>92.452805318238745</v>
      </c>
      <c r="E850" s="100">
        <v>90.649353912052845</v>
      </c>
      <c r="F850" s="100">
        <v>-1029.8217819327576</v>
      </c>
      <c r="G850" s="100">
        <v>565.06989308858374</v>
      </c>
      <c r="H850" s="100">
        <v>726.54957449572066</v>
      </c>
      <c r="I850" s="100">
        <v>2731.2857426483815</v>
      </c>
      <c r="J850" s="100">
        <v>2993.0834282999285</v>
      </c>
    </row>
    <row r="851" spans="1:10" x14ac:dyDescent="0.25">
      <c r="A851">
        <v>834</v>
      </c>
      <c r="B851" s="100">
        <v>89.543377277424696</v>
      </c>
      <c r="C851" s="100">
        <v>98.708282816879333</v>
      </c>
      <c r="D851" s="100">
        <v>92.584667399435403</v>
      </c>
      <c r="E851" s="100">
        <v>92.086589326240315</v>
      </c>
      <c r="F851" s="100">
        <v>33.871588208032222</v>
      </c>
      <c r="G851" s="100">
        <v>-747.58996537582334</v>
      </c>
      <c r="H851" s="100">
        <v>462.82541210240424</v>
      </c>
      <c r="I851" s="100">
        <v>1294.0503284609122</v>
      </c>
      <c r="J851" s="100">
        <v>1043.1573633955254</v>
      </c>
    </row>
    <row r="852" spans="1:10" x14ac:dyDescent="0.25">
      <c r="A852">
        <v>835</v>
      </c>
      <c r="B852" s="100">
        <v>89.139785457648927</v>
      </c>
      <c r="C852" s="100">
        <v>97.286860576690984</v>
      </c>
      <c r="D852" s="100">
        <v>92.932441976498623</v>
      </c>
      <c r="E852" s="100">
        <v>94.68919428408951</v>
      </c>
      <c r="F852" s="100">
        <v>1365.7245934680716</v>
      </c>
      <c r="G852" s="100">
        <v>1384.5433949067001</v>
      </c>
      <c r="H852" s="100">
        <v>-232.72374202403512</v>
      </c>
      <c r="I852" s="100">
        <v>-1308.5546293882828</v>
      </c>
      <c r="J852" s="100">
        <v>1208.9896169624533</v>
      </c>
    </row>
    <row r="853" spans="1:10" x14ac:dyDescent="0.25">
      <c r="A853">
        <v>836</v>
      </c>
      <c r="B853" s="100">
        <v>89.385535216320449</v>
      </c>
      <c r="C853" s="100">
        <v>97.970978625267961</v>
      </c>
      <c r="D853" s="100">
        <v>91.034795581020418</v>
      </c>
      <c r="E853" s="100">
        <v>92.78779161668308</v>
      </c>
      <c r="F853" s="100">
        <v>554.7503898520489</v>
      </c>
      <c r="G853" s="100">
        <v>358.36632204123475</v>
      </c>
      <c r="H853" s="100">
        <v>3562.5690489323742</v>
      </c>
      <c r="I853" s="100">
        <v>592.84803801814689</v>
      </c>
      <c r="J853" s="100">
        <v>5068.533798843805</v>
      </c>
    </row>
    <row r="854" spans="1:10" x14ac:dyDescent="0.25">
      <c r="A854">
        <v>837</v>
      </c>
      <c r="B854" s="100">
        <v>89.224315687472355</v>
      </c>
      <c r="C854" s="100">
        <v>98.300579527871704</v>
      </c>
      <c r="D854" s="100">
        <v>93.031150878608443</v>
      </c>
      <c r="E854" s="100">
        <v>90.91713989774243</v>
      </c>
      <c r="F854" s="100">
        <v>1086.7748350507568</v>
      </c>
      <c r="G854" s="100">
        <v>-136.03503186438104</v>
      </c>
      <c r="H854" s="100">
        <v>-430.14154624367507</v>
      </c>
      <c r="I854" s="100">
        <v>2463.4997569587968</v>
      </c>
      <c r="J854" s="100">
        <v>2984.0980139014973</v>
      </c>
    </row>
    <row r="855" spans="1:10" x14ac:dyDescent="0.25">
      <c r="A855">
        <v>838</v>
      </c>
      <c r="B855" s="100">
        <v>89.689419821278335</v>
      </c>
      <c r="C855" s="100">
        <v>99.326510324587503</v>
      </c>
      <c r="D855" s="100">
        <v>91.431256500089219</v>
      </c>
      <c r="E855" s="100">
        <v>95.305992740193162</v>
      </c>
      <c r="F855" s="100">
        <v>-448.06880650897654</v>
      </c>
      <c r="G855" s="100">
        <v>-1674.931226938078</v>
      </c>
      <c r="H855" s="100">
        <v>2769.6472107947729</v>
      </c>
      <c r="I855" s="100">
        <v>-1925.3530854919347</v>
      </c>
      <c r="J855" s="100">
        <v>-1278.7059081442164</v>
      </c>
    </row>
    <row r="856" spans="1:10" x14ac:dyDescent="0.25">
      <c r="A856">
        <v>839</v>
      </c>
      <c r="B856" s="100">
        <v>89.324878035330244</v>
      </c>
      <c r="C856" s="100">
        <v>98.838366842771492</v>
      </c>
      <c r="D856" s="100">
        <v>92.298155441080922</v>
      </c>
      <c r="E856" s="100">
        <v>92.866489288164559</v>
      </c>
      <c r="F856" s="100">
        <v>754.91908711972542</v>
      </c>
      <c r="G856" s="100">
        <v>-942.71600421406276</v>
      </c>
      <c r="H856" s="100">
        <v>1035.8493288113664</v>
      </c>
      <c r="I856" s="100">
        <v>514.15036653666846</v>
      </c>
      <c r="J856" s="100">
        <v>1362.2027782536975</v>
      </c>
    </row>
    <row r="857" spans="1:10" x14ac:dyDescent="0.25">
      <c r="A857">
        <v>840</v>
      </c>
      <c r="B857" s="100">
        <v>89.192967810522077</v>
      </c>
      <c r="C857" s="100">
        <v>97.49212401771095</v>
      </c>
      <c r="D857" s="100">
        <v>92.612601951923494</v>
      </c>
      <c r="E857" s="100">
        <v>90.423459097657258</v>
      </c>
      <c r="F857" s="100">
        <v>1190.2228289866741</v>
      </c>
      <c r="G857" s="100">
        <v>1076.6482333767513</v>
      </c>
      <c r="H857" s="100">
        <v>406.95630712622233</v>
      </c>
      <c r="I857" s="100">
        <v>2957.1805570439692</v>
      </c>
      <c r="J857" s="100">
        <v>5631.0079265336171</v>
      </c>
    </row>
    <row r="858" spans="1:10" x14ac:dyDescent="0.25">
      <c r="A858">
        <v>841</v>
      </c>
      <c r="B858" s="100">
        <v>90.38298754248413</v>
      </c>
      <c r="C858" s="100">
        <v>97.987628460374495</v>
      </c>
      <c r="D858" s="100">
        <v>94.49573295934043</v>
      </c>
      <c r="E858" s="100">
        <v>96.137104798728856</v>
      </c>
      <c r="F858" s="100">
        <v>-2736.8422864881013</v>
      </c>
      <c r="G858" s="100">
        <v>333.39156938143333</v>
      </c>
      <c r="H858" s="100">
        <v>-3359.3057077076483</v>
      </c>
      <c r="I858" s="100">
        <v>-2756.4651440276293</v>
      </c>
      <c r="J858" s="100">
        <v>-8519.2215688419456</v>
      </c>
    </row>
    <row r="859" spans="1:10" x14ac:dyDescent="0.25">
      <c r="A859">
        <v>842</v>
      </c>
      <c r="B859" s="100">
        <v>89.790722883722452</v>
      </c>
      <c r="C859" s="100">
        <v>98.737491434626207</v>
      </c>
      <c r="D859" s="100">
        <v>92.227459205690806</v>
      </c>
      <c r="E859" s="100">
        <v>91.203515421008987</v>
      </c>
      <c r="F859" s="100">
        <v>-782.36891257456307</v>
      </c>
      <c r="G859" s="100">
        <v>-791.40289199613539</v>
      </c>
      <c r="H859" s="100">
        <v>1177.2417995915987</v>
      </c>
      <c r="I859" s="100">
        <v>2177.1242336922396</v>
      </c>
      <c r="J859" s="100">
        <v>1780.59422871314</v>
      </c>
    </row>
    <row r="860" spans="1:10" x14ac:dyDescent="0.25">
      <c r="A860">
        <v>843</v>
      </c>
      <c r="B860" s="100">
        <v>88.882878354379159</v>
      </c>
      <c r="C860" s="100">
        <v>96.149390051380308</v>
      </c>
      <c r="D860" s="100">
        <v>93.260587993481153</v>
      </c>
      <c r="E860" s="100">
        <v>93.525688671900753</v>
      </c>
      <c r="F860" s="100">
        <v>2213.5180342583053</v>
      </c>
      <c r="G860" s="100">
        <v>3090.7491828727134</v>
      </c>
      <c r="H860" s="100">
        <v>-889.01577598909398</v>
      </c>
      <c r="I860" s="100">
        <v>-145.04901719952557</v>
      </c>
      <c r="J860" s="100">
        <v>4270.2024239423999</v>
      </c>
    </row>
    <row r="861" spans="1:10" x14ac:dyDescent="0.25">
      <c r="A861">
        <v>844</v>
      </c>
      <c r="B861" s="100">
        <v>88.880015845918066</v>
      </c>
      <c r="C861" s="100">
        <v>97.23403619364359</v>
      </c>
      <c r="D861" s="100">
        <v>93.517920353703929</v>
      </c>
      <c r="E861" s="100">
        <v>92.899190121926267</v>
      </c>
      <c r="F861" s="100">
        <v>2222.9643121799099</v>
      </c>
      <c r="G861" s="100">
        <v>1463.7799694777912</v>
      </c>
      <c r="H861" s="100">
        <v>-1403.6804964346459</v>
      </c>
      <c r="I861" s="100">
        <v>481.44953277495972</v>
      </c>
      <c r="J861" s="100">
        <v>2764.5133179980153</v>
      </c>
    </row>
    <row r="862" spans="1:10" x14ac:dyDescent="0.25">
      <c r="A862">
        <v>845</v>
      </c>
      <c r="B862" s="100">
        <v>88.908985594406175</v>
      </c>
      <c r="C862" s="100">
        <v>99.216747771715973</v>
      </c>
      <c r="D862" s="100">
        <v>94.124625971401727</v>
      </c>
      <c r="E862" s="100">
        <v>93.353013817143605</v>
      </c>
      <c r="F862" s="100">
        <v>2127.3641421691509</v>
      </c>
      <c r="G862" s="100">
        <v>-1510.2873976307833</v>
      </c>
      <c r="H862" s="100">
        <v>-2617.0917318302427</v>
      </c>
      <c r="I862" s="100">
        <v>27.625837557621935</v>
      </c>
      <c r="J862" s="100">
        <v>-1972.3891497342531</v>
      </c>
    </row>
    <row r="863" spans="1:10" x14ac:dyDescent="0.25">
      <c r="A863">
        <v>846</v>
      </c>
      <c r="B863" s="100">
        <v>89.690307138019548</v>
      </c>
      <c r="C863" s="100">
        <v>98.232484256075651</v>
      </c>
      <c r="D863" s="100">
        <v>91.53739350914114</v>
      </c>
      <c r="E863" s="100">
        <v>92.537713367248159</v>
      </c>
      <c r="F863" s="100">
        <v>-450.99695175498056</v>
      </c>
      <c r="G863" s="100">
        <v>-33.892124170300519</v>
      </c>
      <c r="H863" s="100">
        <v>2557.3731926909318</v>
      </c>
      <c r="I863" s="100">
        <v>842.92628745306786</v>
      </c>
      <c r="J863" s="100">
        <v>2915.4104042187182</v>
      </c>
    </row>
    <row r="864" spans="1:10" x14ac:dyDescent="0.25">
      <c r="A864">
        <v>847</v>
      </c>
      <c r="B864" s="100">
        <v>90.482036810937672</v>
      </c>
      <c r="C864" s="100">
        <v>98.395069301529531</v>
      </c>
      <c r="D864" s="100">
        <v>93.423240466035978</v>
      </c>
      <c r="E864" s="100">
        <v>96.07271798372598</v>
      </c>
      <c r="F864" s="100">
        <v>-3063.704872384787</v>
      </c>
      <c r="G864" s="100">
        <v>-277.76969235112148</v>
      </c>
      <c r="H864" s="100">
        <v>-1214.3207210987441</v>
      </c>
      <c r="I864" s="100">
        <v>-2692.0783290247527</v>
      </c>
      <c r="J864" s="100">
        <v>-7247.8736148594053</v>
      </c>
    </row>
    <row r="865" spans="1:10" x14ac:dyDescent="0.25">
      <c r="A865">
        <v>848</v>
      </c>
      <c r="B865" s="100">
        <v>89.761444062566682</v>
      </c>
      <c r="C865" s="100">
        <v>98.815299813627234</v>
      </c>
      <c r="D865" s="100">
        <v>93.810698183392205</v>
      </c>
      <c r="E865" s="100">
        <v>90.308724154872365</v>
      </c>
      <c r="F865" s="100">
        <v>-685.74880276051999</v>
      </c>
      <c r="G865" s="100">
        <v>-908.11546049767594</v>
      </c>
      <c r="H865" s="100">
        <v>-1989.2361558111986</v>
      </c>
      <c r="I865" s="100">
        <v>3071.9154998288614</v>
      </c>
      <c r="J865" s="100">
        <v>-511.18491924053342</v>
      </c>
    </row>
    <row r="866" spans="1:10" x14ac:dyDescent="0.25">
      <c r="A866">
        <v>849</v>
      </c>
      <c r="B866" s="100">
        <v>88.624265460981988</v>
      </c>
      <c r="C866" s="100">
        <v>99.22601777798117</v>
      </c>
      <c r="D866" s="100">
        <v>90.847144410742928</v>
      </c>
      <c r="E866" s="100">
        <v>93.652195888627304</v>
      </c>
      <c r="F866" s="100">
        <v>3066.9405824689688</v>
      </c>
      <c r="G866" s="100">
        <v>-1524.1924070285791</v>
      </c>
      <c r="H866" s="100">
        <v>3937.8713894873554</v>
      </c>
      <c r="I866" s="100">
        <v>-271.55623392607708</v>
      </c>
      <c r="J866" s="100">
        <v>5209.0633310016683</v>
      </c>
    </row>
    <row r="867" spans="1:10" x14ac:dyDescent="0.25">
      <c r="A867">
        <v>850</v>
      </c>
      <c r="B867" s="100">
        <v>89.455148720391477</v>
      </c>
      <c r="C867" s="100">
        <v>97.778575195353696</v>
      </c>
      <c r="D867" s="100">
        <v>92.164221657688756</v>
      </c>
      <c r="E867" s="100">
        <v>93.05135044911529</v>
      </c>
      <c r="F867" s="100">
        <v>325.02582641765372</v>
      </c>
      <c r="G867" s="100">
        <v>646.97146691263185</v>
      </c>
      <c r="H867" s="100">
        <v>1303.7168955956986</v>
      </c>
      <c r="I867" s="100">
        <v>329.28920558593688</v>
      </c>
      <c r="J867" s="100">
        <v>2605.0033945119212</v>
      </c>
    </row>
    <row r="868" spans="1:10" x14ac:dyDescent="0.25">
      <c r="A868">
        <v>851</v>
      </c>
      <c r="B868" s="100">
        <v>89.662280717897914</v>
      </c>
      <c r="C868" s="100">
        <v>98.423077390658179</v>
      </c>
      <c r="D868" s="100">
        <v>94.159987016132746</v>
      </c>
      <c r="E868" s="100">
        <v>93.512634556260863</v>
      </c>
      <c r="F868" s="100">
        <v>-358.50976535358825</v>
      </c>
      <c r="G868" s="100">
        <v>-319.78182604409255</v>
      </c>
      <c r="H868" s="100">
        <v>-2687.8138212922804</v>
      </c>
      <c r="I868" s="100">
        <v>-131.99490155963645</v>
      </c>
      <c r="J868" s="100">
        <v>-3498.1003142495974</v>
      </c>
    </row>
    <row r="869" spans="1:10" x14ac:dyDescent="0.25">
      <c r="A869">
        <v>852</v>
      </c>
      <c r="B869" s="100">
        <v>88.830412579896887</v>
      </c>
      <c r="C869" s="100">
        <v>98.043322321398449</v>
      </c>
      <c r="D869" s="100">
        <v>93.092595902872276</v>
      </c>
      <c r="E869" s="100">
        <v>92.170464453820713</v>
      </c>
      <c r="F869" s="100">
        <v>2386.6550900498028</v>
      </c>
      <c r="G869" s="100">
        <v>249.85077784550214</v>
      </c>
      <c r="H869" s="100">
        <v>-553.03159477134045</v>
      </c>
      <c r="I869" s="100">
        <v>1210.1752008805136</v>
      </c>
      <c r="J869" s="100">
        <v>3293.6494740044782</v>
      </c>
    </row>
    <row r="870" spans="1:10" x14ac:dyDescent="0.25">
      <c r="A870">
        <v>853</v>
      </c>
      <c r="B870" s="100">
        <v>89.708809781159445</v>
      </c>
      <c r="C870" s="100">
        <v>98.841223357235364</v>
      </c>
      <c r="D870" s="100">
        <v>93.352016991619877</v>
      </c>
      <c r="E870" s="100">
        <v>91.200140036400242</v>
      </c>
      <c r="F870" s="100">
        <v>-512.05567411663969</v>
      </c>
      <c r="G870" s="100">
        <v>-947.00077590987064</v>
      </c>
      <c r="H870" s="100">
        <v>-1071.8737722665423</v>
      </c>
      <c r="I870" s="100">
        <v>2180.4996183009848</v>
      </c>
      <c r="J870" s="100">
        <v>-350.43060399206797</v>
      </c>
    </row>
    <row r="871" spans="1:10" x14ac:dyDescent="0.25">
      <c r="A871">
        <v>854</v>
      </c>
      <c r="B871" s="100">
        <v>88.889869187654071</v>
      </c>
      <c r="C871" s="100">
        <v>98.356721231626665</v>
      </c>
      <c r="D871" s="100">
        <v>90.915390354932939</v>
      </c>
      <c r="E871" s="100">
        <v>92.764626631292316</v>
      </c>
      <c r="F871" s="100">
        <v>2190.4482844510953</v>
      </c>
      <c r="G871" s="100">
        <v>-220.2475874968215</v>
      </c>
      <c r="H871" s="100">
        <v>3801.3795011073344</v>
      </c>
      <c r="I871" s="100">
        <v>616.01302340891095</v>
      </c>
      <c r="J871" s="100">
        <v>6387.593221470519</v>
      </c>
    </row>
    <row r="872" spans="1:10" x14ac:dyDescent="0.25">
      <c r="A872">
        <v>855</v>
      </c>
      <c r="B872" s="100">
        <v>89.578362383398925</v>
      </c>
      <c r="C872" s="100">
        <v>98.017963326583711</v>
      </c>
      <c r="D872" s="100">
        <v>93.011490277633541</v>
      </c>
      <c r="E872" s="100">
        <v>93.894612738711203</v>
      </c>
      <c r="F872" s="100">
        <v>-81.579261506924183</v>
      </c>
      <c r="G872" s="100">
        <v>287.889270067609</v>
      </c>
      <c r="H872" s="100">
        <v>-390.82034429387136</v>
      </c>
      <c r="I872" s="100">
        <v>-513.97308400997588</v>
      </c>
      <c r="J872" s="100">
        <v>-698.48341974316236</v>
      </c>
    </row>
    <row r="873" spans="1:10" x14ac:dyDescent="0.25">
      <c r="A873">
        <v>856</v>
      </c>
      <c r="B873" s="100">
        <v>89.491010528152728</v>
      </c>
      <c r="C873" s="100">
        <v>97.793338638404947</v>
      </c>
      <c r="D873" s="100">
        <v>92.604412248953452</v>
      </c>
      <c r="E873" s="100">
        <v>90.847324024095499</v>
      </c>
      <c r="F873" s="100">
        <v>206.68186080552715</v>
      </c>
      <c r="G873" s="100">
        <v>624.82630233575514</v>
      </c>
      <c r="H873" s="100">
        <v>423.33571306630802</v>
      </c>
      <c r="I873" s="100">
        <v>2533.3156306057276</v>
      </c>
      <c r="J873" s="100">
        <v>3788.1595068133179</v>
      </c>
    </row>
    <row r="874" spans="1:10" x14ac:dyDescent="0.25">
      <c r="A874">
        <v>857</v>
      </c>
      <c r="B874" s="100">
        <v>89.211122808779635</v>
      </c>
      <c r="C874" s="100">
        <v>98.385443977181609</v>
      </c>
      <c r="D874" s="100">
        <v>93.277662728156372</v>
      </c>
      <c r="E874" s="100">
        <v>93.904232086273382</v>
      </c>
      <c r="F874" s="100">
        <v>1130.3113347367344</v>
      </c>
      <c r="G874" s="100">
        <v>-263.33170582923771</v>
      </c>
      <c r="H874" s="100">
        <v>-923.1652453395327</v>
      </c>
      <c r="I874" s="100">
        <v>-523.59243157215474</v>
      </c>
      <c r="J874" s="100">
        <v>-579.77804800419085</v>
      </c>
    </row>
    <row r="875" spans="1:10" x14ac:dyDescent="0.25">
      <c r="A875">
        <v>858</v>
      </c>
      <c r="B875" s="100">
        <v>89.462029002150075</v>
      </c>
      <c r="C875" s="100">
        <v>98.129166540404427</v>
      </c>
      <c r="D875" s="100">
        <v>93.85145662316728</v>
      </c>
      <c r="E875" s="100">
        <v>92.598095694191414</v>
      </c>
      <c r="F875" s="100">
        <v>302.32089661428176</v>
      </c>
      <c r="G875" s="100">
        <v>121.08444933653573</v>
      </c>
      <c r="H875" s="100">
        <v>-2070.7530353613492</v>
      </c>
      <c r="I875" s="100">
        <v>782.54396050981256</v>
      </c>
      <c r="J875" s="100">
        <v>-864.80372890071919</v>
      </c>
    </row>
    <row r="876" spans="1:10" x14ac:dyDescent="0.25">
      <c r="A876">
        <v>859</v>
      </c>
      <c r="B876" s="100">
        <v>89.922426655292981</v>
      </c>
      <c r="C876" s="100">
        <v>98.834834879791103</v>
      </c>
      <c r="D876" s="100">
        <v>91.592112537971062</v>
      </c>
      <c r="E876" s="100">
        <v>94.862769139832878</v>
      </c>
      <c r="F876" s="100">
        <v>-1216.9913587573064</v>
      </c>
      <c r="G876" s="100">
        <v>-937.41805974347869</v>
      </c>
      <c r="H876" s="100">
        <v>2447.9351350310881</v>
      </c>
      <c r="I876" s="100">
        <v>-1482.1294851316509</v>
      </c>
      <c r="J876" s="100">
        <v>-1188.6037686013481</v>
      </c>
    </row>
    <row r="877" spans="1:10" x14ac:dyDescent="0.25">
      <c r="A877">
        <v>860</v>
      </c>
      <c r="B877" s="100">
        <v>90.216963732241666</v>
      </c>
      <c r="C877" s="100">
        <v>97.796502026390698</v>
      </c>
      <c r="D877" s="100">
        <v>93.165523647585616</v>
      </c>
      <c r="E877" s="100">
        <v>94.640900912835988</v>
      </c>
      <c r="F877" s="100">
        <v>-2188.9637126879693</v>
      </c>
      <c r="G877" s="100">
        <v>620.08122035712881</v>
      </c>
      <c r="H877" s="100">
        <v>-698.88708419802015</v>
      </c>
      <c r="I877" s="100">
        <v>-1260.2612581347614</v>
      </c>
      <c r="J877" s="100">
        <v>-3528.030834663622</v>
      </c>
    </row>
    <row r="878" spans="1:10" x14ac:dyDescent="0.25">
      <c r="A878">
        <v>861</v>
      </c>
      <c r="B878" s="100">
        <v>89.851916419055797</v>
      </c>
      <c r="C878" s="100">
        <v>97.611665341058895</v>
      </c>
      <c r="D878" s="100">
        <v>93.387899723478995</v>
      </c>
      <c r="E878" s="100">
        <v>93.383041272797485</v>
      </c>
      <c r="F878" s="100">
        <v>-984.30757917460164</v>
      </c>
      <c r="G878" s="100">
        <v>897.33624835483283</v>
      </c>
      <c r="H878" s="100">
        <v>-1143.6392359847787</v>
      </c>
      <c r="I878" s="100">
        <v>-2.4016180962576072</v>
      </c>
      <c r="J878" s="100">
        <v>-1233.0121849008051</v>
      </c>
    </row>
    <row r="879" spans="1:10" x14ac:dyDescent="0.25">
      <c r="A879">
        <v>862</v>
      </c>
      <c r="B879" s="100">
        <v>89.260466169402079</v>
      </c>
      <c r="C879" s="100">
        <v>97.452251014605253</v>
      </c>
      <c r="D879" s="100">
        <v>93.765453123177949</v>
      </c>
      <c r="E879" s="100">
        <v>95.781731551145995</v>
      </c>
      <c r="F879" s="100">
        <v>967.47824468266822</v>
      </c>
      <c r="G879" s="100">
        <v>1136.4577380352969</v>
      </c>
      <c r="H879" s="100">
        <v>-1898.7460353826862</v>
      </c>
      <c r="I879" s="100">
        <v>-2401.0918964447683</v>
      </c>
      <c r="J879" s="100">
        <v>-2195.9019491094896</v>
      </c>
    </row>
    <row r="880" spans="1:10" x14ac:dyDescent="0.25">
      <c r="A880">
        <v>863</v>
      </c>
      <c r="B880" s="100">
        <v>89.344382444935206</v>
      </c>
      <c r="C880" s="100">
        <v>99.058912979165655</v>
      </c>
      <c r="D880" s="100">
        <v>92.027667739112545</v>
      </c>
      <c r="E880" s="100">
        <v>93.227771643728616</v>
      </c>
      <c r="F880" s="100">
        <v>690.55453542334817</v>
      </c>
      <c r="G880" s="100">
        <v>-1273.5352088053062</v>
      </c>
      <c r="H880" s="100">
        <v>1576.824732748122</v>
      </c>
      <c r="I880" s="100">
        <v>152.86801097261105</v>
      </c>
      <c r="J880" s="100">
        <v>1146.712070338775</v>
      </c>
    </row>
    <row r="881" spans="1:10" x14ac:dyDescent="0.25">
      <c r="A881">
        <v>864</v>
      </c>
      <c r="B881" s="100">
        <v>90.458899560944758</v>
      </c>
      <c r="C881" s="100">
        <v>98.802949728341886</v>
      </c>
      <c r="D881" s="100">
        <v>93.117118147889713</v>
      </c>
      <c r="E881" s="100">
        <v>93.133989117305546</v>
      </c>
      <c r="F881" s="100">
        <v>-2987.3519474081718</v>
      </c>
      <c r="G881" s="100">
        <v>-889.5903325696537</v>
      </c>
      <c r="H881" s="100">
        <v>-602.07608480621388</v>
      </c>
      <c r="I881" s="100">
        <v>246.65053739568066</v>
      </c>
      <c r="J881" s="100">
        <v>-4232.3678273883588</v>
      </c>
    </row>
    <row r="882" spans="1:10" x14ac:dyDescent="0.25">
      <c r="A882">
        <v>865</v>
      </c>
      <c r="B882" s="100">
        <v>90.052766314645382</v>
      </c>
      <c r="C882" s="100">
        <v>97.554830214281793</v>
      </c>
      <c r="D882" s="100">
        <v>92.033221310454365</v>
      </c>
      <c r="E882" s="100">
        <v>91.92741946178289</v>
      </c>
      <c r="F882" s="100">
        <v>-1647.1122346202308</v>
      </c>
      <c r="G882" s="100">
        <v>982.58893852048595</v>
      </c>
      <c r="H882" s="100">
        <v>1565.7175900644802</v>
      </c>
      <c r="I882" s="100">
        <v>1453.2201929183373</v>
      </c>
      <c r="J882" s="100">
        <v>2354.4144868830726</v>
      </c>
    </row>
    <row r="883" spans="1:10" x14ac:dyDescent="0.25">
      <c r="A883">
        <v>866</v>
      </c>
      <c r="B883" s="100">
        <v>89.818550434751231</v>
      </c>
      <c r="C883" s="100">
        <v>98.943232987012181</v>
      </c>
      <c r="D883" s="100">
        <v>93.013662409841288</v>
      </c>
      <c r="E883" s="100">
        <v>93.097864071794177</v>
      </c>
      <c r="F883" s="100">
        <v>-874.19983096953183</v>
      </c>
      <c r="G883" s="100">
        <v>-1100.0152205750951</v>
      </c>
      <c r="H883" s="100">
        <v>-395.16460870936498</v>
      </c>
      <c r="I883" s="100">
        <v>282.77558290704974</v>
      </c>
      <c r="J883" s="100">
        <v>-2086.6040773469422</v>
      </c>
    </row>
    <row r="884" spans="1:10" x14ac:dyDescent="0.25">
      <c r="A884">
        <v>867</v>
      </c>
      <c r="B884" s="100">
        <v>89.19512169021867</v>
      </c>
      <c r="C884" s="100">
        <v>98.883948275997639</v>
      </c>
      <c r="D884" s="100">
        <v>93.846577650675684</v>
      </c>
      <c r="E884" s="100">
        <v>95.031052485147768</v>
      </c>
      <c r="F884" s="100">
        <v>1183.115025987918</v>
      </c>
      <c r="G884" s="100">
        <v>-1011.088154053283</v>
      </c>
      <c r="H884" s="100">
        <v>-2060.9950903781564</v>
      </c>
      <c r="I884" s="100">
        <v>-1650.4128304465412</v>
      </c>
      <c r="J884" s="100">
        <v>-3539.3810488900626</v>
      </c>
    </row>
    <row r="885" spans="1:10" x14ac:dyDescent="0.25">
      <c r="A885">
        <v>868</v>
      </c>
      <c r="B885" s="100">
        <v>89.719830403280667</v>
      </c>
      <c r="C885" s="100">
        <v>97.75333201055038</v>
      </c>
      <c r="D885" s="100">
        <v>92.430207903190208</v>
      </c>
      <c r="E885" s="100">
        <v>94.005561199855961</v>
      </c>
      <c r="F885" s="100">
        <v>-548.42372711667338</v>
      </c>
      <c r="G885" s="100">
        <v>684.83624411760502</v>
      </c>
      <c r="H885" s="100">
        <v>771.74440459279481</v>
      </c>
      <c r="I885" s="100">
        <v>-624.9215451547343</v>
      </c>
      <c r="J885" s="100">
        <v>283.23537643899215</v>
      </c>
    </row>
    <row r="886" spans="1:10" x14ac:dyDescent="0.25">
      <c r="A886">
        <v>869</v>
      </c>
      <c r="B886" s="100">
        <v>89.039894738524879</v>
      </c>
      <c r="C886" s="100">
        <v>97.919831817451296</v>
      </c>
      <c r="D886" s="100">
        <v>92.298680164583232</v>
      </c>
      <c r="E886" s="100">
        <v>94.84974892728151</v>
      </c>
      <c r="F886" s="100">
        <v>1695.363966577429</v>
      </c>
      <c r="G886" s="100">
        <v>435.0865337662313</v>
      </c>
      <c r="H886" s="100">
        <v>1034.7998818067481</v>
      </c>
      <c r="I886" s="100">
        <v>-1469.1092725802832</v>
      </c>
      <c r="J886" s="100">
        <v>1696.1411095701251</v>
      </c>
    </row>
    <row r="887" spans="1:10" x14ac:dyDescent="0.25">
      <c r="A887">
        <v>870</v>
      </c>
      <c r="B887" s="100">
        <v>91.385705299185645</v>
      </c>
      <c r="C887" s="100">
        <v>97.150544886081931</v>
      </c>
      <c r="D887" s="100">
        <v>91.301138685975133</v>
      </c>
      <c r="E887" s="100">
        <v>92.400818310455634</v>
      </c>
      <c r="F887" s="100">
        <v>-6045.8108836030988</v>
      </c>
      <c r="G887" s="100">
        <v>1589.0169308202785</v>
      </c>
      <c r="H887" s="100">
        <v>3029.882839022946</v>
      </c>
      <c r="I887" s="100">
        <v>979.8213442455932</v>
      </c>
      <c r="J887" s="100">
        <v>-447.0897695142811</v>
      </c>
    </row>
    <row r="888" spans="1:10" x14ac:dyDescent="0.25">
      <c r="A888">
        <v>871</v>
      </c>
      <c r="B888" s="100">
        <v>89.052935161066372</v>
      </c>
      <c r="C888" s="100">
        <v>97.155823216079227</v>
      </c>
      <c r="D888" s="100">
        <v>92.401699025584293</v>
      </c>
      <c r="E888" s="100">
        <v>94.799821319101113</v>
      </c>
      <c r="F888" s="100">
        <v>1652.3305721905003</v>
      </c>
      <c r="G888" s="100">
        <v>1581.0994358243349</v>
      </c>
      <c r="H888" s="100">
        <v>828.76215980462575</v>
      </c>
      <c r="I888" s="100">
        <v>-1419.1816643998864</v>
      </c>
      <c r="J888" s="100">
        <v>2643.0105034195744</v>
      </c>
    </row>
    <row r="889" spans="1:10" x14ac:dyDescent="0.25">
      <c r="A889">
        <v>872</v>
      </c>
      <c r="B889" s="100">
        <v>89.479222939510052</v>
      </c>
      <c r="C889" s="100">
        <v>98.706625019057427</v>
      </c>
      <c r="D889" s="100">
        <v>94.651876888791449</v>
      </c>
      <c r="E889" s="100">
        <v>92.319647824878672</v>
      </c>
      <c r="F889" s="100">
        <v>245.58090332635771</v>
      </c>
      <c r="G889" s="100">
        <v>-745.10326864296417</v>
      </c>
      <c r="H889" s="100">
        <v>-3671.5935666096866</v>
      </c>
      <c r="I889" s="100">
        <v>1060.9918298225552</v>
      </c>
      <c r="J889" s="100">
        <v>-3110.1241021037381</v>
      </c>
    </row>
    <row r="890" spans="1:10" x14ac:dyDescent="0.25">
      <c r="A890">
        <v>873</v>
      </c>
      <c r="B890" s="100">
        <v>89.346933404255211</v>
      </c>
      <c r="C890" s="100">
        <v>98.928566015360786</v>
      </c>
      <c r="D890" s="100">
        <v>92.632307312194442</v>
      </c>
      <c r="E890" s="100">
        <v>92.217188432721699</v>
      </c>
      <c r="F890" s="100">
        <v>682.13636966733452</v>
      </c>
      <c r="G890" s="100">
        <v>-1078.0147630980039</v>
      </c>
      <c r="H890" s="100">
        <v>367.54558658432757</v>
      </c>
      <c r="I890" s="100">
        <v>1163.4512219795283</v>
      </c>
      <c r="J890" s="100">
        <v>1135.1184151331865</v>
      </c>
    </row>
    <row r="891" spans="1:10" x14ac:dyDescent="0.25">
      <c r="A891">
        <v>874</v>
      </c>
      <c r="B891" s="100">
        <v>89.695019345279505</v>
      </c>
      <c r="C891" s="100">
        <v>98.47495962779297</v>
      </c>
      <c r="D891" s="100">
        <v>93.180000807296977</v>
      </c>
      <c r="E891" s="100">
        <v>93.864283748474193</v>
      </c>
      <c r="F891" s="100">
        <v>-466.54723571283654</v>
      </c>
      <c r="G891" s="100">
        <v>-397.6051817462789</v>
      </c>
      <c r="H891" s="100">
        <v>-727.84140362074368</v>
      </c>
      <c r="I891" s="100">
        <v>-483.64409377296624</v>
      </c>
      <c r="J891" s="100">
        <v>-2075.6379148528254</v>
      </c>
    </row>
    <row r="892" spans="1:10" x14ac:dyDescent="0.25">
      <c r="A892">
        <v>875</v>
      </c>
      <c r="B892" s="100">
        <v>90.161062147585085</v>
      </c>
      <c r="C892" s="100">
        <v>97.870917636812692</v>
      </c>
      <c r="D892" s="100">
        <v>94.3021879150904</v>
      </c>
      <c r="E892" s="100">
        <v>93.197494250620238</v>
      </c>
      <c r="F892" s="100">
        <v>-2004.4884833212507</v>
      </c>
      <c r="G892" s="100">
        <v>508.45780472413793</v>
      </c>
      <c r="H892" s="100">
        <v>-2972.2156192075886</v>
      </c>
      <c r="I892" s="100">
        <v>183.14540408098878</v>
      </c>
      <c r="J892" s="100">
        <v>-4285.1008937237129</v>
      </c>
    </row>
    <row r="893" spans="1:10" x14ac:dyDescent="0.25">
      <c r="A893">
        <v>876</v>
      </c>
      <c r="B893" s="100">
        <v>90.224188088856934</v>
      </c>
      <c r="C893" s="100">
        <v>97.580259451974655</v>
      </c>
      <c r="D893" s="100">
        <v>92.653660769165384</v>
      </c>
      <c r="E893" s="100">
        <v>94.111540802064781</v>
      </c>
      <c r="F893" s="100">
        <v>-2212.8040895183531</v>
      </c>
      <c r="G893" s="100">
        <v>944.44508198119343</v>
      </c>
      <c r="H893" s="100">
        <v>324.83867264244282</v>
      </c>
      <c r="I893" s="100">
        <v>-730.9011473635536</v>
      </c>
      <c r="J893" s="100">
        <v>-1674.4214822582703</v>
      </c>
    </row>
    <row r="894" spans="1:10" x14ac:dyDescent="0.25">
      <c r="A894">
        <v>877</v>
      </c>
      <c r="B894" s="100">
        <v>90.083503608316605</v>
      </c>
      <c r="C894" s="100">
        <v>98.454374185251609</v>
      </c>
      <c r="D894" s="100">
        <v>92.385759431681137</v>
      </c>
      <c r="E894" s="100">
        <v>92.162878968849782</v>
      </c>
      <c r="F894" s="100">
        <v>-1748.5453037352656</v>
      </c>
      <c r="G894" s="100">
        <v>-366.72701793423812</v>
      </c>
      <c r="H894" s="100">
        <v>860.64134761093669</v>
      </c>
      <c r="I894" s="100">
        <v>1217.760685851445</v>
      </c>
      <c r="J894" s="100">
        <v>-36.870288207122258</v>
      </c>
    </row>
    <row r="895" spans="1:10" x14ac:dyDescent="0.25">
      <c r="A895">
        <v>878</v>
      </c>
      <c r="B895" s="100">
        <v>90.678803231822442</v>
      </c>
      <c r="C895" s="100">
        <v>98.960540367831044</v>
      </c>
      <c r="D895" s="100">
        <v>91.665238552319622</v>
      </c>
      <c r="E895" s="100">
        <v>91.906229445361973</v>
      </c>
      <c r="F895" s="100">
        <v>-3713.0340613045305</v>
      </c>
      <c r="G895" s="100">
        <v>-1125.97629180339</v>
      </c>
      <c r="H895" s="100">
        <v>2301.6831063339678</v>
      </c>
      <c r="I895" s="100">
        <v>1474.4102093392542</v>
      </c>
      <c r="J895" s="100">
        <v>-1062.9170374346984</v>
      </c>
    </row>
    <row r="896" spans="1:10" x14ac:dyDescent="0.25">
      <c r="A896">
        <v>879</v>
      </c>
      <c r="B896" s="100">
        <v>89.547895732374002</v>
      </c>
      <c r="C896" s="100">
        <v>97.289887111757238</v>
      </c>
      <c r="D896" s="100">
        <v>96.235987897505666</v>
      </c>
      <c r="E896" s="100">
        <v>90.243074966841974</v>
      </c>
      <c r="F896" s="100">
        <v>18.960686875323063</v>
      </c>
      <c r="G896" s="100">
        <v>1380.0035923073183</v>
      </c>
      <c r="H896" s="100">
        <v>-6839.8155840381205</v>
      </c>
      <c r="I896" s="100">
        <v>3137.5646878592534</v>
      </c>
      <c r="J896" s="100">
        <v>-2303.2866169962263</v>
      </c>
    </row>
    <row r="897" spans="1:10" x14ac:dyDescent="0.25">
      <c r="A897">
        <v>880</v>
      </c>
      <c r="B897" s="100">
        <v>88.790248346502253</v>
      </c>
      <c r="C897" s="100">
        <v>99.269310282283683</v>
      </c>
      <c r="D897" s="100">
        <v>94.018273185760833</v>
      </c>
      <c r="E897" s="100">
        <v>91.56286169192461</v>
      </c>
      <c r="F897" s="100">
        <v>2519.1970602520955</v>
      </c>
      <c r="G897" s="100">
        <v>-1589.1311634823496</v>
      </c>
      <c r="H897" s="100">
        <v>-2404.3861605484553</v>
      </c>
      <c r="I897" s="100">
        <v>1817.7779627766172</v>
      </c>
      <c r="J897" s="100">
        <v>343.45769899790776</v>
      </c>
    </row>
    <row r="898" spans="1:10" x14ac:dyDescent="0.25">
      <c r="A898">
        <v>881</v>
      </c>
      <c r="B898" s="100">
        <v>89.239380095426199</v>
      </c>
      <c r="C898" s="100">
        <v>98.29756000228403</v>
      </c>
      <c r="D898" s="100">
        <v>91.842776469895426</v>
      </c>
      <c r="E898" s="100">
        <v>91.244695716125889</v>
      </c>
      <c r="F898" s="100">
        <v>1037.0622888030723</v>
      </c>
      <c r="G898" s="100">
        <v>-131.50574348286881</v>
      </c>
      <c r="H898" s="100">
        <v>1946.6072711823585</v>
      </c>
      <c r="I898" s="100">
        <v>2135.9439385753376</v>
      </c>
      <c r="J898" s="100">
        <v>4988.1077550778991</v>
      </c>
    </row>
    <row r="899" spans="1:10" x14ac:dyDescent="0.25">
      <c r="A899">
        <v>882</v>
      </c>
      <c r="B899" s="100">
        <v>89.142524721165472</v>
      </c>
      <c r="C899" s="100">
        <v>98.728214830397434</v>
      </c>
      <c r="D899" s="100">
        <v>92.595104654539753</v>
      </c>
      <c r="E899" s="100">
        <v>94.681320855075754</v>
      </c>
      <c r="F899" s="100">
        <v>1356.6850238634715</v>
      </c>
      <c r="G899" s="100">
        <v>-777.48798565297511</v>
      </c>
      <c r="H899" s="100">
        <v>441.95090189370489</v>
      </c>
      <c r="I899" s="100">
        <v>-1300.6812003745267</v>
      </c>
      <c r="J899" s="100">
        <v>-279.5332602703254</v>
      </c>
    </row>
    <row r="900" spans="1:10" x14ac:dyDescent="0.25">
      <c r="A900">
        <v>883</v>
      </c>
      <c r="B900" s="100">
        <v>89.495352735300898</v>
      </c>
      <c r="C900" s="100">
        <v>98.634490251308534</v>
      </c>
      <c r="D900" s="100">
        <v>90.13046998040366</v>
      </c>
      <c r="E900" s="100">
        <v>91.630163447396384</v>
      </c>
      <c r="F900" s="100">
        <v>192.35257721656609</v>
      </c>
      <c r="G900" s="100">
        <v>-636.90111701962587</v>
      </c>
      <c r="H900" s="100">
        <v>5371.2202501658903</v>
      </c>
      <c r="I900" s="100">
        <v>1750.4762073048425</v>
      </c>
      <c r="J900" s="100">
        <v>6677.147917667673</v>
      </c>
    </row>
    <row r="901" spans="1:10" x14ac:dyDescent="0.25">
      <c r="A901">
        <v>884</v>
      </c>
      <c r="B901" s="100">
        <v>89.77008576498973</v>
      </c>
      <c r="C901" s="100">
        <v>97.989873308073356</v>
      </c>
      <c r="D901" s="100">
        <v>92.791049104158773</v>
      </c>
      <c r="E901" s="100">
        <v>94.178679791445148</v>
      </c>
      <c r="F901" s="100">
        <v>-714.26642075658015</v>
      </c>
      <c r="G901" s="100">
        <v>330.02429783314113</v>
      </c>
      <c r="H901" s="100">
        <v>50.062002655664628</v>
      </c>
      <c r="I901" s="100">
        <v>-798.04013674392138</v>
      </c>
      <c r="J901" s="100">
        <v>-1132.2202570116958</v>
      </c>
    </row>
    <row r="902" spans="1:10" x14ac:dyDescent="0.25">
      <c r="A902">
        <v>885</v>
      </c>
      <c r="B902" s="100">
        <v>89.551793940642668</v>
      </c>
      <c r="C902" s="100">
        <v>97.575351183766188</v>
      </c>
      <c r="D902" s="100">
        <v>92.225130262563852</v>
      </c>
      <c r="E902" s="100">
        <v>94.056514522328243</v>
      </c>
      <c r="F902" s="100">
        <v>6.0965995887258373</v>
      </c>
      <c r="G902" s="100">
        <v>951.80748429389439</v>
      </c>
      <c r="H902" s="100">
        <v>1181.899685845508</v>
      </c>
      <c r="I902" s="100">
        <v>-675.87486762701587</v>
      </c>
      <c r="J902" s="100">
        <v>1463.928902101112</v>
      </c>
    </row>
    <row r="903" spans="1:10" x14ac:dyDescent="0.25">
      <c r="A903">
        <v>886</v>
      </c>
      <c r="B903" s="100">
        <v>88.762423455736936</v>
      </c>
      <c r="C903" s="100">
        <v>97.268948562502842</v>
      </c>
      <c r="D903" s="100">
        <v>92.7255458457998</v>
      </c>
      <c r="E903" s="100">
        <v>94.274994244451321</v>
      </c>
      <c r="F903" s="100">
        <v>2611.0191997776396</v>
      </c>
      <c r="G903" s="100">
        <v>1411.411416188912</v>
      </c>
      <c r="H903" s="100">
        <v>181.06851937361057</v>
      </c>
      <c r="I903" s="100">
        <v>-894.35458975009396</v>
      </c>
      <c r="J903" s="100">
        <v>3309.144545590068</v>
      </c>
    </row>
    <row r="904" spans="1:10" x14ac:dyDescent="0.25">
      <c r="A904">
        <v>887</v>
      </c>
      <c r="B904" s="100">
        <v>90.290080715630495</v>
      </c>
      <c r="C904" s="100">
        <v>98.278434150564735</v>
      </c>
      <c r="D904" s="100">
        <v>93.843810649098515</v>
      </c>
      <c r="E904" s="100">
        <v>93.49097638832221</v>
      </c>
      <c r="F904" s="100">
        <v>-2430.2497578711041</v>
      </c>
      <c r="G904" s="100">
        <v>-102.81696590392642</v>
      </c>
      <c r="H904" s="100">
        <v>-2055.4610872238186</v>
      </c>
      <c r="I904" s="100">
        <v>-110.33673362098284</v>
      </c>
      <c r="J904" s="100">
        <v>-4698.8645446198316</v>
      </c>
    </row>
    <row r="905" spans="1:10" x14ac:dyDescent="0.25">
      <c r="A905">
        <v>888</v>
      </c>
      <c r="B905" s="100">
        <v>88.998583416137819</v>
      </c>
      <c r="C905" s="100">
        <v>97.890930731950505</v>
      </c>
      <c r="D905" s="100">
        <v>93.493604714674007</v>
      </c>
      <c r="E905" s="100">
        <v>93.381249187134458</v>
      </c>
      <c r="F905" s="100">
        <v>1831.6913304547256</v>
      </c>
      <c r="G905" s="100">
        <v>478.43816201741873</v>
      </c>
      <c r="H905" s="100">
        <v>-1355.049218374802</v>
      </c>
      <c r="I905" s="100">
        <v>-0.60953243323069728</v>
      </c>
      <c r="J905" s="100">
        <v>954.47074166411153</v>
      </c>
    </row>
    <row r="906" spans="1:10" x14ac:dyDescent="0.25">
      <c r="A906">
        <v>889</v>
      </c>
      <c r="B906" s="100">
        <v>89.623397769577807</v>
      </c>
      <c r="C906" s="100">
        <v>98.572209489835814</v>
      </c>
      <c r="D906" s="100">
        <v>93.223344350711997</v>
      </c>
      <c r="E906" s="100">
        <v>93.719665619634043</v>
      </c>
      <c r="F906" s="100">
        <v>-230.19603589723232</v>
      </c>
      <c r="G906" s="100">
        <v>-543.47997481054472</v>
      </c>
      <c r="H906" s="100">
        <v>-814.52849045078324</v>
      </c>
      <c r="I906" s="100">
        <v>-339.02596493281578</v>
      </c>
      <c r="J906" s="100">
        <v>-1927.230466091376</v>
      </c>
    </row>
    <row r="907" spans="1:10" x14ac:dyDescent="0.25">
      <c r="A907">
        <v>890</v>
      </c>
      <c r="B907" s="100">
        <v>90.287584708481347</v>
      </c>
      <c r="C907" s="100">
        <v>97.802365417555464</v>
      </c>
      <c r="D907" s="100">
        <v>94.186581354046751</v>
      </c>
      <c r="E907" s="100">
        <v>93.767941077228187</v>
      </c>
      <c r="F907" s="100">
        <v>-2422.0129342789164</v>
      </c>
      <c r="G907" s="100">
        <v>611.28613360997974</v>
      </c>
      <c r="H907" s="100">
        <v>-2741.0024971202915</v>
      </c>
      <c r="I907" s="100">
        <v>-387.30142252695998</v>
      </c>
      <c r="J907" s="100">
        <v>-4939.0307203161883</v>
      </c>
    </row>
    <row r="908" spans="1:10" x14ac:dyDescent="0.25">
      <c r="A908">
        <v>891</v>
      </c>
      <c r="B908" s="100">
        <v>90.793939665181313</v>
      </c>
      <c r="C908" s="100">
        <v>98.875019536413703</v>
      </c>
      <c r="D908" s="100">
        <v>92.303366699426121</v>
      </c>
      <c r="E908" s="100">
        <v>92.412462282756778</v>
      </c>
      <c r="F908" s="100">
        <v>-4092.9842913888024</v>
      </c>
      <c r="G908" s="100">
        <v>-997.69504467737852</v>
      </c>
      <c r="H908" s="100">
        <v>1025.4268121209691</v>
      </c>
      <c r="I908" s="100">
        <v>968.17737194444931</v>
      </c>
      <c r="J908" s="100">
        <v>-3097.0751520007634</v>
      </c>
    </row>
    <row r="909" spans="1:10" x14ac:dyDescent="0.25">
      <c r="A909">
        <v>892</v>
      </c>
      <c r="B909" s="100">
        <v>88.590081200646608</v>
      </c>
      <c r="C909" s="100">
        <v>97.373602498858205</v>
      </c>
      <c r="D909" s="100">
        <v>93.28258221356937</v>
      </c>
      <c r="E909" s="100">
        <v>92.86426873425674</v>
      </c>
      <c r="F909" s="100">
        <v>3179.7486415757221</v>
      </c>
      <c r="G909" s="100">
        <v>1254.4305116558689</v>
      </c>
      <c r="H909" s="100">
        <v>-933.00421616552853</v>
      </c>
      <c r="I909" s="100">
        <v>516.37092044448707</v>
      </c>
      <c r="J909" s="100">
        <v>4017.5458575105499</v>
      </c>
    </row>
    <row r="910" spans="1:10" x14ac:dyDescent="0.25">
      <c r="A910">
        <v>893</v>
      </c>
      <c r="B910" s="100">
        <v>89.770403831313914</v>
      </c>
      <c r="C910" s="100">
        <v>98.025007801240733</v>
      </c>
      <c r="D910" s="100">
        <v>94.123781483445185</v>
      </c>
      <c r="E910" s="100">
        <v>93.799543905647496</v>
      </c>
      <c r="F910" s="100">
        <v>-715.31603962638565</v>
      </c>
      <c r="G910" s="100">
        <v>277.3225580820764</v>
      </c>
      <c r="H910" s="100">
        <v>-2615.4027559171595</v>
      </c>
      <c r="I910" s="100">
        <v>-418.90425094626949</v>
      </c>
      <c r="J910" s="100">
        <v>-3472.3004884077382</v>
      </c>
    </row>
    <row r="911" spans="1:10" x14ac:dyDescent="0.25">
      <c r="A911">
        <v>894</v>
      </c>
      <c r="B911" s="100">
        <v>88.802222156997942</v>
      </c>
      <c r="C911" s="100">
        <v>97.622973251416084</v>
      </c>
      <c r="D911" s="100">
        <v>94.223791683372781</v>
      </c>
      <c r="E911" s="100">
        <v>94.84460408108896</v>
      </c>
      <c r="F911" s="100">
        <v>2479.68348561632</v>
      </c>
      <c r="G911" s="100">
        <v>880.37438281904906</v>
      </c>
      <c r="H911" s="100">
        <v>-2815.4231557723506</v>
      </c>
      <c r="I911" s="100">
        <v>-1463.9644263877331</v>
      </c>
      <c r="J911" s="100">
        <v>-919.32971372471457</v>
      </c>
    </row>
    <row r="912" spans="1:10" x14ac:dyDescent="0.25">
      <c r="A912">
        <v>895</v>
      </c>
      <c r="B912" s="100">
        <v>90.131306016038977</v>
      </c>
      <c r="C912" s="100">
        <v>97.337723771934208</v>
      </c>
      <c r="D912" s="100">
        <v>94.240985458413917</v>
      </c>
      <c r="E912" s="100">
        <v>94.089212896981451</v>
      </c>
      <c r="F912" s="100">
        <v>-1906.2932492190939</v>
      </c>
      <c r="G912" s="100">
        <v>1308.2486020418642</v>
      </c>
      <c r="H912" s="100">
        <v>-2849.8107058546225</v>
      </c>
      <c r="I912" s="100">
        <v>-708.57324228022378</v>
      </c>
      <c r="J912" s="100">
        <v>-4156.4285953120761</v>
      </c>
    </row>
    <row r="913" spans="1:10" x14ac:dyDescent="0.25">
      <c r="A913">
        <v>896</v>
      </c>
      <c r="B913" s="100">
        <v>90.033753829197124</v>
      </c>
      <c r="C913" s="100">
        <v>100.36881091788109</v>
      </c>
      <c r="D913" s="100">
        <v>92.325056780548934</v>
      </c>
      <c r="E913" s="100">
        <v>95.222343839815053</v>
      </c>
      <c r="F913" s="100">
        <v>-1584.3710326409805</v>
      </c>
      <c r="G913" s="100">
        <v>-3238.3821168784621</v>
      </c>
      <c r="H913" s="100">
        <v>982.04664987534329</v>
      </c>
      <c r="I913" s="100">
        <v>-1841.7041851138265</v>
      </c>
      <c r="J913" s="100">
        <v>-5682.410684757926</v>
      </c>
    </row>
    <row r="914" spans="1:10" x14ac:dyDescent="0.25">
      <c r="A914">
        <v>897</v>
      </c>
      <c r="B914" s="100">
        <v>88.755339609597698</v>
      </c>
      <c r="C914" s="100">
        <v>97.435786589740886</v>
      </c>
      <c r="D914" s="100">
        <v>92.771572827204324</v>
      </c>
      <c r="E914" s="100">
        <v>91.101041530994138</v>
      </c>
      <c r="F914" s="100">
        <v>2634.3958920371265</v>
      </c>
      <c r="G914" s="100">
        <v>1161.1543753318472</v>
      </c>
      <c r="H914" s="100">
        <v>89.014556564563918</v>
      </c>
      <c r="I914" s="100">
        <v>2279.5981237070891</v>
      </c>
      <c r="J914" s="100">
        <v>6164.162947640627</v>
      </c>
    </row>
    <row r="915" spans="1:10" x14ac:dyDescent="0.25">
      <c r="A915">
        <v>898</v>
      </c>
      <c r="B915" s="100">
        <v>89.840233954914268</v>
      </c>
      <c r="C915" s="100">
        <v>99.147586179762158</v>
      </c>
      <c r="D915" s="100">
        <v>95.697345784874756</v>
      </c>
      <c r="E915" s="100">
        <v>91.501153129157856</v>
      </c>
      <c r="F915" s="100">
        <v>-945.75544750755535</v>
      </c>
      <c r="G915" s="100">
        <v>-1406.5450097000607</v>
      </c>
      <c r="H915" s="100">
        <v>-5762.5313587763003</v>
      </c>
      <c r="I915" s="100">
        <v>1879.4865255433706</v>
      </c>
      <c r="J915" s="100">
        <v>-6235.3452904405458</v>
      </c>
    </row>
    <row r="916" spans="1:10" x14ac:dyDescent="0.25">
      <c r="A916">
        <v>899</v>
      </c>
      <c r="B916" s="100">
        <v>88.958370185422538</v>
      </c>
      <c r="C916" s="100">
        <v>96.378763057809721</v>
      </c>
      <c r="D916" s="100">
        <v>94.206310119444012</v>
      </c>
      <c r="E916" s="100">
        <v>93.615518538966526</v>
      </c>
      <c r="F916" s="100">
        <v>1964.3949918151534</v>
      </c>
      <c r="G916" s="100">
        <v>2746.6896732285945</v>
      </c>
      <c r="H916" s="100">
        <v>-2780.4600279148135</v>
      </c>
      <c r="I916" s="100">
        <v>-234.87888426529935</v>
      </c>
      <c r="J916" s="100">
        <v>1695.7457528636351</v>
      </c>
    </row>
    <row r="917" spans="1:10" x14ac:dyDescent="0.25">
      <c r="A917">
        <v>900</v>
      </c>
      <c r="B917" s="100">
        <v>90.253871264074021</v>
      </c>
      <c r="C917" s="100">
        <v>96.942497731332594</v>
      </c>
      <c r="D917" s="100">
        <v>92.389628468577783</v>
      </c>
      <c r="E917" s="100">
        <v>90.905440192180038</v>
      </c>
      <c r="F917" s="100">
        <v>-2310.7585677347415</v>
      </c>
      <c r="G917" s="100">
        <v>1901.0876629442848</v>
      </c>
      <c r="H917" s="100">
        <v>852.90327381764541</v>
      </c>
      <c r="I917" s="100">
        <v>2475.1994625211892</v>
      </c>
      <c r="J917" s="100">
        <v>2918.4318315483779</v>
      </c>
    </row>
    <row r="918" spans="1:10" x14ac:dyDescent="0.25">
      <c r="A918">
        <v>901</v>
      </c>
      <c r="B918" s="100">
        <v>89.869152472048285</v>
      </c>
      <c r="C918" s="100">
        <v>97.626061862512941</v>
      </c>
      <c r="D918" s="100">
        <v>89.692639144979694</v>
      </c>
      <c r="E918" s="100">
        <v>94.35271480386298</v>
      </c>
      <c r="F918" s="100">
        <v>-1041.1865540498097</v>
      </c>
      <c r="G918" s="100">
        <v>875.74146617376414</v>
      </c>
      <c r="H918" s="100">
        <v>6246.8819210138236</v>
      </c>
      <c r="I918" s="100">
        <v>-972.07514916175342</v>
      </c>
      <c r="J918" s="100">
        <v>5109.3616839760252</v>
      </c>
    </row>
    <row r="919" spans="1:10" x14ac:dyDescent="0.25">
      <c r="A919">
        <v>902</v>
      </c>
      <c r="B919" s="100">
        <v>90.297425357502249</v>
      </c>
      <c r="C919" s="100">
        <v>98.04809912404788</v>
      </c>
      <c r="D919" s="100">
        <v>91.801750686104839</v>
      </c>
      <c r="E919" s="100">
        <v>95.178741494568399</v>
      </c>
      <c r="F919" s="100">
        <v>-2454.4870760478916</v>
      </c>
      <c r="G919" s="100">
        <v>242.68557387135559</v>
      </c>
      <c r="H919" s="100">
        <v>2028.6588387635334</v>
      </c>
      <c r="I919" s="100">
        <v>-1798.1018398671722</v>
      </c>
      <c r="J919" s="100">
        <v>-1981.2445032801747</v>
      </c>
    </row>
    <row r="920" spans="1:10" x14ac:dyDescent="0.25">
      <c r="A920">
        <v>903</v>
      </c>
      <c r="B920" s="100">
        <v>89.604694578751037</v>
      </c>
      <c r="C920" s="100">
        <v>97.961231324267814</v>
      </c>
      <c r="D920" s="100">
        <v>92.811406970091582</v>
      </c>
      <c r="E920" s="100">
        <v>93.08078272809955</v>
      </c>
      <c r="F920" s="100">
        <v>-168.4755061688918</v>
      </c>
      <c r="G920" s="100">
        <v>372.98727354145456</v>
      </c>
      <c r="H920" s="100">
        <v>9.3462707900471287</v>
      </c>
      <c r="I920" s="100">
        <v>299.85692660167729</v>
      </c>
      <c r="J920" s="100">
        <v>513.71496476428717</v>
      </c>
    </row>
    <row r="921" spans="1:10" x14ac:dyDescent="0.25">
      <c r="A921">
        <v>904</v>
      </c>
      <c r="B921" s="100">
        <v>90.027746626042941</v>
      </c>
      <c r="C921" s="100">
        <v>97.122132661784363</v>
      </c>
      <c r="D921" s="100">
        <v>92.79705670501869</v>
      </c>
      <c r="E921" s="100">
        <v>94.001916195255575</v>
      </c>
      <c r="F921" s="100">
        <v>-1564.5472622321747</v>
      </c>
      <c r="G921" s="100">
        <v>1631.6352672666312</v>
      </c>
      <c r="H921" s="100">
        <v>38.046800935831016</v>
      </c>
      <c r="I921" s="100">
        <v>-621.27654055434789</v>
      </c>
      <c r="J921" s="100">
        <v>-516.14173458406037</v>
      </c>
    </row>
    <row r="922" spans="1:10" x14ac:dyDescent="0.25">
      <c r="A922">
        <v>905</v>
      </c>
      <c r="B922" s="100">
        <v>90.164376186983773</v>
      </c>
      <c r="C922" s="100">
        <v>98.741750378427284</v>
      </c>
      <c r="D922" s="100">
        <v>94.369450563169522</v>
      </c>
      <c r="E922" s="100">
        <v>93.009882914504843</v>
      </c>
      <c r="F922" s="100">
        <v>-2015.4248133369222</v>
      </c>
      <c r="G922" s="100">
        <v>-797.79130769775009</v>
      </c>
      <c r="H922" s="100">
        <v>-3106.7409153658332</v>
      </c>
      <c r="I922" s="100">
        <v>370.75674019638427</v>
      </c>
      <c r="J922" s="100">
        <v>-5549.2002962041206</v>
      </c>
    </row>
    <row r="923" spans="1:10" x14ac:dyDescent="0.25">
      <c r="A923">
        <v>906</v>
      </c>
      <c r="B923" s="100">
        <v>88.950258407335696</v>
      </c>
      <c r="C923" s="100">
        <v>97.509959934411341</v>
      </c>
      <c r="D923" s="100">
        <v>92.120580344274643</v>
      </c>
      <c r="E923" s="100">
        <v>92.735910227695484</v>
      </c>
      <c r="F923" s="100">
        <v>1991.1638595017337</v>
      </c>
      <c r="G923" s="100">
        <v>1049.8943583261635</v>
      </c>
      <c r="H923" s="100">
        <v>1390.9995224239253</v>
      </c>
      <c r="I923" s="100">
        <v>644.72942700574265</v>
      </c>
      <c r="J923" s="100">
        <v>5076.7871672575657</v>
      </c>
    </row>
    <row r="924" spans="1:10" x14ac:dyDescent="0.25">
      <c r="A924">
        <v>907</v>
      </c>
      <c r="B924" s="100">
        <v>90.370842453563853</v>
      </c>
      <c r="C924" s="100">
        <v>98.044326182068417</v>
      </c>
      <c r="D924" s="100">
        <v>91.597096816785012</v>
      </c>
      <c r="E924" s="100">
        <v>88.597238757874337</v>
      </c>
      <c r="F924" s="100">
        <v>-2696.7634930511849</v>
      </c>
      <c r="G924" s="100">
        <v>248.34498684055006</v>
      </c>
      <c r="H924" s="100">
        <v>2437.9665774031878</v>
      </c>
      <c r="I924" s="100">
        <v>4783.4008968268899</v>
      </c>
      <c r="J924" s="100">
        <v>4772.9489680194429</v>
      </c>
    </row>
    <row r="925" spans="1:10" x14ac:dyDescent="0.25">
      <c r="A925">
        <v>908</v>
      </c>
      <c r="B925" s="100">
        <v>90.024962832347441</v>
      </c>
      <c r="C925" s="100">
        <v>97.207618138078374</v>
      </c>
      <c r="D925" s="100">
        <v>92.676026085368719</v>
      </c>
      <c r="E925" s="100">
        <v>93.712368286688815</v>
      </c>
      <c r="F925" s="100">
        <v>-1555.3607430370264</v>
      </c>
      <c r="G925" s="100">
        <v>1503.4070528256152</v>
      </c>
      <c r="H925" s="100">
        <v>280.10804023577407</v>
      </c>
      <c r="I925" s="100">
        <v>-331.72863198758762</v>
      </c>
      <c r="J925" s="100">
        <v>-103.57428196322473</v>
      </c>
    </row>
    <row r="926" spans="1:10" x14ac:dyDescent="0.25">
      <c r="A926">
        <v>909</v>
      </c>
      <c r="B926" s="100">
        <v>89.185301808311507</v>
      </c>
      <c r="C926" s="100">
        <v>96.720911797967233</v>
      </c>
      <c r="D926" s="100">
        <v>92.531399635047705</v>
      </c>
      <c r="E926" s="100">
        <v>90.606065385428707</v>
      </c>
      <c r="F926" s="100">
        <v>1215.5206362815547</v>
      </c>
      <c r="G926" s="100">
        <v>2233.4665629923265</v>
      </c>
      <c r="H926" s="100">
        <v>569.3609408778002</v>
      </c>
      <c r="I926" s="100">
        <v>2774.5742692725203</v>
      </c>
      <c r="J926" s="100">
        <v>6792.9224094242018</v>
      </c>
    </row>
    <row r="927" spans="1:10" x14ac:dyDescent="0.25">
      <c r="A927">
        <v>910</v>
      </c>
      <c r="B927" s="100">
        <v>89.921961489529409</v>
      </c>
      <c r="C927" s="100">
        <v>98.728205572299686</v>
      </c>
      <c r="D927" s="100">
        <v>93.048479521231911</v>
      </c>
      <c r="E927" s="100">
        <v>93.747586614031079</v>
      </c>
      <c r="F927" s="100">
        <v>-1215.4563117375189</v>
      </c>
      <c r="G927" s="100">
        <v>-777.47409850635313</v>
      </c>
      <c r="H927" s="100">
        <v>-464.79883149061152</v>
      </c>
      <c r="I927" s="100">
        <v>-366.94695932985155</v>
      </c>
      <c r="J927" s="100">
        <v>-2824.6762010643351</v>
      </c>
    </row>
    <row r="928" spans="1:10" x14ac:dyDescent="0.25">
      <c r="A928">
        <v>911</v>
      </c>
      <c r="B928" s="100">
        <v>89.230440724633354</v>
      </c>
      <c r="C928" s="100">
        <v>97.761573687052632</v>
      </c>
      <c r="D928" s="100">
        <v>91.885595885238018</v>
      </c>
      <c r="E928" s="100">
        <v>92.785072890283303</v>
      </c>
      <c r="F928" s="100">
        <v>1066.5622124194613</v>
      </c>
      <c r="G928" s="100">
        <v>672.47372936422778</v>
      </c>
      <c r="H928" s="100">
        <v>1860.9684404971745</v>
      </c>
      <c r="I928" s="100">
        <v>595.56676441792433</v>
      </c>
      <c r="J928" s="100">
        <v>4195.5711466987877</v>
      </c>
    </row>
    <row r="929" spans="1:10" x14ac:dyDescent="0.25">
      <c r="A929">
        <v>912</v>
      </c>
      <c r="B929" s="100">
        <v>90.317289153423332</v>
      </c>
      <c r="C929" s="100">
        <v>98.174078177313234</v>
      </c>
      <c r="D929" s="100">
        <v>94.95039934576667</v>
      </c>
      <c r="E929" s="100">
        <v>95.064695111185955</v>
      </c>
      <c r="F929" s="100">
        <v>-2520.0376025874648</v>
      </c>
      <c r="G929" s="100">
        <v>53.716993973324634</v>
      </c>
      <c r="H929" s="100">
        <v>-4268.6384805601283</v>
      </c>
      <c r="I929" s="100">
        <v>-1684.055456484728</v>
      </c>
      <c r="J929" s="100">
        <v>-8419.0145456589962</v>
      </c>
    </row>
    <row r="930" spans="1:10" x14ac:dyDescent="0.25">
      <c r="A930">
        <v>913</v>
      </c>
      <c r="B930" s="100">
        <v>89.971994513616792</v>
      </c>
      <c r="C930" s="100">
        <v>98.91814237652936</v>
      </c>
      <c r="D930" s="100">
        <v>91.970345579609599</v>
      </c>
      <c r="E930" s="100">
        <v>92.554790714715523</v>
      </c>
      <c r="F930" s="100">
        <v>-1380.5652912258849</v>
      </c>
      <c r="G930" s="100">
        <v>-1062.3793048508646</v>
      </c>
      <c r="H930" s="100">
        <v>1691.4690517540123</v>
      </c>
      <c r="I930" s="100">
        <v>825.84893998570408</v>
      </c>
      <c r="J930" s="100">
        <v>74.373395662966573</v>
      </c>
    </row>
    <row r="931" spans="1:10" x14ac:dyDescent="0.25">
      <c r="A931">
        <v>914</v>
      </c>
      <c r="B931" s="100">
        <v>89.42083322886829</v>
      </c>
      <c r="C931" s="100">
        <v>97.453480727798649</v>
      </c>
      <c r="D931" s="100">
        <v>94.243894686148778</v>
      </c>
      <c r="E931" s="100">
        <v>93.525532171127068</v>
      </c>
      <c r="F931" s="100">
        <v>438.26694844417347</v>
      </c>
      <c r="G931" s="100">
        <v>1134.6131682452026</v>
      </c>
      <c r="H931" s="100">
        <v>-2855.6291613243448</v>
      </c>
      <c r="I931" s="100">
        <v>-144.89251642584122</v>
      </c>
      <c r="J931" s="100">
        <v>-1427.6415610608099</v>
      </c>
    </row>
    <row r="932" spans="1:10" x14ac:dyDescent="0.25">
      <c r="A932">
        <v>915</v>
      </c>
      <c r="B932" s="100">
        <v>90.281900613132748</v>
      </c>
      <c r="C932" s="100">
        <v>98.28915768982084</v>
      </c>
      <c r="D932" s="100">
        <v>93.289043471120422</v>
      </c>
      <c r="E932" s="100">
        <v>93.570957699096255</v>
      </c>
      <c r="F932" s="100">
        <v>-2403.2554196285405</v>
      </c>
      <c r="G932" s="100">
        <v>-118.90227478808413</v>
      </c>
      <c r="H932" s="100">
        <v>-945.92673126763316</v>
      </c>
      <c r="I932" s="100">
        <v>-190.31804439502764</v>
      </c>
      <c r="J932" s="100">
        <v>-3658.4024700792852</v>
      </c>
    </row>
    <row r="933" spans="1:10" x14ac:dyDescent="0.25">
      <c r="A933">
        <v>916</v>
      </c>
      <c r="B933" s="100">
        <v>88.968029230328781</v>
      </c>
      <c r="C933" s="100">
        <v>97.814839212476514</v>
      </c>
      <c r="D933" s="100">
        <v>91.564745926670497</v>
      </c>
      <c r="E933" s="100">
        <v>93.893722895790589</v>
      </c>
      <c r="F933" s="100">
        <v>1932.5201436245507</v>
      </c>
      <c r="G933" s="100">
        <v>592.575441228405</v>
      </c>
      <c r="H933" s="100">
        <v>2502.6683576322171</v>
      </c>
      <c r="I933" s="100">
        <v>-513.08324108936176</v>
      </c>
      <c r="J933" s="100">
        <v>4514.6807013958114</v>
      </c>
    </row>
    <row r="934" spans="1:10" x14ac:dyDescent="0.25">
      <c r="A934">
        <v>917</v>
      </c>
      <c r="B934" s="100">
        <v>90.253784823753676</v>
      </c>
      <c r="C934" s="100">
        <v>98.136537848188027</v>
      </c>
      <c r="D934" s="100">
        <v>92.086557350581998</v>
      </c>
      <c r="E934" s="100">
        <v>95.403749140428545</v>
      </c>
      <c r="F934" s="100">
        <v>-2310.4733146776025</v>
      </c>
      <c r="G934" s="100">
        <v>110.02748766113513</v>
      </c>
      <c r="H934" s="100">
        <v>1459.045509809215</v>
      </c>
      <c r="I934" s="100">
        <v>-2023.1094857273179</v>
      </c>
      <c r="J934" s="100">
        <v>-2764.50980293457</v>
      </c>
    </row>
    <row r="935" spans="1:10" x14ac:dyDescent="0.25">
      <c r="A935">
        <v>918</v>
      </c>
      <c r="B935" s="100">
        <v>88.989473013365853</v>
      </c>
      <c r="C935" s="100">
        <v>98.619668749334934</v>
      </c>
      <c r="D935" s="100">
        <v>94.387916128781995</v>
      </c>
      <c r="E935" s="100">
        <v>95.828855724214208</v>
      </c>
      <c r="F935" s="100">
        <v>1861.7556596022155</v>
      </c>
      <c r="G935" s="100">
        <v>-614.66886405922594</v>
      </c>
      <c r="H935" s="100">
        <v>-3143.6720465907797</v>
      </c>
      <c r="I935" s="100">
        <v>-2448.2160695129805</v>
      </c>
      <c r="J935" s="100">
        <v>-4344.8013205607713</v>
      </c>
    </row>
    <row r="936" spans="1:10" x14ac:dyDescent="0.25">
      <c r="A936">
        <v>919</v>
      </c>
      <c r="B936" s="100">
        <v>90.404737182478897</v>
      </c>
      <c r="C936" s="100">
        <v>97.049030523093393</v>
      </c>
      <c r="D936" s="100">
        <v>90.642210484859163</v>
      </c>
      <c r="E936" s="100">
        <v>93.341863168605272</v>
      </c>
      <c r="F936" s="100">
        <v>-2808.6160984708299</v>
      </c>
      <c r="G936" s="100">
        <v>1741.2884753030867</v>
      </c>
      <c r="H936" s="100">
        <v>4347.7392412548852</v>
      </c>
      <c r="I936" s="100">
        <v>38.776486095954965</v>
      </c>
      <c r="J936" s="100">
        <v>3319.188104183097</v>
      </c>
    </row>
    <row r="937" spans="1:10" x14ac:dyDescent="0.25">
      <c r="A937">
        <v>920</v>
      </c>
      <c r="B937" s="100">
        <v>90.195350761885535</v>
      </c>
      <c r="C937" s="100">
        <v>99.120005091833832</v>
      </c>
      <c r="D937" s="100">
        <v>93.743003284618382</v>
      </c>
      <c r="E937" s="100">
        <v>94.438983834533161</v>
      </c>
      <c r="F937" s="100">
        <v>-2117.6409105127377</v>
      </c>
      <c r="G937" s="100">
        <v>-1365.1733778075723</v>
      </c>
      <c r="H937" s="100">
        <v>-1853.8463582635529</v>
      </c>
      <c r="I937" s="100">
        <v>-1058.3441798319341</v>
      </c>
      <c r="J937" s="100">
        <v>-6395.0048264157977</v>
      </c>
    </row>
    <row r="938" spans="1:10" x14ac:dyDescent="0.25">
      <c r="A938">
        <v>921</v>
      </c>
      <c r="B938" s="100">
        <v>89.297136312561022</v>
      </c>
      <c r="C938" s="100">
        <v>98.111123565171297</v>
      </c>
      <c r="D938" s="100">
        <v>94.227550732940131</v>
      </c>
      <c r="E938" s="100">
        <v>95.94427509231636</v>
      </c>
      <c r="F938" s="100">
        <v>846.46677225815529</v>
      </c>
      <c r="G938" s="100">
        <v>148.14891218622961</v>
      </c>
      <c r="H938" s="100">
        <v>-2822.9412549070503</v>
      </c>
      <c r="I938" s="100">
        <v>-2563.635437615133</v>
      </c>
      <c r="J938" s="100">
        <v>-4391.9610080777984</v>
      </c>
    </row>
    <row r="939" spans="1:10" x14ac:dyDescent="0.25">
      <c r="A939">
        <v>922</v>
      </c>
      <c r="B939" s="100">
        <v>89.691295579702668</v>
      </c>
      <c r="C939" s="100">
        <v>97.084016109244033</v>
      </c>
      <c r="D939" s="100">
        <v>91.081244034331263</v>
      </c>
      <c r="E939" s="100">
        <v>93.462521268674607</v>
      </c>
      <c r="F939" s="100">
        <v>-454.25880930927605</v>
      </c>
      <c r="G939" s="100">
        <v>1688.8100960771269</v>
      </c>
      <c r="H939" s="100">
        <v>3469.6721423106851</v>
      </c>
      <c r="I939" s="100">
        <v>-81.881613973379785</v>
      </c>
      <c r="J939" s="100">
        <v>4622.3418151051565</v>
      </c>
    </row>
    <row r="940" spans="1:10" x14ac:dyDescent="0.25">
      <c r="A940">
        <v>923</v>
      </c>
      <c r="B940" s="100">
        <v>88.98300818014782</v>
      </c>
      <c r="C940" s="100">
        <v>98.3129919349376</v>
      </c>
      <c r="D940" s="100">
        <v>91.506843515271498</v>
      </c>
      <c r="E940" s="100">
        <v>93.606518411996021</v>
      </c>
      <c r="F940" s="100">
        <v>1883.0896092217231</v>
      </c>
      <c r="G940" s="100">
        <v>-154.65364246322366</v>
      </c>
      <c r="H940" s="100">
        <v>2618.4731804302146</v>
      </c>
      <c r="I940" s="100">
        <v>-225.87875729479379</v>
      </c>
      <c r="J940" s="100">
        <v>4121.0303898939201</v>
      </c>
    </row>
    <row r="941" spans="1:10" x14ac:dyDescent="0.25">
      <c r="A941">
        <v>924</v>
      </c>
      <c r="B941" s="100">
        <v>89.25215957884889</v>
      </c>
      <c r="C941" s="100">
        <v>97.45293620781888</v>
      </c>
      <c r="D941" s="100">
        <v>92.5789341753066</v>
      </c>
      <c r="E941" s="100">
        <v>91.832076720454339</v>
      </c>
      <c r="F941" s="100">
        <v>994.88999350819404</v>
      </c>
      <c r="G941" s="100">
        <v>1135.4299482148563</v>
      </c>
      <c r="H941" s="100">
        <v>474.2918603600117</v>
      </c>
      <c r="I941" s="100">
        <v>1548.5629342468883</v>
      </c>
      <c r="J941" s="100">
        <v>4153.1747363299501</v>
      </c>
    </row>
    <row r="942" spans="1:10" x14ac:dyDescent="0.25">
      <c r="A942">
        <v>925</v>
      </c>
      <c r="B942" s="100">
        <v>89.984616671212834</v>
      </c>
      <c r="C942" s="100">
        <v>99.380908228788684</v>
      </c>
      <c r="D942" s="100">
        <v>91.694216675852502</v>
      </c>
      <c r="E942" s="100">
        <v>93.374182487134178</v>
      </c>
      <c r="F942" s="100">
        <v>-1422.2184112928219</v>
      </c>
      <c r="G942" s="100">
        <v>-1756.52808323985</v>
      </c>
      <c r="H942" s="100">
        <v>2243.7268592682076</v>
      </c>
      <c r="I942" s="100">
        <v>6.4571675670492823</v>
      </c>
      <c r="J942" s="100">
        <v>-928.56246769741506</v>
      </c>
    </row>
    <row r="943" spans="1:10" x14ac:dyDescent="0.25">
      <c r="A943">
        <v>926</v>
      </c>
      <c r="B943" s="100">
        <v>88.857297143906735</v>
      </c>
      <c r="C943" s="100">
        <v>97.876116698819573</v>
      </c>
      <c r="D943" s="100">
        <v>91.845851186870533</v>
      </c>
      <c r="E943" s="100">
        <v>93.505579667823056</v>
      </c>
      <c r="F943" s="100">
        <v>2297.9360288173057</v>
      </c>
      <c r="G943" s="100">
        <v>500.65921171381689</v>
      </c>
      <c r="H943" s="100">
        <v>1940.4578372321453</v>
      </c>
      <c r="I943" s="100">
        <v>-124.94001312182945</v>
      </c>
      <c r="J943" s="100">
        <v>4614.1130646414385</v>
      </c>
    </row>
    <row r="944" spans="1:10" x14ac:dyDescent="0.25">
      <c r="A944">
        <v>927</v>
      </c>
      <c r="B944" s="100">
        <v>88.875831680552167</v>
      </c>
      <c r="C944" s="100">
        <v>98.418324710684104</v>
      </c>
      <c r="D944" s="100">
        <v>92.052175455972971</v>
      </c>
      <c r="E944" s="100">
        <v>93.94858639132093</v>
      </c>
      <c r="F944" s="100">
        <v>2236.7720578873773</v>
      </c>
      <c r="G944" s="100">
        <v>-312.65280608297985</v>
      </c>
      <c r="H944" s="100">
        <v>1527.8092990272683</v>
      </c>
      <c r="I944" s="100">
        <v>-567.94673661970307</v>
      </c>
      <c r="J944" s="100">
        <v>2883.9818142119625</v>
      </c>
    </row>
    <row r="945" spans="1:10" x14ac:dyDescent="0.25">
      <c r="A945">
        <v>928</v>
      </c>
      <c r="B945" s="100">
        <v>89.32503163242626</v>
      </c>
      <c r="C945" s="100">
        <v>96.723823131898158</v>
      </c>
      <c r="D945" s="100">
        <v>92.310701913604632</v>
      </c>
      <c r="E945" s="100">
        <v>93.317825612154408</v>
      </c>
      <c r="F945" s="100">
        <v>754.41221670287177</v>
      </c>
      <c r="G945" s="100">
        <v>2229.0995620959393</v>
      </c>
      <c r="H945" s="100">
        <v>1010.7563837639475</v>
      </c>
      <c r="I945" s="100">
        <v>62.814042546818882</v>
      </c>
      <c r="J945" s="100">
        <v>4057.0822051095774</v>
      </c>
    </row>
    <row r="946" spans="1:10" x14ac:dyDescent="0.25">
      <c r="A946">
        <v>929</v>
      </c>
      <c r="B946" s="100">
        <v>90.097637350155296</v>
      </c>
      <c r="C946" s="100">
        <v>98.728800679947256</v>
      </c>
      <c r="D946" s="100">
        <v>92.831931638706408</v>
      </c>
      <c r="E946" s="100">
        <v>90.809708188496515</v>
      </c>
      <c r="F946" s="100">
        <v>-1795.1866518029462</v>
      </c>
      <c r="G946" s="100">
        <v>-778.36675997770749</v>
      </c>
      <c r="H946" s="100">
        <v>-31.703066439604299</v>
      </c>
      <c r="I946" s="100">
        <v>2570.9314662047118</v>
      </c>
      <c r="J946" s="100">
        <v>-34.325012015546235</v>
      </c>
    </row>
    <row r="947" spans="1:10" x14ac:dyDescent="0.25">
      <c r="A947">
        <v>930</v>
      </c>
      <c r="B947" s="100">
        <v>89.049302300373782</v>
      </c>
      <c r="C947" s="100">
        <v>98.653381578756083</v>
      </c>
      <c r="D947" s="100">
        <v>90.70037935778295</v>
      </c>
      <c r="E947" s="100">
        <v>91.718185487224531</v>
      </c>
      <c r="F947" s="100">
        <v>1664.3190124760495</v>
      </c>
      <c r="G947" s="100">
        <v>-665.2381081909482</v>
      </c>
      <c r="H947" s="100">
        <v>4231.4014954073118</v>
      </c>
      <c r="I947" s="100">
        <v>1662.4541674766961</v>
      </c>
      <c r="J947" s="100">
        <v>6892.9365671691094</v>
      </c>
    </row>
    <row r="948" spans="1:10" x14ac:dyDescent="0.25">
      <c r="A948">
        <v>931</v>
      </c>
      <c r="B948" s="100">
        <v>89.240941305655312</v>
      </c>
      <c r="C948" s="100">
        <v>97.400503626662584</v>
      </c>
      <c r="D948" s="100">
        <v>93.481009989158423</v>
      </c>
      <c r="E948" s="100">
        <v>94.727220124643694</v>
      </c>
      <c r="F948" s="100">
        <v>1031.9102950469996</v>
      </c>
      <c r="G948" s="100">
        <v>1214.0788199493002</v>
      </c>
      <c r="H948" s="100">
        <v>-1329.8597673436348</v>
      </c>
      <c r="I948" s="100">
        <v>-1346.5804699424666</v>
      </c>
      <c r="J948" s="100">
        <v>-430.45112228980179</v>
      </c>
    </row>
    <row r="949" spans="1:10" x14ac:dyDescent="0.25">
      <c r="A949">
        <v>932</v>
      </c>
      <c r="B949" s="100">
        <v>89.837547543979568</v>
      </c>
      <c r="C949" s="100">
        <v>97.3217190512635</v>
      </c>
      <c r="D949" s="100">
        <v>91.36626046380411</v>
      </c>
      <c r="E949" s="100">
        <v>94.206482448151803</v>
      </c>
      <c r="F949" s="100">
        <v>-936.89029142304457</v>
      </c>
      <c r="G949" s="100">
        <v>1332.2556830479257</v>
      </c>
      <c r="H949" s="100">
        <v>2899.6392833649907</v>
      </c>
      <c r="I949" s="100">
        <v>-825.8427934505761</v>
      </c>
      <c r="J949" s="100">
        <v>2469.1618815392958</v>
      </c>
    </row>
    <row r="950" spans="1:10" x14ac:dyDescent="0.25">
      <c r="A950">
        <v>933</v>
      </c>
      <c r="B950" s="100">
        <v>89.111358966972986</v>
      </c>
      <c r="C950" s="100">
        <v>99.49903649470366</v>
      </c>
      <c r="D950" s="100">
        <v>91.646681954525292</v>
      </c>
      <c r="E950" s="100">
        <v>92.156974685791496</v>
      </c>
      <c r="F950" s="100">
        <v>1459.5320126986749</v>
      </c>
      <c r="G950" s="100">
        <v>-1933.7204821123137</v>
      </c>
      <c r="H950" s="100">
        <v>2338.7963019226277</v>
      </c>
      <c r="I950" s="100">
        <v>1223.6649689097305</v>
      </c>
      <c r="J950" s="100">
        <v>3088.2728014187196</v>
      </c>
    </row>
    <row r="951" spans="1:10" x14ac:dyDescent="0.25">
      <c r="A951">
        <v>934</v>
      </c>
      <c r="B951" s="100">
        <v>89.885837321850403</v>
      </c>
      <c r="C951" s="100">
        <v>98.299547418428418</v>
      </c>
      <c r="D951" s="100">
        <v>91.833415070279273</v>
      </c>
      <c r="E951" s="100">
        <v>93.645894591314502</v>
      </c>
      <c r="F951" s="100">
        <v>-1096.2465583967996</v>
      </c>
      <c r="G951" s="100">
        <v>-134.48686769945084</v>
      </c>
      <c r="H951" s="100">
        <v>1965.3300704146659</v>
      </c>
      <c r="I951" s="100">
        <v>-265.25493661327459</v>
      </c>
      <c r="J951" s="100">
        <v>469.34170770514083</v>
      </c>
    </row>
    <row r="952" spans="1:10" x14ac:dyDescent="0.25">
      <c r="A952">
        <v>935</v>
      </c>
      <c r="B952" s="100">
        <v>89.518974749751962</v>
      </c>
      <c r="C952" s="100">
        <v>98.154041108258241</v>
      </c>
      <c r="D952" s="100">
        <v>93.642158082286031</v>
      </c>
      <c r="E952" s="100">
        <v>91.316987577473981</v>
      </c>
      <c r="F952" s="100">
        <v>114.39992952805511</v>
      </c>
      <c r="G952" s="100">
        <v>83.772597555814343</v>
      </c>
      <c r="H952" s="100">
        <v>-1652.1559535988501</v>
      </c>
      <c r="I952" s="100">
        <v>2063.6520772272461</v>
      </c>
      <c r="J952" s="100">
        <v>609.66865071226539</v>
      </c>
    </row>
    <row r="953" spans="1:10" x14ac:dyDescent="0.25">
      <c r="A953">
        <v>936</v>
      </c>
      <c r="B953" s="100">
        <v>89.637267348478687</v>
      </c>
      <c r="C953" s="100">
        <v>98.742562507084429</v>
      </c>
      <c r="D953" s="100">
        <v>91.654847060598044</v>
      </c>
      <c r="E953" s="100">
        <v>93.207314762982264</v>
      </c>
      <c r="F953" s="100">
        <v>-275.96564627013862</v>
      </c>
      <c r="G953" s="100">
        <v>-799.00950068346788</v>
      </c>
      <c r="H953" s="100">
        <v>2322.4660897771228</v>
      </c>
      <c r="I953" s="100">
        <v>173.3248917189627</v>
      </c>
      <c r="J953" s="100">
        <v>1420.815834542479</v>
      </c>
    </row>
    <row r="954" spans="1:10" x14ac:dyDescent="0.25">
      <c r="A954">
        <v>937</v>
      </c>
      <c r="B954" s="100">
        <v>89.610445416339218</v>
      </c>
      <c r="C954" s="100">
        <v>95.667791367714472</v>
      </c>
      <c r="D954" s="100">
        <v>92.010437151956438</v>
      </c>
      <c r="E954" s="100">
        <v>93.237679866395496</v>
      </c>
      <c r="F954" s="100">
        <v>-187.45327020988896</v>
      </c>
      <c r="G954" s="100">
        <v>3813.1472083714684</v>
      </c>
      <c r="H954" s="100">
        <v>1611.2859070603349</v>
      </c>
      <c r="I954" s="100">
        <v>142.95978830573119</v>
      </c>
      <c r="J954" s="100">
        <v>5379.939633527646</v>
      </c>
    </row>
    <row r="955" spans="1:10" x14ac:dyDescent="0.25">
      <c r="A955">
        <v>938</v>
      </c>
      <c r="B955" s="100">
        <v>89.964841718251961</v>
      </c>
      <c r="C955" s="100">
        <v>98.408088950969386</v>
      </c>
      <c r="D955" s="100">
        <v>92.386503437673014</v>
      </c>
      <c r="E955" s="100">
        <v>93.509269004718703</v>
      </c>
      <c r="F955" s="100">
        <v>-1356.9610665219416</v>
      </c>
      <c r="G955" s="100">
        <v>-297.29916651090349</v>
      </c>
      <c r="H955" s="100">
        <v>859.15333562718388</v>
      </c>
      <c r="I955" s="100">
        <v>-128.62935001747644</v>
      </c>
      <c r="J955" s="100">
        <v>-923.73624742313757</v>
      </c>
    </row>
    <row r="956" spans="1:10" x14ac:dyDescent="0.25">
      <c r="A956">
        <v>939</v>
      </c>
      <c r="B956" s="100">
        <v>89.169152065987674</v>
      </c>
      <c r="C956" s="100">
        <v>98.328024213294256</v>
      </c>
      <c r="D956" s="100">
        <v>92.954069870828363</v>
      </c>
      <c r="E956" s="100">
        <v>92.969126214354617</v>
      </c>
      <c r="F956" s="100">
        <v>1268.8147859502037</v>
      </c>
      <c r="G956" s="100">
        <v>-177.20205999820848</v>
      </c>
      <c r="H956" s="100">
        <v>-275.97953068351444</v>
      </c>
      <c r="I956" s="100">
        <v>411.51344034661008</v>
      </c>
      <c r="J956" s="100">
        <v>1227.1466356150909</v>
      </c>
    </row>
    <row r="957" spans="1:10" x14ac:dyDescent="0.25">
      <c r="A957">
        <v>940</v>
      </c>
      <c r="B957" s="100">
        <v>89.539278960857715</v>
      </c>
      <c r="C957" s="100">
        <v>96.18149325647957</v>
      </c>
      <c r="D957" s="100">
        <v>92.208833928259878</v>
      </c>
      <c r="E957" s="100">
        <v>93.535515587444777</v>
      </c>
      <c r="F957" s="100">
        <v>47.396032879071015</v>
      </c>
      <c r="G957" s="100">
        <v>3042.5943752238213</v>
      </c>
      <c r="H957" s="100">
        <v>1214.4923544534549</v>
      </c>
      <c r="I957" s="100">
        <v>-154.87593274355049</v>
      </c>
      <c r="J957" s="100">
        <v>4149.6068298127957</v>
      </c>
    </row>
    <row r="958" spans="1:10" x14ac:dyDescent="0.25">
      <c r="A958">
        <v>941</v>
      </c>
      <c r="B958" s="100">
        <v>89.485643688177078</v>
      </c>
      <c r="C958" s="100">
        <v>100.29045844400839</v>
      </c>
      <c r="D958" s="100">
        <v>92.992950186421169</v>
      </c>
      <c r="E958" s="100">
        <v>92.882476097621392</v>
      </c>
      <c r="F958" s="100">
        <v>224.39243272517331</v>
      </c>
      <c r="G958" s="100">
        <v>-3120.8534060694146</v>
      </c>
      <c r="H958" s="100">
        <v>-353.74016186912627</v>
      </c>
      <c r="I958" s="100">
        <v>498.16355707983462</v>
      </c>
      <c r="J958" s="100">
        <v>-2752.0375781335333</v>
      </c>
    </row>
    <row r="959" spans="1:10" x14ac:dyDescent="0.25">
      <c r="A959">
        <v>942</v>
      </c>
      <c r="B959" s="100">
        <v>89.672757855652662</v>
      </c>
      <c r="C959" s="100">
        <v>98.556366275127289</v>
      </c>
      <c r="D959" s="100">
        <v>94.249676203351868</v>
      </c>
      <c r="E959" s="100">
        <v>93.237256370172503</v>
      </c>
      <c r="F959" s="100">
        <v>-393.08431994425632</v>
      </c>
      <c r="G959" s="100">
        <v>-519.7151527477572</v>
      </c>
      <c r="H959" s="100">
        <v>-2867.1921957305244</v>
      </c>
      <c r="I959" s="100">
        <v>143.38328452872418</v>
      </c>
      <c r="J959" s="100">
        <v>-3636.6083838938139</v>
      </c>
    </row>
    <row r="960" spans="1:10" x14ac:dyDescent="0.25">
      <c r="A960">
        <v>943</v>
      </c>
      <c r="B960" s="100">
        <v>89.467145716845593</v>
      </c>
      <c r="C960" s="100">
        <v>98.522653253456525</v>
      </c>
      <c r="D960" s="100">
        <v>92.515862863635149</v>
      </c>
      <c r="E960" s="100">
        <v>91.756078723772688</v>
      </c>
      <c r="F960" s="100">
        <v>285.43573811907237</v>
      </c>
      <c r="G960" s="100">
        <v>-469.14562024161199</v>
      </c>
      <c r="H960" s="100">
        <v>600.4344837029123</v>
      </c>
      <c r="I960" s="100">
        <v>1624.5609309285385</v>
      </c>
      <c r="J960" s="100">
        <v>2041.2855325089113</v>
      </c>
    </row>
    <row r="961" spans="1:10" x14ac:dyDescent="0.25">
      <c r="A961">
        <v>944</v>
      </c>
      <c r="B961" s="100">
        <v>90.515415302060788</v>
      </c>
      <c r="C961" s="100">
        <v>98.807267166932007</v>
      </c>
      <c r="D961" s="100">
        <v>92.851377754343147</v>
      </c>
      <c r="E961" s="100">
        <v>92.78933791216653</v>
      </c>
      <c r="F961" s="100">
        <v>-3173.8538930910709</v>
      </c>
      <c r="G961" s="100">
        <v>-896.06649045483528</v>
      </c>
      <c r="H961" s="100">
        <v>-70.595297713083482</v>
      </c>
      <c r="I961" s="100">
        <v>591.30174253469647</v>
      </c>
      <c r="J961" s="100">
        <v>-3549.2139387242928</v>
      </c>
    </row>
    <row r="962" spans="1:10" x14ac:dyDescent="0.25">
      <c r="A962">
        <v>945</v>
      </c>
      <c r="B962" s="100">
        <v>89.617931420999696</v>
      </c>
      <c r="C962" s="100">
        <v>97.989982098060366</v>
      </c>
      <c r="D962" s="100">
        <v>92.644589263421409</v>
      </c>
      <c r="E962" s="100">
        <v>94.829389685526252</v>
      </c>
      <c r="F962" s="100">
        <v>-212.15708558946744</v>
      </c>
      <c r="G962" s="100">
        <v>329.86111285262609</v>
      </c>
      <c r="H962" s="100">
        <v>342.98168413039321</v>
      </c>
      <c r="I962" s="100">
        <v>-1448.7500308250246</v>
      </c>
      <c r="J962" s="100">
        <v>-988.06431943147277</v>
      </c>
    </row>
    <row r="963" spans="1:10" x14ac:dyDescent="0.25">
      <c r="A963">
        <v>946</v>
      </c>
      <c r="B963" s="100">
        <v>89.79368855892703</v>
      </c>
      <c r="C963" s="100">
        <v>97.782028956865332</v>
      </c>
      <c r="D963" s="100">
        <v>91.541063910111149</v>
      </c>
      <c r="E963" s="100">
        <v>90.294252794614181</v>
      </c>
      <c r="F963" s="100">
        <v>-792.15564074967097</v>
      </c>
      <c r="G963" s="100">
        <v>641.79082464517728</v>
      </c>
      <c r="H963" s="100">
        <v>2550.0323907509141</v>
      </c>
      <c r="I963" s="100">
        <v>3086.386860087046</v>
      </c>
      <c r="J963" s="100">
        <v>5486.0544347334671</v>
      </c>
    </row>
    <row r="964" spans="1:10" x14ac:dyDescent="0.25">
      <c r="A964">
        <v>947</v>
      </c>
      <c r="B964" s="100">
        <v>89.313645205488214</v>
      </c>
      <c r="C964" s="100">
        <v>97.524890608507221</v>
      </c>
      <c r="D964" s="100">
        <v>94.38033637989578</v>
      </c>
      <c r="E964" s="100">
        <v>94.383446388399648</v>
      </c>
      <c r="F964" s="100">
        <v>791.98742559842253</v>
      </c>
      <c r="G964" s="100">
        <v>1027.4983471823448</v>
      </c>
      <c r="H964" s="100">
        <v>-3128.5125488183494</v>
      </c>
      <c r="I964" s="100">
        <v>-1002.8067336984208</v>
      </c>
      <c r="J964" s="100">
        <v>-2311.8335097360027</v>
      </c>
    </row>
    <row r="965" spans="1:10" x14ac:dyDescent="0.25">
      <c r="A965">
        <v>948</v>
      </c>
      <c r="B965" s="100">
        <v>89.391171268001756</v>
      </c>
      <c r="C965" s="100">
        <v>98.154951929807666</v>
      </c>
      <c r="D965" s="100">
        <v>92.70671993551251</v>
      </c>
      <c r="E965" s="100">
        <v>93.951761816743087</v>
      </c>
      <c r="F965" s="100">
        <v>536.15141930373511</v>
      </c>
      <c r="G965" s="100">
        <v>82.406365231676659</v>
      </c>
      <c r="H965" s="100">
        <v>218.72033994819162</v>
      </c>
      <c r="I965" s="100">
        <v>-571.12216204185984</v>
      </c>
      <c r="J965" s="100">
        <v>266.15596244174355</v>
      </c>
    </row>
    <row r="966" spans="1:10" x14ac:dyDescent="0.25">
      <c r="A966">
        <v>949</v>
      </c>
      <c r="B966" s="100">
        <v>88.334700003507777</v>
      </c>
      <c r="C966" s="100">
        <v>98.261077904052712</v>
      </c>
      <c r="D966" s="100">
        <v>91.19508717809812</v>
      </c>
      <c r="E966" s="100">
        <v>94.142085792508652</v>
      </c>
      <c r="F966" s="100">
        <v>4022.5065921338655</v>
      </c>
      <c r="G966" s="100">
        <v>-76.782596135892334</v>
      </c>
      <c r="H966" s="100">
        <v>3241.9858547769709</v>
      </c>
      <c r="I966" s="100">
        <v>-761.44613780742532</v>
      </c>
      <c r="J966" s="100">
        <v>6426.2637129675186</v>
      </c>
    </row>
    <row r="967" spans="1:10" x14ac:dyDescent="0.25">
      <c r="A967">
        <v>950</v>
      </c>
      <c r="B967" s="100">
        <v>89.604438503210659</v>
      </c>
      <c r="C967" s="100">
        <v>98.313237274072463</v>
      </c>
      <c r="D967" s="100">
        <v>93.166524011880156</v>
      </c>
      <c r="E967" s="100">
        <v>91.204658838943615</v>
      </c>
      <c r="F967" s="100">
        <v>-167.63045688564517</v>
      </c>
      <c r="G967" s="100">
        <v>-155.02165116551936</v>
      </c>
      <c r="H967" s="100">
        <v>-700.88781278710144</v>
      </c>
      <c r="I967" s="100">
        <v>2175.9808157576117</v>
      </c>
      <c r="J967" s="100">
        <v>1152.4408949193457</v>
      </c>
    </row>
    <row r="968" spans="1:10" x14ac:dyDescent="0.25">
      <c r="A968">
        <v>951</v>
      </c>
      <c r="B968" s="100">
        <v>89.775639794394351</v>
      </c>
      <c r="C968" s="100">
        <v>98.441514817011594</v>
      </c>
      <c r="D968" s="100">
        <v>92.282266529619434</v>
      </c>
      <c r="E968" s="100">
        <v>94.292650319646526</v>
      </c>
      <c r="F968" s="100">
        <v>-732.59471779182945</v>
      </c>
      <c r="G968" s="100">
        <v>-347.43796557421547</v>
      </c>
      <c r="H968" s="100">
        <v>1067.6271517343423</v>
      </c>
      <c r="I968" s="100">
        <v>-912.01066494529925</v>
      </c>
      <c r="J968" s="100">
        <v>-924.41619657700187</v>
      </c>
    </row>
    <row r="969" spans="1:10" x14ac:dyDescent="0.25">
      <c r="A969">
        <v>952</v>
      </c>
      <c r="B969" s="100">
        <v>89.486771836883875</v>
      </c>
      <c r="C969" s="100">
        <v>98.225103326079378</v>
      </c>
      <c r="D969" s="100">
        <v>93.034568558717268</v>
      </c>
      <c r="E969" s="100">
        <v>93.576490532133079</v>
      </c>
      <c r="F969" s="100">
        <v>220.66954199274136</v>
      </c>
      <c r="G969" s="100">
        <v>-22.820729175890619</v>
      </c>
      <c r="H969" s="100">
        <v>-436.97690646132514</v>
      </c>
      <c r="I969" s="100">
        <v>-195.8508774318517</v>
      </c>
      <c r="J969" s="100">
        <v>-434.9789710763261</v>
      </c>
    </row>
    <row r="970" spans="1:10" x14ac:dyDescent="0.25">
      <c r="A970">
        <v>953</v>
      </c>
      <c r="B970" s="100">
        <v>89.909349073661446</v>
      </c>
      <c r="C970" s="100">
        <v>97.513676592972104</v>
      </c>
      <c r="D970" s="100">
        <v>94.896521478191517</v>
      </c>
      <c r="E970" s="100">
        <v>93.566491115533694</v>
      </c>
      <c r="F970" s="100">
        <v>-1173.8353393732409</v>
      </c>
      <c r="G970" s="100">
        <v>1044.3193704850203</v>
      </c>
      <c r="H970" s="100">
        <v>-4160.8827454098218</v>
      </c>
      <c r="I970" s="100">
        <v>-185.85146083246684</v>
      </c>
      <c r="J970" s="100">
        <v>-4476.250175130509</v>
      </c>
    </row>
    <row r="971" spans="1:10" x14ac:dyDescent="0.25">
      <c r="A971">
        <v>954</v>
      </c>
      <c r="B971" s="100">
        <v>89.260271071355916</v>
      </c>
      <c r="C971" s="100">
        <v>99.508845438514641</v>
      </c>
      <c r="D971" s="100">
        <v>91.880520846942929</v>
      </c>
      <c r="E971" s="100">
        <v>96.103885354628162</v>
      </c>
      <c r="F971" s="100">
        <v>968.12206823500583</v>
      </c>
      <c r="G971" s="100">
        <v>-1948.4338978287851</v>
      </c>
      <c r="H971" s="100">
        <v>1871.1185170873534</v>
      </c>
      <c r="I971" s="100">
        <v>-2723.2456999269343</v>
      </c>
      <c r="J971" s="100">
        <v>-1832.4390124333602</v>
      </c>
    </row>
    <row r="972" spans="1:10" x14ac:dyDescent="0.25">
      <c r="A972">
        <v>955</v>
      </c>
      <c r="B972" s="100">
        <v>89.554762303660922</v>
      </c>
      <c r="C972" s="100">
        <v>98.150150286959857</v>
      </c>
      <c r="D972" s="100">
        <v>94.791686098234138</v>
      </c>
      <c r="E972" s="100">
        <v>93.211686544224747</v>
      </c>
      <c r="F972" s="100">
        <v>-3.6989983715145058</v>
      </c>
      <c r="G972" s="100">
        <v>89.608829503390552</v>
      </c>
      <c r="H972" s="100">
        <v>-3951.2119854950643</v>
      </c>
      <c r="I972" s="100">
        <v>168.95311047647965</v>
      </c>
      <c r="J972" s="100">
        <v>-3696.3490438867084</v>
      </c>
    </row>
    <row r="973" spans="1:10" x14ac:dyDescent="0.25">
      <c r="A973">
        <v>956</v>
      </c>
      <c r="B973" s="100">
        <v>90.346274385964435</v>
      </c>
      <c r="C973" s="100">
        <v>98.084801427288468</v>
      </c>
      <c r="D973" s="100">
        <v>91.887141523088445</v>
      </c>
      <c r="E973" s="100">
        <v>91.797354597608816</v>
      </c>
      <c r="F973" s="100">
        <v>-2615.6888699731057</v>
      </c>
      <c r="G973" s="100">
        <v>187.63211901047328</v>
      </c>
      <c r="H973" s="100">
        <v>1857.8771647963208</v>
      </c>
      <c r="I973" s="100">
        <v>1583.2850570924109</v>
      </c>
      <c r="J973" s="100">
        <v>1013.1054709260991</v>
      </c>
    </row>
    <row r="974" spans="1:10" x14ac:dyDescent="0.25">
      <c r="A974">
        <v>957</v>
      </c>
      <c r="B974" s="100">
        <v>89.425316105132353</v>
      </c>
      <c r="C974" s="100">
        <v>97.616111621190626</v>
      </c>
      <c r="D974" s="100">
        <v>94.720596721096058</v>
      </c>
      <c r="E974" s="100">
        <v>91.994434138276716</v>
      </c>
      <c r="F974" s="100">
        <v>423.47345677276422</v>
      </c>
      <c r="G974" s="100">
        <v>890.66682815723652</v>
      </c>
      <c r="H974" s="100">
        <v>-3809.0332312189048</v>
      </c>
      <c r="I974" s="100">
        <v>1386.2055164245107</v>
      </c>
      <c r="J974" s="100">
        <v>-1108.6874298643934</v>
      </c>
    </row>
    <row r="975" spans="1:10" x14ac:dyDescent="0.25">
      <c r="A975">
        <v>958</v>
      </c>
      <c r="B975" s="100">
        <v>90.121285230709717</v>
      </c>
      <c r="C975" s="100">
        <v>96.784980912292099</v>
      </c>
      <c r="D975" s="100">
        <v>91.260191624090524</v>
      </c>
      <c r="E975" s="100">
        <v>91.391266049724251</v>
      </c>
      <c r="F975" s="100">
        <v>-1873.2246576325351</v>
      </c>
      <c r="G975" s="100">
        <v>2137.3628915050276</v>
      </c>
      <c r="H975" s="100">
        <v>3111.7769627921634</v>
      </c>
      <c r="I975" s="100">
        <v>1989.3736049769757</v>
      </c>
      <c r="J975" s="100">
        <v>5365.2888016416318</v>
      </c>
    </row>
    <row r="976" spans="1:10" x14ac:dyDescent="0.25">
      <c r="A976">
        <v>959</v>
      </c>
      <c r="B976" s="100">
        <v>89.966084977680694</v>
      </c>
      <c r="C976" s="100">
        <v>99.612084221132505</v>
      </c>
      <c r="D976" s="100">
        <v>93.207515361293872</v>
      </c>
      <c r="E976" s="100">
        <v>91.848402496831099</v>
      </c>
      <c r="F976" s="100">
        <v>-1361.0638226367612</v>
      </c>
      <c r="G976" s="100">
        <v>-2103.2920717555826</v>
      </c>
      <c r="H976" s="100">
        <v>-782.87051161453292</v>
      </c>
      <c r="I976" s="100">
        <v>1532.2371578701279</v>
      </c>
      <c r="J976" s="100">
        <v>-2714.9892481367488</v>
      </c>
    </row>
    <row r="977" spans="1:10" x14ac:dyDescent="0.25">
      <c r="A977">
        <v>960</v>
      </c>
      <c r="B977" s="100">
        <v>90.076091624900727</v>
      </c>
      <c r="C977" s="100">
        <v>98.374836697215827</v>
      </c>
      <c r="D977" s="100">
        <v>92.516959809316944</v>
      </c>
      <c r="E977" s="100">
        <v>92.559002523310824</v>
      </c>
      <c r="F977" s="100">
        <v>-1724.0857584628684</v>
      </c>
      <c r="G977" s="100">
        <v>-247.42078588056415</v>
      </c>
      <c r="H977" s="100">
        <v>598.24059233932303</v>
      </c>
      <c r="I977" s="100">
        <v>821.6371313904034</v>
      </c>
      <c r="J977" s="100">
        <v>-551.62882061370613</v>
      </c>
    </row>
    <row r="978" spans="1:10" x14ac:dyDescent="0.25">
      <c r="A978">
        <v>961</v>
      </c>
      <c r="B978" s="100">
        <v>90.008224030579001</v>
      </c>
      <c r="C978" s="100">
        <v>98.032002668001525</v>
      </c>
      <c r="D978" s="100">
        <v>92.726500272044987</v>
      </c>
      <c r="E978" s="100">
        <v>93.366741856035219</v>
      </c>
      <c r="F978" s="100">
        <v>-1500.1226972011737</v>
      </c>
      <c r="G978" s="100">
        <v>266.83025794088877</v>
      </c>
      <c r="H978" s="100">
        <v>179.15966688323692</v>
      </c>
      <c r="I978" s="100">
        <v>13.897798666008043</v>
      </c>
      <c r="J978" s="100">
        <v>-1040.2349737110399</v>
      </c>
    </row>
    <row r="979" spans="1:10" x14ac:dyDescent="0.25">
      <c r="A979">
        <v>962</v>
      </c>
      <c r="B979" s="100">
        <v>90.280852532729156</v>
      </c>
      <c r="C979" s="100">
        <v>98.301608171524393</v>
      </c>
      <c r="D979" s="100">
        <v>91.577554247483448</v>
      </c>
      <c r="E979" s="100">
        <v>93.483149443024658</v>
      </c>
      <c r="F979" s="100">
        <v>-2399.7967542966862</v>
      </c>
      <c r="G979" s="100">
        <v>-137.57799734341347</v>
      </c>
      <c r="H979" s="100">
        <v>2477.051716006315</v>
      </c>
      <c r="I979" s="100">
        <v>-102.50978832343094</v>
      </c>
      <c r="J979" s="100">
        <v>-162.83282395721585</v>
      </c>
    </row>
    <row r="980" spans="1:10" x14ac:dyDescent="0.25">
      <c r="A980">
        <v>963</v>
      </c>
      <c r="B980" s="100">
        <v>89.366919651554269</v>
      </c>
      <c r="C980" s="100">
        <v>99.350151797412522</v>
      </c>
      <c r="D980" s="100">
        <v>90.510588660289542</v>
      </c>
      <c r="E980" s="100">
        <v>96.477952937795649</v>
      </c>
      <c r="F980" s="100">
        <v>616.18175358044027</v>
      </c>
      <c r="G980" s="100">
        <v>-1710.3934361756073</v>
      </c>
      <c r="H980" s="100">
        <v>4610.9828903941261</v>
      </c>
      <c r="I980" s="100">
        <v>-3097.3132830944223</v>
      </c>
      <c r="J980" s="100">
        <v>419.45792470453671</v>
      </c>
    </row>
    <row r="981" spans="1:10" x14ac:dyDescent="0.25">
      <c r="A981">
        <v>964</v>
      </c>
      <c r="B981" s="100">
        <v>89.522923137642636</v>
      </c>
      <c r="C981" s="100">
        <v>98.563775783125905</v>
      </c>
      <c r="D981" s="100">
        <v>91.659178745487523</v>
      </c>
      <c r="E981" s="100">
        <v>94.506300709544732</v>
      </c>
      <c r="F981" s="100">
        <v>101.37024948883209</v>
      </c>
      <c r="G981" s="100">
        <v>-530.82941474568202</v>
      </c>
      <c r="H981" s="100">
        <v>2313.8027199981652</v>
      </c>
      <c r="I981" s="100">
        <v>-1125.6610548435049</v>
      </c>
      <c r="J981" s="100">
        <v>758.68249989781043</v>
      </c>
    </row>
    <row r="982" spans="1:10" x14ac:dyDescent="0.25">
      <c r="A982">
        <v>965</v>
      </c>
      <c r="B982" s="100">
        <v>89.658432714444814</v>
      </c>
      <c r="C982" s="100">
        <v>98.03149550186393</v>
      </c>
      <c r="D982" s="100">
        <v>93.643577974159015</v>
      </c>
      <c r="E982" s="100">
        <v>95.461333131599218</v>
      </c>
      <c r="F982" s="100">
        <v>-345.81135395835645</v>
      </c>
      <c r="G982" s="100">
        <v>267.59100714728135</v>
      </c>
      <c r="H982" s="100">
        <v>-1654.9957373448194</v>
      </c>
      <c r="I982" s="100">
        <v>-2080.6934768979913</v>
      </c>
      <c r="J982" s="100">
        <v>-3813.9095610538861</v>
      </c>
    </row>
    <row r="983" spans="1:10" x14ac:dyDescent="0.25">
      <c r="A983">
        <v>966</v>
      </c>
      <c r="B983" s="100">
        <v>89.971806732233759</v>
      </c>
      <c r="C983" s="100">
        <v>98.309404777717447</v>
      </c>
      <c r="D983" s="100">
        <v>94.203112676431843</v>
      </c>
      <c r="E983" s="100">
        <v>94.354234094180583</v>
      </c>
      <c r="F983" s="100">
        <v>-1379.945612661875</v>
      </c>
      <c r="G983" s="100">
        <v>-149.27290663299431</v>
      </c>
      <c r="H983" s="100">
        <v>-2774.0651418904745</v>
      </c>
      <c r="I983" s="100">
        <v>-973.59443947935631</v>
      </c>
      <c r="J983" s="100">
        <v>-5276.8781006646996</v>
      </c>
    </row>
    <row r="984" spans="1:10" x14ac:dyDescent="0.25">
      <c r="A984">
        <v>967</v>
      </c>
      <c r="B984" s="100">
        <v>89.413314129703309</v>
      </c>
      <c r="C984" s="100">
        <v>97.570752483598397</v>
      </c>
      <c r="D984" s="100">
        <v>92.819945492130529</v>
      </c>
      <c r="E984" s="100">
        <v>95.921695101993791</v>
      </c>
      <c r="F984" s="100">
        <v>463.07997568860912</v>
      </c>
      <c r="G984" s="100">
        <v>958.70553454557944</v>
      </c>
      <c r="H984" s="100">
        <v>-7.7307732878466595</v>
      </c>
      <c r="I984" s="100">
        <v>-2541.0554472925642</v>
      </c>
      <c r="J984" s="100">
        <v>-1127.0007103462221</v>
      </c>
    </row>
    <row r="985" spans="1:10" x14ac:dyDescent="0.25">
      <c r="A985">
        <v>968</v>
      </c>
      <c r="B985" s="100">
        <v>89.900636212302331</v>
      </c>
      <c r="C985" s="100">
        <v>97.74264443786339</v>
      </c>
      <c r="D985" s="100">
        <v>91.722826112753282</v>
      </c>
      <c r="E985" s="100">
        <v>93.573927026876206</v>
      </c>
      <c r="F985" s="100">
        <v>-1145.0828968881624</v>
      </c>
      <c r="G985" s="100">
        <v>700.86760314809021</v>
      </c>
      <c r="H985" s="100">
        <v>2186.5079854666474</v>
      </c>
      <c r="I985" s="100">
        <v>-193.2873721749786</v>
      </c>
      <c r="J985" s="100">
        <v>1549.0053195515966</v>
      </c>
    </row>
    <row r="986" spans="1:10" x14ac:dyDescent="0.25">
      <c r="A986">
        <v>969</v>
      </c>
      <c r="B986" s="100">
        <v>89.555741189238304</v>
      </c>
      <c r="C986" s="100">
        <v>98.022630199428164</v>
      </c>
      <c r="D986" s="100">
        <v>93.853925450229468</v>
      </c>
      <c r="E986" s="100">
        <v>92.36186926865733</v>
      </c>
      <c r="F986" s="100">
        <v>-6.9293207768751586</v>
      </c>
      <c r="G986" s="100">
        <v>280.88896080092951</v>
      </c>
      <c r="H986" s="100">
        <v>-2075.6906894857252</v>
      </c>
      <c r="I986" s="100">
        <v>1018.7703860438972</v>
      </c>
      <c r="J986" s="100">
        <v>-782.96066341777362</v>
      </c>
    </row>
    <row r="987" spans="1:10" x14ac:dyDescent="0.25">
      <c r="A987">
        <v>970</v>
      </c>
      <c r="B987" s="100">
        <v>89.96256254873802</v>
      </c>
      <c r="C987" s="100">
        <v>96.849924070415994</v>
      </c>
      <c r="D987" s="100">
        <v>92.988545541155403</v>
      </c>
      <c r="E987" s="100">
        <v>95.235172152946888</v>
      </c>
      <c r="F987" s="100">
        <v>-1349.4398071259384</v>
      </c>
      <c r="G987" s="100">
        <v>2039.9481543191839</v>
      </c>
      <c r="H987" s="100">
        <v>-344.93087133759559</v>
      </c>
      <c r="I987" s="100">
        <v>-1854.5324982456605</v>
      </c>
      <c r="J987" s="100">
        <v>-1508.9550223900105</v>
      </c>
    </row>
    <row r="988" spans="1:10" x14ac:dyDescent="0.25">
      <c r="A988">
        <v>971</v>
      </c>
      <c r="B988" s="100">
        <v>89.05218605102435</v>
      </c>
      <c r="C988" s="100">
        <v>99.016805932309126</v>
      </c>
      <c r="D988" s="100">
        <v>92.839873595647902</v>
      </c>
      <c r="E988" s="100">
        <v>94.453056989606196</v>
      </c>
      <c r="F988" s="100">
        <v>1654.8026353291746</v>
      </c>
      <c r="G988" s="100">
        <v>-1210.3746385205127</v>
      </c>
      <c r="H988" s="100">
        <v>-47.586980322591899</v>
      </c>
      <c r="I988" s="100">
        <v>-1072.4173349049693</v>
      </c>
      <c r="J988" s="100">
        <v>-675.57631841889929</v>
      </c>
    </row>
    <row r="989" spans="1:10" x14ac:dyDescent="0.25">
      <c r="A989">
        <v>972</v>
      </c>
      <c r="B989" s="100">
        <v>89.77001660597422</v>
      </c>
      <c r="C989" s="100">
        <v>96.047434979275721</v>
      </c>
      <c r="D989" s="100">
        <v>92.741992063953305</v>
      </c>
      <c r="E989" s="100">
        <v>95.226564355634309</v>
      </c>
      <c r="F989" s="100">
        <v>-714.03819600539714</v>
      </c>
      <c r="G989" s="100">
        <v>3243.6817910295945</v>
      </c>
      <c r="H989" s="100">
        <v>148.1760830666019</v>
      </c>
      <c r="I989" s="100">
        <v>-1845.9247009330825</v>
      </c>
      <c r="J989" s="100">
        <v>831.89497715771677</v>
      </c>
    </row>
    <row r="990" spans="1:10" x14ac:dyDescent="0.25">
      <c r="A990">
        <v>973</v>
      </c>
      <c r="B990" s="100">
        <v>88.897199324078741</v>
      </c>
      <c r="C990" s="100">
        <v>98.477356309091491</v>
      </c>
      <c r="D990" s="100">
        <v>92.057605634196051</v>
      </c>
      <c r="E990" s="100">
        <v>94.599768010109074</v>
      </c>
      <c r="F990" s="100">
        <v>2166.2588342496833</v>
      </c>
      <c r="G990" s="100">
        <v>-401.20020369406006</v>
      </c>
      <c r="H990" s="100">
        <v>1516.9489425811093</v>
      </c>
      <c r="I990" s="100">
        <v>-1219.1283554078468</v>
      </c>
      <c r="J990" s="100">
        <v>2062.8792177288856</v>
      </c>
    </row>
    <row r="991" spans="1:10" x14ac:dyDescent="0.25">
      <c r="A991">
        <v>974</v>
      </c>
      <c r="B991" s="100">
        <v>90.532640352536589</v>
      </c>
      <c r="C991" s="100">
        <v>99.999284554148531</v>
      </c>
      <c r="D991" s="100">
        <v>92.749959255878551</v>
      </c>
      <c r="E991" s="100">
        <v>94.434823773535726</v>
      </c>
      <c r="F991" s="100">
        <v>-3230.6965596612145</v>
      </c>
      <c r="G991" s="100">
        <v>-2684.0925712796206</v>
      </c>
      <c r="H991" s="100">
        <v>132.24169921610951</v>
      </c>
      <c r="I991" s="100">
        <v>-1054.1841188344988</v>
      </c>
      <c r="J991" s="100">
        <v>-6836.7315505592242</v>
      </c>
    </row>
    <row r="992" spans="1:10" x14ac:dyDescent="0.25">
      <c r="A992">
        <v>975</v>
      </c>
      <c r="B992" s="100">
        <v>90.201543545873605</v>
      </c>
      <c r="C992" s="100">
        <v>98.314365056350326</v>
      </c>
      <c r="D992" s="100">
        <v>93.503875648503481</v>
      </c>
      <c r="E992" s="100">
        <v>95.032767616921035</v>
      </c>
      <c r="F992" s="100">
        <v>-2138.077097673367</v>
      </c>
      <c r="G992" s="100">
        <v>-156.71332458231291</v>
      </c>
      <c r="H992" s="100">
        <v>-1375.5910860337508</v>
      </c>
      <c r="I992" s="100">
        <v>-1652.1279622198081</v>
      </c>
      <c r="J992" s="100">
        <v>-5322.5094705092388</v>
      </c>
    </row>
    <row r="993" spans="1:10" x14ac:dyDescent="0.25">
      <c r="A993">
        <v>976</v>
      </c>
      <c r="B993" s="100">
        <v>90.247155293003345</v>
      </c>
      <c r="C993" s="100">
        <v>98.092372561990302</v>
      </c>
      <c r="D993" s="100">
        <v>93.107874490042789</v>
      </c>
      <c r="E993" s="100">
        <v>91.617578805835592</v>
      </c>
      <c r="F993" s="100">
        <v>-2288.5958632015104</v>
      </c>
      <c r="G993" s="100">
        <v>176.27541695772209</v>
      </c>
      <c r="H993" s="100">
        <v>-583.58876911236734</v>
      </c>
      <c r="I993" s="100">
        <v>1763.0608488656349</v>
      </c>
      <c r="J993" s="100">
        <v>-932.84836649052113</v>
      </c>
    </row>
    <row r="994" spans="1:10" x14ac:dyDescent="0.25">
      <c r="A994">
        <v>977</v>
      </c>
      <c r="B994" s="100">
        <v>89.694919444552184</v>
      </c>
      <c r="C994" s="100">
        <v>97.104413800463249</v>
      </c>
      <c r="D994" s="100">
        <v>91.800116150457356</v>
      </c>
      <c r="E994" s="100">
        <v>93.449507150936668</v>
      </c>
      <c r="F994" s="100">
        <v>-466.2175633126779</v>
      </c>
      <c r="G994" s="100">
        <v>1658.2135592483028</v>
      </c>
      <c r="H994" s="100">
        <v>2031.9279100584993</v>
      </c>
      <c r="I994" s="100">
        <v>-68.867496235441195</v>
      </c>
      <c r="J994" s="100">
        <v>3155.056409758683</v>
      </c>
    </row>
    <row r="995" spans="1:10" x14ac:dyDescent="0.25">
      <c r="A995">
        <v>978</v>
      </c>
      <c r="B995" s="100">
        <v>90.059947089177882</v>
      </c>
      <c r="C995" s="100">
        <v>98.862685745464631</v>
      </c>
      <c r="D995" s="100">
        <v>92.775731734432398</v>
      </c>
      <c r="E995" s="100">
        <v>95.556989364671665</v>
      </c>
      <c r="F995" s="100">
        <v>-1670.8087905774819</v>
      </c>
      <c r="G995" s="100">
        <v>-979.19435825377127</v>
      </c>
      <c r="H995" s="100">
        <v>80.696742108415265</v>
      </c>
      <c r="I995" s="100">
        <v>-2176.3497099704382</v>
      </c>
      <c r="J995" s="100">
        <v>-4745.6561166932761</v>
      </c>
    </row>
    <row r="996" spans="1:10" x14ac:dyDescent="0.25">
      <c r="A996">
        <v>979</v>
      </c>
      <c r="B996" s="100">
        <v>89.036846694783591</v>
      </c>
      <c r="C996" s="100">
        <v>99.758370021711059</v>
      </c>
      <c r="D996" s="100">
        <v>94.231232277135334</v>
      </c>
      <c r="E996" s="100">
        <v>94.399770756390566</v>
      </c>
      <c r="F996" s="100">
        <v>1705.4225109236781</v>
      </c>
      <c r="G996" s="100">
        <v>-2322.7207726234128</v>
      </c>
      <c r="H996" s="100">
        <v>-2830.3043432974564</v>
      </c>
      <c r="I996" s="100">
        <v>-1019.1311016893394</v>
      </c>
      <c r="J996" s="100">
        <v>-4466.7337066865302</v>
      </c>
    </row>
    <row r="997" spans="1:10" x14ac:dyDescent="0.25">
      <c r="A997">
        <v>980</v>
      </c>
      <c r="B997" s="100">
        <v>89.774844486721179</v>
      </c>
      <c r="C997" s="100">
        <v>99.824298547314342</v>
      </c>
      <c r="D997" s="100">
        <v>93.526289067121439</v>
      </c>
      <c r="E997" s="100">
        <v>94.543578248373024</v>
      </c>
      <c r="F997" s="100">
        <v>-729.97020247036062</v>
      </c>
      <c r="G997" s="100">
        <v>-2421.6135610283372</v>
      </c>
      <c r="H997" s="100">
        <v>-1420.4179232696674</v>
      </c>
      <c r="I997" s="100">
        <v>-1162.9385936717968</v>
      </c>
      <c r="J997" s="100">
        <v>-5734.9402804401616</v>
      </c>
    </row>
    <row r="998" spans="1:10" x14ac:dyDescent="0.25">
      <c r="A998">
        <v>981</v>
      </c>
      <c r="B998" s="100">
        <v>89.765546092596111</v>
      </c>
      <c r="C998" s="100">
        <v>97.636831716001709</v>
      </c>
      <c r="D998" s="100">
        <v>92.825144324321229</v>
      </c>
      <c r="E998" s="100">
        <v>91.305688960445494</v>
      </c>
      <c r="F998" s="100">
        <v>-699.2855018576364</v>
      </c>
      <c r="G998" s="100">
        <v>859.58668594061294</v>
      </c>
      <c r="H998" s="100">
        <v>-18.128437669247432</v>
      </c>
      <c r="I998" s="100">
        <v>2074.9506942557332</v>
      </c>
      <c r="J998" s="100">
        <v>2217.1234406694621</v>
      </c>
    </row>
    <row r="999" spans="1:10" x14ac:dyDescent="0.25">
      <c r="A999">
        <v>982</v>
      </c>
      <c r="B999" s="100">
        <v>89.21681626864418</v>
      </c>
      <c r="C999" s="100">
        <v>97.608221607273975</v>
      </c>
      <c r="D999" s="100">
        <v>93.344461991556926</v>
      </c>
      <c r="E999" s="100">
        <v>94.484526639225891</v>
      </c>
      <c r="F999" s="100">
        <v>1111.5229171837341</v>
      </c>
      <c r="G999" s="100">
        <v>902.50184903221248</v>
      </c>
      <c r="H999" s="100">
        <v>-1056.7637721406413</v>
      </c>
      <c r="I999" s="100">
        <v>-1103.8869845246636</v>
      </c>
      <c r="J999" s="100">
        <v>-146.62599044935837</v>
      </c>
    </row>
    <row r="1000" spans="1:10" x14ac:dyDescent="0.25">
      <c r="A1000">
        <v>983</v>
      </c>
      <c r="B1000" s="100">
        <v>89.96647312529376</v>
      </c>
      <c r="C1000" s="100">
        <v>98.656831263838143</v>
      </c>
      <c r="D1000" s="100">
        <v>89.538623940245174</v>
      </c>
      <c r="E1000" s="100">
        <v>95.329403642660083</v>
      </c>
      <c r="F1000" s="100">
        <v>-1362.3447097598785</v>
      </c>
      <c r="G1000" s="100">
        <v>-670.41263581403859</v>
      </c>
      <c r="H1000" s="100">
        <v>6554.9123304828645</v>
      </c>
      <c r="I1000" s="100">
        <v>-1948.7639879588555</v>
      </c>
      <c r="J1000" s="100">
        <v>2573.3909969500924</v>
      </c>
    </row>
    <row r="1001" spans="1:10" x14ac:dyDescent="0.25">
      <c r="A1001">
        <v>984</v>
      </c>
      <c r="B1001" s="100">
        <v>89.483884497797462</v>
      </c>
      <c r="C1001" s="100">
        <v>99.601884183729624</v>
      </c>
      <c r="D1001" s="100">
        <v>89.669673665820724</v>
      </c>
      <c r="E1001" s="100">
        <v>91.690181251451961</v>
      </c>
      <c r="F1001" s="100">
        <v>230.19776097790583</v>
      </c>
      <c r="G1001" s="100">
        <v>-2087.9920156512599</v>
      </c>
      <c r="H1001" s="100">
        <v>6292.8128793317628</v>
      </c>
      <c r="I1001" s="100">
        <v>1690.4584032492664</v>
      </c>
      <c r="J1001" s="100">
        <v>6125.4770279076756</v>
      </c>
    </row>
    <row r="1002" spans="1:10" x14ac:dyDescent="0.25">
      <c r="A1002">
        <v>985</v>
      </c>
      <c r="B1002" s="100">
        <v>88.794077439044614</v>
      </c>
      <c r="C1002" s="100">
        <v>97.450284741559429</v>
      </c>
      <c r="D1002" s="100">
        <v>93.012029844664269</v>
      </c>
      <c r="E1002" s="100">
        <v>91.295654466865003</v>
      </c>
      <c r="F1002" s="100">
        <v>2506.561054862304</v>
      </c>
      <c r="G1002" s="100">
        <v>1139.4071476040324</v>
      </c>
      <c r="H1002" s="100">
        <v>-391.89947835532735</v>
      </c>
      <c r="I1002" s="100">
        <v>2084.9851878362242</v>
      </c>
      <c r="J1002" s="100">
        <v>5339.0539119472332</v>
      </c>
    </row>
    <row r="1003" spans="1:10" x14ac:dyDescent="0.25">
      <c r="A1003">
        <v>986</v>
      </c>
      <c r="B1003" s="100">
        <v>90.030122065027399</v>
      </c>
      <c r="C1003" s="100">
        <v>98.617685275128963</v>
      </c>
      <c r="D1003" s="100">
        <v>93.54057173113695</v>
      </c>
      <c r="E1003" s="100">
        <v>91.532945253676388</v>
      </c>
      <c r="F1003" s="100">
        <v>-1572.3862108808873</v>
      </c>
      <c r="G1003" s="100">
        <v>-611.69365275026871</v>
      </c>
      <c r="H1003" s="100">
        <v>-1448.9832513006888</v>
      </c>
      <c r="I1003" s="100">
        <v>1847.694401024839</v>
      </c>
      <c r="J1003" s="100">
        <v>-1785.3687139070062</v>
      </c>
    </row>
    <row r="1004" spans="1:10" x14ac:dyDescent="0.25">
      <c r="A1004">
        <v>987</v>
      </c>
      <c r="B1004" s="100">
        <v>90.370835972486702</v>
      </c>
      <c r="C1004" s="100">
        <v>96.572326390687266</v>
      </c>
      <c r="D1004" s="100">
        <v>91.804179167111798</v>
      </c>
      <c r="E1004" s="100">
        <v>91.276937390600153</v>
      </c>
      <c r="F1004" s="100">
        <v>-2696.742105496588</v>
      </c>
      <c r="G1004" s="100">
        <v>2456.3446739122769</v>
      </c>
      <c r="H1004" s="100">
        <v>2023.8018767496158</v>
      </c>
      <c r="I1004" s="100">
        <v>2103.7022641010735</v>
      </c>
      <c r="J1004" s="100">
        <v>3887.1067092663779</v>
      </c>
    </row>
    <row r="1005" spans="1:10" x14ac:dyDescent="0.25">
      <c r="A1005">
        <v>988</v>
      </c>
      <c r="B1005" s="100">
        <v>89.256875167075208</v>
      </c>
      <c r="C1005" s="100">
        <v>96.517199571585095</v>
      </c>
      <c r="D1005" s="100">
        <v>91.849046549158402</v>
      </c>
      <c r="E1005" s="100">
        <v>93.529887431516016</v>
      </c>
      <c r="F1005" s="100">
        <v>979.32855236134344</v>
      </c>
      <c r="G1005" s="100">
        <v>2539.0349025655323</v>
      </c>
      <c r="H1005" s="100">
        <v>1934.0671126564075</v>
      </c>
      <c r="I1005" s="100">
        <v>-149.24777681478929</v>
      </c>
      <c r="J1005" s="100">
        <v>5303.1827907684947</v>
      </c>
    </row>
    <row r="1006" spans="1:10" x14ac:dyDescent="0.25">
      <c r="A1006">
        <v>989</v>
      </c>
      <c r="B1006" s="100">
        <v>89.432161730100972</v>
      </c>
      <c r="C1006" s="100">
        <v>98.883039079151672</v>
      </c>
      <c r="D1006" s="100">
        <v>92.829242287594596</v>
      </c>
      <c r="E1006" s="100">
        <v>92.894360863435139</v>
      </c>
      <c r="F1006" s="100">
        <v>400.88289437632056</v>
      </c>
      <c r="G1006" s="100">
        <v>-1009.7243587843323</v>
      </c>
      <c r="H1006" s="100">
        <v>-26.324364215980722</v>
      </c>
      <c r="I1006" s="100">
        <v>486.27879126608775</v>
      </c>
      <c r="J1006" s="100">
        <v>-148.88703735790466</v>
      </c>
    </row>
    <row r="1007" spans="1:10" x14ac:dyDescent="0.25">
      <c r="A1007">
        <v>990</v>
      </c>
      <c r="B1007" s="100">
        <v>89.622957626489963</v>
      </c>
      <c r="C1007" s="100">
        <v>99.542866958240211</v>
      </c>
      <c r="D1007" s="100">
        <v>94.912400758881262</v>
      </c>
      <c r="E1007" s="100">
        <v>91.589022772894353</v>
      </c>
      <c r="F1007" s="100">
        <v>-228.74356370735001</v>
      </c>
      <c r="G1007" s="100">
        <v>-1999.4661774171404</v>
      </c>
      <c r="H1007" s="100">
        <v>-4192.6413067893118</v>
      </c>
      <c r="I1007" s="100">
        <v>1791.6168818068741</v>
      </c>
      <c r="J1007" s="100">
        <v>-4629.2341661069277</v>
      </c>
    </row>
    <row r="1008" spans="1:10" x14ac:dyDescent="0.25">
      <c r="A1008">
        <v>991</v>
      </c>
      <c r="B1008" s="100">
        <v>89.171345384542079</v>
      </c>
      <c r="C1008" s="100">
        <v>96.963179450867315</v>
      </c>
      <c r="D1008" s="100">
        <v>90.946097085502714</v>
      </c>
      <c r="E1008" s="100">
        <v>91.458126726487905</v>
      </c>
      <c r="F1008" s="100">
        <v>1261.5768347206697</v>
      </c>
      <c r="G1008" s="100">
        <v>1870.0650836422028</v>
      </c>
      <c r="H1008" s="100">
        <v>3739.9660399677828</v>
      </c>
      <c r="I1008" s="100">
        <v>1922.5129282133225</v>
      </c>
      <c r="J1008" s="100">
        <v>8794.1208865439767</v>
      </c>
    </row>
    <row r="1009" spans="1:10" x14ac:dyDescent="0.25">
      <c r="A1009">
        <v>992</v>
      </c>
      <c r="B1009" s="100">
        <v>89.780499302295723</v>
      </c>
      <c r="C1009" s="100">
        <v>97.52130203885541</v>
      </c>
      <c r="D1009" s="100">
        <v>94.034706931697201</v>
      </c>
      <c r="E1009" s="100">
        <v>93.373171191298923</v>
      </c>
      <c r="F1009" s="100">
        <v>-748.63109386635779</v>
      </c>
      <c r="G1009" s="100">
        <v>1032.8812016600609</v>
      </c>
      <c r="H1009" s="100">
        <v>-2437.253652421191</v>
      </c>
      <c r="I1009" s="100">
        <v>7.4684634023043373</v>
      </c>
      <c r="J1009" s="100">
        <v>-2145.5350812251836</v>
      </c>
    </row>
    <row r="1010" spans="1:10" x14ac:dyDescent="0.25">
      <c r="A1010">
        <v>993</v>
      </c>
      <c r="B1010" s="100">
        <v>90.221543012989741</v>
      </c>
      <c r="C1010" s="100">
        <v>99.164623621509079</v>
      </c>
      <c r="D1010" s="100">
        <v>93.975745939303238</v>
      </c>
      <c r="E1010" s="100">
        <v>90.766786608643187</v>
      </c>
      <c r="F1010" s="100">
        <v>-2204.0753391566168</v>
      </c>
      <c r="G1010" s="100">
        <v>-1432.1011723204435</v>
      </c>
      <c r="H1010" s="100">
        <v>-2319.3316676332643</v>
      </c>
      <c r="I1010" s="100">
        <v>2613.8530460580396</v>
      </c>
      <c r="J1010" s="100">
        <v>-3341.6551330522852</v>
      </c>
    </row>
    <row r="1011" spans="1:10" x14ac:dyDescent="0.25">
      <c r="A1011">
        <v>994</v>
      </c>
      <c r="B1011" s="100">
        <v>89.872582540070368</v>
      </c>
      <c r="C1011" s="100">
        <v>98.391399274007384</v>
      </c>
      <c r="D1011" s="100">
        <v>92.778872791135214</v>
      </c>
      <c r="E1011" s="100">
        <v>95.692267861004595</v>
      </c>
      <c r="F1011" s="100">
        <v>-1052.5057785226863</v>
      </c>
      <c r="G1011" s="100">
        <v>-272.26465106789988</v>
      </c>
      <c r="H1011" s="100">
        <v>74.414628702783148</v>
      </c>
      <c r="I1011" s="100">
        <v>-2311.6282063033677</v>
      </c>
      <c r="J1011" s="100">
        <v>-3561.9840071911708</v>
      </c>
    </row>
    <row r="1012" spans="1:10" x14ac:dyDescent="0.25">
      <c r="A1012">
        <v>995</v>
      </c>
      <c r="B1012" s="100">
        <v>89.823780501630338</v>
      </c>
      <c r="C1012" s="100">
        <v>98.779293257740292</v>
      </c>
      <c r="D1012" s="100">
        <v>92.843777340411904</v>
      </c>
      <c r="E1012" s="100">
        <v>92.782644157513744</v>
      </c>
      <c r="F1012" s="100">
        <v>-891.45905167058709</v>
      </c>
      <c r="G1012" s="100">
        <v>-854.10562666726264</v>
      </c>
      <c r="H1012" s="100">
        <v>-55.394469850597261</v>
      </c>
      <c r="I1012" s="100">
        <v>597.99549718748324</v>
      </c>
      <c r="J1012" s="100">
        <v>-1202.9636510009636</v>
      </c>
    </row>
    <row r="1013" spans="1:10" x14ac:dyDescent="0.25">
      <c r="A1013">
        <v>996</v>
      </c>
      <c r="B1013" s="100">
        <v>89.034785561182289</v>
      </c>
      <c r="C1013" s="100">
        <v>97.628751107352073</v>
      </c>
      <c r="D1013" s="100">
        <v>94.646046769909859</v>
      </c>
      <c r="E1013" s="100">
        <v>91.535377173280636</v>
      </c>
      <c r="F1013" s="100">
        <v>1712.2242518079745</v>
      </c>
      <c r="G1013" s="100">
        <v>871.70759891506577</v>
      </c>
      <c r="H1013" s="100">
        <v>-3659.9333288465059</v>
      </c>
      <c r="I1013" s="100">
        <v>1845.2624814205906</v>
      </c>
      <c r="J1013" s="100">
        <v>769.26100329712472</v>
      </c>
    </row>
    <row r="1014" spans="1:10" x14ac:dyDescent="0.25">
      <c r="A1014">
        <v>997</v>
      </c>
      <c r="B1014" s="100">
        <v>89.956990331630706</v>
      </c>
      <c r="C1014" s="100">
        <v>99.036843687413509</v>
      </c>
      <c r="D1014" s="100">
        <v>91.991595370938427</v>
      </c>
      <c r="E1014" s="100">
        <v>93.030629964036294</v>
      </c>
      <c r="F1014" s="100">
        <v>-1331.0514906718013</v>
      </c>
      <c r="G1014" s="100">
        <v>-1240.4312711770872</v>
      </c>
      <c r="H1014" s="100">
        <v>1648.9694690963574</v>
      </c>
      <c r="I1014" s="100">
        <v>350.00969066493326</v>
      </c>
      <c r="J1014" s="100">
        <v>-572.50360208759776</v>
      </c>
    </row>
    <row r="1015" spans="1:10" x14ac:dyDescent="0.25">
      <c r="A1015">
        <v>998</v>
      </c>
      <c r="B1015" s="100">
        <v>89.291410885656873</v>
      </c>
      <c r="C1015" s="100">
        <v>98.201326436557508</v>
      </c>
      <c r="D1015" s="100">
        <v>92.857495245977873</v>
      </c>
      <c r="E1015" s="100">
        <v>96.287428822896743</v>
      </c>
      <c r="F1015" s="100">
        <v>865.36068104184801</v>
      </c>
      <c r="G1015" s="100">
        <v>12.84460510691332</v>
      </c>
      <c r="H1015" s="100">
        <v>-82.830280982534532</v>
      </c>
      <c r="I1015" s="100">
        <v>-2906.7891681955161</v>
      </c>
      <c r="J1015" s="100">
        <v>-2111.4141630292893</v>
      </c>
    </row>
    <row r="1016" spans="1:10" x14ac:dyDescent="0.25">
      <c r="A1016">
        <v>999</v>
      </c>
      <c r="B1016" s="100">
        <v>89.524270999326475</v>
      </c>
      <c r="C1016" s="100">
        <v>98.107373492779999</v>
      </c>
      <c r="D1016" s="100">
        <v>93.479534596828202</v>
      </c>
      <c r="E1016" s="100">
        <v>92.407818595782373</v>
      </c>
      <c r="F1016" s="100">
        <v>96.922305932160668</v>
      </c>
      <c r="G1016" s="100">
        <v>153.77402077317726</v>
      </c>
      <c r="H1016" s="100">
        <v>-1326.908982683193</v>
      </c>
      <c r="I1016" s="100">
        <v>972.82105891885351</v>
      </c>
      <c r="J1016" s="100">
        <v>-103.39159705900158</v>
      </c>
    </row>
    <row r="1017" spans="1:10" x14ac:dyDescent="0.25">
      <c r="A1017">
        <v>1000</v>
      </c>
      <c r="B1017" s="100">
        <v>88.564992457534572</v>
      </c>
      <c r="C1017" s="100">
        <v>99.833988939948952</v>
      </c>
      <c r="D1017" s="100">
        <v>93.353614642966136</v>
      </c>
      <c r="E1017" s="100">
        <v>94.699016594693987</v>
      </c>
      <c r="F1017" s="100">
        <v>3262.5414938454414</v>
      </c>
      <c r="G1017" s="100">
        <v>-2436.1491499802523</v>
      </c>
      <c r="H1017" s="100">
        <v>-1075.0690749590603</v>
      </c>
      <c r="I1017" s="100">
        <v>-1318.3769399927598</v>
      </c>
      <c r="J1017" s="100">
        <v>-1567.0536710866311</v>
      </c>
    </row>
    <row r="1018" spans="1:10" x14ac:dyDescent="0.25">
      <c r="A1018">
        <v>1001</v>
      </c>
      <c r="B1018" s="100">
        <v>89.471107182610211</v>
      </c>
      <c r="C1018" s="100">
        <v>97.894580051605871</v>
      </c>
      <c r="D1018" s="100">
        <v>94.122604016034487</v>
      </c>
      <c r="E1018" s="100">
        <v>92.652354891599074</v>
      </c>
      <c r="F1018" s="100">
        <v>272.36290109583194</v>
      </c>
      <c r="G1018" s="100">
        <v>472.96418253436912</v>
      </c>
      <c r="H1018" s="100">
        <v>-2613.0478210957617</v>
      </c>
      <c r="I1018" s="100">
        <v>728.28476310215251</v>
      </c>
      <c r="J1018" s="100">
        <v>-1139.4359743634081</v>
      </c>
    </row>
    <row r="1019" spans="1:10" x14ac:dyDescent="0.25">
      <c r="A1019">
        <v>1002</v>
      </c>
      <c r="B1019" s="100">
        <v>89.107299439281874</v>
      </c>
      <c r="C1019" s="100">
        <v>98.53648707576599</v>
      </c>
      <c r="D1019" s="100">
        <v>93.397474975431081</v>
      </c>
      <c r="E1019" s="100">
        <v>94.883775421747629</v>
      </c>
      <c r="F1019" s="100">
        <v>1472.9284540793444</v>
      </c>
      <c r="G1019" s="100">
        <v>-489.89635370580942</v>
      </c>
      <c r="H1019" s="100">
        <v>-1162.7897398889502</v>
      </c>
      <c r="I1019" s="100">
        <v>-1503.1357670464017</v>
      </c>
      <c r="J1019" s="100">
        <v>-1682.8934065618168</v>
      </c>
    </row>
    <row r="1020" spans="1:10" x14ac:dyDescent="0.25">
      <c r="A1020">
        <v>1003</v>
      </c>
      <c r="B1020" s="100">
        <v>90.221107851331126</v>
      </c>
      <c r="C1020" s="100">
        <v>99.870176038094726</v>
      </c>
      <c r="D1020" s="100">
        <v>92.352815320912114</v>
      </c>
      <c r="E1020" s="100">
        <v>93.332109455457228</v>
      </c>
      <c r="F1020" s="100">
        <v>-2202.639305683188</v>
      </c>
      <c r="G1020" s="100">
        <v>-2490.4297971989135</v>
      </c>
      <c r="H1020" s="100">
        <v>926.52956914898255</v>
      </c>
      <c r="I1020" s="100">
        <v>48.530199243998595</v>
      </c>
      <c r="J1020" s="100">
        <v>-3718.0093344891206</v>
      </c>
    </row>
    <row r="1021" spans="1:10" x14ac:dyDescent="0.25">
      <c r="A1021">
        <v>1004</v>
      </c>
      <c r="B1021" s="100">
        <v>89.085810121031813</v>
      </c>
      <c r="C1021" s="100">
        <v>96.978785476393867</v>
      </c>
      <c r="D1021" s="100">
        <v>91.884910049279966</v>
      </c>
      <c r="E1021" s="100">
        <v>93.241698262015959</v>
      </c>
      <c r="F1021" s="100">
        <v>1543.8432043045482</v>
      </c>
      <c r="G1021" s="100">
        <v>1846.6560453523755</v>
      </c>
      <c r="H1021" s="100">
        <v>1862.3401124132783</v>
      </c>
      <c r="I1021" s="100">
        <v>138.94139268526828</v>
      </c>
      <c r="J1021" s="100">
        <v>5391.7807547554712</v>
      </c>
    </row>
    <row r="1022" spans="1:10" x14ac:dyDescent="0.25">
      <c r="A1022">
        <v>1005</v>
      </c>
      <c r="B1022" s="100">
        <v>89.416402348341791</v>
      </c>
      <c r="C1022" s="100">
        <v>97.600892023484434</v>
      </c>
      <c r="D1022" s="100">
        <v>89.697741645124523</v>
      </c>
      <c r="E1022" s="100">
        <v>89.671684212468847</v>
      </c>
      <c r="F1022" s="100">
        <v>452.8888541816201</v>
      </c>
      <c r="G1022" s="100">
        <v>913.49622471652481</v>
      </c>
      <c r="H1022" s="100">
        <v>6236.676920724165</v>
      </c>
      <c r="I1022" s="100">
        <v>3708.9554422323799</v>
      </c>
      <c r="J1022" s="100">
        <v>11312.01744185469</v>
      </c>
    </row>
    <row r="1023" spans="1:10" x14ac:dyDescent="0.25">
      <c r="A1023">
        <v>1006</v>
      </c>
      <c r="B1023" s="100">
        <v>89.262589516232822</v>
      </c>
      <c r="C1023" s="100">
        <v>99.432536570385253</v>
      </c>
      <c r="D1023" s="100">
        <v>92.57309823477955</v>
      </c>
      <c r="E1023" s="100">
        <v>94.004077196887295</v>
      </c>
      <c r="F1023" s="100">
        <v>960.47120014121674</v>
      </c>
      <c r="G1023" s="100">
        <v>-1833.9705956347032</v>
      </c>
      <c r="H1023" s="100">
        <v>485.96374141411047</v>
      </c>
      <c r="I1023" s="100">
        <v>-623.43754218606762</v>
      </c>
      <c r="J1023" s="100">
        <v>-1010.9731962654436</v>
      </c>
    </row>
    <row r="1024" spans="1:10" x14ac:dyDescent="0.25">
      <c r="A1024">
        <v>1007</v>
      </c>
      <c r="B1024" s="100">
        <v>88.961173010549189</v>
      </c>
      <c r="C1024" s="100">
        <v>98.471394385728033</v>
      </c>
      <c r="D1024" s="100">
        <v>92.116662312192659</v>
      </c>
      <c r="E1024" s="100">
        <v>93.456961530588359</v>
      </c>
      <c r="F1024" s="100">
        <v>1955.1456688972066</v>
      </c>
      <c r="G1024" s="100">
        <v>-392.25731864887337</v>
      </c>
      <c r="H1024" s="100">
        <v>1398.835586587893</v>
      </c>
      <c r="I1024" s="100">
        <v>-76.321875887131796</v>
      </c>
      <c r="J1024" s="100">
        <v>2885.4020609490944</v>
      </c>
    </row>
    <row r="1025" spans="1:10" x14ac:dyDescent="0.25">
      <c r="A1025">
        <v>1008</v>
      </c>
      <c r="B1025" s="100">
        <v>89.781310305511298</v>
      </c>
      <c r="C1025" s="100">
        <v>98.732000368437767</v>
      </c>
      <c r="D1025" s="100">
        <v>92.173485604781362</v>
      </c>
      <c r="E1025" s="100">
        <v>92.940298955100189</v>
      </c>
      <c r="F1025" s="100">
        <v>-751.30740447775247</v>
      </c>
      <c r="G1025" s="100">
        <v>-783.16629271347438</v>
      </c>
      <c r="H1025" s="100">
        <v>1285.1890014104868</v>
      </c>
      <c r="I1025" s="100">
        <v>440.3406996010375</v>
      </c>
      <c r="J1025" s="100">
        <v>191.05600382029741</v>
      </c>
    </row>
    <row r="1026" spans="1:10" x14ac:dyDescent="0.25">
      <c r="A1026">
        <v>1009</v>
      </c>
      <c r="B1026" s="100">
        <v>89.407337277948258</v>
      </c>
      <c r="C1026" s="100">
        <v>99.049239365661379</v>
      </c>
      <c r="D1026" s="100">
        <v>90.901552140803801</v>
      </c>
      <c r="E1026" s="100">
        <v>90.269858940467998</v>
      </c>
      <c r="F1026" s="100">
        <v>482.80358648027715</v>
      </c>
      <c r="G1026" s="100">
        <v>-1259.024788548892</v>
      </c>
      <c r="H1026" s="100">
        <v>3829.0559293656088</v>
      </c>
      <c r="I1026" s="100">
        <v>3110.780714233229</v>
      </c>
      <c r="J1026" s="100">
        <v>6163.6154415302226</v>
      </c>
    </row>
    <row r="1027" spans="1:10" x14ac:dyDescent="0.25">
      <c r="A1027">
        <v>1010</v>
      </c>
      <c r="B1027" s="100">
        <v>88.660577948333412</v>
      </c>
      <c r="C1027" s="100">
        <v>97.215515111909838</v>
      </c>
      <c r="D1027" s="100">
        <v>93.578135205541841</v>
      </c>
      <c r="E1027" s="100">
        <v>92.923391087112719</v>
      </c>
      <c r="F1027" s="100">
        <v>2947.1093742092708</v>
      </c>
      <c r="G1027" s="100">
        <v>1491.5615920784192</v>
      </c>
      <c r="H1027" s="100">
        <v>-1524.1102001104707</v>
      </c>
      <c r="I1027" s="100">
        <v>457.24856758850763</v>
      </c>
      <c r="J1027" s="100">
        <v>3371.8093337657269</v>
      </c>
    </row>
    <row r="1028" spans="1:10" x14ac:dyDescent="0.25">
      <c r="A1028">
        <v>1011</v>
      </c>
      <c r="B1028" s="100">
        <v>89.378570700087266</v>
      </c>
      <c r="C1028" s="100">
        <v>97.674956140823753</v>
      </c>
      <c r="D1028" s="100">
        <v>94.761223122898571</v>
      </c>
      <c r="E1028" s="100">
        <v>91.142453621309812</v>
      </c>
      <c r="F1028" s="100">
        <v>577.7332934215508</v>
      </c>
      <c r="G1028" s="100">
        <v>802.40004870754683</v>
      </c>
      <c r="H1028" s="100">
        <v>-3890.2860348239301</v>
      </c>
      <c r="I1028" s="100">
        <v>2238.1860333914146</v>
      </c>
      <c r="J1028" s="100">
        <v>-271.96665930341806</v>
      </c>
    </row>
    <row r="1029" spans="1:10" x14ac:dyDescent="0.25">
      <c r="A1029">
        <v>1012</v>
      </c>
      <c r="B1029" s="100">
        <v>89.617580852924604</v>
      </c>
      <c r="C1029" s="100">
        <v>97.194554004698759</v>
      </c>
      <c r="D1029" s="100">
        <v>94.112064284169293</v>
      </c>
      <c r="E1029" s="100">
        <v>95.450465996151195</v>
      </c>
      <c r="F1029" s="100">
        <v>-211.00021094166408</v>
      </c>
      <c r="G1029" s="100">
        <v>1523.0032528950373</v>
      </c>
      <c r="H1029" s="100">
        <v>-2591.9683573653742</v>
      </c>
      <c r="I1029" s="100">
        <v>-2069.8263414499679</v>
      </c>
      <c r="J1029" s="100">
        <v>-3349.7916568619689</v>
      </c>
    </row>
    <row r="1030" spans="1:10" x14ac:dyDescent="0.25">
      <c r="A1030">
        <v>1013</v>
      </c>
      <c r="B1030" s="100">
        <v>89.833370376472814</v>
      </c>
      <c r="C1030" s="100">
        <v>98.754479579601082</v>
      </c>
      <c r="D1030" s="100">
        <v>93.25064372928486</v>
      </c>
      <c r="E1030" s="100">
        <v>93.363144439132356</v>
      </c>
      <c r="F1030" s="100">
        <v>-923.10563865075756</v>
      </c>
      <c r="G1030" s="100">
        <v>-816.88510945844678</v>
      </c>
      <c r="H1030" s="100">
        <v>-869.12724759650928</v>
      </c>
      <c r="I1030" s="100">
        <v>17.495215568871458</v>
      </c>
      <c r="J1030" s="100">
        <v>-2591.6227801368423</v>
      </c>
    </row>
    <row r="1031" spans="1:10" x14ac:dyDescent="0.25">
      <c r="A1031">
        <v>1014</v>
      </c>
      <c r="B1031" s="100">
        <v>90.494900481650291</v>
      </c>
      <c r="C1031" s="100">
        <v>97.939272895933769</v>
      </c>
      <c r="D1031" s="100">
        <v>92.615722590645603</v>
      </c>
      <c r="E1031" s="100">
        <v>93.425682452318512</v>
      </c>
      <c r="F1031" s="100">
        <v>-3106.1549857364298</v>
      </c>
      <c r="G1031" s="100">
        <v>405.92491604252245</v>
      </c>
      <c r="H1031" s="100">
        <v>400.71502968200434</v>
      </c>
      <c r="I1031" s="100">
        <v>-45.042797617284691</v>
      </c>
      <c r="J1031" s="100">
        <v>-2344.5578376291874</v>
      </c>
    </row>
    <row r="1032" spans="1:10" x14ac:dyDescent="0.25">
      <c r="A1032">
        <v>1015</v>
      </c>
      <c r="B1032" s="100">
        <v>89.420821203453386</v>
      </c>
      <c r="C1032" s="100">
        <v>96.752999594266143</v>
      </c>
      <c r="D1032" s="100">
        <v>91.819658425225526</v>
      </c>
      <c r="E1032" s="100">
        <v>91.921978263072347</v>
      </c>
      <c r="F1032" s="100">
        <v>438.3066323133562</v>
      </c>
      <c r="G1032" s="100">
        <v>2185.3348685439614</v>
      </c>
      <c r="H1032" s="100">
        <v>1992.8433605221585</v>
      </c>
      <c r="I1032" s="100">
        <v>1458.6613916288798</v>
      </c>
      <c r="J1032" s="100">
        <v>6075.1462530083563</v>
      </c>
    </row>
    <row r="1033" spans="1:10" x14ac:dyDescent="0.25">
      <c r="A1033">
        <v>1016</v>
      </c>
      <c r="B1033" s="100">
        <v>89.159329766759868</v>
      </c>
      <c r="C1033" s="100">
        <v>98.487034622888018</v>
      </c>
      <c r="D1033" s="100">
        <v>92.619531779220537</v>
      </c>
      <c r="E1033" s="100">
        <v>95.587828962193456</v>
      </c>
      <c r="F1033" s="100">
        <v>1301.2283734019661</v>
      </c>
      <c r="G1033" s="100">
        <v>-415.71767438885132</v>
      </c>
      <c r="H1033" s="100">
        <v>393.09665253213666</v>
      </c>
      <c r="I1033" s="100">
        <v>-2207.1893074922286</v>
      </c>
      <c r="J1033" s="100">
        <v>-928.58195594697713</v>
      </c>
    </row>
    <row r="1034" spans="1:10" x14ac:dyDescent="0.25">
      <c r="A1034">
        <v>1017</v>
      </c>
      <c r="B1034" s="100">
        <v>89.591413696779611</v>
      </c>
      <c r="C1034" s="100">
        <v>98.234388592267948</v>
      </c>
      <c r="D1034" s="100">
        <v>91.653814580713458</v>
      </c>
      <c r="E1034" s="100">
        <v>94.64288867730842</v>
      </c>
      <c r="F1034" s="100">
        <v>-124.64859566318722</v>
      </c>
      <c r="G1034" s="100">
        <v>-36.748628458745713</v>
      </c>
      <c r="H1034" s="100">
        <v>2324.5310495462945</v>
      </c>
      <c r="I1034" s="100">
        <v>-1262.2490226071932</v>
      </c>
      <c r="J1034" s="100">
        <v>900.88480281716829</v>
      </c>
    </row>
    <row r="1035" spans="1:10" x14ac:dyDescent="0.25">
      <c r="A1035">
        <v>1018</v>
      </c>
      <c r="B1035" s="100">
        <v>89.322783613473874</v>
      </c>
      <c r="C1035" s="100">
        <v>98.069209340355982</v>
      </c>
      <c r="D1035" s="100">
        <v>93.112049736305039</v>
      </c>
      <c r="E1035" s="100">
        <v>92.641347640757417</v>
      </c>
      <c r="F1035" s="100">
        <v>761.83067924574607</v>
      </c>
      <c r="G1035" s="100">
        <v>211.02024940920217</v>
      </c>
      <c r="H1035" s="100">
        <v>-591.93926163686683</v>
      </c>
      <c r="I1035" s="100">
        <v>739.29201394381039</v>
      </c>
      <c r="J1035" s="100">
        <v>1120.2036809618917</v>
      </c>
    </row>
    <row r="1036" spans="1:10" x14ac:dyDescent="0.25">
      <c r="A1036">
        <v>1019</v>
      </c>
      <c r="B1036" s="100">
        <v>89.470678461214987</v>
      </c>
      <c r="C1036" s="100">
        <v>97.444153554585483</v>
      </c>
      <c r="D1036" s="100">
        <v>91.018674275083598</v>
      </c>
      <c r="E1036" s="100">
        <v>94.585567652727804</v>
      </c>
      <c r="F1036" s="100">
        <v>273.77768170007073</v>
      </c>
      <c r="G1036" s="100">
        <v>1148.6039280649507</v>
      </c>
      <c r="H1036" s="100">
        <v>3594.8116608060163</v>
      </c>
      <c r="I1036" s="100">
        <v>-1204.9279980265765</v>
      </c>
      <c r="J1036" s="100">
        <v>3812.2652725444614</v>
      </c>
    </row>
    <row r="1037" spans="1:10" x14ac:dyDescent="0.25">
      <c r="A1037">
        <v>1020</v>
      </c>
      <c r="B1037" s="100">
        <v>89.3421783964572</v>
      </c>
      <c r="C1037" s="100">
        <v>97.412131894720048</v>
      </c>
      <c r="D1037" s="100">
        <v>90.923073888038687</v>
      </c>
      <c r="E1037" s="100">
        <v>93.917547319161116</v>
      </c>
      <c r="F1037" s="100">
        <v>697.82789540076919</v>
      </c>
      <c r="G1037" s="100">
        <v>1196.6364178631038</v>
      </c>
      <c r="H1037" s="100">
        <v>3786.0124348958379</v>
      </c>
      <c r="I1037" s="100">
        <v>-536.90766445988913</v>
      </c>
      <c r="J1037" s="100">
        <v>5143.5690836998219</v>
      </c>
    </row>
    <row r="1038" spans="1:10" x14ac:dyDescent="0.25">
      <c r="A1038">
        <v>1021</v>
      </c>
      <c r="B1038" s="100">
        <v>88.95762028567853</v>
      </c>
      <c r="C1038" s="100">
        <v>97.783305405875495</v>
      </c>
      <c r="D1038" s="100">
        <v>94.006954352928886</v>
      </c>
      <c r="E1038" s="100">
        <v>92.686860493349343</v>
      </c>
      <c r="F1038" s="100">
        <v>1966.8696609703802</v>
      </c>
      <c r="G1038" s="100">
        <v>639.87615112993262</v>
      </c>
      <c r="H1038" s="100">
        <v>-2381.7484948845618</v>
      </c>
      <c r="I1038" s="100">
        <v>693.779161351884</v>
      </c>
      <c r="J1038" s="100">
        <v>918.77647856763508</v>
      </c>
    </row>
    <row r="1039" spans="1:10" x14ac:dyDescent="0.25">
      <c r="A1039">
        <v>1022</v>
      </c>
      <c r="B1039" s="100">
        <v>89.458377289656397</v>
      </c>
      <c r="C1039" s="100">
        <v>96.910931698115689</v>
      </c>
      <c r="D1039" s="100">
        <v>92.518472267670262</v>
      </c>
      <c r="E1039" s="100">
        <v>91.561198526959828</v>
      </c>
      <c r="F1039" s="100">
        <v>314.37154784341885</v>
      </c>
      <c r="G1039" s="100">
        <v>1948.4367127696416</v>
      </c>
      <c r="H1039" s="100">
        <v>595.21567563268718</v>
      </c>
      <c r="I1039" s="100">
        <v>1819.4411277413992</v>
      </c>
      <c r="J1039" s="100">
        <v>4677.465063987147</v>
      </c>
    </row>
    <row r="1040" spans="1:10" x14ac:dyDescent="0.25">
      <c r="A1040">
        <v>1023</v>
      </c>
      <c r="B1040" s="100">
        <v>90.218336135402609</v>
      </c>
      <c r="C1040" s="100">
        <v>99.346594610727735</v>
      </c>
      <c r="D1040" s="100">
        <v>92.007139138168796</v>
      </c>
      <c r="E1040" s="100">
        <v>93.210604325774483</v>
      </c>
      <c r="F1040" s="100">
        <v>-2193.4926431190802</v>
      </c>
      <c r="G1040" s="100">
        <v>-1705.0576561484263</v>
      </c>
      <c r="H1040" s="100">
        <v>1617.8819346356192</v>
      </c>
      <c r="I1040" s="100">
        <v>170.035328926744</v>
      </c>
      <c r="J1040" s="100">
        <v>-2110.6330357051429</v>
      </c>
    </row>
    <row r="1041" spans="1:10" x14ac:dyDescent="0.25">
      <c r="A1041">
        <v>1024</v>
      </c>
      <c r="B1041" s="100">
        <v>89.081463996796259</v>
      </c>
      <c r="C1041" s="100">
        <v>98.085933439551596</v>
      </c>
      <c r="D1041" s="100">
        <v>91.837975935754997</v>
      </c>
      <c r="E1041" s="100">
        <v>94.15065652473757</v>
      </c>
      <c r="F1041" s="100">
        <v>1558.1854142818743</v>
      </c>
      <c r="G1041" s="100">
        <v>185.93410061578197</v>
      </c>
      <c r="H1041" s="100">
        <v>1956.2083394632168</v>
      </c>
      <c r="I1041" s="100">
        <v>-770.01687003634345</v>
      </c>
      <c r="J1041" s="100">
        <v>2930.3109843245297</v>
      </c>
    </row>
    <row r="1042" spans="1:10" x14ac:dyDescent="0.25">
      <c r="A1042">
        <v>1025</v>
      </c>
      <c r="B1042" s="100">
        <v>88.661692824998823</v>
      </c>
      <c r="C1042" s="100">
        <v>98.22399403288162</v>
      </c>
      <c r="D1042" s="100">
        <v>92.477238517500666</v>
      </c>
      <c r="E1042" s="100">
        <v>93.415269208546391</v>
      </c>
      <c r="F1042" s="100">
        <v>2943.4302812134119</v>
      </c>
      <c r="G1042" s="100">
        <v>-21.156789379254803</v>
      </c>
      <c r="H1042" s="100">
        <v>677.68317597187888</v>
      </c>
      <c r="I1042" s="100">
        <v>-34.629553845164196</v>
      </c>
      <c r="J1042" s="100">
        <v>3565.3271139608719</v>
      </c>
    </row>
    <row r="1043" spans="1:10" x14ac:dyDescent="0.25">
      <c r="A1043">
        <v>1026</v>
      </c>
      <c r="B1043" s="100">
        <v>90.303165316826082</v>
      </c>
      <c r="C1043" s="100">
        <v>97.617631264257838</v>
      </c>
      <c r="D1043" s="100">
        <v>93.746321928168385</v>
      </c>
      <c r="E1043" s="100">
        <v>92.483266852901806</v>
      </c>
      <c r="F1043" s="100">
        <v>-2473.4289418165404</v>
      </c>
      <c r="G1043" s="100">
        <v>888.38736355641856</v>
      </c>
      <c r="H1043" s="100">
        <v>-1860.4836453635585</v>
      </c>
      <c r="I1043" s="100">
        <v>897.37280179942047</v>
      </c>
      <c r="J1043" s="100">
        <v>-2548.1524218242598</v>
      </c>
    </row>
    <row r="1044" spans="1:10" x14ac:dyDescent="0.25">
      <c r="A1044">
        <v>1027</v>
      </c>
      <c r="B1044" s="100">
        <v>89.18963252293328</v>
      </c>
      <c r="C1044" s="100">
        <v>98.497621334115649</v>
      </c>
      <c r="D1044" s="100">
        <v>93.670542153157101</v>
      </c>
      <c r="E1044" s="100">
        <v>95.515552384695326</v>
      </c>
      <c r="F1044" s="100">
        <v>1201.2292780297046</v>
      </c>
      <c r="G1044" s="100">
        <v>-431.59774123029848</v>
      </c>
      <c r="H1044" s="100">
        <v>-1708.9240953409899</v>
      </c>
      <c r="I1044" s="100">
        <v>-2134.9127299940988</v>
      </c>
      <c r="J1044" s="100">
        <v>-3074.2052885356825</v>
      </c>
    </row>
    <row r="1045" spans="1:10" x14ac:dyDescent="0.25">
      <c r="A1045">
        <v>1028</v>
      </c>
      <c r="B1045" s="100">
        <v>90.529866327523294</v>
      </c>
      <c r="C1045" s="100">
        <v>98.596465163936443</v>
      </c>
      <c r="D1045" s="100">
        <v>91.881311260441919</v>
      </c>
      <c r="E1045" s="100">
        <v>94.124465131276125</v>
      </c>
      <c r="F1045" s="100">
        <v>-3221.5422771173407</v>
      </c>
      <c r="G1045" s="100">
        <v>-579.86348596148923</v>
      </c>
      <c r="H1045" s="100">
        <v>1869.5376900893734</v>
      </c>
      <c r="I1045" s="100">
        <v>-743.82547657489795</v>
      </c>
      <c r="J1045" s="100">
        <v>-2675.6935495643547</v>
      </c>
    </row>
    <row r="1046" spans="1:10" x14ac:dyDescent="0.25">
      <c r="A1046">
        <v>1029</v>
      </c>
      <c r="B1046" s="100">
        <v>89.635429295207828</v>
      </c>
      <c r="C1046" s="100">
        <v>99.54930138817997</v>
      </c>
      <c r="D1046" s="100">
        <v>93.559939062110288</v>
      </c>
      <c r="E1046" s="100">
        <v>91.66192473459499</v>
      </c>
      <c r="F1046" s="100">
        <v>-269.90007047630371</v>
      </c>
      <c r="G1046" s="100">
        <v>-2009.1178223267789</v>
      </c>
      <c r="H1046" s="100">
        <v>-1487.7179132473657</v>
      </c>
      <c r="I1046" s="100">
        <v>1718.7149201062368</v>
      </c>
      <c r="J1046" s="100">
        <v>-2048.0208859442118</v>
      </c>
    </row>
    <row r="1047" spans="1:10" x14ac:dyDescent="0.25">
      <c r="A1047">
        <v>1030</v>
      </c>
      <c r="B1047" s="100">
        <v>88.741406318381806</v>
      </c>
      <c r="C1047" s="100">
        <v>98.937689593789244</v>
      </c>
      <c r="D1047" s="100">
        <v>91.991661170077094</v>
      </c>
      <c r="E1047" s="100">
        <v>96.017901384036762</v>
      </c>
      <c r="F1047" s="100">
        <v>2680.37575304957</v>
      </c>
      <c r="G1047" s="100">
        <v>-1091.7001307406906</v>
      </c>
      <c r="H1047" s="100">
        <v>1648.8378708190226</v>
      </c>
      <c r="I1047" s="100">
        <v>-2637.2617293355347</v>
      </c>
      <c r="J1047" s="100">
        <v>600.251763792367</v>
      </c>
    </row>
    <row r="1048" spans="1:10" x14ac:dyDescent="0.25">
      <c r="A1048">
        <v>1031</v>
      </c>
      <c r="B1048" s="100">
        <v>90.037691848732862</v>
      </c>
      <c r="C1048" s="100">
        <v>98.334688653355258</v>
      </c>
      <c r="D1048" s="100">
        <v>92.400356288718356</v>
      </c>
      <c r="E1048" s="100">
        <v>95.062902993589077</v>
      </c>
      <c r="F1048" s="100">
        <v>-1597.3664971089165</v>
      </c>
      <c r="G1048" s="100">
        <v>-187.19872008971095</v>
      </c>
      <c r="H1048" s="100">
        <v>831.44763353649864</v>
      </c>
      <c r="I1048" s="100">
        <v>-1682.2633388878501</v>
      </c>
      <c r="J1048" s="100">
        <v>-2635.380922549979</v>
      </c>
    </row>
    <row r="1049" spans="1:10" x14ac:dyDescent="0.25">
      <c r="A1049">
        <v>1032</v>
      </c>
      <c r="B1049" s="100">
        <v>90.190983196528705</v>
      </c>
      <c r="C1049" s="100">
        <v>97.129148322149135</v>
      </c>
      <c r="D1049" s="100">
        <v>92.93375904766711</v>
      </c>
      <c r="E1049" s="100">
        <v>93.984876529542191</v>
      </c>
      <c r="F1049" s="100">
        <v>-2103.2279448351987</v>
      </c>
      <c r="G1049" s="100">
        <v>1621.1117767194737</v>
      </c>
      <c r="H1049" s="100">
        <v>-235.35788436100802</v>
      </c>
      <c r="I1049" s="100">
        <v>-604.23687484096433</v>
      </c>
      <c r="J1049" s="100">
        <v>-1321.7109273176975</v>
      </c>
    </row>
    <row r="1050" spans="1:10" x14ac:dyDescent="0.25">
      <c r="A1050">
        <v>1033</v>
      </c>
      <c r="B1050" s="100">
        <v>89.414068393863886</v>
      </c>
      <c r="C1050" s="100">
        <v>98.965135866255537</v>
      </c>
      <c r="D1050" s="100">
        <v>91.533489326232328</v>
      </c>
      <c r="E1050" s="100">
        <v>93.918052078227305</v>
      </c>
      <c r="F1050" s="100">
        <v>460.59090395870612</v>
      </c>
      <c r="G1050" s="100">
        <v>-1132.8695394401293</v>
      </c>
      <c r="H1050" s="100">
        <v>2565.181558508556</v>
      </c>
      <c r="I1050" s="100">
        <v>-537.41242352607799</v>
      </c>
      <c r="J1050" s="100">
        <v>1355.4904995010547</v>
      </c>
    </row>
    <row r="1051" spans="1:10" x14ac:dyDescent="0.25">
      <c r="A1051">
        <v>1034</v>
      </c>
      <c r="B1051" s="100">
        <v>89.635641842164929</v>
      </c>
      <c r="C1051" s="100">
        <v>99.765642999518832</v>
      </c>
      <c r="D1051" s="100">
        <v>92.98696299741006</v>
      </c>
      <c r="E1051" s="100">
        <v>93.937866179982848</v>
      </c>
      <c r="F1051" s="100">
        <v>-270.60147543473789</v>
      </c>
      <c r="G1051" s="100">
        <v>-2333.630239335072</v>
      </c>
      <c r="H1051" s="100">
        <v>-341.7657838469097</v>
      </c>
      <c r="I1051" s="100">
        <v>-557.22652528162087</v>
      </c>
      <c r="J1051" s="100">
        <v>-3503.2240238983409</v>
      </c>
    </row>
    <row r="1052" spans="1:10" x14ac:dyDescent="0.25">
      <c r="A1052">
        <v>1035</v>
      </c>
      <c r="B1052" s="100">
        <v>90.062157225241236</v>
      </c>
      <c r="C1052" s="100">
        <v>98.706781953746514</v>
      </c>
      <c r="D1052" s="100">
        <v>91.917508152020474</v>
      </c>
      <c r="E1052" s="100">
        <v>95.282203086737269</v>
      </c>
      <c r="F1052" s="100">
        <v>-1678.1022395865507</v>
      </c>
      <c r="G1052" s="100">
        <v>-745.33867067659548</v>
      </c>
      <c r="H1052" s="100">
        <v>1797.1439069322628</v>
      </c>
      <c r="I1052" s="100">
        <v>-1901.5634320360418</v>
      </c>
      <c r="J1052" s="100">
        <v>-2527.8604353669252</v>
      </c>
    </row>
    <row r="1053" spans="1:10" x14ac:dyDescent="0.25">
      <c r="A1053">
        <v>1036</v>
      </c>
      <c r="B1053" s="100">
        <v>89.338179933692288</v>
      </c>
      <c r="C1053" s="100">
        <v>98.42577127367592</v>
      </c>
      <c r="D1053" s="100">
        <v>93.93783660136225</v>
      </c>
      <c r="E1053" s="100">
        <v>94.462091905555695</v>
      </c>
      <c r="F1053" s="100">
        <v>711.02282252497844</v>
      </c>
      <c r="G1053" s="100">
        <v>-323.8226505707047</v>
      </c>
      <c r="H1053" s="100">
        <v>-2243.5129917512882</v>
      </c>
      <c r="I1053" s="100">
        <v>-1081.4522508544683</v>
      </c>
      <c r="J1053" s="100">
        <v>-2937.7650706514828</v>
      </c>
    </row>
    <row r="1054" spans="1:10" x14ac:dyDescent="0.25">
      <c r="A1054">
        <v>1037</v>
      </c>
      <c r="B1054" s="100">
        <v>88.783750202917176</v>
      </c>
      <c r="C1054" s="100">
        <v>97.346524322189239</v>
      </c>
      <c r="D1054" s="100">
        <v>92.717614081266348</v>
      </c>
      <c r="E1054" s="100">
        <v>95.523947245790282</v>
      </c>
      <c r="F1054" s="100">
        <v>2540.6409340828491</v>
      </c>
      <c r="G1054" s="100">
        <v>1295.0477766593167</v>
      </c>
      <c r="H1054" s="100">
        <v>196.93204844051593</v>
      </c>
      <c r="I1054" s="100">
        <v>-2143.3075910890552</v>
      </c>
      <c r="J1054" s="100">
        <v>1889.3131680936262</v>
      </c>
    </row>
    <row r="1055" spans="1:10" x14ac:dyDescent="0.25">
      <c r="A1055">
        <v>1038</v>
      </c>
      <c r="B1055" s="100">
        <v>88.808512599071179</v>
      </c>
      <c r="C1055" s="100">
        <v>97.605873755411082</v>
      </c>
      <c r="D1055" s="100">
        <v>92.798205064387588</v>
      </c>
      <c r="E1055" s="100">
        <v>91.847814306231967</v>
      </c>
      <c r="F1055" s="100">
        <v>2458.9250267746393</v>
      </c>
      <c r="G1055" s="100">
        <v>906.02362682655269</v>
      </c>
      <c r="H1055" s="100">
        <v>35.750082198035216</v>
      </c>
      <c r="I1055" s="100">
        <v>1532.8253484692596</v>
      </c>
      <c r="J1055" s="100">
        <v>4933.5240842684871</v>
      </c>
    </row>
    <row r="1056" spans="1:10" x14ac:dyDescent="0.25">
      <c r="A1056">
        <v>1039</v>
      </c>
      <c r="B1056" s="100">
        <v>89.450129087548845</v>
      </c>
      <c r="C1056" s="100">
        <v>97.007134329975514</v>
      </c>
      <c r="D1056" s="100">
        <v>92.484114128540497</v>
      </c>
      <c r="E1056" s="100">
        <v>93.993991476981805</v>
      </c>
      <c r="F1056" s="100">
        <v>341.59061479834065</v>
      </c>
      <c r="G1056" s="100">
        <v>1804.1327649799043</v>
      </c>
      <c r="H1056" s="100">
        <v>663.9319538922166</v>
      </c>
      <c r="I1056" s="100">
        <v>-613.35182228057761</v>
      </c>
      <c r="J1056" s="100">
        <v>2196.3035113898841</v>
      </c>
    </row>
    <row r="1057" spans="1:10" x14ac:dyDescent="0.25">
      <c r="A1057">
        <v>1040</v>
      </c>
      <c r="B1057" s="100">
        <v>88.59066199496516</v>
      </c>
      <c r="C1057" s="100">
        <v>97.579722098476168</v>
      </c>
      <c r="D1057" s="100">
        <v>92.266305718635451</v>
      </c>
      <c r="E1057" s="100">
        <v>92.011358845459924</v>
      </c>
      <c r="F1057" s="100">
        <v>3177.8320203245016</v>
      </c>
      <c r="G1057" s="100">
        <v>945.25111222892383</v>
      </c>
      <c r="H1057" s="100">
        <v>1099.5487737023097</v>
      </c>
      <c r="I1057" s="100">
        <v>1369.2808092413031</v>
      </c>
      <c r="J1057" s="100">
        <v>6591.9127154970383</v>
      </c>
    </row>
    <row r="1058" spans="1:10" x14ac:dyDescent="0.25">
      <c r="A1058">
        <v>1041</v>
      </c>
      <c r="B1058" s="100">
        <v>88.566321825243406</v>
      </c>
      <c r="C1058" s="100">
        <v>98.741671016608578</v>
      </c>
      <c r="D1058" s="100">
        <v>92.276617210666672</v>
      </c>
      <c r="E1058" s="100">
        <v>92.309732709705628</v>
      </c>
      <c r="F1058" s="100">
        <v>3258.1545804062885</v>
      </c>
      <c r="G1058" s="100">
        <v>-797.67226496969101</v>
      </c>
      <c r="H1058" s="100">
        <v>1078.9257896398681</v>
      </c>
      <c r="I1058" s="100">
        <v>1070.9069449955991</v>
      </c>
      <c r="J1058" s="100">
        <v>4610.3150500720649</v>
      </c>
    </row>
    <row r="1059" spans="1:10" x14ac:dyDescent="0.25">
      <c r="A1059">
        <v>1042</v>
      </c>
      <c r="B1059" s="100">
        <v>89.301329227832937</v>
      </c>
      <c r="C1059" s="100">
        <v>96.81949986559593</v>
      </c>
      <c r="D1059" s="100">
        <v>94.062882610243861</v>
      </c>
      <c r="E1059" s="100">
        <v>93.811546756683683</v>
      </c>
      <c r="F1059" s="100">
        <v>832.63015186083612</v>
      </c>
      <c r="G1059" s="100">
        <v>2085.5844615492815</v>
      </c>
      <c r="H1059" s="100">
        <v>-2493.6050095145106</v>
      </c>
      <c r="I1059" s="100">
        <v>-430.90710198245574</v>
      </c>
      <c r="J1059" s="100">
        <v>-6.2974980868486909</v>
      </c>
    </row>
    <row r="1060" spans="1:10" x14ac:dyDescent="0.25">
      <c r="A1060">
        <v>1043</v>
      </c>
      <c r="B1060" s="100">
        <v>89.310742926578641</v>
      </c>
      <c r="C1060" s="100">
        <v>98.589814507783245</v>
      </c>
      <c r="D1060" s="100">
        <v>94.30494912544809</v>
      </c>
      <c r="E1060" s="100">
        <v>95.688234486133908</v>
      </c>
      <c r="F1060" s="100">
        <v>801.56494600001474</v>
      </c>
      <c r="G1060" s="100">
        <v>-569.88750173169228</v>
      </c>
      <c r="H1060" s="100">
        <v>-2977.7380399229687</v>
      </c>
      <c r="I1060" s="100">
        <v>-2307.5948314326806</v>
      </c>
      <c r="J1060" s="100">
        <v>-5053.6554270873266</v>
      </c>
    </row>
    <row r="1061" spans="1:10" x14ac:dyDescent="0.25">
      <c r="A1061">
        <v>1044</v>
      </c>
      <c r="B1061" s="100">
        <v>89.175698343406651</v>
      </c>
      <c r="C1061" s="100">
        <v>98.993317531973929</v>
      </c>
      <c r="D1061" s="100">
        <v>93.617537221169982</v>
      </c>
      <c r="E1061" s="100">
        <v>90.158202355993666</v>
      </c>
      <c r="F1061" s="100">
        <v>1247.2120704675804</v>
      </c>
      <c r="G1061" s="100">
        <v>-1175.1420380177181</v>
      </c>
      <c r="H1061" s="100">
        <v>-1602.9142313667535</v>
      </c>
      <c r="I1061" s="100">
        <v>3222.4372987075612</v>
      </c>
      <c r="J1061" s="100">
        <v>1691.5930997906701</v>
      </c>
    </row>
    <row r="1062" spans="1:10" x14ac:dyDescent="0.25">
      <c r="A1062">
        <v>1045</v>
      </c>
      <c r="B1062" s="100">
        <v>90.174627457229903</v>
      </c>
      <c r="C1062" s="100">
        <v>97.335275453281255</v>
      </c>
      <c r="D1062" s="100">
        <v>93.565638676720567</v>
      </c>
      <c r="E1062" s="100">
        <v>91.594968423989485</v>
      </c>
      <c r="F1062" s="100">
        <v>-2049.2540051491501</v>
      </c>
      <c r="G1062" s="100">
        <v>1311.9210800212927</v>
      </c>
      <c r="H1062" s="100">
        <v>-1499.1171424679237</v>
      </c>
      <c r="I1062" s="100">
        <v>1785.6712307117418</v>
      </c>
      <c r="J1062" s="100">
        <v>-450.77883688403926</v>
      </c>
    </row>
    <row r="1063" spans="1:10" x14ac:dyDescent="0.25">
      <c r="A1063">
        <v>1046</v>
      </c>
      <c r="B1063" s="100">
        <v>88.938303276502936</v>
      </c>
      <c r="C1063" s="100">
        <v>99.277037076770284</v>
      </c>
      <c r="D1063" s="100">
        <v>91.271570312873394</v>
      </c>
      <c r="E1063" s="100">
        <v>91.302195281547071</v>
      </c>
      <c r="F1063" s="100">
        <v>2030.615791249842</v>
      </c>
      <c r="G1063" s="100">
        <v>-1600.7213552122507</v>
      </c>
      <c r="H1063" s="100">
        <v>3089.0195852264242</v>
      </c>
      <c r="I1063" s="100">
        <v>2078.444373154156</v>
      </c>
      <c r="J1063" s="100">
        <v>5597.3583944181719</v>
      </c>
    </row>
    <row r="1064" spans="1:10" x14ac:dyDescent="0.25">
      <c r="A1064">
        <v>1047</v>
      </c>
      <c r="B1064" s="100">
        <v>88.871825381154309</v>
      </c>
      <c r="C1064" s="100">
        <v>97.091854219740981</v>
      </c>
      <c r="D1064" s="100">
        <v>92.67986975427705</v>
      </c>
      <c r="E1064" s="100">
        <v>93.873057479673989</v>
      </c>
      <c r="F1064" s="100">
        <v>2249.9928459003086</v>
      </c>
      <c r="G1064" s="100">
        <v>1677.0529303317048</v>
      </c>
      <c r="H1064" s="100">
        <v>272.42070241911165</v>
      </c>
      <c r="I1064" s="100">
        <v>-492.41782497276176</v>
      </c>
      <c r="J1064" s="100">
        <v>3707.0486536783628</v>
      </c>
    </row>
    <row r="1065" spans="1:10" x14ac:dyDescent="0.25">
      <c r="A1065">
        <v>1048</v>
      </c>
      <c r="B1065" s="100">
        <v>88.496637983548553</v>
      </c>
      <c r="C1065" s="100">
        <v>99.609285202321061</v>
      </c>
      <c r="D1065" s="100">
        <v>92.49806446972535</v>
      </c>
      <c r="E1065" s="100">
        <v>93.138621463496364</v>
      </c>
      <c r="F1065" s="100">
        <v>3488.111257999306</v>
      </c>
      <c r="G1065" s="100">
        <v>-2099.0935435384158</v>
      </c>
      <c r="H1065" s="100">
        <v>636.03127152251204</v>
      </c>
      <c r="I1065" s="100">
        <v>242.01819120486334</v>
      </c>
      <c r="J1065" s="100">
        <v>2267.0671771882653</v>
      </c>
    </row>
    <row r="1066" spans="1:10" x14ac:dyDescent="0.25">
      <c r="A1066">
        <v>1049</v>
      </c>
      <c r="B1066" s="100">
        <v>89.594203467887397</v>
      </c>
      <c r="C1066" s="100">
        <v>98.252221115911311</v>
      </c>
      <c r="D1066" s="100">
        <v>92.094411669199644</v>
      </c>
      <c r="E1066" s="100">
        <v>93.875246577777247</v>
      </c>
      <c r="F1066" s="100">
        <v>-133.85484031887955</v>
      </c>
      <c r="G1066" s="100">
        <v>-63.497413923791157</v>
      </c>
      <c r="H1066" s="100">
        <v>1443.3368725739228</v>
      </c>
      <c r="I1066" s="100">
        <v>-494.60692307602017</v>
      </c>
      <c r="J1066" s="100">
        <v>751.37769525523186</v>
      </c>
    </row>
    <row r="1067" spans="1:10" x14ac:dyDescent="0.25">
      <c r="A1067">
        <v>1050</v>
      </c>
      <c r="B1067" s="100">
        <v>88.518037527581598</v>
      </c>
      <c r="C1067" s="100">
        <v>98.860271251997062</v>
      </c>
      <c r="D1067" s="100">
        <v>92.932582843971232</v>
      </c>
      <c r="E1067" s="100">
        <v>93.114577372927457</v>
      </c>
      <c r="F1067" s="100">
        <v>3417.4927626902572</v>
      </c>
      <c r="G1067" s="100">
        <v>-975.57261805241774</v>
      </c>
      <c r="H1067" s="100">
        <v>-233.00547696925378</v>
      </c>
      <c r="I1067" s="100">
        <v>266.06228177377034</v>
      </c>
      <c r="J1067" s="100">
        <v>2474.9769494423558</v>
      </c>
    </row>
    <row r="1068" spans="1:10" x14ac:dyDescent="0.25">
      <c r="A1068">
        <v>1051</v>
      </c>
      <c r="B1068" s="100">
        <v>89.407835619139405</v>
      </c>
      <c r="C1068" s="100">
        <v>98.146116865402519</v>
      </c>
      <c r="D1068" s="100">
        <v>93.809235268003803</v>
      </c>
      <c r="E1068" s="100">
        <v>90.090763437831868</v>
      </c>
      <c r="F1068" s="100">
        <v>481.15906054949278</v>
      </c>
      <c r="G1068" s="100">
        <v>95.658961839397705</v>
      </c>
      <c r="H1068" s="100">
        <v>-1986.3103250343954</v>
      </c>
      <c r="I1068" s="100">
        <v>3289.8762168693593</v>
      </c>
      <c r="J1068" s="100">
        <v>1880.3839142238544</v>
      </c>
    </row>
    <row r="1069" spans="1:10" x14ac:dyDescent="0.25">
      <c r="A1069">
        <v>1052</v>
      </c>
      <c r="B1069" s="100">
        <v>89.539714755165789</v>
      </c>
      <c r="C1069" s="100">
        <v>97.928518808186865</v>
      </c>
      <c r="D1069" s="100">
        <v>92.714663600584799</v>
      </c>
      <c r="E1069" s="100">
        <v>93.300639923281224</v>
      </c>
      <c r="F1069" s="100">
        <v>45.957911662424067</v>
      </c>
      <c r="G1069" s="100">
        <v>422.05604766287763</v>
      </c>
      <c r="H1069" s="100">
        <v>202.83300980361219</v>
      </c>
      <c r="I1069" s="100">
        <v>79.999731420002718</v>
      </c>
      <c r="J1069" s="100">
        <v>750.8467005489166</v>
      </c>
    </row>
    <row r="1070" spans="1:10" x14ac:dyDescent="0.25">
      <c r="A1070">
        <v>1053</v>
      </c>
      <c r="B1070" s="100">
        <v>90.560819416137207</v>
      </c>
      <c r="C1070" s="100">
        <v>96.994478571487591</v>
      </c>
      <c r="D1070" s="100">
        <v>91.82701165871697</v>
      </c>
      <c r="E1070" s="100">
        <v>95.82544103867896</v>
      </c>
      <c r="F1070" s="100">
        <v>-3323.6874695432534</v>
      </c>
      <c r="G1070" s="100">
        <v>1823.1164027117898</v>
      </c>
      <c r="H1070" s="100">
        <v>1978.136893539272</v>
      </c>
      <c r="I1070" s="100">
        <v>-2444.8013839777332</v>
      </c>
      <c r="J1070" s="100">
        <v>-1967.2355572699248</v>
      </c>
    </row>
    <row r="1071" spans="1:10" x14ac:dyDescent="0.25">
      <c r="A1071">
        <v>1054</v>
      </c>
      <c r="B1071" s="100">
        <v>88.600667905736927</v>
      </c>
      <c r="C1071" s="100">
        <v>97.843969934793336</v>
      </c>
      <c r="D1071" s="100">
        <v>94.970372802007475</v>
      </c>
      <c r="E1071" s="100">
        <v>91.254610298816658</v>
      </c>
      <c r="F1071" s="100">
        <v>3144.8125147776709</v>
      </c>
      <c r="G1071" s="100">
        <v>548.87935775317237</v>
      </c>
      <c r="H1071" s="100">
        <v>-4308.5853930417388</v>
      </c>
      <c r="I1071" s="100">
        <v>2126.0293558845688</v>
      </c>
      <c r="J1071" s="100">
        <v>1511.1358353736732</v>
      </c>
    </row>
    <row r="1072" spans="1:10" x14ac:dyDescent="0.25">
      <c r="A1072">
        <v>1055</v>
      </c>
      <c r="B1072" s="100">
        <v>90.04694577576204</v>
      </c>
      <c r="C1072" s="100">
        <v>98.245393814042785</v>
      </c>
      <c r="D1072" s="100">
        <v>94.051275904639297</v>
      </c>
      <c r="E1072" s="100">
        <v>92.650319710995717</v>
      </c>
      <c r="F1072" s="100">
        <v>-1627.9044563052039</v>
      </c>
      <c r="G1072" s="100">
        <v>-53.256461121002019</v>
      </c>
      <c r="H1072" s="100">
        <v>-2470.391598305383</v>
      </c>
      <c r="I1072" s="100">
        <v>730.3199437055099</v>
      </c>
      <c r="J1072" s="100">
        <v>-3421.2325720260787</v>
      </c>
    </row>
    <row r="1073" spans="1:10" x14ac:dyDescent="0.25">
      <c r="A1073">
        <v>1056</v>
      </c>
      <c r="B1073" s="100">
        <v>90.071716024917606</v>
      </c>
      <c r="C1073" s="100">
        <v>97.711880211699381</v>
      </c>
      <c r="D1073" s="100">
        <v>94.175485468721959</v>
      </c>
      <c r="E1073" s="100">
        <v>93.572679116959151</v>
      </c>
      <c r="F1073" s="100">
        <v>-1709.6462785185709</v>
      </c>
      <c r="G1073" s="100">
        <v>747.0139423941049</v>
      </c>
      <c r="H1073" s="100">
        <v>-2718.8107264707069</v>
      </c>
      <c r="I1073" s="100">
        <v>-192.03946225792379</v>
      </c>
      <c r="J1073" s="100">
        <v>-3873.4825248530965</v>
      </c>
    </row>
    <row r="1074" spans="1:10" x14ac:dyDescent="0.25">
      <c r="A1074">
        <v>1057</v>
      </c>
      <c r="B1074" s="100">
        <v>89.820476429514613</v>
      </c>
      <c r="C1074" s="100">
        <v>97.120035277768409</v>
      </c>
      <c r="D1074" s="100">
        <v>91.067888145238555</v>
      </c>
      <c r="E1074" s="100">
        <v>94.112618938891828</v>
      </c>
      <c r="F1074" s="100">
        <v>-880.55561368869485</v>
      </c>
      <c r="G1074" s="100">
        <v>1634.7813432905625</v>
      </c>
      <c r="H1074" s="100">
        <v>3496.3839204961005</v>
      </c>
      <c r="I1074" s="100">
        <v>-731.97928419060077</v>
      </c>
      <c r="J1074" s="100">
        <v>3518.6303659073674</v>
      </c>
    </row>
    <row r="1075" spans="1:10" x14ac:dyDescent="0.25">
      <c r="A1075">
        <v>1058</v>
      </c>
      <c r="B1075" s="100">
        <v>89.361894590157149</v>
      </c>
      <c r="C1075" s="100">
        <v>99.357598631272111</v>
      </c>
      <c r="D1075" s="100">
        <v>93.477121437433638</v>
      </c>
      <c r="E1075" s="100">
        <v>94.51530906036659</v>
      </c>
      <c r="F1075" s="100">
        <v>632.7644561909367</v>
      </c>
      <c r="G1075" s="100">
        <v>-1721.5636869649913</v>
      </c>
      <c r="H1075" s="100">
        <v>-1322.082663894065</v>
      </c>
      <c r="I1075" s="100">
        <v>-1134.6694056653632</v>
      </c>
      <c r="J1075" s="100">
        <v>-3545.5513003334827</v>
      </c>
    </row>
    <row r="1076" spans="1:10" x14ac:dyDescent="0.25">
      <c r="A1076">
        <v>1059</v>
      </c>
      <c r="B1076" s="100">
        <v>90.236605318690607</v>
      </c>
      <c r="C1076" s="100">
        <v>98.839809054203968</v>
      </c>
      <c r="D1076" s="100">
        <v>91.599748306213215</v>
      </c>
      <c r="E1076" s="100">
        <v>94.656389258169725</v>
      </c>
      <c r="F1076" s="100">
        <v>-2253.7809479694743</v>
      </c>
      <c r="G1076" s="100">
        <v>-944.87932136277664</v>
      </c>
      <c r="H1076" s="100">
        <v>2432.6635985467819</v>
      </c>
      <c r="I1076" s="100">
        <v>-1275.7496034684978</v>
      </c>
      <c r="J1076" s="100">
        <v>-2041.7462742539669</v>
      </c>
    </row>
    <row r="1077" spans="1:10" x14ac:dyDescent="0.25">
      <c r="A1077">
        <v>1060</v>
      </c>
      <c r="B1077" s="100">
        <v>89.580442801436618</v>
      </c>
      <c r="C1077" s="100">
        <v>97.677398562477507</v>
      </c>
      <c r="D1077" s="100">
        <v>92.995474411802078</v>
      </c>
      <c r="E1077" s="100">
        <v>95.059181747297842</v>
      </c>
      <c r="F1077" s="100">
        <v>-88.444641031310312</v>
      </c>
      <c r="G1077" s="100">
        <v>798.73641622691594</v>
      </c>
      <c r="H1077" s="100">
        <v>-358.78861263094564</v>
      </c>
      <c r="I1077" s="100">
        <v>-1678.542092596615</v>
      </c>
      <c r="J1077" s="100">
        <v>-1327.038930031955</v>
      </c>
    </row>
    <row r="1078" spans="1:10" x14ac:dyDescent="0.25">
      <c r="A1078">
        <v>1061</v>
      </c>
      <c r="B1078" s="100">
        <v>90.093930696403632</v>
      </c>
      <c r="C1078" s="100">
        <v>98.954143660647944</v>
      </c>
      <c r="D1078" s="100">
        <v>92.060783440021723</v>
      </c>
      <c r="E1078" s="100">
        <v>90.461337511986613</v>
      </c>
      <c r="F1078" s="100">
        <v>-1782.954694422456</v>
      </c>
      <c r="G1078" s="100">
        <v>-1116.3812310287399</v>
      </c>
      <c r="H1078" s="100">
        <v>1510.5933309297654</v>
      </c>
      <c r="I1078" s="100">
        <v>2919.3021427146136</v>
      </c>
      <c r="J1078" s="100">
        <v>1530.559548193183</v>
      </c>
    </row>
    <row r="1079" spans="1:10" x14ac:dyDescent="0.25">
      <c r="A1079">
        <v>1062</v>
      </c>
      <c r="B1079" s="100">
        <v>89.802797379584604</v>
      </c>
      <c r="C1079" s="100">
        <v>97.803371305109124</v>
      </c>
      <c r="D1079" s="100">
        <v>92.371020021386826</v>
      </c>
      <c r="E1079" s="100">
        <v>92.012756450881525</v>
      </c>
      <c r="F1079" s="100">
        <v>-822.21474891966295</v>
      </c>
      <c r="G1079" s="100">
        <v>609.77730227948973</v>
      </c>
      <c r="H1079" s="100">
        <v>890.12016819955875</v>
      </c>
      <c r="I1079" s="100">
        <v>1367.8832038197015</v>
      </c>
      <c r="J1079" s="100">
        <v>2045.565925379087</v>
      </c>
    </row>
    <row r="1080" spans="1:10" x14ac:dyDescent="0.25">
      <c r="A1080">
        <v>1063</v>
      </c>
      <c r="B1080" s="100">
        <v>90.25271305187843</v>
      </c>
      <c r="C1080" s="100">
        <v>97.84116815577994</v>
      </c>
      <c r="D1080" s="100">
        <v>92.258617401543418</v>
      </c>
      <c r="E1080" s="100">
        <v>91.961300808590792</v>
      </c>
      <c r="F1080" s="100">
        <v>-2306.9364674892909</v>
      </c>
      <c r="G1080" s="100">
        <v>553.08202627326614</v>
      </c>
      <c r="H1080" s="100">
        <v>1114.9254078863748</v>
      </c>
      <c r="I1080" s="100">
        <v>1419.3388461104348</v>
      </c>
      <c r="J1080" s="100">
        <v>780.40981278078493</v>
      </c>
    </row>
    <row r="1081" spans="1:10" x14ac:dyDescent="0.25">
      <c r="A1081">
        <v>1064</v>
      </c>
      <c r="B1081" s="100">
        <v>89.782297965222185</v>
      </c>
      <c r="C1081" s="100">
        <v>97.586357101935988</v>
      </c>
      <c r="D1081" s="100">
        <v>94.194902301427064</v>
      </c>
      <c r="E1081" s="100">
        <v>91.12956574850071</v>
      </c>
      <c r="F1081" s="100">
        <v>-754.56668152368002</v>
      </c>
      <c r="G1081" s="100">
        <v>935.29860703919348</v>
      </c>
      <c r="H1081" s="100">
        <v>-2757.6443918809164</v>
      </c>
      <c r="I1081" s="100">
        <v>2251.0739062005173</v>
      </c>
      <c r="J1081" s="100">
        <v>-325.83856016488562</v>
      </c>
    </row>
    <row r="1082" spans="1:10" x14ac:dyDescent="0.25">
      <c r="A1082">
        <v>1065</v>
      </c>
      <c r="B1082" s="100">
        <v>89.631732288604297</v>
      </c>
      <c r="C1082" s="100">
        <v>99.170551475074234</v>
      </c>
      <c r="D1082" s="100">
        <v>94.480640009216984</v>
      </c>
      <c r="E1082" s="100">
        <v>92.163868036487443</v>
      </c>
      <c r="F1082" s="100">
        <v>-257.69994868465176</v>
      </c>
      <c r="G1082" s="100">
        <v>-1440.9929526681751</v>
      </c>
      <c r="H1082" s="100">
        <v>-3329.1198074607564</v>
      </c>
      <c r="I1082" s="100">
        <v>1216.7716182137838</v>
      </c>
      <c r="J1082" s="100">
        <v>-3811.0410905997996</v>
      </c>
    </row>
    <row r="1083" spans="1:10" x14ac:dyDescent="0.25">
      <c r="A1083">
        <v>1066</v>
      </c>
      <c r="B1083" s="100">
        <v>89.636515937227983</v>
      </c>
      <c r="C1083" s="100">
        <v>97.849689415172762</v>
      </c>
      <c r="D1083" s="100">
        <v>93.222570064399591</v>
      </c>
      <c r="E1083" s="100">
        <v>93.12444203073575</v>
      </c>
      <c r="F1083" s="100">
        <v>-273.48598914281581</v>
      </c>
      <c r="G1083" s="100">
        <v>540.30013718403325</v>
      </c>
      <c r="H1083" s="100">
        <v>-812.97991782597023</v>
      </c>
      <c r="I1083" s="100">
        <v>256.19762396547685</v>
      </c>
      <c r="J1083" s="100">
        <v>-289.96814581927595</v>
      </c>
    </row>
    <row r="1084" spans="1:10" x14ac:dyDescent="0.25">
      <c r="A1084">
        <v>1067</v>
      </c>
      <c r="B1084" s="100">
        <v>88.434498465157972</v>
      </c>
      <c r="C1084" s="100">
        <v>98.049726955071563</v>
      </c>
      <c r="D1084" s="100">
        <v>93.01672395541982</v>
      </c>
      <c r="E1084" s="100">
        <v>92.013681080990153</v>
      </c>
      <c r="F1084" s="100">
        <v>3693.171668688221</v>
      </c>
      <c r="G1084" s="100">
        <v>240.24382733583138</v>
      </c>
      <c r="H1084" s="100">
        <v>-401.28769986642965</v>
      </c>
      <c r="I1084" s="100">
        <v>1366.9585737110738</v>
      </c>
      <c r="J1084" s="100">
        <v>4899.0863698686962</v>
      </c>
    </row>
    <row r="1085" spans="1:10" x14ac:dyDescent="0.25">
      <c r="A1085">
        <v>1068</v>
      </c>
      <c r="B1085" s="100">
        <v>89.05304967940431</v>
      </c>
      <c r="C1085" s="100">
        <v>98.426537692604569</v>
      </c>
      <c r="D1085" s="100">
        <v>92.647073164721917</v>
      </c>
      <c r="E1085" s="100">
        <v>95.708175944182884</v>
      </c>
      <c r="F1085" s="100">
        <v>1651.9526616753055</v>
      </c>
      <c r="G1085" s="100">
        <v>-324.97227896367775</v>
      </c>
      <c r="H1085" s="100">
        <v>338.01388152937761</v>
      </c>
      <c r="I1085" s="100">
        <v>-2327.5362894816567</v>
      </c>
      <c r="J1085" s="100">
        <v>-662.54202524065136</v>
      </c>
    </row>
    <row r="1086" spans="1:10" x14ac:dyDescent="0.25">
      <c r="A1086">
        <v>1069</v>
      </c>
      <c r="B1086" s="100">
        <v>89.282187174296382</v>
      </c>
      <c r="C1086" s="100">
        <v>97.782706887132093</v>
      </c>
      <c r="D1086" s="100">
        <v>93.065440087006678</v>
      </c>
      <c r="E1086" s="100">
        <v>91.892594849011942</v>
      </c>
      <c r="F1086" s="100">
        <v>895.79892853146816</v>
      </c>
      <c r="G1086" s="100">
        <v>640.77392924503579</v>
      </c>
      <c r="H1086" s="100">
        <v>-498.71996304014488</v>
      </c>
      <c r="I1086" s="100">
        <v>1488.0448056892847</v>
      </c>
      <c r="J1086" s="100">
        <v>2525.897700425644</v>
      </c>
    </row>
    <row r="1087" spans="1:10" x14ac:dyDescent="0.25">
      <c r="A1087">
        <v>1070</v>
      </c>
      <c r="B1087" s="100">
        <v>89.635388951831303</v>
      </c>
      <c r="C1087" s="100">
        <v>98.929851836330187</v>
      </c>
      <c r="D1087" s="100">
        <v>91.822936191224557</v>
      </c>
      <c r="E1087" s="100">
        <v>90.130981918873204</v>
      </c>
      <c r="F1087" s="100">
        <v>-269.76693733376891</v>
      </c>
      <c r="G1087" s="100">
        <v>-1079.9434945521043</v>
      </c>
      <c r="H1087" s="100">
        <v>1986.2878285240981</v>
      </c>
      <c r="I1087" s="100">
        <v>3249.6577358280233</v>
      </c>
      <c r="J1087" s="100">
        <v>3886.2351324662482</v>
      </c>
    </row>
    <row r="1088" spans="1:10" x14ac:dyDescent="0.25">
      <c r="A1088">
        <v>1071</v>
      </c>
      <c r="B1088" s="100">
        <v>88.92146223668621</v>
      </c>
      <c r="C1088" s="100">
        <v>97.657068591665777</v>
      </c>
      <c r="D1088" s="100">
        <v>92.675746627018512</v>
      </c>
      <c r="E1088" s="100">
        <v>91.565983185438199</v>
      </c>
      <c r="F1088" s="100">
        <v>2086.1912226450359</v>
      </c>
      <c r="G1088" s="100">
        <v>829.23137244451084</v>
      </c>
      <c r="H1088" s="100">
        <v>280.66695693618726</v>
      </c>
      <c r="I1088" s="100">
        <v>1814.6564692630277</v>
      </c>
      <c r="J1088" s="100">
        <v>5010.7460212887618</v>
      </c>
    </row>
    <row r="1089" spans="1:10" x14ac:dyDescent="0.25">
      <c r="A1089">
        <v>1072</v>
      </c>
      <c r="B1089" s="100">
        <v>89.42932849384286</v>
      </c>
      <c r="C1089" s="100">
        <v>97.692571784611502</v>
      </c>
      <c r="D1089" s="100">
        <v>91.385169913007758</v>
      </c>
      <c r="E1089" s="100">
        <v>93.224811262944272</v>
      </c>
      <c r="F1089" s="100">
        <v>410.23257402809179</v>
      </c>
      <c r="G1089" s="100">
        <v>775.97658302592265</v>
      </c>
      <c r="H1089" s="100">
        <v>2861.8203849576958</v>
      </c>
      <c r="I1089" s="100">
        <v>155.8283917569554</v>
      </c>
      <c r="J1089" s="100">
        <v>4203.8579337686651</v>
      </c>
    </row>
    <row r="1090" spans="1:10" x14ac:dyDescent="0.25">
      <c r="A1090">
        <v>1073</v>
      </c>
      <c r="B1090" s="100">
        <v>89.229455410656854</v>
      </c>
      <c r="C1090" s="100">
        <v>99.250766692632723</v>
      </c>
      <c r="D1090" s="100">
        <v>93.213177088594563</v>
      </c>
      <c r="E1090" s="100">
        <v>93.540165081565092</v>
      </c>
      <c r="F1090" s="100">
        <v>1069.8137485419111</v>
      </c>
      <c r="G1090" s="100">
        <v>-1561.315779005909</v>
      </c>
      <c r="H1090" s="100">
        <v>-794.19396621591432</v>
      </c>
      <c r="I1090" s="100">
        <v>-159.5254268638655</v>
      </c>
      <c r="J1090" s="100">
        <v>-1445.2214235437777</v>
      </c>
    </row>
    <row r="1091" spans="1:10" x14ac:dyDescent="0.25">
      <c r="A1091">
        <v>1074</v>
      </c>
      <c r="B1091" s="100">
        <v>89.691236655493924</v>
      </c>
      <c r="C1091" s="100">
        <v>98.416395215791852</v>
      </c>
      <c r="D1091" s="100">
        <v>92.544227158758616</v>
      </c>
      <c r="E1091" s="100">
        <v>91.964070000907157</v>
      </c>
      <c r="F1091" s="100">
        <v>-454.06435942041981</v>
      </c>
      <c r="G1091" s="100">
        <v>-309.75856374460164</v>
      </c>
      <c r="H1091" s="100">
        <v>543.70589345597864</v>
      </c>
      <c r="I1091" s="100">
        <v>1416.5696537940703</v>
      </c>
      <c r="J1091" s="100">
        <v>1196.4526240850275</v>
      </c>
    </row>
    <row r="1092" spans="1:10" x14ac:dyDescent="0.25">
      <c r="A1092">
        <v>1075</v>
      </c>
      <c r="B1092" s="100">
        <v>90.096373498878535</v>
      </c>
      <c r="C1092" s="100">
        <v>97.419723845334786</v>
      </c>
      <c r="D1092" s="100">
        <v>93.879939725466969</v>
      </c>
      <c r="E1092" s="100">
        <v>92.81920024398201</v>
      </c>
      <c r="F1092" s="100">
        <v>-1791.0159425896354</v>
      </c>
      <c r="G1092" s="100">
        <v>1185.248491940996</v>
      </c>
      <c r="H1092" s="100">
        <v>-2127.7192399607256</v>
      </c>
      <c r="I1092" s="100">
        <v>561.43941071921688</v>
      </c>
      <c r="J1092" s="100">
        <v>-2172.0472798901478</v>
      </c>
    </row>
    <row r="1093" spans="1:10" x14ac:dyDescent="0.25">
      <c r="A1093">
        <v>1076</v>
      </c>
      <c r="B1093" s="100">
        <v>89.957601754883541</v>
      </c>
      <c r="C1093" s="100">
        <v>96.780315386011893</v>
      </c>
      <c r="D1093" s="100">
        <v>93.243011871029793</v>
      </c>
      <c r="E1093" s="100">
        <v>93.095902648420662</v>
      </c>
      <c r="F1093" s="100">
        <v>-1333.0691874061558</v>
      </c>
      <c r="G1093" s="100">
        <v>2144.3611809253371</v>
      </c>
      <c r="H1093" s="100">
        <v>-853.86353108637536</v>
      </c>
      <c r="I1093" s="100">
        <v>284.7370062805652</v>
      </c>
      <c r="J1093" s="100">
        <v>242.16546871337107</v>
      </c>
    </row>
    <row r="1094" spans="1:10" x14ac:dyDescent="0.25">
      <c r="A1094">
        <v>1077</v>
      </c>
      <c r="B1094" s="100">
        <v>89.749455814988451</v>
      </c>
      <c r="C1094" s="100">
        <v>98.93765973384474</v>
      </c>
      <c r="D1094" s="100">
        <v>92.986655316721453</v>
      </c>
      <c r="E1094" s="100">
        <v>93.51636280812312</v>
      </c>
      <c r="F1094" s="100">
        <v>-646.18758575235938</v>
      </c>
      <c r="G1094" s="100">
        <v>-1091.6553408239338</v>
      </c>
      <c r="H1094" s="100">
        <v>-341.15042246969551</v>
      </c>
      <c r="I1094" s="100">
        <v>-135.72315342189256</v>
      </c>
      <c r="J1094" s="100">
        <v>-2214.7165024678816</v>
      </c>
    </row>
    <row r="1095" spans="1:10" x14ac:dyDescent="0.25">
      <c r="A1095">
        <v>1078</v>
      </c>
      <c r="B1095" s="100">
        <v>89.763916797600857</v>
      </c>
      <c r="C1095" s="100">
        <v>100.03420142729252</v>
      </c>
      <c r="D1095" s="100">
        <v>93.234563594203692</v>
      </c>
      <c r="E1095" s="100">
        <v>92.908596591517451</v>
      </c>
      <c r="F1095" s="100">
        <v>-693.90882837329718</v>
      </c>
      <c r="G1095" s="100">
        <v>-2736.4678809955976</v>
      </c>
      <c r="H1095" s="100">
        <v>-836.96697743417303</v>
      </c>
      <c r="I1095" s="100">
        <v>472.04306318377576</v>
      </c>
      <c r="J1095" s="100">
        <v>-3795.3006236192919</v>
      </c>
    </row>
    <row r="1096" spans="1:10" x14ac:dyDescent="0.25">
      <c r="A1096">
        <v>1079</v>
      </c>
      <c r="B1096" s="100">
        <v>89.357307706873598</v>
      </c>
      <c r="C1096" s="100">
        <v>96.438160851238806</v>
      </c>
      <c r="D1096" s="100">
        <v>91.183844316085754</v>
      </c>
      <c r="E1096" s="100">
        <v>94.125234621124903</v>
      </c>
      <c r="F1096" s="100">
        <v>647.90117102665477</v>
      </c>
      <c r="G1096" s="100">
        <v>2657.5929830849673</v>
      </c>
      <c r="H1096" s="100">
        <v>3264.4715788017038</v>
      </c>
      <c r="I1096" s="100">
        <v>-744.5949664236764</v>
      </c>
      <c r="J1096" s="100">
        <v>5825.3707664896501</v>
      </c>
    </row>
    <row r="1097" spans="1:10" x14ac:dyDescent="0.25">
      <c r="A1097">
        <v>1080</v>
      </c>
      <c r="B1097" s="100">
        <v>89.728676871251366</v>
      </c>
      <c r="C1097" s="100">
        <v>99.604850446117126</v>
      </c>
      <c r="D1097" s="100">
        <v>91.077965915042469</v>
      </c>
      <c r="E1097" s="100">
        <v>95.126766323982821</v>
      </c>
      <c r="F1097" s="100">
        <v>-577.61707141997931</v>
      </c>
      <c r="G1097" s="100">
        <v>-2092.4414092325137</v>
      </c>
      <c r="H1097" s="100">
        <v>3476.228380888273</v>
      </c>
      <c r="I1097" s="100">
        <v>-1746.1266692815939</v>
      </c>
      <c r="J1097" s="100">
        <v>-939.95676904581387</v>
      </c>
    </row>
    <row r="1098" spans="1:10" x14ac:dyDescent="0.25">
      <c r="A1098">
        <v>1081</v>
      </c>
      <c r="B1098" s="100">
        <v>90.060862766648995</v>
      </c>
      <c r="C1098" s="100">
        <v>96.877708070015089</v>
      </c>
      <c r="D1098" s="100">
        <v>93.114233398755431</v>
      </c>
      <c r="E1098" s="100">
        <v>91.653802241823101</v>
      </c>
      <c r="F1098" s="100">
        <v>-1673.8305262321546</v>
      </c>
      <c r="G1098" s="100">
        <v>1998.2721549205421</v>
      </c>
      <c r="H1098" s="100">
        <v>-596.30658653765067</v>
      </c>
      <c r="I1098" s="100">
        <v>1726.8374128781261</v>
      </c>
      <c r="J1098" s="100">
        <v>1454.9724550288629</v>
      </c>
    </row>
    <row r="1099" spans="1:10" x14ac:dyDescent="0.25">
      <c r="A1099">
        <v>1082</v>
      </c>
      <c r="B1099" s="100">
        <v>90.163285518662633</v>
      </c>
      <c r="C1099" s="100">
        <v>97.981299741715873</v>
      </c>
      <c r="D1099" s="100">
        <v>92.857398641377813</v>
      </c>
      <c r="E1099" s="100">
        <v>94.302290490819018</v>
      </c>
      <c r="F1099" s="100">
        <v>-2011.8256078771594</v>
      </c>
      <c r="G1099" s="100">
        <v>342.88464736936675</v>
      </c>
      <c r="H1099" s="100">
        <v>-82.63707178241475</v>
      </c>
      <c r="I1099" s="100">
        <v>-921.65083611779153</v>
      </c>
      <c r="J1099" s="100">
        <v>-2673.228868407999</v>
      </c>
    </row>
    <row r="1100" spans="1:10" x14ac:dyDescent="0.25">
      <c r="A1100">
        <v>1083</v>
      </c>
      <c r="B1100" s="100">
        <v>88.374104126012512</v>
      </c>
      <c r="C1100" s="100">
        <v>99.763153360835162</v>
      </c>
      <c r="D1100" s="100">
        <v>92.700425210526049</v>
      </c>
      <c r="E1100" s="100">
        <v>94.492963050340663</v>
      </c>
      <c r="F1100" s="100">
        <v>3892.4729878682415</v>
      </c>
      <c r="G1100" s="100">
        <v>-2329.8957813095667</v>
      </c>
      <c r="H1100" s="100">
        <v>231.30978992111295</v>
      </c>
      <c r="I1100" s="100">
        <v>-1112.3233956394358</v>
      </c>
      <c r="J1100" s="100">
        <v>681.56360084035191</v>
      </c>
    </row>
    <row r="1101" spans="1:10" x14ac:dyDescent="0.25">
      <c r="A1101">
        <v>1084</v>
      </c>
      <c r="B1101" s="100">
        <v>89.850278043563904</v>
      </c>
      <c r="C1101" s="100">
        <v>97.508875645745789</v>
      </c>
      <c r="D1101" s="100">
        <v>92.205822883046366</v>
      </c>
      <c r="E1101" s="100">
        <v>91.248585469429557</v>
      </c>
      <c r="F1101" s="100">
        <v>-978.90094005135347</v>
      </c>
      <c r="G1101" s="100">
        <v>1051.5207913244922</v>
      </c>
      <c r="H1101" s="100">
        <v>1220.5144448804788</v>
      </c>
      <c r="I1101" s="100">
        <v>2132.0541852716701</v>
      </c>
      <c r="J1101" s="100">
        <v>3425.1884814252876</v>
      </c>
    </row>
    <row r="1102" spans="1:10" x14ac:dyDescent="0.25">
      <c r="A1102">
        <v>1085</v>
      </c>
      <c r="B1102" s="100">
        <v>89.606234837789202</v>
      </c>
      <c r="C1102" s="100">
        <v>99.560075489009691</v>
      </c>
      <c r="D1102" s="100">
        <v>92.155051975289382</v>
      </c>
      <c r="E1102" s="100">
        <v>91.320463201519701</v>
      </c>
      <c r="F1102" s="100">
        <v>-173.55836099483781</v>
      </c>
      <c r="G1102" s="100">
        <v>-2025.2789735713604</v>
      </c>
      <c r="H1102" s="100">
        <v>1322.0562603944472</v>
      </c>
      <c r="I1102" s="100">
        <v>2060.1764531815261</v>
      </c>
      <c r="J1102" s="100">
        <v>1183.3953790097748</v>
      </c>
    </row>
    <row r="1103" spans="1:10" x14ac:dyDescent="0.25">
      <c r="A1103">
        <v>1086</v>
      </c>
      <c r="B1103" s="100">
        <v>88.924560051947566</v>
      </c>
      <c r="C1103" s="100">
        <v>98.123108445005144</v>
      </c>
      <c r="D1103" s="100">
        <v>92.373622900249828</v>
      </c>
      <c r="E1103" s="100">
        <v>92.366267892705068</v>
      </c>
      <c r="F1103" s="100">
        <v>2075.9684322825619</v>
      </c>
      <c r="G1103" s="100">
        <v>130.17159243545962</v>
      </c>
      <c r="H1103" s="100">
        <v>884.91441047355579</v>
      </c>
      <c r="I1103" s="100">
        <v>1014.3717619961592</v>
      </c>
      <c r="J1103" s="100">
        <v>4105.4261971877368</v>
      </c>
    </row>
    <row r="1104" spans="1:10" x14ac:dyDescent="0.25">
      <c r="A1104">
        <v>1087</v>
      </c>
      <c r="B1104" s="100">
        <v>88.867186857130775</v>
      </c>
      <c r="C1104" s="100">
        <v>97.543938254982024</v>
      </c>
      <c r="D1104" s="100">
        <v>91.605875394888002</v>
      </c>
      <c r="E1104" s="100">
        <v>92.05672258443029</v>
      </c>
      <c r="F1104" s="100">
        <v>2265.2999751779703</v>
      </c>
      <c r="G1104" s="100">
        <v>998.92687747014008</v>
      </c>
      <c r="H1104" s="100">
        <v>2420.409421197206</v>
      </c>
      <c r="I1104" s="100">
        <v>1323.9170702709373</v>
      </c>
      <c r="J1104" s="100">
        <v>7008.5533441162534</v>
      </c>
    </row>
    <row r="1105" spans="1:10" x14ac:dyDescent="0.25">
      <c r="A1105">
        <v>1088</v>
      </c>
      <c r="B1105" s="100">
        <v>88.807273953343113</v>
      </c>
      <c r="C1105" s="100">
        <v>98.390466417609403</v>
      </c>
      <c r="D1105" s="100">
        <v>93.511626660080651</v>
      </c>
      <c r="E1105" s="100">
        <v>92.908225096499876</v>
      </c>
      <c r="F1105" s="100">
        <v>2463.0125576772557</v>
      </c>
      <c r="G1105" s="100">
        <v>-270.86536647092885</v>
      </c>
      <c r="H1105" s="100">
        <v>-1391.0931091880911</v>
      </c>
      <c r="I1105" s="100">
        <v>472.41455820135059</v>
      </c>
      <c r="J1105" s="100">
        <v>1273.4686402195866</v>
      </c>
    </row>
    <row r="1106" spans="1:10" x14ac:dyDescent="0.25">
      <c r="A1106">
        <v>1089</v>
      </c>
      <c r="B1106" s="100">
        <v>89.48100939696684</v>
      </c>
      <c r="C1106" s="100">
        <v>97.112006641595457</v>
      </c>
      <c r="D1106" s="100">
        <v>93.147050230239245</v>
      </c>
      <c r="E1106" s="100">
        <v>90.264627650340302</v>
      </c>
      <c r="F1106" s="100">
        <v>239.68559371895708</v>
      </c>
      <c r="G1106" s="100">
        <v>1646.8242975499904</v>
      </c>
      <c r="H1106" s="100">
        <v>-661.94024950527819</v>
      </c>
      <c r="I1106" s="100">
        <v>3116.0120043609254</v>
      </c>
      <c r="J1106" s="100">
        <v>4340.581646124595</v>
      </c>
    </row>
    <row r="1107" spans="1:10" x14ac:dyDescent="0.25">
      <c r="A1107">
        <v>1090</v>
      </c>
      <c r="B1107" s="100">
        <v>89.627569995678556</v>
      </c>
      <c r="C1107" s="100">
        <v>96.739913784908239</v>
      </c>
      <c r="D1107" s="100">
        <v>93.697555223066715</v>
      </c>
      <c r="E1107" s="100">
        <v>96.813857188386379</v>
      </c>
      <c r="F1107" s="100">
        <v>-243.96438202970501</v>
      </c>
      <c r="G1107" s="100">
        <v>2204.9635825808168</v>
      </c>
      <c r="H1107" s="100">
        <v>-1762.9502351602184</v>
      </c>
      <c r="I1107" s="100">
        <v>-3433.2175336851519</v>
      </c>
      <c r="J1107" s="100">
        <v>-3235.1685682942589</v>
      </c>
    </row>
    <row r="1108" spans="1:10" x14ac:dyDescent="0.25">
      <c r="A1108">
        <v>1091</v>
      </c>
      <c r="B1108" s="100">
        <v>90.831414583020702</v>
      </c>
      <c r="C1108" s="100">
        <v>98.682483783044944</v>
      </c>
      <c r="D1108" s="100">
        <v>93.064515095369018</v>
      </c>
      <c r="E1108" s="100">
        <v>95.876990232199262</v>
      </c>
      <c r="F1108" s="100">
        <v>-4216.6515202587889</v>
      </c>
      <c r="G1108" s="100">
        <v>-708.89141462424027</v>
      </c>
      <c r="H1108" s="100">
        <v>-496.86997976482417</v>
      </c>
      <c r="I1108" s="100">
        <v>-2496.3505774980349</v>
      </c>
      <c r="J1108" s="100">
        <v>-7918.7634921458884</v>
      </c>
    </row>
    <row r="1109" spans="1:10" x14ac:dyDescent="0.25">
      <c r="A1109">
        <v>1092</v>
      </c>
      <c r="B1109" s="100">
        <v>89.151718336907251</v>
      </c>
      <c r="C1109" s="100">
        <v>98.792972867064435</v>
      </c>
      <c r="D1109" s="100">
        <v>92.976276127584342</v>
      </c>
      <c r="E1109" s="100">
        <v>93.525443773759093</v>
      </c>
      <c r="F1109" s="100">
        <v>1326.3460919156003</v>
      </c>
      <c r="G1109" s="100">
        <v>-874.62504065347707</v>
      </c>
      <c r="H1109" s="100">
        <v>-320.39204419547218</v>
      </c>
      <c r="I1109" s="100">
        <v>-144.80411905786639</v>
      </c>
      <c r="J1109" s="100">
        <v>-13.475111991215385</v>
      </c>
    </row>
    <row r="1110" spans="1:10" x14ac:dyDescent="0.25">
      <c r="A1110">
        <v>1093</v>
      </c>
      <c r="B1110" s="100">
        <v>90.24761572614014</v>
      </c>
      <c r="C1110" s="100">
        <v>98.445753441246751</v>
      </c>
      <c r="D1110" s="100">
        <v>94.904843089070795</v>
      </c>
      <c r="E1110" s="100">
        <v>93.737436316501416</v>
      </c>
      <c r="F1110" s="100">
        <v>-2290.1152925529318</v>
      </c>
      <c r="G1110" s="100">
        <v>-353.79590192695076</v>
      </c>
      <c r="H1110" s="100">
        <v>-4177.525967168378</v>
      </c>
      <c r="I1110" s="100">
        <v>-356.79666180018899</v>
      </c>
      <c r="J1110" s="100">
        <v>-7178.2338234484496</v>
      </c>
    </row>
    <row r="1111" spans="1:10" x14ac:dyDescent="0.25">
      <c r="A1111">
        <v>1094</v>
      </c>
      <c r="B1111" s="100">
        <v>90.040607613327197</v>
      </c>
      <c r="C1111" s="100">
        <v>97.6094272641283</v>
      </c>
      <c r="D1111" s="100">
        <v>91.566153513338008</v>
      </c>
      <c r="E1111" s="100">
        <v>97.135003065655553</v>
      </c>
      <c r="F1111" s="100">
        <v>-1606.9885202702196</v>
      </c>
      <c r="G1111" s="100">
        <v>900.69336375072589</v>
      </c>
      <c r="H1111" s="100">
        <v>2499.8531842971943</v>
      </c>
      <c r="I1111" s="100">
        <v>-3754.3634109543264</v>
      </c>
      <c r="J1111" s="100">
        <v>-1960.8053831766258</v>
      </c>
    </row>
    <row r="1112" spans="1:10" x14ac:dyDescent="0.25">
      <c r="A1112">
        <v>1095</v>
      </c>
      <c r="B1112" s="100">
        <v>90.162052907817866</v>
      </c>
      <c r="C1112" s="100">
        <v>96.273456593691606</v>
      </c>
      <c r="D1112" s="100">
        <v>93.188506881885957</v>
      </c>
      <c r="E1112" s="100">
        <v>93.15372452239734</v>
      </c>
      <c r="F1112" s="100">
        <v>-2007.7579920894295</v>
      </c>
      <c r="G1112" s="100">
        <v>2904.6493694057672</v>
      </c>
      <c r="H1112" s="100">
        <v>-744.85355279870191</v>
      </c>
      <c r="I1112" s="100">
        <v>226.91513230388694</v>
      </c>
      <c r="J1112" s="100">
        <v>378.95295682152266</v>
      </c>
    </row>
    <row r="1113" spans="1:10" x14ac:dyDescent="0.25">
      <c r="A1113">
        <v>1096</v>
      </c>
      <c r="B1113" s="100">
        <v>89.50141545069097</v>
      </c>
      <c r="C1113" s="100">
        <v>98.478169645155177</v>
      </c>
      <c r="D1113" s="100">
        <v>94.600419812772273</v>
      </c>
      <c r="E1113" s="100">
        <v>92.745904586323135</v>
      </c>
      <c r="F1113" s="100">
        <v>172.34561642932675</v>
      </c>
      <c r="G1113" s="100">
        <v>-402.42020778958931</v>
      </c>
      <c r="H1113" s="100">
        <v>-3568.6794145713347</v>
      </c>
      <c r="I1113" s="100">
        <v>634.73506837809168</v>
      </c>
      <c r="J1113" s="100">
        <v>-3164.0189375535056</v>
      </c>
    </row>
    <row r="1114" spans="1:10" x14ac:dyDescent="0.25">
      <c r="A1114">
        <v>1097</v>
      </c>
      <c r="B1114" s="100">
        <v>88.89486685717219</v>
      </c>
      <c r="C1114" s="100">
        <v>97.01186786009545</v>
      </c>
      <c r="D1114" s="100">
        <v>90.806876536533338</v>
      </c>
      <c r="E1114" s="100">
        <v>92.690836854850005</v>
      </c>
      <c r="F1114" s="100">
        <v>2173.9559750413036</v>
      </c>
      <c r="G1114" s="100">
        <v>1797.0324698000013</v>
      </c>
      <c r="H1114" s="100">
        <v>4018.4071379065358</v>
      </c>
      <c r="I1114" s="100">
        <v>689.80279985122195</v>
      </c>
      <c r="J1114" s="100">
        <v>8679.1983825990628</v>
      </c>
    </row>
    <row r="1115" spans="1:10" x14ac:dyDescent="0.25">
      <c r="A1115">
        <v>1098</v>
      </c>
      <c r="B1115" s="100">
        <v>88.828721274787966</v>
      </c>
      <c r="C1115" s="100">
        <v>98.57594334057508</v>
      </c>
      <c r="D1115" s="100">
        <v>92.379092710488393</v>
      </c>
      <c r="E1115" s="100">
        <v>94.957686970684392</v>
      </c>
      <c r="F1115" s="100">
        <v>2392.2363969092403</v>
      </c>
      <c r="G1115" s="100">
        <v>-549.08075091944397</v>
      </c>
      <c r="H1115" s="100">
        <v>873.97478999642431</v>
      </c>
      <c r="I1115" s="100">
        <v>-1577.0473159831654</v>
      </c>
      <c r="J1115" s="100">
        <v>1140.0831200030552</v>
      </c>
    </row>
    <row r="1116" spans="1:10" x14ac:dyDescent="0.25">
      <c r="A1116">
        <v>1099</v>
      </c>
      <c r="B1116" s="100">
        <v>89.876597604645355</v>
      </c>
      <c r="C1116" s="100">
        <v>98.230725629717256</v>
      </c>
      <c r="D1116" s="100">
        <v>92.719284562154471</v>
      </c>
      <c r="E1116" s="100">
        <v>90.540287773643172</v>
      </c>
      <c r="F1116" s="100">
        <v>-1065.7554916201407</v>
      </c>
      <c r="G1116" s="100">
        <v>-31.254184632707904</v>
      </c>
      <c r="H1116" s="100">
        <v>193.59108666427005</v>
      </c>
      <c r="I1116" s="100">
        <v>2840.3518810580549</v>
      </c>
      <c r="J1116" s="100">
        <v>1936.9332914694764</v>
      </c>
    </row>
    <row r="1117" spans="1:10" x14ac:dyDescent="0.25">
      <c r="A1117">
        <v>1100</v>
      </c>
      <c r="B1117" s="100">
        <v>88.968861780162456</v>
      </c>
      <c r="C1117" s="100">
        <v>96.410526527267535</v>
      </c>
      <c r="D1117" s="100">
        <v>92.944097932367541</v>
      </c>
      <c r="E1117" s="100">
        <v>93.576906329901206</v>
      </c>
      <c r="F1117" s="100">
        <v>1929.7727291734248</v>
      </c>
      <c r="G1117" s="100">
        <v>2699.0444690418726</v>
      </c>
      <c r="H1117" s="100">
        <v>-256.03565376187021</v>
      </c>
      <c r="I1117" s="100">
        <v>-196.26667519997909</v>
      </c>
      <c r="J1117" s="100">
        <v>4176.5148692534476</v>
      </c>
    </row>
    <row r="1118" spans="1:10" x14ac:dyDescent="0.25">
      <c r="A1118">
        <v>1101</v>
      </c>
      <c r="B1118" s="100">
        <v>89.417914214657586</v>
      </c>
      <c r="C1118" s="100">
        <v>98.516928414684202</v>
      </c>
      <c r="D1118" s="100">
        <v>92.378825054168146</v>
      </c>
      <c r="E1118" s="100">
        <v>95.052460008987282</v>
      </c>
      <c r="F1118" s="100">
        <v>447.89969533949687</v>
      </c>
      <c r="G1118" s="100">
        <v>-460.55836208312684</v>
      </c>
      <c r="H1118" s="100">
        <v>874.51010263691842</v>
      </c>
      <c r="I1118" s="100">
        <v>-1671.8203542860551</v>
      </c>
      <c r="J1118" s="100">
        <v>-809.96891839276668</v>
      </c>
    </row>
    <row r="1119" spans="1:10" x14ac:dyDescent="0.25">
      <c r="A1119">
        <v>1102</v>
      </c>
      <c r="B1119" s="100">
        <v>89.592453507974383</v>
      </c>
      <c r="C1119" s="100">
        <v>97.370826330730111</v>
      </c>
      <c r="D1119" s="100">
        <v>92.332716917246941</v>
      </c>
      <c r="E1119" s="100">
        <v>94.495245826435735</v>
      </c>
      <c r="F1119" s="100">
        <v>-128.07997260593567</v>
      </c>
      <c r="G1119" s="100">
        <v>1258.5947638480093</v>
      </c>
      <c r="H1119" s="100">
        <v>966.72637647932902</v>
      </c>
      <c r="I1119" s="100">
        <v>-1114.6061717345078</v>
      </c>
      <c r="J1119" s="100">
        <v>982.63499598689486</v>
      </c>
    </row>
    <row r="1120" spans="1:10" x14ac:dyDescent="0.25">
      <c r="A1120">
        <v>1103</v>
      </c>
      <c r="B1120" s="100">
        <v>89.12352307518637</v>
      </c>
      <c r="C1120" s="100">
        <v>99.13414225048335</v>
      </c>
      <c r="D1120" s="100">
        <v>92.037783159791616</v>
      </c>
      <c r="E1120" s="100">
        <v>92.43501488824073</v>
      </c>
      <c r="F1120" s="100">
        <v>1419.3904555945096</v>
      </c>
      <c r="G1120" s="100">
        <v>-1386.3791157818496</v>
      </c>
      <c r="H1120" s="100">
        <v>1556.5938913899799</v>
      </c>
      <c r="I1120" s="100">
        <v>945.62476646049731</v>
      </c>
      <c r="J1120" s="100">
        <v>2535.2299976631375</v>
      </c>
    </row>
    <row r="1121" spans="1:10" x14ac:dyDescent="0.25">
      <c r="A1121">
        <v>1104</v>
      </c>
      <c r="B1121" s="100">
        <v>90.013641095903196</v>
      </c>
      <c r="C1121" s="100">
        <v>96.638067289147912</v>
      </c>
      <c r="D1121" s="100">
        <v>93.701054654645631</v>
      </c>
      <c r="E1121" s="100">
        <v>94.087377888074457</v>
      </c>
      <c r="F1121" s="100">
        <v>-1517.9990127710184</v>
      </c>
      <c r="G1121" s="100">
        <v>2357.7333262213074</v>
      </c>
      <c r="H1121" s="100">
        <v>-1769.949098318051</v>
      </c>
      <c r="I1121" s="100">
        <v>-706.73823337322972</v>
      </c>
      <c r="J1121" s="100">
        <v>-1636.9530182409917</v>
      </c>
    </row>
    <row r="1122" spans="1:10" x14ac:dyDescent="0.25">
      <c r="A1122">
        <v>1105</v>
      </c>
      <c r="B1122" s="100">
        <v>89.730513304654878</v>
      </c>
      <c r="C1122" s="100">
        <v>97.758167807673644</v>
      </c>
      <c r="D1122" s="100">
        <v>93.16283904540127</v>
      </c>
      <c r="E1122" s="100">
        <v>92.572436387249908</v>
      </c>
      <c r="F1122" s="100">
        <v>-583.67730165156649</v>
      </c>
      <c r="G1122" s="100">
        <v>677.58254843271004</v>
      </c>
      <c r="H1122" s="100">
        <v>-693.51787982932933</v>
      </c>
      <c r="I1122" s="100">
        <v>808.20326745131865</v>
      </c>
      <c r="J1122" s="100">
        <v>208.59063440313287</v>
      </c>
    </row>
    <row r="1123" spans="1:10" x14ac:dyDescent="0.25">
      <c r="A1123">
        <v>1106</v>
      </c>
      <c r="B1123" s="100">
        <v>90.07164486973133</v>
      </c>
      <c r="C1123" s="100">
        <v>99.243752913777669</v>
      </c>
      <c r="D1123" s="100">
        <v>92.825943917660595</v>
      </c>
      <c r="E1123" s="100">
        <v>95.863323305310089</v>
      </c>
      <c r="F1123" s="100">
        <v>-1709.4114664038584</v>
      </c>
      <c r="G1123" s="100">
        <v>-1550.7951107233282</v>
      </c>
      <c r="H1123" s="100">
        <v>-19.727624347979145</v>
      </c>
      <c r="I1123" s="100">
        <v>-2482.6836506088625</v>
      </c>
      <c r="J1123" s="100">
        <v>-5762.6178520840276</v>
      </c>
    </row>
    <row r="1124" spans="1:10" x14ac:dyDescent="0.25">
      <c r="A1124">
        <v>1107</v>
      </c>
      <c r="B1124" s="100">
        <v>89.667226565258545</v>
      </c>
      <c r="C1124" s="100">
        <v>98.403694654006159</v>
      </c>
      <c r="D1124" s="100">
        <v>93.822510262646944</v>
      </c>
      <c r="E1124" s="100">
        <v>91.658181239432125</v>
      </c>
      <c r="F1124" s="100">
        <v>-374.83106164366973</v>
      </c>
      <c r="G1124" s="100">
        <v>-290.70772106606313</v>
      </c>
      <c r="H1124" s="100">
        <v>-2012.860314320676</v>
      </c>
      <c r="I1124" s="100">
        <v>1722.4584152691023</v>
      </c>
      <c r="J1124" s="100">
        <v>-955.94068176130668</v>
      </c>
    </row>
    <row r="1125" spans="1:10" x14ac:dyDescent="0.25">
      <c r="A1125">
        <v>1108</v>
      </c>
      <c r="B1125" s="100">
        <v>89.264308713967608</v>
      </c>
      <c r="C1125" s="100">
        <v>98.665315285787031</v>
      </c>
      <c r="D1125" s="100">
        <v>93.305419459087673</v>
      </c>
      <c r="E1125" s="100">
        <v>92.371573317063195</v>
      </c>
      <c r="F1125" s="100">
        <v>954.79784761642179</v>
      </c>
      <c r="G1125" s="100">
        <v>-683.13866873737084</v>
      </c>
      <c r="H1125" s="100">
        <v>-978.67870720213546</v>
      </c>
      <c r="I1125" s="100">
        <v>1009.066337638032</v>
      </c>
      <c r="J1125" s="100">
        <v>302.0468093149475</v>
      </c>
    </row>
    <row r="1126" spans="1:10" x14ac:dyDescent="0.25">
      <c r="A1126">
        <v>1109</v>
      </c>
      <c r="B1126" s="100">
        <v>89.553420383604816</v>
      </c>
      <c r="C1126" s="100">
        <v>97.640071017643933</v>
      </c>
      <c r="D1126" s="100">
        <v>92.496240752049928</v>
      </c>
      <c r="E1126" s="100">
        <v>96.998412963733713</v>
      </c>
      <c r="F1126" s="100">
        <v>0.72933781363531125</v>
      </c>
      <c r="G1126" s="100">
        <v>854.72773347727582</v>
      </c>
      <c r="H1126" s="100">
        <v>639.67870687335449</v>
      </c>
      <c r="I1126" s="100">
        <v>-3617.7733090324864</v>
      </c>
      <c r="J1126" s="100">
        <v>-2122.6375308682209</v>
      </c>
    </row>
    <row r="1127" spans="1:10" x14ac:dyDescent="0.25">
      <c r="A1127">
        <v>1110</v>
      </c>
      <c r="B1127" s="100">
        <v>89.72808741363248</v>
      </c>
      <c r="C1127" s="100">
        <v>96.156242959177135</v>
      </c>
      <c r="D1127" s="100">
        <v>93.64126949069194</v>
      </c>
      <c r="E1127" s="100">
        <v>94.241448857437888</v>
      </c>
      <c r="F1127" s="100">
        <v>-575.67186127765376</v>
      </c>
      <c r="G1127" s="100">
        <v>3080.4698211774735</v>
      </c>
      <c r="H1127" s="100">
        <v>-1650.3787704106685</v>
      </c>
      <c r="I1127" s="100">
        <v>-860.80920273666095</v>
      </c>
      <c r="J1127" s="100">
        <v>-6.3900132475095006</v>
      </c>
    </row>
    <row r="1128" spans="1:10" x14ac:dyDescent="0.25">
      <c r="A1128">
        <v>1111</v>
      </c>
      <c r="B1128" s="100">
        <v>88.928628169823256</v>
      </c>
      <c r="C1128" s="100">
        <v>99.537141103702197</v>
      </c>
      <c r="D1128" s="100">
        <v>94.250981393171656</v>
      </c>
      <c r="E1128" s="100">
        <v>90.859647307636195</v>
      </c>
      <c r="F1128" s="100">
        <v>2062.5436432927854</v>
      </c>
      <c r="G1128" s="100">
        <v>-1990.8773956101199</v>
      </c>
      <c r="H1128" s="100">
        <v>-2869.8025753701017</v>
      </c>
      <c r="I1128" s="100">
        <v>2520.9923470650324</v>
      </c>
      <c r="J1128" s="100">
        <v>-277.14398062240389</v>
      </c>
    </row>
    <row r="1129" spans="1:10" x14ac:dyDescent="0.25">
      <c r="A1129">
        <v>1112</v>
      </c>
      <c r="B1129" s="100">
        <v>89.940042668809994</v>
      </c>
      <c r="C1129" s="100">
        <v>99.311296923811483</v>
      </c>
      <c r="D1129" s="100">
        <v>91.532909129037606</v>
      </c>
      <c r="E1129" s="100">
        <v>90.477545009249667</v>
      </c>
      <c r="F1129" s="100">
        <v>-1275.1242033634512</v>
      </c>
      <c r="G1129" s="100">
        <v>-1652.1111257740486</v>
      </c>
      <c r="H1129" s="100">
        <v>2566.3419528980003</v>
      </c>
      <c r="I1129" s="100">
        <v>2903.0946454515602</v>
      </c>
      <c r="J1129" s="100">
        <v>2542.2012692120607</v>
      </c>
    </row>
    <row r="1130" spans="1:10" x14ac:dyDescent="0.25">
      <c r="A1130">
        <v>1113</v>
      </c>
      <c r="B1130" s="100">
        <v>89.474112004566322</v>
      </c>
      <c r="C1130" s="100">
        <v>96.367916459499384</v>
      </c>
      <c r="D1130" s="100">
        <v>93.957870450859062</v>
      </c>
      <c r="E1130" s="100">
        <v>93.935541622678102</v>
      </c>
      <c r="F1130" s="100">
        <v>262.44698864066578</v>
      </c>
      <c r="G1130" s="100">
        <v>2762.9595706941004</v>
      </c>
      <c r="H1130" s="100">
        <v>-2283.5806907449123</v>
      </c>
      <c r="I1130" s="100">
        <v>-554.90196797687474</v>
      </c>
      <c r="J1130" s="100">
        <v>186.92390061297931</v>
      </c>
    </row>
    <row r="1131" spans="1:10" x14ac:dyDescent="0.25">
      <c r="A1131">
        <v>1114</v>
      </c>
      <c r="B1131" s="100">
        <v>89.263073270924892</v>
      </c>
      <c r="C1131" s="100">
        <v>98.882411797670883</v>
      </c>
      <c r="D1131" s="100">
        <v>92.029380523864162</v>
      </c>
      <c r="E1131" s="100">
        <v>94.683063633017227</v>
      </c>
      <c r="F1131" s="100">
        <v>958.87480965738655</v>
      </c>
      <c r="G1131" s="100">
        <v>-1008.7834365631494</v>
      </c>
      <c r="H1131" s="100">
        <v>1573.3991632448863</v>
      </c>
      <c r="I1131" s="100">
        <v>-1302.4239783159999</v>
      </c>
      <c r="J1131" s="100">
        <v>221.06655802312366</v>
      </c>
    </row>
    <row r="1132" spans="1:10" x14ac:dyDescent="0.25">
      <c r="A1132">
        <v>1115</v>
      </c>
      <c r="B1132" s="100">
        <v>89.289853956580217</v>
      </c>
      <c r="C1132" s="100">
        <v>97.966947277551895</v>
      </c>
      <c r="D1132" s="100">
        <v>93.882111211191358</v>
      </c>
      <c r="E1132" s="100">
        <v>93.718577642340023</v>
      </c>
      <c r="F1132" s="100">
        <v>870.49854699481421</v>
      </c>
      <c r="G1132" s="100">
        <v>364.41334361533251</v>
      </c>
      <c r="H1132" s="100">
        <v>-2132.0622114095045</v>
      </c>
      <c r="I1132" s="100">
        <v>-337.93798763879579</v>
      </c>
      <c r="J1132" s="100">
        <v>-1235.0883084381535</v>
      </c>
    </row>
    <row r="1133" spans="1:10" x14ac:dyDescent="0.25">
      <c r="A1133">
        <v>1116</v>
      </c>
      <c r="B1133" s="100">
        <v>89.469519330209067</v>
      </c>
      <c r="C1133" s="100">
        <v>98.881827237091329</v>
      </c>
      <c r="D1133" s="100">
        <v>91.668358710548944</v>
      </c>
      <c r="E1133" s="100">
        <v>93.536093181094998</v>
      </c>
      <c r="F1133" s="100">
        <v>277.60281401960754</v>
      </c>
      <c r="G1133" s="100">
        <v>-1007.906595693818</v>
      </c>
      <c r="H1133" s="100">
        <v>2295.4427898753238</v>
      </c>
      <c r="I1133" s="100">
        <v>-155.45352639377086</v>
      </c>
      <c r="J1133" s="100">
        <v>1409.6854818073425</v>
      </c>
    </row>
    <row r="1134" spans="1:10" x14ac:dyDescent="0.25">
      <c r="A1134">
        <v>1117</v>
      </c>
      <c r="B1134" s="100">
        <v>89.1517001565811</v>
      </c>
      <c r="C1134" s="100">
        <v>97.198457431926002</v>
      </c>
      <c r="D1134" s="100">
        <v>93.996022424809254</v>
      </c>
      <c r="E1134" s="100">
        <v>96.838953034666972</v>
      </c>
      <c r="F1134" s="100">
        <v>1326.4060869918992</v>
      </c>
      <c r="G1134" s="100">
        <v>1517.1481120541728</v>
      </c>
      <c r="H1134" s="100">
        <v>-2359.8846386452979</v>
      </c>
      <c r="I1134" s="100">
        <v>-3458.3133799657444</v>
      </c>
      <c r="J1134" s="100">
        <v>-2974.6438195649703</v>
      </c>
    </row>
    <row r="1135" spans="1:10" x14ac:dyDescent="0.25">
      <c r="A1135">
        <v>1118</v>
      </c>
      <c r="B1135" s="100">
        <v>89.666699892684193</v>
      </c>
      <c r="C1135" s="100">
        <v>100.34510861086056</v>
      </c>
      <c r="D1135" s="100">
        <v>93.377754570785996</v>
      </c>
      <c r="E1135" s="100">
        <v>94.053536595140429</v>
      </c>
      <c r="F1135" s="100">
        <v>-373.09304214830661</v>
      </c>
      <c r="G1135" s="100">
        <v>-3202.8286563476699</v>
      </c>
      <c r="H1135" s="100">
        <v>-1123.3489305987803</v>
      </c>
      <c r="I1135" s="100">
        <v>-672.89694043920179</v>
      </c>
      <c r="J1135" s="100">
        <v>-5372.1675695339591</v>
      </c>
    </row>
    <row r="1136" spans="1:10" x14ac:dyDescent="0.25">
      <c r="A1136">
        <v>1119</v>
      </c>
      <c r="B1136" s="100">
        <v>89.950464847682596</v>
      </c>
      <c r="C1136" s="100">
        <v>96.879009032110176</v>
      </c>
      <c r="D1136" s="100">
        <v>94.504070457720942</v>
      </c>
      <c r="E1136" s="100">
        <v>95.066455990332372</v>
      </c>
      <c r="F1136" s="100">
        <v>-1309.5173936430385</v>
      </c>
      <c r="G1136" s="100">
        <v>1996.320711777912</v>
      </c>
      <c r="H1136" s="100">
        <v>-3375.980704468674</v>
      </c>
      <c r="I1136" s="100">
        <v>-1685.8163356311452</v>
      </c>
      <c r="J1136" s="100">
        <v>-4374.9937219649455</v>
      </c>
    </row>
    <row r="1137" spans="1:10" x14ac:dyDescent="0.25">
      <c r="A1137">
        <v>1120</v>
      </c>
      <c r="B1137" s="100">
        <v>89.401409358207147</v>
      </c>
      <c r="C1137" s="100">
        <v>97.455934402580041</v>
      </c>
      <c r="D1137" s="100">
        <v>93.011511919309427</v>
      </c>
      <c r="E1137" s="100">
        <v>94.695921594318364</v>
      </c>
      <c r="F1137" s="100">
        <v>502.36572162594513</v>
      </c>
      <c r="G1137" s="100">
        <v>1130.9326560731138</v>
      </c>
      <c r="H1137" s="100">
        <v>-390.86362764564342</v>
      </c>
      <c r="I1137" s="100">
        <v>-1315.2819396171367</v>
      </c>
      <c r="J1137" s="100">
        <v>-72.847189563721258</v>
      </c>
    </row>
    <row r="1138" spans="1:10" x14ac:dyDescent="0.25">
      <c r="A1138">
        <v>1121</v>
      </c>
      <c r="B1138" s="100">
        <v>89.47495533385208</v>
      </c>
      <c r="C1138" s="100">
        <v>98.04918650681924</v>
      </c>
      <c r="D1138" s="100">
        <v>92.066685764947692</v>
      </c>
      <c r="E1138" s="100">
        <v>94.797841188140865</v>
      </c>
      <c r="F1138" s="100">
        <v>259.66400199766611</v>
      </c>
      <c r="G1138" s="100">
        <v>241.05449971431625</v>
      </c>
      <c r="H1138" s="100">
        <v>1498.7886810778264</v>
      </c>
      <c r="I1138" s="100">
        <v>-1417.2015334396378</v>
      </c>
      <c r="J1138" s="100">
        <v>582.30564935017082</v>
      </c>
    </row>
    <row r="1139" spans="1:10" x14ac:dyDescent="0.25">
      <c r="A1139">
        <v>1122</v>
      </c>
      <c r="B1139" s="100">
        <v>89.484925899786589</v>
      </c>
      <c r="C1139" s="100">
        <v>98.344304537268769</v>
      </c>
      <c r="D1139" s="100">
        <v>94.033804254567073</v>
      </c>
      <c r="E1139" s="100">
        <v>95.758878175964284</v>
      </c>
      <c r="F1139" s="100">
        <v>226.76113441378618</v>
      </c>
      <c r="G1139" s="100">
        <v>-201.62254595997808</v>
      </c>
      <c r="H1139" s="100">
        <v>-2435.4482981609353</v>
      </c>
      <c r="I1139" s="100">
        <v>-2378.238521263057</v>
      </c>
      <c r="J1139" s="100">
        <v>-4788.5482309701838</v>
      </c>
    </row>
    <row r="1140" spans="1:10" x14ac:dyDescent="0.25">
      <c r="A1140">
        <v>1123</v>
      </c>
      <c r="B1140" s="100">
        <v>89.774274974914675</v>
      </c>
      <c r="C1140" s="100">
        <v>98.959051553987749</v>
      </c>
      <c r="D1140" s="100">
        <v>92.846633060013176</v>
      </c>
      <c r="E1140" s="100">
        <v>92.700132256702375</v>
      </c>
      <c r="F1140" s="100">
        <v>-728.09081350889926</v>
      </c>
      <c r="G1140" s="100">
        <v>-1123.7430710384474</v>
      </c>
      <c r="H1140" s="100">
        <v>-61.10590905313984</v>
      </c>
      <c r="I1140" s="100">
        <v>680.50739799885207</v>
      </c>
      <c r="J1140" s="100">
        <v>-1232.4323956016347</v>
      </c>
    </row>
    <row r="1141" spans="1:10" x14ac:dyDescent="0.25">
      <c r="A1141">
        <v>1124</v>
      </c>
      <c r="B1141" s="100">
        <v>89.984378521991189</v>
      </c>
      <c r="C1141" s="100">
        <v>97.821734957996654</v>
      </c>
      <c r="D1141" s="100">
        <v>91.484050617780881</v>
      </c>
      <c r="E1141" s="100">
        <v>92.050414543469927</v>
      </c>
      <c r="F1141" s="100">
        <v>-1421.4325188613955</v>
      </c>
      <c r="G1141" s="100">
        <v>582.23182294819503</v>
      </c>
      <c r="H1141" s="100">
        <v>2664.0589754114499</v>
      </c>
      <c r="I1141" s="100">
        <v>1330.2251112313002</v>
      </c>
      <c r="J1141" s="100">
        <v>3155.0833907295496</v>
      </c>
    </row>
    <row r="1142" spans="1:10" x14ac:dyDescent="0.25">
      <c r="A1142">
        <v>1125</v>
      </c>
      <c r="B1142" s="100">
        <v>90.011248077576724</v>
      </c>
      <c r="C1142" s="100">
        <v>99.135397214780681</v>
      </c>
      <c r="D1142" s="100">
        <v>93.533018849755805</v>
      </c>
      <c r="E1142" s="100">
        <v>92.654865715618698</v>
      </c>
      <c r="F1142" s="100">
        <v>-1510.1020522936594</v>
      </c>
      <c r="G1142" s="100">
        <v>-1388.2615622278465</v>
      </c>
      <c r="H1142" s="100">
        <v>-1433.8774885383998</v>
      </c>
      <c r="I1142" s="100">
        <v>725.7739390825293</v>
      </c>
      <c r="J1142" s="100">
        <v>-3606.4671639773769</v>
      </c>
    </row>
    <row r="1143" spans="1:10" x14ac:dyDescent="0.25">
      <c r="A1143">
        <v>1126</v>
      </c>
      <c r="B1143" s="100">
        <v>90.060648505243194</v>
      </c>
      <c r="C1143" s="100">
        <v>98.382626952403399</v>
      </c>
      <c r="D1143" s="100">
        <v>93.733644007529236</v>
      </c>
      <c r="E1143" s="100">
        <v>92.718503985198467</v>
      </c>
      <c r="F1143" s="100">
        <v>-1673.1234635930093</v>
      </c>
      <c r="G1143" s="100">
        <v>-259.10616866192271</v>
      </c>
      <c r="H1143" s="100">
        <v>-1835.1278040852605</v>
      </c>
      <c r="I1143" s="100">
        <v>662.13566950276004</v>
      </c>
      <c r="J1143" s="100">
        <v>-3105.2217668374324</v>
      </c>
    </row>
    <row r="1144" spans="1:10" x14ac:dyDescent="0.25">
      <c r="A1144">
        <v>1127</v>
      </c>
      <c r="B1144" s="100">
        <v>89.272616874016109</v>
      </c>
      <c r="C1144" s="100">
        <v>98.127235592577662</v>
      </c>
      <c r="D1144" s="100">
        <v>92.507542644762253</v>
      </c>
      <c r="E1144" s="100">
        <v>92.892628936208851</v>
      </c>
      <c r="F1144" s="100">
        <v>927.38091945637109</v>
      </c>
      <c r="G1144" s="100">
        <v>123.98087107668232</v>
      </c>
      <c r="H1144" s="100">
        <v>617.07492144870457</v>
      </c>
      <c r="I1144" s="100">
        <v>488.01071849237587</v>
      </c>
      <c r="J1144" s="100">
        <v>2156.4474304741339</v>
      </c>
    </row>
    <row r="1145" spans="1:10" x14ac:dyDescent="0.25">
      <c r="A1145">
        <v>1128</v>
      </c>
      <c r="B1145" s="100">
        <v>89.583755335468936</v>
      </c>
      <c r="C1145" s="100">
        <v>97.484724706834527</v>
      </c>
      <c r="D1145" s="100">
        <v>91.833993545618981</v>
      </c>
      <c r="E1145" s="100">
        <v>92.039885220322461</v>
      </c>
      <c r="F1145" s="100">
        <v>-99.376003337960128</v>
      </c>
      <c r="G1145" s="100">
        <v>1087.7471996913855</v>
      </c>
      <c r="H1145" s="100">
        <v>1964.1731197352499</v>
      </c>
      <c r="I1145" s="100">
        <v>1340.7544343787663</v>
      </c>
      <c r="J1145" s="100">
        <v>4293.298750467442</v>
      </c>
    </row>
    <row r="1146" spans="1:10" x14ac:dyDescent="0.25">
      <c r="A1146">
        <v>1129</v>
      </c>
      <c r="B1146" s="100">
        <v>89.494918668912376</v>
      </c>
      <c r="C1146" s="100">
        <v>96.486235376677044</v>
      </c>
      <c r="D1146" s="100">
        <v>92.746739923245471</v>
      </c>
      <c r="E1146" s="100">
        <v>93.321934567824897</v>
      </c>
      <c r="F1146" s="100">
        <v>193.78499629868742</v>
      </c>
      <c r="G1146" s="100">
        <v>2585.48119492761</v>
      </c>
      <c r="H1146" s="100">
        <v>138.68036448226917</v>
      </c>
      <c r="I1146" s="100">
        <v>58.705086876329915</v>
      </c>
      <c r="J1146" s="100">
        <v>2976.6516425848968</v>
      </c>
    </row>
    <row r="1147" spans="1:10" x14ac:dyDescent="0.25">
      <c r="A1147">
        <v>1130</v>
      </c>
      <c r="B1147" s="100">
        <v>89.324025857347422</v>
      </c>
      <c r="C1147" s="100">
        <v>98.468325725287826</v>
      </c>
      <c r="D1147" s="100">
        <v>91.661431906363077</v>
      </c>
      <c r="E1147" s="100">
        <v>94.61741999076601</v>
      </c>
      <c r="F1147" s="100">
        <v>757.73127446303624</v>
      </c>
      <c r="G1147" s="100">
        <v>-387.65432798856381</v>
      </c>
      <c r="H1147" s="100">
        <v>2309.2963982470565</v>
      </c>
      <c r="I1147" s="100">
        <v>-1236.7803360647827</v>
      </c>
      <c r="J1147" s="100">
        <v>1442.5930086567464</v>
      </c>
    </row>
    <row r="1148" spans="1:10" x14ac:dyDescent="0.25">
      <c r="A1148">
        <v>1131</v>
      </c>
      <c r="B1148" s="100">
        <v>89.570674719367631</v>
      </c>
      <c r="C1148" s="100">
        <v>98.145107547461677</v>
      </c>
      <c r="D1148" s="100">
        <v>92.153586231288855</v>
      </c>
      <c r="E1148" s="100">
        <v>92.905340928731931</v>
      </c>
      <c r="F1148" s="100">
        <v>-56.209970203651949</v>
      </c>
      <c r="G1148" s="100">
        <v>97.17293875065991</v>
      </c>
      <c r="H1148" s="100">
        <v>1324.9877483955004</v>
      </c>
      <c r="I1148" s="100">
        <v>475.29872596929579</v>
      </c>
      <c r="J1148" s="100">
        <v>1841.2494429118042</v>
      </c>
    </row>
    <row r="1149" spans="1:10" x14ac:dyDescent="0.25">
      <c r="A1149">
        <v>1132</v>
      </c>
      <c r="B1149" s="100">
        <v>88.788243923420822</v>
      </c>
      <c r="C1149" s="100">
        <v>98.286829416965631</v>
      </c>
      <c r="D1149" s="100">
        <v>90.680381014544267</v>
      </c>
      <c r="E1149" s="100">
        <v>93.122615890923484</v>
      </c>
      <c r="F1149" s="100">
        <v>2525.8116564208167</v>
      </c>
      <c r="G1149" s="100">
        <v>-115.40986550527066</v>
      </c>
      <c r="H1149" s="100">
        <v>4271.3981818846778</v>
      </c>
      <c r="I1149" s="100">
        <v>258.02376377774294</v>
      </c>
      <c r="J1149" s="100">
        <v>6939.823736577966</v>
      </c>
    </row>
    <row r="1150" spans="1:10" x14ac:dyDescent="0.25">
      <c r="A1150">
        <v>1133</v>
      </c>
      <c r="B1150" s="100">
        <v>90.212201560647316</v>
      </c>
      <c r="C1150" s="100">
        <v>97.718747142664213</v>
      </c>
      <c r="D1150" s="100">
        <v>92.290178504709488</v>
      </c>
      <c r="E1150" s="100">
        <v>91.080496009960839</v>
      </c>
      <c r="F1150" s="100">
        <v>-2173.2485464266119</v>
      </c>
      <c r="G1150" s="100">
        <v>736.71354594685567</v>
      </c>
      <c r="H1150" s="100">
        <v>1051.803201554236</v>
      </c>
      <c r="I1150" s="100">
        <v>2300.1436447403876</v>
      </c>
      <c r="J1150" s="100">
        <v>1915.4118458148673</v>
      </c>
    </row>
    <row r="1151" spans="1:10" x14ac:dyDescent="0.25">
      <c r="A1151">
        <v>1134</v>
      </c>
      <c r="B1151" s="100">
        <v>89.177167413969826</v>
      </c>
      <c r="C1151" s="100">
        <v>99.447795633534241</v>
      </c>
      <c r="D1151" s="100">
        <v>93.934030117869355</v>
      </c>
      <c r="E1151" s="100">
        <v>94.647377600168582</v>
      </c>
      <c r="F1151" s="100">
        <v>1242.3641376091027</v>
      </c>
      <c r="G1151" s="100">
        <v>-1856.8591903581862</v>
      </c>
      <c r="H1151" s="100">
        <v>-2235.900024765499</v>
      </c>
      <c r="I1151" s="100">
        <v>-1266.7379454673551</v>
      </c>
      <c r="J1151" s="100">
        <v>-4117.1330229819378</v>
      </c>
    </row>
    <row r="1152" spans="1:10" x14ac:dyDescent="0.25">
      <c r="A1152">
        <v>1135</v>
      </c>
      <c r="B1152" s="100">
        <v>89.696281106541207</v>
      </c>
      <c r="C1152" s="100">
        <v>98.228815924984829</v>
      </c>
      <c r="D1152" s="100">
        <v>94.090483815142676</v>
      </c>
      <c r="E1152" s="100">
        <v>95.235621702883563</v>
      </c>
      <c r="F1152" s="100">
        <v>-470.71104787645339</v>
      </c>
      <c r="G1152" s="100">
        <v>-28.38962753406804</v>
      </c>
      <c r="H1152" s="100">
        <v>-2548.8074193121406</v>
      </c>
      <c r="I1152" s="100">
        <v>-1854.982048182336</v>
      </c>
      <c r="J1152" s="100">
        <v>-4902.8901429049984</v>
      </c>
    </row>
    <row r="1153" spans="1:10" x14ac:dyDescent="0.25">
      <c r="A1153">
        <v>1136</v>
      </c>
      <c r="B1153" s="100">
        <v>88.860917809498929</v>
      </c>
      <c r="C1153" s="100">
        <v>97.477769276282032</v>
      </c>
      <c r="D1153" s="100">
        <v>93.477201492643545</v>
      </c>
      <c r="E1153" s="100">
        <v>93.359900905457934</v>
      </c>
      <c r="F1153" s="100">
        <v>2285.9878323630637</v>
      </c>
      <c r="G1153" s="100">
        <v>1098.1803455201273</v>
      </c>
      <c r="H1153" s="100">
        <v>-1322.242774313878</v>
      </c>
      <c r="I1153" s="100">
        <v>20.738749243292887</v>
      </c>
      <c r="J1153" s="100">
        <v>2082.6641528126056</v>
      </c>
    </row>
    <row r="1154" spans="1:10" x14ac:dyDescent="0.25">
      <c r="A1154">
        <v>1137</v>
      </c>
      <c r="B1154" s="100">
        <v>89.353910435503238</v>
      </c>
      <c r="C1154" s="100">
        <v>97.297832425355395</v>
      </c>
      <c r="D1154" s="100">
        <v>92.621233857733202</v>
      </c>
      <c r="E1154" s="100">
        <v>93.575439394283009</v>
      </c>
      <c r="F1154" s="100">
        <v>659.11216654884447</v>
      </c>
      <c r="G1154" s="100">
        <v>1368.0856219100833</v>
      </c>
      <c r="H1154" s="100">
        <v>389.69249550680729</v>
      </c>
      <c r="I1154" s="100">
        <v>-194.79973958178221</v>
      </c>
      <c r="J1154" s="100">
        <v>2222.0905443839529</v>
      </c>
    </row>
    <row r="1155" spans="1:10" x14ac:dyDescent="0.25">
      <c r="A1155">
        <v>1138</v>
      </c>
      <c r="B1155" s="100">
        <v>89.404892857822887</v>
      </c>
      <c r="C1155" s="100">
        <v>98.600320645681705</v>
      </c>
      <c r="D1155" s="100">
        <v>92.948811010733621</v>
      </c>
      <c r="E1155" s="100">
        <v>92.846952292938084</v>
      </c>
      <c r="F1155" s="100">
        <v>490.87017289400308</v>
      </c>
      <c r="G1155" s="100">
        <v>-585.64670857938245</v>
      </c>
      <c r="H1155" s="100">
        <v>-265.46181049403117</v>
      </c>
      <c r="I1155" s="100">
        <v>533.68736176314258</v>
      </c>
      <c r="J1155" s="100">
        <v>173.44901558373203</v>
      </c>
    </row>
    <row r="1156" spans="1:10" x14ac:dyDescent="0.25">
      <c r="A1156">
        <v>1139</v>
      </c>
      <c r="B1156" s="100">
        <v>89.752495962178628</v>
      </c>
      <c r="C1156" s="100">
        <v>98.194376283117961</v>
      </c>
      <c r="D1156" s="100">
        <v>92.937152249274575</v>
      </c>
      <c r="E1156" s="100">
        <v>95.452965869576545</v>
      </c>
      <c r="F1156" s="100">
        <v>-656.22007147994304</v>
      </c>
      <c r="G1156" s="100">
        <v>23.26983526623394</v>
      </c>
      <c r="H1156" s="100">
        <v>-242.14428757593964</v>
      </c>
      <c r="I1156" s="100">
        <v>-2072.3262148753179</v>
      </c>
      <c r="J1156" s="100">
        <v>-2947.4207386649668</v>
      </c>
    </row>
    <row r="1157" spans="1:10" x14ac:dyDescent="0.25">
      <c r="A1157">
        <v>1140</v>
      </c>
      <c r="B1157" s="100">
        <v>89.039319055912557</v>
      </c>
      <c r="C1157" s="100">
        <v>96.706518429737756</v>
      </c>
      <c r="D1157" s="100">
        <v>92.972804673724269</v>
      </c>
      <c r="E1157" s="100">
        <v>92.088710553252767</v>
      </c>
      <c r="F1157" s="100">
        <v>1697.2637191980907</v>
      </c>
      <c r="G1157" s="100">
        <v>2255.0566153365426</v>
      </c>
      <c r="H1157" s="100">
        <v>-313.44913647532735</v>
      </c>
      <c r="I1157" s="100">
        <v>1291.92910144846</v>
      </c>
      <c r="J1157" s="100">
        <v>4930.8002995077659</v>
      </c>
    </row>
    <row r="1158" spans="1:10" x14ac:dyDescent="0.25">
      <c r="A1158">
        <v>1141</v>
      </c>
      <c r="B1158" s="100">
        <v>88.872288291883677</v>
      </c>
      <c r="C1158" s="100">
        <v>98.812826012428488</v>
      </c>
      <c r="D1158" s="100">
        <v>91.705262722459807</v>
      </c>
      <c r="E1158" s="100">
        <v>92.07767241782544</v>
      </c>
      <c r="F1158" s="100">
        <v>2248.465240493394</v>
      </c>
      <c r="G1158" s="100">
        <v>-904.40475869955606</v>
      </c>
      <c r="H1158" s="100">
        <v>2221.6347660535976</v>
      </c>
      <c r="I1158" s="100">
        <v>1302.9672368757872</v>
      </c>
      <c r="J1158" s="100">
        <v>4868.6624847232224</v>
      </c>
    </row>
    <row r="1159" spans="1:10" x14ac:dyDescent="0.25">
      <c r="A1159">
        <v>1142</v>
      </c>
      <c r="B1159" s="100">
        <v>89.457211722985434</v>
      </c>
      <c r="C1159" s="100">
        <v>99.878863790532677</v>
      </c>
      <c r="D1159" s="100">
        <v>93.05430082010426</v>
      </c>
      <c r="E1159" s="100">
        <v>91.903523125634436</v>
      </c>
      <c r="F1159" s="100">
        <v>318.21791785759643</v>
      </c>
      <c r="G1159" s="100">
        <v>-2503.461425855839</v>
      </c>
      <c r="H1159" s="100">
        <v>-476.44142923530808</v>
      </c>
      <c r="I1159" s="100">
        <v>1477.1165290667909</v>
      </c>
      <c r="J1159" s="100">
        <v>-1184.5684081667596</v>
      </c>
    </row>
    <row r="1160" spans="1:10" x14ac:dyDescent="0.25">
      <c r="A1160">
        <v>1143</v>
      </c>
      <c r="B1160" s="100">
        <v>89.501624743405287</v>
      </c>
      <c r="C1160" s="100">
        <v>99.073225262143978</v>
      </c>
      <c r="D1160" s="100">
        <v>94.162103759942298</v>
      </c>
      <c r="E1160" s="100">
        <v>93.797226214364272</v>
      </c>
      <c r="F1160" s="100">
        <v>171.65495047208168</v>
      </c>
      <c r="G1160" s="100">
        <v>-1295.0036332727918</v>
      </c>
      <c r="H1160" s="100">
        <v>-2692.0473089113839</v>
      </c>
      <c r="I1160" s="100">
        <v>-416.58655966304536</v>
      </c>
      <c r="J1160" s="100">
        <v>-4231.9825513751393</v>
      </c>
    </row>
    <row r="1161" spans="1:10" x14ac:dyDescent="0.25">
      <c r="A1161">
        <v>1144</v>
      </c>
      <c r="B1161" s="100">
        <v>90.035907044669102</v>
      </c>
      <c r="C1161" s="100">
        <v>98.424229373819969</v>
      </c>
      <c r="D1161" s="100">
        <v>92.679621801744489</v>
      </c>
      <c r="E1161" s="100">
        <v>92.382341491721277</v>
      </c>
      <c r="F1161" s="100">
        <v>-1591.4766436985076</v>
      </c>
      <c r="G1161" s="100">
        <v>-321.50980078677804</v>
      </c>
      <c r="H1161" s="100">
        <v>272.91660748423396</v>
      </c>
      <c r="I1161" s="100">
        <v>998.29816297994967</v>
      </c>
      <c r="J1161" s="100">
        <v>-641.77167402110194</v>
      </c>
    </row>
    <row r="1162" spans="1:10" x14ac:dyDescent="0.25">
      <c r="A1162">
        <v>1145</v>
      </c>
      <c r="B1162" s="100">
        <v>89.639077966907706</v>
      </c>
      <c r="C1162" s="100">
        <v>98.32985948393862</v>
      </c>
      <c r="D1162" s="100">
        <v>93.614072787851455</v>
      </c>
      <c r="E1162" s="100">
        <v>93.958703145831606</v>
      </c>
      <c r="F1162" s="100">
        <v>-281.94068708590123</v>
      </c>
      <c r="G1162" s="100">
        <v>-179.95496596475391</v>
      </c>
      <c r="H1162" s="100">
        <v>-1595.9853647296995</v>
      </c>
      <c r="I1162" s="100">
        <v>-578.06349113037925</v>
      </c>
      <c r="J1162" s="100">
        <v>-2635.9445089107339</v>
      </c>
    </row>
    <row r="1163" spans="1:10" x14ac:dyDescent="0.25">
      <c r="A1163">
        <v>1146</v>
      </c>
      <c r="B1163" s="100">
        <v>90.581851037898048</v>
      </c>
      <c r="C1163" s="100">
        <v>97.12352708159257</v>
      </c>
      <c r="D1163" s="100">
        <v>92.129896615021664</v>
      </c>
      <c r="E1163" s="100">
        <v>93.369960251901247</v>
      </c>
      <c r="F1163" s="100">
        <v>-3393.0918213540281</v>
      </c>
      <c r="G1163" s="100">
        <v>1629.5436375543204</v>
      </c>
      <c r="H1163" s="100">
        <v>1372.3669809298826</v>
      </c>
      <c r="I1163" s="100">
        <v>10.679402799979698</v>
      </c>
      <c r="J1163" s="100">
        <v>-380.50180006984533</v>
      </c>
    </row>
    <row r="1164" spans="1:10" x14ac:dyDescent="0.25">
      <c r="A1164">
        <v>1147</v>
      </c>
      <c r="B1164" s="100">
        <v>90.136731451784499</v>
      </c>
      <c r="C1164" s="100">
        <v>99.028962229633905</v>
      </c>
      <c r="D1164" s="100">
        <v>92.049304285923952</v>
      </c>
      <c r="E1164" s="100">
        <v>93.253703620249539</v>
      </c>
      <c r="F1164" s="100">
        <v>-1924.1971871793169</v>
      </c>
      <c r="G1164" s="100">
        <v>-1228.6090845076815</v>
      </c>
      <c r="H1164" s="100">
        <v>1533.5516391253066</v>
      </c>
      <c r="I1164" s="100">
        <v>126.93603445168833</v>
      </c>
      <c r="J1164" s="100">
        <v>-1492.3185981100032</v>
      </c>
    </row>
    <row r="1165" spans="1:10" x14ac:dyDescent="0.25">
      <c r="A1165">
        <v>1148</v>
      </c>
      <c r="B1165" s="100">
        <v>88.243891137902722</v>
      </c>
      <c r="C1165" s="100">
        <v>97.112442714952053</v>
      </c>
      <c r="D1165" s="100">
        <v>92.990132344376647</v>
      </c>
      <c r="E1165" s="100">
        <v>94.670776974275611</v>
      </c>
      <c r="F1165" s="100">
        <v>4322.175848630548</v>
      </c>
      <c r="G1165" s="100">
        <v>1646.1701875150966</v>
      </c>
      <c r="H1165" s="100">
        <v>-348.10447778008324</v>
      </c>
      <c r="I1165" s="100">
        <v>-1290.1373195743845</v>
      </c>
      <c r="J1165" s="100">
        <v>4330.1042387911766</v>
      </c>
    </row>
    <row r="1166" spans="1:10" x14ac:dyDescent="0.25">
      <c r="A1166">
        <v>1149</v>
      </c>
      <c r="B1166" s="100">
        <v>89.567572821543109</v>
      </c>
      <c r="C1166" s="100">
        <v>98.610043306165437</v>
      </c>
      <c r="D1166" s="100">
        <v>95.127232772667583</v>
      </c>
      <c r="E1166" s="100">
        <v>90.652075790273528</v>
      </c>
      <c r="F1166" s="100">
        <v>-45.973707382731277</v>
      </c>
      <c r="G1166" s="100">
        <v>-600.23069930497991</v>
      </c>
      <c r="H1166" s="100">
        <v>-4622.305334361954</v>
      </c>
      <c r="I1166" s="100">
        <v>2728.5638644276987</v>
      </c>
      <c r="J1166" s="100">
        <v>-2539.9458766219668</v>
      </c>
    </row>
    <row r="1167" spans="1:10" x14ac:dyDescent="0.25">
      <c r="A1167">
        <v>1150</v>
      </c>
      <c r="B1167" s="100">
        <v>90.002390410048335</v>
      </c>
      <c r="C1167" s="100">
        <v>97.165523777648673</v>
      </c>
      <c r="D1167" s="100">
        <v>93.295614840681282</v>
      </c>
      <c r="E1167" s="100">
        <v>92.611690016247636</v>
      </c>
      <c r="F1167" s="100">
        <v>-1480.8717494499761</v>
      </c>
      <c r="G1167" s="100">
        <v>1566.5485934701665</v>
      </c>
      <c r="H1167" s="100">
        <v>-959.06947038935186</v>
      </c>
      <c r="I1167" s="100">
        <v>768.94963845359143</v>
      </c>
      <c r="J1167" s="100">
        <v>-104.44298791557003</v>
      </c>
    </row>
    <row r="1168" spans="1:10" x14ac:dyDescent="0.25">
      <c r="A1168">
        <v>1151</v>
      </c>
      <c r="B1168" s="100">
        <v>88.829930999508051</v>
      </c>
      <c r="C1168" s="100">
        <v>97.732883157355943</v>
      </c>
      <c r="D1168" s="100">
        <v>92.384269229249185</v>
      </c>
      <c r="E1168" s="100">
        <v>91.61747278094623</v>
      </c>
      <c r="F1168" s="100">
        <v>2388.2443053329625</v>
      </c>
      <c r="G1168" s="100">
        <v>715.5095239092617</v>
      </c>
      <c r="H1168" s="100">
        <v>863.62175247484174</v>
      </c>
      <c r="I1168" s="100">
        <v>1763.1668737549971</v>
      </c>
      <c r="J1168" s="100">
        <v>5730.542455472063</v>
      </c>
    </row>
    <row r="1169" spans="1:10" x14ac:dyDescent="0.25">
      <c r="A1169">
        <v>1152</v>
      </c>
      <c r="B1169" s="100">
        <v>89.120666260822503</v>
      </c>
      <c r="C1169" s="100">
        <v>97.229632299053392</v>
      </c>
      <c r="D1169" s="100">
        <v>92.867631541961799</v>
      </c>
      <c r="E1169" s="100">
        <v>91.171413237485794</v>
      </c>
      <c r="F1169" s="100">
        <v>1428.8179429952693</v>
      </c>
      <c r="G1169" s="100">
        <v>1470.3858113630872</v>
      </c>
      <c r="H1169" s="100">
        <v>-103.10287295038734</v>
      </c>
      <c r="I1169" s="100">
        <v>2209.2264172154328</v>
      </c>
      <c r="J1169" s="100">
        <v>5005.3272986234024</v>
      </c>
    </row>
    <row r="1170" spans="1:10" x14ac:dyDescent="0.25">
      <c r="A1170">
        <v>1153</v>
      </c>
      <c r="B1170" s="100">
        <v>88.888872171995772</v>
      </c>
      <c r="C1170" s="100">
        <v>97.370152323513651</v>
      </c>
      <c r="D1170" s="100">
        <v>92.443731551764415</v>
      </c>
      <c r="E1170" s="100">
        <v>92.731262805958934</v>
      </c>
      <c r="F1170" s="100">
        <v>2193.7384361234836</v>
      </c>
      <c r="G1170" s="100">
        <v>1259.6057746726999</v>
      </c>
      <c r="H1170" s="100">
        <v>744.69710744438089</v>
      </c>
      <c r="I1170" s="100">
        <v>649.37684874229262</v>
      </c>
      <c r="J1170" s="100">
        <v>4847.4181669828577</v>
      </c>
    </row>
    <row r="1171" spans="1:10" x14ac:dyDescent="0.25">
      <c r="A1171">
        <v>1154</v>
      </c>
      <c r="B1171" s="100">
        <v>90.155718869183161</v>
      </c>
      <c r="C1171" s="100">
        <v>99.639466765970099</v>
      </c>
      <c r="D1171" s="100">
        <v>92.270916700741466</v>
      </c>
      <c r="E1171" s="100">
        <v>94.498489460996836</v>
      </c>
      <c r="F1171" s="100">
        <v>-1986.8556645949027</v>
      </c>
      <c r="G1171" s="100">
        <v>-2144.3658890119723</v>
      </c>
      <c r="H1171" s="100">
        <v>1090.3268094902785</v>
      </c>
      <c r="I1171" s="100">
        <v>-1117.8498062956096</v>
      </c>
      <c r="J1171" s="100">
        <v>-4158.7445504122061</v>
      </c>
    </row>
    <row r="1172" spans="1:10" x14ac:dyDescent="0.25">
      <c r="A1172">
        <v>1155</v>
      </c>
      <c r="B1172" s="100">
        <v>89.497144694817322</v>
      </c>
      <c r="C1172" s="100">
        <v>97.859540523792745</v>
      </c>
      <c r="D1172" s="100">
        <v>91.897020498313893</v>
      </c>
      <c r="E1172" s="100">
        <v>94.805367492465251</v>
      </c>
      <c r="F1172" s="100">
        <v>186.43911081236553</v>
      </c>
      <c r="G1172" s="100">
        <v>525.52347425405799</v>
      </c>
      <c r="H1172" s="100">
        <v>1838.1192143454257</v>
      </c>
      <c r="I1172" s="100">
        <v>-1424.7278377640241</v>
      </c>
      <c r="J1172" s="100">
        <v>1125.3539616478251</v>
      </c>
    </row>
    <row r="1173" spans="1:10" x14ac:dyDescent="0.25">
      <c r="A1173">
        <v>1156</v>
      </c>
      <c r="B1173" s="100">
        <v>89.331028209899316</v>
      </c>
      <c r="C1173" s="100">
        <v>99.933033198776542</v>
      </c>
      <c r="D1173" s="100">
        <v>92.846130687734231</v>
      </c>
      <c r="E1173" s="100">
        <v>96.136790713864656</v>
      </c>
      <c r="F1173" s="100">
        <v>734.62351104178788</v>
      </c>
      <c r="G1173" s="100">
        <v>-2584.715538221637</v>
      </c>
      <c r="H1173" s="100">
        <v>-60.101164495250714</v>
      </c>
      <c r="I1173" s="100">
        <v>-2756.1510591634287</v>
      </c>
      <c r="J1173" s="100">
        <v>-4666.3442508385288</v>
      </c>
    </row>
    <row r="1174" spans="1:10" x14ac:dyDescent="0.25">
      <c r="A1174">
        <v>1157</v>
      </c>
      <c r="B1174" s="100">
        <v>89.321489127625796</v>
      </c>
      <c r="C1174" s="100">
        <v>98.46791585714746</v>
      </c>
      <c r="D1174" s="100">
        <v>90.180949617077161</v>
      </c>
      <c r="E1174" s="100">
        <v>95.67730830052254</v>
      </c>
      <c r="F1174" s="100">
        <v>766.10248254440307</v>
      </c>
      <c r="G1174" s="100">
        <v>-387.03952577801459</v>
      </c>
      <c r="H1174" s="100">
        <v>5270.2609768188895</v>
      </c>
      <c r="I1174" s="100">
        <v>-2296.6686458213135</v>
      </c>
      <c r="J1174" s="100">
        <v>3352.6552877639642</v>
      </c>
    </row>
    <row r="1175" spans="1:10" x14ac:dyDescent="0.25">
      <c r="A1175">
        <v>1158</v>
      </c>
      <c r="B1175" s="100">
        <v>89.621030816845462</v>
      </c>
      <c r="C1175" s="100">
        <v>97.857804331512213</v>
      </c>
      <c r="D1175" s="100">
        <v>91.914164622698863</v>
      </c>
      <c r="E1175" s="100">
        <v>93.369656234663736</v>
      </c>
      <c r="F1175" s="100">
        <v>-222.3850918804942</v>
      </c>
      <c r="G1175" s="100">
        <v>528.12776267485617</v>
      </c>
      <c r="H1175" s="100">
        <v>1803.8309655754858</v>
      </c>
      <c r="I1175" s="100">
        <v>10.983420037490532</v>
      </c>
      <c r="J1175" s="100">
        <v>2120.5570564073387</v>
      </c>
    </row>
    <row r="1176" spans="1:10" x14ac:dyDescent="0.25">
      <c r="A1176">
        <v>1159</v>
      </c>
      <c r="B1176" s="100">
        <v>90.007947141298118</v>
      </c>
      <c r="C1176" s="100">
        <v>98.817253656770148</v>
      </c>
      <c r="D1176" s="100">
        <v>92.560813181921105</v>
      </c>
      <c r="E1176" s="100">
        <v>93.905705651091097</v>
      </c>
      <c r="F1176" s="100">
        <v>-1499.2089625742594</v>
      </c>
      <c r="G1176" s="100">
        <v>-911.04622521204703</v>
      </c>
      <c r="H1176" s="100">
        <v>510.53384713100058</v>
      </c>
      <c r="I1176" s="100">
        <v>-525.06599638986984</v>
      </c>
      <c r="J1176" s="100">
        <v>-2424.7873370451757</v>
      </c>
    </row>
    <row r="1177" spans="1:10" x14ac:dyDescent="0.25">
      <c r="A1177">
        <v>1160</v>
      </c>
      <c r="B1177" s="100">
        <v>89.80173455061211</v>
      </c>
      <c r="C1177" s="100">
        <v>98.077628735512604</v>
      </c>
      <c r="D1177" s="100">
        <v>93.560029973395046</v>
      </c>
      <c r="E1177" s="100">
        <v>94.647038641856952</v>
      </c>
      <c r="F1177" s="100">
        <v>-818.70741331043462</v>
      </c>
      <c r="G1177" s="100">
        <v>198.3911566742691</v>
      </c>
      <c r="H1177" s="100">
        <v>-1487.8997358168817</v>
      </c>
      <c r="I1177" s="100">
        <v>-1266.3989871557249</v>
      </c>
      <c r="J1177" s="100">
        <v>-3374.614979608772</v>
      </c>
    </row>
    <row r="1178" spans="1:10" x14ac:dyDescent="0.25">
      <c r="A1178">
        <v>1161</v>
      </c>
      <c r="B1178" s="100">
        <v>89.887773922233222</v>
      </c>
      <c r="C1178" s="100">
        <v>98.651882117980378</v>
      </c>
      <c r="D1178" s="100">
        <v>92.303235329631008</v>
      </c>
      <c r="E1178" s="100">
        <v>94.264116864454365</v>
      </c>
      <c r="F1178" s="100">
        <v>-1102.6373396601045</v>
      </c>
      <c r="G1178" s="100">
        <v>-662.98891702739127</v>
      </c>
      <c r="H1178" s="100">
        <v>1025.6895517111957</v>
      </c>
      <c r="I1178" s="100">
        <v>-883.47720975313848</v>
      </c>
      <c r="J1178" s="100">
        <v>-1623.4139147294386</v>
      </c>
    </row>
    <row r="1179" spans="1:10" x14ac:dyDescent="0.25">
      <c r="A1179">
        <v>1162</v>
      </c>
      <c r="B1179" s="100">
        <v>89.954827109248882</v>
      </c>
      <c r="C1179" s="100">
        <v>96.775718449435061</v>
      </c>
      <c r="D1179" s="100">
        <v>92.981533793856471</v>
      </c>
      <c r="E1179" s="100">
        <v>94.432884462338095</v>
      </c>
      <c r="F1179" s="100">
        <v>-1323.9128568117806</v>
      </c>
      <c r="G1179" s="100">
        <v>2151.2565857905843</v>
      </c>
      <c r="H1179" s="100">
        <v>-330.90737673973081</v>
      </c>
      <c r="I1179" s="100">
        <v>-1052.2448076368676</v>
      </c>
      <c r="J1179" s="100">
        <v>-555.80845539779466</v>
      </c>
    </row>
    <row r="1180" spans="1:10" x14ac:dyDescent="0.25">
      <c r="A1180">
        <v>1163</v>
      </c>
      <c r="B1180" s="100">
        <v>89.090469628558111</v>
      </c>
      <c r="C1180" s="100">
        <v>99.357816167615596</v>
      </c>
      <c r="D1180" s="100">
        <v>96.256485201959379</v>
      </c>
      <c r="E1180" s="100">
        <v>91.141276182394733</v>
      </c>
      <c r="F1180" s="100">
        <v>1528.4668294677631</v>
      </c>
      <c r="G1180" s="100">
        <v>-1721.889991480218</v>
      </c>
      <c r="H1180" s="100">
        <v>-6880.8101929455461</v>
      </c>
      <c r="I1180" s="100">
        <v>2239.3634723064933</v>
      </c>
      <c r="J1180" s="100">
        <v>-4834.8698826515074</v>
      </c>
    </row>
    <row r="1181" spans="1:10" x14ac:dyDescent="0.25">
      <c r="A1181">
        <v>1164</v>
      </c>
      <c r="B1181" s="100">
        <v>90.058756860853052</v>
      </c>
      <c r="C1181" s="100">
        <v>99.228472819491202</v>
      </c>
      <c r="D1181" s="100">
        <v>93.384973161220117</v>
      </c>
      <c r="E1181" s="100">
        <v>90.888186416760348</v>
      </c>
      <c r="F1181" s="100">
        <v>-1666.8810371055415</v>
      </c>
      <c r="G1181" s="100">
        <v>-1527.8749692936274</v>
      </c>
      <c r="H1181" s="100">
        <v>-1137.7861114670225</v>
      </c>
      <c r="I1181" s="100">
        <v>2492.4532379408788</v>
      </c>
      <c r="J1181" s="100">
        <v>-1840.0888799253121</v>
      </c>
    </row>
    <row r="1182" spans="1:10" x14ac:dyDescent="0.25">
      <c r="A1182">
        <v>1165</v>
      </c>
      <c r="B1182" s="100">
        <v>89.761437041029893</v>
      </c>
      <c r="C1182" s="100">
        <v>98.794234022881923</v>
      </c>
      <c r="D1182" s="100">
        <v>93.61311327268244</v>
      </c>
      <c r="E1182" s="100">
        <v>95.313034991338824</v>
      </c>
      <c r="F1182" s="100">
        <v>-685.72563168911813</v>
      </c>
      <c r="G1182" s="100">
        <v>-876.51677437970932</v>
      </c>
      <c r="H1182" s="100">
        <v>-1594.0663343916697</v>
      </c>
      <c r="I1182" s="100">
        <v>-1932.3953366375974</v>
      </c>
      <c r="J1182" s="100">
        <v>-5088.7040770980948</v>
      </c>
    </row>
    <row r="1183" spans="1:10" x14ac:dyDescent="0.25">
      <c r="A1183">
        <v>1166</v>
      </c>
      <c r="B1183" s="100">
        <v>89.719226383449239</v>
      </c>
      <c r="C1183" s="100">
        <v>98.701220004024066</v>
      </c>
      <c r="D1183" s="100">
        <v>93.634446402445548</v>
      </c>
      <c r="E1183" s="100">
        <v>92.58611729442724</v>
      </c>
      <c r="F1183" s="100">
        <v>-546.43046167296063</v>
      </c>
      <c r="G1183" s="100">
        <v>-736.9957460929229</v>
      </c>
      <c r="H1183" s="100">
        <v>-1636.7325939178841</v>
      </c>
      <c r="I1183" s="100">
        <v>794.52236027398726</v>
      </c>
      <c r="J1183" s="100">
        <v>-2125.6364414097807</v>
      </c>
    </row>
    <row r="1184" spans="1:10" x14ac:dyDescent="0.25">
      <c r="A1184">
        <v>1167</v>
      </c>
      <c r="B1184" s="100">
        <v>89.347865463592044</v>
      </c>
      <c r="C1184" s="100">
        <v>98.894963875005914</v>
      </c>
      <c r="D1184" s="100">
        <v>90.981132680873728</v>
      </c>
      <c r="E1184" s="100">
        <v>93.769035018483677</v>
      </c>
      <c r="F1184" s="100">
        <v>679.06057385578583</v>
      </c>
      <c r="G1184" s="100">
        <v>-1027.6115525656949</v>
      </c>
      <c r="H1184" s="100">
        <v>3669.8948492257559</v>
      </c>
      <c r="I1184" s="100">
        <v>-388.39536378245043</v>
      </c>
      <c r="J1184" s="100">
        <v>2932.9485067333962</v>
      </c>
    </row>
    <row r="1185" spans="1:10" x14ac:dyDescent="0.25">
      <c r="A1185">
        <v>1168</v>
      </c>
      <c r="B1185" s="100">
        <v>90.273851333172814</v>
      </c>
      <c r="C1185" s="100">
        <v>97.775288294344051</v>
      </c>
      <c r="D1185" s="100">
        <v>93.973611129874527</v>
      </c>
      <c r="E1185" s="100">
        <v>92.846403558991383</v>
      </c>
      <c r="F1185" s="100">
        <v>-2376.6927957607577</v>
      </c>
      <c r="G1185" s="100">
        <v>651.90181842709899</v>
      </c>
      <c r="H1185" s="100">
        <v>-2315.0620487758433</v>
      </c>
      <c r="I1185" s="100">
        <v>534.23609570984354</v>
      </c>
      <c r="J1185" s="100">
        <v>-3505.6169303996585</v>
      </c>
    </row>
    <row r="1186" spans="1:10" x14ac:dyDescent="0.25">
      <c r="A1186">
        <v>1169</v>
      </c>
      <c r="B1186" s="100">
        <v>88.640280861252137</v>
      </c>
      <c r="C1186" s="100">
        <v>98.959998621545637</v>
      </c>
      <c r="D1186" s="100">
        <v>93.602962841462229</v>
      </c>
      <c r="E1186" s="100">
        <v>96.295842125229711</v>
      </c>
      <c r="F1186" s="100">
        <v>3014.0897615774775</v>
      </c>
      <c r="G1186" s="100">
        <v>-1125.1636723752795</v>
      </c>
      <c r="H1186" s="100">
        <v>-1573.7654719512477</v>
      </c>
      <c r="I1186" s="100">
        <v>-2915.2024705284844</v>
      </c>
      <c r="J1186" s="100">
        <v>-2600.0418532775338</v>
      </c>
    </row>
    <row r="1187" spans="1:10" x14ac:dyDescent="0.25">
      <c r="A1187">
        <v>1170</v>
      </c>
      <c r="B1187" s="100">
        <v>89.978054635355676</v>
      </c>
      <c r="C1187" s="100">
        <v>99.649830311632527</v>
      </c>
      <c r="D1187" s="100">
        <v>91.606885112086403</v>
      </c>
      <c r="E1187" s="100">
        <v>94.985414961316394</v>
      </c>
      <c r="F1187" s="100">
        <v>-1400.563692964201</v>
      </c>
      <c r="G1187" s="100">
        <v>-2159.9112075056155</v>
      </c>
      <c r="H1187" s="100">
        <v>2418.3899868004064</v>
      </c>
      <c r="I1187" s="100">
        <v>-1604.7753066151672</v>
      </c>
      <c r="J1187" s="100">
        <v>-2746.8602202845773</v>
      </c>
    </row>
    <row r="1188" spans="1:10" x14ac:dyDescent="0.25">
      <c r="A1188">
        <v>1171</v>
      </c>
      <c r="B1188" s="100">
        <v>90.119964514222573</v>
      </c>
      <c r="C1188" s="100">
        <v>96.202474314096705</v>
      </c>
      <c r="D1188" s="100">
        <v>92.338032316020929</v>
      </c>
      <c r="E1188" s="100">
        <v>90.608297384187651</v>
      </c>
      <c r="F1188" s="100">
        <v>-1868.8662932249626</v>
      </c>
      <c r="G1188" s="100">
        <v>3011.1227887981186</v>
      </c>
      <c r="H1188" s="100">
        <v>956.09557893135388</v>
      </c>
      <c r="I1188" s="100">
        <v>2772.3422705135763</v>
      </c>
      <c r="J1188" s="100">
        <v>4870.6943450180861</v>
      </c>
    </row>
    <row r="1189" spans="1:10" x14ac:dyDescent="0.25">
      <c r="A1189">
        <v>1172</v>
      </c>
      <c r="B1189" s="100">
        <v>90.18028733578771</v>
      </c>
      <c r="C1189" s="100">
        <v>99.671371101055556</v>
      </c>
      <c r="D1189" s="100">
        <v>94.079904459683831</v>
      </c>
      <c r="E1189" s="100">
        <v>91.638085692108319</v>
      </c>
      <c r="F1189" s="100">
        <v>-2067.9316043899148</v>
      </c>
      <c r="G1189" s="100">
        <v>-2192.2223916401576</v>
      </c>
      <c r="H1189" s="100">
        <v>-2527.6487083944517</v>
      </c>
      <c r="I1189" s="100">
        <v>1742.5539625929077</v>
      </c>
      <c r="J1189" s="100">
        <v>-5045.2487418316168</v>
      </c>
    </row>
    <row r="1190" spans="1:10" x14ac:dyDescent="0.25">
      <c r="A1190">
        <v>1173</v>
      </c>
      <c r="B1190" s="100">
        <v>89.738480905097504</v>
      </c>
      <c r="C1190" s="100">
        <v>99.632918699944923</v>
      </c>
      <c r="D1190" s="100">
        <v>94.125027228851636</v>
      </c>
      <c r="E1190" s="100">
        <v>95.837904191213482</v>
      </c>
      <c r="F1190" s="100">
        <v>-609.97038311223264</v>
      </c>
      <c r="G1190" s="100">
        <v>-2134.5437899742096</v>
      </c>
      <c r="H1190" s="100">
        <v>-2617.8942467300603</v>
      </c>
      <c r="I1190" s="100">
        <v>-2457.2645365122553</v>
      </c>
      <c r="J1190" s="100">
        <v>-7819.6729563287581</v>
      </c>
    </row>
    <row r="1191" spans="1:10" x14ac:dyDescent="0.25">
      <c r="A1191">
        <v>1174</v>
      </c>
      <c r="B1191" s="100">
        <v>90.575079995218246</v>
      </c>
      <c r="C1191" s="100">
        <v>97.521766436654502</v>
      </c>
      <c r="D1191" s="100">
        <v>92.303150564705845</v>
      </c>
      <c r="E1191" s="100">
        <v>90.823366067344779</v>
      </c>
      <c r="F1191" s="100">
        <v>-3370.7473805106829</v>
      </c>
      <c r="G1191" s="100">
        <v>1032.1846049614223</v>
      </c>
      <c r="H1191" s="100">
        <v>1025.8590815615207</v>
      </c>
      <c r="I1191" s="100">
        <v>2557.2735873564484</v>
      </c>
      <c r="J1191" s="100">
        <v>1244.5698933687086</v>
      </c>
    </row>
    <row r="1192" spans="1:10" x14ac:dyDescent="0.25">
      <c r="A1192">
        <v>1175</v>
      </c>
      <c r="B1192" s="100">
        <v>89.310457645223906</v>
      </c>
      <c r="C1192" s="100">
        <v>97.976505182278629</v>
      </c>
      <c r="D1192" s="100">
        <v>92.591966378981354</v>
      </c>
      <c r="E1192" s="100">
        <v>93.357466329335267</v>
      </c>
      <c r="F1192" s="100">
        <v>802.50637447064014</v>
      </c>
      <c r="G1192" s="100">
        <v>350.07648652523216</v>
      </c>
      <c r="H1192" s="100">
        <v>448.22745301050304</v>
      </c>
      <c r="I1192" s="100">
        <v>23.17332536595984</v>
      </c>
      <c r="J1192" s="100">
        <v>1623.9836393723353</v>
      </c>
    </row>
    <row r="1193" spans="1:10" x14ac:dyDescent="0.25">
      <c r="A1193">
        <v>1176</v>
      </c>
      <c r="B1193" s="100">
        <v>89.581153653604119</v>
      </c>
      <c r="C1193" s="100">
        <v>97.246011227108795</v>
      </c>
      <c r="D1193" s="100">
        <v>92.856374998835136</v>
      </c>
      <c r="E1193" s="100">
        <v>94.220156727779909</v>
      </c>
      <c r="F1193" s="100">
        <v>-90.790453184062869</v>
      </c>
      <c r="G1193" s="100">
        <v>1445.8174192799831</v>
      </c>
      <c r="H1193" s="100">
        <v>-80.589786697061072</v>
      </c>
      <c r="I1193" s="100">
        <v>-839.51707307868162</v>
      </c>
      <c r="J1193" s="100">
        <v>434.92010632017752</v>
      </c>
    </row>
    <row r="1194" spans="1:10" x14ac:dyDescent="0.25">
      <c r="A1194">
        <v>1177</v>
      </c>
      <c r="B1194" s="100">
        <v>89.037962683528903</v>
      </c>
      <c r="C1194" s="100">
        <v>98.092046031717672</v>
      </c>
      <c r="D1194" s="100">
        <v>92.828985907519453</v>
      </c>
      <c r="E1194" s="100">
        <v>92.497394299526036</v>
      </c>
      <c r="F1194" s="100">
        <v>1701.7397480641491</v>
      </c>
      <c r="G1194" s="100">
        <v>176.76521236666787</v>
      </c>
      <c r="H1194" s="100">
        <v>-25.811604065694382</v>
      </c>
      <c r="I1194" s="100">
        <v>883.24535517519109</v>
      </c>
      <c r="J1194" s="100">
        <v>2735.9387115403138</v>
      </c>
    </row>
    <row r="1195" spans="1:10" x14ac:dyDescent="0.25">
      <c r="A1195">
        <v>1178</v>
      </c>
      <c r="B1195" s="100">
        <v>89.512723240425075</v>
      </c>
      <c r="C1195" s="100">
        <v>98.644709168394854</v>
      </c>
      <c r="D1195" s="100">
        <v>92.372744299807948</v>
      </c>
      <c r="E1195" s="100">
        <v>92.236273344709019</v>
      </c>
      <c r="F1195" s="100">
        <v>135.0299103067826</v>
      </c>
      <c r="G1195" s="100">
        <v>-652.22949264910562</v>
      </c>
      <c r="H1195" s="100">
        <v>886.67161135731476</v>
      </c>
      <c r="I1195" s="100">
        <v>1144.3663099922078</v>
      </c>
      <c r="J1195" s="100">
        <v>1513.8383390071995</v>
      </c>
    </row>
    <row r="1196" spans="1:10" x14ac:dyDescent="0.25">
      <c r="A1196">
        <v>1179</v>
      </c>
      <c r="B1196" s="100">
        <v>89.323496088666545</v>
      </c>
      <c r="C1196" s="100">
        <v>97.519017360403538</v>
      </c>
      <c r="D1196" s="100">
        <v>92.071959602367912</v>
      </c>
      <c r="E1196" s="100">
        <v>90.77964267018973</v>
      </c>
      <c r="F1196" s="100">
        <v>759.47951110993154</v>
      </c>
      <c r="G1196" s="100">
        <v>1036.3082193378686</v>
      </c>
      <c r="H1196" s="100">
        <v>1488.2410062373879</v>
      </c>
      <c r="I1196" s="100">
        <v>2600.9969845114965</v>
      </c>
      <c r="J1196" s="100">
        <v>5885.0257211966846</v>
      </c>
    </row>
    <row r="1197" spans="1:10" x14ac:dyDescent="0.25">
      <c r="A1197">
        <v>1180</v>
      </c>
      <c r="B1197" s="100">
        <v>90.454225786182363</v>
      </c>
      <c r="C1197" s="100">
        <v>97.539426337186001</v>
      </c>
      <c r="D1197" s="100">
        <v>92.682260076988271</v>
      </c>
      <c r="E1197" s="100">
        <v>94.40364243526227</v>
      </c>
      <c r="F1197" s="100">
        <v>-2971.928490692268</v>
      </c>
      <c r="G1197" s="100">
        <v>1005.6947541641748</v>
      </c>
      <c r="H1197" s="100">
        <v>267.64005699666882</v>
      </c>
      <c r="I1197" s="100">
        <v>-1023.0027805610433</v>
      </c>
      <c r="J1197" s="100">
        <v>-2721.5964600924676</v>
      </c>
    </row>
    <row r="1198" spans="1:10" x14ac:dyDescent="0.25">
      <c r="A1198">
        <v>1181</v>
      </c>
      <c r="B1198" s="100">
        <v>88.870184860167939</v>
      </c>
      <c r="C1198" s="100">
        <v>98.173129296151615</v>
      </c>
      <c r="D1198" s="100">
        <v>92.878508782718868</v>
      </c>
      <c r="E1198" s="100">
        <v>92.200640670468204</v>
      </c>
      <c r="F1198" s="100">
        <v>2255.4065651553315</v>
      </c>
      <c r="G1198" s="100">
        <v>55.140315715753729</v>
      </c>
      <c r="H1198" s="100">
        <v>-124.85735446452395</v>
      </c>
      <c r="I1198" s="100">
        <v>1179.9989842330233</v>
      </c>
      <c r="J1198" s="100">
        <v>3365.6885106395848</v>
      </c>
    </row>
    <row r="1199" spans="1:10" x14ac:dyDescent="0.25">
      <c r="A1199">
        <v>1182</v>
      </c>
      <c r="B1199" s="100">
        <v>90.000194844837537</v>
      </c>
      <c r="C1199" s="100">
        <v>97.124031984399565</v>
      </c>
      <c r="D1199" s="100">
        <v>91.609057655655093</v>
      </c>
      <c r="E1199" s="100">
        <v>94.32722168896305</v>
      </c>
      <c r="F1199" s="100">
        <v>-1473.6263842543437</v>
      </c>
      <c r="G1199" s="100">
        <v>1628.7862833438282</v>
      </c>
      <c r="H1199" s="100">
        <v>2414.0448996630257</v>
      </c>
      <c r="I1199" s="100">
        <v>-946.58203426182297</v>
      </c>
      <c r="J1199" s="100">
        <v>1622.6227644906871</v>
      </c>
    </row>
    <row r="1200" spans="1:10" x14ac:dyDescent="0.25">
      <c r="A1200">
        <v>1183</v>
      </c>
      <c r="B1200" s="100">
        <v>89.721829203331026</v>
      </c>
      <c r="C1200" s="100">
        <v>98.055233557563383</v>
      </c>
      <c r="D1200" s="100">
        <v>92.309530475711838</v>
      </c>
      <c r="E1200" s="100">
        <v>92.520347025010153</v>
      </c>
      <c r="F1200" s="100">
        <v>-555.0197672828574</v>
      </c>
      <c r="G1200" s="100">
        <v>231.98392359810072</v>
      </c>
      <c r="H1200" s="100">
        <v>1013.0992595495343</v>
      </c>
      <c r="I1200" s="100">
        <v>860.29262969107378</v>
      </c>
      <c r="J1200" s="100">
        <v>1550.3560455558513</v>
      </c>
    </row>
    <row r="1201" spans="1:10" x14ac:dyDescent="0.25">
      <c r="A1201">
        <v>1184</v>
      </c>
      <c r="B1201" s="100">
        <v>89.676948664376738</v>
      </c>
      <c r="C1201" s="100">
        <v>99.0192264688378</v>
      </c>
      <c r="D1201" s="100">
        <v>93.906233821076</v>
      </c>
      <c r="E1201" s="100">
        <v>90.910195953678624</v>
      </c>
      <c r="F1201" s="100">
        <v>-406.91398873370588</v>
      </c>
      <c r="G1201" s="100">
        <v>-1214.0054433135247</v>
      </c>
      <c r="H1201" s="100">
        <v>-2180.3074311787896</v>
      </c>
      <c r="I1201" s="100">
        <v>2470.4437010226029</v>
      </c>
      <c r="J1201" s="100">
        <v>-1330.7831622034173</v>
      </c>
    </row>
    <row r="1202" spans="1:10" x14ac:dyDescent="0.25">
      <c r="A1202">
        <v>1185</v>
      </c>
      <c r="B1202" s="100">
        <v>88.470984619726948</v>
      </c>
      <c r="C1202" s="100">
        <v>97.611941208153027</v>
      </c>
      <c r="D1202" s="100">
        <v>94.189791518448033</v>
      </c>
      <c r="E1202" s="100">
        <v>92.990265999319547</v>
      </c>
      <c r="F1202" s="100">
        <v>3572.7673586105993</v>
      </c>
      <c r="G1202" s="100">
        <v>896.92244771363505</v>
      </c>
      <c r="H1202" s="100">
        <v>-2747.4228259228539</v>
      </c>
      <c r="I1202" s="100">
        <v>390.3736553816799</v>
      </c>
      <c r="J1202" s="100">
        <v>2112.6406357830601</v>
      </c>
    </row>
    <row r="1203" spans="1:10" x14ac:dyDescent="0.25">
      <c r="A1203">
        <v>1186</v>
      </c>
      <c r="B1203" s="100">
        <v>89.776140591919344</v>
      </c>
      <c r="C1203" s="100">
        <v>99.956910742476779</v>
      </c>
      <c r="D1203" s="100">
        <v>92.16364316996831</v>
      </c>
      <c r="E1203" s="100">
        <v>92.836420902234693</v>
      </c>
      <c r="F1203" s="100">
        <v>-734.24734962430443</v>
      </c>
      <c r="G1203" s="100">
        <v>-2620.5318537719932</v>
      </c>
      <c r="H1203" s="100">
        <v>1304.873871036591</v>
      </c>
      <c r="I1203" s="100">
        <v>544.21875246653428</v>
      </c>
      <c r="J1203" s="100">
        <v>-1505.6865798931726</v>
      </c>
    </row>
    <row r="1204" spans="1:10" x14ac:dyDescent="0.25">
      <c r="A1204">
        <v>1187</v>
      </c>
      <c r="B1204" s="100">
        <v>89.007465266756938</v>
      </c>
      <c r="C1204" s="100">
        <v>98.250021689332939</v>
      </c>
      <c r="D1204" s="100">
        <v>91.953993072543525</v>
      </c>
      <c r="E1204" s="100">
        <v>91.385517348994881</v>
      </c>
      <c r="F1204" s="100">
        <v>1802.3812234116335</v>
      </c>
      <c r="G1204" s="100">
        <v>-60.198274056233458</v>
      </c>
      <c r="H1204" s="100">
        <v>1724.1740658861602</v>
      </c>
      <c r="I1204" s="100">
        <v>1995.1223057063457</v>
      </c>
      <c r="J1204" s="100">
        <v>5461.4793209479067</v>
      </c>
    </row>
    <row r="1205" spans="1:10" x14ac:dyDescent="0.25">
      <c r="A1205">
        <v>1188</v>
      </c>
      <c r="B1205" s="100">
        <v>89.237058380859082</v>
      </c>
      <c r="C1205" s="100">
        <v>98.687865564190673</v>
      </c>
      <c r="D1205" s="100">
        <v>94.202537662066987</v>
      </c>
      <c r="E1205" s="100">
        <v>92.900749403741429</v>
      </c>
      <c r="F1205" s="100">
        <v>1044.7239468745579</v>
      </c>
      <c r="G1205" s="100">
        <v>-716.96408634283421</v>
      </c>
      <c r="H1205" s="100">
        <v>-2772.9151131607637</v>
      </c>
      <c r="I1205" s="100">
        <v>479.89025095979798</v>
      </c>
      <c r="J1205" s="100">
        <v>-1965.2650016692419</v>
      </c>
    </row>
    <row r="1206" spans="1:10" x14ac:dyDescent="0.25">
      <c r="A1206">
        <v>1189</v>
      </c>
      <c r="B1206" s="100">
        <v>89.248418912020924</v>
      </c>
      <c r="C1206" s="100">
        <v>97.493140736000171</v>
      </c>
      <c r="D1206" s="100">
        <v>91.632858866075324</v>
      </c>
      <c r="E1206" s="100">
        <v>92.434050268952987</v>
      </c>
      <c r="F1206" s="100">
        <v>1007.2341940404812</v>
      </c>
      <c r="G1206" s="100">
        <v>1075.1231559429186</v>
      </c>
      <c r="H1206" s="100">
        <v>2366.4424788225633</v>
      </c>
      <c r="I1206" s="100">
        <v>946.58938574823992</v>
      </c>
      <c r="J1206" s="100">
        <v>5395.3892145542022</v>
      </c>
    </row>
    <row r="1207" spans="1:10" x14ac:dyDescent="0.25">
      <c r="A1207">
        <v>1190</v>
      </c>
      <c r="B1207" s="100">
        <v>89.973497475311547</v>
      </c>
      <c r="C1207" s="100">
        <v>97.84942108169254</v>
      </c>
      <c r="D1207" s="100">
        <v>93.446816003469493</v>
      </c>
      <c r="E1207" s="100">
        <v>91.836354770299138</v>
      </c>
      <c r="F1207" s="100">
        <v>-1385.5250648185745</v>
      </c>
      <c r="G1207" s="100">
        <v>540.7026374043653</v>
      </c>
      <c r="H1207" s="100">
        <v>-1261.4717959657753</v>
      </c>
      <c r="I1207" s="100">
        <v>1544.2848844020887</v>
      </c>
      <c r="J1207" s="100">
        <v>-562.00933897789582</v>
      </c>
    </row>
    <row r="1208" spans="1:10" x14ac:dyDescent="0.25">
      <c r="A1208">
        <v>1191</v>
      </c>
      <c r="B1208" s="100">
        <v>89.481807617205462</v>
      </c>
      <c r="C1208" s="100">
        <v>97.932878957468958</v>
      </c>
      <c r="D1208" s="100">
        <v>92.017676455692865</v>
      </c>
      <c r="E1208" s="100">
        <v>92.391624819357389</v>
      </c>
      <c r="F1208" s="100">
        <v>237.05146693150567</v>
      </c>
      <c r="G1208" s="100">
        <v>415.51582373973872</v>
      </c>
      <c r="H1208" s="100">
        <v>1596.807299587482</v>
      </c>
      <c r="I1208" s="100">
        <v>989.01483534383772</v>
      </c>
      <c r="J1208" s="100">
        <v>3238.3894256025637</v>
      </c>
    </row>
    <row r="1209" spans="1:10" x14ac:dyDescent="0.25">
      <c r="A1209">
        <v>1192</v>
      </c>
      <c r="B1209" s="100">
        <v>89.788429686721159</v>
      </c>
      <c r="C1209" s="100">
        <v>97.050806768461484</v>
      </c>
      <c r="D1209" s="100">
        <v>92.611036727487289</v>
      </c>
      <c r="E1209" s="100">
        <v>90.137469828081834</v>
      </c>
      <c r="F1209" s="100">
        <v>-774.80136247029486</v>
      </c>
      <c r="G1209" s="100">
        <v>1738.6241072509492</v>
      </c>
      <c r="H1209" s="100">
        <v>410.08675599863409</v>
      </c>
      <c r="I1209" s="100">
        <v>3243.1698266193935</v>
      </c>
      <c r="J1209" s="100">
        <v>4617.0793273986819</v>
      </c>
    </row>
    <row r="1210" spans="1:10" x14ac:dyDescent="0.25">
      <c r="A1210">
        <v>1193</v>
      </c>
      <c r="B1210" s="100">
        <v>89.433813749042642</v>
      </c>
      <c r="C1210" s="100">
        <v>98.795647555109184</v>
      </c>
      <c r="D1210" s="100">
        <v>91.725543281535749</v>
      </c>
      <c r="E1210" s="100">
        <v>93.325885429063646</v>
      </c>
      <c r="F1210" s="100">
        <v>395.43123186881104</v>
      </c>
      <c r="G1210" s="100">
        <v>-878.6370727206006</v>
      </c>
      <c r="H1210" s="100">
        <v>2181.0736479017123</v>
      </c>
      <c r="I1210" s="100">
        <v>54.754225637580589</v>
      </c>
      <c r="J1210" s="100">
        <v>1752.6220326875032</v>
      </c>
    </row>
    <row r="1211" spans="1:10" x14ac:dyDescent="0.25">
      <c r="A1211">
        <v>1194</v>
      </c>
      <c r="B1211" s="100">
        <v>89.118892672185595</v>
      </c>
      <c r="C1211" s="100">
        <v>100.24727029851032</v>
      </c>
      <c r="D1211" s="100">
        <v>93.341434906581853</v>
      </c>
      <c r="E1211" s="100">
        <v>92.337081647892745</v>
      </c>
      <c r="F1211" s="100">
        <v>1434.6707854970659</v>
      </c>
      <c r="G1211" s="100">
        <v>-3056.0711878222974</v>
      </c>
      <c r="H1211" s="100">
        <v>-1050.7096021904943</v>
      </c>
      <c r="I1211" s="100">
        <v>1043.5580068084819</v>
      </c>
      <c r="J1211" s="100">
        <v>-1628.5519977072436</v>
      </c>
    </row>
    <row r="1212" spans="1:10" x14ac:dyDescent="0.25">
      <c r="A1212">
        <v>1195</v>
      </c>
      <c r="B1212" s="100">
        <v>89.364497436621889</v>
      </c>
      <c r="C1212" s="100">
        <v>98.981750355732686</v>
      </c>
      <c r="D1212" s="100">
        <v>91.936394243354414</v>
      </c>
      <c r="E1212" s="100">
        <v>92.487039471397878</v>
      </c>
      <c r="F1212" s="100">
        <v>624.17506285729587</v>
      </c>
      <c r="G1212" s="100">
        <v>-1157.791273655853</v>
      </c>
      <c r="H1212" s="100">
        <v>1759.3717242643834</v>
      </c>
      <c r="I1212" s="100">
        <v>893.60018330334867</v>
      </c>
      <c r="J1212" s="100">
        <v>2119.3556967691748</v>
      </c>
    </row>
    <row r="1213" spans="1:10" x14ac:dyDescent="0.25">
      <c r="A1213">
        <v>1196</v>
      </c>
      <c r="B1213" s="100">
        <v>88.824030382208591</v>
      </c>
      <c r="C1213" s="100">
        <v>99.020641746653226</v>
      </c>
      <c r="D1213" s="100">
        <v>94.174826431402764</v>
      </c>
      <c r="E1213" s="100">
        <v>91.276738902096994</v>
      </c>
      <c r="F1213" s="100">
        <v>2407.7163424211803</v>
      </c>
      <c r="G1213" s="100">
        <v>-1216.128360036663</v>
      </c>
      <c r="H1213" s="100">
        <v>-2717.4926518323164</v>
      </c>
      <c r="I1213" s="100">
        <v>2103.9007526042324</v>
      </c>
      <c r="J1213" s="100">
        <v>577.99608315643331</v>
      </c>
    </row>
    <row r="1214" spans="1:10" x14ac:dyDescent="0.25">
      <c r="A1214">
        <v>1197</v>
      </c>
      <c r="B1214" s="100">
        <v>89.32807319745001</v>
      </c>
      <c r="C1214" s="100">
        <v>97.2932355495427</v>
      </c>
      <c r="D1214" s="100">
        <v>92.513167397896581</v>
      </c>
      <c r="E1214" s="100">
        <v>94.218007768210839</v>
      </c>
      <c r="F1214" s="100">
        <v>744.37505212449651</v>
      </c>
      <c r="G1214" s="100">
        <v>1374.9809356291253</v>
      </c>
      <c r="H1214" s="100">
        <v>605.82541518004973</v>
      </c>
      <c r="I1214" s="100">
        <v>-837.36811350961204</v>
      </c>
      <c r="J1214" s="100">
        <v>1887.8132894240593</v>
      </c>
    </row>
    <row r="1215" spans="1:10" x14ac:dyDescent="0.25">
      <c r="A1215">
        <v>1198</v>
      </c>
      <c r="B1215" s="100">
        <v>90.113513361960045</v>
      </c>
      <c r="C1215" s="100">
        <v>98.196220068808643</v>
      </c>
      <c r="D1215" s="100">
        <v>93.252818124355429</v>
      </c>
      <c r="E1215" s="100">
        <v>93.001313390965066</v>
      </c>
      <c r="F1215" s="100">
        <v>-1847.5774907586199</v>
      </c>
      <c r="G1215" s="100">
        <v>20.504156730211776</v>
      </c>
      <c r="H1215" s="100">
        <v>-873.47603773764604</v>
      </c>
      <c r="I1215" s="100">
        <v>379.32626373616074</v>
      </c>
      <c r="J1215" s="100">
        <v>-2321.2231080298934</v>
      </c>
    </row>
    <row r="1216" spans="1:10" x14ac:dyDescent="0.25">
      <c r="A1216">
        <v>1199</v>
      </c>
      <c r="B1216" s="100">
        <v>89.00262672667462</v>
      </c>
      <c r="C1216" s="100">
        <v>99.220841242825699</v>
      </c>
      <c r="D1216" s="100">
        <v>93.200737829279944</v>
      </c>
      <c r="E1216" s="100">
        <v>90.270850016334933</v>
      </c>
      <c r="F1216" s="100">
        <v>1818.3484056832824</v>
      </c>
      <c r="G1216" s="100">
        <v>-1516.4276042953729</v>
      </c>
      <c r="H1216" s="100">
        <v>-769.31544758667769</v>
      </c>
      <c r="I1216" s="100">
        <v>3109.7896383662942</v>
      </c>
      <c r="J1216" s="100">
        <v>2642.3949921675257</v>
      </c>
    </row>
    <row r="1217" spans="1:10" x14ac:dyDescent="0.25">
      <c r="A1217">
        <v>1200</v>
      </c>
      <c r="B1217" s="100">
        <v>89.765262074630002</v>
      </c>
      <c r="C1217" s="100">
        <v>96.508238181936363</v>
      </c>
      <c r="D1217" s="100">
        <v>92.482525687472233</v>
      </c>
      <c r="E1217" s="100">
        <v>93.561788301923059</v>
      </c>
      <c r="F1217" s="100">
        <v>-698.34824256947604</v>
      </c>
      <c r="G1217" s="100">
        <v>2552.4769870386308</v>
      </c>
      <c r="H1217" s="100">
        <v>667.1088360287456</v>
      </c>
      <c r="I1217" s="100">
        <v>-181.14864722183199</v>
      </c>
      <c r="J1217" s="100">
        <v>2340.088933276068</v>
      </c>
    </row>
    <row r="1218" spans="1:10" x14ac:dyDescent="0.25">
      <c r="A1218">
        <v>1201</v>
      </c>
      <c r="B1218" s="100">
        <v>89.176193938601401</v>
      </c>
      <c r="C1218" s="100">
        <v>97.943714257314085</v>
      </c>
      <c r="D1218" s="100">
        <v>93.456459178441378</v>
      </c>
      <c r="E1218" s="100">
        <v>95.662084163134921</v>
      </c>
      <c r="F1218" s="100">
        <v>1245.5766063249073</v>
      </c>
      <c r="G1218" s="100">
        <v>399.26287397204874</v>
      </c>
      <c r="H1218" s="100">
        <v>-1280.7581459095445</v>
      </c>
      <c r="I1218" s="100">
        <v>-2281.444508433694</v>
      </c>
      <c r="J1218" s="100">
        <v>-1917.3631740462824</v>
      </c>
    </row>
    <row r="1219" spans="1:10" x14ac:dyDescent="0.25">
      <c r="A1219">
        <v>1202</v>
      </c>
      <c r="B1219" s="100">
        <v>89.637109015917417</v>
      </c>
      <c r="C1219" s="100">
        <v>98.786023869419267</v>
      </c>
      <c r="D1219" s="100">
        <v>93.596539118535802</v>
      </c>
      <c r="E1219" s="100">
        <v>91.557997033635999</v>
      </c>
      <c r="F1219" s="100">
        <v>-275.44314881794776</v>
      </c>
      <c r="G1219" s="100">
        <v>-864.20154418572542</v>
      </c>
      <c r="H1219" s="100">
        <v>-1560.9180260983919</v>
      </c>
      <c r="I1219" s="100">
        <v>1822.6426210652278</v>
      </c>
      <c r="J1219" s="100">
        <v>-877.92009803683709</v>
      </c>
    </row>
    <row r="1220" spans="1:10" x14ac:dyDescent="0.25">
      <c r="A1220">
        <v>1203</v>
      </c>
      <c r="B1220" s="100">
        <v>89.765310543248745</v>
      </c>
      <c r="C1220" s="100">
        <v>98.463970789826874</v>
      </c>
      <c r="D1220" s="100">
        <v>91.922438605677357</v>
      </c>
      <c r="E1220" s="100">
        <v>92.329659041248931</v>
      </c>
      <c r="F1220" s="100">
        <v>-698.50818901132925</v>
      </c>
      <c r="G1220" s="100">
        <v>-381.12192479713514</v>
      </c>
      <c r="H1220" s="100">
        <v>1787.2829996184976</v>
      </c>
      <c r="I1220" s="100">
        <v>1050.980613452296</v>
      </c>
      <c r="J1220" s="100">
        <v>1758.6334992623292</v>
      </c>
    </row>
    <row r="1221" spans="1:10" x14ac:dyDescent="0.25">
      <c r="A1221">
        <v>1204</v>
      </c>
      <c r="B1221" s="100">
        <v>89.076630528319143</v>
      </c>
      <c r="C1221" s="100">
        <v>98.630945414674315</v>
      </c>
      <c r="D1221" s="100">
        <v>92.243611708960401</v>
      </c>
      <c r="E1221" s="100">
        <v>92.006210512074944</v>
      </c>
      <c r="F1221" s="100">
        <v>1574.135860256358</v>
      </c>
      <c r="G1221" s="100">
        <v>-631.58386206829675</v>
      </c>
      <c r="H1221" s="100">
        <v>1144.936793052409</v>
      </c>
      <c r="I1221" s="100">
        <v>1374.4291426262835</v>
      </c>
      <c r="J1221" s="100">
        <v>3461.9179338667536</v>
      </c>
    </row>
    <row r="1222" spans="1:10" x14ac:dyDescent="0.25">
      <c r="A1222">
        <v>1205</v>
      </c>
      <c r="B1222" s="100">
        <v>88.665799357825762</v>
      </c>
      <c r="C1222" s="100">
        <v>98.741803467801319</v>
      </c>
      <c r="D1222" s="100">
        <v>94.889267454010096</v>
      </c>
      <c r="E1222" s="100">
        <v>94.398415773548095</v>
      </c>
      <c r="F1222" s="100">
        <v>2929.8787228845158</v>
      </c>
      <c r="G1222" s="100">
        <v>-797.87094175880213</v>
      </c>
      <c r="H1222" s="100">
        <v>-4146.3746970469801</v>
      </c>
      <c r="I1222" s="100">
        <v>-1017.7761188468679</v>
      </c>
      <c r="J1222" s="100">
        <v>-3032.1430347681344</v>
      </c>
    </row>
    <row r="1223" spans="1:10" x14ac:dyDescent="0.25">
      <c r="A1223">
        <v>1206</v>
      </c>
      <c r="B1223" s="100">
        <v>88.595936430909319</v>
      </c>
      <c r="C1223" s="100">
        <v>99.751068353073421</v>
      </c>
      <c r="D1223" s="100">
        <v>93.080321131066682</v>
      </c>
      <c r="E1223" s="100">
        <v>93.573637749461909</v>
      </c>
      <c r="F1223" s="100">
        <v>3160.4263817087767</v>
      </c>
      <c r="G1223" s="100">
        <v>-2311.7682696669563</v>
      </c>
      <c r="H1223" s="100">
        <v>-528.48205116015379</v>
      </c>
      <c r="I1223" s="100">
        <v>-192.99809476068219</v>
      </c>
      <c r="J1223" s="100">
        <v>127.17796612098448</v>
      </c>
    </row>
    <row r="1224" spans="1:10" x14ac:dyDescent="0.25">
      <c r="A1224">
        <v>1207</v>
      </c>
      <c r="B1224" s="100">
        <v>88.852156158720447</v>
      </c>
      <c r="C1224" s="100">
        <v>97.2931237257921</v>
      </c>
      <c r="D1224" s="100">
        <v>92.968083508487766</v>
      </c>
      <c r="E1224" s="100">
        <v>91.294661688857374</v>
      </c>
      <c r="F1224" s="100">
        <v>2314.9012799320531</v>
      </c>
      <c r="G1224" s="100">
        <v>1375.1486712550261</v>
      </c>
      <c r="H1224" s="100">
        <v>-304.00680600232022</v>
      </c>
      <c r="I1224" s="100">
        <v>2085.9779658438529</v>
      </c>
      <c r="J1224" s="100">
        <v>5472.0211110286118</v>
      </c>
    </row>
    <row r="1225" spans="1:10" x14ac:dyDescent="0.25">
      <c r="A1225">
        <v>1208</v>
      </c>
      <c r="B1225" s="100">
        <v>89.096521860984964</v>
      </c>
      <c r="C1225" s="100">
        <v>96.738030561472002</v>
      </c>
      <c r="D1225" s="100">
        <v>92.565739763710923</v>
      </c>
      <c r="E1225" s="100">
        <v>93.627640650902137</v>
      </c>
      <c r="F1225" s="100">
        <v>1508.4944624591471</v>
      </c>
      <c r="G1225" s="100">
        <v>2207.7884177351734</v>
      </c>
      <c r="H1225" s="100">
        <v>500.68068355136575</v>
      </c>
      <c r="I1225" s="100">
        <v>-247.00099620091009</v>
      </c>
      <c r="J1225" s="100">
        <v>3969.9625675447769</v>
      </c>
    </row>
    <row r="1226" spans="1:10" x14ac:dyDescent="0.25">
      <c r="A1226">
        <v>1209</v>
      </c>
      <c r="B1226" s="100">
        <v>89.35895992490407</v>
      </c>
      <c r="C1226" s="100">
        <v>98.317342309698546</v>
      </c>
      <c r="D1226" s="100">
        <v>92.577401966884594</v>
      </c>
      <c r="E1226" s="100">
        <v>95.45786149517491</v>
      </c>
      <c r="F1226" s="100">
        <v>642.44885152609754</v>
      </c>
      <c r="G1226" s="100">
        <v>-161.17920460464319</v>
      </c>
      <c r="H1226" s="100">
        <v>477.35627720402363</v>
      </c>
      <c r="I1226" s="100">
        <v>-2077.2218404736832</v>
      </c>
      <c r="J1226" s="100">
        <v>-1118.5959163482053</v>
      </c>
    </row>
    <row r="1227" spans="1:10" x14ac:dyDescent="0.25">
      <c r="A1227">
        <v>1210</v>
      </c>
      <c r="B1227" s="100">
        <v>90.003641113633492</v>
      </c>
      <c r="C1227" s="100">
        <v>97.468016077175434</v>
      </c>
      <c r="D1227" s="100">
        <v>93.569698391754358</v>
      </c>
      <c r="E1227" s="100">
        <v>91.931409384147614</v>
      </c>
      <c r="F1227" s="100">
        <v>-1484.999071280994</v>
      </c>
      <c r="G1227" s="100">
        <v>1112.8101441800241</v>
      </c>
      <c r="H1227" s="100">
        <v>-1507.2365725355041</v>
      </c>
      <c r="I1227" s="100">
        <v>1449.2302705536133</v>
      </c>
      <c r="J1227" s="100">
        <v>-430.19522908286081</v>
      </c>
    </row>
    <row r="1228" spans="1:10" x14ac:dyDescent="0.25">
      <c r="A1228">
        <v>1211</v>
      </c>
      <c r="B1228" s="100">
        <v>90.873023789553585</v>
      </c>
      <c r="C1228" s="100">
        <v>97.10767716863289</v>
      </c>
      <c r="D1228" s="100">
        <v>94.944455756135113</v>
      </c>
      <c r="E1228" s="100">
        <v>91.141651918733515</v>
      </c>
      <c r="F1228" s="100">
        <v>-4353.9619018173016</v>
      </c>
      <c r="G1228" s="100">
        <v>1653.3185069938413</v>
      </c>
      <c r="H1228" s="100">
        <v>-4256.7513012970157</v>
      </c>
      <c r="I1228" s="100">
        <v>2238.9877359677116</v>
      </c>
      <c r="J1228" s="100">
        <v>-4718.4069601527644</v>
      </c>
    </row>
    <row r="1229" spans="1:10" x14ac:dyDescent="0.25">
      <c r="A1229">
        <v>1212</v>
      </c>
      <c r="B1229" s="100">
        <v>89.591252474911755</v>
      </c>
      <c r="C1229" s="100">
        <v>96.907393672871123</v>
      </c>
      <c r="D1229" s="100">
        <v>94.28068668162102</v>
      </c>
      <c r="E1229" s="100">
        <v>91.058753741946092</v>
      </c>
      <c r="F1229" s="100">
        <v>-124.11656349926261</v>
      </c>
      <c r="G1229" s="100">
        <v>1953.7437506364909</v>
      </c>
      <c r="H1229" s="100">
        <v>-2929.2131522688296</v>
      </c>
      <c r="I1229" s="100">
        <v>2321.8859127551355</v>
      </c>
      <c r="J1229" s="100">
        <v>1222.2999476235341</v>
      </c>
    </row>
    <row r="1230" spans="1:10" x14ac:dyDescent="0.25">
      <c r="A1230">
        <v>1213</v>
      </c>
      <c r="B1230" s="100">
        <v>89.656411167651612</v>
      </c>
      <c r="C1230" s="100">
        <v>95.8623933742048</v>
      </c>
      <c r="D1230" s="100">
        <v>91.950168509883369</v>
      </c>
      <c r="E1230" s="100">
        <v>94.934757544257295</v>
      </c>
      <c r="F1230" s="100">
        <v>-339.14024954079025</v>
      </c>
      <c r="G1230" s="100">
        <v>3521.2441986359763</v>
      </c>
      <c r="H1230" s="100">
        <v>1731.8231912064732</v>
      </c>
      <c r="I1230" s="100">
        <v>-1554.1178895560677</v>
      </c>
      <c r="J1230" s="100">
        <v>3359.8092507455913</v>
      </c>
    </row>
    <row r="1231" spans="1:10" x14ac:dyDescent="0.25">
      <c r="A1231">
        <v>1214</v>
      </c>
      <c r="B1231" s="100">
        <v>90.236725966457428</v>
      </c>
      <c r="C1231" s="100">
        <v>99.718635442817828</v>
      </c>
      <c r="D1231" s="100">
        <v>92.62646845472166</v>
      </c>
      <c r="E1231" s="100">
        <v>91.353818411752968</v>
      </c>
      <c r="F1231" s="100">
        <v>-2254.179085599982</v>
      </c>
      <c r="G1231" s="100">
        <v>-2263.1189042835658</v>
      </c>
      <c r="H1231" s="100">
        <v>379.22330152989048</v>
      </c>
      <c r="I1231" s="100">
        <v>2026.8212429482587</v>
      </c>
      <c r="J1231" s="100">
        <v>-2111.253445405398</v>
      </c>
    </row>
    <row r="1232" spans="1:10" x14ac:dyDescent="0.25">
      <c r="A1232">
        <v>1215</v>
      </c>
      <c r="B1232" s="100">
        <v>89.817429610361216</v>
      </c>
      <c r="C1232" s="100">
        <v>98.581467969593433</v>
      </c>
      <c r="D1232" s="100">
        <v>94.414759863451692</v>
      </c>
      <c r="E1232" s="100">
        <v>93.765985870703346</v>
      </c>
      <c r="F1232" s="100">
        <v>-870.50111048248482</v>
      </c>
      <c r="G1232" s="100">
        <v>-557.36769444697393</v>
      </c>
      <c r="H1232" s="100">
        <v>-3197.359515930174</v>
      </c>
      <c r="I1232" s="100">
        <v>-385.34621600211949</v>
      </c>
      <c r="J1232" s="100">
        <v>-5010.5745368617518</v>
      </c>
    </row>
    <row r="1233" spans="1:10" x14ac:dyDescent="0.25">
      <c r="A1233">
        <v>1216</v>
      </c>
      <c r="B1233" s="100">
        <v>89.579683090933017</v>
      </c>
      <c r="C1233" s="100">
        <v>97.94736912558092</v>
      </c>
      <c r="D1233" s="100">
        <v>93.604973704349888</v>
      </c>
      <c r="E1233" s="100">
        <v>92.135473407959623</v>
      </c>
      <c r="F1233" s="100">
        <v>-85.937596369426217</v>
      </c>
      <c r="G1233" s="100">
        <v>393.78057157179569</v>
      </c>
      <c r="H1233" s="100">
        <v>-1577.7871977265647</v>
      </c>
      <c r="I1233" s="100">
        <v>1245.1662467416043</v>
      </c>
      <c r="J1233" s="100">
        <v>-24.777975782591056</v>
      </c>
    </row>
    <row r="1234" spans="1:10" x14ac:dyDescent="0.25">
      <c r="A1234">
        <v>1217</v>
      </c>
      <c r="B1234" s="100">
        <v>88.751126205222803</v>
      </c>
      <c r="C1234" s="100">
        <v>99.654009181090373</v>
      </c>
      <c r="D1234" s="100">
        <v>94.180668108246877</v>
      </c>
      <c r="E1234" s="100">
        <v>95.650292539280883</v>
      </c>
      <c r="F1234" s="100">
        <v>2648.3001264742784</v>
      </c>
      <c r="G1234" s="100">
        <v>-2166.179511692384</v>
      </c>
      <c r="H1234" s="100">
        <v>-2729.1760055205432</v>
      </c>
      <c r="I1234" s="100">
        <v>-2269.6528845796565</v>
      </c>
      <c r="J1234" s="100">
        <v>-4516.7082753183058</v>
      </c>
    </row>
    <row r="1235" spans="1:10" x14ac:dyDescent="0.25">
      <c r="A1235">
        <v>1218</v>
      </c>
      <c r="B1235" s="100">
        <v>88.450808434731627</v>
      </c>
      <c r="C1235" s="100">
        <v>98.790927018209146</v>
      </c>
      <c r="D1235" s="100">
        <v>92.301758773577831</v>
      </c>
      <c r="E1235" s="100">
        <v>91.79646183205989</v>
      </c>
      <c r="F1235" s="100">
        <v>3639.3487690951602</v>
      </c>
      <c r="G1235" s="100">
        <v>-871.55626737054354</v>
      </c>
      <c r="H1235" s="100">
        <v>1028.6426638175499</v>
      </c>
      <c r="I1235" s="100">
        <v>1584.1778226413367</v>
      </c>
      <c r="J1235" s="100">
        <v>5380.6129881835031</v>
      </c>
    </row>
    <row r="1236" spans="1:10" x14ac:dyDescent="0.25">
      <c r="A1236">
        <v>1219</v>
      </c>
      <c r="B1236" s="100">
        <v>89.605028839243246</v>
      </c>
      <c r="C1236" s="100">
        <v>98.641468022832228</v>
      </c>
      <c r="D1236" s="100">
        <v>92.673238618530291</v>
      </c>
      <c r="E1236" s="100">
        <v>94.201544141149256</v>
      </c>
      <c r="F1236" s="100">
        <v>-169.5785657931836</v>
      </c>
      <c r="G1236" s="100">
        <v>-647.36777430516668</v>
      </c>
      <c r="H1236" s="100">
        <v>285.68297391262831</v>
      </c>
      <c r="I1236" s="100">
        <v>-820.90448644802905</v>
      </c>
      <c r="J1236" s="100">
        <v>-1352.167852633751</v>
      </c>
    </row>
    <row r="1237" spans="1:10" x14ac:dyDescent="0.25">
      <c r="A1237">
        <v>1220</v>
      </c>
      <c r="B1237" s="100">
        <v>89.470122090099167</v>
      </c>
      <c r="C1237" s="100">
        <v>97.179389027932416</v>
      </c>
      <c r="D1237" s="100">
        <v>93.086822186751078</v>
      </c>
      <c r="E1237" s="100">
        <v>90.569708010961165</v>
      </c>
      <c r="F1237" s="100">
        <v>275.61370638227771</v>
      </c>
      <c r="G1237" s="100">
        <v>1545.7507180445518</v>
      </c>
      <c r="H1237" s="100">
        <v>-541.48416252894549</v>
      </c>
      <c r="I1237" s="100">
        <v>2810.9316437400621</v>
      </c>
      <c r="J1237" s="100">
        <v>4090.8119056379464</v>
      </c>
    </row>
    <row r="1238" spans="1:10" x14ac:dyDescent="0.25">
      <c r="A1238">
        <v>1221</v>
      </c>
      <c r="B1238" s="100">
        <v>90.098763053138313</v>
      </c>
      <c r="C1238" s="100">
        <v>97.653874886050588</v>
      </c>
      <c r="D1238" s="100">
        <v>93.663228566619011</v>
      </c>
      <c r="E1238" s="100">
        <v>95.330477123967299</v>
      </c>
      <c r="F1238" s="100">
        <v>-1798.9014716469044</v>
      </c>
      <c r="G1238" s="100">
        <v>834.02193086729426</v>
      </c>
      <c r="H1238" s="100">
        <v>-1694.2969222648117</v>
      </c>
      <c r="I1238" s="100">
        <v>-1949.8374692660718</v>
      </c>
      <c r="J1238" s="100">
        <v>-4609.0139323104941</v>
      </c>
    </row>
    <row r="1239" spans="1:10" x14ac:dyDescent="0.25">
      <c r="A1239">
        <v>1222</v>
      </c>
      <c r="B1239" s="100">
        <v>89.930224334862999</v>
      </c>
      <c r="C1239" s="100">
        <v>98.336433610804946</v>
      </c>
      <c r="D1239" s="100">
        <v>92.966729891416108</v>
      </c>
      <c r="E1239" s="100">
        <v>91.69439889671149</v>
      </c>
      <c r="F1239" s="100">
        <v>-1242.723701338366</v>
      </c>
      <c r="G1239" s="100">
        <v>-189.81615626424286</v>
      </c>
      <c r="H1239" s="100">
        <v>-301.2995718590048</v>
      </c>
      <c r="I1239" s="100">
        <v>1686.2407579897365</v>
      </c>
      <c r="J1239" s="100">
        <v>-47.598671471877196</v>
      </c>
    </row>
    <row r="1240" spans="1:10" x14ac:dyDescent="0.25">
      <c r="A1240">
        <v>1223</v>
      </c>
      <c r="B1240" s="100">
        <v>89.442938759081727</v>
      </c>
      <c r="C1240" s="100">
        <v>97.577616401351335</v>
      </c>
      <c r="D1240" s="100">
        <v>93.544532502465515</v>
      </c>
      <c r="E1240" s="100">
        <v>93.927910900181843</v>
      </c>
      <c r="F1240" s="100">
        <v>365.31869873982998</v>
      </c>
      <c r="G1240" s="100">
        <v>948.40965791617293</v>
      </c>
      <c r="H1240" s="100">
        <v>-1456.9047939578184</v>
      </c>
      <c r="I1240" s="100">
        <v>-547.27124548061568</v>
      </c>
      <c r="J1240" s="100">
        <v>-690.44768278243112</v>
      </c>
    </row>
    <row r="1241" spans="1:10" x14ac:dyDescent="0.25">
      <c r="A1241">
        <v>1224</v>
      </c>
      <c r="B1241" s="100">
        <v>89.323697013890211</v>
      </c>
      <c r="C1241" s="100">
        <v>98.203239916376162</v>
      </c>
      <c r="D1241" s="100">
        <v>92.564834340413427</v>
      </c>
      <c r="E1241" s="100">
        <v>89.92070193833473</v>
      </c>
      <c r="F1241" s="100">
        <v>758.81645787183345</v>
      </c>
      <c r="G1241" s="100">
        <v>9.9743853789320269</v>
      </c>
      <c r="H1241" s="100">
        <v>502.49153014635795</v>
      </c>
      <c r="I1241" s="100">
        <v>3459.9377163664967</v>
      </c>
      <c r="J1241" s="100">
        <v>4731.2200897636203</v>
      </c>
    </row>
    <row r="1242" spans="1:10" x14ac:dyDescent="0.25">
      <c r="A1242">
        <v>1225</v>
      </c>
      <c r="B1242" s="100">
        <v>89.768175347220478</v>
      </c>
      <c r="C1242" s="100">
        <v>98.132577107476507</v>
      </c>
      <c r="D1242" s="100">
        <v>92.337441652112901</v>
      </c>
      <c r="E1242" s="100">
        <v>94.455861067086758</v>
      </c>
      <c r="F1242" s="100">
        <v>-707.9620421180465</v>
      </c>
      <c r="G1242" s="100">
        <v>115.96859872841492</v>
      </c>
      <c r="H1242" s="100">
        <v>957.27690674740984</v>
      </c>
      <c r="I1242" s="100">
        <v>-1075.221412385531</v>
      </c>
      <c r="J1242" s="100">
        <v>-709.93794902775278</v>
      </c>
    </row>
    <row r="1243" spans="1:10" x14ac:dyDescent="0.25">
      <c r="A1243">
        <v>1226</v>
      </c>
      <c r="B1243" s="100">
        <v>90.096434930970233</v>
      </c>
      <c r="C1243" s="100">
        <v>98.208469067751395</v>
      </c>
      <c r="D1243" s="100">
        <v>92.909041103713548</v>
      </c>
      <c r="E1243" s="100">
        <v>91.890448716387311</v>
      </c>
      <c r="F1243" s="100">
        <v>-1791.218668492239</v>
      </c>
      <c r="G1243" s="100">
        <v>2.1306583160836112</v>
      </c>
      <c r="H1243" s="100">
        <v>-185.92199645388519</v>
      </c>
      <c r="I1243" s="100">
        <v>1490.1909383139155</v>
      </c>
      <c r="J1243" s="100">
        <v>-484.81906831612514</v>
      </c>
    </row>
    <row r="1244" spans="1:10" x14ac:dyDescent="0.25">
      <c r="A1244">
        <v>1227</v>
      </c>
      <c r="B1244" s="100">
        <v>89.684102512687147</v>
      </c>
      <c r="C1244" s="100">
        <v>97.097109275777626</v>
      </c>
      <c r="D1244" s="100">
        <v>92.391264585831649</v>
      </c>
      <c r="E1244" s="100">
        <v>93.628854418400067</v>
      </c>
      <c r="F1244" s="100">
        <v>-430.52168815805629</v>
      </c>
      <c r="G1244" s="100">
        <v>1669.1703462767364</v>
      </c>
      <c r="H1244" s="100">
        <v>849.63103930991224</v>
      </c>
      <c r="I1244" s="100">
        <v>-248.2147636988401</v>
      </c>
      <c r="J1244" s="100">
        <v>1840.0649337297518</v>
      </c>
    </row>
    <row r="1245" spans="1:10" x14ac:dyDescent="0.25">
      <c r="A1245">
        <v>1228</v>
      </c>
      <c r="B1245" s="100">
        <v>89.198268865642788</v>
      </c>
      <c r="C1245" s="100">
        <v>98.94484620410033</v>
      </c>
      <c r="D1245" s="100">
        <v>92.006596855459819</v>
      </c>
      <c r="E1245" s="100">
        <v>91.086748898735308</v>
      </c>
      <c r="F1245" s="100">
        <v>1172.7293470883283</v>
      </c>
      <c r="G1245" s="100">
        <v>-1102.4350462073187</v>
      </c>
      <c r="H1245" s="100">
        <v>1618.966500053574</v>
      </c>
      <c r="I1245" s="100">
        <v>2293.8907559659183</v>
      </c>
      <c r="J1245" s="100">
        <v>3983.1515569005019</v>
      </c>
    </row>
    <row r="1246" spans="1:10" x14ac:dyDescent="0.25">
      <c r="A1246">
        <v>1229</v>
      </c>
      <c r="B1246" s="100">
        <v>89.975665708252762</v>
      </c>
      <c r="C1246" s="100">
        <v>98.205050704506363</v>
      </c>
      <c r="D1246" s="100">
        <v>92.867759348802466</v>
      </c>
      <c r="E1246" s="100">
        <v>92.57458969529587</v>
      </c>
      <c r="F1246" s="100">
        <v>-1392.6802335245866</v>
      </c>
      <c r="G1246" s="100">
        <v>7.2582031836319061</v>
      </c>
      <c r="H1246" s="100">
        <v>-103.35848663171987</v>
      </c>
      <c r="I1246" s="100">
        <v>806.04995940535673</v>
      </c>
      <c r="J1246" s="100">
        <v>-682.73055756731787</v>
      </c>
    </row>
    <row r="1247" spans="1:10" x14ac:dyDescent="0.25">
      <c r="A1247">
        <v>1230</v>
      </c>
      <c r="B1247" s="100">
        <v>88.559972528538722</v>
      </c>
      <c r="C1247" s="100">
        <v>97.964158240564899</v>
      </c>
      <c r="D1247" s="100">
        <v>94.252810829167188</v>
      </c>
      <c r="E1247" s="100">
        <v>91.454926203915079</v>
      </c>
      <c r="F1247" s="100">
        <v>3279.107259531746</v>
      </c>
      <c r="G1247" s="100">
        <v>368.59689909582727</v>
      </c>
      <c r="H1247" s="100">
        <v>-2873.4614473611655</v>
      </c>
      <c r="I1247" s="100">
        <v>1925.7134507861479</v>
      </c>
      <c r="J1247" s="100">
        <v>2699.9561620525556</v>
      </c>
    </row>
    <row r="1248" spans="1:10" x14ac:dyDescent="0.25">
      <c r="A1248">
        <v>1231</v>
      </c>
      <c r="B1248" s="100">
        <v>89.601980333523571</v>
      </c>
      <c r="C1248" s="100">
        <v>99.767262375547318</v>
      </c>
      <c r="D1248" s="100">
        <v>93.385771518595334</v>
      </c>
      <c r="E1248" s="100">
        <v>91.252707422133696</v>
      </c>
      <c r="F1248" s="100">
        <v>-159.51849691825402</v>
      </c>
      <c r="G1248" s="100">
        <v>-2336.0593033778018</v>
      </c>
      <c r="H1248" s="100">
        <v>-1139.3828262174566</v>
      </c>
      <c r="I1248" s="100">
        <v>2127.9322325675312</v>
      </c>
      <c r="J1248" s="100">
        <v>-1507.0283939459814</v>
      </c>
    </row>
    <row r="1249" spans="1:10" x14ac:dyDescent="0.25">
      <c r="A1249">
        <v>1232</v>
      </c>
      <c r="B1249" s="100">
        <v>88.26249519377204</v>
      </c>
      <c r="C1249" s="100">
        <v>98.797294001245405</v>
      </c>
      <c r="D1249" s="100">
        <v>93.011832697021447</v>
      </c>
      <c r="E1249" s="100">
        <v>94.198224196706335</v>
      </c>
      <c r="F1249" s="100">
        <v>4260.7824642617989</v>
      </c>
      <c r="G1249" s="100">
        <v>-881.10674192493116</v>
      </c>
      <c r="H1249" s="100">
        <v>-391.50518306968252</v>
      </c>
      <c r="I1249" s="100">
        <v>-817.58454200510755</v>
      </c>
      <c r="J1249" s="100">
        <v>2170.5859972620774</v>
      </c>
    </row>
    <row r="1250" spans="1:10" x14ac:dyDescent="0.25">
      <c r="A1250">
        <v>1233</v>
      </c>
      <c r="B1250" s="100">
        <v>88.482463997820062</v>
      </c>
      <c r="C1250" s="100">
        <v>97.734729340728279</v>
      </c>
      <c r="D1250" s="100">
        <v>95.095958809406241</v>
      </c>
      <c r="E1250" s="100">
        <v>95.02761595562994</v>
      </c>
      <c r="F1250" s="100">
        <v>3534.8854109033241</v>
      </c>
      <c r="G1250" s="100">
        <v>712.7402488507571</v>
      </c>
      <c r="H1250" s="100">
        <v>-4559.7574078392709</v>
      </c>
      <c r="I1250" s="100">
        <v>-1646.9763009287135</v>
      </c>
      <c r="J1250" s="100">
        <v>-1959.1080490139029</v>
      </c>
    </row>
    <row r="1251" spans="1:10" x14ac:dyDescent="0.25">
      <c r="A1251">
        <v>1234</v>
      </c>
      <c r="B1251" s="100">
        <v>89.625485831196073</v>
      </c>
      <c r="C1251" s="100">
        <v>97.64312537262613</v>
      </c>
      <c r="D1251" s="100">
        <v>93.802005151980183</v>
      </c>
      <c r="E1251" s="100">
        <v>93.688605167624218</v>
      </c>
      <c r="F1251" s="100">
        <v>-237.08663923751203</v>
      </c>
      <c r="G1251" s="100">
        <v>850.1462010039802</v>
      </c>
      <c r="H1251" s="100">
        <v>-1971.8500929871539</v>
      </c>
      <c r="I1251" s="100">
        <v>-307.96551292299057</v>
      </c>
      <c r="J1251" s="100">
        <v>-1666.7560441436763</v>
      </c>
    </row>
    <row r="1252" spans="1:10" x14ac:dyDescent="0.25">
      <c r="A1252">
        <v>1235</v>
      </c>
      <c r="B1252" s="100">
        <v>90.232876068398824</v>
      </c>
      <c r="C1252" s="100">
        <v>99.307315070392463</v>
      </c>
      <c r="D1252" s="100">
        <v>94.820555887017733</v>
      </c>
      <c r="E1252" s="100">
        <v>95.28999439469932</v>
      </c>
      <c r="F1252" s="100">
        <v>-2241.4744220065886</v>
      </c>
      <c r="G1252" s="100">
        <v>-1646.138345645518</v>
      </c>
      <c r="H1252" s="100">
        <v>-4008.9515630622545</v>
      </c>
      <c r="I1252" s="100">
        <v>-1909.3547399980935</v>
      </c>
      <c r="J1252" s="100">
        <v>-9805.9190707124544</v>
      </c>
    </row>
    <row r="1253" spans="1:10" x14ac:dyDescent="0.25">
      <c r="A1253">
        <v>1236</v>
      </c>
      <c r="B1253" s="100">
        <v>88.963313035442823</v>
      </c>
      <c r="C1253" s="100">
        <v>98.732860812834815</v>
      </c>
      <c r="D1253" s="100">
        <v>93.163492983436527</v>
      </c>
      <c r="E1253" s="100">
        <v>95.057754216179433</v>
      </c>
      <c r="F1253" s="100">
        <v>1948.0835867482128</v>
      </c>
      <c r="G1253" s="100">
        <v>-784.45695930904685</v>
      </c>
      <c r="H1253" s="100">
        <v>-694.82575589984208</v>
      </c>
      <c r="I1253" s="100">
        <v>-1677.1145614782058</v>
      </c>
      <c r="J1253" s="100">
        <v>-1208.3136899388819</v>
      </c>
    </row>
    <row r="1254" spans="1:10" x14ac:dyDescent="0.25">
      <c r="A1254">
        <v>1237</v>
      </c>
      <c r="B1254" s="100">
        <v>90.870523797636864</v>
      </c>
      <c r="C1254" s="100">
        <v>98.160049109414402</v>
      </c>
      <c r="D1254" s="100">
        <v>93.771197807269544</v>
      </c>
      <c r="E1254" s="100">
        <v>91.995935661973846</v>
      </c>
      <c r="F1254" s="100">
        <v>-4345.7119284921209</v>
      </c>
      <c r="G1254" s="100">
        <v>74.760595821572906</v>
      </c>
      <c r="H1254" s="100">
        <v>-1910.2354035658777</v>
      </c>
      <c r="I1254" s="100">
        <v>1384.7039927273813</v>
      </c>
      <c r="J1254" s="100">
        <v>-4796.4827435090447</v>
      </c>
    </row>
    <row r="1255" spans="1:10" x14ac:dyDescent="0.25">
      <c r="A1255">
        <v>1238</v>
      </c>
      <c r="B1255" s="100">
        <v>89.820818054238671</v>
      </c>
      <c r="C1255" s="100">
        <v>98.437803937661272</v>
      </c>
      <c r="D1255" s="100">
        <v>92.692729995165976</v>
      </c>
      <c r="E1255" s="100">
        <v>94.479319972410423</v>
      </c>
      <c r="F1255" s="100">
        <v>-881.68297527808613</v>
      </c>
      <c r="G1255" s="100">
        <v>-341.87164654873214</v>
      </c>
      <c r="H1255" s="100">
        <v>246.70022064125874</v>
      </c>
      <c r="I1255" s="100">
        <v>-1098.6803177091956</v>
      </c>
      <c r="J1255" s="100">
        <v>-2075.5347188947553</v>
      </c>
    </row>
    <row r="1256" spans="1:10" x14ac:dyDescent="0.25">
      <c r="A1256">
        <v>1239</v>
      </c>
      <c r="B1256" s="100">
        <v>89.72302987266913</v>
      </c>
      <c r="C1256" s="100">
        <v>97.396199208230811</v>
      </c>
      <c r="D1256" s="100">
        <v>92.233216126534131</v>
      </c>
      <c r="E1256" s="100">
        <v>94.892404851314268</v>
      </c>
      <c r="F1256" s="100">
        <v>-558.9819760986004</v>
      </c>
      <c r="G1256" s="100">
        <v>1220.5354475969584</v>
      </c>
      <c r="H1256" s="100">
        <v>1165.7279579049487</v>
      </c>
      <c r="I1256" s="100">
        <v>-1511.7651966130411</v>
      </c>
      <c r="J1256" s="100">
        <v>315.51623279026558</v>
      </c>
    </row>
    <row r="1257" spans="1:10" x14ac:dyDescent="0.25">
      <c r="A1257">
        <v>1240</v>
      </c>
      <c r="B1257" s="100">
        <v>89.718992887285864</v>
      </c>
      <c r="C1257" s="100">
        <v>98.666808170857578</v>
      </c>
      <c r="D1257" s="100">
        <v>91.79171664631869</v>
      </c>
      <c r="E1257" s="100">
        <v>93.659571464816608</v>
      </c>
      <c r="F1257" s="100">
        <v>-545.65992433382326</v>
      </c>
      <c r="G1257" s="100">
        <v>-685.37799634319185</v>
      </c>
      <c r="H1257" s="100">
        <v>2048.7269183358308</v>
      </c>
      <c r="I1257" s="100">
        <v>-278.93181011538104</v>
      </c>
      <c r="J1257" s="100">
        <v>538.75718754343461</v>
      </c>
    </row>
    <row r="1258" spans="1:10" x14ac:dyDescent="0.25">
      <c r="A1258">
        <v>1241</v>
      </c>
      <c r="B1258" s="100">
        <v>89.132450211468566</v>
      </c>
      <c r="C1258" s="100">
        <v>99.438026932543366</v>
      </c>
      <c r="D1258" s="100">
        <v>92.568162957774717</v>
      </c>
      <c r="E1258" s="100">
        <v>90.614108362074447</v>
      </c>
      <c r="F1258" s="100">
        <v>1389.9309058632625</v>
      </c>
      <c r="G1258" s="100">
        <v>-1842.206138871873</v>
      </c>
      <c r="H1258" s="100">
        <v>495.83429542377644</v>
      </c>
      <c r="I1258" s="100">
        <v>2766.5312926267802</v>
      </c>
      <c r="J1258" s="100">
        <v>2810.0903550419462</v>
      </c>
    </row>
    <row r="1259" spans="1:10" x14ac:dyDescent="0.25">
      <c r="A1259">
        <v>1242</v>
      </c>
      <c r="B1259" s="100">
        <v>89.766244281395117</v>
      </c>
      <c r="C1259" s="100">
        <v>98.340607531557623</v>
      </c>
      <c r="D1259" s="100">
        <v>93.993416537397891</v>
      </c>
      <c r="E1259" s="100">
        <v>92.357694135503692</v>
      </c>
      <c r="F1259" s="100">
        <v>-701.58952489435796</v>
      </c>
      <c r="G1259" s="100">
        <v>-196.07703739325899</v>
      </c>
      <c r="H1259" s="100">
        <v>-2354.6728638225713</v>
      </c>
      <c r="I1259" s="100">
        <v>1022.9455191975347</v>
      </c>
      <c r="J1259" s="100">
        <v>-2229.3939069126536</v>
      </c>
    </row>
    <row r="1260" spans="1:10" x14ac:dyDescent="0.25">
      <c r="A1260">
        <v>1243</v>
      </c>
      <c r="B1260" s="100">
        <v>90.462646703639635</v>
      </c>
      <c r="C1260" s="100">
        <v>98.811968016987024</v>
      </c>
      <c r="D1260" s="100">
        <v>93.350706866249979</v>
      </c>
      <c r="E1260" s="100">
        <v>95.491507719062596</v>
      </c>
      <c r="F1260" s="100">
        <v>-2999.717518301266</v>
      </c>
      <c r="G1260" s="100">
        <v>-903.11776553735967</v>
      </c>
      <c r="H1260" s="100">
        <v>-1069.2535215267469</v>
      </c>
      <c r="I1260" s="100">
        <v>-2110.8680643613698</v>
      </c>
      <c r="J1260" s="100">
        <v>-7082.9568697267423</v>
      </c>
    </row>
    <row r="1261" spans="1:10" x14ac:dyDescent="0.25">
      <c r="A1261">
        <v>1244</v>
      </c>
      <c r="B1261" s="100">
        <v>89.492026686314034</v>
      </c>
      <c r="C1261" s="100">
        <v>97.920855543614934</v>
      </c>
      <c r="D1261" s="100">
        <v>94.572171177693164</v>
      </c>
      <c r="E1261" s="100">
        <v>90.819340670512503</v>
      </c>
      <c r="F1261" s="100">
        <v>203.32853887321676</v>
      </c>
      <c r="G1261" s="100">
        <v>433.55094452077481</v>
      </c>
      <c r="H1261" s="100">
        <v>-3512.1821444131174</v>
      </c>
      <c r="I1261" s="100">
        <v>2561.2989841887243</v>
      </c>
      <c r="J1261" s="100">
        <v>-314.00367683040167</v>
      </c>
    </row>
    <row r="1262" spans="1:10" x14ac:dyDescent="0.25">
      <c r="A1262">
        <v>1245</v>
      </c>
      <c r="B1262" s="100">
        <v>89.684468497717575</v>
      </c>
      <c r="C1262" s="100">
        <v>98.437348194699425</v>
      </c>
      <c r="D1262" s="100">
        <v>92.00919896926959</v>
      </c>
      <c r="E1262" s="100">
        <v>94.218219736297002</v>
      </c>
      <c r="F1262" s="100">
        <v>-431.7294387584667</v>
      </c>
      <c r="G1262" s="100">
        <v>-341.18803210596127</v>
      </c>
      <c r="H1262" s="100">
        <v>1613.7622724340304</v>
      </c>
      <c r="I1262" s="100">
        <v>-837.58008159577457</v>
      </c>
      <c r="J1262" s="100">
        <v>3.2647199738278232</v>
      </c>
    </row>
    <row r="1263" spans="1:10" x14ac:dyDescent="0.25">
      <c r="A1263">
        <v>1246</v>
      </c>
      <c r="B1263" s="100">
        <v>89.541901566605901</v>
      </c>
      <c r="C1263" s="100">
        <v>98.323181287600931</v>
      </c>
      <c r="D1263" s="100">
        <v>91.926001395876114</v>
      </c>
      <c r="E1263" s="100">
        <v>97.366721393471508</v>
      </c>
      <c r="F1263" s="100">
        <v>38.741433910055889</v>
      </c>
      <c r="G1263" s="100">
        <v>-169.93767145822147</v>
      </c>
      <c r="H1263" s="100">
        <v>1780.1574192209841</v>
      </c>
      <c r="I1263" s="100">
        <v>-3986.0817387702809</v>
      </c>
      <c r="J1263" s="100">
        <v>-2337.1205570974626</v>
      </c>
    </row>
    <row r="1264" spans="1:10" x14ac:dyDescent="0.25">
      <c r="A1264">
        <v>1247</v>
      </c>
      <c r="B1264" s="100">
        <v>90.078347311888095</v>
      </c>
      <c r="C1264" s="100">
        <v>99.231450930448702</v>
      </c>
      <c r="D1264" s="100">
        <v>92.501968742655123</v>
      </c>
      <c r="E1264" s="100">
        <v>92.111657630186954</v>
      </c>
      <c r="F1264" s="100">
        <v>-1731.5295255211836</v>
      </c>
      <c r="G1264" s="100">
        <v>-1532.3421357298771</v>
      </c>
      <c r="H1264" s="100">
        <v>628.22272566296533</v>
      </c>
      <c r="I1264" s="100">
        <v>1268.9820245142728</v>
      </c>
      <c r="J1264" s="100">
        <v>-1366.6669110738226</v>
      </c>
    </row>
    <row r="1265" spans="1:10" x14ac:dyDescent="0.25">
      <c r="A1265">
        <v>1248</v>
      </c>
      <c r="B1265" s="100">
        <v>88.915945028030464</v>
      </c>
      <c r="C1265" s="100">
        <v>98.977269737983377</v>
      </c>
      <c r="D1265" s="100">
        <v>94.624704813104032</v>
      </c>
      <c r="E1265" s="100">
        <v>93.522616986568664</v>
      </c>
      <c r="F1265" s="100">
        <v>2104.3980112089985</v>
      </c>
      <c r="G1265" s="100">
        <v>-1151.0703470318902</v>
      </c>
      <c r="H1265" s="100">
        <v>-3617.2494152348518</v>
      </c>
      <c r="I1265" s="100">
        <v>-141.97733186743733</v>
      </c>
      <c r="J1265" s="100">
        <v>-2805.8990829251811</v>
      </c>
    </row>
    <row r="1266" spans="1:10" x14ac:dyDescent="0.25">
      <c r="A1266">
        <v>1249</v>
      </c>
      <c r="B1266" s="100">
        <v>89.386725819668072</v>
      </c>
      <c r="C1266" s="100">
        <v>97.805731397776242</v>
      </c>
      <c r="D1266" s="100">
        <v>91.233238605148159</v>
      </c>
      <c r="E1266" s="100">
        <v>96.149402468502714</v>
      </c>
      <c r="F1266" s="100">
        <v>550.8213988048908</v>
      </c>
      <c r="G1266" s="100">
        <v>606.23716327881289</v>
      </c>
      <c r="H1266" s="100">
        <v>3165.6830006768928</v>
      </c>
      <c r="I1266" s="100">
        <v>-2768.762813801487</v>
      </c>
      <c r="J1266" s="100">
        <v>1553.9787489591099</v>
      </c>
    </row>
    <row r="1267" spans="1:10" x14ac:dyDescent="0.25">
      <c r="A1267">
        <v>1250</v>
      </c>
      <c r="B1267" s="100">
        <v>88.902860599138407</v>
      </c>
      <c r="C1267" s="100">
        <v>98.498966905275338</v>
      </c>
      <c r="D1267" s="100">
        <v>93.04027361178855</v>
      </c>
      <c r="E1267" s="100">
        <v>90.419597949982403</v>
      </c>
      <c r="F1267" s="100">
        <v>2147.5766265527868</v>
      </c>
      <c r="G1267" s="100">
        <v>-433.61609796983203</v>
      </c>
      <c r="H1267" s="100">
        <v>-448.38701260388802</v>
      </c>
      <c r="I1267" s="100">
        <v>2961.0417047188234</v>
      </c>
      <c r="J1267" s="100">
        <v>4226.6152206978904</v>
      </c>
    </row>
    <row r="1268" spans="1:10" x14ac:dyDescent="0.25">
      <c r="A1268">
        <v>1251</v>
      </c>
      <c r="B1268" s="100">
        <v>88.504188366203977</v>
      </c>
      <c r="C1268" s="100">
        <v>99.058279061331703</v>
      </c>
      <c r="D1268" s="100">
        <v>91.180623901265307</v>
      </c>
      <c r="E1268" s="100">
        <v>97.373543275736324</v>
      </c>
      <c r="F1268" s="100">
        <v>3463.1949952364066</v>
      </c>
      <c r="G1268" s="100">
        <v>-1272.5843320543788</v>
      </c>
      <c r="H1268" s="100">
        <v>3270.912408442598</v>
      </c>
      <c r="I1268" s="100">
        <v>-3992.9036210350973</v>
      </c>
      <c r="J1268" s="100">
        <v>1468.6194505895287</v>
      </c>
    </row>
    <row r="1269" spans="1:10" x14ac:dyDescent="0.25">
      <c r="A1269">
        <v>1252</v>
      </c>
      <c r="B1269" s="100">
        <v>89.676700847107398</v>
      </c>
      <c r="C1269" s="100">
        <v>98.534210336873855</v>
      </c>
      <c r="D1269" s="100">
        <v>93.107687378447224</v>
      </c>
      <c r="E1269" s="100">
        <v>92.910780694399875</v>
      </c>
      <c r="F1269" s="100">
        <v>-406.09619174488358</v>
      </c>
      <c r="G1269" s="100">
        <v>-486.48124536760662</v>
      </c>
      <c r="H1269" s="100">
        <v>-583.214545921237</v>
      </c>
      <c r="I1269" s="100">
        <v>469.85896030135166</v>
      </c>
      <c r="J1269" s="100">
        <v>-1005.9330227323757</v>
      </c>
    </row>
    <row r="1270" spans="1:10" x14ac:dyDescent="0.25">
      <c r="A1270">
        <v>1253</v>
      </c>
      <c r="B1270" s="100">
        <v>90.323384876884901</v>
      </c>
      <c r="C1270" s="100">
        <v>98.661539007934294</v>
      </c>
      <c r="D1270" s="100">
        <v>92.346161291481138</v>
      </c>
      <c r="E1270" s="100">
        <v>95.225178654051689</v>
      </c>
      <c r="F1270" s="100">
        <v>-2540.1534900106453</v>
      </c>
      <c r="G1270" s="100">
        <v>-677.474251958266</v>
      </c>
      <c r="H1270" s="100">
        <v>939.83762801093462</v>
      </c>
      <c r="I1270" s="100">
        <v>-1844.5389993504618</v>
      </c>
      <c r="J1270" s="100">
        <v>-4122.3291133084385</v>
      </c>
    </row>
    <row r="1271" spans="1:10" x14ac:dyDescent="0.25">
      <c r="A1271">
        <v>1254</v>
      </c>
      <c r="B1271" s="100">
        <v>89.424342173203414</v>
      </c>
      <c r="C1271" s="100">
        <v>96.75635091640298</v>
      </c>
      <c r="D1271" s="100">
        <v>92.061902922399597</v>
      </c>
      <c r="E1271" s="100">
        <v>92.832074211645661</v>
      </c>
      <c r="F1271" s="100">
        <v>426.68743213826446</v>
      </c>
      <c r="G1271" s="100">
        <v>2180.3078853387065</v>
      </c>
      <c r="H1271" s="100">
        <v>1508.354366174018</v>
      </c>
      <c r="I1271" s="100">
        <v>548.56544305556554</v>
      </c>
      <c r="J1271" s="100">
        <v>4663.9151267065536</v>
      </c>
    </row>
    <row r="1272" spans="1:10" x14ac:dyDescent="0.25">
      <c r="A1272">
        <v>1255</v>
      </c>
      <c r="B1272" s="100">
        <v>89.542214513532045</v>
      </c>
      <c r="C1272" s="100">
        <v>99.536322585043465</v>
      </c>
      <c r="D1272" s="100">
        <v>93.062829184584473</v>
      </c>
      <c r="E1272" s="100">
        <v>94.358405479913046</v>
      </c>
      <c r="F1272" s="100">
        <v>37.70870905378132</v>
      </c>
      <c r="G1272" s="100">
        <v>-1989.6496176220212</v>
      </c>
      <c r="H1272" s="100">
        <v>-493.4981581957345</v>
      </c>
      <c r="I1272" s="100">
        <v>-977.76582521181865</v>
      </c>
      <c r="J1272" s="100">
        <v>-3423.2048919757931</v>
      </c>
    </row>
    <row r="1273" spans="1:10" x14ac:dyDescent="0.25">
      <c r="A1273">
        <v>1256</v>
      </c>
      <c r="B1273" s="100">
        <v>89.14240343480428</v>
      </c>
      <c r="C1273" s="100">
        <v>96.461683443511674</v>
      </c>
      <c r="D1273" s="100">
        <v>92.918836120163988</v>
      </c>
      <c r="E1273" s="100">
        <v>92.942738691299851</v>
      </c>
      <c r="F1273" s="100">
        <v>1357.0852688554069</v>
      </c>
      <c r="G1273" s="100">
        <v>2622.3090946756643</v>
      </c>
      <c r="H1273" s="100">
        <v>-205.51202935476454</v>
      </c>
      <c r="I1273" s="100">
        <v>437.90096340137552</v>
      </c>
      <c r="J1273" s="100">
        <v>4211.7832975776819</v>
      </c>
    </row>
    <row r="1274" spans="1:10" x14ac:dyDescent="0.25">
      <c r="A1274">
        <v>1257</v>
      </c>
      <c r="B1274" s="100">
        <v>89.173026293145725</v>
      </c>
      <c r="C1274" s="100">
        <v>97.397376690282087</v>
      </c>
      <c r="D1274" s="100">
        <v>92.030102897935095</v>
      </c>
      <c r="E1274" s="100">
        <v>93.499984083224675</v>
      </c>
      <c r="F1274" s="100">
        <v>1256.0298363286379</v>
      </c>
      <c r="G1274" s="100">
        <v>1218.7692245200451</v>
      </c>
      <c r="H1274" s="100">
        <v>1571.954415103022</v>
      </c>
      <c r="I1274" s="100">
        <v>-119.34442852344773</v>
      </c>
      <c r="J1274" s="100">
        <v>3927.4090474282571</v>
      </c>
    </row>
    <row r="1275" spans="1:10" x14ac:dyDescent="0.25">
      <c r="A1275">
        <v>1258</v>
      </c>
      <c r="B1275" s="100">
        <v>89.949319241131732</v>
      </c>
      <c r="C1275" s="100">
        <v>98.904386016327692</v>
      </c>
      <c r="D1275" s="100">
        <v>93.983973148110493</v>
      </c>
      <c r="E1275" s="100">
        <v>96.179717147302568</v>
      </c>
      <c r="F1275" s="100">
        <v>-1305.7368920251874</v>
      </c>
      <c r="G1275" s="100">
        <v>-1041.7447645483619</v>
      </c>
      <c r="H1275" s="100">
        <v>-2335.7860852477756</v>
      </c>
      <c r="I1275" s="100">
        <v>-2799.0774926013414</v>
      </c>
      <c r="J1275" s="100">
        <v>-7482.3452344226662</v>
      </c>
    </row>
    <row r="1276" spans="1:10" x14ac:dyDescent="0.25">
      <c r="A1276">
        <v>1259</v>
      </c>
      <c r="B1276" s="100">
        <v>89.261578123880426</v>
      </c>
      <c r="C1276" s="100">
        <v>99.187700259378474</v>
      </c>
      <c r="D1276" s="100">
        <v>93.427629892686738</v>
      </c>
      <c r="E1276" s="100">
        <v>94.403543546155475</v>
      </c>
      <c r="F1276" s="100">
        <v>963.80879490412349</v>
      </c>
      <c r="G1276" s="100">
        <v>-1466.716129124535</v>
      </c>
      <c r="H1276" s="100">
        <v>-1223.0995744002655</v>
      </c>
      <c r="I1276" s="100">
        <v>-1022.9038914542485</v>
      </c>
      <c r="J1276" s="100">
        <v>-2748.9108000749256</v>
      </c>
    </row>
    <row r="1277" spans="1:10" x14ac:dyDescent="0.25">
      <c r="A1277">
        <v>1260</v>
      </c>
      <c r="B1277" s="100">
        <v>88.863386535104496</v>
      </c>
      <c r="C1277" s="100">
        <v>98.042901178292439</v>
      </c>
      <c r="D1277" s="100">
        <v>93.051370983066263</v>
      </c>
      <c r="E1277" s="100">
        <v>92.707898713416796</v>
      </c>
      <c r="F1277" s="100">
        <v>2277.8410378646922</v>
      </c>
      <c r="G1277" s="100">
        <v>250.48249250451704</v>
      </c>
      <c r="H1277" s="100">
        <v>-470.58175515931566</v>
      </c>
      <c r="I1277" s="100">
        <v>672.74094128443096</v>
      </c>
      <c r="J1277" s="100">
        <v>2730.4827164943244</v>
      </c>
    </row>
    <row r="1278" spans="1:10" x14ac:dyDescent="0.25">
      <c r="A1278">
        <v>1261</v>
      </c>
      <c r="B1278" s="100">
        <v>89.955949912727476</v>
      </c>
      <c r="C1278" s="100">
        <v>98.594950227780984</v>
      </c>
      <c r="D1278" s="100">
        <v>95.37631896042879</v>
      </c>
      <c r="E1278" s="100">
        <v>89.875845247239397</v>
      </c>
      <c r="F1278" s="100">
        <v>-1327.6181082911421</v>
      </c>
      <c r="G1278" s="100">
        <v>-577.59108172830054</v>
      </c>
      <c r="H1278" s="100">
        <v>-5120.4777098843697</v>
      </c>
      <c r="I1278" s="100">
        <v>3504.7944074618299</v>
      </c>
      <c r="J1278" s="100">
        <v>-3520.8924924419825</v>
      </c>
    </row>
    <row r="1279" spans="1:10" x14ac:dyDescent="0.25">
      <c r="A1279">
        <v>1262</v>
      </c>
      <c r="B1279" s="100">
        <v>89.235014990383632</v>
      </c>
      <c r="C1279" s="100">
        <v>98.807120461349953</v>
      </c>
      <c r="D1279" s="100">
        <v>94.999043407076854</v>
      </c>
      <c r="E1279" s="100">
        <v>93.848028770980775</v>
      </c>
      <c r="F1279" s="100">
        <v>1051.4671354435422</v>
      </c>
      <c r="G1279" s="100">
        <v>-895.84643208175407</v>
      </c>
      <c r="H1279" s="100">
        <v>-4365.9266031804973</v>
      </c>
      <c r="I1279" s="100">
        <v>-467.38911627954849</v>
      </c>
      <c r="J1279" s="100">
        <v>-4677.6950160982578</v>
      </c>
    </row>
    <row r="1280" spans="1:10" x14ac:dyDescent="0.25">
      <c r="A1280">
        <v>1263</v>
      </c>
      <c r="B1280" s="100">
        <v>89.662768649846527</v>
      </c>
      <c r="C1280" s="100">
        <v>99.876905568449274</v>
      </c>
      <c r="D1280" s="100">
        <v>90.911370243863885</v>
      </c>
      <c r="E1280" s="100">
        <v>93.484836974510813</v>
      </c>
      <c r="F1280" s="100">
        <v>-360.11994078400846</v>
      </c>
      <c r="G1280" s="100">
        <v>-2500.5240927307354</v>
      </c>
      <c r="H1280" s="100">
        <v>3809.4197232454408</v>
      </c>
      <c r="I1280" s="100">
        <v>-104.19731980958602</v>
      </c>
      <c r="J1280" s="100">
        <v>844.57836992111072</v>
      </c>
    </row>
    <row r="1281" spans="1:10" x14ac:dyDescent="0.25">
      <c r="A1281">
        <v>1264</v>
      </c>
      <c r="B1281" s="100">
        <v>88.433221516880664</v>
      </c>
      <c r="C1281" s="100">
        <v>99.566191439850087</v>
      </c>
      <c r="D1281" s="100">
        <v>93.698001855661175</v>
      </c>
      <c r="E1281" s="100">
        <v>94.684438027708381</v>
      </c>
      <c r="F1281" s="100">
        <v>3697.3855980033377</v>
      </c>
      <c r="G1281" s="100">
        <v>-2034.4528998319547</v>
      </c>
      <c r="H1281" s="100">
        <v>-1763.8435003491395</v>
      </c>
      <c r="I1281" s="100">
        <v>-1303.7983730071546</v>
      </c>
      <c r="J1281" s="100">
        <v>-1404.7091751849111</v>
      </c>
    </row>
    <row r="1282" spans="1:10" x14ac:dyDescent="0.25">
      <c r="A1282">
        <v>1265</v>
      </c>
      <c r="B1282" s="100">
        <v>89.459668168803574</v>
      </c>
      <c r="C1282" s="100">
        <v>99.234270221292405</v>
      </c>
      <c r="D1282" s="100">
        <v>91.001788716655682</v>
      </c>
      <c r="E1282" s="100">
        <v>93.178266914495509</v>
      </c>
      <c r="F1282" s="100">
        <v>310.11164665773379</v>
      </c>
      <c r="G1282" s="100">
        <v>-1536.5710719954322</v>
      </c>
      <c r="H1282" s="100">
        <v>3628.5827776618476</v>
      </c>
      <c r="I1282" s="100">
        <v>202.37274020571761</v>
      </c>
      <c r="J1282" s="100">
        <v>2604.4960925298665</v>
      </c>
    </row>
    <row r="1283" spans="1:10" x14ac:dyDescent="0.25">
      <c r="A1283">
        <v>1266</v>
      </c>
      <c r="B1283" s="100">
        <v>90.038769109168825</v>
      </c>
      <c r="C1283" s="100">
        <v>97.693115234653206</v>
      </c>
      <c r="D1283" s="100">
        <v>94.1187295694466</v>
      </c>
      <c r="E1283" s="100">
        <v>94.780157205205569</v>
      </c>
      <c r="F1283" s="100">
        <v>-1600.9214565475943</v>
      </c>
      <c r="G1283" s="100">
        <v>775.16140796336686</v>
      </c>
      <c r="H1283" s="100">
        <v>-2605.2989279199892</v>
      </c>
      <c r="I1283" s="100">
        <v>-1399.5175505043421</v>
      </c>
      <c r="J1283" s="100">
        <v>-4830.5765270085594</v>
      </c>
    </row>
    <row r="1284" spans="1:10" x14ac:dyDescent="0.25">
      <c r="A1284">
        <v>1267</v>
      </c>
      <c r="B1284" s="100">
        <v>89.300112479412164</v>
      </c>
      <c r="C1284" s="100">
        <v>98.986749867947793</v>
      </c>
      <c r="D1284" s="100">
        <v>92.299305552114291</v>
      </c>
      <c r="E1284" s="100">
        <v>93.960009960347676</v>
      </c>
      <c r="F1284" s="100">
        <v>836.64542164938916</v>
      </c>
      <c r="G1284" s="100">
        <v>-1165.2905419785143</v>
      </c>
      <c r="H1284" s="100">
        <v>1033.5491067446299</v>
      </c>
      <c r="I1284" s="100">
        <v>-579.37030564644942</v>
      </c>
      <c r="J1284" s="100">
        <v>125.53368076905531</v>
      </c>
    </row>
    <row r="1285" spans="1:10" x14ac:dyDescent="0.25">
      <c r="A1285">
        <v>1268</v>
      </c>
      <c r="B1285" s="100">
        <v>89.814238753663588</v>
      </c>
      <c r="C1285" s="100">
        <v>99.404614680538458</v>
      </c>
      <c r="D1285" s="100">
        <v>92.101975010771</v>
      </c>
      <c r="E1285" s="100">
        <v>93.467398574567611</v>
      </c>
      <c r="F1285" s="100">
        <v>-859.97128338031098</v>
      </c>
      <c r="G1285" s="100">
        <v>-1792.0877608645114</v>
      </c>
      <c r="H1285" s="100">
        <v>1428.210189431212</v>
      </c>
      <c r="I1285" s="100">
        <v>-86.758919866383621</v>
      </c>
      <c r="J1285" s="100">
        <v>-1310.607774679994</v>
      </c>
    </row>
    <row r="1286" spans="1:10" x14ac:dyDescent="0.25">
      <c r="A1286">
        <v>1269</v>
      </c>
      <c r="B1286" s="100">
        <v>89.154729825132151</v>
      </c>
      <c r="C1286" s="100">
        <v>97.181845056741594</v>
      </c>
      <c r="D1286" s="100">
        <v>93.244702163268016</v>
      </c>
      <c r="E1286" s="100">
        <v>93.611002918362146</v>
      </c>
      <c r="F1286" s="100">
        <v>1316.4081807734319</v>
      </c>
      <c r="G1286" s="100">
        <v>1542.0666748307851</v>
      </c>
      <c r="H1286" s="100">
        <v>-857.24411556282121</v>
      </c>
      <c r="I1286" s="100">
        <v>-230.36326366091942</v>
      </c>
      <c r="J1286" s="100">
        <v>1770.8674763804761</v>
      </c>
    </row>
    <row r="1287" spans="1:10" x14ac:dyDescent="0.25">
      <c r="A1287">
        <v>1270</v>
      </c>
      <c r="B1287" s="100">
        <v>88.17778284965253</v>
      </c>
      <c r="C1287" s="100">
        <v>98.558417564892935</v>
      </c>
      <c r="D1287" s="100">
        <v>93.149421974807851</v>
      </c>
      <c r="E1287" s="100">
        <v>96.217723351948919</v>
      </c>
      <c r="F1287" s="100">
        <v>4540.3331998561798</v>
      </c>
      <c r="G1287" s="100">
        <v>-522.79208739622618</v>
      </c>
      <c r="H1287" s="100">
        <v>-666.6837386424902</v>
      </c>
      <c r="I1287" s="100">
        <v>-2837.0836972476923</v>
      </c>
      <c r="J1287" s="100">
        <v>513.7736765697714</v>
      </c>
    </row>
    <row r="1288" spans="1:10" x14ac:dyDescent="0.25">
      <c r="A1288">
        <v>1271</v>
      </c>
      <c r="B1288" s="100">
        <v>89.472076618609435</v>
      </c>
      <c r="C1288" s="100">
        <v>97.968889462620467</v>
      </c>
      <c r="D1288" s="100">
        <v>92.331269656682267</v>
      </c>
      <c r="E1288" s="100">
        <v>91.959185499320455</v>
      </c>
      <c r="F1288" s="100">
        <v>269.16376229839329</v>
      </c>
      <c r="G1288" s="100">
        <v>361.50006601247497</v>
      </c>
      <c r="H1288" s="100">
        <v>969.62089760867798</v>
      </c>
      <c r="I1288" s="100">
        <v>1421.4541553807721</v>
      </c>
      <c r="J1288" s="100">
        <v>3021.7388813003181</v>
      </c>
    </row>
    <row r="1289" spans="1:10" x14ac:dyDescent="0.25">
      <c r="A1289">
        <v>1272</v>
      </c>
      <c r="B1289" s="100">
        <v>89.488148003499305</v>
      </c>
      <c r="C1289" s="100">
        <v>98.187685942797131</v>
      </c>
      <c r="D1289" s="100">
        <v>92.923270020081546</v>
      </c>
      <c r="E1289" s="100">
        <v>94.012338654213437</v>
      </c>
      <c r="F1289" s="100">
        <v>216.12819216182402</v>
      </c>
      <c r="G1289" s="100">
        <v>33.305345747479009</v>
      </c>
      <c r="H1289" s="100">
        <v>-214.37982918988041</v>
      </c>
      <c r="I1289" s="100">
        <v>-631.69899951220998</v>
      </c>
      <c r="J1289" s="100">
        <v>-596.64529079278736</v>
      </c>
    </row>
    <row r="1290" spans="1:10" x14ac:dyDescent="0.25">
      <c r="A1290">
        <v>1273</v>
      </c>
      <c r="B1290" s="100">
        <v>88.700800744009427</v>
      </c>
      <c r="C1290" s="100">
        <v>98.597557095888916</v>
      </c>
      <c r="D1290" s="100">
        <v>91.784463463123529</v>
      </c>
      <c r="E1290" s="100">
        <v>92.528528044980234</v>
      </c>
      <c r="F1290" s="100">
        <v>2814.3741484784186</v>
      </c>
      <c r="G1290" s="100">
        <v>-581.50138389019901</v>
      </c>
      <c r="H1290" s="100">
        <v>2063.2332847261523</v>
      </c>
      <c r="I1290" s="100">
        <v>852.11160972099265</v>
      </c>
      <c r="J1290" s="100">
        <v>5148.2176590353647</v>
      </c>
    </row>
    <row r="1291" spans="1:10" x14ac:dyDescent="0.25">
      <c r="A1291">
        <v>1274</v>
      </c>
      <c r="B1291" s="100">
        <v>88.681589891209057</v>
      </c>
      <c r="C1291" s="100">
        <v>96.821815641433503</v>
      </c>
      <c r="D1291" s="100">
        <v>92.82828147329333</v>
      </c>
      <c r="E1291" s="100">
        <v>94.129989942372802</v>
      </c>
      <c r="F1291" s="100">
        <v>2877.7699627196398</v>
      </c>
      <c r="G1291" s="100">
        <v>2082.1107977929214</v>
      </c>
      <c r="H1291" s="100">
        <v>-24.402735613449522</v>
      </c>
      <c r="I1291" s="100">
        <v>-749.35028767157519</v>
      </c>
      <c r="J1291" s="100">
        <v>4186.1277372275363</v>
      </c>
    </row>
    <row r="1292" spans="1:10" x14ac:dyDescent="0.25">
      <c r="A1292">
        <v>1275</v>
      </c>
      <c r="B1292" s="100">
        <v>89.441486318687453</v>
      </c>
      <c r="C1292" s="100">
        <v>98.021929123746588</v>
      </c>
      <c r="D1292" s="100">
        <v>93.037172665279428</v>
      </c>
      <c r="E1292" s="100">
        <v>93.858724561357064</v>
      </c>
      <c r="F1292" s="100">
        <v>370.11175204093547</v>
      </c>
      <c r="G1292" s="100">
        <v>281.94057432329345</v>
      </c>
      <c r="H1292" s="100">
        <v>-442.18511958564477</v>
      </c>
      <c r="I1292" s="100">
        <v>-478.08490665583747</v>
      </c>
      <c r="J1292" s="100">
        <v>-268.21769987725327</v>
      </c>
    </row>
    <row r="1293" spans="1:10" x14ac:dyDescent="0.25">
      <c r="A1293">
        <v>1276</v>
      </c>
      <c r="B1293" s="100">
        <v>90.279387601500133</v>
      </c>
      <c r="C1293" s="100">
        <v>98.15592637828405</v>
      </c>
      <c r="D1293" s="100">
        <v>92.574856713496388</v>
      </c>
      <c r="E1293" s="100">
        <v>94.236171741292367</v>
      </c>
      <c r="F1293" s="100">
        <v>-2394.9624812409097</v>
      </c>
      <c r="G1293" s="100">
        <v>80.944692517100236</v>
      </c>
      <c r="H1293" s="100">
        <v>482.44678398043561</v>
      </c>
      <c r="I1293" s="100">
        <v>-855.53208659113977</v>
      </c>
      <c r="J1293" s="100">
        <v>-2687.1030913345139</v>
      </c>
    </row>
    <row r="1294" spans="1:10" x14ac:dyDescent="0.25">
      <c r="A1294">
        <v>1277</v>
      </c>
      <c r="B1294" s="100">
        <v>89.807971777123925</v>
      </c>
      <c r="C1294" s="100">
        <v>99.688817162393221</v>
      </c>
      <c r="D1294" s="100">
        <v>92.553155003168953</v>
      </c>
      <c r="E1294" s="100">
        <v>93.417914227715485</v>
      </c>
      <c r="F1294" s="100">
        <v>-839.29026079942162</v>
      </c>
      <c r="G1294" s="100">
        <v>-2218.3914836466556</v>
      </c>
      <c r="H1294" s="100">
        <v>525.85020463530441</v>
      </c>
      <c r="I1294" s="100">
        <v>-37.274573014258294</v>
      </c>
      <c r="J1294" s="100">
        <v>-2569.1061128250308</v>
      </c>
    </row>
    <row r="1295" spans="1:10" x14ac:dyDescent="0.25">
      <c r="A1295">
        <v>1278</v>
      </c>
      <c r="B1295" s="100">
        <v>89.482972370242607</v>
      </c>
      <c r="C1295" s="100">
        <v>98.520439476593907</v>
      </c>
      <c r="D1295" s="100">
        <v>93.190736131443501</v>
      </c>
      <c r="E1295" s="100">
        <v>92.36282651639641</v>
      </c>
      <c r="F1295" s="100">
        <v>233.20778190892781</v>
      </c>
      <c r="G1295" s="100">
        <v>-465.82495494768494</v>
      </c>
      <c r="H1295" s="100">
        <v>-749.31205191379036</v>
      </c>
      <c r="I1295" s="100">
        <v>1017.8131383048168</v>
      </c>
      <c r="J1295" s="100">
        <v>35.88391335226936</v>
      </c>
    </row>
    <row r="1296" spans="1:10" x14ac:dyDescent="0.25">
      <c r="A1296">
        <v>1279</v>
      </c>
      <c r="B1296" s="100">
        <v>89.980565677760694</v>
      </c>
      <c r="C1296" s="100">
        <v>96.941338036456159</v>
      </c>
      <c r="D1296" s="100">
        <v>91.8176415877208</v>
      </c>
      <c r="E1296" s="100">
        <v>93.079990431926362</v>
      </c>
      <c r="F1296" s="100">
        <v>-1408.8501329007613</v>
      </c>
      <c r="G1296" s="100">
        <v>1902.8272052589373</v>
      </c>
      <c r="H1296" s="100">
        <v>1996.877035531611</v>
      </c>
      <c r="I1296" s="100">
        <v>300.64922277486517</v>
      </c>
      <c r="J1296" s="100">
        <v>2791.5033306646519</v>
      </c>
    </row>
    <row r="1297" spans="1:10" x14ac:dyDescent="0.25">
      <c r="A1297">
        <v>1280</v>
      </c>
      <c r="B1297" s="100">
        <v>90.280297304998399</v>
      </c>
      <c r="C1297" s="100">
        <v>99.203932216628289</v>
      </c>
      <c r="D1297" s="100">
        <v>93.079268707982763</v>
      </c>
      <c r="E1297" s="100">
        <v>95.361198963302712</v>
      </c>
      <c r="F1297" s="100">
        <v>-2397.9645027851875</v>
      </c>
      <c r="G1297" s="100">
        <v>-1491.0640649992572</v>
      </c>
      <c r="H1297" s="100">
        <v>-526.37720499231477</v>
      </c>
      <c r="I1297" s="100">
        <v>-1980.5593086014851</v>
      </c>
      <c r="J1297" s="100">
        <v>-6395.9650813782446</v>
      </c>
    </row>
    <row r="1298" spans="1:10" x14ac:dyDescent="0.25">
      <c r="A1298">
        <v>1281</v>
      </c>
      <c r="B1298" s="100">
        <v>89.144864556659044</v>
      </c>
      <c r="C1298" s="100">
        <v>99.127732116942425</v>
      </c>
      <c r="D1298" s="100">
        <v>92.409731557767046</v>
      </c>
      <c r="E1298" s="100">
        <v>92.807940823909334</v>
      </c>
      <c r="F1298" s="100">
        <v>1348.9635667346831</v>
      </c>
      <c r="G1298" s="100">
        <v>-1376.7639154704625</v>
      </c>
      <c r="H1298" s="100">
        <v>812.69709543911972</v>
      </c>
      <c r="I1298" s="100">
        <v>572.69883079189299</v>
      </c>
      <c r="J1298" s="100">
        <v>1357.5955774952333</v>
      </c>
    </row>
    <row r="1299" spans="1:10" x14ac:dyDescent="0.25">
      <c r="A1299">
        <v>1282</v>
      </c>
      <c r="B1299" s="100">
        <v>89.754630891818948</v>
      </c>
      <c r="C1299" s="100">
        <v>98.741538818474226</v>
      </c>
      <c r="D1299" s="100">
        <v>93.832275803744537</v>
      </c>
      <c r="E1299" s="100">
        <v>94.364916768138144</v>
      </c>
      <c r="F1299" s="100">
        <v>-663.26533929299956</v>
      </c>
      <c r="G1299" s="100">
        <v>-797.47396776816254</v>
      </c>
      <c r="H1299" s="100">
        <v>-2032.3913965158624</v>
      </c>
      <c r="I1299" s="100">
        <v>-984.27711343691726</v>
      </c>
      <c r="J1299" s="100">
        <v>-4477.4078170139419</v>
      </c>
    </row>
    <row r="1300" spans="1:10" x14ac:dyDescent="0.25">
      <c r="A1300">
        <v>1283</v>
      </c>
      <c r="B1300" s="100">
        <v>89.026972813659043</v>
      </c>
      <c r="C1300" s="100">
        <v>98.630196151912855</v>
      </c>
      <c r="D1300" s="100">
        <v>92.851461842660868</v>
      </c>
      <c r="E1300" s="100">
        <v>94.3991245072922</v>
      </c>
      <c r="F1300" s="100">
        <v>1738.0063186346874</v>
      </c>
      <c r="G1300" s="100">
        <v>-630.45996792610731</v>
      </c>
      <c r="H1300" s="100">
        <v>-70.763474348524369</v>
      </c>
      <c r="I1300" s="100">
        <v>-1018.4848525909729</v>
      </c>
      <c r="J1300" s="100">
        <v>18.298023769082874</v>
      </c>
    </row>
    <row r="1301" spans="1:10" x14ac:dyDescent="0.25">
      <c r="A1301">
        <v>1284</v>
      </c>
      <c r="B1301" s="100">
        <v>89.317319008833536</v>
      </c>
      <c r="C1301" s="100">
        <v>98.186101281803317</v>
      </c>
      <c r="D1301" s="100">
        <v>92.708282926404081</v>
      </c>
      <c r="E1301" s="100">
        <v>94.411408425309688</v>
      </c>
      <c r="F1301" s="100">
        <v>779.86387455886052</v>
      </c>
      <c r="G1301" s="100">
        <v>35.68233723819958</v>
      </c>
      <c r="H1301" s="100">
        <v>215.59435816504902</v>
      </c>
      <c r="I1301" s="100">
        <v>-1030.7687706084607</v>
      </c>
      <c r="J1301" s="100">
        <v>0.37179935364838457</v>
      </c>
    </row>
    <row r="1302" spans="1:10" x14ac:dyDescent="0.25">
      <c r="A1302">
        <v>1285</v>
      </c>
      <c r="B1302" s="100">
        <v>89.474134009147505</v>
      </c>
      <c r="C1302" s="100">
        <v>98.595332039865838</v>
      </c>
      <c r="D1302" s="100">
        <v>91.569463000172476</v>
      </c>
      <c r="E1302" s="100">
        <v>95.607835652317561</v>
      </c>
      <c r="F1302" s="100">
        <v>262.37437352276203</v>
      </c>
      <c r="G1302" s="100">
        <v>-578.16379985558092</v>
      </c>
      <c r="H1302" s="100">
        <v>2493.234210628259</v>
      </c>
      <c r="I1302" s="100">
        <v>-2227.1959976163344</v>
      </c>
      <c r="J1302" s="100">
        <v>-49.751213320894294</v>
      </c>
    </row>
    <row r="1303" spans="1:10" x14ac:dyDescent="0.25">
      <c r="A1303">
        <v>1286</v>
      </c>
      <c r="B1303" s="100">
        <v>90.572260587339628</v>
      </c>
      <c r="C1303" s="100">
        <v>97.787779525811942</v>
      </c>
      <c r="D1303" s="100">
        <v>91.928135060777407</v>
      </c>
      <c r="E1303" s="100">
        <v>96.327321956079956</v>
      </c>
      <c r="F1303" s="100">
        <v>-3361.4433345112416</v>
      </c>
      <c r="G1303" s="100">
        <v>633.16497122526266</v>
      </c>
      <c r="H1303" s="100">
        <v>1775.8900894183967</v>
      </c>
      <c r="I1303" s="100">
        <v>-2946.6823013787289</v>
      </c>
      <c r="J1303" s="100">
        <v>-3899.0705752463114</v>
      </c>
    </row>
    <row r="1304" spans="1:10" x14ac:dyDescent="0.25">
      <c r="A1304">
        <v>1287</v>
      </c>
      <c r="B1304" s="100">
        <v>90.088088246505237</v>
      </c>
      <c r="C1304" s="100">
        <v>97.708699673169406</v>
      </c>
      <c r="D1304" s="100">
        <v>91.714776892095159</v>
      </c>
      <c r="E1304" s="100">
        <v>92.854518656045244</v>
      </c>
      <c r="F1304" s="100">
        <v>-1763.6746097577516</v>
      </c>
      <c r="G1304" s="100">
        <v>751.78475018906715</v>
      </c>
      <c r="H1304" s="100">
        <v>2202.6064267828929</v>
      </c>
      <c r="I1304" s="100">
        <v>526.12099865598339</v>
      </c>
      <c r="J1304" s="100">
        <v>1716.8375658701918</v>
      </c>
    </row>
    <row r="1305" spans="1:10" x14ac:dyDescent="0.25">
      <c r="A1305">
        <v>1288</v>
      </c>
      <c r="B1305" s="100">
        <v>89.662027130596186</v>
      </c>
      <c r="C1305" s="100">
        <v>99.35718131833795</v>
      </c>
      <c r="D1305" s="100">
        <v>93.420400941664653</v>
      </c>
      <c r="E1305" s="100">
        <v>91.204146590125774</v>
      </c>
      <c r="F1305" s="100">
        <v>-357.67292725788593</v>
      </c>
      <c r="G1305" s="100">
        <v>-1720.9377175637499</v>
      </c>
      <c r="H1305" s="100">
        <v>-1208.6416723560944</v>
      </c>
      <c r="I1305" s="100">
        <v>2176.493064575453</v>
      </c>
      <c r="J1305" s="100">
        <v>-1110.7592526022772</v>
      </c>
    </row>
    <row r="1306" spans="1:10" x14ac:dyDescent="0.25">
      <c r="A1306">
        <v>1289</v>
      </c>
      <c r="B1306" s="100">
        <v>90.46811140285773</v>
      </c>
      <c r="C1306" s="100">
        <v>98.126105868049848</v>
      </c>
      <c r="D1306" s="100">
        <v>93.506222888963038</v>
      </c>
      <c r="E1306" s="100">
        <v>92.612558642654875</v>
      </c>
      <c r="F1306" s="100">
        <v>-3017.7510257209788</v>
      </c>
      <c r="G1306" s="100">
        <v>125.67545786840384</v>
      </c>
      <c r="H1306" s="100">
        <v>-1380.285566952864</v>
      </c>
      <c r="I1306" s="100">
        <v>768.08101204635193</v>
      </c>
      <c r="J1306" s="100">
        <v>-3504.2801227590862</v>
      </c>
    </row>
    <row r="1307" spans="1:10" x14ac:dyDescent="0.25">
      <c r="A1307">
        <v>1290</v>
      </c>
      <c r="B1307" s="100">
        <v>89.763244024532156</v>
      </c>
      <c r="C1307" s="100">
        <v>97.800321726655355</v>
      </c>
      <c r="D1307" s="100">
        <v>91.703792394881162</v>
      </c>
      <c r="E1307" s="100">
        <v>91.019585812928909</v>
      </c>
      <c r="F1307" s="100">
        <v>-691.68867724658583</v>
      </c>
      <c r="G1307" s="100">
        <v>614.35166996014345</v>
      </c>
      <c r="H1307" s="100">
        <v>2224.5754212108864</v>
      </c>
      <c r="I1307" s="100">
        <v>2361.0538417723178</v>
      </c>
      <c r="J1307" s="100">
        <v>4508.2922556967624</v>
      </c>
    </row>
    <row r="1308" spans="1:10" x14ac:dyDescent="0.25">
      <c r="A1308">
        <v>1291</v>
      </c>
      <c r="B1308" s="100">
        <v>89.250426303668334</v>
      </c>
      <c r="C1308" s="100">
        <v>98.709080283507532</v>
      </c>
      <c r="D1308" s="100">
        <v>91.240732980963372</v>
      </c>
      <c r="E1308" s="100">
        <v>95.218198243175848</v>
      </c>
      <c r="F1308" s="100">
        <v>1000.6098016040269</v>
      </c>
      <c r="G1308" s="100">
        <v>-748.7861653181227</v>
      </c>
      <c r="H1308" s="100">
        <v>3150.6942490464667</v>
      </c>
      <c r="I1308" s="100">
        <v>-1837.5585884746215</v>
      </c>
      <c r="J1308" s="100">
        <v>1564.9592968577495</v>
      </c>
    </row>
    <row r="1309" spans="1:10" x14ac:dyDescent="0.25">
      <c r="A1309">
        <v>1292</v>
      </c>
      <c r="B1309" s="100">
        <v>89.826091024343597</v>
      </c>
      <c r="C1309" s="100">
        <v>97.660414641318411</v>
      </c>
      <c r="D1309" s="100">
        <v>92.512271773105596</v>
      </c>
      <c r="E1309" s="100">
        <v>95.648567084836358</v>
      </c>
      <c r="F1309" s="100">
        <v>-899.08377662434168</v>
      </c>
      <c r="G1309" s="100">
        <v>824.21229796555906</v>
      </c>
      <c r="H1309" s="100">
        <v>607.61666476201981</v>
      </c>
      <c r="I1309" s="100">
        <v>-2267.9274301351315</v>
      </c>
      <c r="J1309" s="100">
        <v>-1735.1822440318942</v>
      </c>
    </row>
    <row r="1310" spans="1:10" x14ac:dyDescent="0.25">
      <c r="A1310">
        <v>1293</v>
      </c>
      <c r="B1310" s="100">
        <v>89.66929415665669</v>
      </c>
      <c r="C1310" s="100">
        <v>98.897275152162976</v>
      </c>
      <c r="D1310" s="100">
        <v>92.928922559480682</v>
      </c>
      <c r="E1310" s="100">
        <v>92.273949813253296</v>
      </c>
      <c r="F1310" s="100">
        <v>-381.65411325754803</v>
      </c>
      <c r="G1310" s="100">
        <v>-1031.0784683012885</v>
      </c>
      <c r="H1310" s="100">
        <v>-225.68490798815333</v>
      </c>
      <c r="I1310" s="100">
        <v>1106.689841447931</v>
      </c>
      <c r="J1310" s="100">
        <v>-531.7276480990588</v>
      </c>
    </row>
    <row r="1311" spans="1:10" x14ac:dyDescent="0.25">
      <c r="A1311">
        <v>1294</v>
      </c>
      <c r="B1311" s="100">
        <v>89.350104790770217</v>
      </c>
      <c r="C1311" s="100">
        <v>98.152261442449159</v>
      </c>
      <c r="D1311" s="100">
        <v>93.847126632782789</v>
      </c>
      <c r="E1311" s="100">
        <v>92.683782849526153</v>
      </c>
      <c r="F1311" s="100">
        <v>671.67079416781235</v>
      </c>
      <c r="G1311" s="100">
        <v>86.442096269436774</v>
      </c>
      <c r="H1311" s="100">
        <v>-2062.093054592367</v>
      </c>
      <c r="I1311" s="100">
        <v>696.85680517507365</v>
      </c>
      <c r="J1311" s="100">
        <v>-607.12335898004437</v>
      </c>
    </row>
    <row r="1312" spans="1:10" x14ac:dyDescent="0.25">
      <c r="A1312">
        <v>1295</v>
      </c>
      <c r="B1312" s="100">
        <v>89.88993941878725</v>
      </c>
      <c r="C1312" s="100">
        <v>97.793654363541819</v>
      </c>
      <c r="D1312" s="100">
        <v>92.472427893906925</v>
      </c>
      <c r="E1312" s="100">
        <v>91.430810834179297</v>
      </c>
      <c r="F1312" s="100">
        <v>-1109.7834782883965</v>
      </c>
      <c r="G1312" s="100">
        <v>624.35271463044728</v>
      </c>
      <c r="H1312" s="100">
        <v>687.30442315936102</v>
      </c>
      <c r="I1312" s="100">
        <v>1949.8288205219296</v>
      </c>
      <c r="J1312" s="100">
        <v>2151.7024800233412</v>
      </c>
    </row>
    <row r="1313" spans="1:10" x14ac:dyDescent="0.25">
      <c r="A1313">
        <v>1296</v>
      </c>
      <c r="B1313" s="100">
        <v>89.561239980435047</v>
      </c>
      <c r="C1313" s="100">
        <v>98.145908545885305</v>
      </c>
      <c r="D1313" s="100">
        <v>92.700038817552411</v>
      </c>
      <c r="E1313" s="100">
        <v>94.637716042039443</v>
      </c>
      <c r="F1313" s="100">
        <v>-25.075331726127104</v>
      </c>
      <c r="G1313" s="100">
        <v>95.971441115217715</v>
      </c>
      <c r="H1313" s="100">
        <v>232.08257586838954</v>
      </c>
      <c r="I1313" s="100">
        <v>-1257.0763873382161</v>
      </c>
      <c r="J1313" s="100">
        <v>-954.09770208073598</v>
      </c>
    </row>
    <row r="1314" spans="1:10" x14ac:dyDescent="0.25">
      <c r="A1314">
        <v>1297</v>
      </c>
      <c r="B1314" s="100">
        <v>89.25875441233012</v>
      </c>
      <c r="C1314" s="100">
        <v>99.521999308437131</v>
      </c>
      <c r="D1314" s="100">
        <v>94.563232860763762</v>
      </c>
      <c r="E1314" s="100">
        <v>92.764165529632265</v>
      </c>
      <c r="F1314" s="100">
        <v>973.12704302013344</v>
      </c>
      <c r="G1314" s="100">
        <v>-1968.1647027125209</v>
      </c>
      <c r="H1314" s="100">
        <v>-3494.3055105543126</v>
      </c>
      <c r="I1314" s="100">
        <v>616.4741250689616</v>
      </c>
      <c r="J1314" s="100">
        <v>-3872.8690451777388</v>
      </c>
    </row>
    <row r="1315" spans="1:10" x14ac:dyDescent="0.25">
      <c r="A1315">
        <v>1298</v>
      </c>
      <c r="B1315" s="100">
        <v>89.264588987556436</v>
      </c>
      <c r="C1315" s="100">
        <v>97.874873444892074</v>
      </c>
      <c r="D1315" s="100">
        <v>91.905278393933457</v>
      </c>
      <c r="E1315" s="100">
        <v>93.817172958822439</v>
      </c>
      <c r="F1315" s="100">
        <v>953.87294477328908</v>
      </c>
      <c r="G1315" s="100">
        <v>502.52409260506425</v>
      </c>
      <c r="H1315" s="100">
        <v>1821.6034231062963</v>
      </c>
      <c r="I1315" s="100">
        <v>-436.5333041212125</v>
      </c>
      <c r="J1315" s="100">
        <v>2841.4671563634374</v>
      </c>
    </row>
    <row r="1316" spans="1:10" x14ac:dyDescent="0.25">
      <c r="A1316">
        <v>1299</v>
      </c>
      <c r="B1316" s="100">
        <v>89.486091520147923</v>
      </c>
      <c r="C1316" s="100">
        <v>96.58913265399913</v>
      </c>
      <c r="D1316" s="100">
        <v>92.496830307295355</v>
      </c>
      <c r="E1316" s="100">
        <v>90.847223441510764</v>
      </c>
      <c r="F1316" s="100">
        <v>222.91458722138344</v>
      </c>
      <c r="G1316" s="100">
        <v>2431.1352789444809</v>
      </c>
      <c r="H1316" s="100">
        <v>638.49959638250198</v>
      </c>
      <c r="I1316" s="100">
        <v>2533.4162131904632</v>
      </c>
      <c r="J1316" s="100">
        <v>5825.9656757388293</v>
      </c>
    </row>
    <row r="1317" spans="1:10" x14ac:dyDescent="0.25">
      <c r="A1317">
        <v>1300</v>
      </c>
      <c r="B1317" s="100">
        <v>89.721359684389739</v>
      </c>
      <c r="C1317" s="100">
        <v>98.693453633785396</v>
      </c>
      <c r="D1317" s="100">
        <v>92.824577797258812</v>
      </c>
      <c r="E1317" s="100">
        <v>94.952627618167057</v>
      </c>
      <c r="F1317" s="100">
        <v>-553.47035477660995</v>
      </c>
      <c r="G1317" s="100">
        <v>-725.34619073491763</v>
      </c>
      <c r="H1317" s="100">
        <v>-16.995383544411879</v>
      </c>
      <c r="I1317" s="100">
        <v>-1571.9879634658298</v>
      </c>
      <c r="J1317" s="100">
        <v>-2867.7998925217694</v>
      </c>
    </row>
    <row r="1318" spans="1:10" x14ac:dyDescent="0.25">
      <c r="A1318">
        <v>1301</v>
      </c>
      <c r="B1318" s="100">
        <v>89.764396803184368</v>
      </c>
      <c r="C1318" s="100">
        <v>99.076520653438578</v>
      </c>
      <c r="D1318" s="100">
        <v>92.380414472288734</v>
      </c>
      <c r="E1318" s="100">
        <v>94.152085071306658</v>
      </c>
      <c r="F1318" s="100">
        <v>-695.49284679888638</v>
      </c>
      <c r="G1318" s="100">
        <v>-1299.9467202146916</v>
      </c>
      <c r="H1318" s="100">
        <v>871.33126639574243</v>
      </c>
      <c r="I1318" s="100">
        <v>-771.44541660543098</v>
      </c>
      <c r="J1318" s="100">
        <v>-1895.5537172232666</v>
      </c>
    </row>
    <row r="1319" spans="1:10" x14ac:dyDescent="0.25">
      <c r="A1319">
        <v>1302</v>
      </c>
      <c r="B1319" s="100">
        <v>89.462222984136176</v>
      </c>
      <c r="C1319" s="100">
        <v>98.14778521211413</v>
      </c>
      <c r="D1319" s="100">
        <v>91.979332963248524</v>
      </c>
      <c r="E1319" s="100">
        <v>92.237811935151541</v>
      </c>
      <c r="F1319" s="100">
        <v>301.68075606014924</v>
      </c>
      <c r="G1319" s="100">
        <v>93.156441771981235</v>
      </c>
      <c r="H1319" s="100">
        <v>1673.4942844761633</v>
      </c>
      <c r="I1319" s="100">
        <v>1142.8277195496862</v>
      </c>
      <c r="J1319" s="100">
        <v>3211.15920185798</v>
      </c>
    </row>
    <row r="1320" spans="1:10" x14ac:dyDescent="0.25">
      <c r="A1320">
        <v>1303</v>
      </c>
      <c r="B1320" s="100">
        <v>89.133688705712686</v>
      </c>
      <c r="C1320" s="100">
        <v>97.169743025105689</v>
      </c>
      <c r="D1320" s="100">
        <v>92.862939607283636</v>
      </c>
      <c r="E1320" s="100">
        <v>93.70046581188366</v>
      </c>
      <c r="F1320" s="100">
        <v>1385.8438748576659</v>
      </c>
      <c r="G1320" s="100">
        <v>1560.2197222846428</v>
      </c>
      <c r="H1320" s="100">
        <v>-93.719003594060268</v>
      </c>
      <c r="I1320" s="100">
        <v>-319.82615718243323</v>
      </c>
      <c r="J1320" s="100">
        <v>2532.5184363658154</v>
      </c>
    </row>
    <row r="1321" spans="1:10" x14ac:dyDescent="0.25">
      <c r="A1321">
        <v>1304</v>
      </c>
      <c r="B1321" s="100">
        <v>89.326695277652632</v>
      </c>
      <c r="C1321" s="100">
        <v>98.418850905114226</v>
      </c>
      <c r="D1321" s="100">
        <v>90.78125616892703</v>
      </c>
      <c r="E1321" s="100">
        <v>95.008019016084518</v>
      </c>
      <c r="F1321" s="100">
        <v>748.9221874558425</v>
      </c>
      <c r="G1321" s="100">
        <v>-313.44209772816356</v>
      </c>
      <c r="H1321" s="100">
        <v>4069.6478731191519</v>
      </c>
      <c r="I1321" s="100">
        <v>-1627.3793613832909</v>
      </c>
      <c r="J1321" s="100">
        <v>2877.7486014635401</v>
      </c>
    </row>
    <row r="1322" spans="1:10" x14ac:dyDescent="0.25">
      <c r="A1322">
        <v>1305</v>
      </c>
      <c r="B1322" s="100">
        <v>89.280306407792011</v>
      </c>
      <c r="C1322" s="100">
        <v>98.631138580118545</v>
      </c>
      <c r="D1322" s="100">
        <v>92.583256751312533</v>
      </c>
      <c r="E1322" s="100">
        <v>94.356716836567514</v>
      </c>
      <c r="F1322" s="100">
        <v>902.00545799589236</v>
      </c>
      <c r="G1322" s="100">
        <v>-631.873610234642</v>
      </c>
      <c r="H1322" s="100">
        <v>465.64670834814592</v>
      </c>
      <c r="I1322" s="100">
        <v>-976.07718186628745</v>
      </c>
      <c r="J1322" s="100">
        <v>-240.29862575689117</v>
      </c>
    </row>
    <row r="1323" spans="1:10" x14ac:dyDescent="0.25">
      <c r="A1323">
        <v>1306</v>
      </c>
      <c r="B1323" s="100">
        <v>88.758865654274672</v>
      </c>
      <c r="C1323" s="100">
        <v>97.826847862053185</v>
      </c>
      <c r="D1323" s="100">
        <v>91.545726060785242</v>
      </c>
      <c r="E1323" s="100">
        <v>95.079593181367542</v>
      </c>
      <c r="F1323" s="100">
        <v>2622.7599446031122</v>
      </c>
      <c r="G1323" s="100">
        <v>574.56246686339796</v>
      </c>
      <c r="H1323" s="100">
        <v>2540.7080894027276</v>
      </c>
      <c r="I1323" s="100">
        <v>-1698.9535266663154</v>
      </c>
      <c r="J1323" s="100">
        <v>4039.0769742029224</v>
      </c>
    </row>
    <row r="1324" spans="1:10" x14ac:dyDescent="0.25">
      <c r="A1324">
        <v>1307</v>
      </c>
      <c r="B1324" s="100">
        <v>90.342653655523193</v>
      </c>
      <c r="C1324" s="100">
        <v>97.193700983271839</v>
      </c>
      <c r="D1324" s="100">
        <v>93.090699193630954</v>
      </c>
      <c r="E1324" s="100">
        <v>92.781525401503146</v>
      </c>
      <c r="F1324" s="100">
        <v>-2603.7404595170087</v>
      </c>
      <c r="G1324" s="100">
        <v>1524.2827850354174</v>
      </c>
      <c r="H1324" s="100">
        <v>-549.23817628869642</v>
      </c>
      <c r="I1324" s="100">
        <v>599.11425319808131</v>
      </c>
      <c r="J1324" s="100">
        <v>-1029.5815975722064</v>
      </c>
    </row>
    <row r="1325" spans="1:10" x14ac:dyDescent="0.25">
      <c r="A1325">
        <v>1308</v>
      </c>
      <c r="B1325" s="100">
        <v>88.946096722944503</v>
      </c>
      <c r="C1325" s="100">
        <v>98.310467639557388</v>
      </c>
      <c r="D1325" s="100">
        <v>93.192290779831239</v>
      </c>
      <c r="E1325" s="100">
        <v>93.032763784176538</v>
      </c>
      <c r="F1325" s="100">
        <v>2004.8974179926688</v>
      </c>
      <c r="G1325" s="100">
        <v>-150.8671993929056</v>
      </c>
      <c r="H1325" s="100">
        <v>-752.42134868926769</v>
      </c>
      <c r="I1325" s="100">
        <v>347.87587052468893</v>
      </c>
      <c r="J1325" s="100">
        <v>1449.4847404351844</v>
      </c>
    </row>
    <row r="1326" spans="1:10" x14ac:dyDescent="0.25">
      <c r="A1326">
        <v>1309</v>
      </c>
      <c r="B1326" s="100">
        <v>88.372536564980308</v>
      </c>
      <c r="C1326" s="100">
        <v>97.530033174545025</v>
      </c>
      <c r="D1326" s="100">
        <v>93.583152554006389</v>
      </c>
      <c r="E1326" s="100">
        <v>93.465368806465747</v>
      </c>
      <c r="F1326" s="100">
        <v>3897.6459392745128</v>
      </c>
      <c r="G1326" s="100">
        <v>1019.784498125638</v>
      </c>
      <c r="H1326" s="100">
        <v>-1534.1448970395675</v>
      </c>
      <c r="I1326" s="100">
        <v>-84.729151764520338</v>
      </c>
      <c r="J1326" s="100">
        <v>3298.5563885960632</v>
      </c>
    </row>
    <row r="1327" spans="1:10" x14ac:dyDescent="0.25">
      <c r="A1327">
        <v>1310</v>
      </c>
      <c r="B1327" s="100">
        <v>90.143436575246199</v>
      </c>
      <c r="C1327" s="100">
        <v>97.930082031077404</v>
      </c>
      <c r="D1327" s="100">
        <v>92.499045375569935</v>
      </c>
      <c r="E1327" s="100">
        <v>91.571713284911411</v>
      </c>
      <c r="F1327" s="100">
        <v>-1946.3240946029259</v>
      </c>
      <c r="G1327" s="100">
        <v>419.71121332706929</v>
      </c>
      <c r="H1327" s="100">
        <v>634.0694598333414</v>
      </c>
      <c r="I1327" s="100">
        <v>1808.9263697898161</v>
      </c>
      <c r="J1327" s="100">
        <v>916.38294834730095</v>
      </c>
    </row>
    <row r="1328" spans="1:10" x14ac:dyDescent="0.25">
      <c r="A1328">
        <v>1311</v>
      </c>
      <c r="B1328" s="100">
        <v>87.777672515185927</v>
      </c>
      <c r="C1328" s="100">
        <v>97.867404678044963</v>
      </c>
      <c r="D1328" s="100">
        <v>93.439252543340331</v>
      </c>
      <c r="E1328" s="100">
        <v>92.318111024075037</v>
      </c>
      <c r="F1328" s="100">
        <v>5860.6973035959709</v>
      </c>
      <c r="G1328" s="100">
        <v>513.72724287573135</v>
      </c>
      <c r="H1328" s="100">
        <v>-1246.3448757074502</v>
      </c>
      <c r="I1328" s="100">
        <v>1062.5286306261899</v>
      </c>
      <c r="J1328" s="100">
        <v>6190.6083013904417</v>
      </c>
    </row>
    <row r="1329" spans="1:10" x14ac:dyDescent="0.25">
      <c r="A1329">
        <v>1312</v>
      </c>
      <c r="B1329" s="100">
        <v>89.942917375652655</v>
      </c>
      <c r="C1329" s="100">
        <v>99.057010315188805</v>
      </c>
      <c r="D1329" s="100">
        <v>93.637391563430782</v>
      </c>
      <c r="E1329" s="100">
        <v>89.55891034018083</v>
      </c>
      <c r="F1329" s="100">
        <v>-1284.6107359442328</v>
      </c>
      <c r="G1329" s="100">
        <v>-1270.6812128400315</v>
      </c>
      <c r="H1329" s="100">
        <v>-1642.622915888353</v>
      </c>
      <c r="I1329" s="100">
        <v>3821.7293145203967</v>
      </c>
      <c r="J1329" s="100">
        <v>-376.18555015222046</v>
      </c>
    </row>
    <row r="1330" spans="1:10" x14ac:dyDescent="0.25">
      <c r="A1330">
        <v>1313</v>
      </c>
      <c r="B1330" s="100">
        <v>88.769891746434837</v>
      </c>
      <c r="C1330" s="100">
        <v>99.117832724100808</v>
      </c>
      <c r="D1330" s="100">
        <v>93.005303876216203</v>
      </c>
      <c r="E1330" s="100">
        <v>94.241202625402465</v>
      </c>
      <c r="F1330" s="100">
        <v>2586.3738404745673</v>
      </c>
      <c r="G1330" s="100">
        <v>-1361.9148262080357</v>
      </c>
      <c r="H1330" s="100">
        <v>-378.44754145919524</v>
      </c>
      <c r="I1330" s="100">
        <v>-860.56297070123833</v>
      </c>
      <c r="J1330" s="100">
        <v>-14.551497893902024</v>
      </c>
    </row>
    <row r="1331" spans="1:10" x14ac:dyDescent="0.25">
      <c r="A1331">
        <v>1314</v>
      </c>
      <c r="B1331" s="100">
        <v>89.06770334166373</v>
      </c>
      <c r="C1331" s="100">
        <v>97.604303065280192</v>
      </c>
      <c r="D1331" s="100">
        <v>93.922717820691972</v>
      </c>
      <c r="E1331" s="100">
        <v>93.782674005803045</v>
      </c>
      <c r="F1331" s="100">
        <v>1603.5955762192202</v>
      </c>
      <c r="G1331" s="100">
        <v>908.37966202288817</v>
      </c>
      <c r="H1331" s="100">
        <v>-2213.275430410732</v>
      </c>
      <c r="I1331" s="100">
        <v>-402.03435110181829</v>
      </c>
      <c r="J1331" s="100">
        <v>-103.33454327044194</v>
      </c>
    </row>
    <row r="1332" spans="1:10" x14ac:dyDescent="0.25">
      <c r="A1332">
        <v>1315</v>
      </c>
      <c r="B1332" s="100">
        <v>89.763256847839145</v>
      </c>
      <c r="C1332" s="100">
        <v>96.951921512027596</v>
      </c>
      <c r="D1332" s="100">
        <v>92.04735385338094</v>
      </c>
      <c r="E1332" s="100">
        <v>93.288465294561774</v>
      </c>
      <c r="F1332" s="100">
        <v>-691.73099415964862</v>
      </c>
      <c r="G1332" s="100">
        <v>1886.9519919017819</v>
      </c>
      <c r="H1332" s="100">
        <v>1537.4525042113305</v>
      </c>
      <c r="I1332" s="100">
        <v>92.17436013945246</v>
      </c>
      <c r="J1332" s="100">
        <v>2824.8478620929159</v>
      </c>
    </row>
    <row r="1333" spans="1:10" x14ac:dyDescent="0.25">
      <c r="A1333">
        <v>1316</v>
      </c>
      <c r="B1333" s="100">
        <v>89.748789095589572</v>
      </c>
      <c r="C1333" s="100">
        <v>96.333254412518272</v>
      </c>
      <c r="D1333" s="100">
        <v>93.311895536458692</v>
      </c>
      <c r="E1333" s="100">
        <v>94.732625988763303</v>
      </c>
      <c r="F1333" s="100">
        <v>-643.9874117360589</v>
      </c>
      <c r="G1333" s="100">
        <v>2814.9526411657675</v>
      </c>
      <c r="H1333" s="100">
        <v>-991.6308619441736</v>
      </c>
      <c r="I1333" s="100">
        <v>-1351.9863340620759</v>
      </c>
      <c r="J1333" s="100">
        <v>-172.6519665765411</v>
      </c>
    </row>
    <row r="1334" spans="1:10" x14ac:dyDescent="0.25">
      <c r="A1334">
        <v>1317</v>
      </c>
      <c r="B1334" s="100">
        <v>89.561660321846247</v>
      </c>
      <c r="C1334" s="100">
        <v>99.24270666636022</v>
      </c>
      <c r="D1334" s="100">
        <v>93.631153932600498</v>
      </c>
      <c r="E1334" s="100">
        <v>93.349802832945841</v>
      </c>
      <c r="F1334" s="100">
        <v>-26.462458383086584</v>
      </c>
      <c r="G1334" s="100">
        <v>-1549.2257395971549</v>
      </c>
      <c r="H1334" s="100">
        <v>-1630.147654227784</v>
      </c>
      <c r="I1334" s="100">
        <v>30.836821755386268</v>
      </c>
      <c r="J1334" s="100">
        <v>-3174.9990304526391</v>
      </c>
    </row>
    <row r="1335" spans="1:10" x14ac:dyDescent="0.25">
      <c r="A1335">
        <v>1318</v>
      </c>
      <c r="B1335" s="100">
        <v>89.886424783378104</v>
      </c>
      <c r="C1335" s="100">
        <v>97.934080941028398</v>
      </c>
      <c r="D1335" s="100">
        <v>93.577282710687271</v>
      </c>
      <c r="E1335" s="100">
        <v>92.785140028692609</v>
      </c>
      <c r="F1335" s="100">
        <v>-1098.1851814382126</v>
      </c>
      <c r="G1335" s="100">
        <v>413.71284840057854</v>
      </c>
      <c r="H1335" s="100">
        <v>-1522.405210401331</v>
      </c>
      <c r="I1335" s="100">
        <v>595.49962600861761</v>
      </c>
      <c r="J1335" s="100">
        <v>-1611.3779174303472</v>
      </c>
    </row>
    <row r="1336" spans="1:10" x14ac:dyDescent="0.25">
      <c r="A1336">
        <v>1319</v>
      </c>
      <c r="B1336" s="100">
        <v>90.03544745941214</v>
      </c>
      <c r="C1336" s="100">
        <v>97.823630201355328</v>
      </c>
      <c r="D1336" s="100">
        <v>91.640820461948081</v>
      </c>
      <c r="E1336" s="100">
        <v>93.283980271342358</v>
      </c>
      <c r="F1336" s="100">
        <v>-1589.9600123505322</v>
      </c>
      <c r="G1336" s="100">
        <v>579.38895791018297</v>
      </c>
      <c r="H1336" s="100">
        <v>2350.5192870770488</v>
      </c>
      <c r="I1336" s="100">
        <v>96.659383358868922</v>
      </c>
      <c r="J1336" s="100">
        <v>1436.6076159955687</v>
      </c>
    </row>
    <row r="1337" spans="1:10" x14ac:dyDescent="0.25">
      <c r="A1337">
        <v>1320</v>
      </c>
      <c r="B1337" s="100">
        <v>89.778559751316266</v>
      </c>
      <c r="C1337" s="100">
        <v>98.446622830059198</v>
      </c>
      <c r="D1337" s="100">
        <v>92.531097067265733</v>
      </c>
      <c r="E1337" s="100">
        <v>93.265493705055292</v>
      </c>
      <c r="F1337" s="100">
        <v>-742.23057563414727</v>
      </c>
      <c r="G1337" s="100">
        <v>-355.09998514562113</v>
      </c>
      <c r="H1337" s="100">
        <v>569.96607644174446</v>
      </c>
      <c r="I1337" s="100">
        <v>115.14594964593527</v>
      </c>
      <c r="J1337" s="100">
        <v>-412.21853469208861</v>
      </c>
    </row>
    <row r="1338" spans="1:10" x14ac:dyDescent="0.25">
      <c r="A1338">
        <v>1321</v>
      </c>
      <c r="B1338" s="100">
        <v>89.877003348490362</v>
      </c>
      <c r="C1338" s="100">
        <v>98.123401121328214</v>
      </c>
      <c r="D1338" s="100">
        <v>92.721879460450424</v>
      </c>
      <c r="E1338" s="100">
        <v>96.26214020420835</v>
      </c>
      <c r="F1338" s="100">
        <v>-1067.0944463086655</v>
      </c>
      <c r="G1338" s="100">
        <v>129.73257795085402</v>
      </c>
      <c r="H1338" s="100">
        <v>188.40129007236328</v>
      </c>
      <c r="I1338" s="100">
        <v>-2881.5005495071232</v>
      </c>
      <c r="J1338" s="100">
        <v>-3630.4611277925715</v>
      </c>
    </row>
    <row r="1339" spans="1:10" x14ac:dyDescent="0.25">
      <c r="A1339">
        <v>1322</v>
      </c>
      <c r="B1339" s="100">
        <v>89.471796305699669</v>
      </c>
      <c r="C1339" s="100">
        <v>98.979929476652089</v>
      </c>
      <c r="D1339" s="100">
        <v>91.511823185009717</v>
      </c>
      <c r="E1339" s="100">
        <v>93.460697043155591</v>
      </c>
      <c r="F1339" s="100">
        <v>270.08879490062014</v>
      </c>
      <c r="G1339" s="100">
        <v>-1155.0599550349575</v>
      </c>
      <c r="H1339" s="100">
        <v>2608.5138409537763</v>
      </c>
      <c r="I1339" s="100">
        <v>-80.057388454363831</v>
      </c>
      <c r="J1339" s="100">
        <v>1643.4852923650751</v>
      </c>
    </row>
    <row r="1340" spans="1:10" x14ac:dyDescent="0.25">
      <c r="A1340">
        <v>1323</v>
      </c>
      <c r="B1340" s="100">
        <v>90.040545128409263</v>
      </c>
      <c r="C1340" s="100">
        <v>98.924309518310324</v>
      </c>
      <c r="D1340" s="100">
        <v>93.208290861484571</v>
      </c>
      <c r="E1340" s="100">
        <v>91.011177509272301</v>
      </c>
      <c r="F1340" s="100">
        <v>-1606.7823200410403</v>
      </c>
      <c r="G1340" s="100">
        <v>-1071.6300175223096</v>
      </c>
      <c r="H1340" s="100">
        <v>-784.42151199593013</v>
      </c>
      <c r="I1340" s="100">
        <v>2369.4621454289263</v>
      </c>
      <c r="J1340" s="100">
        <v>-1093.3717041303535</v>
      </c>
    </row>
    <row r="1341" spans="1:10" x14ac:dyDescent="0.25">
      <c r="A1341">
        <v>1324</v>
      </c>
      <c r="B1341" s="100">
        <v>89.340887433665543</v>
      </c>
      <c r="C1341" s="100">
        <v>98.912250013603469</v>
      </c>
      <c r="D1341" s="100">
        <v>93.152633007173236</v>
      </c>
      <c r="E1341" s="100">
        <v>93.426965830384177</v>
      </c>
      <c r="F1341" s="100">
        <v>702.0880726132375</v>
      </c>
      <c r="G1341" s="100">
        <v>-1053.5407604620275</v>
      </c>
      <c r="H1341" s="100">
        <v>-673.10580337326087</v>
      </c>
      <c r="I1341" s="100">
        <v>-46.326175682949611</v>
      </c>
      <c r="J1341" s="100">
        <v>-1070.8846669050004</v>
      </c>
    </row>
    <row r="1342" spans="1:10" x14ac:dyDescent="0.25">
      <c r="A1342">
        <v>1325</v>
      </c>
      <c r="B1342" s="100">
        <v>89.754378619880441</v>
      </c>
      <c r="C1342" s="100">
        <v>97.856470847754721</v>
      </c>
      <c r="D1342" s="100">
        <v>94.371606947609862</v>
      </c>
      <c r="E1342" s="100">
        <v>92.52271839651597</v>
      </c>
      <c r="F1342" s="100">
        <v>-662.43284189592657</v>
      </c>
      <c r="G1342" s="100">
        <v>530.12798831109365</v>
      </c>
      <c r="H1342" s="100">
        <v>-3111.0536842465135</v>
      </c>
      <c r="I1342" s="100">
        <v>857.92125818525733</v>
      </c>
      <c r="J1342" s="100">
        <v>-2385.4372796460893</v>
      </c>
    </row>
    <row r="1343" spans="1:10" x14ac:dyDescent="0.25">
      <c r="A1343">
        <v>1326</v>
      </c>
      <c r="B1343" s="100">
        <v>89.425403538659197</v>
      </c>
      <c r="C1343" s="100">
        <v>98.128534964273641</v>
      </c>
      <c r="D1343" s="100">
        <v>91.337414730734764</v>
      </c>
      <c r="E1343" s="100">
        <v>95.950506210555361</v>
      </c>
      <c r="F1343" s="100">
        <v>423.18492613418073</v>
      </c>
      <c r="G1343" s="100">
        <v>122.03181353271475</v>
      </c>
      <c r="H1343" s="100">
        <v>2957.3307495036829</v>
      </c>
      <c r="I1343" s="100">
        <v>-2569.8665558541334</v>
      </c>
      <c r="J1343" s="100">
        <v>932.68093331644513</v>
      </c>
    </row>
    <row r="1344" spans="1:10" x14ac:dyDescent="0.25">
      <c r="A1344">
        <v>1327</v>
      </c>
      <c r="B1344" s="100">
        <v>90.287298746250769</v>
      </c>
      <c r="C1344" s="100">
        <v>98.40506127798092</v>
      </c>
      <c r="D1344" s="100">
        <v>94.137100011386636</v>
      </c>
      <c r="E1344" s="100">
        <v>91.317868375785423</v>
      </c>
      <c r="F1344" s="100">
        <v>-2421.0692589180098</v>
      </c>
      <c r="G1344" s="100">
        <v>-292.75765702820422</v>
      </c>
      <c r="H1344" s="100">
        <v>-2642.0398118000603</v>
      </c>
      <c r="I1344" s="100">
        <v>2062.771278915804</v>
      </c>
      <c r="J1344" s="100">
        <v>-3293.0954488304706</v>
      </c>
    </row>
    <row r="1345" spans="1:10" x14ac:dyDescent="0.25">
      <c r="A1345">
        <v>1328</v>
      </c>
      <c r="B1345" s="100">
        <v>89.549408106355088</v>
      </c>
      <c r="C1345" s="100">
        <v>97.77895567718204</v>
      </c>
      <c r="D1345" s="100">
        <v>92.294142670242721</v>
      </c>
      <c r="E1345" s="100">
        <v>93.537503191318621</v>
      </c>
      <c r="F1345" s="100">
        <v>13.969852737739075</v>
      </c>
      <c r="G1345" s="100">
        <v>646.40074417011556</v>
      </c>
      <c r="H1345" s="100">
        <v>1043.8748704877696</v>
      </c>
      <c r="I1345" s="100">
        <v>-156.86353661739361</v>
      </c>
      <c r="J1345" s="100">
        <v>1547.3819307782305</v>
      </c>
    </row>
    <row r="1346" spans="1:10" x14ac:dyDescent="0.25">
      <c r="A1346">
        <v>1329</v>
      </c>
      <c r="B1346" s="100">
        <v>89.451904969953418</v>
      </c>
      <c r="C1346" s="100">
        <v>97.540271845901046</v>
      </c>
      <c r="D1346" s="100">
        <v>91.968904285150956</v>
      </c>
      <c r="E1346" s="100">
        <v>93.891534179969753</v>
      </c>
      <c r="F1346" s="100">
        <v>335.73020286325033</v>
      </c>
      <c r="G1346" s="100">
        <v>1004.426491091607</v>
      </c>
      <c r="H1346" s="100">
        <v>1694.3516406713002</v>
      </c>
      <c r="I1346" s="100">
        <v>-510.89452526852597</v>
      </c>
      <c r="J1346" s="100">
        <v>2523.613809357631</v>
      </c>
    </row>
    <row r="1347" spans="1:10" x14ac:dyDescent="0.25">
      <c r="A1347">
        <v>1330</v>
      </c>
      <c r="B1347" s="100">
        <v>89.904506797928093</v>
      </c>
      <c r="C1347" s="100">
        <v>98.103246243410922</v>
      </c>
      <c r="D1347" s="100">
        <v>93.251698838720699</v>
      </c>
      <c r="E1347" s="100">
        <v>94.779970902530252</v>
      </c>
      <c r="F1347" s="100">
        <v>-1157.8558294531774</v>
      </c>
      <c r="G1347" s="100">
        <v>159.96489482679266</v>
      </c>
      <c r="H1347" s="100">
        <v>-871.23746646818745</v>
      </c>
      <c r="I1347" s="100">
        <v>-1399.331247829025</v>
      </c>
      <c r="J1347" s="100">
        <v>-3268.4596489235973</v>
      </c>
    </row>
    <row r="1348" spans="1:10" x14ac:dyDescent="0.25">
      <c r="A1348">
        <v>1331</v>
      </c>
      <c r="B1348" s="100">
        <v>89.491884167670364</v>
      </c>
      <c r="C1348" s="100">
        <v>98.892341823405843</v>
      </c>
      <c r="D1348" s="100">
        <v>91.73961728400225</v>
      </c>
      <c r="E1348" s="100">
        <v>92.91957461650901</v>
      </c>
      <c r="F1348" s="100">
        <v>203.79885039732955</v>
      </c>
      <c r="G1348" s="100">
        <v>-1023.6784751655889</v>
      </c>
      <c r="H1348" s="100">
        <v>2152.9256429687111</v>
      </c>
      <c r="I1348" s="100">
        <v>461.065038192217</v>
      </c>
      <c r="J1348" s="100">
        <v>1794.1110563926686</v>
      </c>
    </row>
    <row r="1349" spans="1:10" x14ac:dyDescent="0.25">
      <c r="A1349">
        <v>1332</v>
      </c>
      <c r="B1349" s="100">
        <v>88.829544564726135</v>
      </c>
      <c r="C1349" s="100">
        <v>98.137890903647744</v>
      </c>
      <c r="D1349" s="100">
        <v>92.256114888109707</v>
      </c>
      <c r="E1349" s="100">
        <v>94.729887375036114</v>
      </c>
      <c r="F1349" s="100">
        <v>2389.5195401132851</v>
      </c>
      <c r="G1349" s="100">
        <v>107.99790447155999</v>
      </c>
      <c r="H1349" s="100">
        <v>1119.9304347537975</v>
      </c>
      <c r="I1349" s="100">
        <v>-1349.2477203348869</v>
      </c>
      <c r="J1349" s="100">
        <v>2268.2001590037553</v>
      </c>
    </row>
    <row r="1350" spans="1:10" x14ac:dyDescent="0.25">
      <c r="A1350">
        <v>1333</v>
      </c>
      <c r="B1350" s="100">
        <v>90.076324242751582</v>
      </c>
      <c r="C1350" s="100">
        <v>98.703875723009361</v>
      </c>
      <c r="D1350" s="100">
        <v>96.098755888090409</v>
      </c>
      <c r="E1350" s="100">
        <v>92.689802768901799</v>
      </c>
      <c r="F1350" s="100">
        <v>-1724.8533973706913</v>
      </c>
      <c r="G1350" s="100">
        <v>-740.97932457086563</v>
      </c>
      <c r="H1350" s="100">
        <v>-6565.3515652076067</v>
      </c>
      <c r="I1350" s="100">
        <v>690.83688579942759</v>
      </c>
      <c r="J1350" s="100">
        <v>-8340.3474013497362</v>
      </c>
    </row>
    <row r="1351" spans="1:10" x14ac:dyDescent="0.25">
      <c r="A1351">
        <v>1334</v>
      </c>
      <c r="B1351" s="100">
        <v>89.538808414915351</v>
      </c>
      <c r="C1351" s="100">
        <v>99.524454648573894</v>
      </c>
      <c r="D1351" s="100">
        <v>92.153356093684081</v>
      </c>
      <c r="E1351" s="100">
        <v>93.363261776171555</v>
      </c>
      <c r="F1351" s="100">
        <v>48.948834488869863</v>
      </c>
      <c r="G1351" s="100">
        <v>-1971.8477129176649</v>
      </c>
      <c r="H1351" s="100">
        <v>1325.4480236050483</v>
      </c>
      <c r="I1351" s="100">
        <v>17.377878529671875</v>
      </c>
      <c r="J1351" s="100">
        <v>-580.07297629407492</v>
      </c>
    </row>
    <row r="1352" spans="1:10" x14ac:dyDescent="0.25">
      <c r="A1352">
        <v>1335</v>
      </c>
      <c r="B1352" s="100">
        <v>88.414893034852383</v>
      </c>
      <c r="C1352" s="100">
        <v>98.823990288300251</v>
      </c>
      <c r="D1352" s="100">
        <v>93.897836338448556</v>
      </c>
      <c r="E1352" s="100">
        <v>94.680382541521041</v>
      </c>
      <c r="F1352" s="100">
        <v>3757.8695886966643</v>
      </c>
      <c r="G1352" s="100">
        <v>-921.15117250720141</v>
      </c>
      <c r="H1352" s="100">
        <v>-2163.5124659239009</v>
      </c>
      <c r="I1352" s="100">
        <v>-1299.7428868198142</v>
      </c>
      <c r="J1352" s="100">
        <v>-626.53693655425218</v>
      </c>
    </row>
    <row r="1353" spans="1:10" x14ac:dyDescent="0.25">
      <c r="A1353">
        <v>1336</v>
      </c>
      <c r="B1353" s="100">
        <v>89.04539519538686</v>
      </c>
      <c r="C1353" s="100">
        <v>96.974236220889495</v>
      </c>
      <c r="D1353" s="100">
        <v>93.413184275144886</v>
      </c>
      <c r="E1353" s="100">
        <v>92.649881261797645</v>
      </c>
      <c r="F1353" s="100">
        <v>1677.2124589328926</v>
      </c>
      <c r="G1353" s="100">
        <v>1853.4799286089337</v>
      </c>
      <c r="H1353" s="100">
        <v>-1194.2083393165603</v>
      </c>
      <c r="I1353" s="100">
        <v>730.75839290358147</v>
      </c>
      <c r="J1353" s="100">
        <v>3067.2424411288471</v>
      </c>
    </row>
    <row r="1354" spans="1:10" x14ac:dyDescent="0.25">
      <c r="A1354">
        <v>1337</v>
      </c>
      <c r="B1354" s="100">
        <v>89.145455732421723</v>
      </c>
      <c r="C1354" s="100">
        <v>99.24148851249565</v>
      </c>
      <c r="D1354" s="100">
        <v>92.729793155488537</v>
      </c>
      <c r="E1354" s="100">
        <v>92.816480414330002</v>
      </c>
      <c r="F1354" s="100">
        <v>1347.0126867178421</v>
      </c>
      <c r="G1354" s="100">
        <v>-1547.3985088002992</v>
      </c>
      <c r="H1354" s="100">
        <v>172.57389999613792</v>
      </c>
      <c r="I1354" s="100">
        <v>564.15924037122522</v>
      </c>
      <c r="J1354" s="100">
        <v>536.34731828490612</v>
      </c>
    </row>
    <row r="1355" spans="1:10" x14ac:dyDescent="0.25">
      <c r="A1355">
        <v>1338</v>
      </c>
      <c r="B1355" s="100">
        <v>89.787108370932287</v>
      </c>
      <c r="C1355" s="100">
        <v>98.744877946500964</v>
      </c>
      <c r="D1355" s="100">
        <v>91.542450058901125</v>
      </c>
      <c r="E1355" s="100">
        <v>92.027012223446746</v>
      </c>
      <c r="F1355" s="100">
        <v>-770.44102036701929</v>
      </c>
      <c r="G1355" s="100">
        <v>-802.48265980826977</v>
      </c>
      <c r="H1355" s="100">
        <v>2547.2600931709621</v>
      </c>
      <c r="I1355" s="100">
        <v>1353.6274312544806</v>
      </c>
      <c r="J1355" s="100">
        <v>2327.9638442501537</v>
      </c>
    </row>
    <row r="1356" spans="1:10" x14ac:dyDescent="0.25">
      <c r="A1356">
        <v>1339</v>
      </c>
      <c r="B1356" s="100">
        <v>90.185776837845097</v>
      </c>
      <c r="C1356" s="100">
        <v>98.994827206307761</v>
      </c>
      <c r="D1356" s="100">
        <v>93.615394506572088</v>
      </c>
      <c r="E1356" s="100">
        <v>96.046411824287588</v>
      </c>
      <c r="F1356" s="100">
        <v>-2086.046961179291</v>
      </c>
      <c r="G1356" s="100">
        <v>-1177.4065495184659</v>
      </c>
      <c r="H1356" s="100">
        <v>-1598.628802170964</v>
      </c>
      <c r="I1356" s="100">
        <v>-2665.7721695863615</v>
      </c>
      <c r="J1356" s="100">
        <v>-7527.8544824550827</v>
      </c>
    </row>
    <row r="1357" spans="1:10" x14ac:dyDescent="0.25">
      <c r="A1357">
        <v>1340</v>
      </c>
      <c r="B1357" s="100">
        <v>88.959358461506085</v>
      </c>
      <c r="C1357" s="100">
        <v>95.726416806462964</v>
      </c>
      <c r="D1357" s="100">
        <v>93.077077280143527</v>
      </c>
      <c r="E1357" s="100">
        <v>96.421896529845682</v>
      </c>
      <c r="F1357" s="100">
        <v>1961.1336807394493</v>
      </c>
      <c r="G1357" s="100">
        <v>3725.209050248729</v>
      </c>
      <c r="H1357" s="100">
        <v>-521.99434931384303</v>
      </c>
      <c r="I1357" s="100">
        <v>-3041.2568751444551</v>
      </c>
      <c r="J1357" s="100">
        <v>2123.0915065298805</v>
      </c>
    </row>
    <row r="1358" spans="1:10" x14ac:dyDescent="0.25">
      <c r="A1358">
        <v>1341</v>
      </c>
      <c r="B1358" s="100">
        <v>89.239208768109265</v>
      </c>
      <c r="C1358" s="100">
        <v>99.386664120428534</v>
      </c>
      <c r="D1358" s="100">
        <v>92.696868763291889</v>
      </c>
      <c r="E1358" s="100">
        <v>89.759781269835472</v>
      </c>
      <c r="F1358" s="100">
        <v>1037.6276689489557</v>
      </c>
      <c r="G1358" s="100">
        <v>-1765.1619206996259</v>
      </c>
      <c r="H1358" s="100">
        <v>238.42268438943393</v>
      </c>
      <c r="I1358" s="100">
        <v>3620.8583848657554</v>
      </c>
      <c r="J1358" s="100">
        <v>3131.7468175045192</v>
      </c>
    </row>
    <row r="1359" spans="1:10" x14ac:dyDescent="0.25">
      <c r="A1359">
        <v>1342</v>
      </c>
      <c r="B1359" s="100">
        <v>88.887891353542742</v>
      </c>
      <c r="C1359" s="100">
        <v>97.710224795060981</v>
      </c>
      <c r="D1359" s="100">
        <v>92.380893741584885</v>
      </c>
      <c r="E1359" s="100">
        <v>93.353913722360929</v>
      </c>
      <c r="F1359" s="100">
        <v>2196.9751370184822</v>
      </c>
      <c r="G1359" s="100">
        <v>749.49706735170457</v>
      </c>
      <c r="H1359" s="100">
        <v>870.3727278034421</v>
      </c>
      <c r="I1359" s="100">
        <v>26.725932340298186</v>
      </c>
      <c r="J1359" s="100">
        <v>3843.5708645139271</v>
      </c>
    </row>
    <row r="1360" spans="1:10" x14ac:dyDescent="0.25">
      <c r="A1360">
        <v>1343</v>
      </c>
      <c r="B1360" s="100">
        <v>89.43640006263486</v>
      </c>
      <c r="C1360" s="100">
        <v>97.613848771028088</v>
      </c>
      <c r="D1360" s="100">
        <v>93.919346401441089</v>
      </c>
      <c r="E1360" s="100">
        <v>92.803401889410807</v>
      </c>
      <c r="F1360" s="100">
        <v>386.89639701449181</v>
      </c>
      <c r="G1360" s="100">
        <v>894.06110340104306</v>
      </c>
      <c r="H1360" s="100">
        <v>-2206.5325919089673</v>
      </c>
      <c r="I1360" s="100">
        <v>577.2377652904197</v>
      </c>
      <c r="J1360" s="100">
        <v>-348.33732620301271</v>
      </c>
    </row>
    <row r="1361" spans="1:10" x14ac:dyDescent="0.25">
      <c r="A1361">
        <v>1344</v>
      </c>
      <c r="B1361" s="100">
        <v>90.013804333734441</v>
      </c>
      <c r="C1361" s="100">
        <v>98.734040224051569</v>
      </c>
      <c r="D1361" s="100">
        <v>91.706558312341329</v>
      </c>
      <c r="E1361" s="100">
        <v>94.698712493509461</v>
      </c>
      <c r="F1361" s="100">
        <v>-1518.537697614127</v>
      </c>
      <c r="G1361" s="100">
        <v>-786.22607613417722</v>
      </c>
      <c r="H1361" s="100">
        <v>2219.0435862905533</v>
      </c>
      <c r="I1361" s="100">
        <v>-1318.0728388082343</v>
      </c>
      <c r="J1361" s="100">
        <v>-1403.7930262659852</v>
      </c>
    </row>
    <row r="1362" spans="1:10" x14ac:dyDescent="0.25">
      <c r="A1362">
        <v>1345</v>
      </c>
      <c r="B1362" s="100">
        <v>90.24352184446964</v>
      </c>
      <c r="C1362" s="100">
        <v>97.313467199785023</v>
      </c>
      <c r="D1362" s="100">
        <v>93.74773830049341</v>
      </c>
      <c r="E1362" s="100">
        <v>94.41008643056702</v>
      </c>
      <c r="F1362" s="100">
        <v>-2276.6054830402836</v>
      </c>
      <c r="G1362" s="100">
        <v>1344.6334602656407</v>
      </c>
      <c r="H1362" s="100">
        <v>-1863.3163900136083</v>
      </c>
      <c r="I1362" s="100">
        <v>-1029.4467758657929</v>
      </c>
      <c r="J1362" s="100">
        <v>-3824.7351886540441</v>
      </c>
    </row>
    <row r="1363" spans="1:10" x14ac:dyDescent="0.25">
      <c r="A1363">
        <v>1346</v>
      </c>
      <c r="B1363" s="100">
        <v>89.426732020515232</v>
      </c>
      <c r="C1363" s="100">
        <v>96.967412887083555</v>
      </c>
      <c r="D1363" s="100">
        <v>92.790299226273007</v>
      </c>
      <c r="E1363" s="100">
        <v>92.215182033538625</v>
      </c>
      <c r="F1363" s="100">
        <v>418.800936009265</v>
      </c>
      <c r="G1363" s="100">
        <v>1863.7149293178438</v>
      </c>
      <c r="H1363" s="100">
        <v>51.561758427197901</v>
      </c>
      <c r="I1363" s="100">
        <v>1165.4576211626022</v>
      </c>
      <c r="J1363" s="100">
        <v>3499.5352449169091</v>
      </c>
    </row>
    <row r="1364" spans="1:10" x14ac:dyDescent="0.25">
      <c r="A1364">
        <v>1347</v>
      </c>
      <c r="B1364" s="100">
        <v>89.734684346563398</v>
      </c>
      <c r="C1364" s="100">
        <v>98.878767470569557</v>
      </c>
      <c r="D1364" s="100">
        <v>92.764276914213127</v>
      </c>
      <c r="E1364" s="100">
        <v>92.476369690457545</v>
      </c>
      <c r="F1364" s="100">
        <v>-597.44173994968435</v>
      </c>
      <c r="G1364" s="100">
        <v>-1003.3169459111591</v>
      </c>
      <c r="H1364" s="100">
        <v>103.60638254695687</v>
      </c>
      <c r="I1364" s="100">
        <v>904.26996424368156</v>
      </c>
      <c r="J1364" s="100">
        <v>-592.88233907020492</v>
      </c>
    </row>
    <row r="1365" spans="1:10" x14ac:dyDescent="0.25">
      <c r="A1365">
        <v>1348</v>
      </c>
      <c r="B1365" s="100">
        <v>89.87210372643311</v>
      </c>
      <c r="C1365" s="100">
        <v>98.52730583279282</v>
      </c>
      <c r="D1365" s="100">
        <v>95.365527649592167</v>
      </c>
      <c r="E1365" s="100">
        <v>93.907189580750384</v>
      </c>
      <c r="F1365" s="100">
        <v>-1050.9256935197343</v>
      </c>
      <c r="G1365" s="100">
        <v>-476.12448924605388</v>
      </c>
      <c r="H1365" s="100">
        <v>-5098.8950882111221</v>
      </c>
      <c r="I1365" s="100">
        <v>-526.54992604915662</v>
      </c>
      <c r="J1365" s="100">
        <v>-7152.4951970260672</v>
      </c>
    </row>
    <row r="1366" spans="1:10" x14ac:dyDescent="0.25">
      <c r="A1366">
        <v>1349</v>
      </c>
      <c r="B1366" s="100">
        <v>89.77967743315881</v>
      </c>
      <c r="C1366" s="100">
        <v>97.175470056066942</v>
      </c>
      <c r="D1366" s="100">
        <v>90.991583761140689</v>
      </c>
      <c r="E1366" s="100">
        <v>93.597994256363876</v>
      </c>
      <c r="F1366" s="100">
        <v>-745.91892571454252</v>
      </c>
      <c r="G1366" s="100">
        <v>1551.6291758427628</v>
      </c>
      <c r="H1366" s="100">
        <v>3648.9926886918338</v>
      </c>
      <c r="I1366" s="100">
        <v>-217.35460166264886</v>
      </c>
      <c r="J1366" s="100">
        <v>4237.3483371574057</v>
      </c>
    </row>
    <row r="1367" spans="1:10" x14ac:dyDescent="0.25">
      <c r="A1367">
        <v>1350</v>
      </c>
      <c r="B1367" s="100">
        <v>90.384086901674195</v>
      </c>
      <c r="C1367" s="100">
        <v>99.703124647414768</v>
      </c>
      <c r="D1367" s="100">
        <v>92.71865327338439</v>
      </c>
      <c r="E1367" s="100">
        <v>93.411849248080657</v>
      </c>
      <c r="F1367" s="100">
        <v>-2740.4701718153133</v>
      </c>
      <c r="G1367" s="100">
        <v>-2239.8527111789763</v>
      </c>
      <c r="H1367" s="100">
        <v>194.85366420443029</v>
      </c>
      <c r="I1367" s="100">
        <v>-31.209593379429634</v>
      </c>
      <c r="J1367" s="100">
        <v>-4816.6788121692889</v>
      </c>
    </row>
    <row r="1368" spans="1:10" x14ac:dyDescent="0.25">
      <c r="A1368">
        <v>1351</v>
      </c>
      <c r="B1368" s="100">
        <v>89.402546506829779</v>
      </c>
      <c r="C1368" s="100">
        <v>97.863076787517997</v>
      </c>
      <c r="D1368" s="100">
        <v>94.592880578301404</v>
      </c>
      <c r="E1368" s="100">
        <v>93.379404463035655</v>
      </c>
      <c r="F1368" s="100">
        <v>498.61313117125832</v>
      </c>
      <c r="G1368" s="100">
        <v>520.21907866618017</v>
      </c>
      <c r="H1368" s="100">
        <v>-3553.6009456295969</v>
      </c>
      <c r="I1368" s="100">
        <v>1.2351916655717332</v>
      </c>
      <c r="J1368" s="100">
        <v>-2533.533544126587</v>
      </c>
    </row>
    <row r="1369" spans="1:10" x14ac:dyDescent="0.25">
      <c r="A1369">
        <v>1352</v>
      </c>
      <c r="B1369" s="100">
        <v>89.685029315618962</v>
      </c>
      <c r="C1369" s="100">
        <v>97.63562077970461</v>
      </c>
      <c r="D1369" s="100">
        <v>92.265502001224334</v>
      </c>
      <c r="E1369" s="100">
        <v>94.434711607197272</v>
      </c>
      <c r="F1369" s="100">
        <v>-433.58013783304585</v>
      </c>
      <c r="G1369" s="100">
        <v>861.40309038626128</v>
      </c>
      <c r="H1369" s="100">
        <v>1101.156208524543</v>
      </c>
      <c r="I1369" s="100">
        <v>-1054.071952496045</v>
      </c>
      <c r="J1369" s="100">
        <v>474.90720858171335</v>
      </c>
    </row>
    <row r="1370" spans="1:10" x14ac:dyDescent="0.25">
      <c r="A1370">
        <v>1353</v>
      </c>
      <c r="B1370" s="100">
        <v>89.829042896362822</v>
      </c>
      <c r="C1370" s="100">
        <v>98.648490281352991</v>
      </c>
      <c r="D1370" s="100">
        <v>93.080700868811618</v>
      </c>
      <c r="E1370" s="100">
        <v>95.686519304124531</v>
      </c>
      <c r="F1370" s="100">
        <v>-908.82495428778179</v>
      </c>
      <c r="G1370" s="100">
        <v>-657.90116208631139</v>
      </c>
      <c r="H1370" s="100">
        <v>-529.24152665002566</v>
      </c>
      <c r="I1370" s="100">
        <v>-2305.8796494233038</v>
      </c>
      <c r="J1370" s="100">
        <v>-4401.8472924474227</v>
      </c>
    </row>
    <row r="1371" spans="1:10" x14ac:dyDescent="0.25">
      <c r="A1371">
        <v>1354</v>
      </c>
      <c r="B1371" s="100">
        <v>89.416430087043082</v>
      </c>
      <c r="C1371" s="100">
        <v>96.672580986258652</v>
      </c>
      <c r="D1371" s="100">
        <v>92.237895992268818</v>
      </c>
      <c r="E1371" s="100">
        <v>92.415270529163578</v>
      </c>
      <c r="F1371" s="100">
        <v>452.79731646735826</v>
      </c>
      <c r="G1371" s="100">
        <v>2305.9627805551982</v>
      </c>
      <c r="H1371" s="100">
        <v>1156.3682264355748</v>
      </c>
      <c r="I1371" s="100">
        <v>965.36912553764864</v>
      </c>
      <c r="J1371" s="100">
        <v>4880.4974489957795</v>
      </c>
    </row>
    <row r="1372" spans="1:10" x14ac:dyDescent="0.25">
      <c r="A1372">
        <v>1355</v>
      </c>
      <c r="B1372" s="100">
        <v>89.204511671380146</v>
      </c>
      <c r="C1372" s="100">
        <v>98.274992162370154</v>
      </c>
      <c r="D1372" s="100">
        <v>93.975378984053705</v>
      </c>
      <c r="E1372" s="100">
        <v>94.270623520255924</v>
      </c>
      <c r="F1372" s="100">
        <v>1152.1280881550467</v>
      </c>
      <c r="G1372" s="100">
        <v>-97.653983612055129</v>
      </c>
      <c r="H1372" s="100">
        <v>-2318.5977571341991</v>
      </c>
      <c r="I1372" s="100">
        <v>-889.98386555469722</v>
      </c>
      <c r="J1372" s="100">
        <v>-2154.1075181459046</v>
      </c>
    </row>
    <row r="1373" spans="1:10" x14ac:dyDescent="0.25">
      <c r="A1373">
        <v>1356</v>
      </c>
      <c r="B1373" s="100">
        <v>89.97451049310942</v>
      </c>
      <c r="C1373" s="100">
        <v>97.322913653207365</v>
      </c>
      <c r="D1373" s="100">
        <v>91.030141458896978</v>
      </c>
      <c r="E1373" s="100">
        <v>93.395767950426347</v>
      </c>
      <c r="F1373" s="100">
        <v>-1388.8680235515581</v>
      </c>
      <c r="G1373" s="100">
        <v>1330.4637801321278</v>
      </c>
      <c r="H1373" s="100">
        <v>3571.8772931792555</v>
      </c>
      <c r="I1373" s="100">
        <v>-15.128295725119756</v>
      </c>
      <c r="J1373" s="100">
        <v>3498.3447540347056</v>
      </c>
    </row>
    <row r="1374" spans="1:10" x14ac:dyDescent="0.25">
      <c r="A1374">
        <v>1357</v>
      </c>
      <c r="B1374" s="100">
        <v>89.062843234528955</v>
      </c>
      <c r="C1374" s="100">
        <v>99.624656989175918</v>
      </c>
      <c r="D1374" s="100">
        <v>92.084423375567582</v>
      </c>
      <c r="E1374" s="100">
        <v>94.763308242220376</v>
      </c>
      <c r="F1374" s="100">
        <v>1619.6339297639768</v>
      </c>
      <c r="G1374" s="100">
        <v>-2122.151223820701</v>
      </c>
      <c r="H1374" s="100">
        <v>1463.3134598380479</v>
      </c>
      <c r="I1374" s="100">
        <v>-1382.6685875191488</v>
      </c>
      <c r="J1374" s="100">
        <v>-421.87242173782511</v>
      </c>
    </row>
    <row r="1375" spans="1:10" x14ac:dyDescent="0.25">
      <c r="A1375">
        <v>1358</v>
      </c>
      <c r="B1375" s="100">
        <v>89.891606053863114</v>
      </c>
      <c r="C1375" s="100">
        <v>98.81591111793098</v>
      </c>
      <c r="D1375" s="100">
        <v>93.920300290643269</v>
      </c>
      <c r="E1375" s="100">
        <v>92.277992285903281</v>
      </c>
      <c r="F1375" s="100">
        <v>-1115.2833740387478</v>
      </c>
      <c r="G1375" s="100">
        <v>-909.03241695329484</v>
      </c>
      <c r="H1375" s="100">
        <v>-2208.4403703133262</v>
      </c>
      <c r="I1375" s="100">
        <v>1102.647368797946</v>
      </c>
      <c r="J1375" s="100">
        <v>-3130.1087925074225</v>
      </c>
    </row>
    <row r="1376" spans="1:10" x14ac:dyDescent="0.25">
      <c r="A1376">
        <v>1359</v>
      </c>
      <c r="B1376" s="100">
        <v>89.504966391168693</v>
      </c>
      <c r="C1376" s="100">
        <v>96.453909766803733</v>
      </c>
      <c r="D1376" s="100">
        <v>93.392177319770681</v>
      </c>
      <c r="E1376" s="100">
        <v>96.619924613221912</v>
      </c>
      <c r="F1376" s="100">
        <v>160.62751285284094</v>
      </c>
      <c r="G1376" s="100">
        <v>2633.9696097375763</v>
      </c>
      <c r="H1376" s="100">
        <v>-1152.1944285681514</v>
      </c>
      <c r="I1376" s="100">
        <v>-3239.2849585206845</v>
      </c>
      <c r="J1376" s="100">
        <v>-1596.8822644984186</v>
      </c>
    </row>
    <row r="1377" spans="1:10" x14ac:dyDescent="0.25">
      <c r="A1377">
        <v>1360</v>
      </c>
      <c r="B1377" s="100">
        <v>89.788346795218146</v>
      </c>
      <c r="C1377" s="100">
        <v>97.635458756395536</v>
      </c>
      <c r="D1377" s="100">
        <v>93.524427727151448</v>
      </c>
      <c r="E1377" s="100">
        <v>93.472746559692126</v>
      </c>
      <c r="F1377" s="100">
        <v>-774.52782051035319</v>
      </c>
      <c r="G1377" s="100">
        <v>861.64612534987123</v>
      </c>
      <c r="H1377" s="100">
        <v>-1416.6952433296842</v>
      </c>
      <c r="I1377" s="100">
        <v>-92.106904990899352</v>
      </c>
      <c r="J1377" s="100">
        <v>-1421.6838434810657</v>
      </c>
    </row>
    <row r="1378" spans="1:10" x14ac:dyDescent="0.25">
      <c r="A1378">
        <v>1361</v>
      </c>
      <c r="B1378" s="100">
        <v>90.334510027000249</v>
      </c>
      <c r="C1378" s="100">
        <v>96.944933048897937</v>
      </c>
      <c r="D1378" s="100">
        <v>90.730403202964297</v>
      </c>
      <c r="E1378" s="100">
        <v>91.16125558405588</v>
      </c>
      <c r="F1378" s="100">
        <v>-2576.8664853912924</v>
      </c>
      <c r="G1378" s="100">
        <v>1897.4346865962702</v>
      </c>
      <c r="H1378" s="100">
        <v>4171.3538050446177</v>
      </c>
      <c r="I1378" s="100">
        <v>2219.384070645347</v>
      </c>
      <c r="J1378" s="100">
        <v>5711.3060768949426</v>
      </c>
    </row>
    <row r="1379" spans="1:10" x14ac:dyDescent="0.25">
      <c r="A1379">
        <v>1362</v>
      </c>
      <c r="B1379" s="100">
        <v>89.998597450354666</v>
      </c>
      <c r="C1379" s="100">
        <v>99.218414962563429</v>
      </c>
      <c r="D1379" s="100">
        <v>88.921392077307615</v>
      </c>
      <c r="E1379" s="100">
        <v>94.297396706446747</v>
      </c>
      <c r="F1379" s="100">
        <v>-1468.3549824608676</v>
      </c>
      <c r="G1379" s="100">
        <v>-1512.7881839019678</v>
      </c>
      <c r="H1379" s="100">
        <v>7789.3760563579799</v>
      </c>
      <c r="I1379" s="100">
        <v>-916.75705174552036</v>
      </c>
      <c r="J1379" s="100">
        <v>3891.4758382496238</v>
      </c>
    </row>
    <row r="1380" spans="1:10" x14ac:dyDescent="0.25">
      <c r="A1380">
        <v>1363</v>
      </c>
      <c r="B1380" s="100">
        <v>89.34633787103121</v>
      </c>
      <c r="C1380" s="100">
        <v>98.415051760053828</v>
      </c>
      <c r="D1380" s="100">
        <v>94.951072485607909</v>
      </c>
      <c r="E1380" s="100">
        <v>92.847630613834355</v>
      </c>
      <c r="F1380" s="100">
        <v>684.10162930653655</v>
      </c>
      <c r="G1380" s="100">
        <v>-307.74338013756619</v>
      </c>
      <c r="H1380" s="100">
        <v>-4269.9847602426071</v>
      </c>
      <c r="I1380" s="100">
        <v>533.0090408668724</v>
      </c>
      <c r="J1380" s="100">
        <v>-3360.6174702067642</v>
      </c>
    </row>
    <row r="1381" spans="1:10" x14ac:dyDescent="0.25">
      <c r="A1381">
        <v>1364</v>
      </c>
      <c r="B1381" s="100">
        <v>89.172756451266096</v>
      </c>
      <c r="C1381" s="100">
        <v>97.375518185756434</v>
      </c>
      <c r="D1381" s="100">
        <v>91.95996995040116</v>
      </c>
      <c r="E1381" s="100">
        <v>89.694670265814281</v>
      </c>
      <c r="F1381" s="100">
        <v>1256.920314531412</v>
      </c>
      <c r="G1381" s="100">
        <v>1251.5569813085249</v>
      </c>
      <c r="H1381" s="100">
        <v>1712.2203101708919</v>
      </c>
      <c r="I1381" s="100">
        <v>3685.969388886946</v>
      </c>
      <c r="J1381" s="100">
        <v>7906.6669948977751</v>
      </c>
    </row>
    <row r="1382" spans="1:10" x14ac:dyDescent="0.25">
      <c r="A1382">
        <v>1365</v>
      </c>
      <c r="B1382" s="100">
        <v>89.572255451222787</v>
      </c>
      <c r="C1382" s="100">
        <v>97.605829631673686</v>
      </c>
      <c r="D1382" s="100">
        <v>92.698663349635098</v>
      </c>
      <c r="E1382" s="100">
        <v>92.237044842774282</v>
      </c>
      <c r="F1382" s="100">
        <v>-61.426385325668775</v>
      </c>
      <c r="G1382" s="100">
        <v>906.08981243264702</v>
      </c>
      <c r="H1382" s="100">
        <v>234.83351170301603</v>
      </c>
      <c r="I1382" s="100">
        <v>1143.5948119269456</v>
      </c>
      <c r="J1382" s="100">
        <v>2223.09175073694</v>
      </c>
    </row>
    <row r="1383" spans="1:10" x14ac:dyDescent="0.25">
      <c r="A1383">
        <v>1366</v>
      </c>
      <c r="B1383" s="100">
        <v>89.586537538766024</v>
      </c>
      <c r="C1383" s="100">
        <v>99.278641422065689</v>
      </c>
      <c r="D1383" s="100">
        <v>93.619796232568405</v>
      </c>
      <c r="E1383" s="100">
        <v>93.479494883155709</v>
      </c>
      <c r="F1383" s="100">
        <v>-108.55727421834871</v>
      </c>
      <c r="G1383" s="100">
        <v>-1603.1278731553584</v>
      </c>
      <c r="H1383" s="100">
        <v>-1607.4322541635979</v>
      </c>
      <c r="I1383" s="100">
        <v>-98.855228454482358</v>
      </c>
      <c r="J1383" s="100">
        <v>-3417.9726299917875</v>
      </c>
    </row>
    <row r="1384" spans="1:10" x14ac:dyDescent="0.25">
      <c r="A1384">
        <v>1367</v>
      </c>
      <c r="B1384" s="100">
        <v>90.140630870763957</v>
      </c>
      <c r="C1384" s="100">
        <v>98.928000325526526</v>
      </c>
      <c r="D1384" s="100">
        <v>95.232770136215166</v>
      </c>
      <c r="E1384" s="100">
        <v>93.655602244682399</v>
      </c>
      <c r="F1384" s="100">
        <v>-1937.065269811528</v>
      </c>
      <c r="G1384" s="100">
        <v>-1077.1662283466128</v>
      </c>
      <c r="H1384" s="100">
        <v>-4833.3800614571201</v>
      </c>
      <c r="I1384" s="100">
        <v>-274.96258998117185</v>
      </c>
      <c r="J1384" s="100">
        <v>-8122.574149596433</v>
      </c>
    </row>
    <row r="1385" spans="1:10" x14ac:dyDescent="0.25">
      <c r="A1385">
        <v>1368</v>
      </c>
      <c r="B1385" s="100">
        <v>89.997131365727995</v>
      </c>
      <c r="C1385" s="100">
        <v>98.844878301606443</v>
      </c>
      <c r="D1385" s="100">
        <v>92.354192182650351</v>
      </c>
      <c r="E1385" s="100">
        <v>93.500444603736312</v>
      </c>
      <c r="F1385" s="100">
        <v>-1463.516903192854</v>
      </c>
      <c r="G1385" s="100">
        <v>-952.48319246648805</v>
      </c>
      <c r="H1385" s="100">
        <v>923.77584567250892</v>
      </c>
      <c r="I1385" s="100">
        <v>-119.80494903508543</v>
      </c>
      <c r="J1385" s="100">
        <v>-1612.0291990219187</v>
      </c>
    </row>
    <row r="1386" spans="1:10" x14ac:dyDescent="0.25">
      <c r="A1386">
        <v>1369</v>
      </c>
      <c r="B1386" s="100">
        <v>89.137327122810404</v>
      </c>
      <c r="C1386" s="100">
        <v>98.871588032883523</v>
      </c>
      <c r="D1386" s="100">
        <v>91.559864526396311</v>
      </c>
      <c r="E1386" s="100">
        <v>93.206823310063129</v>
      </c>
      <c r="F1386" s="100">
        <v>1373.8370984351945</v>
      </c>
      <c r="G1386" s="100">
        <v>-992.54778938210825</v>
      </c>
      <c r="H1386" s="100">
        <v>2512.4311581805896</v>
      </c>
      <c r="I1386" s="100">
        <v>173.81634463809803</v>
      </c>
      <c r="J1386" s="100">
        <v>3067.5368118717738</v>
      </c>
    </row>
    <row r="1387" spans="1:10" x14ac:dyDescent="0.25">
      <c r="A1387">
        <v>1370</v>
      </c>
      <c r="B1387" s="100">
        <v>89.348492576390399</v>
      </c>
      <c r="C1387" s="100">
        <v>99.059888124125337</v>
      </c>
      <c r="D1387" s="100">
        <v>94.990452309327111</v>
      </c>
      <c r="E1387" s="100">
        <v>92.215831256674406</v>
      </c>
      <c r="F1387" s="100">
        <v>676.99110162121337</v>
      </c>
      <c r="G1387" s="100">
        <v>-1274.9979262448292</v>
      </c>
      <c r="H1387" s="100">
        <v>-4348.7444076810107</v>
      </c>
      <c r="I1387" s="100">
        <v>1164.8083980268211</v>
      </c>
      <c r="J1387" s="100">
        <v>-3781.9428342778056</v>
      </c>
    </row>
    <row r="1388" spans="1:10" x14ac:dyDescent="0.25">
      <c r="A1388">
        <v>1371</v>
      </c>
      <c r="B1388" s="100">
        <v>89.509616899944149</v>
      </c>
      <c r="C1388" s="100">
        <v>96.41962618742231</v>
      </c>
      <c r="D1388" s="100">
        <v>90.998868523606902</v>
      </c>
      <c r="E1388" s="100">
        <v>93.91849055062282</v>
      </c>
      <c r="F1388" s="100">
        <v>145.28083389383823</v>
      </c>
      <c r="G1388" s="100">
        <v>2685.3949788097111</v>
      </c>
      <c r="H1388" s="100">
        <v>3634.4231637594075</v>
      </c>
      <c r="I1388" s="100">
        <v>-537.85089592159352</v>
      </c>
      <c r="J1388" s="100">
        <v>5927.2480805413634</v>
      </c>
    </row>
    <row r="1389" spans="1:10" x14ac:dyDescent="0.25">
      <c r="A1389">
        <v>1372</v>
      </c>
      <c r="B1389" s="100">
        <v>90.376713693912563</v>
      </c>
      <c r="C1389" s="100">
        <v>97.963621535200673</v>
      </c>
      <c r="D1389" s="100">
        <v>91.196046505135911</v>
      </c>
      <c r="E1389" s="100">
        <v>92.683836425253006</v>
      </c>
      <c r="F1389" s="100">
        <v>-2716.1385862019301</v>
      </c>
      <c r="G1389" s="100">
        <v>369.40195714216628</v>
      </c>
      <c r="H1389" s="100">
        <v>3240.0672007013895</v>
      </c>
      <c r="I1389" s="100">
        <v>696.80322944822137</v>
      </c>
      <c r="J1389" s="100">
        <v>1590.1338010898471</v>
      </c>
    </row>
    <row r="1390" spans="1:10" x14ac:dyDescent="0.25">
      <c r="A1390">
        <v>1373</v>
      </c>
      <c r="B1390" s="100">
        <v>89.963745370530418</v>
      </c>
      <c r="C1390" s="100">
        <v>95.662650758106665</v>
      </c>
      <c r="D1390" s="100">
        <v>94.177427948656771</v>
      </c>
      <c r="E1390" s="100">
        <v>93.14617432508534</v>
      </c>
      <c r="F1390" s="100">
        <v>-1353.3431190408508</v>
      </c>
      <c r="G1390" s="100">
        <v>3820.8581227831787</v>
      </c>
      <c r="H1390" s="100">
        <v>-2722.6956863403302</v>
      </c>
      <c r="I1390" s="100">
        <v>234.46532961588673</v>
      </c>
      <c r="J1390" s="100">
        <v>-20.715352982115292</v>
      </c>
    </row>
    <row r="1391" spans="1:10" x14ac:dyDescent="0.25">
      <c r="A1391">
        <v>1374</v>
      </c>
      <c r="B1391" s="100">
        <v>89.541098742410043</v>
      </c>
      <c r="C1391" s="100">
        <v>99.061299902269525</v>
      </c>
      <c r="D1391" s="100">
        <v>92.186713430277777</v>
      </c>
      <c r="E1391" s="100">
        <v>95.622436844627458</v>
      </c>
      <c r="F1391" s="100">
        <v>41.390753756388676</v>
      </c>
      <c r="G1391" s="100">
        <v>-1277.1155934611115</v>
      </c>
      <c r="H1391" s="100">
        <v>1258.733350417657</v>
      </c>
      <c r="I1391" s="100">
        <v>-2241.7971899262311</v>
      </c>
      <c r="J1391" s="100">
        <v>-2218.7886792132967</v>
      </c>
    </row>
    <row r="1392" spans="1:10" x14ac:dyDescent="0.25">
      <c r="A1392">
        <v>1375</v>
      </c>
      <c r="B1392" s="100">
        <v>89.89807769861909</v>
      </c>
      <c r="C1392" s="100">
        <v>98.740647844602279</v>
      </c>
      <c r="D1392" s="100">
        <v>92.942396065323763</v>
      </c>
      <c r="E1392" s="100">
        <v>91.978446659049624</v>
      </c>
      <c r="F1392" s="100">
        <v>-1136.6398017334689</v>
      </c>
      <c r="G1392" s="100">
        <v>-796.13750696024249</v>
      </c>
      <c r="H1392" s="100">
        <v>-252.63191967431453</v>
      </c>
      <c r="I1392" s="100">
        <v>1402.1929956516033</v>
      </c>
      <c r="J1392" s="100">
        <v>-783.21623271642238</v>
      </c>
    </row>
    <row r="1393" spans="1:10" x14ac:dyDescent="0.25">
      <c r="A1393">
        <v>1376</v>
      </c>
      <c r="B1393" s="100">
        <v>90.194847730498168</v>
      </c>
      <c r="C1393" s="100">
        <v>98.885935622878563</v>
      </c>
      <c r="D1393" s="100">
        <v>93.086708906081569</v>
      </c>
      <c r="E1393" s="100">
        <v>91.965564752159807</v>
      </c>
      <c r="F1393" s="100">
        <v>-2115.9809069344246</v>
      </c>
      <c r="G1393" s="100">
        <v>-1014.0691743746686</v>
      </c>
      <c r="H1393" s="100">
        <v>-541.25760118992616</v>
      </c>
      <c r="I1393" s="100">
        <v>1415.07490254142</v>
      </c>
      <c r="J1393" s="100">
        <v>-2256.2327799575996</v>
      </c>
    </row>
    <row r="1394" spans="1:10" x14ac:dyDescent="0.25">
      <c r="A1394">
        <v>1377</v>
      </c>
      <c r="B1394" s="100">
        <v>89.277818468943735</v>
      </c>
      <c r="C1394" s="100">
        <v>99.572164511703647</v>
      </c>
      <c r="D1394" s="100">
        <v>91.408096767182798</v>
      </c>
      <c r="E1394" s="100">
        <v>91.623123337942999</v>
      </c>
      <c r="F1394" s="100">
        <v>910.21565619520288</v>
      </c>
      <c r="G1394" s="100">
        <v>-2043.4125076122953</v>
      </c>
      <c r="H1394" s="100">
        <v>2815.9666766076157</v>
      </c>
      <c r="I1394" s="100">
        <v>1757.5163167582275</v>
      </c>
      <c r="J1394" s="100">
        <v>3440.2861419487508</v>
      </c>
    </row>
    <row r="1395" spans="1:10" x14ac:dyDescent="0.25">
      <c r="A1395">
        <v>1378</v>
      </c>
      <c r="B1395" s="100">
        <v>89.915363248565782</v>
      </c>
      <c r="C1395" s="100">
        <v>99.08477778320524</v>
      </c>
      <c r="D1395" s="100">
        <v>93.602799545280718</v>
      </c>
      <c r="E1395" s="100">
        <v>93.349462550451193</v>
      </c>
      <c r="F1395" s="100">
        <v>-1193.6821165575523</v>
      </c>
      <c r="G1395" s="100">
        <v>-1312.3324148646843</v>
      </c>
      <c r="H1395" s="100">
        <v>-1573.4388795882239</v>
      </c>
      <c r="I1395" s="100">
        <v>31.177104250033949</v>
      </c>
      <c r="J1395" s="100">
        <v>-4048.2763067604265</v>
      </c>
    </row>
    <row r="1396" spans="1:10" x14ac:dyDescent="0.25">
      <c r="A1396">
        <v>1379</v>
      </c>
      <c r="B1396" s="100">
        <v>89.551801702059308</v>
      </c>
      <c r="C1396" s="100">
        <v>98.043135845757021</v>
      </c>
      <c r="D1396" s="100">
        <v>92.150759596164647</v>
      </c>
      <c r="E1396" s="100">
        <v>92.2989590346249</v>
      </c>
      <c r="F1396" s="100">
        <v>6.0709869138136696</v>
      </c>
      <c r="G1396" s="100">
        <v>250.13049130764387</v>
      </c>
      <c r="H1396" s="100">
        <v>1330.6410186439166</v>
      </c>
      <c r="I1396" s="100">
        <v>1081.6806200763267</v>
      </c>
      <c r="J1396" s="100">
        <v>2668.5231169417011</v>
      </c>
    </row>
    <row r="1397" spans="1:10" x14ac:dyDescent="0.25">
      <c r="A1397">
        <v>1380</v>
      </c>
      <c r="B1397" s="100">
        <v>89.373190266592417</v>
      </c>
      <c r="C1397" s="100">
        <v>99.226842198323538</v>
      </c>
      <c r="D1397" s="100">
        <v>93.323589956818438</v>
      </c>
      <c r="E1397" s="100">
        <v>92.359039300702662</v>
      </c>
      <c r="F1397" s="100">
        <v>595.48872395455419</v>
      </c>
      <c r="G1397" s="100">
        <v>-1525.4290375421319</v>
      </c>
      <c r="H1397" s="100">
        <v>-1015.0197026636647</v>
      </c>
      <c r="I1397" s="100">
        <v>1021.600353998565</v>
      </c>
      <c r="J1397" s="100">
        <v>-923.35966225267748</v>
      </c>
    </row>
    <row r="1398" spans="1:10" x14ac:dyDescent="0.25">
      <c r="A1398">
        <v>1381</v>
      </c>
      <c r="B1398" s="100">
        <v>88.88864536037201</v>
      </c>
      <c r="C1398" s="100">
        <v>97.916156347861161</v>
      </c>
      <c r="D1398" s="100">
        <v>94.47175278935056</v>
      </c>
      <c r="E1398" s="100">
        <v>92.759472518608234</v>
      </c>
      <c r="F1398" s="100">
        <v>2194.4869144818967</v>
      </c>
      <c r="G1398" s="100">
        <v>440.59973815143394</v>
      </c>
      <c r="H1398" s="100">
        <v>-3311.3453677279094</v>
      </c>
      <c r="I1398" s="100">
        <v>621.16713609299268</v>
      </c>
      <c r="J1398" s="100">
        <v>-55.091579001586069</v>
      </c>
    </row>
    <row r="1399" spans="1:10" x14ac:dyDescent="0.25">
      <c r="A1399">
        <v>1382</v>
      </c>
      <c r="B1399" s="100">
        <v>89.893385350463177</v>
      </c>
      <c r="C1399" s="100">
        <v>98.9566592220757</v>
      </c>
      <c r="D1399" s="100">
        <v>93.267388053550292</v>
      </c>
      <c r="E1399" s="100">
        <v>96.49972802974014</v>
      </c>
      <c r="F1399" s="100">
        <v>-1121.1550528189548</v>
      </c>
      <c r="G1399" s="100">
        <v>-1120.1545731703745</v>
      </c>
      <c r="H1399" s="100">
        <v>-902.61589612737225</v>
      </c>
      <c r="I1399" s="100">
        <v>-3119.0883750389135</v>
      </c>
      <c r="J1399" s="100">
        <v>-6263.0138971556153</v>
      </c>
    </row>
    <row r="1400" spans="1:10" x14ac:dyDescent="0.25">
      <c r="A1400">
        <v>1383</v>
      </c>
      <c r="B1400" s="100">
        <v>89.167796353252811</v>
      </c>
      <c r="C1400" s="100">
        <v>96.959432759949323</v>
      </c>
      <c r="D1400" s="100">
        <v>93.082916195926288</v>
      </c>
      <c r="E1400" s="100">
        <v>93.818232348248216</v>
      </c>
      <c r="F1400" s="100">
        <v>1273.2886379752529</v>
      </c>
      <c r="G1400" s="100">
        <v>1875.6851200191918</v>
      </c>
      <c r="H1400" s="100">
        <v>-533.67218087936408</v>
      </c>
      <c r="I1400" s="100">
        <v>-437.59269354698915</v>
      </c>
      <c r="J1400" s="100">
        <v>2177.7088835680916</v>
      </c>
    </row>
    <row r="1401" spans="1:10" x14ac:dyDescent="0.25">
      <c r="A1401">
        <v>1384</v>
      </c>
      <c r="B1401" s="100">
        <v>89.498634429697574</v>
      </c>
      <c r="C1401" s="100">
        <v>97.045114336153759</v>
      </c>
      <c r="D1401" s="100">
        <v>93.651988471815855</v>
      </c>
      <c r="E1401" s="100">
        <v>93.57879865335336</v>
      </c>
      <c r="F1401" s="100">
        <v>181.52298570753373</v>
      </c>
      <c r="G1401" s="100">
        <v>1747.1627557125373</v>
      </c>
      <c r="H1401" s="100">
        <v>-1671.8167326584989</v>
      </c>
      <c r="I1401" s="100">
        <v>-198.15899865213282</v>
      </c>
      <c r="J1401" s="100">
        <v>58.710010109439281</v>
      </c>
    </row>
    <row r="1402" spans="1:10" x14ac:dyDescent="0.25">
      <c r="A1402">
        <v>1385</v>
      </c>
      <c r="B1402" s="100">
        <v>89.452224313903656</v>
      </c>
      <c r="C1402" s="100">
        <v>98.565859124681424</v>
      </c>
      <c r="D1402" s="100">
        <v>93.00297843609367</v>
      </c>
      <c r="E1402" s="100">
        <v>92.420885286354206</v>
      </c>
      <c r="F1402" s="100">
        <v>334.67636782746411</v>
      </c>
      <c r="G1402" s="100">
        <v>-533.95442707896018</v>
      </c>
      <c r="H1402" s="100">
        <v>-373.79666121412924</v>
      </c>
      <c r="I1402" s="100">
        <v>959.75436834702066</v>
      </c>
      <c r="J1402" s="100">
        <v>386.67964788139534</v>
      </c>
    </row>
    <row r="1403" spans="1:10" x14ac:dyDescent="0.25">
      <c r="A1403">
        <v>1386</v>
      </c>
      <c r="B1403" s="100">
        <v>89.110981913153992</v>
      </c>
      <c r="C1403" s="100">
        <v>98.449067195597493</v>
      </c>
      <c r="D1403" s="100">
        <v>92.589449088947148</v>
      </c>
      <c r="E1403" s="100">
        <v>98.363571001982692</v>
      </c>
      <c r="F1403" s="100">
        <v>1460.7762903013552</v>
      </c>
      <c r="G1403" s="100">
        <v>-358.76653345306408</v>
      </c>
      <c r="H1403" s="100">
        <v>453.26203307891433</v>
      </c>
      <c r="I1403" s="100">
        <v>-4982.9313472814647</v>
      </c>
      <c r="J1403" s="100">
        <v>-3427.6595573542591</v>
      </c>
    </row>
    <row r="1404" spans="1:10" x14ac:dyDescent="0.25">
      <c r="A1404">
        <v>1387</v>
      </c>
      <c r="B1404" s="100">
        <v>89.324467932216663</v>
      </c>
      <c r="C1404" s="100">
        <v>98.563192053973452</v>
      </c>
      <c r="D1404" s="100">
        <v>92.801590344246478</v>
      </c>
      <c r="E1404" s="100">
        <v>92.659992975488976</v>
      </c>
      <c r="F1404" s="100">
        <v>756.27242739454061</v>
      </c>
      <c r="G1404" s="100">
        <v>-529.95382101700272</v>
      </c>
      <c r="H1404" s="100">
        <v>28.979522480256037</v>
      </c>
      <c r="I1404" s="100">
        <v>720.64667921225123</v>
      </c>
      <c r="J1404" s="100">
        <v>975.94480807004516</v>
      </c>
    </row>
    <row r="1405" spans="1:10" x14ac:dyDescent="0.25">
      <c r="A1405">
        <v>1388</v>
      </c>
      <c r="B1405" s="100">
        <v>88.825864204437735</v>
      </c>
      <c r="C1405" s="100">
        <v>97.464743554691694</v>
      </c>
      <c r="D1405" s="100">
        <v>91.994934569410717</v>
      </c>
      <c r="E1405" s="100">
        <v>91.296048402671687</v>
      </c>
      <c r="F1405" s="100">
        <v>2401.6647290650026</v>
      </c>
      <c r="G1405" s="100">
        <v>1117.7189279056349</v>
      </c>
      <c r="H1405" s="100">
        <v>1642.2910721517781</v>
      </c>
      <c r="I1405" s="100">
        <v>2084.5912520295401</v>
      </c>
      <c r="J1405" s="100">
        <v>7246.2659811519552</v>
      </c>
    </row>
    <row r="1406" spans="1:10" x14ac:dyDescent="0.25">
      <c r="A1406">
        <v>1389</v>
      </c>
      <c r="B1406" s="100">
        <v>89.170023344850819</v>
      </c>
      <c r="C1406" s="100">
        <v>98.926747867042721</v>
      </c>
      <c r="D1406" s="100">
        <v>93.785378391948555</v>
      </c>
      <c r="E1406" s="100">
        <v>92.340851053693157</v>
      </c>
      <c r="F1406" s="100">
        <v>1265.9395657018281</v>
      </c>
      <c r="G1406" s="100">
        <v>-1075.2875406209057</v>
      </c>
      <c r="H1406" s="100">
        <v>-1938.596572923899</v>
      </c>
      <c r="I1406" s="100">
        <v>1039.7886010080697</v>
      </c>
      <c r="J1406" s="100">
        <v>-708.1559468349069</v>
      </c>
    </row>
    <row r="1407" spans="1:10" x14ac:dyDescent="0.25">
      <c r="A1407">
        <v>1390</v>
      </c>
      <c r="B1407" s="100">
        <v>89.253037069632569</v>
      </c>
      <c r="C1407" s="100">
        <v>97.432035216843261</v>
      </c>
      <c r="D1407" s="100">
        <v>92.04496957699611</v>
      </c>
      <c r="E1407" s="100">
        <v>91.934124961061386</v>
      </c>
      <c r="F1407" s="100">
        <v>991.99427392205166</v>
      </c>
      <c r="G1407" s="100">
        <v>1166.7814346782848</v>
      </c>
      <c r="H1407" s="100">
        <v>1542.221056980992</v>
      </c>
      <c r="I1407" s="100">
        <v>1446.5146936398412</v>
      </c>
      <c r="J1407" s="100">
        <v>5147.5114592211703</v>
      </c>
    </row>
    <row r="1408" spans="1:10" x14ac:dyDescent="0.25">
      <c r="A1408">
        <v>1391</v>
      </c>
      <c r="B1408" s="100">
        <v>89.138397803265661</v>
      </c>
      <c r="C1408" s="100">
        <v>98.271799695966394</v>
      </c>
      <c r="D1408" s="100">
        <v>92.626223454629894</v>
      </c>
      <c r="E1408" s="100">
        <v>91.693931458230892</v>
      </c>
      <c r="F1408" s="100">
        <v>1370.3038529328467</v>
      </c>
      <c r="G1408" s="100">
        <v>-92.865284006414583</v>
      </c>
      <c r="H1408" s="100">
        <v>379.71330171342288</v>
      </c>
      <c r="I1408" s="100">
        <v>1686.7081964703345</v>
      </c>
      <c r="J1408" s="100">
        <v>3343.8600671101894</v>
      </c>
    </row>
    <row r="1409" spans="1:10" x14ac:dyDescent="0.25">
      <c r="A1409">
        <v>1392</v>
      </c>
      <c r="B1409" s="100">
        <v>89.889655253044637</v>
      </c>
      <c r="C1409" s="100">
        <v>98.794026318996615</v>
      </c>
      <c r="D1409" s="100">
        <v>92.441078090676157</v>
      </c>
      <c r="E1409" s="100">
        <v>93.445891258432894</v>
      </c>
      <c r="F1409" s="100">
        <v>-1108.845731337773</v>
      </c>
      <c r="G1409" s="100">
        <v>-876.20521855174616</v>
      </c>
      <c r="H1409" s="100">
        <v>750.00402962089652</v>
      </c>
      <c r="I1409" s="100">
        <v>-65.251603731667274</v>
      </c>
      <c r="J1409" s="100">
        <v>-1300.2985240002899</v>
      </c>
    </row>
    <row r="1410" spans="1:10" x14ac:dyDescent="0.25">
      <c r="A1410">
        <v>1393</v>
      </c>
      <c r="B1410" s="100">
        <v>89.604735126332471</v>
      </c>
      <c r="C1410" s="100">
        <v>96.483926497253478</v>
      </c>
      <c r="D1410" s="100">
        <v>91.706239082796273</v>
      </c>
      <c r="E1410" s="100">
        <v>95.329304801289538</v>
      </c>
      <c r="F1410" s="100">
        <v>-168.60931318762624</v>
      </c>
      <c r="G1410" s="100">
        <v>2588.9445140629591</v>
      </c>
      <c r="H1410" s="100">
        <v>2219.6820453806649</v>
      </c>
      <c r="I1410" s="100">
        <v>-1948.6651465883115</v>
      </c>
      <c r="J1410" s="100">
        <v>2691.3520996676862</v>
      </c>
    </row>
    <row r="1411" spans="1:10" x14ac:dyDescent="0.25">
      <c r="A1411">
        <v>1394</v>
      </c>
      <c r="B1411" s="100">
        <v>88.904239332097362</v>
      </c>
      <c r="C1411" s="100">
        <v>100.59497962352698</v>
      </c>
      <c r="D1411" s="100">
        <v>93.11224005035875</v>
      </c>
      <c r="E1411" s="100">
        <v>92.121947260914553</v>
      </c>
      <c r="F1411" s="100">
        <v>2143.0268077882361</v>
      </c>
      <c r="G1411" s="100">
        <v>-3577.6351753472964</v>
      </c>
      <c r="H1411" s="100">
        <v>-592.31988974428873</v>
      </c>
      <c r="I1411" s="100">
        <v>1258.6923937866743</v>
      </c>
      <c r="J1411" s="100">
        <v>-768.23586351667473</v>
      </c>
    </row>
    <row r="1412" spans="1:10" x14ac:dyDescent="0.25">
      <c r="A1412">
        <v>1395</v>
      </c>
      <c r="B1412" s="100">
        <v>89.866455145771482</v>
      </c>
      <c r="C1412" s="100">
        <v>99.020269513336217</v>
      </c>
      <c r="D1412" s="100">
        <v>91.573831530412235</v>
      </c>
      <c r="E1412" s="100">
        <v>92.605258795834061</v>
      </c>
      <c r="F1412" s="100">
        <v>-1032.2853773363618</v>
      </c>
      <c r="G1412" s="100">
        <v>-1215.5700100611498</v>
      </c>
      <c r="H1412" s="100">
        <v>2484.4971501487407</v>
      </c>
      <c r="I1412" s="100">
        <v>775.38085886716601</v>
      </c>
      <c r="J1412" s="100">
        <v>1012.0226216183952</v>
      </c>
    </row>
    <row r="1413" spans="1:10" x14ac:dyDescent="0.25">
      <c r="A1413">
        <v>1396</v>
      </c>
      <c r="B1413" s="100">
        <v>89.976345191066699</v>
      </c>
      <c r="C1413" s="100">
        <v>97.583611194409031</v>
      </c>
      <c r="D1413" s="100">
        <v>91.721720579521801</v>
      </c>
      <c r="E1413" s="100">
        <v>89.121896063568002</v>
      </c>
      <c r="F1413" s="100">
        <v>-1394.9225268105763</v>
      </c>
      <c r="G1413" s="100">
        <v>939.41746832962986</v>
      </c>
      <c r="H1413" s="100">
        <v>2188.71905192961</v>
      </c>
      <c r="I1413" s="100">
        <v>4258.743591133225</v>
      </c>
      <c r="J1413" s="100">
        <v>5991.957584581889</v>
      </c>
    </row>
    <row r="1414" spans="1:10" x14ac:dyDescent="0.25">
      <c r="A1414">
        <v>1397</v>
      </c>
      <c r="B1414" s="100">
        <v>89.556954077277823</v>
      </c>
      <c r="C1414" s="100">
        <v>97.979336214401798</v>
      </c>
      <c r="D1414" s="100">
        <v>93.260580879524653</v>
      </c>
      <c r="E1414" s="100">
        <v>95.972670328553107</v>
      </c>
      <c r="F1414" s="100">
        <v>-10.931851307285001</v>
      </c>
      <c r="G1414" s="100">
        <v>345.82993834047926</v>
      </c>
      <c r="H1414" s="100">
        <v>-889.0015480760951</v>
      </c>
      <c r="I1414" s="100">
        <v>-2592.0306738518802</v>
      </c>
      <c r="J1414" s="100">
        <v>-3146.1341348947808</v>
      </c>
    </row>
    <row r="1415" spans="1:10" x14ac:dyDescent="0.25">
      <c r="A1415">
        <v>1398</v>
      </c>
      <c r="B1415" s="100">
        <v>88.100208222112755</v>
      </c>
      <c r="C1415" s="100">
        <v>97.690239347440865</v>
      </c>
      <c r="D1415" s="100">
        <v>92.255999659656226</v>
      </c>
      <c r="E1415" s="100">
        <v>94.726465651811878</v>
      </c>
      <c r="F1415" s="100">
        <v>4796.3294707374371</v>
      </c>
      <c r="G1415" s="100">
        <v>779.47523878187758</v>
      </c>
      <c r="H1415" s="100">
        <v>1120.1608916607597</v>
      </c>
      <c r="I1415" s="100">
        <v>-1345.8259971106513</v>
      </c>
      <c r="J1415" s="100">
        <v>5350.1396040694235</v>
      </c>
    </row>
    <row r="1416" spans="1:10" x14ac:dyDescent="0.25">
      <c r="A1416">
        <v>1399</v>
      </c>
      <c r="B1416" s="100">
        <v>89.474895510447041</v>
      </c>
      <c r="C1416" s="100">
        <v>99.020155278352291</v>
      </c>
      <c r="D1416" s="100">
        <v>95.681180942061758</v>
      </c>
      <c r="E1416" s="100">
        <v>93.80070829210301</v>
      </c>
      <c r="F1416" s="100">
        <v>259.86141923429358</v>
      </c>
      <c r="G1416" s="100">
        <v>-1215.3986575852614</v>
      </c>
      <c r="H1416" s="100">
        <v>-5730.2016731503045</v>
      </c>
      <c r="I1416" s="100">
        <v>-420.06863740178346</v>
      </c>
      <c r="J1416" s="100">
        <v>-7105.8075489030552</v>
      </c>
    </row>
    <row r="1417" spans="1:10" x14ac:dyDescent="0.25">
      <c r="A1417">
        <v>1400</v>
      </c>
      <c r="B1417" s="100">
        <v>89.154969568609914</v>
      </c>
      <c r="C1417" s="100">
        <v>97.294518089972044</v>
      </c>
      <c r="D1417" s="100">
        <v>91.983615272206535</v>
      </c>
      <c r="E1417" s="100">
        <v>94.53931263453417</v>
      </c>
      <c r="F1417" s="100">
        <v>1315.6170272968125</v>
      </c>
      <c r="G1417" s="100">
        <v>1373.0571249851096</v>
      </c>
      <c r="H1417" s="100">
        <v>1664.9296665601412</v>
      </c>
      <c r="I1417" s="100">
        <v>-1158.6729798329429</v>
      </c>
      <c r="J1417" s="100">
        <v>3194.9308390091205</v>
      </c>
    </row>
    <row r="1418" spans="1:10" x14ac:dyDescent="0.25">
      <c r="A1418">
        <v>1401</v>
      </c>
      <c r="B1418" s="100">
        <v>89.981630031515309</v>
      </c>
      <c r="C1418" s="100">
        <v>99.044762283417313</v>
      </c>
      <c r="D1418" s="100">
        <v>92.607773678648144</v>
      </c>
      <c r="E1418" s="100">
        <v>96.03900229551742</v>
      </c>
      <c r="F1418" s="100">
        <v>-1412.3625002909889</v>
      </c>
      <c r="G1418" s="100">
        <v>-1252.309165182794</v>
      </c>
      <c r="H1418" s="100">
        <v>416.61285367692358</v>
      </c>
      <c r="I1418" s="100">
        <v>-2658.3626408161936</v>
      </c>
      <c r="J1418" s="100">
        <v>-4906.4214526130527</v>
      </c>
    </row>
    <row r="1419" spans="1:10" x14ac:dyDescent="0.25">
      <c r="A1419">
        <v>1402</v>
      </c>
      <c r="B1419" s="100">
        <v>89.39479697842556</v>
      </c>
      <c r="C1419" s="100">
        <v>97.310289392011654</v>
      </c>
      <c r="D1419" s="100">
        <v>93.876277428250049</v>
      </c>
      <c r="E1419" s="100">
        <v>94.574306633122063</v>
      </c>
      <c r="F1419" s="100">
        <v>524.18657490517967</v>
      </c>
      <c r="G1419" s="100">
        <v>1349.4001719256944</v>
      </c>
      <c r="H1419" s="100">
        <v>-2120.3946455268861</v>
      </c>
      <c r="I1419" s="100">
        <v>-1193.6669784208361</v>
      </c>
      <c r="J1419" s="100">
        <v>-1440.4748771168481</v>
      </c>
    </row>
    <row r="1420" spans="1:10" x14ac:dyDescent="0.25">
      <c r="A1420">
        <v>1403</v>
      </c>
      <c r="B1420" s="100">
        <v>89.747034353791221</v>
      </c>
      <c r="C1420" s="100">
        <v>97.743234830918354</v>
      </c>
      <c r="D1420" s="100">
        <v>93.538293174269342</v>
      </c>
      <c r="E1420" s="100">
        <v>94.146936383418975</v>
      </c>
      <c r="F1420" s="100">
        <v>-638.19676380150122</v>
      </c>
      <c r="G1420" s="100">
        <v>699.98201356564493</v>
      </c>
      <c r="H1420" s="100">
        <v>-1444.4261375654719</v>
      </c>
      <c r="I1420" s="100">
        <v>-766.29672871774801</v>
      </c>
      <c r="J1420" s="100">
        <v>-2148.9376165190761</v>
      </c>
    </row>
    <row r="1421" spans="1:10" x14ac:dyDescent="0.25">
      <c r="A1421">
        <v>1404</v>
      </c>
      <c r="B1421" s="100">
        <v>89.640627256917128</v>
      </c>
      <c r="C1421" s="100">
        <v>97.281552569627507</v>
      </c>
      <c r="D1421" s="100">
        <v>92.048416223223668</v>
      </c>
      <c r="E1421" s="100">
        <v>89.204083399659041</v>
      </c>
      <c r="F1421" s="100">
        <v>-287.05334411699255</v>
      </c>
      <c r="G1421" s="100">
        <v>1392.5054055019145</v>
      </c>
      <c r="H1421" s="100">
        <v>1535.3277645258743</v>
      </c>
      <c r="I1421" s="100">
        <v>4176.5562550421864</v>
      </c>
      <c r="J1421" s="100">
        <v>6817.3360809529822</v>
      </c>
    </row>
    <row r="1422" spans="1:10" x14ac:dyDescent="0.25">
      <c r="A1422">
        <v>1405</v>
      </c>
      <c r="B1422" s="100">
        <v>88.880149995730264</v>
      </c>
      <c r="C1422" s="100">
        <v>97.608785482852113</v>
      </c>
      <c r="D1422" s="100">
        <v>92.909935888017543</v>
      </c>
      <c r="E1422" s="100">
        <v>92.120002907127741</v>
      </c>
      <c r="F1422" s="100">
        <v>2222.5216177996585</v>
      </c>
      <c r="G1422" s="100">
        <v>901.65603566500613</v>
      </c>
      <c r="H1422" s="100">
        <v>-187.71156506187481</v>
      </c>
      <c r="I1422" s="100">
        <v>1260.6367475734855</v>
      </c>
      <c r="J1422" s="100">
        <v>4197.1028359762749</v>
      </c>
    </row>
    <row r="1423" spans="1:10" x14ac:dyDescent="0.25">
      <c r="A1423">
        <v>1406</v>
      </c>
      <c r="B1423" s="100">
        <v>88.60818506806865</v>
      </c>
      <c r="C1423" s="100">
        <v>98.819118019987442</v>
      </c>
      <c r="D1423" s="100">
        <v>92.715577008116512</v>
      </c>
      <c r="E1423" s="100">
        <v>95.490067712338288</v>
      </c>
      <c r="F1423" s="100">
        <v>3120.0058790829844</v>
      </c>
      <c r="G1423" s="100">
        <v>-913.84277003798786</v>
      </c>
      <c r="H1423" s="100">
        <v>201.00619474018799</v>
      </c>
      <c r="I1423" s="100">
        <v>-2109.4280576370606</v>
      </c>
      <c r="J1423" s="100">
        <v>297.74124614812399</v>
      </c>
    </row>
    <row r="1424" spans="1:10" x14ac:dyDescent="0.25">
      <c r="A1424">
        <v>1407</v>
      </c>
      <c r="B1424" s="100">
        <v>89.05241434472039</v>
      </c>
      <c r="C1424" s="100">
        <v>98.863918649972831</v>
      </c>
      <c r="D1424" s="100">
        <v>91.900496005106604</v>
      </c>
      <c r="E1424" s="100">
        <v>94.119233022848931</v>
      </c>
      <c r="F1424" s="100">
        <v>1654.0492661322432</v>
      </c>
      <c r="G1424" s="100">
        <v>-981.04371501607091</v>
      </c>
      <c r="H1424" s="100">
        <v>1831.1682007600041</v>
      </c>
      <c r="I1424" s="100">
        <v>-738.59336814770415</v>
      </c>
      <c r="J1424" s="100">
        <v>1765.5803837284725</v>
      </c>
    </row>
    <row r="1425" spans="1:10" x14ac:dyDescent="0.25">
      <c r="A1425">
        <v>1408</v>
      </c>
      <c r="B1425" s="100">
        <v>88.948288135868424</v>
      </c>
      <c r="C1425" s="100">
        <v>98.869771871985307</v>
      </c>
      <c r="D1425" s="100">
        <v>92.293846059122032</v>
      </c>
      <c r="E1425" s="100">
        <v>94.791075267249425</v>
      </c>
      <c r="F1425" s="100">
        <v>1997.6657553437306</v>
      </c>
      <c r="G1425" s="100">
        <v>-989.82354803478506</v>
      </c>
      <c r="H1425" s="100">
        <v>1044.4680927291472</v>
      </c>
      <c r="I1425" s="100">
        <v>-1410.4356125481986</v>
      </c>
      <c r="J1425" s="100">
        <v>641.87468748989386</v>
      </c>
    </row>
    <row r="1426" spans="1:10" x14ac:dyDescent="0.25">
      <c r="A1426">
        <v>1409</v>
      </c>
      <c r="B1426" s="100">
        <v>88.912508661341747</v>
      </c>
      <c r="C1426" s="100">
        <v>98.912532775166611</v>
      </c>
      <c r="D1426" s="100">
        <v>92.768683763013598</v>
      </c>
      <c r="E1426" s="100">
        <v>93.583677698588872</v>
      </c>
      <c r="F1426" s="100">
        <v>2115.7380212817657</v>
      </c>
      <c r="G1426" s="100">
        <v>-1053.9649028067402</v>
      </c>
      <c r="H1426" s="100">
        <v>94.79268494601456</v>
      </c>
      <c r="I1426" s="100">
        <v>-203.0380438876449</v>
      </c>
      <c r="J1426" s="100">
        <v>953.52775953339517</v>
      </c>
    </row>
    <row r="1427" spans="1:10" x14ac:dyDescent="0.25">
      <c r="A1427">
        <v>1410</v>
      </c>
      <c r="B1427" s="100">
        <v>89.456666980683636</v>
      </c>
      <c r="C1427" s="100">
        <v>98.248493729323499</v>
      </c>
      <c r="D1427" s="100">
        <v>93.273656940194726</v>
      </c>
      <c r="E1427" s="100">
        <v>88.939096683221791</v>
      </c>
      <c r="F1427" s="100">
        <v>320.01556745353099</v>
      </c>
      <c r="G1427" s="100">
        <v>-57.906334042073127</v>
      </c>
      <c r="H1427" s="100">
        <v>-915.15366941624166</v>
      </c>
      <c r="I1427" s="100">
        <v>4441.5429714794354</v>
      </c>
      <c r="J1427" s="100">
        <v>3788.4985354746514</v>
      </c>
    </row>
    <row r="1428" spans="1:10" x14ac:dyDescent="0.25">
      <c r="A1428">
        <v>1411</v>
      </c>
      <c r="B1428" s="100">
        <v>89.598432779749785</v>
      </c>
      <c r="C1428" s="100">
        <v>97.704768080913325</v>
      </c>
      <c r="D1428" s="100">
        <v>93.730680874839592</v>
      </c>
      <c r="E1428" s="100">
        <v>94.024586009304471</v>
      </c>
      <c r="F1428" s="100">
        <v>-147.81156946476273</v>
      </c>
      <c r="G1428" s="100">
        <v>757.68213857318756</v>
      </c>
      <c r="H1428" s="100">
        <v>-1829.2015387059735</v>
      </c>
      <c r="I1428" s="100">
        <v>-643.94635460324423</v>
      </c>
      <c r="J1428" s="100">
        <v>-1863.2773242007929</v>
      </c>
    </row>
    <row r="1429" spans="1:10" x14ac:dyDescent="0.25">
      <c r="A1429">
        <v>1412</v>
      </c>
      <c r="B1429" s="100">
        <v>89.518964411212494</v>
      </c>
      <c r="C1429" s="100">
        <v>99.968088184928234</v>
      </c>
      <c r="D1429" s="100">
        <v>91.674319077326913</v>
      </c>
      <c r="E1429" s="100">
        <v>92.956143583845076</v>
      </c>
      <c r="F1429" s="100">
        <v>114.43404670829977</v>
      </c>
      <c r="G1429" s="100">
        <v>-2637.2980174491759</v>
      </c>
      <c r="H1429" s="100">
        <v>2283.5220563193843</v>
      </c>
      <c r="I1429" s="100">
        <v>424.49607085615071</v>
      </c>
      <c r="J1429" s="100">
        <v>185.15415643465894</v>
      </c>
    </row>
    <row r="1430" spans="1:10" x14ac:dyDescent="0.25">
      <c r="A1430">
        <v>1413</v>
      </c>
      <c r="B1430" s="100">
        <v>90.199943545289045</v>
      </c>
      <c r="C1430" s="100">
        <v>98.293361416920803</v>
      </c>
      <c r="D1430" s="100">
        <v>93.925276801576132</v>
      </c>
      <c r="E1430" s="100">
        <v>93.879117407367517</v>
      </c>
      <c r="F1430" s="100">
        <v>-2132.7970957443199</v>
      </c>
      <c r="G1430" s="100">
        <v>-125.20786543802842</v>
      </c>
      <c r="H1430" s="100">
        <v>-2218.3933921790526</v>
      </c>
      <c r="I1430" s="100">
        <v>-498.47775266628958</v>
      </c>
      <c r="J1430" s="100">
        <v>-4974.8761060276902</v>
      </c>
    </row>
    <row r="1431" spans="1:10" x14ac:dyDescent="0.25">
      <c r="A1431">
        <v>1414</v>
      </c>
      <c r="B1431" s="100">
        <v>90.960460634819327</v>
      </c>
      <c r="C1431" s="100">
        <v>98.295356038579357</v>
      </c>
      <c r="D1431" s="100">
        <v>92.858306307025231</v>
      </c>
      <c r="E1431" s="100">
        <v>90.889735844386564</v>
      </c>
      <c r="F1431" s="100">
        <v>-4642.5034911942503</v>
      </c>
      <c r="G1431" s="100">
        <v>-128.19979792585912</v>
      </c>
      <c r="H1431" s="100">
        <v>-84.452403077250437</v>
      </c>
      <c r="I1431" s="100">
        <v>2490.9038103146627</v>
      </c>
      <c r="J1431" s="100">
        <v>-2364.2518818826979</v>
      </c>
    </row>
    <row r="1432" spans="1:10" x14ac:dyDescent="0.25">
      <c r="A1432">
        <v>1415</v>
      </c>
      <c r="B1432" s="100">
        <v>90.478007417018148</v>
      </c>
      <c r="C1432" s="100">
        <v>98.679428785293283</v>
      </c>
      <c r="D1432" s="100">
        <v>93.513371897203427</v>
      </c>
      <c r="E1432" s="100">
        <v>92.299822012102183</v>
      </c>
      <c r="F1432" s="100">
        <v>-3050.4078724503588</v>
      </c>
      <c r="G1432" s="100">
        <v>-704.30891799674805</v>
      </c>
      <c r="H1432" s="100">
        <v>-1394.5835834336435</v>
      </c>
      <c r="I1432" s="100">
        <v>1080.8176425990439</v>
      </c>
      <c r="J1432" s="100">
        <v>-4068.4827312817069</v>
      </c>
    </row>
    <row r="1433" spans="1:10" x14ac:dyDescent="0.25">
      <c r="A1433">
        <v>1416</v>
      </c>
      <c r="B1433" s="100">
        <v>89.57203813381868</v>
      </c>
      <c r="C1433" s="100">
        <v>96.769059696658857</v>
      </c>
      <c r="D1433" s="100">
        <v>90.877674980526081</v>
      </c>
      <c r="E1433" s="100">
        <v>92.182560127063013</v>
      </c>
      <c r="F1433" s="100">
        <v>-60.709237892113777</v>
      </c>
      <c r="G1433" s="100">
        <v>2161.2447149548898</v>
      </c>
      <c r="H1433" s="100">
        <v>3876.8102499210499</v>
      </c>
      <c r="I1433" s="100">
        <v>1198.0795276382139</v>
      </c>
      <c r="J1433" s="100">
        <v>7175.4252546220396</v>
      </c>
    </row>
    <row r="1434" spans="1:10" x14ac:dyDescent="0.25">
      <c r="A1434">
        <v>1417</v>
      </c>
      <c r="B1434" s="100">
        <v>89.881469361961891</v>
      </c>
      <c r="C1434" s="100">
        <v>99.866228654963024</v>
      </c>
      <c r="D1434" s="100">
        <v>91.863588868712739</v>
      </c>
      <c r="E1434" s="100">
        <v>93.850227786197195</v>
      </c>
      <c r="F1434" s="100">
        <v>-1081.83229076471</v>
      </c>
      <c r="G1434" s="100">
        <v>-2484.5087225013599</v>
      </c>
      <c r="H1434" s="100">
        <v>1904.982473547733</v>
      </c>
      <c r="I1434" s="100">
        <v>-469.58813149596779</v>
      </c>
      <c r="J1434" s="100">
        <v>-2130.9466712143048</v>
      </c>
    </row>
    <row r="1435" spans="1:10" x14ac:dyDescent="0.25">
      <c r="A1435">
        <v>1418</v>
      </c>
      <c r="B1435" s="100">
        <v>89.815666436788774</v>
      </c>
      <c r="C1435" s="100">
        <v>97.596737502590415</v>
      </c>
      <c r="D1435" s="100">
        <v>91.310666971736993</v>
      </c>
      <c r="E1435" s="100">
        <v>92.218934394117682</v>
      </c>
      <c r="F1435" s="100">
        <v>-864.6826376934257</v>
      </c>
      <c r="G1435" s="100">
        <v>919.72800605755367</v>
      </c>
      <c r="H1435" s="100">
        <v>3010.8262674992261</v>
      </c>
      <c r="I1435" s="100">
        <v>1161.7052605835454</v>
      </c>
      <c r="J1435" s="100">
        <v>4227.5768964468998</v>
      </c>
    </row>
    <row r="1436" spans="1:10" x14ac:dyDescent="0.25">
      <c r="A1436">
        <v>1419</v>
      </c>
      <c r="B1436" s="100">
        <v>90.137800245247547</v>
      </c>
      <c r="C1436" s="100">
        <v>97.501136906879793</v>
      </c>
      <c r="D1436" s="100">
        <v>93.78595845662926</v>
      </c>
      <c r="E1436" s="100">
        <v>92.116997516617914</v>
      </c>
      <c r="F1436" s="100">
        <v>-1927.724205607376</v>
      </c>
      <c r="G1436" s="100">
        <v>1063.1288996234857</v>
      </c>
      <c r="H1436" s="100">
        <v>-1939.7567022853082</v>
      </c>
      <c r="I1436" s="100">
        <v>1263.6421380833126</v>
      </c>
      <c r="J1436" s="100">
        <v>-1540.7098701858858</v>
      </c>
    </row>
    <row r="1437" spans="1:10" x14ac:dyDescent="0.25">
      <c r="A1437">
        <v>1420</v>
      </c>
      <c r="B1437" s="100">
        <v>89.49527523722476</v>
      </c>
      <c r="C1437" s="100">
        <v>99.395531910893155</v>
      </c>
      <c r="D1437" s="100">
        <v>91.681153497322995</v>
      </c>
      <c r="E1437" s="100">
        <v>92.378163246440437</v>
      </c>
      <c r="F1437" s="100">
        <v>192.60832086782074</v>
      </c>
      <c r="G1437" s="100">
        <v>-1778.4636063965563</v>
      </c>
      <c r="H1437" s="100">
        <v>2269.8532163272203</v>
      </c>
      <c r="I1437" s="100">
        <v>1002.4764082607902</v>
      </c>
      <c r="J1437" s="100">
        <v>1686.4743390592748</v>
      </c>
    </row>
    <row r="1438" spans="1:10" x14ac:dyDescent="0.25">
      <c r="A1438">
        <v>1421</v>
      </c>
      <c r="B1438" s="100">
        <v>89.796063615226075</v>
      </c>
      <c r="C1438" s="100">
        <v>98.291640388702405</v>
      </c>
      <c r="D1438" s="100">
        <v>93.681052034023594</v>
      </c>
      <c r="E1438" s="100">
        <v>95.254726218566816</v>
      </c>
      <c r="F1438" s="100">
        <v>-799.9933265365172</v>
      </c>
      <c r="G1438" s="100">
        <v>-122.6263231104312</v>
      </c>
      <c r="H1438" s="100">
        <v>-1729.9438570739767</v>
      </c>
      <c r="I1438" s="100">
        <v>-1874.0865638655891</v>
      </c>
      <c r="J1438" s="100">
        <v>-4526.6500705865146</v>
      </c>
    </row>
    <row r="1439" spans="1:10" x14ac:dyDescent="0.25">
      <c r="A1439">
        <v>1422</v>
      </c>
      <c r="B1439" s="100">
        <v>88.633891900746988</v>
      </c>
      <c r="C1439" s="100">
        <v>98.993161343300031</v>
      </c>
      <c r="D1439" s="100">
        <v>91.03958554972408</v>
      </c>
      <c r="E1439" s="100">
        <v>90.861097781275319</v>
      </c>
      <c r="F1439" s="100">
        <v>3035.173331244468</v>
      </c>
      <c r="G1439" s="100">
        <v>-1174.9077550068705</v>
      </c>
      <c r="H1439" s="100">
        <v>3552.9891115250507</v>
      </c>
      <c r="I1439" s="100">
        <v>2519.5418734259079</v>
      </c>
      <c r="J1439" s="100">
        <v>7932.7965611885556</v>
      </c>
    </row>
    <row r="1440" spans="1:10" x14ac:dyDescent="0.25">
      <c r="A1440">
        <v>1423</v>
      </c>
      <c r="B1440" s="100">
        <v>89.891537212415528</v>
      </c>
      <c r="C1440" s="100">
        <v>96.522583878981663</v>
      </c>
      <c r="D1440" s="100">
        <v>94.235805747523798</v>
      </c>
      <c r="E1440" s="100">
        <v>92.829603908605705</v>
      </c>
      <c r="F1440" s="100">
        <v>-1115.056197261714</v>
      </c>
      <c r="G1440" s="100">
        <v>2530.9584414706806</v>
      </c>
      <c r="H1440" s="100">
        <v>-2839.4512840743855</v>
      </c>
      <c r="I1440" s="100">
        <v>551.03574609552197</v>
      </c>
      <c r="J1440" s="100">
        <v>-872.51329376989702</v>
      </c>
    </row>
    <row r="1441" spans="1:10" x14ac:dyDescent="0.25">
      <c r="A1441">
        <v>1424</v>
      </c>
      <c r="B1441" s="100">
        <v>89.118255735834168</v>
      </c>
      <c r="C1441" s="100">
        <v>99.472034469609852</v>
      </c>
      <c r="D1441" s="100">
        <v>93.617718980241136</v>
      </c>
      <c r="E1441" s="100">
        <v>93.432298811480862</v>
      </c>
      <c r="F1441" s="100">
        <v>1436.7726754567741</v>
      </c>
      <c r="G1441" s="100">
        <v>-1893.2174444716024</v>
      </c>
      <c r="H1441" s="100">
        <v>-1603.2777495090613</v>
      </c>
      <c r="I1441" s="100">
        <v>-51.659156779635396</v>
      </c>
      <c r="J1441" s="100">
        <v>-2111.3816753035248</v>
      </c>
    </row>
    <row r="1442" spans="1:10" x14ac:dyDescent="0.25">
      <c r="A1442">
        <v>1425</v>
      </c>
      <c r="B1442" s="100">
        <v>89.768155867042012</v>
      </c>
      <c r="C1442" s="100">
        <v>98.58133155719517</v>
      </c>
      <c r="D1442" s="100">
        <v>92.089143858902389</v>
      </c>
      <c r="E1442" s="100">
        <v>90.775605840749023</v>
      </c>
      <c r="F1442" s="100">
        <v>-707.89775752910919</v>
      </c>
      <c r="G1442" s="100">
        <v>-557.16307584958008</v>
      </c>
      <c r="H1442" s="100">
        <v>1453.8724931684328</v>
      </c>
      <c r="I1442" s="100">
        <v>2605.0338139522041</v>
      </c>
      <c r="J1442" s="100">
        <v>2793.8454737419479</v>
      </c>
    </row>
    <row r="1443" spans="1:10" x14ac:dyDescent="0.25">
      <c r="A1443">
        <v>1426</v>
      </c>
      <c r="B1443" s="100">
        <v>89.746047180041316</v>
      </c>
      <c r="C1443" s="100">
        <v>98.971609267024121</v>
      </c>
      <c r="D1443" s="100">
        <v>92.537952994472761</v>
      </c>
      <c r="E1443" s="100">
        <v>95.42250942682827</v>
      </c>
      <c r="F1443" s="100">
        <v>-634.93909042681344</v>
      </c>
      <c r="G1443" s="100">
        <v>-1142.5796405930057</v>
      </c>
      <c r="H1443" s="100">
        <v>556.25422202768959</v>
      </c>
      <c r="I1443" s="100">
        <v>-2041.8697721270432</v>
      </c>
      <c r="J1443" s="100">
        <v>-3263.1342811191726</v>
      </c>
    </row>
    <row r="1444" spans="1:10" x14ac:dyDescent="0.25">
      <c r="A1444">
        <v>1427</v>
      </c>
      <c r="B1444" s="100">
        <v>89.67776181658671</v>
      </c>
      <c r="C1444" s="100">
        <v>96.930512500107682</v>
      </c>
      <c r="D1444" s="100">
        <v>92.346906245697781</v>
      </c>
      <c r="E1444" s="100">
        <v>92.238560866181516</v>
      </c>
      <c r="F1444" s="100">
        <v>-409.59739102661246</v>
      </c>
      <c r="G1444" s="100">
        <v>1919.0655097816532</v>
      </c>
      <c r="H1444" s="100">
        <v>938.34771957764929</v>
      </c>
      <c r="I1444" s="100">
        <v>1142.0787885197115</v>
      </c>
      <c r="J1444" s="100">
        <v>3589.8946268524014</v>
      </c>
    </row>
    <row r="1445" spans="1:10" x14ac:dyDescent="0.25">
      <c r="A1445">
        <v>1428</v>
      </c>
      <c r="B1445" s="100">
        <v>89.952959451610297</v>
      </c>
      <c r="C1445" s="100">
        <v>100.2482268465759</v>
      </c>
      <c r="D1445" s="100">
        <v>92.314823412330483</v>
      </c>
      <c r="E1445" s="100">
        <v>96.003428064968489</v>
      </c>
      <c r="F1445" s="100">
        <v>-1317.7495866044524</v>
      </c>
      <c r="G1445" s="100">
        <v>-3057.5060099206794</v>
      </c>
      <c r="H1445" s="100">
        <v>1002.5133863122448</v>
      </c>
      <c r="I1445" s="100">
        <v>-2622.788410267262</v>
      </c>
      <c r="J1445" s="100">
        <v>-5995.5306204801491</v>
      </c>
    </row>
    <row r="1446" spans="1:10" x14ac:dyDescent="0.25">
      <c r="A1446">
        <v>1429</v>
      </c>
      <c r="B1446" s="100">
        <v>90.106345193111068</v>
      </c>
      <c r="C1446" s="100">
        <v>97.222447624120207</v>
      </c>
      <c r="D1446" s="100">
        <v>95.165457636775315</v>
      </c>
      <c r="E1446" s="100">
        <v>89.712782606330848</v>
      </c>
      <c r="F1446" s="100">
        <v>-1823.922533556994</v>
      </c>
      <c r="G1446" s="100">
        <v>1481.1628237628654</v>
      </c>
      <c r="H1446" s="100">
        <v>-4698.7550625774193</v>
      </c>
      <c r="I1446" s="100">
        <v>3667.8570483703793</v>
      </c>
      <c r="J1446" s="100">
        <v>-1373.6577240011688</v>
      </c>
    </row>
    <row r="1447" spans="1:10" x14ac:dyDescent="0.25">
      <c r="A1447">
        <v>1430</v>
      </c>
      <c r="B1447" s="100">
        <v>89.575967546454095</v>
      </c>
      <c r="C1447" s="100">
        <v>97.944650883887405</v>
      </c>
      <c r="D1447" s="100">
        <v>93.101425592606319</v>
      </c>
      <c r="E1447" s="100">
        <v>91.974839583794903</v>
      </c>
      <c r="F1447" s="100">
        <v>-73.676299588983341</v>
      </c>
      <c r="G1447" s="100">
        <v>397.85793411206782</v>
      </c>
      <c r="H1447" s="100">
        <v>-570.69097423942594</v>
      </c>
      <c r="I1447" s="100">
        <v>1405.8000709063235</v>
      </c>
      <c r="J1447" s="100">
        <v>1159.2907311899821</v>
      </c>
    </row>
    <row r="1448" spans="1:10" x14ac:dyDescent="0.25">
      <c r="A1448">
        <v>1431</v>
      </c>
      <c r="B1448" s="100">
        <v>90.296717109750574</v>
      </c>
      <c r="C1448" s="100">
        <v>98.043142509794393</v>
      </c>
      <c r="D1448" s="100">
        <v>91.677109435790982</v>
      </c>
      <c r="E1448" s="100">
        <v>95.090784461975019</v>
      </c>
      <c r="F1448" s="100">
        <v>-2452.149858467365</v>
      </c>
      <c r="G1448" s="100">
        <v>250.12049525158631</v>
      </c>
      <c r="H1448" s="100">
        <v>2277.9413393912478</v>
      </c>
      <c r="I1448" s="100">
        <v>-1710.1448072737924</v>
      </c>
      <c r="J1448" s="100">
        <v>-1634.2328310983232</v>
      </c>
    </row>
    <row r="1449" spans="1:10" x14ac:dyDescent="0.25">
      <c r="A1449">
        <v>1432</v>
      </c>
      <c r="B1449" s="100">
        <v>89.28404389266241</v>
      </c>
      <c r="C1449" s="100">
        <v>98.064380865205038</v>
      </c>
      <c r="D1449" s="100">
        <v>92.300275025292208</v>
      </c>
      <c r="E1449" s="100">
        <v>90.184685193059181</v>
      </c>
      <c r="F1449" s="100">
        <v>889.67175792357557</v>
      </c>
      <c r="G1449" s="100">
        <v>218.26296213561847</v>
      </c>
      <c r="H1449" s="100">
        <v>1031.6101603887944</v>
      </c>
      <c r="I1449" s="100">
        <v>3195.9544616420458</v>
      </c>
      <c r="J1449" s="100">
        <v>5335.4993420900337</v>
      </c>
    </row>
    <row r="1450" spans="1:10" x14ac:dyDescent="0.25">
      <c r="A1450">
        <v>1433</v>
      </c>
      <c r="B1450" s="100">
        <v>89.183107159578427</v>
      </c>
      <c r="C1450" s="100">
        <v>99.109267226671193</v>
      </c>
      <c r="D1450" s="100">
        <v>91.991161720744373</v>
      </c>
      <c r="E1450" s="100">
        <v>90.999375519642399</v>
      </c>
      <c r="F1450" s="100">
        <v>1222.7629771007216</v>
      </c>
      <c r="G1450" s="100">
        <v>-1349.0665800636136</v>
      </c>
      <c r="H1450" s="100">
        <v>1649.836769484466</v>
      </c>
      <c r="I1450" s="100">
        <v>2381.2641350588278</v>
      </c>
      <c r="J1450" s="100">
        <v>3904.7973015804018</v>
      </c>
    </row>
    <row r="1451" spans="1:10" x14ac:dyDescent="0.25">
      <c r="A1451">
        <v>1434</v>
      </c>
      <c r="B1451" s="100">
        <v>90.570415711920006</v>
      </c>
      <c r="C1451" s="100">
        <v>98.425382812055147</v>
      </c>
      <c r="D1451" s="100">
        <v>93.770440273911518</v>
      </c>
      <c r="E1451" s="100">
        <v>93.540598252293847</v>
      </c>
      <c r="F1451" s="100">
        <v>-3355.3552456264911</v>
      </c>
      <c r="G1451" s="100">
        <v>-323.23995813954554</v>
      </c>
      <c r="H1451" s="100">
        <v>-1908.7203368498251</v>
      </c>
      <c r="I1451" s="100">
        <v>-159.95859759262032</v>
      </c>
      <c r="J1451" s="100">
        <v>-5747.2741382084823</v>
      </c>
    </row>
    <row r="1452" spans="1:10" x14ac:dyDescent="0.25">
      <c r="A1452">
        <v>1435</v>
      </c>
      <c r="B1452" s="100">
        <v>89.404088645952967</v>
      </c>
      <c r="C1452" s="100">
        <v>98.030338175781466</v>
      </c>
      <c r="D1452" s="100">
        <v>92.877259692213073</v>
      </c>
      <c r="E1452" s="100">
        <v>95.970398766507486</v>
      </c>
      <c r="F1452" s="100">
        <v>493.52407206473714</v>
      </c>
      <c r="G1452" s="100">
        <v>269.32699627097634</v>
      </c>
      <c r="H1452" s="100">
        <v>-122.35917345293501</v>
      </c>
      <c r="I1452" s="100">
        <v>-2589.7591118062592</v>
      </c>
      <c r="J1452" s="100">
        <v>-1949.2672169234806</v>
      </c>
    </row>
    <row r="1453" spans="1:10" x14ac:dyDescent="0.25">
      <c r="A1453">
        <v>1436</v>
      </c>
      <c r="B1453" s="100">
        <v>89.8286556164541</v>
      </c>
      <c r="C1453" s="100">
        <v>98.725582983938594</v>
      </c>
      <c r="D1453" s="100">
        <v>92.708419030702728</v>
      </c>
      <c r="E1453" s="100">
        <v>92.210054314705076</v>
      </c>
      <c r="F1453" s="100">
        <v>-907.54693058899966</v>
      </c>
      <c r="G1453" s="100">
        <v>-773.54021596471512</v>
      </c>
      <c r="H1453" s="100">
        <v>215.3221495677542</v>
      </c>
      <c r="I1453" s="100">
        <v>1170.5853399961511</v>
      </c>
      <c r="J1453" s="100">
        <v>-295.17965698980947</v>
      </c>
    </row>
    <row r="1454" spans="1:10" x14ac:dyDescent="0.25">
      <c r="A1454">
        <v>1437</v>
      </c>
      <c r="B1454" s="100">
        <v>90.284464898594564</v>
      </c>
      <c r="C1454" s="100">
        <v>100.13782192515723</v>
      </c>
      <c r="D1454" s="100">
        <v>93.385554959819316</v>
      </c>
      <c r="E1454" s="100">
        <v>94.435939010027909</v>
      </c>
      <c r="F1454" s="100">
        <v>-2411.7175616525315</v>
      </c>
      <c r="G1454" s="100">
        <v>-2891.8986277926633</v>
      </c>
      <c r="H1454" s="100">
        <v>-1138.9497086654217</v>
      </c>
      <c r="I1454" s="100">
        <v>-1055.2993553266815</v>
      </c>
      <c r="J1454" s="100">
        <v>-7497.8652534372977</v>
      </c>
    </row>
    <row r="1455" spans="1:10" x14ac:dyDescent="0.25">
      <c r="A1455">
        <v>1438</v>
      </c>
      <c r="B1455" s="100">
        <v>89.231517220453782</v>
      </c>
      <c r="C1455" s="100">
        <v>98.052289291299616</v>
      </c>
      <c r="D1455" s="100">
        <v>92.097206171658158</v>
      </c>
      <c r="E1455" s="100">
        <v>93.297551476466495</v>
      </c>
      <c r="F1455" s="100">
        <v>1063.0097762120499</v>
      </c>
      <c r="G1455" s="100">
        <v>236.40032299375235</v>
      </c>
      <c r="H1455" s="100">
        <v>1437.7478676568956</v>
      </c>
      <c r="I1455" s="100">
        <v>83.088178234731913</v>
      </c>
      <c r="J1455" s="100">
        <v>2820.2461450974297</v>
      </c>
    </row>
    <row r="1456" spans="1:10" x14ac:dyDescent="0.25">
      <c r="A1456">
        <v>1439</v>
      </c>
      <c r="B1456" s="100">
        <v>89.631365775065859</v>
      </c>
      <c r="C1456" s="100">
        <v>98.68731105681502</v>
      </c>
      <c r="D1456" s="100">
        <v>91.88050919914059</v>
      </c>
      <c r="E1456" s="100">
        <v>90.666435397397805</v>
      </c>
      <c r="F1456" s="100">
        <v>-256.49045400780608</v>
      </c>
      <c r="G1456" s="100">
        <v>-716.13232527935361</v>
      </c>
      <c r="H1456" s="100">
        <v>1871.1418126920307</v>
      </c>
      <c r="I1456" s="100">
        <v>2714.2042573034219</v>
      </c>
      <c r="J1456" s="100">
        <v>3612.723290708293</v>
      </c>
    </row>
    <row r="1457" spans="1:10" x14ac:dyDescent="0.25">
      <c r="A1457">
        <v>1440</v>
      </c>
      <c r="B1457" s="100">
        <v>90.054517301412375</v>
      </c>
      <c r="C1457" s="100">
        <v>97.596868771269015</v>
      </c>
      <c r="D1457" s="100">
        <v>91.936195173535182</v>
      </c>
      <c r="E1457" s="100">
        <v>93.596716003450979</v>
      </c>
      <c r="F1457" s="100">
        <v>-1652.8904909513074</v>
      </c>
      <c r="G1457" s="100">
        <v>919.53110303965241</v>
      </c>
      <c r="H1457" s="100">
        <v>1759.7698639028465</v>
      </c>
      <c r="I1457" s="100">
        <v>-216.0763487497519</v>
      </c>
      <c r="J1457" s="100">
        <v>810.33412724143966</v>
      </c>
    </row>
    <row r="1458" spans="1:10" x14ac:dyDescent="0.25">
      <c r="A1458">
        <v>1441</v>
      </c>
      <c r="B1458" s="100">
        <v>89.492119609769517</v>
      </c>
      <c r="C1458" s="100">
        <v>98.711990605408204</v>
      </c>
      <c r="D1458" s="100">
        <v>92.562126580576489</v>
      </c>
      <c r="E1458" s="100">
        <v>91.606915437526709</v>
      </c>
      <c r="F1458" s="100">
        <v>203.02189147012228</v>
      </c>
      <c r="G1458" s="100">
        <v>-753.15164816912988</v>
      </c>
      <c r="H1458" s="100">
        <v>507.90704982023271</v>
      </c>
      <c r="I1458" s="100">
        <v>1773.7242171745179</v>
      </c>
      <c r="J1458" s="100">
        <v>1731.5015102957429</v>
      </c>
    </row>
    <row r="1459" spans="1:10" x14ac:dyDescent="0.25">
      <c r="A1459">
        <v>1442</v>
      </c>
      <c r="B1459" s="100">
        <v>90.633444074832809</v>
      </c>
      <c r="C1459" s="100">
        <v>99.559040814249755</v>
      </c>
      <c r="D1459" s="100">
        <v>93.382628032529681</v>
      </c>
      <c r="E1459" s="100">
        <v>94.41435684980074</v>
      </c>
      <c r="F1459" s="100">
        <v>-3563.3488432387408</v>
      </c>
      <c r="G1459" s="100">
        <v>-2023.7269614314571</v>
      </c>
      <c r="H1459" s="100">
        <v>-1133.0958540861502</v>
      </c>
      <c r="I1459" s="100">
        <v>-1033.7171950995128</v>
      </c>
      <c r="J1459" s="100">
        <v>-7753.8888538558604</v>
      </c>
    </row>
    <row r="1460" spans="1:10" x14ac:dyDescent="0.25">
      <c r="A1460">
        <v>1443</v>
      </c>
      <c r="B1460" s="100">
        <v>89.164196420045357</v>
      </c>
      <c r="C1460" s="100">
        <v>99.034289611190246</v>
      </c>
      <c r="D1460" s="100">
        <v>92.414908566306067</v>
      </c>
      <c r="E1460" s="100">
        <v>92.185912275296005</v>
      </c>
      <c r="F1460" s="100">
        <v>1285.1684175598507</v>
      </c>
      <c r="G1460" s="100">
        <v>-1236.6001568421937</v>
      </c>
      <c r="H1460" s="100">
        <v>802.34307836107632</v>
      </c>
      <c r="I1460" s="100">
        <v>1194.7273794052221</v>
      </c>
      <c r="J1460" s="100">
        <v>2045.6387184839555</v>
      </c>
    </row>
    <row r="1461" spans="1:10" x14ac:dyDescent="0.25">
      <c r="A1461">
        <v>1444</v>
      </c>
      <c r="B1461" s="100">
        <v>89.225259165215974</v>
      </c>
      <c r="C1461" s="100">
        <v>99.545471483605567</v>
      </c>
      <c r="D1461" s="100">
        <v>91.947812830785239</v>
      </c>
      <c r="E1461" s="100">
        <v>96.145215932665025</v>
      </c>
      <c r="F1461" s="100">
        <v>1083.6613584968163</v>
      </c>
      <c r="G1461" s="100">
        <v>-2003.3729654651752</v>
      </c>
      <c r="H1461" s="100">
        <v>1736.5345494027338</v>
      </c>
      <c r="I1461" s="100">
        <v>-2764.5762779637976</v>
      </c>
      <c r="J1461" s="100">
        <v>-1947.7533355294227</v>
      </c>
    </row>
    <row r="1462" spans="1:10" x14ac:dyDescent="0.25">
      <c r="A1462">
        <v>1445</v>
      </c>
      <c r="B1462" s="100">
        <v>89.600744236374794</v>
      </c>
      <c r="C1462" s="100">
        <v>100.23476664232486</v>
      </c>
      <c r="D1462" s="100">
        <v>91.767051025429879</v>
      </c>
      <c r="E1462" s="100">
        <v>94.291585341852098</v>
      </c>
      <c r="F1462" s="100">
        <v>-155.43937632729126</v>
      </c>
      <c r="G1462" s="100">
        <v>-3037.3157035441095</v>
      </c>
      <c r="H1462" s="100">
        <v>2098.0581601134531</v>
      </c>
      <c r="I1462" s="100">
        <v>-910.94568715087121</v>
      </c>
      <c r="J1462" s="100">
        <v>-2005.6426069088191</v>
      </c>
    </row>
    <row r="1463" spans="1:10" x14ac:dyDescent="0.25">
      <c r="A1463">
        <v>1446</v>
      </c>
      <c r="B1463" s="100">
        <v>88.571197374576698</v>
      </c>
      <c r="C1463" s="100">
        <v>99.432195400392672</v>
      </c>
      <c r="D1463" s="100">
        <v>90.511004067591458</v>
      </c>
      <c r="E1463" s="100">
        <v>91.211244350310068</v>
      </c>
      <c r="F1463" s="100">
        <v>3242.0652676064251</v>
      </c>
      <c r="G1463" s="100">
        <v>-1833.4588406458324</v>
      </c>
      <c r="H1463" s="100">
        <v>4610.1520757902963</v>
      </c>
      <c r="I1463" s="100">
        <v>2169.3953043911592</v>
      </c>
      <c r="J1463" s="100">
        <v>8188.1538071420473</v>
      </c>
    </row>
    <row r="1464" spans="1:10" x14ac:dyDescent="0.25">
      <c r="A1464">
        <v>1447</v>
      </c>
      <c r="B1464" s="100">
        <v>89.146310898415379</v>
      </c>
      <c r="C1464" s="100">
        <v>98.123588518351966</v>
      </c>
      <c r="D1464" s="100">
        <v>92.518709378759482</v>
      </c>
      <c r="E1464" s="100">
        <v>92.725440622157905</v>
      </c>
      <c r="F1464" s="100">
        <v>1344.1906389387782</v>
      </c>
      <c r="G1464" s="100">
        <v>129.4514824152273</v>
      </c>
      <c r="H1464" s="100">
        <v>594.74145345424745</v>
      </c>
      <c r="I1464" s="100">
        <v>655.19903254332235</v>
      </c>
      <c r="J1464" s="100">
        <v>2723.5826073515755</v>
      </c>
    </row>
    <row r="1465" spans="1:10" x14ac:dyDescent="0.25">
      <c r="A1465">
        <v>1448</v>
      </c>
      <c r="B1465" s="100">
        <v>90.065837740820697</v>
      </c>
      <c r="C1465" s="100">
        <v>96.43209833722392</v>
      </c>
      <c r="D1465" s="100">
        <v>93.604112853047127</v>
      </c>
      <c r="E1465" s="100">
        <v>93.485849859144139</v>
      </c>
      <c r="F1465" s="100">
        <v>-1690.247940998772</v>
      </c>
      <c r="G1465" s="100">
        <v>2666.6867541072961</v>
      </c>
      <c r="H1465" s="100">
        <v>-1576.0654951210427</v>
      </c>
      <c r="I1465" s="100">
        <v>-105.21020444291196</v>
      </c>
      <c r="J1465" s="100">
        <v>-704.83688645543054</v>
      </c>
    </row>
    <row r="1466" spans="1:10" x14ac:dyDescent="0.25">
      <c r="A1466">
        <v>1449</v>
      </c>
      <c r="B1466" s="100">
        <v>90.088869671405718</v>
      </c>
      <c r="C1466" s="100">
        <v>99.086554318723131</v>
      </c>
      <c r="D1466" s="100">
        <v>94.981171011900784</v>
      </c>
      <c r="E1466" s="100">
        <v>93.061893413219209</v>
      </c>
      <c r="F1466" s="100">
        <v>-1766.2533119293385</v>
      </c>
      <c r="G1466" s="100">
        <v>-1314.9972181415208</v>
      </c>
      <c r="H1466" s="100">
        <v>-4330.1818128283576</v>
      </c>
      <c r="I1466" s="100">
        <v>318.74624148201747</v>
      </c>
      <c r="J1466" s="100">
        <v>-7092.6861014171991</v>
      </c>
    </row>
    <row r="1467" spans="1:10" x14ac:dyDescent="0.25">
      <c r="A1467">
        <v>1450</v>
      </c>
      <c r="B1467" s="100">
        <v>89.098587462339594</v>
      </c>
      <c r="C1467" s="100">
        <v>99.097357533875211</v>
      </c>
      <c r="D1467" s="100">
        <v>92.515453108865131</v>
      </c>
      <c r="E1467" s="100">
        <v>94.053699674610868</v>
      </c>
      <c r="F1467" s="100">
        <v>1501.677977988868</v>
      </c>
      <c r="G1467" s="100">
        <v>-1331.2020408696412</v>
      </c>
      <c r="H1467" s="100">
        <v>601.25399324294904</v>
      </c>
      <c r="I1467" s="100">
        <v>-673.06001990964148</v>
      </c>
      <c r="J1467" s="100">
        <v>98.669910452534282</v>
      </c>
    </row>
    <row r="1468" spans="1:10" x14ac:dyDescent="0.25">
      <c r="A1468">
        <v>1451</v>
      </c>
      <c r="B1468" s="100">
        <v>89.579007690371313</v>
      </c>
      <c r="C1468" s="100">
        <v>97.459736717699641</v>
      </c>
      <c r="D1468" s="100">
        <v>92.990201718121554</v>
      </c>
      <c r="E1468" s="100">
        <v>93.621871042062452</v>
      </c>
      <c r="F1468" s="100">
        <v>-83.708774515802986</v>
      </c>
      <c r="G1468" s="100">
        <v>1125.2291833937136</v>
      </c>
      <c r="H1468" s="100">
        <v>-348.24322526989704</v>
      </c>
      <c r="I1468" s="100">
        <v>-241.23138736122485</v>
      </c>
      <c r="J1468" s="100">
        <v>452.04579624678865</v>
      </c>
    </row>
    <row r="1469" spans="1:10" x14ac:dyDescent="0.25">
      <c r="A1469">
        <v>1452</v>
      </c>
      <c r="B1469" s="100">
        <v>89.889882928396588</v>
      </c>
      <c r="C1469" s="100">
        <v>99.63334062338447</v>
      </c>
      <c r="D1469" s="100">
        <v>93.735710200737515</v>
      </c>
      <c r="E1469" s="100">
        <v>90.302046553046097</v>
      </c>
      <c r="F1469" s="100">
        <v>-1109.5970599992115</v>
      </c>
      <c r="G1469" s="100">
        <v>-2135.176675133529</v>
      </c>
      <c r="H1469" s="100">
        <v>-1839.2601905018182</v>
      </c>
      <c r="I1469" s="100">
        <v>3078.5931016551303</v>
      </c>
      <c r="J1469" s="100">
        <v>-2005.4408239794284</v>
      </c>
    </row>
    <row r="1470" spans="1:10" x14ac:dyDescent="0.25">
      <c r="A1470">
        <v>1453</v>
      </c>
      <c r="B1470" s="100">
        <v>89.637265821157868</v>
      </c>
      <c r="C1470" s="100">
        <v>97.453656253895417</v>
      </c>
      <c r="D1470" s="100">
        <v>91.576179740351975</v>
      </c>
      <c r="E1470" s="100">
        <v>93.861817956383106</v>
      </c>
      <c r="F1470" s="100">
        <v>-275.96060611143542</v>
      </c>
      <c r="G1470" s="100">
        <v>1134.34987910005</v>
      </c>
      <c r="H1470" s="100">
        <v>2479.8007302692613</v>
      </c>
      <c r="I1470" s="100">
        <v>-481.17830168187936</v>
      </c>
      <c r="J1470" s="100">
        <v>2857.0117015759965</v>
      </c>
    </row>
    <row r="1471" spans="1:10" x14ac:dyDescent="0.25">
      <c r="A1471">
        <v>1454</v>
      </c>
      <c r="B1471" s="100">
        <v>90.805760125827192</v>
      </c>
      <c r="C1471" s="100">
        <v>98.567582143707398</v>
      </c>
      <c r="D1471" s="100">
        <v>93.615414226146143</v>
      </c>
      <c r="E1471" s="100">
        <v>90.778426730803261</v>
      </c>
      <c r="F1471" s="100">
        <v>-4131.9918115202026</v>
      </c>
      <c r="G1471" s="100">
        <v>-536.53895561792092</v>
      </c>
      <c r="H1471" s="100">
        <v>-1598.6682413190749</v>
      </c>
      <c r="I1471" s="100">
        <v>2602.212923897966</v>
      </c>
      <c r="J1471" s="100">
        <v>-3664.986084559232</v>
      </c>
    </row>
    <row r="1472" spans="1:10" x14ac:dyDescent="0.25">
      <c r="A1472">
        <v>1455</v>
      </c>
      <c r="B1472" s="100">
        <v>89.575122787222114</v>
      </c>
      <c r="C1472" s="100">
        <v>96.402708646815697</v>
      </c>
      <c r="D1472" s="100">
        <v>93.031913661177001</v>
      </c>
      <c r="E1472" s="100">
        <v>91.15071902834508</v>
      </c>
      <c r="F1472" s="100">
        <v>-70.888594123445614</v>
      </c>
      <c r="G1472" s="100">
        <v>2710.7712897196307</v>
      </c>
      <c r="H1472" s="100">
        <v>-431.66711138078995</v>
      </c>
      <c r="I1472" s="100">
        <v>2229.9206263561473</v>
      </c>
      <c r="J1472" s="100">
        <v>4438.1362105715425</v>
      </c>
    </row>
    <row r="1473" spans="1:10" x14ac:dyDescent="0.25">
      <c r="A1473">
        <v>1456</v>
      </c>
      <c r="B1473" s="100">
        <v>89.611927455194646</v>
      </c>
      <c r="C1473" s="100">
        <v>97.21779921401945</v>
      </c>
      <c r="D1473" s="100">
        <v>92.608090587287407</v>
      </c>
      <c r="E1473" s="100">
        <v>93.321561100966136</v>
      </c>
      <c r="F1473" s="100">
        <v>-192.34399843280272</v>
      </c>
      <c r="G1473" s="100">
        <v>1488.1354389140001</v>
      </c>
      <c r="H1473" s="100">
        <v>415.97903639839728</v>
      </c>
      <c r="I1473" s="100">
        <v>59.078553735091077</v>
      </c>
      <c r="J1473" s="100">
        <v>1770.8490306146859</v>
      </c>
    </row>
    <row r="1474" spans="1:10" x14ac:dyDescent="0.25">
      <c r="A1474">
        <v>1457</v>
      </c>
      <c r="B1474" s="100">
        <v>89.797291236236916</v>
      </c>
      <c r="C1474" s="100">
        <v>97.562304155710081</v>
      </c>
      <c r="D1474" s="100">
        <v>92.872697443261089</v>
      </c>
      <c r="E1474" s="100">
        <v>91.405510419609783</v>
      </c>
      <c r="F1474" s="100">
        <v>-804.04447587229265</v>
      </c>
      <c r="G1474" s="100">
        <v>971.37802637805498</v>
      </c>
      <c r="H1474" s="100">
        <v>-113.23467554896638</v>
      </c>
      <c r="I1474" s="100">
        <v>1975.1292350914441</v>
      </c>
      <c r="J1474" s="100">
        <v>2029.2281100482401</v>
      </c>
    </row>
    <row r="1475" spans="1:10" x14ac:dyDescent="0.25">
      <c r="A1475">
        <v>1458</v>
      </c>
      <c r="B1475" s="100">
        <v>89.437938222962586</v>
      </c>
      <c r="C1475" s="100">
        <v>97.246152988935691</v>
      </c>
      <c r="D1475" s="100">
        <v>90.038901500754221</v>
      </c>
      <c r="E1475" s="100">
        <v>89.81627939755613</v>
      </c>
      <c r="F1475" s="100">
        <v>381.8204679329952</v>
      </c>
      <c r="G1475" s="100">
        <v>1445.6047765396393</v>
      </c>
      <c r="H1475" s="100">
        <v>5554.3572094647689</v>
      </c>
      <c r="I1475" s="100">
        <v>3564.360257145097</v>
      </c>
      <c r="J1475" s="100">
        <v>10946.142711082501</v>
      </c>
    </row>
    <row r="1476" spans="1:10" x14ac:dyDescent="0.25">
      <c r="A1476">
        <v>1459</v>
      </c>
      <c r="B1476" s="100">
        <v>89.823732455627251</v>
      </c>
      <c r="C1476" s="100">
        <v>98.525374571559993</v>
      </c>
      <c r="D1476" s="100">
        <v>94.463109816264222</v>
      </c>
      <c r="E1476" s="100">
        <v>90.779997825122578</v>
      </c>
      <c r="F1476" s="100">
        <v>-891.30049986039944</v>
      </c>
      <c r="G1476" s="100">
        <v>-473.2275973968143</v>
      </c>
      <c r="H1476" s="100">
        <v>-3294.0594215552323</v>
      </c>
      <c r="I1476" s="100">
        <v>2600.6418295786489</v>
      </c>
      <c r="J1476" s="100">
        <v>-2057.9456892337976</v>
      </c>
    </row>
    <row r="1477" spans="1:10" x14ac:dyDescent="0.25">
      <c r="A1477">
        <v>1460</v>
      </c>
      <c r="B1477" s="100">
        <v>89.247870352251624</v>
      </c>
      <c r="C1477" s="100">
        <v>98.607412590421532</v>
      </c>
      <c r="D1477" s="100">
        <v>92.995486877718861</v>
      </c>
      <c r="E1477" s="100">
        <v>92.744127048550126</v>
      </c>
      <c r="F1477" s="100">
        <v>1009.0444412791697</v>
      </c>
      <c r="G1477" s="100">
        <v>-596.28462568912255</v>
      </c>
      <c r="H1477" s="100">
        <v>-358.81354446451041</v>
      </c>
      <c r="I1477" s="100">
        <v>636.51260615110061</v>
      </c>
      <c r="J1477" s="100">
        <v>690.45887727663739</v>
      </c>
    </row>
    <row r="1478" spans="1:10" x14ac:dyDescent="0.25">
      <c r="A1478">
        <v>1461</v>
      </c>
      <c r="B1478" s="100">
        <v>89.659249768412437</v>
      </c>
      <c r="C1478" s="100">
        <v>98.752024575174417</v>
      </c>
      <c r="D1478" s="100">
        <v>94.038753332153291</v>
      </c>
      <c r="E1478" s="100">
        <v>94.000600397435576</v>
      </c>
      <c r="F1478" s="100">
        <v>-348.50763205151196</v>
      </c>
      <c r="G1478" s="100">
        <v>-813.2026028184498</v>
      </c>
      <c r="H1478" s="100">
        <v>-2445.3464533333718</v>
      </c>
      <c r="I1478" s="100">
        <v>-619.96074273434942</v>
      </c>
      <c r="J1478" s="100">
        <v>-4227.0174309376835</v>
      </c>
    </row>
    <row r="1479" spans="1:10" x14ac:dyDescent="0.25">
      <c r="A1479">
        <v>1462</v>
      </c>
      <c r="B1479" s="100">
        <v>90.12039089394267</v>
      </c>
      <c r="C1479" s="100">
        <v>99.300735177514227</v>
      </c>
      <c r="D1479" s="100">
        <v>93.041748601130365</v>
      </c>
      <c r="E1479" s="100">
        <v>95.871621326217848</v>
      </c>
      <c r="F1479" s="100">
        <v>-1870.2733463012805</v>
      </c>
      <c r="G1479" s="100">
        <v>-1636.2685063281647</v>
      </c>
      <c r="H1479" s="100">
        <v>-451.33699128751914</v>
      </c>
      <c r="I1479" s="100">
        <v>-2490.9816715166216</v>
      </c>
      <c r="J1479" s="100">
        <v>-6448.8605154335855</v>
      </c>
    </row>
    <row r="1480" spans="1:10" x14ac:dyDescent="0.25">
      <c r="A1480">
        <v>1463</v>
      </c>
      <c r="B1480" s="100">
        <v>89.237265437324965</v>
      </c>
      <c r="C1480" s="100">
        <v>98.994500501994935</v>
      </c>
      <c r="D1480" s="100">
        <v>92.3444183926064</v>
      </c>
      <c r="E1480" s="100">
        <v>90.266629115697143</v>
      </c>
      <c r="F1480" s="100">
        <v>1044.0406605371463</v>
      </c>
      <c r="G1480" s="100">
        <v>-1176.9164930492266</v>
      </c>
      <c r="H1480" s="100">
        <v>943.32342576041128</v>
      </c>
      <c r="I1480" s="100">
        <v>3114.0105390040844</v>
      </c>
      <c r="J1480" s="100">
        <v>3924.4581322524155</v>
      </c>
    </row>
    <row r="1481" spans="1:10" x14ac:dyDescent="0.25">
      <c r="A1481">
        <v>1464</v>
      </c>
      <c r="B1481" s="100">
        <v>90.342234701042401</v>
      </c>
      <c r="C1481" s="100">
        <v>97.481351959772908</v>
      </c>
      <c r="D1481" s="100">
        <v>93.575963154143551</v>
      </c>
      <c r="E1481" s="100">
        <v>93.293123541289916</v>
      </c>
      <c r="F1481" s="100">
        <v>-2602.3579097303923</v>
      </c>
      <c r="G1481" s="100">
        <v>1092.8063202838132</v>
      </c>
      <c r="H1481" s="100">
        <v>-1519.7660973138909</v>
      </c>
      <c r="I1481" s="100">
        <v>87.51611341131138</v>
      </c>
      <c r="J1481" s="100">
        <v>-2941.8015733491584</v>
      </c>
    </row>
    <row r="1482" spans="1:10" x14ac:dyDescent="0.25">
      <c r="A1482">
        <v>1465</v>
      </c>
      <c r="B1482" s="100">
        <v>88.871550143227779</v>
      </c>
      <c r="C1482" s="100">
        <v>97.164972153716946</v>
      </c>
      <c r="D1482" s="100">
        <v>91.527939032017827</v>
      </c>
      <c r="E1482" s="100">
        <v>93.595125273446186</v>
      </c>
      <c r="F1482" s="100">
        <v>2250.9011310578585</v>
      </c>
      <c r="G1482" s="100">
        <v>1567.3760293677574</v>
      </c>
      <c r="H1482" s="100">
        <v>2576.2821469375581</v>
      </c>
      <c r="I1482" s="100">
        <v>-214.48561874495908</v>
      </c>
      <c r="J1482" s="100">
        <v>6180.0736886182149</v>
      </c>
    </row>
    <row r="1483" spans="1:10" x14ac:dyDescent="0.25">
      <c r="A1483">
        <v>1466</v>
      </c>
      <c r="B1483" s="100">
        <v>89.794078206424643</v>
      </c>
      <c r="C1483" s="100">
        <v>98.69459507568564</v>
      </c>
      <c r="D1483" s="100">
        <v>94.325984534081641</v>
      </c>
      <c r="E1483" s="100">
        <v>91.782402708306904</v>
      </c>
      <c r="F1483" s="100">
        <v>-793.44147749179399</v>
      </c>
      <c r="G1483" s="100">
        <v>-727.05835358528498</v>
      </c>
      <c r="H1483" s="100">
        <v>-3019.8088571900712</v>
      </c>
      <c r="I1483" s="100">
        <v>1598.2369463943228</v>
      </c>
      <c r="J1483" s="100">
        <v>-2942.0717418728277</v>
      </c>
    </row>
    <row r="1484" spans="1:10" x14ac:dyDescent="0.25">
      <c r="A1484">
        <v>1467</v>
      </c>
      <c r="B1484" s="100">
        <v>89.956049262009444</v>
      </c>
      <c r="C1484" s="100">
        <v>97.571676833501414</v>
      </c>
      <c r="D1484" s="100">
        <v>92.330144624769574</v>
      </c>
      <c r="E1484" s="100">
        <v>91.021415300847536</v>
      </c>
      <c r="F1484" s="100">
        <v>-1327.9459609216347</v>
      </c>
      <c r="G1484" s="100">
        <v>957.31900969105504</v>
      </c>
      <c r="H1484" s="100">
        <v>971.87096143406393</v>
      </c>
      <c r="I1484" s="100">
        <v>2359.2243538536904</v>
      </c>
      <c r="J1484" s="100">
        <v>2960.4683640571748</v>
      </c>
    </row>
    <row r="1485" spans="1:10" x14ac:dyDescent="0.25">
      <c r="A1485">
        <v>1468</v>
      </c>
      <c r="B1485" s="100">
        <v>89.796619412878869</v>
      </c>
      <c r="C1485" s="100">
        <v>98.551384133523072</v>
      </c>
      <c r="D1485" s="100">
        <v>92.506901242468345</v>
      </c>
      <c r="E1485" s="100">
        <v>96.605657276741297</v>
      </c>
      <c r="F1485" s="100">
        <v>-801.82745879073707</v>
      </c>
      <c r="G1485" s="100">
        <v>-512.24194034143261</v>
      </c>
      <c r="H1485" s="100">
        <v>618.35772603652117</v>
      </c>
      <c r="I1485" s="100">
        <v>-3225.0176220400704</v>
      </c>
      <c r="J1485" s="100">
        <v>-3920.7292951357185</v>
      </c>
    </row>
    <row r="1486" spans="1:10" x14ac:dyDescent="0.25">
      <c r="A1486">
        <v>1469</v>
      </c>
      <c r="B1486" s="100">
        <v>90.133728214559682</v>
      </c>
      <c r="C1486" s="100">
        <v>97.022173981327711</v>
      </c>
      <c r="D1486" s="100">
        <v>93.848295562147698</v>
      </c>
      <c r="E1486" s="100">
        <v>92.173377721738007</v>
      </c>
      <c r="F1486" s="100">
        <v>-1914.28650433742</v>
      </c>
      <c r="G1486" s="100">
        <v>1781.573287951609</v>
      </c>
      <c r="H1486" s="100">
        <v>-2064.4309133221841</v>
      </c>
      <c r="I1486" s="100">
        <v>1207.2619329632203</v>
      </c>
      <c r="J1486" s="100">
        <v>-989.88219674477477</v>
      </c>
    </row>
    <row r="1487" spans="1:10" x14ac:dyDescent="0.25">
      <c r="A1487">
        <v>1470</v>
      </c>
      <c r="B1487" s="100">
        <v>90.101232263308631</v>
      </c>
      <c r="C1487" s="100">
        <v>97.537268774369778</v>
      </c>
      <c r="D1487" s="100">
        <v>93.867478545427375</v>
      </c>
      <c r="E1487" s="100">
        <v>93.297027951304145</v>
      </c>
      <c r="F1487" s="100">
        <v>-1807.0498652089541</v>
      </c>
      <c r="G1487" s="100">
        <v>1008.9310983885084</v>
      </c>
      <c r="H1487" s="100">
        <v>-2102.7968798815382</v>
      </c>
      <c r="I1487" s="100">
        <v>83.611703397082238</v>
      </c>
      <c r="J1487" s="100">
        <v>-2817.3039433049016</v>
      </c>
    </row>
    <row r="1488" spans="1:10" x14ac:dyDescent="0.25">
      <c r="A1488">
        <v>1471</v>
      </c>
      <c r="B1488" s="100">
        <v>88.939217622004307</v>
      </c>
      <c r="C1488" s="100">
        <v>99.477673100110252</v>
      </c>
      <c r="D1488" s="100">
        <v>93.185205095384376</v>
      </c>
      <c r="E1488" s="100">
        <v>94.857358242683674</v>
      </c>
      <c r="F1488" s="100">
        <v>2027.5984510953165</v>
      </c>
      <c r="G1488" s="100">
        <v>-1901.6753902222022</v>
      </c>
      <c r="H1488" s="100">
        <v>-738.24997979554041</v>
      </c>
      <c r="I1488" s="100">
        <v>-1476.7185879824467</v>
      </c>
      <c r="J1488" s="100">
        <v>-2089.045506904873</v>
      </c>
    </row>
    <row r="1489" spans="1:10" x14ac:dyDescent="0.25">
      <c r="A1489">
        <v>1472</v>
      </c>
      <c r="B1489" s="100">
        <v>89.705321021030116</v>
      </c>
      <c r="C1489" s="100">
        <v>96.911053504017104</v>
      </c>
      <c r="D1489" s="100">
        <v>92.040062859553416</v>
      </c>
      <c r="E1489" s="100">
        <v>94.433023150212136</v>
      </c>
      <c r="F1489" s="100">
        <v>-500.5427656898533</v>
      </c>
      <c r="G1489" s="100">
        <v>1948.2540039175192</v>
      </c>
      <c r="H1489" s="100">
        <v>1552.0344918663795</v>
      </c>
      <c r="I1489" s="100">
        <v>-1052.3834955109096</v>
      </c>
      <c r="J1489" s="100">
        <v>1947.3622345831359</v>
      </c>
    </row>
    <row r="1490" spans="1:10" x14ac:dyDescent="0.25">
      <c r="A1490">
        <v>1473</v>
      </c>
      <c r="B1490" s="100">
        <v>88.92153726204188</v>
      </c>
      <c r="C1490" s="100">
        <v>96.820537622528278</v>
      </c>
      <c r="D1490" s="100">
        <v>92.086734857140016</v>
      </c>
      <c r="E1490" s="100">
        <v>93.280128462112884</v>
      </c>
      <c r="F1490" s="100">
        <v>2085.9436389713237</v>
      </c>
      <c r="G1490" s="100">
        <v>2084.0278261507592</v>
      </c>
      <c r="H1490" s="100">
        <v>1458.6904966931797</v>
      </c>
      <c r="I1490" s="100">
        <v>100.51119258834262</v>
      </c>
      <c r="J1490" s="100">
        <v>5729.1731544036056</v>
      </c>
    </row>
    <row r="1491" spans="1:10" x14ac:dyDescent="0.25">
      <c r="A1491">
        <v>1474</v>
      </c>
      <c r="B1491" s="100">
        <v>90.537318104851565</v>
      </c>
      <c r="C1491" s="100">
        <v>99.001690978867387</v>
      </c>
      <c r="D1491" s="100">
        <v>93.769619906849911</v>
      </c>
      <c r="E1491" s="100">
        <v>96.171917551601084</v>
      </c>
      <c r="F1491" s="100">
        <v>-3246.1331423006341</v>
      </c>
      <c r="G1491" s="100">
        <v>-1187.702208357905</v>
      </c>
      <c r="H1491" s="100">
        <v>-1907.0796027266113</v>
      </c>
      <c r="I1491" s="100">
        <v>-2791.2778968998564</v>
      </c>
      <c r="J1491" s="100">
        <v>-9132.192850285006</v>
      </c>
    </row>
    <row r="1492" spans="1:10" x14ac:dyDescent="0.25">
      <c r="A1492">
        <v>1475</v>
      </c>
      <c r="B1492" s="100">
        <v>90.209218274916495</v>
      </c>
      <c r="C1492" s="100">
        <v>99.198338493698543</v>
      </c>
      <c r="D1492" s="100">
        <v>94.190304734330638</v>
      </c>
      <c r="E1492" s="100">
        <v>95.417457074155294</v>
      </c>
      <c r="F1492" s="100">
        <v>-2163.4037035149036</v>
      </c>
      <c r="G1492" s="100">
        <v>-1482.6734806046388</v>
      </c>
      <c r="H1492" s="100">
        <v>-2748.4492576880657</v>
      </c>
      <c r="I1492" s="100">
        <v>-2036.817419454067</v>
      </c>
      <c r="J1492" s="100">
        <v>-8431.3438612616737</v>
      </c>
    </row>
    <row r="1493" spans="1:10" x14ac:dyDescent="0.25">
      <c r="A1493">
        <v>1476</v>
      </c>
      <c r="B1493" s="100">
        <v>89.399392282111464</v>
      </c>
      <c r="C1493" s="100">
        <v>97.562933934155353</v>
      </c>
      <c r="D1493" s="100">
        <v>91.698657047597067</v>
      </c>
      <c r="E1493" s="100">
        <v>91.023846210605555</v>
      </c>
      <c r="F1493" s="100">
        <v>509.02207274169911</v>
      </c>
      <c r="G1493" s="100">
        <v>970.43335871014597</v>
      </c>
      <c r="H1493" s="100">
        <v>2234.846115779078</v>
      </c>
      <c r="I1493" s="100">
        <v>2356.7934440956719</v>
      </c>
      <c r="J1493" s="100">
        <v>6071.0949913265949</v>
      </c>
    </row>
    <row r="1494" spans="1:10" x14ac:dyDescent="0.25">
      <c r="A1494">
        <v>1477</v>
      </c>
      <c r="B1494" s="100">
        <v>89.148868106122436</v>
      </c>
      <c r="C1494" s="100">
        <v>97.430378694650045</v>
      </c>
      <c r="D1494" s="100">
        <v>92.213701217744841</v>
      </c>
      <c r="E1494" s="100">
        <v>91.821821526945186</v>
      </c>
      <c r="F1494" s="100">
        <v>1335.7518535054921</v>
      </c>
      <c r="G1494" s="100">
        <v>1169.2662179681079</v>
      </c>
      <c r="H1494" s="100">
        <v>1204.7577754835288</v>
      </c>
      <c r="I1494" s="100">
        <v>1558.8181277560409</v>
      </c>
      <c r="J1494" s="100">
        <v>5268.5939747131697</v>
      </c>
    </row>
    <row r="1495" spans="1:10" x14ac:dyDescent="0.25">
      <c r="A1495">
        <v>1478</v>
      </c>
      <c r="B1495" s="100">
        <v>89.737867333259501</v>
      </c>
      <c r="C1495" s="100">
        <v>98.353912731141449</v>
      </c>
      <c r="D1495" s="100">
        <v>93.632711382390468</v>
      </c>
      <c r="E1495" s="100">
        <v>90.999599849607776</v>
      </c>
      <c r="F1495" s="100">
        <v>-607.94559604682513</v>
      </c>
      <c r="G1495" s="100">
        <v>-216.03483676899771</v>
      </c>
      <c r="H1495" s="100">
        <v>-1633.2625538077252</v>
      </c>
      <c r="I1495" s="100">
        <v>2381.0398050934509</v>
      </c>
      <c r="J1495" s="100">
        <v>-76.203181530097027</v>
      </c>
    </row>
    <row r="1496" spans="1:10" x14ac:dyDescent="0.25">
      <c r="A1496">
        <v>1479</v>
      </c>
      <c r="B1496" s="100">
        <v>89.91157597326189</v>
      </c>
      <c r="C1496" s="100">
        <v>100.59767125888688</v>
      </c>
      <c r="D1496" s="100">
        <v>92.971506429698437</v>
      </c>
      <c r="E1496" s="100">
        <v>96.321978240542592</v>
      </c>
      <c r="F1496" s="100">
        <v>-1181.1841080547069</v>
      </c>
      <c r="G1496" s="100">
        <v>-3581.672628387139</v>
      </c>
      <c r="H1496" s="100">
        <v>-310.852648423662</v>
      </c>
      <c r="I1496" s="100">
        <v>-2941.3385858413649</v>
      </c>
      <c r="J1496" s="100">
        <v>-8015.0479707068725</v>
      </c>
    </row>
    <row r="1497" spans="1:10" x14ac:dyDescent="0.25">
      <c r="A1497">
        <v>1480</v>
      </c>
      <c r="B1497" s="100">
        <v>89.893036710131796</v>
      </c>
      <c r="C1497" s="100">
        <v>97.819995745514348</v>
      </c>
      <c r="D1497" s="100">
        <v>93.913286155867041</v>
      </c>
      <c r="E1497" s="100">
        <v>96.020531718855025</v>
      </c>
      <c r="F1497" s="100">
        <v>-1120.0045397253959</v>
      </c>
      <c r="G1497" s="100">
        <v>584.84064167165434</v>
      </c>
      <c r="H1497" s="100">
        <v>-2194.4121007608715</v>
      </c>
      <c r="I1497" s="100">
        <v>-2639.8920641537984</v>
      </c>
      <c r="J1497" s="100">
        <v>-5369.4680629684117</v>
      </c>
    </row>
    <row r="1498" spans="1:10" x14ac:dyDescent="0.25">
      <c r="A1498">
        <v>1481</v>
      </c>
      <c r="B1498" s="100">
        <v>90.12467145333288</v>
      </c>
      <c r="C1498" s="100">
        <v>97.971544464477645</v>
      </c>
      <c r="D1498" s="100">
        <v>92.585985554691931</v>
      </c>
      <c r="E1498" s="100">
        <v>92.671277702484815</v>
      </c>
      <c r="F1498" s="100">
        <v>-1884.3991922889743</v>
      </c>
      <c r="G1498" s="100">
        <v>357.51756322670758</v>
      </c>
      <c r="H1498" s="100">
        <v>460.18910158935</v>
      </c>
      <c r="I1498" s="100">
        <v>709.36195221641185</v>
      </c>
      <c r="J1498" s="100">
        <v>-357.33057525650486</v>
      </c>
    </row>
    <row r="1499" spans="1:10" x14ac:dyDescent="0.25">
      <c r="A1499">
        <v>1482</v>
      </c>
      <c r="B1499" s="100">
        <v>88.580677376834828</v>
      </c>
      <c r="C1499" s="100">
        <v>98.322482295583384</v>
      </c>
      <c r="D1499" s="100">
        <v>92.634296720737396</v>
      </c>
      <c r="E1499" s="100">
        <v>93.011284190956303</v>
      </c>
      <c r="F1499" s="100">
        <v>3210.7812601545975</v>
      </c>
      <c r="G1499" s="100">
        <v>-168.88918343190085</v>
      </c>
      <c r="H1499" s="100">
        <v>363.56676949841926</v>
      </c>
      <c r="I1499" s="100">
        <v>369.3554637449239</v>
      </c>
      <c r="J1499" s="100">
        <v>3774.8143099660397</v>
      </c>
    </row>
    <row r="1500" spans="1:10" x14ac:dyDescent="0.25">
      <c r="A1500">
        <v>1483</v>
      </c>
      <c r="B1500" s="100">
        <v>89.258698468590467</v>
      </c>
      <c r="C1500" s="100">
        <v>98.245003052957358</v>
      </c>
      <c r="D1500" s="100">
        <v>93.729595278915781</v>
      </c>
      <c r="E1500" s="100">
        <v>93.80659695561441</v>
      </c>
      <c r="F1500" s="100">
        <v>973.3116573609891</v>
      </c>
      <c r="G1500" s="100">
        <v>-52.670319492861495</v>
      </c>
      <c r="H1500" s="100">
        <v>-1827.0303468583506</v>
      </c>
      <c r="I1500" s="100">
        <v>-425.95730091318273</v>
      </c>
      <c r="J1500" s="100">
        <v>-1332.3463099034057</v>
      </c>
    </row>
    <row r="1501" spans="1:10" x14ac:dyDescent="0.25">
      <c r="A1501">
        <v>1484</v>
      </c>
      <c r="B1501" s="100">
        <v>89.555612634906055</v>
      </c>
      <c r="C1501" s="100">
        <v>98.110893650750825</v>
      </c>
      <c r="D1501" s="100">
        <v>91.420084015445724</v>
      </c>
      <c r="E1501" s="100">
        <v>94.656543975522354</v>
      </c>
      <c r="F1501" s="100">
        <v>-6.5050914804515969</v>
      </c>
      <c r="G1501" s="100">
        <v>148.49378381693867</v>
      </c>
      <c r="H1501" s="100">
        <v>2791.9921800817633</v>
      </c>
      <c r="I1501" s="100">
        <v>-1275.9043208211267</v>
      </c>
      <c r="J1501" s="100">
        <v>1658.0765515971236</v>
      </c>
    </row>
    <row r="1502" spans="1:10" x14ac:dyDescent="0.25">
      <c r="A1502">
        <v>1485</v>
      </c>
      <c r="B1502" s="100">
        <v>89.647521809048925</v>
      </c>
      <c r="C1502" s="100">
        <v>98.100418010204592</v>
      </c>
      <c r="D1502" s="100">
        <v>95.361630968517673</v>
      </c>
      <c r="E1502" s="100">
        <v>93.1205316751998</v>
      </c>
      <c r="F1502" s="100">
        <v>-309.80536615192307</v>
      </c>
      <c r="G1502" s="100">
        <v>164.20724463628744</v>
      </c>
      <c r="H1502" s="100">
        <v>-5091.1017260621347</v>
      </c>
      <c r="I1502" s="100">
        <v>260.10797950142717</v>
      </c>
      <c r="J1502" s="100">
        <v>-4976.5918680763425</v>
      </c>
    </row>
    <row r="1503" spans="1:10" x14ac:dyDescent="0.25">
      <c r="A1503">
        <v>1486</v>
      </c>
      <c r="B1503" s="100">
        <v>90.5328758340885</v>
      </c>
      <c r="C1503" s="100">
        <v>96.893693870228958</v>
      </c>
      <c r="D1503" s="100">
        <v>91.554173068931689</v>
      </c>
      <c r="E1503" s="100">
        <v>92.277715131048794</v>
      </c>
      <c r="F1503" s="100">
        <v>-3231.4736487825216</v>
      </c>
      <c r="G1503" s="100">
        <v>1974.2934545997387</v>
      </c>
      <c r="H1503" s="100">
        <v>2523.8140731098329</v>
      </c>
      <c r="I1503" s="100">
        <v>1102.9245236524332</v>
      </c>
      <c r="J1503" s="100">
        <v>2369.5584025794833</v>
      </c>
    </row>
    <row r="1504" spans="1:10" x14ac:dyDescent="0.25">
      <c r="A1504">
        <v>1487</v>
      </c>
      <c r="B1504" s="100">
        <v>90.808759435303401</v>
      </c>
      <c r="C1504" s="100">
        <v>98.127120481489399</v>
      </c>
      <c r="D1504" s="100">
        <v>90.969841962054645</v>
      </c>
      <c r="E1504" s="100">
        <v>96.695302941991798</v>
      </c>
      <c r="F1504" s="100">
        <v>-4141.8895327916925</v>
      </c>
      <c r="G1504" s="100">
        <v>124.153537709077</v>
      </c>
      <c r="H1504" s="100">
        <v>3692.4762868639218</v>
      </c>
      <c r="I1504" s="100">
        <v>-3314.6632872905711</v>
      </c>
      <c r="J1504" s="100">
        <v>-3639.9229955092651</v>
      </c>
    </row>
    <row r="1505" spans="1:10" x14ac:dyDescent="0.25">
      <c r="A1505">
        <v>1488</v>
      </c>
      <c r="B1505" s="100">
        <v>89.225374511357515</v>
      </c>
      <c r="C1505" s="100">
        <v>98.372503352182022</v>
      </c>
      <c r="D1505" s="100">
        <v>91.0362747895485</v>
      </c>
      <c r="E1505" s="100">
        <v>95.445726858451508</v>
      </c>
      <c r="F1505" s="100">
        <v>1083.2807162297299</v>
      </c>
      <c r="G1505" s="100">
        <v>-243.92076832985765</v>
      </c>
      <c r="H1505" s="100">
        <v>3559.6106318762113</v>
      </c>
      <c r="I1505" s="100">
        <v>-2065.0872037502809</v>
      </c>
      <c r="J1505" s="100">
        <v>2333.8833760258026</v>
      </c>
    </row>
    <row r="1506" spans="1:10" x14ac:dyDescent="0.25">
      <c r="A1506">
        <v>1489</v>
      </c>
      <c r="B1506" s="100">
        <v>89.800892750117029</v>
      </c>
      <c r="C1506" s="100">
        <v>97.736461428820306</v>
      </c>
      <c r="D1506" s="100">
        <v>93.188922629013675</v>
      </c>
      <c r="E1506" s="100">
        <v>91.553800672044673</v>
      </c>
      <c r="F1506" s="100">
        <v>-815.92947167666671</v>
      </c>
      <c r="G1506" s="100">
        <v>710.1421167127171</v>
      </c>
      <c r="H1506" s="100">
        <v>-745.68504705413829</v>
      </c>
      <c r="I1506" s="100">
        <v>1826.838982656554</v>
      </c>
      <c r="J1506" s="100">
        <v>975.36658063846608</v>
      </c>
    </row>
    <row r="1507" spans="1:10" x14ac:dyDescent="0.25">
      <c r="A1507">
        <v>1490</v>
      </c>
      <c r="B1507" s="100">
        <v>89.518647368212854</v>
      </c>
      <c r="C1507" s="100">
        <v>97.984841037210828</v>
      </c>
      <c r="D1507" s="100">
        <v>92.09739349840747</v>
      </c>
      <c r="E1507" s="100">
        <v>93.150463160034619</v>
      </c>
      <c r="F1507" s="100">
        <v>115.48028860711241</v>
      </c>
      <c r="G1507" s="100">
        <v>337.5727041269343</v>
      </c>
      <c r="H1507" s="100">
        <v>1437.3732141582707</v>
      </c>
      <c r="I1507" s="100">
        <v>230.17649466660828</v>
      </c>
      <c r="J1507" s="100">
        <v>2120.6027015589257</v>
      </c>
    </row>
    <row r="1508" spans="1:10" x14ac:dyDescent="0.25">
      <c r="A1508">
        <v>1491</v>
      </c>
      <c r="B1508" s="100">
        <v>89.989715358558755</v>
      </c>
      <c r="C1508" s="100">
        <v>97.708695559076034</v>
      </c>
      <c r="D1508" s="100">
        <v>93.346334264943948</v>
      </c>
      <c r="E1508" s="100">
        <v>92.503573366669059</v>
      </c>
      <c r="F1508" s="100">
        <v>-1439.0440795343607</v>
      </c>
      <c r="G1508" s="100">
        <v>751.79092132912479</v>
      </c>
      <c r="H1508" s="100">
        <v>-1060.5083189146853</v>
      </c>
      <c r="I1508" s="100">
        <v>877.06628803216802</v>
      </c>
      <c r="J1508" s="100">
        <v>-870.69518908775319</v>
      </c>
    </row>
    <row r="1509" spans="1:10" x14ac:dyDescent="0.25">
      <c r="A1509">
        <v>1492</v>
      </c>
      <c r="B1509" s="100">
        <v>90.25959974118706</v>
      </c>
      <c r="C1509" s="100">
        <v>98.936947290717825</v>
      </c>
      <c r="D1509" s="100">
        <v>91.427651005727625</v>
      </c>
      <c r="E1509" s="100">
        <v>93.831390769171321</v>
      </c>
      <c r="F1509" s="100">
        <v>-2329.6625422077682</v>
      </c>
      <c r="G1509" s="100">
        <v>-1090.5866761335617</v>
      </c>
      <c r="H1509" s="100">
        <v>2776.8581995179602</v>
      </c>
      <c r="I1509" s="100">
        <v>-450.75111447009419</v>
      </c>
      <c r="J1509" s="100">
        <v>-1094.1421332934638</v>
      </c>
    </row>
    <row r="1510" spans="1:10" x14ac:dyDescent="0.25">
      <c r="A1510">
        <v>1493</v>
      </c>
      <c r="B1510" s="100">
        <v>89.426832829558535</v>
      </c>
      <c r="C1510" s="100">
        <v>99.164631548696676</v>
      </c>
      <c r="D1510" s="100">
        <v>92.954905712078315</v>
      </c>
      <c r="E1510" s="100">
        <v>92.896735158309966</v>
      </c>
      <c r="F1510" s="100">
        <v>418.46826616636434</v>
      </c>
      <c r="G1510" s="100">
        <v>-1432.1130631018377</v>
      </c>
      <c r="H1510" s="100">
        <v>-277.65121318341812</v>
      </c>
      <c r="I1510" s="100">
        <v>483.90449639126132</v>
      </c>
      <c r="J1510" s="100">
        <v>-807.39151372763013</v>
      </c>
    </row>
    <row r="1511" spans="1:10" x14ac:dyDescent="0.25">
      <c r="A1511">
        <v>1494</v>
      </c>
      <c r="B1511" s="100">
        <v>89.287096906980139</v>
      </c>
      <c r="C1511" s="100">
        <v>97.207051699058667</v>
      </c>
      <c r="D1511" s="100">
        <v>93.089223146880755</v>
      </c>
      <c r="E1511" s="100">
        <v>94.45038960865692</v>
      </c>
      <c r="F1511" s="100">
        <v>879.59681067507063</v>
      </c>
      <c r="G1511" s="100">
        <v>1504.2567113551754</v>
      </c>
      <c r="H1511" s="100">
        <v>-546.28608278829915</v>
      </c>
      <c r="I1511" s="100">
        <v>-1069.7499539556929</v>
      </c>
      <c r="J1511" s="100">
        <v>767.81748528625394</v>
      </c>
    </row>
    <row r="1512" spans="1:10" x14ac:dyDescent="0.25">
      <c r="A1512">
        <v>1495</v>
      </c>
      <c r="B1512" s="100">
        <v>89.311970946439516</v>
      </c>
      <c r="C1512" s="100">
        <v>98.751982292972173</v>
      </c>
      <c r="D1512" s="100">
        <v>93.022426903927325</v>
      </c>
      <c r="E1512" s="100">
        <v>93.385150620275809</v>
      </c>
      <c r="F1512" s="100">
        <v>797.51248045912746</v>
      </c>
      <c r="G1512" s="100">
        <v>-813.13917951508324</v>
      </c>
      <c r="H1512" s="100">
        <v>-412.69359688143936</v>
      </c>
      <c r="I1512" s="100">
        <v>-4.51096557458186</v>
      </c>
      <c r="J1512" s="100">
        <v>-432.831261511977</v>
      </c>
    </row>
    <row r="1513" spans="1:10" x14ac:dyDescent="0.25">
      <c r="A1513">
        <v>1496</v>
      </c>
      <c r="B1513" s="100">
        <v>89.883891298369448</v>
      </c>
      <c r="C1513" s="100">
        <v>100.34185328902957</v>
      </c>
      <c r="D1513" s="100">
        <v>92.015512870287338</v>
      </c>
      <c r="E1513" s="100">
        <v>90.076515346174546</v>
      </c>
      <c r="F1513" s="100">
        <v>-1089.8246809096506</v>
      </c>
      <c r="G1513" s="100">
        <v>-3197.9456736011825</v>
      </c>
      <c r="H1513" s="100">
        <v>1601.1344703985344</v>
      </c>
      <c r="I1513" s="100">
        <v>3304.1243085266815</v>
      </c>
      <c r="J1513" s="100">
        <v>617.48842441438228</v>
      </c>
    </row>
    <row r="1514" spans="1:10" x14ac:dyDescent="0.25">
      <c r="A1514">
        <v>1497</v>
      </c>
      <c r="B1514" s="100">
        <v>89.731561163907031</v>
      </c>
      <c r="C1514" s="100">
        <v>98.732135813329151</v>
      </c>
      <c r="D1514" s="100">
        <v>95.31477841943159</v>
      </c>
      <c r="E1514" s="100">
        <v>92.711877161091977</v>
      </c>
      <c r="F1514" s="100">
        <v>-587.13523718367355</v>
      </c>
      <c r="G1514" s="100">
        <v>-783.36946005055097</v>
      </c>
      <c r="H1514" s="100">
        <v>-4997.3966278899697</v>
      </c>
      <c r="I1514" s="100">
        <v>668.76249360925044</v>
      </c>
      <c r="J1514" s="100">
        <v>-5699.1388315149434</v>
      </c>
    </row>
    <row r="1515" spans="1:10" x14ac:dyDescent="0.25">
      <c r="A1515">
        <v>1498</v>
      </c>
      <c r="B1515" s="100">
        <v>89.783571850261183</v>
      </c>
      <c r="C1515" s="100">
        <v>97.084361016497354</v>
      </c>
      <c r="D1515" s="100">
        <v>93.785693086659364</v>
      </c>
      <c r="E1515" s="100">
        <v>91.348968630074907</v>
      </c>
      <c r="F1515" s="100">
        <v>-758.77050215237318</v>
      </c>
      <c r="G1515" s="100">
        <v>1688.2927351971446</v>
      </c>
      <c r="H1515" s="100">
        <v>-1939.2259623455175</v>
      </c>
      <c r="I1515" s="100">
        <v>2031.6710246263199</v>
      </c>
      <c r="J1515" s="100">
        <v>1021.9672953255738</v>
      </c>
    </row>
    <row r="1516" spans="1:10" x14ac:dyDescent="0.25">
      <c r="A1516">
        <v>1499</v>
      </c>
      <c r="B1516" s="100">
        <v>88.788184744003644</v>
      </c>
      <c r="C1516" s="100">
        <v>98.653020010454441</v>
      </c>
      <c r="D1516" s="100">
        <v>93.171689194062466</v>
      </c>
      <c r="E1516" s="100">
        <v>96.031245408739608</v>
      </c>
      <c r="F1516" s="100">
        <v>2526.0069484975047</v>
      </c>
      <c r="G1516" s="100">
        <v>-664.6957557384851</v>
      </c>
      <c r="H1516" s="100">
        <v>-711.21817715172142</v>
      </c>
      <c r="I1516" s="100">
        <v>-2650.6057540383808</v>
      </c>
      <c r="J1516" s="100">
        <v>-1500.5127384310827</v>
      </c>
    </row>
    <row r="1517" spans="1:10" x14ac:dyDescent="0.25">
      <c r="A1517">
        <v>1500</v>
      </c>
      <c r="B1517" s="100">
        <v>90.466734583106273</v>
      </c>
      <c r="C1517" s="100">
        <v>98.397653595909134</v>
      </c>
      <c r="D1517" s="100">
        <v>93.113611121228899</v>
      </c>
      <c r="E1517" s="100">
        <v>94.442527988111991</v>
      </c>
      <c r="F1517" s="100">
        <v>-3013.2075205411725</v>
      </c>
      <c r="G1517" s="100">
        <v>-281.64613392052473</v>
      </c>
      <c r="H1517" s="100">
        <v>-595.06203148458781</v>
      </c>
      <c r="I1517" s="100">
        <v>-1061.8883334107636</v>
      </c>
      <c r="J1517" s="100">
        <v>-4951.8040193570487</v>
      </c>
    </row>
    <row r="1518" spans="1:10" x14ac:dyDescent="0.25">
      <c r="A1518">
        <v>1501</v>
      </c>
      <c r="B1518" s="100">
        <v>89.486488998306058</v>
      </c>
      <c r="C1518" s="100">
        <v>96.751453090112321</v>
      </c>
      <c r="D1518" s="100">
        <v>93.129143192659072</v>
      </c>
      <c r="E1518" s="100">
        <v>94.950223109289439</v>
      </c>
      <c r="F1518" s="100">
        <v>221.60290929953845</v>
      </c>
      <c r="G1518" s="100">
        <v>2187.6546247746946</v>
      </c>
      <c r="H1518" s="100">
        <v>-626.12617434493245</v>
      </c>
      <c r="I1518" s="100">
        <v>-1569.5834545882121</v>
      </c>
      <c r="J1518" s="100">
        <v>213.54790514108868</v>
      </c>
    </row>
    <row r="1519" spans="1:10" x14ac:dyDescent="0.25">
      <c r="A1519">
        <v>1502</v>
      </c>
      <c r="B1519" s="100">
        <v>89.559121528640176</v>
      </c>
      <c r="C1519" s="100">
        <v>98.857242605023757</v>
      </c>
      <c r="D1519" s="100">
        <v>92.744165739544044</v>
      </c>
      <c r="E1519" s="100">
        <v>96.630011919203184</v>
      </c>
      <c r="F1519" s="100">
        <v>-18.08444080305236</v>
      </c>
      <c r="G1519" s="100">
        <v>-971.02964759245936</v>
      </c>
      <c r="H1519" s="100">
        <v>143.82873188512235</v>
      </c>
      <c r="I1519" s="100">
        <v>-3249.3722645019575</v>
      </c>
      <c r="J1519" s="100">
        <v>-4094.6576210123467</v>
      </c>
    </row>
    <row r="1520" spans="1:10" x14ac:dyDescent="0.25">
      <c r="A1520">
        <v>1503</v>
      </c>
      <c r="B1520" s="100">
        <v>89.579806052619517</v>
      </c>
      <c r="C1520" s="100">
        <v>97.557281512334555</v>
      </c>
      <c r="D1520" s="100">
        <v>92.589799818260815</v>
      </c>
      <c r="E1520" s="100">
        <v>91.834095253601888</v>
      </c>
      <c r="F1520" s="100">
        <v>-86.343369934877501</v>
      </c>
      <c r="G1520" s="100">
        <v>978.91199144134339</v>
      </c>
      <c r="H1520" s="100">
        <v>452.56057445158149</v>
      </c>
      <c r="I1520" s="100">
        <v>1546.5444010993394</v>
      </c>
      <c r="J1520" s="100">
        <v>2891.6735970573868</v>
      </c>
    </row>
    <row r="1521" spans="1:10" x14ac:dyDescent="0.25">
      <c r="A1521">
        <v>1504</v>
      </c>
      <c r="B1521" s="100">
        <v>89.534757972947716</v>
      </c>
      <c r="C1521" s="100">
        <v>96.042088402083095</v>
      </c>
      <c r="D1521" s="100">
        <v>91.52224762906495</v>
      </c>
      <c r="E1521" s="100">
        <v>92.975054310122758</v>
      </c>
      <c r="F1521" s="100">
        <v>62.315292982066239</v>
      </c>
      <c r="G1521" s="100">
        <v>3251.7016568185327</v>
      </c>
      <c r="H1521" s="100">
        <v>2587.6649528433118</v>
      </c>
      <c r="I1521" s="100">
        <v>405.58534457846918</v>
      </c>
      <c r="J1521" s="100">
        <v>6307.2672472223803</v>
      </c>
    </row>
    <row r="1522" spans="1:10" x14ac:dyDescent="0.25">
      <c r="A1522">
        <v>1505</v>
      </c>
      <c r="B1522" s="100">
        <v>89.185877258576852</v>
      </c>
      <c r="C1522" s="100">
        <v>97.89820918810932</v>
      </c>
      <c r="D1522" s="100">
        <v>93.608027750159124</v>
      </c>
      <c r="E1522" s="100">
        <v>94.492405463140386</v>
      </c>
      <c r="F1522" s="100">
        <v>1213.6216504059178</v>
      </c>
      <c r="G1522" s="100">
        <v>467.52047777919614</v>
      </c>
      <c r="H1522" s="100">
        <v>-1583.8952893450369</v>
      </c>
      <c r="I1522" s="100">
        <v>-1111.7658084391592</v>
      </c>
      <c r="J1522" s="100">
        <v>-1014.5189695990821</v>
      </c>
    </row>
    <row r="1523" spans="1:10" x14ac:dyDescent="0.25">
      <c r="A1523">
        <v>1506</v>
      </c>
      <c r="B1523" s="100">
        <v>89.432088972807819</v>
      </c>
      <c r="C1523" s="100">
        <v>98.26876125338643</v>
      </c>
      <c r="D1523" s="100">
        <v>94.056067998198259</v>
      </c>
      <c r="E1523" s="100">
        <v>93.810231268347366</v>
      </c>
      <c r="F1523" s="100">
        <v>401.12299344372815</v>
      </c>
      <c r="G1523" s="100">
        <v>-88.307620136468756</v>
      </c>
      <c r="H1523" s="100">
        <v>-2479.9757854233067</v>
      </c>
      <c r="I1523" s="100">
        <v>-429.59161364613863</v>
      </c>
      <c r="J1523" s="100">
        <v>-2596.7520257621859</v>
      </c>
    </row>
    <row r="1524" spans="1:10" x14ac:dyDescent="0.25">
      <c r="A1524">
        <v>1507</v>
      </c>
      <c r="B1524" s="100">
        <v>90.615424269693705</v>
      </c>
      <c r="C1524" s="100">
        <v>97.104964815822754</v>
      </c>
      <c r="D1524" s="100">
        <v>92.038360253262795</v>
      </c>
      <c r="E1524" s="100">
        <v>91.762574607726734</v>
      </c>
      <c r="F1524" s="100">
        <v>-3503.8834862796962</v>
      </c>
      <c r="G1524" s="100">
        <v>1657.3870362090447</v>
      </c>
      <c r="H1524" s="100">
        <v>1555.4397044476218</v>
      </c>
      <c r="I1524" s="100">
        <v>1618.0650469744933</v>
      </c>
      <c r="J1524" s="100">
        <v>1327.0083013514636</v>
      </c>
    </row>
    <row r="1525" spans="1:10" x14ac:dyDescent="0.25">
      <c r="A1525">
        <v>1508</v>
      </c>
      <c r="B1525" s="100">
        <v>89.331715474427824</v>
      </c>
      <c r="C1525" s="100">
        <v>97.683341352959488</v>
      </c>
      <c r="D1525" s="100">
        <v>92.694143049637489</v>
      </c>
      <c r="E1525" s="100">
        <v>92.335045852628596</v>
      </c>
      <c r="F1525" s="100">
        <v>732.35553809770977</v>
      </c>
      <c r="G1525" s="100">
        <v>789.82223050394396</v>
      </c>
      <c r="H1525" s="100">
        <v>243.87411169823281</v>
      </c>
      <c r="I1525" s="100">
        <v>1045.5938020726308</v>
      </c>
      <c r="J1525" s="100">
        <v>2811.6456823725175</v>
      </c>
    </row>
    <row r="1526" spans="1:10" x14ac:dyDescent="0.25">
      <c r="A1526">
        <v>1509</v>
      </c>
      <c r="B1526" s="100">
        <v>88.955871447752116</v>
      </c>
      <c r="C1526" s="100">
        <v>97.697548669444998</v>
      </c>
      <c r="D1526" s="100">
        <v>92.357512961938724</v>
      </c>
      <c r="E1526" s="100">
        <v>92.475382947197232</v>
      </c>
      <c r="F1526" s="100">
        <v>1972.6408261275451</v>
      </c>
      <c r="G1526" s="100">
        <v>768.51125577567814</v>
      </c>
      <c r="H1526" s="100">
        <v>917.13428709576306</v>
      </c>
      <c r="I1526" s="100">
        <v>905.25670750399456</v>
      </c>
      <c r="J1526" s="100">
        <v>4563.5430765029805</v>
      </c>
    </row>
    <row r="1527" spans="1:10" x14ac:dyDescent="0.25">
      <c r="A1527">
        <v>1510</v>
      </c>
      <c r="B1527" s="100">
        <v>89.587411567642846</v>
      </c>
      <c r="C1527" s="100">
        <v>98.029482074820166</v>
      </c>
      <c r="D1527" s="100">
        <v>94.665804727468014</v>
      </c>
      <c r="E1527" s="100">
        <v>92.764909144262475</v>
      </c>
      <c r="F1527" s="100">
        <v>-111.44156951186233</v>
      </c>
      <c r="G1527" s="100">
        <v>270.61114771292694</v>
      </c>
      <c r="H1527" s="100">
        <v>-3699.4492439628175</v>
      </c>
      <c r="I1527" s="100">
        <v>615.73051043875182</v>
      </c>
      <c r="J1527" s="100">
        <v>-2924.5491553230008</v>
      </c>
    </row>
    <row r="1528" spans="1:10" x14ac:dyDescent="0.25">
      <c r="A1528">
        <v>1511</v>
      </c>
      <c r="B1528" s="100">
        <v>89.643205655218466</v>
      </c>
      <c r="C1528" s="100">
        <v>100.2846305604192</v>
      </c>
      <c r="D1528" s="100">
        <v>93.28349997736585</v>
      </c>
      <c r="E1528" s="100">
        <v>95.941063172593573</v>
      </c>
      <c r="F1528" s="100">
        <v>-295.56205851140902</v>
      </c>
      <c r="G1528" s="100">
        <v>-3112.1115806856283</v>
      </c>
      <c r="H1528" s="100">
        <v>-934.83974375848788</v>
      </c>
      <c r="I1528" s="100">
        <v>-2560.4235178923459</v>
      </c>
      <c r="J1528" s="100">
        <v>-6902.9369008478716</v>
      </c>
    </row>
    <row r="1529" spans="1:10" x14ac:dyDescent="0.25">
      <c r="A1529">
        <v>1512</v>
      </c>
      <c r="B1529" s="100">
        <v>89.379223883537151</v>
      </c>
      <c r="C1529" s="100">
        <v>98.575770748900567</v>
      </c>
      <c r="D1529" s="100">
        <v>93.162368287783025</v>
      </c>
      <c r="E1529" s="100">
        <v>95.192892908767206</v>
      </c>
      <c r="F1529" s="100">
        <v>575.57778803693225</v>
      </c>
      <c r="G1529" s="100">
        <v>-548.82186340767453</v>
      </c>
      <c r="H1529" s="100">
        <v>-692.57636459283844</v>
      </c>
      <c r="I1529" s="100">
        <v>-1812.253254065979</v>
      </c>
      <c r="J1529" s="100">
        <v>-2478.0736940295596</v>
      </c>
    </row>
    <row r="1530" spans="1:10" x14ac:dyDescent="0.25">
      <c r="A1530">
        <v>1513</v>
      </c>
      <c r="B1530" s="100">
        <v>89.441494016328747</v>
      </c>
      <c r="C1530" s="100">
        <v>97.195422732566257</v>
      </c>
      <c r="D1530" s="100">
        <v>91.98183574580834</v>
      </c>
      <c r="E1530" s="100">
        <v>91.122490268687187</v>
      </c>
      <c r="F1530" s="100">
        <v>370.08634982466475</v>
      </c>
      <c r="G1530" s="100">
        <v>1521.70016109379</v>
      </c>
      <c r="H1530" s="100">
        <v>1668.4887193565316</v>
      </c>
      <c r="I1530" s="100">
        <v>2258.1493860140399</v>
      </c>
      <c r="J1530" s="100">
        <v>5818.4246162890267</v>
      </c>
    </row>
    <row r="1531" spans="1:10" x14ac:dyDescent="0.25">
      <c r="A1531">
        <v>1514</v>
      </c>
      <c r="B1531" s="100">
        <v>88.673373398578718</v>
      </c>
      <c r="C1531" s="100">
        <v>97.402490745440005</v>
      </c>
      <c r="D1531" s="100">
        <v>94.53165795457025</v>
      </c>
      <c r="E1531" s="100">
        <v>95.827785352069753</v>
      </c>
      <c r="F1531" s="100">
        <v>2904.8843883997592</v>
      </c>
      <c r="G1531" s="100">
        <v>1211.0981417831681</v>
      </c>
      <c r="H1531" s="100">
        <v>-3431.1556981672879</v>
      </c>
      <c r="I1531" s="100">
        <v>-2447.1456973685263</v>
      </c>
      <c r="J1531" s="100">
        <v>-1762.3188653528864</v>
      </c>
    </row>
    <row r="1532" spans="1:10" x14ac:dyDescent="0.25">
      <c r="A1532">
        <v>1515</v>
      </c>
      <c r="B1532" s="100">
        <v>89.79817724598287</v>
      </c>
      <c r="C1532" s="100">
        <v>99.093782813185584</v>
      </c>
      <c r="D1532" s="100">
        <v>92.867908039918376</v>
      </c>
      <c r="E1532" s="100">
        <v>94.110064254674967</v>
      </c>
      <c r="F1532" s="100">
        <v>-806.968308033943</v>
      </c>
      <c r="G1532" s="100">
        <v>-1325.8399598352</v>
      </c>
      <c r="H1532" s="100">
        <v>-103.65586886354095</v>
      </c>
      <c r="I1532" s="100">
        <v>-729.42459997373987</v>
      </c>
      <c r="J1532" s="100">
        <v>-2965.888736706424</v>
      </c>
    </row>
    <row r="1533" spans="1:10" x14ac:dyDescent="0.25">
      <c r="A1533">
        <v>1516</v>
      </c>
      <c r="B1533" s="100">
        <v>88.782894344887239</v>
      </c>
      <c r="C1533" s="100">
        <v>97.345731368939326</v>
      </c>
      <c r="D1533" s="100">
        <v>92.323064988356492</v>
      </c>
      <c r="E1533" s="100">
        <v>93.092808954540018</v>
      </c>
      <c r="F1533" s="100">
        <v>2543.4652655816394</v>
      </c>
      <c r="G1533" s="100">
        <v>1296.2372065341867</v>
      </c>
      <c r="H1533" s="100">
        <v>986.03023426022673</v>
      </c>
      <c r="I1533" s="100">
        <v>287.8307001612086</v>
      </c>
      <c r="J1533" s="100">
        <v>5113.5634065372615</v>
      </c>
    </row>
    <row r="1534" spans="1:10" x14ac:dyDescent="0.25">
      <c r="A1534">
        <v>1517</v>
      </c>
      <c r="B1534" s="100">
        <v>90.195349286851425</v>
      </c>
      <c r="C1534" s="100">
        <v>97.410474428272934</v>
      </c>
      <c r="D1534" s="100">
        <v>91.246300757921176</v>
      </c>
      <c r="E1534" s="100">
        <v>94.795051841894804</v>
      </c>
      <c r="F1534" s="100">
        <v>-2117.636042900172</v>
      </c>
      <c r="G1534" s="100">
        <v>1199.1226175337742</v>
      </c>
      <c r="H1534" s="100">
        <v>3139.5586951308587</v>
      </c>
      <c r="I1534" s="100">
        <v>-1414.4121871935768</v>
      </c>
      <c r="J1534" s="100">
        <v>806.6330825708842</v>
      </c>
    </row>
    <row r="1535" spans="1:10" x14ac:dyDescent="0.25">
      <c r="A1535">
        <v>1518</v>
      </c>
      <c r="B1535" s="100">
        <v>89.800786328773881</v>
      </c>
      <c r="C1535" s="100">
        <v>98.46616872679644</v>
      </c>
      <c r="D1535" s="100">
        <v>90.12561012476246</v>
      </c>
      <c r="E1535" s="100">
        <v>92.774495861529985</v>
      </c>
      <c r="F1535" s="100">
        <v>-815.57828124427942</v>
      </c>
      <c r="G1535" s="100">
        <v>-384.41883025148371</v>
      </c>
      <c r="H1535" s="100">
        <v>5380.9399614482918</v>
      </c>
      <c r="I1535" s="100">
        <v>606.1437931712419</v>
      </c>
      <c r="J1535" s="100">
        <v>4787.08664312377</v>
      </c>
    </row>
    <row r="1536" spans="1:10" x14ac:dyDescent="0.25">
      <c r="A1536">
        <v>1519</v>
      </c>
      <c r="B1536" s="100">
        <v>89.411771756431634</v>
      </c>
      <c r="C1536" s="100">
        <v>98.411914258150546</v>
      </c>
      <c r="D1536" s="100">
        <v>93.146811447317504</v>
      </c>
      <c r="E1536" s="100">
        <v>93.779013290834015</v>
      </c>
      <c r="F1536" s="100">
        <v>468.16980748513828</v>
      </c>
      <c r="G1536" s="100">
        <v>-303.03712728264287</v>
      </c>
      <c r="H1536" s="100">
        <v>-661.46268366179584</v>
      </c>
      <c r="I1536" s="100">
        <v>-398.37363613278853</v>
      </c>
      <c r="J1536" s="100">
        <v>-894.70363959208896</v>
      </c>
    </row>
    <row r="1537" spans="1:10" x14ac:dyDescent="0.25">
      <c r="A1537">
        <v>1520</v>
      </c>
      <c r="B1537" s="100">
        <v>89.309845984661422</v>
      </c>
      <c r="C1537" s="100">
        <v>98.401848503838565</v>
      </c>
      <c r="D1537" s="100">
        <v>92.071875729168568</v>
      </c>
      <c r="E1537" s="100">
        <v>89.977467016248212</v>
      </c>
      <c r="F1537" s="100">
        <v>804.52485432683716</v>
      </c>
      <c r="G1537" s="100">
        <v>-287.93849581467157</v>
      </c>
      <c r="H1537" s="100">
        <v>1488.4087526360759</v>
      </c>
      <c r="I1537" s="100">
        <v>3403.1726384530148</v>
      </c>
      <c r="J1537" s="100">
        <v>5408.1677496012562</v>
      </c>
    </row>
    <row r="1538" spans="1:10" x14ac:dyDescent="0.25">
      <c r="A1538">
        <v>1521</v>
      </c>
      <c r="B1538" s="100">
        <v>90.302239828759781</v>
      </c>
      <c r="C1538" s="100">
        <v>97.722606017554853</v>
      </c>
      <c r="D1538" s="100">
        <v>91.349785218957294</v>
      </c>
      <c r="E1538" s="100">
        <v>93.301159121733022</v>
      </c>
      <c r="F1538" s="100">
        <v>-2470.3748311977479</v>
      </c>
      <c r="G1538" s="100">
        <v>730.92523361089684</v>
      </c>
      <c r="H1538" s="100">
        <v>2932.5897730586235</v>
      </c>
      <c r="I1538" s="100">
        <v>79.480532968204898</v>
      </c>
      <c r="J1538" s="100">
        <v>1272.6207084399773</v>
      </c>
    </row>
    <row r="1539" spans="1:10" x14ac:dyDescent="0.25">
      <c r="A1539">
        <v>1522</v>
      </c>
      <c r="B1539" s="100">
        <v>89.761121811513789</v>
      </c>
      <c r="C1539" s="100">
        <v>96.870452279271305</v>
      </c>
      <c r="D1539" s="100">
        <v>92.185179771465357</v>
      </c>
      <c r="E1539" s="100">
        <v>92.956658797936583</v>
      </c>
      <c r="F1539" s="100">
        <v>-684.68537428597358</v>
      </c>
      <c r="G1539" s="100">
        <v>2009.1558410362181</v>
      </c>
      <c r="H1539" s="100">
        <v>1261.8006680424969</v>
      </c>
      <c r="I1539" s="100">
        <v>423.98085676464348</v>
      </c>
      <c r="J1539" s="100">
        <v>3010.2519915573848</v>
      </c>
    </row>
    <row r="1540" spans="1:10" x14ac:dyDescent="0.25">
      <c r="A1540">
        <v>1523</v>
      </c>
      <c r="B1540" s="100">
        <v>90.630378609236203</v>
      </c>
      <c r="C1540" s="100">
        <v>98.398368934740347</v>
      </c>
      <c r="D1540" s="100">
        <v>93.606884318264775</v>
      </c>
      <c r="E1540" s="100">
        <v>95.009071921994703</v>
      </c>
      <c r="F1540" s="100">
        <v>-3553.2328067699409</v>
      </c>
      <c r="G1540" s="100">
        <v>-282.71914216734473</v>
      </c>
      <c r="H1540" s="100">
        <v>-1581.6084255563396</v>
      </c>
      <c r="I1540" s="100">
        <v>-1628.4322672934763</v>
      </c>
      <c r="J1540" s="100">
        <v>-7045.9926417871011</v>
      </c>
    </row>
    <row r="1541" spans="1:10" x14ac:dyDescent="0.25">
      <c r="A1541">
        <v>1524</v>
      </c>
      <c r="B1541" s="100">
        <v>90.69924960933011</v>
      </c>
      <c r="C1541" s="100">
        <v>98.159283279184095</v>
      </c>
      <c r="D1541" s="100">
        <v>92.988695897752038</v>
      </c>
      <c r="E1541" s="100">
        <v>93.364631908257408</v>
      </c>
      <c r="F1541" s="100">
        <v>-3780.5071070798335</v>
      </c>
      <c r="G1541" s="100">
        <v>75.909341167033517</v>
      </c>
      <c r="H1541" s="100">
        <v>-345.23158453086467</v>
      </c>
      <c r="I1541" s="100">
        <v>16.00774644381886</v>
      </c>
      <c r="J1541" s="100">
        <v>-4033.821603999846</v>
      </c>
    </row>
    <row r="1542" spans="1:10" x14ac:dyDescent="0.25">
      <c r="A1542">
        <v>1525</v>
      </c>
      <c r="B1542" s="100">
        <v>89.177423442699947</v>
      </c>
      <c r="C1542" s="100">
        <v>99.601708983113028</v>
      </c>
      <c r="D1542" s="100">
        <v>92.596728842143207</v>
      </c>
      <c r="E1542" s="100">
        <v>94.555009223564468</v>
      </c>
      <c r="F1542" s="100">
        <v>1241.5192427997042</v>
      </c>
      <c r="G1542" s="100">
        <v>-2087.7292147263661</v>
      </c>
      <c r="H1542" s="100">
        <v>438.70252668679655</v>
      </c>
      <c r="I1542" s="100">
        <v>-1174.3695688632415</v>
      </c>
      <c r="J1542" s="100">
        <v>-1581.8770141031068</v>
      </c>
    </row>
    <row r="1543" spans="1:10" x14ac:dyDescent="0.25">
      <c r="A1543">
        <v>1526</v>
      </c>
      <c r="B1543" s="100">
        <v>88.971449912977164</v>
      </c>
      <c r="C1543" s="100">
        <v>97.34781639880724</v>
      </c>
      <c r="D1543" s="100">
        <v>91.286603808757604</v>
      </c>
      <c r="E1543" s="100">
        <v>95.103559113204568</v>
      </c>
      <c r="F1543" s="100">
        <v>1921.2318908848886</v>
      </c>
      <c r="G1543" s="100">
        <v>1293.1096617323165</v>
      </c>
      <c r="H1543" s="100">
        <v>3058.9525934580024</v>
      </c>
      <c r="I1543" s="100">
        <v>-1722.919458503341</v>
      </c>
      <c r="J1543" s="100">
        <v>4550.3746875718662</v>
      </c>
    </row>
    <row r="1544" spans="1:10" x14ac:dyDescent="0.25">
      <c r="A1544">
        <v>1527</v>
      </c>
      <c r="B1544" s="100">
        <v>89.347224349012379</v>
      </c>
      <c r="C1544" s="100">
        <v>98.582379158285889</v>
      </c>
      <c r="D1544" s="100">
        <v>92.101385101760883</v>
      </c>
      <c r="E1544" s="100">
        <v>95.949196895616353</v>
      </c>
      <c r="F1544" s="100">
        <v>681.17625196867948</v>
      </c>
      <c r="G1544" s="100">
        <v>-558.73447748565752</v>
      </c>
      <c r="H1544" s="100">
        <v>1429.3900074514454</v>
      </c>
      <c r="I1544" s="100">
        <v>-2568.5572409151264</v>
      </c>
      <c r="J1544" s="100">
        <v>-1016.7254589806589</v>
      </c>
    </row>
    <row r="1545" spans="1:10" x14ac:dyDescent="0.25">
      <c r="A1545">
        <v>1528</v>
      </c>
      <c r="B1545" s="100">
        <v>89.409937016843216</v>
      </c>
      <c r="C1545" s="100">
        <v>98.573137461181346</v>
      </c>
      <c r="D1545" s="100">
        <v>92.937412658065838</v>
      </c>
      <c r="E1545" s="100">
        <v>95.249106715574442</v>
      </c>
      <c r="F1545" s="100">
        <v>474.2244481269168</v>
      </c>
      <c r="G1545" s="100">
        <v>-544.87193182884403</v>
      </c>
      <c r="H1545" s="100">
        <v>-242.66510515846562</v>
      </c>
      <c r="I1545" s="100">
        <v>-1868.4670608732149</v>
      </c>
      <c r="J1545" s="100">
        <v>-2181.7796497336076</v>
      </c>
    </row>
    <row r="1546" spans="1:10" x14ac:dyDescent="0.25">
      <c r="A1546">
        <v>1529</v>
      </c>
      <c r="B1546" s="100">
        <v>89.597822036407109</v>
      </c>
      <c r="C1546" s="100">
        <v>98.774077057206668</v>
      </c>
      <c r="D1546" s="100">
        <v>92.905542088207952</v>
      </c>
      <c r="E1546" s="100">
        <v>96.249594350324216</v>
      </c>
      <c r="F1546" s="100">
        <v>-145.79611643393093</v>
      </c>
      <c r="G1546" s="100">
        <v>-846.28132586682625</v>
      </c>
      <c r="H1546" s="100">
        <v>-178.92396544269218</v>
      </c>
      <c r="I1546" s="100">
        <v>-2868.9546956229888</v>
      </c>
      <c r="J1546" s="100">
        <v>-4039.9561033664381</v>
      </c>
    </row>
    <row r="1547" spans="1:10" x14ac:dyDescent="0.25">
      <c r="A1547">
        <v>1530</v>
      </c>
      <c r="B1547" s="100">
        <v>89.648871177214446</v>
      </c>
      <c r="C1547" s="100">
        <v>98.191711165547318</v>
      </c>
      <c r="D1547" s="100">
        <v>94.064841474777509</v>
      </c>
      <c r="E1547" s="100">
        <v>94.355044602878777</v>
      </c>
      <c r="F1547" s="100">
        <v>-314.25828109814091</v>
      </c>
      <c r="G1547" s="100">
        <v>27.267511622198981</v>
      </c>
      <c r="H1547" s="100">
        <v>-2497.5227385818071</v>
      </c>
      <c r="I1547" s="100">
        <v>-974.40494817755052</v>
      </c>
      <c r="J1547" s="100">
        <v>-3758.9184562352993</v>
      </c>
    </row>
    <row r="1548" spans="1:10" x14ac:dyDescent="0.25">
      <c r="A1548">
        <v>1531</v>
      </c>
      <c r="B1548" s="100">
        <v>89.716180427678822</v>
      </c>
      <c r="C1548" s="100">
        <v>98.133064845509907</v>
      </c>
      <c r="D1548" s="100">
        <v>92.027107290515858</v>
      </c>
      <c r="E1548" s="100">
        <v>95.315319896193472</v>
      </c>
      <c r="F1548" s="100">
        <v>-536.37880763058229</v>
      </c>
      <c r="G1548" s="100">
        <v>115.2369916783158</v>
      </c>
      <c r="H1548" s="100">
        <v>1577.945629941496</v>
      </c>
      <c r="I1548" s="100">
        <v>-1934.6802414922449</v>
      </c>
      <c r="J1548" s="100">
        <v>-777.87642750301529</v>
      </c>
    </row>
    <row r="1549" spans="1:10" x14ac:dyDescent="0.25">
      <c r="A1549">
        <v>1532</v>
      </c>
      <c r="B1549" s="100">
        <v>89.953050232376668</v>
      </c>
      <c r="C1549" s="100">
        <v>98.627464178921059</v>
      </c>
      <c r="D1549" s="100">
        <v>93.050492662749761</v>
      </c>
      <c r="E1549" s="100">
        <v>94.735141957312976</v>
      </c>
      <c r="F1549" s="100">
        <v>-1318.049163133476</v>
      </c>
      <c r="G1549" s="100">
        <v>-626.36200843841289</v>
      </c>
      <c r="H1549" s="100">
        <v>-468.82511452631093</v>
      </c>
      <c r="I1549" s="100">
        <v>-1354.5023026117492</v>
      </c>
      <c r="J1549" s="100">
        <v>-3767.738588709949</v>
      </c>
    </row>
    <row r="1550" spans="1:10" x14ac:dyDescent="0.25">
      <c r="A1550">
        <v>1533</v>
      </c>
      <c r="B1550" s="100">
        <v>89.132638222080843</v>
      </c>
      <c r="C1550" s="100">
        <v>98.546229075819241</v>
      </c>
      <c r="D1550" s="100">
        <v>92.068840839157232</v>
      </c>
      <c r="E1550" s="100">
        <v>93.143159158917811</v>
      </c>
      <c r="F1550" s="100">
        <v>1389.3104708427486</v>
      </c>
      <c r="G1550" s="100">
        <v>-504.50935378568573</v>
      </c>
      <c r="H1550" s="100">
        <v>1494.4785326587464</v>
      </c>
      <c r="I1550" s="100">
        <v>237.48049578341579</v>
      </c>
      <c r="J1550" s="100">
        <v>2616.760145499225</v>
      </c>
    </row>
    <row r="1551" spans="1:10" x14ac:dyDescent="0.25">
      <c r="A1551">
        <v>1534</v>
      </c>
      <c r="B1551" s="100">
        <v>90.258869561494606</v>
      </c>
      <c r="C1551" s="100">
        <v>97.462976020358894</v>
      </c>
      <c r="D1551" s="100">
        <v>91.386949935227051</v>
      </c>
      <c r="E1551" s="100">
        <v>94.776928520793533</v>
      </c>
      <c r="F1551" s="100">
        <v>-2327.2529492226708</v>
      </c>
      <c r="G1551" s="100">
        <v>1120.3702294048342</v>
      </c>
      <c r="H1551" s="100">
        <v>2858.2603405191094</v>
      </c>
      <c r="I1551" s="100">
        <v>-1396.2888660923056</v>
      </c>
      <c r="J1551" s="100">
        <v>255.08875460896706</v>
      </c>
    </row>
    <row r="1552" spans="1:10" x14ac:dyDescent="0.25">
      <c r="A1552">
        <v>1535</v>
      </c>
      <c r="B1552" s="100">
        <v>90.266340605268581</v>
      </c>
      <c r="C1552" s="100">
        <v>98.846659819684561</v>
      </c>
      <c r="D1552" s="100">
        <v>93.095420954608869</v>
      </c>
      <c r="E1552" s="100">
        <v>92.580918332209762</v>
      </c>
      <c r="F1552" s="100">
        <v>-2351.9073936767895</v>
      </c>
      <c r="G1552" s="100">
        <v>-955.15546958366576</v>
      </c>
      <c r="H1552" s="100">
        <v>-558.68169824452707</v>
      </c>
      <c r="I1552" s="100">
        <v>799.72132249146455</v>
      </c>
      <c r="J1552" s="100">
        <v>-3066.0232390135179</v>
      </c>
    </row>
    <row r="1553" spans="1:10" x14ac:dyDescent="0.25">
      <c r="A1553">
        <v>1536</v>
      </c>
      <c r="B1553" s="100">
        <v>89.594921133527819</v>
      </c>
      <c r="C1553" s="100">
        <v>97.57556805610065</v>
      </c>
      <c r="D1553" s="100">
        <v>92.411324647003269</v>
      </c>
      <c r="E1553" s="100">
        <v>94.580201348690778</v>
      </c>
      <c r="F1553" s="100">
        <v>-136.22313693227426</v>
      </c>
      <c r="G1553" s="100">
        <v>951.48217579220068</v>
      </c>
      <c r="H1553" s="100">
        <v>809.51091696667277</v>
      </c>
      <c r="I1553" s="100">
        <v>-1199.5616939895513</v>
      </c>
      <c r="J1553" s="100">
        <v>425.20826183704798</v>
      </c>
    </row>
    <row r="1554" spans="1:10" x14ac:dyDescent="0.25">
      <c r="A1554">
        <v>1537</v>
      </c>
      <c r="B1554" s="100">
        <v>89.283797977848153</v>
      </c>
      <c r="C1554" s="100">
        <v>98.49503673850127</v>
      </c>
      <c r="D1554" s="100">
        <v>92.083254670062487</v>
      </c>
      <c r="E1554" s="100">
        <v>91.823346420748592</v>
      </c>
      <c r="F1554" s="100">
        <v>890.48327681062597</v>
      </c>
      <c r="G1554" s="100">
        <v>-427.72084780872888</v>
      </c>
      <c r="H1554" s="100">
        <v>1465.6508708482363</v>
      </c>
      <c r="I1554" s="100">
        <v>1557.2932339526346</v>
      </c>
      <c r="J1554" s="100">
        <v>3485.7065338027678</v>
      </c>
    </row>
    <row r="1555" spans="1:10" x14ac:dyDescent="0.25">
      <c r="A1555">
        <v>1538</v>
      </c>
      <c r="B1555" s="100">
        <v>89.051915111229178</v>
      </c>
      <c r="C1555" s="100">
        <v>98.457403647011617</v>
      </c>
      <c r="D1555" s="100">
        <v>92.728843247366996</v>
      </c>
      <c r="E1555" s="100">
        <v>92.105435280879291</v>
      </c>
      <c r="F1555" s="100">
        <v>1655.6967366532419</v>
      </c>
      <c r="G1555" s="100">
        <v>-371.27121057424972</v>
      </c>
      <c r="H1555" s="100">
        <v>174.47371623921981</v>
      </c>
      <c r="I1555" s="100">
        <v>1275.2043738219356</v>
      </c>
      <c r="J1555" s="100">
        <v>2734.103616140148</v>
      </c>
    </row>
    <row r="1556" spans="1:10" x14ac:dyDescent="0.25">
      <c r="A1556">
        <v>1539</v>
      </c>
      <c r="B1556" s="100">
        <v>89.121554124541575</v>
      </c>
      <c r="C1556" s="100">
        <v>98.46325298621403</v>
      </c>
      <c r="D1556" s="100">
        <v>92.385420582640606</v>
      </c>
      <c r="E1556" s="100">
        <v>92.447904769892787</v>
      </c>
      <c r="F1556" s="100">
        <v>1425.887992722332</v>
      </c>
      <c r="G1556" s="100">
        <v>-380.04521937786961</v>
      </c>
      <c r="H1556" s="100">
        <v>861.31904569199946</v>
      </c>
      <c r="I1556" s="100">
        <v>932.7348848084398</v>
      </c>
      <c r="J1556" s="100">
        <v>2839.8967038449018</v>
      </c>
    </row>
    <row r="1557" spans="1:10" x14ac:dyDescent="0.25">
      <c r="A1557">
        <v>1540</v>
      </c>
      <c r="B1557" s="100">
        <v>88.909304431415819</v>
      </c>
      <c r="C1557" s="100">
        <v>98.699729310976252</v>
      </c>
      <c r="D1557" s="100">
        <v>92.487257257635704</v>
      </c>
      <c r="E1557" s="100">
        <v>93.217233113690398</v>
      </c>
      <c r="F1557" s="100">
        <v>2126.3119800373261</v>
      </c>
      <c r="G1557" s="100">
        <v>-734.75970652120282</v>
      </c>
      <c r="H1557" s="100">
        <v>657.64569570180242</v>
      </c>
      <c r="I1557" s="100">
        <v>163.40654101082919</v>
      </c>
      <c r="J1557" s="100">
        <v>2212.6045102287549</v>
      </c>
    </row>
    <row r="1558" spans="1:10" x14ac:dyDescent="0.25">
      <c r="A1558">
        <v>1541</v>
      </c>
      <c r="B1558" s="100">
        <v>89.690550663613678</v>
      </c>
      <c r="C1558" s="100">
        <v>97.348314524948293</v>
      </c>
      <c r="D1558" s="100">
        <v>92.987490163745875</v>
      </c>
      <c r="E1558" s="100">
        <v>97.476823318594555</v>
      </c>
      <c r="F1558" s="100">
        <v>-451.80058621560732</v>
      </c>
      <c r="G1558" s="100">
        <v>1292.362472520736</v>
      </c>
      <c r="H1558" s="100">
        <v>-342.8201165185385</v>
      </c>
      <c r="I1558" s="100">
        <v>-4096.1836638933273</v>
      </c>
      <c r="J1558" s="100">
        <v>-3598.441894106737</v>
      </c>
    </row>
    <row r="1559" spans="1:10" x14ac:dyDescent="0.25">
      <c r="A1559">
        <v>1542</v>
      </c>
      <c r="B1559" s="100">
        <v>90.131891552305731</v>
      </c>
      <c r="C1559" s="100">
        <v>97.41170649032729</v>
      </c>
      <c r="D1559" s="100">
        <v>91.856297983200648</v>
      </c>
      <c r="E1559" s="100">
        <v>90.606974140916392</v>
      </c>
      <c r="F1559" s="100">
        <v>-1908.225518899384</v>
      </c>
      <c r="G1559" s="100">
        <v>1197.27452445224</v>
      </c>
      <c r="H1559" s="100">
        <v>1919.5642445719159</v>
      </c>
      <c r="I1559" s="100">
        <v>2773.6655137848347</v>
      </c>
      <c r="J1559" s="100">
        <v>3982.2787639096068</v>
      </c>
    </row>
    <row r="1560" spans="1:10" x14ac:dyDescent="0.25">
      <c r="A1560">
        <v>1543</v>
      </c>
      <c r="B1560" s="100">
        <v>90.17215676971756</v>
      </c>
      <c r="C1560" s="100">
        <v>97.085293897275307</v>
      </c>
      <c r="D1560" s="100">
        <v>91.965091463439052</v>
      </c>
      <c r="E1560" s="100">
        <v>95.512439704552122</v>
      </c>
      <c r="F1560" s="100">
        <v>-2041.100736358419</v>
      </c>
      <c r="G1560" s="100">
        <v>1686.8934140302158</v>
      </c>
      <c r="H1560" s="100">
        <v>1701.9772840951077</v>
      </c>
      <c r="I1560" s="100">
        <v>-2131.800049850895</v>
      </c>
      <c r="J1560" s="100">
        <v>-784.03008808399045</v>
      </c>
    </row>
    <row r="1561" spans="1:10" x14ac:dyDescent="0.25">
      <c r="A1561">
        <v>1544</v>
      </c>
      <c r="B1561" s="100">
        <v>89.532250490395569</v>
      </c>
      <c r="C1561" s="100">
        <v>98.681128573636073</v>
      </c>
      <c r="D1561" s="100">
        <v>92.999463917845162</v>
      </c>
      <c r="E1561" s="100">
        <v>92.648889927893904</v>
      </c>
      <c r="F1561" s="100">
        <v>70.589985404151889</v>
      </c>
      <c r="G1561" s="100">
        <v>-706.85860051093391</v>
      </c>
      <c r="H1561" s="100">
        <v>-366.76762471711299</v>
      </c>
      <c r="I1561" s="100">
        <v>731.74972680732253</v>
      </c>
      <c r="J1561" s="100">
        <v>-271.28651301657248</v>
      </c>
    </row>
    <row r="1562" spans="1:10" x14ac:dyDescent="0.25">
      <c r="A1562">
        <v>1545</v>
      </c>
      <c r="B1562" s="100">
        <v>88.988515819463103</v>
      </c>
      <c r="C1562" s="100">
        <v>97.861444590656973</v>
      </c>
      <c r="D1562" s="100">
        <v>94.333616230905307</v>
      </c>
      <c r="E1562" s="100">
        <v>93.13176947309654</v>
      </c>
      <c r="F1562" s="100">
        <v>1864.9143994812889</v>
      </c>
      <c r="G1562" s="100">
        <v>522.66737395771656</v>
      </c>
      <c r="H1562" s="100">
        <v>-3035.072250837402</v>
      </c>
      <c r="I1562" s="100">
        <v>248.87018160468699</v>
      </c>
      <c r="J1562" s="100">
        <v>-398.62029579370926</v>
      </c>
    </row>
    <row r="1563" spans="1:10" x14ac:dyDescent="0.25">
      <c r="A1563">
        <v>1546</v>
      </c>
      <c r="B1563" s="100">
        <v>90.293098724001851</v>
      </c>
      <c r="C1563" s="100">
        <v>98.26343372247085</v>
      </c>
      <c r="D1563" s="100">
        <v>91.786398349957736</v>
      </c>
      <c r="E1563" s="100">
        <v>93.407000673186189</v>
      </c>
      <c r="F1563" s="100">
        <v>-2440.2091854965788</v>
      </c>
      <c r="G1563" s="100">
        <v>-80.316323763099717</v>
      </c>
      <c r="H1563" s="100">
        <v>2059.3635110577397</v>
      </c>
      <c r="I1563" s="100">
        <v>-26.361018484962528</v>
      </c>
      <c r="J1563" s="100">
        <v>-487.52301668690131</v>
      </c>
    </row>
    <row r="1564" spans="1:10" x14ac:dyDescent="0.25">
      <c r="A1564">
        <v>1547</v>
      </c>
      <c r="B1564" s="100">
        <v>89.740532093577485</v>
      </c>
      <c r="C1564" s="100">
        <v>97.994721558567505</v>
      </c>
      <c r="D1564" s="100">
        <v>94.856495362759219</v>
      </c>
      <c r="E1564" s="100">
        <v>95.575739507901659</v>
      </c>
      <c r="F1564" s="100">
        <v>-616.73930509617207</v>
      </c>
      <c r="G1564" s="100">
        <v>322.75192209191772</v>
      </c>
      <c r="H1564" s="100">
        <v>-4080.8305145452268</v>
      </c>
      <c r="I1564" s="100">
        <v>-2195.0998532004319</v>
      </c>
      <c r="J1564" s="100">
        <v>-6569.9177507499135</v>
      </c>
    </row>
    <row r="1565" spans="1:10" x14ac:dyDescent="0.25">
      <c r="A1565">
        <v>1548</v>
      </c>
      <c r="B1565" s="100">
        <v>89.860443824570012</v>
      </c>
      <c r="C1565" s="100">
        <v>98.193009859806395</v>
      </c>
      <c r="D1565" s="100">
        <v>93.212468869371023</v>
      </c>
      <c r="E1565" s="100">
        <v>93.771893340406749</v>
      </c>
      <c r="F1565" s="100">
        <v>-1012.4480173715114</v>
      </c>
      <c r="G1565" s="100">
        <v>25.319470233583274</v>
      </c>
      <c r="H1565" s="100">
        <v>-792.77752776883403</v>
      </c>
      <c r="I1565" s="100">
        <v>-391.25368570552155</v>
      </c>
      <c r="J1565" s="100">
        <v>-2171.1597606122837</v>
      </c>
    </row>
    <row r="1566" spans="1:10" x14ac:dyDescent="0.25">
      <c r="A1566">
        <v>1549</v>
      </c>
      <c r="B1566" s="100">
        <v>89.982645739437103</v>
      </c>
      <c r="C1566" s="100">
        <v>98.751675704733245</v>
      </c>
      <c r="D1566" s="100">
        <v>94.264706003888136</v>
      </c>
      <c r="E1566" s="100">
        <v>93.194760642679839</v>
      </c>
      <c r="F1566" s="100">
        <v>-1415.7143364329115</v>
      </c>
      <c r="G1566" s="100">
        <v>-812.6792971566914</v>
      </c>
      <c r="H1566" s="100">
        <v>-2897.2517968030616</v>
      </c>
      <c r="I1566" s="100">
        <v>185.87901202138823</v>
      </c>
      <c r="J1566" s="100">
        <v>-4939.7664183712759</v>
      </c>
    </row>
    <row r="1567" spans="1:10" x14ac:dyDescent="0.25">
      <c r="A1567">
        <v>1550</v>
      </c>
      <c r="B1567" s="100">
        <v>89.528855787424618</v>
      </c>
      <c r="C1567" s="100">
        <v>97.272925156225412</v>
      </c>
      <c r="D1567" s="100">
        <v>91.79783091916218</v>
      </c>
      <c r="E1567" s="100">
        <v>92.031681245278065</v>
      </c>
      <c r="F1567" s="100">
        <v>81.792505208289867</v>
      </c>
      <c r="G1567" s="100">
        <v>1405.4465256050576</v>
      </c>
      <c r="H1567" s="100">
        <v>2036.4983726488504</v>
      </c>
      <c r="I1567" s="100">
        <v>1348.9584094231618</v>
      </c>
      <c r="J1567" s="100">
        <v>4872.6958128853603</v>
      </c>
    </row>
    <row r="1568" spans="1:10" x14ac:dyDescent="0.25">
      <c r="A1568">
        <v>1551</v>
      </c>
      <c r="B1568" s="100">
        <v>89.863426401167615</v>
      </c>
      <c r="C1568" s="100">
        <v>96.469666614180255</v>
      </c>
      <c r="D1568" s="100">
        <v>94.728880951236434</v>
      </c>
      <c r="E1568" s="100">
        <v>94.582561713330335</v>
      </c>
      <c r="F1568" s="100">
        <v>-1022.2905201436006</v>
      </c>
      <c r="G1568" s="100">
        <v>2610.3343386727929</v>
      </c>
      <c r="H1568" s="100">
        <v>-3825.6016914996562</v>
      </c>
      <c r="I1568" s="100">
        <v>-1201.9220586291085</v>
      </c>
      <c r="J1568" s="100">
        <v>-3439.4799315995724</v>
      </c>
    </row>
    <row r="1569" spans="1:10" x14ac:dyDescent="0.25">
      <c r="A1569">
        <v>1552</v>
      </c>
      <c r="B1569" s="100">
        <v>89.13432427270709</v>
      </c>
      <c r="C1569" s="100">
        <v>97.727301232662782</v>
      </c>
      <c r="D1569" s="100">
        <v>92.931884449554332</v>
      </c>
      <c r="E1569" s="100">
        <v>93.993308882614471</v>
      </c>
      <c r="F1569" s="100">
        <v>1383.7465037761319</v>
      </c>
      <c r="G1569" s="100">
        <v>723.88241094900252</v>
      </c>
      <c r="H1569" s="100">
        <v>-231.60868813545221</v>
      </c>
      <c r="I1569" s="100">
        <v>-612.66922791324419</v>
      </c>
      <c r="J1569" s="100">
        <v>1263.3509986764382</v>
      </c>
    </row>
    <row r="1570" spans="1:10" x14ac:dyDescent="0.25">
      <c r="A1570">
        <v>1553</v>
      </c>
      <c r="B1570" s="100">
        <v>90.018207287198862</v>
      </c>
      <c r="C1570" s="100">
        <v>98.933012957451453</v>
      </c>
      <c r="D1570" s="100">
        <v>92.675117751104352</v>
      </c>
      <c r="E1570" s="100">
        <v>94.4019340893379</v>
      </c>
      <c r="F1570" s="100">
        <v>-1533.0674440467164</v>
      </c>
      <c r="G1570" s="100">
        <v>-1084.6851762340038</v>
      </c>
      <c r="H1570" s="100">
        <v>281.9247087645067</v>
      </c>
      <c r="I1570" s="100">
        <v>-1021.2944346366726</v>
      </c>
      <c r="J1570" s="100">
        <v>-3357.1223461528862</v>
      </c>
    </row>
    <row r="1571" spans="1:10" x14ac:dyDescent="0.25">
      <c r="A1571">
        <v>1554</v>
      </c>
      <c r="B1571" s="100">
        <v>89.263010923509924</v>
      </c>
      <c r="C1571" s="100">
        <v>96.560759306588764</v>
      </c>
      <c r="D1571" s="100">
        <v>90.84751419670998</v>
      </c>
      <c r="E1571" s="100">
        <v>93.807899809064565</v>
      </c>
      <c r="F1571" s="100">
        <v>959.08055612678004</v>
      </c>
      <c r="G1571" s="100">
        <v>2473.6953000600297</v>
      </c>
      <c r="H1571" s="100">
        <v>3937.1318175532506</v>
      </c>
      <c r="I1571" s="100">
        <v>-427.26015436333853</v>
      </c>
      <c r="J1571" s="100">
        <v>6942.6475193767219</v>
      </c>
    </row>
    <row r="1572" spans="1:10" x14ac:dyDescent="0.25">
      <c r="A1572">
        <v>1555</v>
      </c>
      <c r="B1572" s="100">
        <v>89.71151144147035</v>
      </c>
      <c r="C1572" s="100">
        <v>99.018364593847451</v>
      </c>
      <c r="D1572" s="100">
        <v>92.420326496686997</v>
      </c>
      <c r="E1572" s="100">
        <v>92.473607946576692</v>
      </c>
      <c r="F1572" s="100">
        <v>-520.9711531426251</v>
      </c>
      <c r="G1572" s="100">
        <v>-1212.7126308280012</v>
      </c>
      <c r="H1572" s="100">
        <v>791.50721759921794</v>
      </c>
      <c r="I1572" s="100">
        <v>907.03170812453493</v>
      </c>
      <c r="J1572" s="100">
        <v>-35.144858246873468</v>
      </c>
    </row>
    <row r="1573" spans="1:10" x14ac:dyDescent="0.25">
      <c r="A1573">
        <v>1556</v>
      </c>
      <c r="B1573" s="100">
        <v>89.061118309517198</v>
      </c>
      <c r="C1573" s="100">
        <v>98.497506370756213</v>
      </c>
      <c r="D1573" s="100">
        <v>90.013234460867764</v>
      </c>
      <c r="E1573" s="100">
        <v>96.106938564755438</v>
      </c>
      <c r="F1573" s="100">
        <v>1625.3261823027756</v>
      </c>
      <c r="G1573" s="100">
        <v>-431.42529619114356</v>
      </c>
      <c r="H1573" s="100">
        <v>5605.6912892376831</v>
      </c>
      <c r="I1573" s="100">
        <v>-2726.2989100542113</v>
      </c>
      <c r="J1573" s="100">
        <v>4073.2932652951035</v>
      </c>
    </row>
    <row r="1574" spans="1:10" x14ac:dyDescent="0.25">
      <c r="A1574">
        <v>1557</v>
      </c>
      <c r="B1574" s="100">
        <v>88.518415224868519</v>
      </c>
      <c r="C1574" s="100">
        <v>97.914099711267681</v>
      </c>
      <c r="D1574" s="100">
        <v>93.85591265128069</v>
      </c>
      <c r="E1574" s="100">
        <v>96.415805574837151</v>
      </c>
      <c r="F1574" s="100">
        <v>3416.2463616434152</v>
      </c>
      <c r="G1574" s="100">
        <v>443.68469304165359</v>
      </c>
      <c r="H1574" s="100">
        <v>-2079.6650915881683</v>
      </c>
      <c r="I1574" s="100">
        <v>-3035.1659201359239</v>
      </c>
      <c r="J1574" s="100">
        <v>-1254.8999570390233</v>
      </c>
    </row>
    <row r="1575" spans="1:10" x14ac:dyDescent="0.25">
      <c r="A1575">
        <v>1558</v>
      </c>
      <c r="B1575" s="100">
        <v>89.949994896451116</v>
      </c>
      <c r="C1575" s="100">
        <v>98.046299619871149</v>
      </c>
      <c r="D1575" s="100">
        <v>92.662593952354001</v>
      </c>
      <c r="E1575" s="100">
        <v>93.528152408136364</v>
      </c>
      <c r="F1575" s="100">
        <v>-1307.9665545791543</v>
      </c>
      <c r="G1575" s="100">
        <v>245.38483013645163</v>
      </c>
      <c r="H1575" s="100">
        <v>306.97230626520877</v>
      </c>
      <c r="I1575" s="100">
        <v>-147.51275343513726</v>
      </c>
      <c r="J1575" s="100">
        <v>-903.12217161263106</v>
      </c>
    </row>
    <row r="1576" spans="1:10" x14ac:dyDescent="0.25">
      <c r="A1576">
        <v>1559</v>
      </c>
      <c r="B1576" s="100">
        <v>89.324996918501554</v>
      </c>
      <c r="C1576" s="100">
        <v>98.253850999152164</v>
      </c>
      <c r="D1576" s="100">
        <v>95.230169075938903</v>
      </c>
      <c r="E1576" s="100">
        <v>95.350986923397897</v>
      </c>
      <c r="F1576" s="100">
        <v>754.52677265439979</v>
      </c>
      <c r="G1576" s="100">
        <v>-65.942238785069662</v>
      </c>
      <c r="H1576" s="100">
        <v>-4828.1779409045957</v>
      </c>
      <c r="I1576" s="100">
        <v>-1970.3472686966707</v>
      </c>
      <c r="J1576" s="100">
        <v>-6109.9406757319366</v>
      </c>
    </row>
    <row r="1577" spans="1:10" x14ac:dyDescent="0.25">
      <c r="A1577">
        <v>1560</v>
      </c>
      <c r="B1577" s="100">
        <v>89.433199300752037</v>
      </c>
      <c r="C1577" s="100">
        <v>98.280296240434751</v>
      </c>
      <c r="D1577" s="100">
        <v>91.013503658173335</v>
      </c>
      <c r="E1577" s="100">
        <v>94.520780296729015</v>
      </c>
      <c r="F1577" s="100">
        <v>397.45891122780819</v>
      </c>
      <c r="G1577" s="100">
        <v>-105.61010070895094</v>
      </c>
      <c r="H1577" s="100">
        <v>3605.1528946265421</v>
      </c>
      <c r="I1577" s="100">
        <v>-1140.1406420277881</v>
      </c>
      <c r="J1577" s="100">
        <v>2756.8610631176111</v>
      </c>
    </row>
    <row r="1578" spans="1:10" x14ac:dyDescent="0.25">
      <c r="A1578">
        <v>1561</v>
      </c>
      <c r="B1578" s="100">
        <v>89.016826561839594</v>
      </c>
      <c r="C1578" s="100">
        <v>98.100988274018889</v>
      </c>
      <c r="D1578" s="100">
        <v>92.645677222613443</v>
      </c>
      <c r="E1578" s="100">
        <v>91.36686784759992</v>
      </c>
      <c r="F1578" s="100">
        <v>1771.4889496388707</v>
      </c>
      <c r="G1578" s="100">
        <v>163.35184891484289</v>
      </c>
      <c r="H1578" s="100">
        <v>340.8057657463246</v>
      </c>
      <c r="I1578" s="100">
        <v>2013.7718071013069</v>
      </c>
      <c r="J1578" s="100">
        <v>4289.4183714013452</v>
      </c>
    </row>
    <row r="1579" spans="1:10" x14ac:dyDescent="0.25">
      <c r="A1579">
        <v>1562</v>
      </c>
      <c r="B1579" s="100">
        <v>90.392935047230722</v>
      </c>
      <c r="C1579" s="100">
        <v>96.440940329131109</v>
      </c>
      <c r="D1579" s="100">
        <v>92.487033202768558</v>
      </c>
      <c r="E1579" s="100">
        <v>91.685123822180728</v>
      </c>
      <c r="F1579" s="100">
        <v>-2769.6690521518535</v>
      </c>
      <c r="G1579" s="100">
        <v>2653.4237662465116</v>
      </c>
      <c r="H1579" s="100">
        <v>658.09380543609564</v>
      </c>
      <c r="I1579" s="100">
        <v>1695.5158325204991</v>
      </c>
      <c r="J1579" s="100">
        <v>2237.3643520512528</v>
      </c>
    </row>
    <row r="1580" spans="1:10" x14ac:dyDescent="0.25">
      <c r="A1580">
        <v>1563</v>
      </c>
      <c r="B1580" s="100">
        <v>88.850333897031476</v>
      </c>
      <c r="C1580" s="100">
        <v>99.166245791576657</v>
      </c>
      <c r="D1580" s="100">
        <v>91.175088377118456</v>
      </c>
      <c r="E1580" s="100">
        <v>89.907863101569205</v>
      </c>
      <c r="F1580" s="100">
        <v>2320.9147435056593</v>
      </c>
      <c r="G1580" s="100">
        <v>-1434.5344274218091</v>
      </c>
      <c r="H1580" s="100">
        <v>3281.9834567362986</v>
      </c>
      <c r="I1580" s="100">
        <v>3472.7765531320215</v>
      </c>
      <c r="J1580" s="100">
        <v>7641.1403259521703</v>
      </c>
    </row>
    <row r="1581" spans="1:10" x14ac:dyDescent="0.25">
      <c r="A1581">
        <v>1564</v>
      </c>
      <c r="B1581" s="100">
        <v>89.044432620124567</v>
      </c>
      <c r="C1581" s="100">
        <v>98.670945396608374</v>
      </c>
      <c r="D1581" s="100">
        <v>90.83722707568127</v>
      </c>
      <c r="E1581" s="100">
        <v>93.577859067773105</v>
      </c>
      <c r="F1581" s="100">
        <v>1680.3889572984574</v>
      </c>
      <c r="G1581" s="100">
        <v>-691.58383496938563</v>
      </c>
      <c r="H1581" s="100">
        <v>3957.7060596106721</v>
      </c>
      <c r="I1581" s="100">
        <v>-197.21941307187763</v>
      </c>
      <c r="J1581" s="100">
        <v>4749.2917688678663</v>
      </c>
    </row>
    <row r="1582" spans="1:10" x14ac:dyDescent="0.25">
      <c r="A1582">
        <v>1565</v>
      </c>
      <c r="B1582" s="100">
        <v>90.64287688391606</v>
      </c>
      <c r="C1582" s="100">
        <v>99.091392443962306</v>
      </c>
      <c r="D1582" s="100">
        <v>91.373282488224135</v>
      </c>
      <c r="E1582" s="100">
        <v>95.127501464020298</v>
      </c>
      <c r="F1582" s="100">
        <v>-3594.4771132134674</v>
      </c>
      <c r="G1582" s="100">
        <v>-1322.2544060002833</v>
      </c>
      <c r="H1582" s="100">
        <v>2885.595234524942</v>
      </c>
      <c r="I1582" s="100">
        <v>-1746.8618093190712</v>
      </c>
      <c r="J1582" s="100">
        <v>-3777.9980940078794</v>
      </c>
    </row>
    <row r="1583" spans="1:10" x14ac:dyDescent="0.25">
      <c r="A1583">
        <v>1566</v>
      </c>
      <c r="B1583" s="100">
        <v>89.026800698752254</v>
      </c>
      <c r="C1583" s="100">
        <v>98.36151793418496</v>
      </c>
      <c r="D1583" s="100">
        <v>92.653557657581274</v>
      </c>
      <c r="E1583" s="100">
        <v>94.381407993882618</v>
      </c>
      <c r="F1583" s="100">
        <v>1738.5742978270912</v>
      </c>
      <c r="G1583" s="100">
        <v>-227.44264133426384</v>
      </c>
      <c r="H1583" s="100">
        <v>325.04489581066309</v>
      </c>
      <c r="I1583" s="100">
        <v>-1000.7683391813913</v>
      </c>
      <c r="J1583" s="100">
        <v>835.40821312209926</v>
      </c>
    </row>
    <row r="1584" spans="1:10" x14ac:dyDescent="0.25">
      <c r="A1584">
        <v>1567</v>
      </c>
      <c r="B1584" s="100">
        <v>89.281768337149003</v>
      </c>
      <c r="C1584" s="100">
        <v>98.480795128851113</v>
      </c>
      <c r="D1584" s="100">
        <v>92.652869875399915</v>
      </c>
      <c r="E1584" s="100">
        <v>94.295994596771934</v>
      </c>
      <c r="F1584" s="100">
        <v>897.18109111781814</v>
      </c>
      <c r="G1584" s="100">
        <v>-406.35843333349442</v>
      </c>
      <c r="H1584" s="100">
        <v>326.42046017338089</v>
      </c>
      <c r="I1584" s="100">
        <v>-915.35494207070656</v>
      </c>
      <c r="J1584" s="100">
        <v>-98.111824113001944</v>
      </c>
    </row>
    <row r="1585" spans="1:10" x14ac:dyDescent="0.25">
      <c r="A1585">
        <v>1568</v>
      </c>
      <c r="B1585" s="100">
        <v>89.811090064001164</v>
      </c>
      <c r="C1585" s="100">
        <v>98.061910194681801</v>
      </c>
      <c r="D1585" s="100">
        <v>90.748813679586746</v>
      </c>
      <c r="E1585" s="100">
        <v>93.582846721504438</v>
      </c>
      <c r="F1585" s="100">
        <v>-849.58060749431047</v>
      </c>
      <c r="G1585" s="100">
        <v>221.96896792047482</v>
      </c>
      <c r="H1585" s="100">
        <v>4134.5328517997186</v>
      </c>
      <c r="I1585" s="100">
        <v>-202.20706680321143</v>
      </c>
      <c r="J1585" s="100">
        <v>3304.7141454226717</v>
      </c>
    </row>
    <row r="1586" spans="1:10" x14ac:dyDescent="0.25">
      <c r="A1586">
        <v>1569</v>
      </c>
      <c r="B1586" s="100">
        <v>89.255420704877821</v>
      </c>
      <c r="C1586" s="100">
        <v>98.805718174028186</v>
      </c>
      <c r="D1586" s="100">
        <v>93.349482080589468</v>
      </c>
      <c r="E1586" s="100">
        <v>92.878496292632462</v>
      </c>
      <c r="F1586" s="100">
        <v>984.12827761272013</v>
      </c>
      <c r="G1586" s="100">
        <v>-893.74300109910359</v>
      </c>
      <c r="H1586" s="100">
        <v>-1066.803950205724</v>
      </c>
      <c r="I1586" s="100">
        <v>502.14336206876453</v>
      </c>
      <c r="J1586" s="100">
        <v>-474.27531162334299</v>
      </c>
    </row>
    <row r="1587" spans="1:10" x14ac:dyDescent="0.25">
      <c r="A1587">
        <v>1570</v>
      </c>
      <c r="B1587" s="100">
        <v>89.592144951070765</v>
      </c>
      <c r="C1587" s="100">
        <v>99.055470721688479</v>
      </c>
      <c r="D1587" s="100">
        <v>94.696893074090426</v>
      </c>
      <c r="E1587" s="100">
        <v>92.22626072294932</v>
      </c>
      <c r="F1587" s="100">
        <v>-127.06173482399379</v>
      </c>
      <c r="G1587" s="100">
        <v>-1268.3718225895432</v>
      </c>
      <c r="H1587" s="100">
        <v>-3761.6259372076402</v>
      </c>
      <c r="I1587" s="100">
        <v>1154.3789317519072</v>
      </c>
      <c r="J1587" s="100">
        <v>-4002.6805628692696</v>
      </c>
    </row>
    <row r="1588" spans="1:10" x14ac:dyDescent="0.25">
      <c r="A1588">
        <v>1571</v>
      </c>
      <c r="B1588" s="100">
        <v>89.960322592244268</v>
      </c>
      <c r="C1588" s="100">
        <v>98.188436080525307</v>
      </c>
      <c r="D1588" s="100">
        <v>93.695514651147036</v>
      </c>
      <c r="E1588" s="100">
        <v>93.110191655552896</v>
      </c>
      <c r="F1588" s="100">
        <v>-1342.0479506965535</v>
      </c>
      <c r="G1588" s="100">
        <v>32.18013915521567</v>
      </c>
      <c r="H1588" s="100">
        <v>-1758.8690913208609</v>
      </c>
      <c r="I1588" s="100">
        <v>270.44799914833106</v>
      </c>
      <c r="J1588" s="100">
        <v>-2798.2889037138675</v>
      </c>
    </row>
    <row r="1589" spans="1:10" x14ac:dyDescent="0.25">
      <c r="A1589">
        <v>1572</v>
      </c>
      <c r="B1589" s="100">
        <v>89.719466940529614</v>
      </c>
      <c r="C1589" s="100">
        <v>96.88100646691683</v>
      </c>
      <c r="D1589" s="100">
        <v>94.315099091877869</v>
      </c>
      <c r="E1589" s="100">
        <v>92.553270966172704</v>
      </c>
      <c r="F1589" s="100">
        <v>-547.22430003819659</v>
      </c>
      <c r="G1589" s="100">
        <v>1993.3245595679309</v>
      </c>
      <c r="H1589" s="100">
        <v>-2998.0379727825266</v>
      </c>
      <c r="I1589" s="100">
        <v>827.36868852852297</v>
      </c>
      <c r="J1589" s="100">
        <v>-724.5690247242693</v>
      </c>
    </row>
    <row r="1590" spans="1:10" x14ac:dyDescent="0.25">
      <c r="A1590">
        <v>1573</v>
      </c>
      <c r="B1590" s="100">
        <v>89.916274328410466</v>
      </c>
      <c r="C1590" s="100">
        <v>99.437769279283856</v>
      </c>
      <c r="D1590" s="100">
        <v>93.11330907506229</v>
      </c>
      <c r="E1590" s="100">
        <v>94.21108096832458</v>
      </c>
      <c r="F1590" s="100">
        <v>-1196.6886800450097</v>
      </c>
      <c r="G1590" s="100">
        <v>-1841.8196589826082</v>
      </c>
      <c r="H1590" s="100">
        <v>-594.45793915136846</v>
      </c>
      <c r="I1590" s="100">
        <v>-830.44131362335349</v>
      </c>
      <c r="J1590" s="100">
        <v>-4463.40759180234</v>
      </c>
    </row>
    <row r="1591" spans="1:10" x14ac:dyDescent="0.25">
      <c r="A1591">
        <v>1574</v>
      </c>
      <c r="B1591" s="100">
        <v>89.218640191658068</v>
      </c>
      <c r="C1591" s="100">
        <v>97.802775376438149</v>
      </c>
      <c r="D1591" s="100">
        <v>93.054850558219115</v>
      </c>
      <c r="E1591" s="100">
        <v>92.500954271348661</v>
      </c>
      <c r="F1591" s="100">
        <v>1105.5039712379057</v>
      </c>
      <c r="G1591" s="100">
        <v>610.67119528595276</v>
      </c>
      <c r="H1591" s="100">
        <v>-477.5409054650197</v>
      </c>
      <c r="I1591" s="100">
        <v>879.68538335256596</v>
      </c>
      <c r="J1591" s="100">
        <v>2118.3196444114046</v>
      </c>
    </row>
    <row r="1592" spans="1:10" x14ac:dyDescent="0.25">
      <c r="A1592">
        <v>1575</v>
      </c>
      <c r="B1592" s="100">
        <v>89.878168764252152</v>
      </c>
      <c r="C1592" s="100">
        <v>97.938296797618335</v>
      </c>
      <c r="D1592" s="100">
        <v>93.66894990775323</v>
      </c>
      <c r="E1592" s="100">
        <v>93.632588790927088</v>
      </c>
      <c r="F1592" s="100">
        <v>-1070.9403183225718</v>
      </c>
      <c r="G1592" s="100">
        <v>407.38906351567294</v>
      </c>
      <c r="H1592" s="100">
        <v>-1705.7396045332496</v>
      </c>
      <c r="I1592" s="100">
        <v>-251.94913622586057</v>
      </c>
      <c r="J1592" s="100">
        <v>-2621.2399955660089</v>
      </c>
    </row>
    <row r="1593" spans="1:10" x14ac:dyDescent="0.25">
      <c r="A1593">
        <v>1576</v>
      </c>
      <c r="B1593" s="100">
        <v>90.111201746017798</v>
      </c>
      <c r="C1593" s="100">
        <v>96.570512548056371</v>
      </c>
      <c r="D1593" s="100">
        <v>91.479740969474037</v>
      </c>
      <c r="E1593" s="100">
        <v>94.144119635858559</v>
      </c>
      <c r="F1593" s="100">
        <v>-1839.9491581492043</v>
      </c>
      <c r="G1593" s="100">
        <v>2459.0654378586196</v>
      </c>
      <c r="H1593" s="100">
        <v>2672.6782720251376</v>
      </c>
      <c r="I1593" s="100">
        <v>-763.47998115733162</v>
      </c>
      <c r="J1593" s="100">
        <v>2528.3145705772213</v>
      </c>
    </row>
    <row r="1594" spans="1:10" x14ac:dyDescent="0.25">
      <c r="A1594">
        <v>1577</v>
      </c>
      <c r="B1594" s="100">
        <v>88.874560350608888</v>
      </c>
      <c r="C1594" s="100">
        <v>98.634950795694721</v>
      </c>
      <c r="D1594" s="100">
        <v>93.634165309974549</v>
      </c>
      <c r="E1594" s="100">
        <v>93.083884384356878</v>
      </c>
      <c r="F1594" s="100">
        <v>2240.9674467001978</v>
      </c>
      <c r="G1594" s="100">
        <v>-637.59193359890537</v>
      </c>
      <c r="H1594" s="100">
        <v>-1636.1704089758859</v>
      </c>
      <c r="I1594" s="100">
        <v>296.75527034434879</v>
      </c>
      <c r="J1594" s="100">
        <v>263.96037446975527</v>
      </c>
    </row>
    <row r="1595" spans="1:10" x14ac:dyDescent="0.25">
      <c r="A1595">
        <v>1578</v>
      </c>
      <c r="B1595" s="100">
        <v>89.596205023785842</v>
      </c>
      <c r="C1595" s="100">
        <v>96.385160438577458</v>
      </c>
      <c r="D1595" s="100">
        <v>93.859281751551151</v>
      </c>
      <c r="E1595" s="100">
        <v>92.751183096934966</v>
      </c>
      <c r="F1595" s="100">
        <v>-140.45997478374943</v>
      </c>
      <c r="G1595" s="100">
        <v>2737.0936020769891</v>
      </c>
      <c r="H1595" s="100">
        <v>-2086.4032921290914</v>
      </c>
      <c r="I1595" s="100">
        <v>629.45655776626097</v>
      </c>
      <c r="J1595" s="100">
        <v>1139.6868929304092</v>
      </c>
    </row>
    <row r="1596" spans="1:10" x14ac:dyDescent="0.25">
      <c r="A1596">
        <v>1579</v>
      </c>
      <c r="B1596" s="100">
        <v>88.370063457994917</v>
      </c>
      <c r="C1596" s="100">
        <v>98.089816987001697</v>
      </c>
      <c r="D1596" s="100">
        <v>92.289037770889237</v>
      </c>
      <c r="E1596" s="100">
        <v>92.381354028633609</v>
      </c>
      <c r="F1596" s="100">
        <v>3905.8071923263042</v>
      </c>
      <c r="G1596" s="100">
        <v>180.10877944062997</v>
      </c>
      <c r="H1596" s="100">
        <v>1054.0846691947365</v>
      </c>
      <c r="I1596" s="100">
        <v>999.28562606761773</v>
      </c>
      <c r="J1596" s="100">
        <v>6139.2862670292889</v>
      </c>
    </row>
    <row r="1597" spans="1:10" x14ac:dyDescent="0.25">
      <c r="A1597">
        <v>1580</v>
      </c>
      <c r="B1597" s="100">
        <v>88.332623222388193</v>
      </c>
      <c r="C1597" s="100">
        <v>97.10378503378243</v>
      </c>
      <c r="D1597" s="100">
        <v>92.034617138918676</v>
      </c>
      <c r="E1597" s="100">
        <v>93.452810661623403</v>
      </c>
      <c r="F1597" s="100">
        <v>4029.359969828492</v>
      </c>
      <c r="G1597" s="100">
        <v>1659.1567092695313</v>
      </c>
      <c r="H1597" s="100">
        <v>1562.9259331358583</v>
      </c>
      <c r="I1597" s="100">
        <v>-72.171006922175707</v>
      </c>
      <c r="J1597" s="100">
        <v>7179.2716053117065</v>
      </c>
    </row>
    <row r="1598" spans="1:10" x14ac:dyDescent="0.25">
      <c r="A1598">
        <v>1581</v>
      </c>
      <c r="B1598" s="100">
        <v>89.499098120592237</v>
      </c>
      <c r="C1598" s="100">
        <v>98.474067966039001</v>
      </c>
      <c r="D1598" s="100">
        <v>93.688055350996549</v>
      </c>
      <c r="E1598" s="100">
        <v>92.877151192021373</v>
      </c>
      <c r="F1598" s="100">
        <v>179.99280575514831</v>
      </c>
      <c r="G1598" s="100">
        <v>-396.2676891153265</v>
      </c>
      <c r="H1598" s="100">
        <v>-1743.9504910198877</v>
      </c>
      <c r="I1598" s="100">
        <v>503.48846267985436</v>
      </c>
      <c r="J1598" s="100">
        <v>-1456.7369117002115</v>
      </c>
    </row>
    <row r="1599" spans="1:10" x14ac:dyDescent="0.25">
      <c r="A1599">
        <v>1582</v>
      </c>
      <c r="B1599" s="100">
        <v>89.699307983158462</v>
      </c>
      <c r="C1599" s="100">
        <v>98.831847995840008</v>
      </c>
      <c r="D1599" s="100">
        <v>92.334839210804873</v>
      </c>
      <c r="E1599" s="100">
        <v>93.881055403182643</v>
      </c>
      <c r="F1599" s="100">
        <v>-480.6997407133963</v>
      </c>
      <c r="G1599" s="100">
        <v>-932.93773381683559</v>
      </c>
      <c r="H1599" s="100">
        <v>962.48178936346562</v>
      </c>
      <c r="I1599" s="100">
        <v>-500.41574848141579</v>
      </c>
      <c r="J1599" s="100">
        <v>-951.57143364818205</v>
      </c>
    </row>
    <row r="1600" spans="1:10" x14ac:dyDescent="0.25">
      <c r="A1600">
        <v>1583</v>
      </c>
      <c r="B1600" s="100">
        <v>90.211519606518635</v>
      </c>
      <c r="C1600" s="100">
        <v>98.811768581965751</v>
      </c>
      <c r="D1600" s="100">
        <v>92.629598536305693</v>
      </c>
      <c r="E1600" s="100">
        <v>93.127691457417342</v>
      </c>
      <c r="F1600" s="100">
        <v>-2170.9980978019671</v>
      </c>
      <c r="G1600" s="100">
        <v>-902.81861300545074</v>
      </c>
      <c r="H1600" s="100">
        <v>372.96313836182549</v>
      </c>
      <c r="I1600" s="100">
        <v>252.94819728388518</v>
      </c>
      <c r="J1600" s="100">
        <v>-2447.9053751617071</v>
      </c>
    </row>
    <row r="1601" spans="1:10" x14ac:dyDescent="0.25">
      <c r="A1601">
        <v>1584</v>
      </c>
      <c r="B1601" s="100">
        <v>89.740149296180988</v>
      </c>
      <c r="C1601" s="100">
        <v>98.675308324500392</v>
      </c>
      <c r="D1601" s="100">
        <v>91.648096040826886</v>
      </c>
      <c r="E1601" s="100">
        <v>93.309153158572485</v>
      </c>
      <c r="F1601" s="100">
        <v>-615.47607368773072</v>
      </c>
      <c r="G1601" s="100">
        <v>-698.12822680741249</v>
      </c>
      <c r="H1601" s="100">
        <v>2335.9681293194399</v>
      </c>
      <c r="I1601" s="100">
        <v>71.486496128741805</v>
      </c>
      <c r="J1601" s="100">
        <v>1093.8503249530386</v>
      </c>
    </row>
    <row r="1602" spans="1:10" x14ac:dyDescent="0.25">
      <c r="A1602">
        <v>1585</v>
      </c>
      <c r="B1602" s="100">
        <v>88.713430445888207</v>
      </c>
      <c r="C1602" s="100">
        <v>98.070908582251491</v>
      </c>
      <c r="D1602" s="100">
        <v>93.378509208217494</v>
      </c>
      <c r="E1602" s="100">
        <v>92.401569887078395</v>
      </c>
      <c r="F1602" s="100">
        <v>2772.6961322784464</v>
      </c>
      <c r="G1602" s="100">
        <v>208.47138656593955</v>
      </c>
      <c r="H1602" s="100">
        <v>-1124.8582054617771</v>
      </c>
      <c r="I1602" s="100">
        <v>979.06976762283193</v>
      </c>
      <c r="J1602" s="100">
        <v>2835.3790810054406</v>
      </c>
    </row>
    <row r="1603" spans="1:10" x14ac:dyDescent="0.25">
      <c r="A1603">
        <v>1586</v>
      </c>
      <c r="B1603" s="100">
        <v>90.597908650444325</v>
      </c>
      <c r="C1603" s="100">
        <v>97.618648117386897</v>
      </c>
      <c r="D1603" s="100">
        <v>93.47124875975004</v>
      </c>
      <c r="E1603" s="100">
        <v>95.385382834727622</v>
      </c>
      <c r="F1603" s="100">
        <v>-3446.0819427567417</v>
      </c>
      <c r="G1603" s="100">
        <v>886.86208386283033</v>
      </c>
      <c r="H1603" s="100">
        <v>-1310.3373085268686</v>
      </c>
      <c r="I1603" s="100">
        <v>-2004.7431800263951</v>
      </c>
      <c r="J1603" s="100">
        <v>-5874.3003474471752</v>
      </c>
    </row>
    <row r="1604" spans="1:10" x14ac:dyDescent="0.25">
      <c r="A1604">
        <v>1587</v>
      </c>
      <c r="B1604" s="100">
        <v>89.697335844588892</v>
      </c>
      <c r="C1604" s="100">
        <v>97.063864642745827</v>
      </c>
      <c r="D1604" s="100">
        <v>93.223720701110835</v>
      </c>
      <c r="E1604" s="100">
        <v>91.834553676754695</v>
      </c>
      <c r="F1604" s="100">
        <v>-474.19168343381415</v>
      </c>
      <c r="G1604" s="100">
        <v>1719.0372958244352</v>
      </c>
      <c r="H1604" s="100">
        <v>-815.28119124845944</v>
      </c>
      <c r="I1604" s="100">
        <v>1546.0859779465322</v>
      </c>
      <c r="J1604" s="100">
        <v>1975.6503990886938</v>
      </c>
    </row>
    <row r="1605" spans="1:10" x14ac:dyDescent="0.25">
      <c r="A1605">
        <v>1588</v>
      </c>
      <c r="B1605" s="100">
        <v>89.973125921562769</v>
      </c>
      <c r="C1605" s="100">
        <v>96.97739886479458</v>
      </c>
      <c r="D1605" s="100">
        <v>92.566476686885878</v>
      </c>
      <c r="E1605" s="100">
        <v>95.311472680489686</v>
      </c>
      <c r="F1605" s="100">
        <v>-1384.2989374476076</v>
      </c>
      <c r="G1605" s="100">
        <v>1848.7359627513058</v>
      </c>
      <c r="H1605" s="100">
        <v>499.20683720145576</v>
      </c>
      <c r="I1605" s="100">
        <v>-1930.8330257884591</v>
      </c>
      <c r="J1605" s="100">
        <v>-967.18916328330511</v>
      </c>
    </row>
    <row r="1606" spans="1:10" x14ac:dyDescent="0.25">
      <c r="A1606">
        <v>1589</v>
      </c>
      <c r="B1606" s="100">
        <v>89.446803838391901</v>
      </c>
      <c r="C1606" s="100">
        <v>98.835414873353599</v>
      </c>
      <c r="D1606" s="100">
        <v>93.096156427309595</v>
      </c>
      <c r="E1606" s="100">
        <v>93.798176129114609</v>
      </c>
      <c r="F1606" s="100">
        <v>352.56393701625655</v>
      </c>
      <c r="G1606" s="100">
        <v>-938.28805008722327</v>
      </c>
      <c r="H1606" s="100">
        <v>-560.15264364597783</v>
      </c>
      <c r="I1606" s="100">
        <v>-417.5364744133816</v>
      </c>
      <c r="J1606" s="100">
        <v>-1563.413231130326</v>
      </c>
    </row>
    <row r="1607" spans="1:10" x14ac:dyDescent="0.25">
      <c r="A1607">
        <v>1590</v>
      </c>
      <c r="B1607" s="100">
        <v>89.826923754086707</v>
      </c>
      <c r="C1607" s="100">
        <v>99.053201363954727</v>
      </c>
      <c r="D1607" s="100">
        <v>93.803998192404208</v>
      </c>
      <c r="E1607" s="100">
        <v>94.025983658227659</v>
      </c>
      <c r="F1607" s="100">
        <v>-901.83178477660272</v>
      </c>
      <c r="G1607" s="100">
        <v>-1264.9677859889152</v>
      </c>
      <c r="H1607" s="100">
        <v>-1975.836173835205</v>
      </c>
      <c r="I1607" s="100">
        <v>-645.34400352643218</v>
      </c>
      <c r="J1607" s="100">
        <v>-4787.9797481271553</v>
      </c>
    </row>
    <row r="1608" spans="1:10" x14ac:dyDescent="0.25">
      <c r="A1608">
        <v>1591</v>
      </c>
      <c r="B1608" s="100">
        <v>89.682360384449055</v>
      </c>
      <c r="C1608" s="100">
        <v>98.586440487935448</v>
      </c>
      <c r="D1608" s="100">
        <v>91.919126876612182</v>
      </c>
      <c r="E1608" s="100">
        <v>93.430274658393031</v>
      </c>
      <c r="F1608" s="100">
        <v>-424.77266497235178</v>
      </c>
      <c r="G1608" s="100">
        <v>-564.82647195999652</v>
      </c>
      <c r="H1608" s="100">
        <v>1793.9064577488466</v>
      </c>
      <c r="I1608" s="100">
        <v>-49.635003691804513</v>
      </c>
      <c r="J1608" s="100">
        <v>754.67231712469379</v>
      </c>
    </row>
    <row r="1609" spans="1:10" x14ac:dyDescent="0.25">
      <c r="A1609">
        <v>1592</v>
      </c>
      <c r="B1609" s="100">
        <v>89.311645682657584</v>
      </c>
      <c r="C1609" s="100">
        <v>97.550905304098436</v>
      </c>
      <c r="D1609" s="100">
        <v>92.073911534553218</v>
      </c>
      <c r="E1609" s="100">
        <v>93.912214822794581</v>
      </c>
      <c r="F1609" s="100">
        <v>798.5858509395016</v>
      </c>
      <c r="G1609" s="100">
        <v>988.47630379552243</v>
      </c>
      <c r="H1609" s="100">
        <v>1484.3371418667743</v>
      </c>
      <c r="I1609" s="100">
        <v>-531.57516809335448</v>
      </c>
      <c r="J1609" s="100">
        <v>2739.8241285084441</v>
      </c>
    </row>
    <row r="1610" spans="1:10" x14ac:dyDescent="0.25">
      <c r="A1610">
        <v>1593</v>
      </c>
      <c r="B1610" s="100">
        <v>89.255636131046558</v>
      </c>
      <c r="C1610" s="100">
        <v>98.511314084996755</v>
      </c>
      <c r="D1610" s="100">
        <v>93.196831256971663</v>
      </c>
      <c r="E1610" s="100">
        <v>95.194948627581681</v>
      </c>
      <c r="F1610" s="100">
        <v>983.41737125588929</v>
      </c>
      <c r="G1610" s="100">
        <v>-452.13686755195681</v>
      </c>
      <c r="H1610" s="100">
        <v>-761.5023029701149</v>
      </c>
      <c r="I1610" s="100">
        <v>-1814.3089728804539</v>
      </c>
      <c r="J1610" s="100">
        <v>-2044.5307721466363</v>
      </c>
    </row>
    <row r="1611" spans="1:10" x14ac:dyDescent="0.25">
      <c r="A1611">
        <v>1594</v>
      </c>
      <c r="B1611" s="100">
        <v>89.77279015884622</v>
      </c>
      <c r="C1611" s="100">
        <v>97.634883631361788</v>
      </c>
      <c r="D1611" s="100">
        <v>93.400716326855516</v>
      </c>
      <c r="E1611" s="100">
        <v>96.156389379868017</v>
      </c>
      <c r="F1611" s="100">
        <v>-723.19092048299751</v>
      </c>
      <c r="G1611" s="100">
        <v>862.50881290049369</v>
      </c>
      <c r="H1611" s="100">
        <v>-1169.2724427378209</v>
      </c>
      <c r="I1611" s="100">
        <v>-2775.7497251667901</v>
      </c>
      <c r="J1611" s="100">
        <v>-3805.704275487115</v>
      </c>
    </row>
    <row r="1612" spans="1:10" x14ac:dyDescent="0.25">
      <c r="A1612">
        <v>1595</v>
      </c>
      <c r="B1612" s="100">
        <v>89.00078948934042</v>
      </c>
      <c r="C1612" s="100">
        <v>96.768639730385786</v>
      </c>
      <c r="D1612" s="100">
        <v>92.477881050229257</v>
      </c>
      <c r="E1612" s="100">
        <v>92.946666030532143</v>
      </c>
      <c r="F1612" s="100">
        <v>1824.4112888861437</v>
      </c>
      <c r="G1612" s="100">
        <v>2161.8746643644968</v>
      </c>
      <c r="H1612" s="100">
        <v>676.39811051469678</v>
      </c>
      <c r="I1612" s="100">
        <v>433.97362416908436</v>
      </c>
      <c r="J1612" s="100">
        <v>5096.6576879344211</v>
      </c>
    </row>
    <row r="1613" spans="1:10" x14ac:dyDescent="0.25">
      <c r="A1613">
        <v>1596</v>
      </c>
      <c r="B1613" s="100">
        <v>88.999984511489345</v>
      </c>
      <c r="C1613" s="100">
        <v>98.256359994130875</v>
      </c>
      <c r="D1613" s="100">
        <v>91.573180723627544</v>
      </c>
      <c r="E1613" s="100">
        <v>96.484117935457576</v>
      </c>
      <c r="F1613" s="100">
        <v>1827.067715794692</v>
      </c>
      <c r="G1613" s="100">
        <v>-69.70573125313706</v>
      </c>
      <c r="H1613" s="100">
        <v>2485.7987637181222</v>
      </c>
      <c r="I1613" s="100">
        <v>-3103.4782807563488</v>
      </c>
      <c r="J1613" s="100">
        <v>1139.6824675033286</v>
      </c>
    </row>
    <row r="1614" spans="1:10" x14ac:dyDescent="0.25">
      <c r="A1614">
        <v>1597</v>
      </c>
      <c r="B1614" s="100">
        <v>88.750055481151207</v>
      </c>
      <c r="C1614" s="100">
        <v>97.988011407424892</v>
      </c>
      <c r="D1614" s="100">
        <v>93.255272042357618</v>
      </c>
      <c r="E1614" s="100">
        <v>95.177277260942986</v>
      </c>
      <c r="F1614" s="100">
        <v>2651.8335159105445</v>
      </c>
      <c r="G1614" s="100">
        <v>332.81714880583735</v>
      </c>
      <c r="H1614" s="100">
        <v>-878.38387374202398</v>
      </c>
      <c r="I1614" s="100">
        <v>-1796.6376062417594</v>
      </c>
      <c r="J1614" s="100">
        <v>309.62918473259833</v>
      </c>
    </row>
    <row r="1615" spans="1:10" x14ac:dyDescent="0.25">
      <c r="A1615">
        <v>1598</v>
      </c>
      <c r="B1615" s="100">
        <v>89.296832638249199</v>
      </c>
      <c r="C1615" s="100">
        <v>98.536287364860357</v>
      </c>
      <c r="D1615" s="100">
        <v>90.500167775172429</v>
      </c>
      <c r="E1615" s="100">
        <v>91.718584545025607</v>
      </c>
      <c r="F1615" s="100">
        <v>847.46889748717103</v>
      </c>
      <c r="G1615" s="100">
        <v>-489.59678734735945</v>
      </c>
      <c r="H1615" s="100">
        <v>4631.8246606283537</v>
      </c>
      <c r="I1615" s="100">
        <v>1662.0551096756203</v>
      </c>
      <c r="J1615" s="100">
        <v>6651.7518804437859</v>
      </c>
    </row>
    <row r="1616" spans="1:10" x14ac:dyDescent="0.25">
      <c r="A1616">
        <v>1599</v>
      </c>
      <c r="B1616" s="100">
        <v>88.783942749222305</v>
      </c>
      <c r="C1616" s="100">
        <v>97.056574006878535</v>
      </c>
      <c r="D1616" s="100">
        <v>94.056732787716442</v>
      </c>
      <c r="E1616" s="100">
        <v>94.821339952966838</v>
      </c>
      <c r="F1616" s="100">
        <v>2540.0055312759223</v>
      </c>
      <c r="G1616" s="100">
        <v>1729.9732496253739</v>
      </c>
      <c r="H1616" s="100">
        <v>-2481.3053644596721</v>
      </c>
      <c r="I1616" s="100">
        <v>-1440.7002982656109</v>
      </c>
      <c r="J1616" s="100">
        <v>347.97311817601303</v>
      </c>
    </row>
    <row r="1617" spans="1:10" x14ac:dyDescent="0.25">
      <c r="A1617">
        <v>1600</v>
      </c>
      <c r="B1617" s="100">
        <v>89.417379489333484</v>
      </c>
      <c r="C1617" s="100">
        <v>99.175969001967914</v>
      </c>
      <c r="D1617" s="100">
        <v>92.068332742761058</v>
      </c>
      <c r="E1617" s="100">
        <v>95.442200421721623</v>
      </c>
      <c r="F1617" s="100">
        <v>449.66428890903103</v>
      </c>
      <c r="G1617" s="100">
        <v>-1449.1192430086953</v>
      </c>
      <c r="H1617" s="100">
        <v>1495.4947254510955</v>
      </c>
      <c r="I1617" s="100">
        <v>-2061.5607670203958</v>
      </c>
      <c r="J1617" s="100">
        <v>-1565.5209956689646</v>
      </c>
    </row>
    <row r="1618" spans="1:10" x14ac:dyDescent="0.25">
      <c r="A1618">
        <v>1601</v>
      </c>
      <c r="B1618" s="100">
        <v>89.656147586570626</v>
      </c>
      <c r="C1618" s="100">
        <v>97.027246494078071</v>
      </c>
      <c r="D1618" s="100">
        <v>93.147642538156234</v>
      </c>
      <c r="E1618" s="100">
        <v>93.407417093448998</v>
      </c>
      <c r="F1618" s="100">
        <v>-338.27043197353532</v>
      </c>
      <c r="G1618" s="100">
        <v>1773.9645188260695</v>
      </c>
      <c r="H1618" s="100">
        <v>-663.12486533925608</v>
      </c>
      <c r="I1618" s="100">
        <v>-26.777438747771498</v>
      </c>
      <c r="J1618" s="100">
        <v>745.79178276550658</v>
      </c>
    </row>
    <row r="1619" spans="1:10" x14ac:dyDescent="0.25">
      <c r="A1619">
        <v>1602</v>
      </c>
      <c r="B1619" s="100">
        <v>88.384310521390688</v>
      </c>
      <c r="C1619" s="100">
        <v>99.673892449784958</v>
      </c>
      <c r="D1619" s="100">
        <v>92.81879250570708</v>
      </c>
      <c r="E1619" s="100">
        <v>93.387833060546228</v>
      </c>
      <c r="F1619" s="100">
        <v>3858.7918831202587</v>
      </c>
      <c r="G1619" s="100">
        <v>-2196.0044147342614</v>
      </c>
      <c r="H1619" s="100">
        <v>-5.4248004409487294</v>
      </c>
      <c r="I1619" s="100">
        <v>-7.1934058450011662</v>
      </c>
      <c r="J1619" s="100">
        <v>1650.1692621000475</v>
      </c>
    </row>
    <row r="1620" spans="1:10" x14ac:dyDescent="0.25">
      <c r="A1620">
        <v>1603</v>
      </c>
      <c r="B1620" s="100">
        <v>89.605948894605262</v>
      </c>
      <c r="C1620" s="100">
        <v>97.758883526153184</v>
      </c>
      <c r="D1620" s="100">
        <v>92.876947943627286</v>
      </c>
      <c r="E1620" s="100">
        <v>95.07127144553813</v>
      </c>
      <c r="F1620" s="100">
        <v>-172.61474848783678</v>
      </c>
      <c r="G1620" s="100">
        <v>676.50897071339955</v>
      </c>
      <c r="H1620" s="100">
        <v>-121.73567628136084</v>
      </c>
      <c r="I1620" s="100">
        <v>-1690.6317908369033</v>
      </c>
      <c r="J1620" s="100">
        <v>-1308.4732448927014</v>
      </c>
    </row>
    <row r="1621" spans="1:10" x14ac:dyDescent="0.25">
      <c r="A1621">
        <v>1604</v>
      </c>
      <c r="B1621" s="100">
        <v>89.767976837712169</v>
      </c>
      <c r="C1621" s="100">
        <v>98.989519479085871</v>
      </c>
      <c r="D1621" s="100">
        <v>93.978625147024573</v>
      </c>
      <c r="E1621" s="100">
        <v>95.600990660445063</v>
      </c>
      <c r="F1621" s="100">
        <v>-707.30696074062826</v>
      </c>
      <c r="G1621" s="100">
        <v>-1169.4449586856308</v>
      </c>
      <c r="H1621" s="100">
        <v>-2325.0900830759347</v>
      </c>
      <c r="I1621" s="100">
        <v>-2220.3510057438366</v>
      </c>
      <c r="J1621" s="100">
        <v>-6422.1930082460294</v>
      </c>
    </row>
    <row r="1622" spans="1:10" x14ac:dyDescent="0.25">
      <c r="A1622">
        <v>1605</v>
      </c>
      <c r="B1622" s="100">
        <v>89.610282988638033</v>
      </c>
      <c r="C1622" s="100">
        <v>98.704735774994845</v>
      </c>
      <c r="D1622" s="100">
        <v>92.374065399471064</v>
      </c>
      <c r="E1622" s="100">
        <v>93.465962825718279</v>
      </c>
      <c r="F1622" s="100">
        <v>-186.91725879598096</v>
      </c>
      <c r="G1622" s="100">
        <v>-742.26940254909118</v>
      </c>
      <c r="H1622" s="100">
        <v>884.02941203108298</v>
      </c>
      <c r="I1622" s="100">
        <v>-85.323171017051891</v>
      </c>
      <c r="J1622" s="100">
        <v>-130.48042033104105</v>
      </c>
    </row>
    <row r="1623" spans="1:10" x14ac:dyDescent="0.25">
      <c r="A1623">
        <v>1606</v>
      </c>
      <c r="B1623" s="100">
        <v>89.172581856293377</v>
      </c>
      <c r="C1623" s="100">
        <v>97.264461869137278</v>
      </c>
      <c r="D1623" s="100">
        <v>92.655709232805862</v>
      </c>
      <c r="E1623" s="100">
        <v>92.783330382932988</v>
      </c>
      <c r="F1623" s="100">
        <v>1257.496477941386</v>
      </c>
      <c r="G1623" s="100">
        <v>1418.1414562372581</v>
      </c>
      <c r="H1623" s="100">
        <v>320.74174536148803</v>
      </c>
      <c r="I1623" s="100">
        <v>597.30927176823911</v>
      </c>
      <c r="J1623" s="100">
        <v>3593.6889513083715</v>
      </c>
    </row>
    <row r="1624" spans="1:10" x14ac:dyDescent="0.25">
      <c r="A1624">
        <v>1607</v>
      </c>
      <c r="B1624" s="100">
        <v>89.567356715818178</v>
      </c>
      <c r="C1624" s="100">
        <v>97.354597213548018</v>
      </c>
      <c r="D1624" s="100">
        <v>92.876119378340348</v>
      </c>
      <c r="E1624" s="100">
        <v>92.655060301249549</v>
      </c>
      <c r="F1624" s="100">
        <v>-45.260558490458891</v>
      </c>
      <c r="G1624" s="100">
        <v>1282.9384396211481</v>
      </c>
      <c r="H1624" s="100">
        <v>-120.07854570748577</v>
      </c>
      <c r="I1624" s="100">
        <v>725.57935345167834</v>
      </c>
      <c r="J1624" s="100">
        <v>1843.1786888748818</v>
      </c>
    </row>
    <row r="1625" spans="1:10" x14ac:dyDescent="0.25">
      <c r="A1625">
        <v>1608</v>
      </c>
      <c r="B1625" s="100">
        <v>89.5454837376938</v>
      </c>
      <c r="C1625" s="100">
        <v>98.591763868400292</v>
      </c>
      <c r="D1625" s="100">
        <v>92.190176291804605</v>
      </c>
      <c r="E1625" s="100">
        <v>94.053660865891388</v>
      </c>
      <c r="F1625" s="100">
        <v>26.920269319988677</v>
      </c>
      <c r="G1625" s="100">
        <v>-572.81154265726286</v>
      </c>
      <c r="H1625" s="100">
        <v>1251.807627364002</v>
      </c>
      <c r="I1625" s="100">
        <v>-673.02121119016078</v>
      </c>
      <c r="J1625" s="100">
        <v>32.895142836566947</v>
      </c>
    </row>
    <row r="1626" spans="1:10" x14ac:dyDescent="0.25">
      <c r="A1626">
        <v>1609</v>
      </c>
      <c r="B1626" s="100">
        <v>90.269300071789758</v>
      </c>
      <c r="C1626" s="100">
        <v>97.425858426513273</v>
      </c>
      <c r="D1626" s="100">
        <v>93.467578987270628</v>
      </c>
      <c r="E1626" s="100">
        <v>93.593039701150929</v>
      </c>
      <c r="F1626" s="100">
        <v>-2361.6736331966704</v>
      </c>
      <c r="G1626" s="100">
        <v>1176.046620173267</v>
      </c>
      <c r="H1626" s="100">
        <v>-1302.9977635680439</v>
      </c>
      <c r="I1626" s="100">
        <v>-212.40004644970156</v>
      </c>
      <c r="J1626" s="100">
        <v>-2701.0248230411489</v>
      </c>
    </row>
    <row r="1627" spans="1:10" x14ac:dyDescent="0.25">
      <c r="A1627">
        <v>1610</v>
      </c>
      <c r="B1627" s="100">
        <v>89.160326050849775</v>
      </c>
      <c r="C1627" s="100">
        <v>99.349634583167472</v>
      </c>
      <c r="D1627" s="100">
        <v>91.249972685159946</v>
      </c>
      <c r="E1627" s="100">
        <v>90.877391748518804</v>
      </c>
      <c r="F1627" s="100">
        <v>1297.9406359052703</v>
      </c>
      <c r="G1627" s="100">
        <v>-1709.6176148080317</v>
      </c>
      <c r="H1627" s="100">
        <v>3132.2148406533188</v>
      </c>
      <c r="I1627" s="100">
        <v>2503.2479061824233</v>
      </c>
      <c r="J1627" s="100">
        <v>5223.7857679329809</v>
      </c>
    </row>
    <row r="1628" spans="1:10" x14ac:dyDescent="0.25">
      <c r="A1628">
        <v>1611</v>
      </c>
      <c r="B1628" s="100">
        <v>89.648701385592005</v>
      </c>
      <c r="C1628" s="100">
        <v>97.347503115305358</v>
      </c>
      <c r="D1628" s="100">
        <v>91.92236527498001</v>
      </c>
      <c r="E1628" s="100">
        <v>92.922341423052998</v>
      </c>
      <c r="F1628" s="100">
        <v>-313.69796874408848</v>
      </c>
      <c r="G1628" s="100">
        <v>1293.579586985139</v>
      </c>
      <c r="H1628" s="100">
        <v>1787.4296610131921</v>
      </c>
      <c r="I1628" s="100">
        <v>458.29823164822869</v>
      </c>
      <c r="J1628" s="100">
        <v>3225.6095109024709</v>
      </c>
    </row>
    <row r="1629" spans="1:10" x14ac:dyDescent="0.25">
      <c r="A1629">
        <v>1612</v>
      </c>
      <c r="B1629" s="100">
        <v>90.068764500497338</v>
      </c>
      <c r="C1629" s="100">
        <v>97.552170053847988</v>
      </c>
      <c r="D1629" s="100">
        <v>91.025992321804637</v>
      </c>
      <c r="E1629" s="100">
        <v>93.999677577984144</v>
      </c>
      <c r="F1629" s="100">
        <v>-1699.9062479316849</v>
      </c>
      <c r="G1629" s="100">
        <v>986.57917917119426</v>
      </c>
      <c r="H1629" s="100">
        <v>3580.1755673639377</v>
      </c>
      <c r="I1629" s="100">
        <v>-619.03792328291729</v>
      </c>
      <c r="J1629" s="100">
        <v>2247.81057532053</v>
      </c>
    </row>
    <row r="1630" spans="1:10" x14ac:dyDescent="0.25">
      <c r="A1630">
        <v>1613</v>
      </c>
      <c r="B1630" s="100">
        <v>89.162553091353573</v>
      </c>
      <c r="C1630" s="100">
        <v>98.398132251354639</v>
      </c>
      <c r="D1630" s="100">
        <v>95.094289408161416</v>
      </c>
      <c r="E1630" s="100">
        <v>95.239238318450461</v>
      </c>
      <c r="F1630" s="100">
        <v>1290.5914022427396</v>
      </c>
      <c r="G1630" s="100">
        <v>-282.36411708878251</v>
      </c>
      <c r="H1630" s="100">
        <v>-4556.4186053496196</v>
      </c>
      <c r="I1630" s="100">
        <v>-1858.598663749234</v>
      </c>
      <c r="J1630" s="100">
        <v>-5406.7899839448964</v>
      </c>
    </row>
    <row r="1631" spans="1:10" x14ac:dyDescent="0.25">
      <c r="A1631">
        <v>1614</v>
      </c>
      <c r="B1631" s="100">
        <v>90.682391554202738</v>
      </c>
      <c r="C1631" s="100">
        <v>96.90722239381445</v>
      </c>
      <c r="D1631" s="100">
        <v>92.838106985485084</v>
      </c>
      <c r="E1631" s="100">
        <v>95.860847595374452</v>
      </c>
      <c r="F1631" s="100">
        <v>-3724.8755251595057</v>
      </c>
      <c r="G1631" s="100">
        <v>1954.0006692215002</v>
      </c>
      <c r="H1631" s="100">
        <v>-44.053759996955932</v>
      </c>
      <c r="I1631" s="100">
        <v>-2480.2079406732246</v>
      </c>
      <c r="J1631" s="100">
        <v>-4295.1365566081859</v>
      </c>
    </row>
    <row r="1632" spans="1:10" x14ac:dyDescent="0.25">
      <c r="A1632">
        <v>1615</v>
      </c>
      <c r="B1632" s="100">
        <v>89.663996042666156</v>
      </c>
      <c r="C1632" s="100">
        <v>97.836586924293684</v>
      </c>
      <c r="D1632" s="100">
        <v>92.525725087920094</v>
      </c>
      <c r="E1632" s="100">
        <v>92.226387731841939</v>
      </c>
      <c r="F1632" s="100">
        <v>-364.17033708878535</v>
      </c>
      <c r="G1632" s="100">
        <v>559.95387350264991</v>
      </c>
      <c r="H1632" s="100">
        <v>580.71003513302344</v>
      </c>
      <c r="I1632" s="100">
        <v>1154.251922859288</v>
      </c>
      <c r="J1632" s="100">
        <v>1930.745494406176</v>
      </c>
    </row>
    <row r="1633" spans="1:10" x14ac:dyDescent="0.25">
      <c r="A1633">
        <v>1616</v>
      </c>
      <c r="B1633" s="100">
        <v>88.936158494105882</v>
      </c>
      <c r="C1633" s="100">
        <v>98.755948374008483</v>
      </c>
      <c r="D1633" s="100">
        <v>92.808563202707091</v>
      </c>
      <c r="E1633" s="100">
        <v>90.362624772034522</v>
      </c>
      <c r="F1633" s="100">
        <v>2037.6935731601179</v>
      </c>
      <c r="G1633" s="100">
        <v>-819.08830106954861</v>
      </c>
      <c r="H1633" s="100">
        <v>15.033805559028224</v>
      </c>
      <c r="I1633" s="100">
        <v>3018.014882666705</v>
      </c>
      <c r="J1633" s="100">
        <v>4251.6539603163028</v>
      </c>
    </row>
    <row r="1634" spans="1:10" x14ac:dyDescent="0.25">
      <c r="A1634">
        <v>1617</v>
      </c>
      <c r="B1634" s="100">
        <v>90.057665005392622</v>
      </c>
      <c r="C1634" s="100">
        <v>98.546004556340179</v>
      </c>
      <c r="D1634" s="100">
        <v>91.240220658764741</v>
      </c>
      <c r="E1634" s="100">
        <v>92.841955711148501</v>
      </c>
      <c r="F1634" s="100">
        <v>-1663.2779140861217</v>
      </c>
      <c r="G1634" s="100">
        <v>-504.17257456709308</v>
      </c>
      <c r="H1634" s="100">
        <v>3151.7188934437286</v>
      </c>
      <c r="I1634" s="100">
        <v>538.68394355272642</v>
      </c>
      <c r="J1634" s="100">
        <v>1522.9523483432399</v>
      </c>
    </row>
    <row r="1635" spans="1:10" x14ac:dyDescent="0.25">
      <c r="A1635">
        <v>1618</v>
      </c>
      <c r="B1635" s="100">
        <v>90.459965154416238</v>
      </c>
      <c r="C1635" s="100">
        <v>98.852461893179878</v>
      </c>
      <c r="D1635" s="100">
        <v>92.429735802041492</v>
      </c>
      <c r="E1635" s="100">
        <v>96.413270654533903</v>
      </c>
      <c r="F1635" s="100">
        <v>-2990.8684058640574</v>
      </c>
      <c r="G1635" s="100">
        <v>-963.85857982664197</v>
      </c>
      <c r="H1635" s="100">
        <v>772.68860689022745</v>
      </c>
      <c r="I1635" s="100">
        <v>-3032.6309998326765</v>
      </c>
      <c r="J1635" s="100">
        <v>-6214.6693786331489</v>
      </c>
    </row>
    <row r="1636" spans="1:10" x14ac:dyDescent="0.25">
      <c r="A1636">
        <v>1619</v>
      </c>
      <c r="B1636" s="100">
        <v>89.448281194514422</v>
      </c>
      <c r="C1636" s="100">
        <v>97.997739313408658</v>
      </c>
      <c r="D1636" s="100">
        <v>90.786915749141627</v>
      </c>
      <c r="E1636" s="100">
        <v>93.911620400766708</v>
      </c>
      <c r="F1636" s="100">
        <v>347.68866181193658</v>
      </c>
      <c r="G1636" s="100">
        <v>318.22528983018827</v>
      </c>
      <c r="H1636" s="100">
        <v>4058.3287126899563</v>
      </c>
      <c r="I1636" s="100">
        <v>-530.98074606548096</v>
      </c>
      <c r="J1636" s="100">
        <v>4193.2619182666003</v>
      </c>
    </row>
    <row r="1637" spans="1:10" x14ac:dyDescent="0.25">
      <c r="A1637">
        <v>1620</v>
      </c>
      <c r="B1637" s="100">
        <v>89.68592780141249</v>
      </c>
      <c r="C1637" s="100">
        <v>96.84626031105482</v>
      </c>
      <c r="D1637" s="100">
        <v>90.485447498964177</v>
      </c>
      <c r="E1637" s="100">
        <v>95.00321604692617</v>
      </c>
      <c r="F1637" s="100">
        <v>-436.54514095168651</v>
      </c>
      <c r="G1637" s="100">
        <v>2045.4437933609456</v>
      </c>
      <c r="H1637" s="100">
        <v>4661.2652130448569</v>
      </c>
      <c r="I1637" s="100">
        <v>-1622.5763922249428</v>
      </c>
      <c r="J1637" s="100">
        <v>4647.5874732291732</v>
      </c>
    </row>
    <row r="1638" spans="1:10" x14ac:dyDescent="0.25">
      <c r="A1638">
        <v>1621</v>
      </c>
      <c r="B1638" s="100">
        <v>89.035068426984253</v>
      </c>
      <c r="C1638" s="100">
        <v>98.800819917108512</v>
      </c>
      <c r="D1638" s="100">
        <v>92.17284967914398</v>
      </c>
      <c r="E1638" s="100">
        <v>94.781614175066181</v>
      </c>
      <c r="F1638" s="100">
        <v>1711.2907946614939</v>
      </c>
      <c r="G1638" s="100">
        <v>-886.39561571959291</v>
      </c>
      <c r="H1638" s="100">
        <v>1286.4608526852521</v>
      </c>
      <c r="I1638" s="100">
        <v>-1400.9745203649545</v>
      </c>
      <c r="J1638" s="100">
        <v>710.38151126219873</v>
      </c>
    </row>
    <row r="1639" spans="1:10" x14ac:dyDescent="0.25">
      <c r="A1639">
        <v>1622</v>
      </c>
      <c r="B1639" s="100">
        <v>89.398053931459017</v>
      </c>
      <c r="C1639" s="100">
        <v>97.786525943459111</v>
      </c>
      <c r="D1639" s="100">
        <v>91.26551070851454</v>
      </c>
      <c r="E1639" s="100">
        <v>92.129630838258123</v>
      </c>
      <c r="F1639" s="100">
        <v>513.43862989477179</v>
      </c>
      <c r="G1639" s="100">
        <v>635.04534475450919</v>
      </c>
      <c r="H1639" s="100">
        <v>3101.1387939441306</v>
      </c>
      <c r="I1639" s="100">
        <v>1251.008816443104</v>
      </c>
      <c r="J1639" s="100">
        <v>5500.6315850365154</v>
      </c>
    </row>
    <row r="1640" spans="1:10" x14ac:dyDescent="0.25">
      <c r="A1640">
        <v>1623</v>
      </c>
      <c r="B1640" s="100">
        <v>90.729014277721291</v>
      </c>
      <c r="C1640" s="100">
        <v>97.568998585491585</v>
      </c>
      <c r="D1640" s="100">
        <v>93.541266869388437</v>
      </c>
      <c r="E1640" s="100">
        <v>96.885424047266895</v>
      </c>
      <c r="F1640" s="100">
        <v>-3878.73051277073</v>
      </c>
      <c r="G1640" s="100">
        <v>961.33638170579866</v>
      </c>
      <c r="H1640" s="100">
        <v>-1450.3735278036629</v>
      </c>
      <c r="I1640" s="100">
        <v>-3504.784392565668</v>
      </c>
      <c r="J1640" s="100">
        <v>-7872.5520514342625</v>
      </c>
    </row>
    <row r="1641" spans="1:10" x14ac:dyDescent="0.25">
      <c r="A1641">
        <v>1624</v>
      </c>
      <c r="B1641" s="100">
        <v>88.324681290308519</v>
      </c>
      <c r="C1641" s="100">
        <v>96.321520875288186</v>
      </c>
      <c r="D1641" s="100">
        <v>93.635318203021072</v>
      </c>
      <c r="E1641" s="100">
        <v>95.243406935326973</v>
      </c>
      <c r="F1641" s="100">
        <v>4055.568345691418</v>
      </c>
      <c r="G1641" s="100">
        <v>2832.5529470108959</v>
      </c>
      <c r="H1641" s="100">
        <v>-1638.4761950689324</v>
      </c>
      <c r="I1641" s="100">
        <v>-1862.7672806257465</v>
      </c>
      <c r="J1641" s="100">
        <v>3386.8778170076343</v>
      </c>
    </row>
    <row r="1642" spans="1:10" x14ac:dyDescent="0.25">
      <c r="A1642">
        <v>1625</v>
      </c>
      <c r="B1642" s="100">
        <v>90.089981973463566</v>
      </c>
      <c r="C1642" s="100">
        <v>99.989603471187522</v>
      </c>
      <c r="D1642" s="100">
        <v>91.515208700150566</v>
      </c>
      <c r="E1642" s="100">
        <v>90.169616148003001</v>
      </c>
      <c r="F1642" s="100">
        <v>-1769.9239087202373</v>
      </c>
      <c r="G1642" s="100">
        <v>-2669.5709468381069</v>
      </c>
      <c r="H1642" s="100">
        <v>2601.7428106720786</v>
      </c>
      <c r="I1642" s="100">
        <v>3211.0235066982254</v>
      </c>
      <c r="J1642" s="100">
        <v>1373.2714618119599</v>
      </c>
    </row>
    <row r="1643" spans="1:10" x14ac:dyDescent="0.25">
      <c r="A1643">
        <v>1626</v>
      </c>
      <c r="B1643" s="100">
        <v>90.230293161422111</v>
      </c>
      <c r="C1643" s="100">
        <v>98.766761883116359</v>
      </c>
      <c r="D1643" s="100">
        <v>93.11798952627521</v>
      </c>
      <c r="E1643" s="100">
        <v>93.920224092719238</v>
      </c>
      <c r="F1643" s="100">
        <v>-2232.9508289834366</v>
      </c>
      <c r="G1643" s="100">
        <v>-835.30856473136339</v>
      </c>
      <c r="H1643" s="100">
        <v>-603.81884157720833</v>
      </c>
      <c r="I1643" s="100">
        <v>-539.58443801801081</v>
      </c>
      <c r="J1643" s="100">
        <v>-4211.6626733100193</v>
      </c>
    </row>
    <row r="1644" spans="1:10" x14ac:dyDescent="0.25">
      <c r="A1644">
        <v>1627</v>
      </c>
      <c r="B1644" s="100">
        <v>89.404272722886745</v>
      </c>
      <c r="C1644" s="100">
        <v>97.884941780057346</v>
      </c>
      <c r="D1644" s="100">
        <v>92.469421538583916</v>
      </c>
      <c r="E1644" s="100">
        <v>90.243105117636546</v>
      </c>
      <c r="F1644" s="100">
        <v>492.91661818327128</v>
      </c>
      <c r="G1644" s="100">
        <v>487.42158985715633</v>
      </c>
      <c r="H1644" s="100">
        <v>693.31713380537963</v>
      </c>
      <c r="I1644" s="100">
        <v>3137.534537064681</v>
      </c>
      <c r="J1644" s="100">
        <v>4811.189878910488</v>
      </c>
    </row>
    <row r="1645" spans="1:10" x14ac:dyDescent="0.25">
      <c r="A1645">
        <v>1628</v>
      </c>
      <c r="B1645" s="100">
        <v>90.067694803162979</v>
      </c>
      <c r="C1645" s="100">
        <v>98.054956245340051</v>
      </c>
      <c r="D1645" s="100">
        <v>91.974334332594722</v>
      </c>
      <c r="E1645" s="100">
        <v>93.931009287917988</v>
      </c>
      <c r="F1645" s="100">
        <v>-1696.3762467283018</v>
      </c>
      <c r="G1645" s="100">
        <v>232.39989193309896</v>
      </c>
      <c r="H1645" s="100">
        <v>1683.4915457837667</v>
      </c>
      <c r="I1645" s="100">
        <v>-550.36963321676069</v>
      </c>
      <c r="J1645" s="100">
        <v>-330.85444222819694</v>
      </c>
    </row>
    <row r="1646" spans="1:10" x14ac:dyDescent="0.25">
      <c r="A1646">
        <v>1629</v>
      </c>
      <c r="B1646" s="100">
        <v>89.177821383610464</v>
      </c>
      <c r="C1646" s="100">
        <v>99.201743594219693</v>
      </c>
      <c r="D1646" s="100">
        <v>92.774749485167774</v>
      </c>
      <c r="E1646" s="100">
        <v>96.282494008767486</v>
      </c>
      <c r="F1646" s="100">
        <v>1240.2060377949979</v>
      </c>
      <c r="G1646" s="100">
        <v>-1487.7811313863631</v>
      </c>
      <c r="H1646" s="100">
        <v>82.661240637662559</v>
      </c>
      <c r="I1646" s="100">
        <v>-2901.854354066259</v>
      </c>
      <c r="J1646" s="100">
        <v>-3066.7682070199617</v>
      </c>
    </row>
    <row r="1647" spans="1:10" x14ac:dyDescent="0.25">
      <c r="A1647">
        <v>1630</v>
      </c>
      <c r="B1647" s="100">
        <v>89.596814057549906</v>
      </c>
      <c r="C1647" s="100">
        <v>98.384197533923384</v>
      </c>
      <c r="D1647" s="100">
        <v>91.127557204897471</v>
      </c>
      <c r="E1647" s="100">
        <v>92.501307080446054</v>
      </c>
      <c r="F1647" s="100">
        <v>-142.4697862051616</v>
      </c>
      <c r="G1647" s="100">
        <v>-261.4620409419004</v>
      </c>
      <c r="H1647" s="100">
        <v>3377.0458011782694</v>
      </c>
      <c r="I1647" s="100">
        <v>879.33257425517297</v>
      </c>
      <c r="J1647" s="100">
        <v>3852.4465482863802</v>
      </c>
    </row>
    <row r="1648" spans="1:10" x14ac:dyDescent="0.25">
      <c r="A1648">
        <v>1631</v>
      </c>
      <c r="B1648" s="100">
        <v>90.520901798037983</v>
      </c>
      <c r="C1648" s="100">
        <v>98.376639506687724</v>
      </c>
      <c r="D1648" s="100">
        <v>93.450034478798045</v>
      </c>
      <c r="E1648" s="100">
        <v>93.862379376399062</v>
      </c>
      <c r="F1648" s="100">
        <v>-3191.9593298158134</v>
      </c>
      <c r="G1648" s="100">
        <v>-250.12500008840988</v>
      </c>
      <c r="H1648" s="100">
        <v>-1267.9087466228793</v>
      </c>
      <c r="I1648" s="100">
        <v>-481.73972169783497</v>
      </c>
      <c r="J1648" s="100">
        <v>-5191.7327982249371</v>
      </c>
    </row>
    <row r="1649" spans="1:10" x14ac:dyDescent="0.25">
      <c r="A1649">
        <v>1632</v>
      </c>
      <c r="B1649" s="100">
        <v>89.444218539600854</v>
      </c>
      <c r="C1649" s="100">
        <v>97.369759944681974</v>
      </c>
      <c r="D1649" s="100">
        <v>92.417652852595694</v>
      </c>
      <c r="E1649" s="100">
        <v>96.355334018593638</v>
      </c>
      <c r="F1649" s="100">
        <v>361.09542302671116</v>
      </c>
      <c r="G1649" s="100">
        <v>1260.1943429202151</v>
      </c>
      <c r="H1649" s="100">
        <v>796.85450578182326</v>
      </c>
      <c r="I1649" s="100">
        <v>-2974.6943638924108</v>
      </c>
      <c r="J1649" s="100">
        <v>-556.55009216366125</v>
      </c>
    </row>
    <row r="1650" spans="1:10" x14ac:dyDescent="0.25">
      <c r="A1650">
        <v>1633</v>
      </c>
      <c r="B1650" s="100">
        <v>89.409710896381753</v>
      </c>
      <c r="C1650" s="100">
        <v>96.478045168679756</v>
      </c>
      <c r="D1650" s="100">
        <v>92.430722858286003</v>
      </c>
      <c r="E1650" s="100">
        <v>91.930028206404472</v>
      </c>
      <c r="F1650" s="100">
        <v>474.97064564974352</v>
      </c>
      <c r="G1650" s="100">
        <v>2597.7665069235413</v>
      </c>
      <c r="H1650" s="100">
        <v>770.71449440120432</v>
      </c>
      <c r="I1650" s="100">
        <v>1450.6114482967546</v>
      </c>
      <c r="J1650" s="100">
        <v>5294.0630952712436</v>
      </c>
    </row>
    <row r="1651" spans="1:10" x14ac:dyDescent="0.25">
      <c r="A1651">
        <v>1634</v>
      </c>
      <c r="B1651" s="100">
        <v>90.020948609009494</v>
      </c>
      <c r="C1651" s="100">
        <v>98.089773264379218</v>
      </c>
      <c r="D1651" s="100">
        <v>91.60926501924358</v>
      </c>
      <c r="E1651" s="100">
        <v>92.974427679412258</v>
      </c>
      <c r="F1651" s="100">
        <v>-1542.1138060218013</v>
      </c>
      <c r="G1651" s="100">
        <v>180.17436337434845</v>
      </c>
      <c r="H1651" s="100">
        <v>2413.6301724860514</v>
      </c>
      <c r="I1651" s="100">
        <v>406.21197528896857</v>
      </c>
      <c r="J1651" s="100">
        <v>1457.9027051275671</v>
      </c>
    </row>
    <row r="1652" spans="1:10" x14ac:dyDescent="0.25">
      <c r="A1652">
        <v>1635</v>
      </c>
      <c r="B1652" s="100">
        <v>89.862672329965775</v>
      </c>
      <c r="C1652" s="100">
        <v>99.573802079376421</v>
      </c>
      <c r="D1652" s="100">
        <v>93.722352187754112</v>
      </c>
      <c r="E1652" s="100">
        <v>94.750021660505567</v>
      </c>
      <c r="F1652" s="100">
        <v>-1019.8020851775298</v>
      </c>
      <c r="G1652" s="100">
        <v>-2045.8688591214554</v>
      </c>
      <c r="H1652" s="100">
        <v>-1812.5441645350122</v>
      </c>
      <c r="I1652" s="100">
        <v>-1369.38200580434</v>
      </c>
      <c r="J1652" s="100">
        <v>-6247.5971146383372</v>
      </c>
    </row>
    <row r="1653" spans="1:10" x14ac:dyDescent="0.25">
      <c r="A1653">
        <v>1636</v>
      </c>
      <c r="B1653" s="100">
        <v>89.949163156898081</v>
      </c>
      <c r="C1653" s="100">
        <v>97.734361876669894</v>
      </c>
      <c r="D1653" s="100">
        <v>91.685765993548998</v>
      </c>
      <c r="E1653" s="100">
        <v>92.283225243182656</v>
      </c>
      <c r="F1653" s="100">
        <v>-1305.221814054137</v>
      </c>
      <c r="G1653" s="100">
        <v>713.29144493833496</v>
      </c>
      <c r="H1653" s="100">
        <v>2260.6282238752156</v>
      </c>
      <c r="I1653" s="100">
        <v>1097.4144115185709</v>
      </c>
      <c r="J1653" s="100">
        <v>2766.1122662779844</v>
      </c>
    </row>
    <row r="1654" spans="1:10" x14ac:dyDescent="0.25">
      <c r="A1654">
        <v>1637</v>
      </c>
      <c r="B1654" s="100">
        <v>89.724652968703865</v>
      </c>
      <c r="C1654" s="100">
        <v>97.578122672132608</v>
      </c>
      <c r="D1654" s="100">
        <v>91.825857145647248</v>
      </c>
      <c r="E1654" s="100">
        <v>94.96588377615447</v>
      </c>
      <c r="F1654" s="100">
        <v>-564.33819301322364</v>
      </c>
      <c r="G1654" s="100">
        <v>947.65025174426398</v>
      </c>
      <c r="H1654" s="100">
        <v>1980.445919678715</v>
      </c>
      <c r="I1654" s="100">
        <v>-1585.2441214532432</v>
      </c>
      <c r="J1654" s="100">
        <v>778.51385695651197</v>
      </c>
    </row>
    <row r="1655" spans="1:10" x14ac:dyDescent="0.25">
      <c r="A1655">
        <v>1638</v>
      </c>
      <c r="B1655" s="100">
        <v>89.86829389270433</v>
      </c>
      <c r="C1655" s="100">
        <v>98.059029294148985</v>
      </c>
      <c r="D1655" s="100">
        <v>93.561724423151219</v>
      </c>
      <c r="E1655" s="100">
        <v>92.164033514704272</v>
      </c>
      <c r="F1655" s="100">
        <v>-1038.3532422147582</v>
      </c>
      <c r="G1655" s="100">
        <v>226.29031871969829</v>
      </c>
      <c r="H1655" s="100">
        <v>-1491.2886353292265</v>
      </c>
      <c r="I1655" s="100">
        <v>1216.6061399969549</v>
      </c>
      <c r="J1655" s="100">
        <v>-1086.7454188273314</v>
      </c>
    </row>
    <row r="1656" spans="1:10" x14ac:dyDescent="0.25">
      <c r="A1656">
        <v>1639</v>
      </c>
      <c r="B1656" s="100">
        <v>89.033106339754909</v>
      </c>
      <c r="C1656" s="100">
        <v>98.794139834243964</v>
      </c>
      <c r="D1656" s="100">
        <v>93.019934203738259</v>
      </c>
      <c r="E1656" s="100">
        <v>95.607182276329141</v>
      </c>
      <c r="F1656" s="100">
        <v>1717.7656825183306</v>
      </c>
      <c r="G1656" s="100">
        <v>-876.37549142277044</v>
      </c>
      <c r="H1656" s="100">
        <v>-407.70819650330736</v>
      </c>
      <c r="I1656" s="100">
        <v>-2226.5426216279138</v>
      </c>
      <c r="J1656" s="100">
        <v>-1792.8606270356611</v>
      </c>
    </row>
    <row r="1657" spans="1:10" x14ac:dyDescent="0.25">
      <c r="A1657">
        <v>1640</v>
      </c>
      <c r="B1657" s="100">
        <v>88.920455500639974</v>
      </c>
      <c r="C1657" s="100">
        <v>98.536877370432606</v>
      </c>
      <c r="D1657" s="100">
        <v>91.404624811840748</v>
      </c>
      <c r="E1657" s="100">
        <v>93.675502976798938</v>
      </c>
      <c r="F1657" s="100">
        <v>2089.5134515976138</v>
      </c>
      <c r="G1657" s="100">
        <v>-490.48179570573325</v>
      </c>
      <c r="H1657" s="100">
        <v>2822.9105872917162</v>
      </c>
      <c r="I1657" s="100">
        <v>-294.86332209771149</v>
      </c>
      <c r="J1657" s="100">
        <v>4127.0789210858848</v>
      </c>
    </row>
    <row r="1658" spans="1:10" x14ac:dyDescent="0.25">
      <c r="A1658">
        <v>1641</v>
      </c>
      <c r="B1658" s="100">
        <v>88.76196415586702</v>
      </c>
      <c r="C1658" s="100">
        <v>98.58425076089523</v>
      </c>
      <c r="D1658" s="100">
        <v>92.11864276808069</v>
      </c>
      <c r="E1658" s="100">
        <v>91.59470298937886</v>
      </c>
      <c r="F1658" s="100">
        <v>2612.5348893483647</v>
      </c>
      <c r="G1658" s="100">
        <v>-561.54188139966982</v>
      </c>
      <c r="H1658" s="100">
        <v>1394.874674811831</v>
      </c>
      <c r="I1658" s="100">
        <v>1785.9366653223674</v>
      </c>
      <c r="J1658" s="100">
        <v>5231.8043480828928</v>
      </c>
    </row>
    <row r="1659" spans="1:10" x14ac:dyDescent="0.25">
      <c r="A1659">
        <v>1642</v>
      </c>
      <c r="B1659" s="100">
        <v>89.986125778985325</v>
      </c>
      <c r="C1659" s="100">
        <v>97.981067674190882</v>
      </c>
      <c r="D1659" s="100">
        <v>90.757444654537309</v>
      </c>
      <c r="E1659" s="100">
        <v>93.295432279734641</v>
      </c>
      <c r="F1659" s="100">
        <v>-1427.1984669420449</v>
      </c>
      <c r="G1659" s="100">
        <v>343.23274865685249</v>
      </c>
      <c r="H1659" s="100">
        <v>4117.2709018985925</v>
      </c>
      <c r="I1659" s="100">
        <v>85.207374966586258</v>
      </c>
      <c r="J1659" s="100">
        <v>3118.512558579986</v>
      </c>
    </row>
    <row r="1660" spans="1:10" x14ac:dyDescent="0.25">
      <c r="A1660">
        <v>1643</v>
      </c>
      <c r="B1660" s="100">
        <v>90.441300138468691</v>
      </c>
      <c r="C1660" s="100">
        <v>98.671730887477111</v>
      </c>
      <c r="D1660" s="100">
        <v>94.020038932040777</v>
      </c>
      <c r="E1660" s="100">
        <v>91.681384316795544</v>
      </c>
      <c r="F1660" s="100">
        <v>-2929.27385323715</v>
      </c>
      <c r="G1660" s="100">
        <v>-692.76207127249018</v>
      </c>
      <c r="H1660" s="100">
        <v>-2407.9176531083422</v>
      </c>
      <c r="I1660" s="100">
        <v>1699.2553379056831</v>
      </c>
      <c r="J1660" s="100">
        <v>-4330.6982397122993</v>
      </c>
    </row>
    <row r="1661" spans="1:10" x14ac:dyDescent="0.25">
      <c r="A1661">
        <v>1644</v>
      </c>
      <c r="B1661" s="100">
        <v>89.429612370931878</v>
      </c>
      <c r="C1661" s="100">
        <v>98.78176015621959</v>
      </c>
      <c r="D1661" s="100">
        <v>94.010009945880881</v>
      </c>
      <c r="E1661" s="100">
        <v>91.189455641314353</v>
      </c>
      <c r="F1661" s="100">
        <v>409.29577963433275</v>
      </c>
      <c r="G1661" s="100">
        <v>-857.80597438620987</v>
      </c>
      <c r="H1661" s="100">
        <v>-2387.8596807885515</v>
      </c>
      <c r="I1661" s="100">
        <v>2191.1840133868736</v>
      </c>
      <c r="J1661" s="100">
        <v>-645.18586215355481</v>
      </c>
    </row>
    <row r="1662" spans="1:10" x14ac:dyDescent="0.25">
      <c r="A1662">
        <v>1645</v>
      </c>
      <c r="B1662" s="100">
        <v>89.558283226308504</v>
      </c>
      <c r="C1662" s="100">
        <v>99.44932118862954</v>
      </c>
      <c r="D1662" s="100">
        <v>91.723045476388876</v>
      </c>
      <c r="E1662" s="100">
        <v>92.16194230738229</v>
      </c>
      <c r="F1662" s="100">
        <v>-15.318043108533175</v>
      </c>
      <c r="G1662" s="100">
        <v>-1859.147523001134</v>
      </c>
      <c r="H1662" s="100">
        <v>2186.0692581954595</v>
      </c>
      <c r="I1662" s="100">
        <v>1218.6973473189369</v>
      </c>
      <c r="J1662" s="100">
        <v>1530.3010394047292</v>
      </c>
    </row>
    <row r="1663" spans="1:10" x14ac:dyDescent="0.25">
      <c r="A1663">
        <v>1646</v>
      </c>
      <c r="B1663" s="100">
        <v>89.734269922369592</v>
      </c>
      <c r="C1663" s="100">
        <v>97.125423729288244</v>
      </c>
      <c r="D1663" s="100">
        <v>93.351615586850954</v>
      </c>
      <c r="E1663" s="100">
        <v>95.383156635458505</v>
      </c>
      <c r="F1663" s="100">
        <v>-596.07414011012315</v>
      </c>
      <c r="G1663" s="100">
        <v>1626.6986660108103</v>
      </c>
      <c r="H1663" s="100">
        <v>-1071.0709627286974</v>
      </c>
      <c r="I1663" s="100">
        <v>-2002.5169807572779</v>
      </c>
      <c r="J1663" s="100">
        <v>-2042.9634175852882</v>
      </c>
    </row>
    <row r="1664" spans="1:10" x14ac:dyDescent="0.25">
      <c r="A1664">
        <v>1647</v>
      </c>
      <c r="B1664" s="100">
        <v>89.371164401649921</v>
      </c>
      <c r="C1664" s="100">
        <v>98.399177124740007</v>
      </c>
      <c r="D1664" s="100">
        <v>93.466431217415163</v>
      </c>
      <c r="E1664" s="100">
        <v>95.691845211724669</v>
      </c>
      <c r="F1664" s="100">
        <v>602.17407826479098</v>
      </c>
      <c r="G1664" s="100">
        <v>-283.93142716683428</v>
      </c>
      <c r="H1664" s="100">
        <v>-1300.7022238571153</v>
      </c>
      <c r="I1664" s="100">
        <v>-2311.2055570234415</v>
      </c>
      <c r="J1664" s="100">
        <v>-3293.6651297826002</v>
      </c>
    </row>
    <row r="1665" spans="1:10" x14ac:dyDescent="0.25">
      <c r="A1665">
        <v>1648</v>
      </c>
      <c r="B1665" s="100">
        <v>89.450735920264947</v>
      </c>
      <c r="C1665" s="100">
        <v>97.195679813796446</v>
      </c>
      <c r="D1665" s="100">
        <v>91.964967044310313</v>
      </c>
      <c r="E1665" s="100">
        <v>94.371388291094362</v>
      </c>
      <c r="F1665" s="100">
        <v>339.58806683520493</v>
      </c>
      <c r="G1665" s="100">
        <v>1521.3145392485076</v>
      </c>
      <c r="H1665" s="100">
        <v>1702.2261223525845</v>
      </c>
      <c r="I1665" s="100">
        <v>-990.74863639313548</v>
      </c>
      <c r="J1665" s="100">
        <v>2572.3800920431613</v>
      </c>
    </row>
    <row r="1666" spans="1:10" x14ac:dyDescent="0.25">
      <c r="A1666">
        <v>1649</v>
      </c>
      <c r="B1666" s="100">
        <v>90.15031790084474</v>
      </c>
      <c r="C1666" s="100">
        <v>99.650785077640109</v>
      </c>
      <c r="D1666" s="100">
        <v>92.56140331348881</v>
      </c>
      <c r="E1666" s="100">
        <v>92.952981766704539</v>
      </c>
      <c r="F1666" s="100">
        <v>-1969.032469078114</v>
      </c>
      <c r="G1666" s="100">
        <v>-2161.3433565169871</v>
      </c>
      <c r="H1666" s="100">
        <v>509.3535839955905</v>
      </c>
      <c r="I1666" s="100">
        <v>427.65788799668769</v>
      </c>
      <c r="J1666" s="100">
        <v>-3193.3643536028235</v>
      </c>
    </row>
    <row r="1667" spans="1:10" x14ac:dyDescent="0.25">
      <c r="A1667">
        <v>1650</v>
      </c>
      <c r="B1667" s="100">
        <v>90.14490447469764</v>
      </c>
      <c r="C1667" s="100">
        <v>97.897891842783366</v>
      </c>
      <c r="D1667" s="100">
        <v>91.417956035308293</v>
      </c>
      <c r="E1667" s="100">
        <v>91.599062586445967</v>
      </c>
      <c r="F1667" s="100">
        <v>-1951.1681627926819</v>
      </c>
      <c r="G1667" s="100">
        <v>467.99649576812641</v>
      </c>
      <c r="H1667" s="100">
        <v>2796.2481403566244</v>
      </c>
      <c r="I1667" s="100">
        <v>1781.5770682552597</v>
      </c>
      <c r="J1667" s="100">
        <v>3094.6535415873286</v>
      </c>
    </row>
    <row r="1668" spans="1:10" x14ac:dyDescent="0.25">
      <c r="A1668">
        <v>1651</v>
      </c>
      <c r="B1668" s="100">
        <v>88.970024662346262</v>
      </c>
      <c r="C1668" s="100">
        <v>97.637141919499143</v>
      </c>
      <c r="D1668" s="100">
        <v>95.285839883006048</v>
      </c>
      <c r="E1668" s="100">
        <v>94.343689046287267</v>
      </c>
      <c r="F1668" s="100">
        <v>1925.9352179668654</v>
      </c>
      <c r="G1668" s="100">
        <v>859.12138069446087</v>
      </c>
      <c r="H1668" s="100">
        <v>-4939.5195550388853</v>
      </c>
      <c r="I1668" s="100">
        <v>-963.04939158603986</v>
      </c>
      <c r="J1668" s="100">
        <v>-3117.5123479635986</v>
      </c>
    </row>
    <row r="1669" spans="1:10" x14ac:dyDescent="0.25">
      <c r="A1669">
        <v>1652</v>
      </c>
      <c r="B1669" s="100">
        <v>90.842462376346816</v>
      </c>
      <c r="C1669" s="100">
        <v>98.761268981589524</v>
      </c>
      <c r="D1669" s="100">
        <v>91.316783973072901</v>
      </c>
      <c r="E1669" s="100">
        <v>92.182759444898494</v>
      </c>
      <c r="F1669" s="100">
        <v>-4253.1092382349643</v>
      </c>
      <c r="G1669" s="100">
        <v>-827.06921244110981</v>
      </c>
      <c r="H1669" s="100">
        <v>2998.5922648274081</v>
      </c>
      <c r="I1669" s="100">
        <v>1197.8802098027331</v>
      </c>
      <c r="J1669" s="100">
        <v>-883.70597604593286</v>
      </c>
    </row>
    <row r="1670" spans="1:10" x14ac:dyDescent="0.25">
      <c r="A1670">
        <v>1653</v>
      </c>
      <c r="B1670" s="100">
        <v>88.655224542447399</v>
      </c>
      <c r="C1670" s="100">
        <v>98.873999746191615</v>
      </c>
      <c r="D1670" s="100">
        <v>92.507921780087344</v>
      </c>
      <c r="E1670" s="100">
        <v>92.705646957056473</v>
      </c>
      <c r="F1670" s="100">
        <v>2964.7756136331109</v>
      </c>
      <c r="G1670" s="100">
        <v>-996.16535934424633</v>
      </c>
      <c r="H1670" s="100">
        <v>616.31665079852382</v>
      </c>
      <c r="I1670" s="100">
        <v>674.992697644754</v>
      </c>
      <c r="J1670" s="100">
        <v>3259.9196027321423</v>
      </c>
    </row>
    <row r="1671" spans="1:10" x14ac:dyDescent="0.25">
      <c r="A1671">
        <v>1654</v>
      </c>
      <c r="B1671" s="100">
        <v>89.979296943769455</v>
      </c>
      <c r="C1671" s="100">
        <v>98.915486978419054</v>
      </c>
      <c r="D1671" s="100">
        <v>91.662600442506374</v>
      </c>
      <c r="E1671" s="100">
        <v>93.49325798101701</v>
      </c>
      <c r="F1671" s="100">
        <v>-1404.6633107296727</v>
      </c>
      <c r="G1671" s="100">
        <v>-1058.396207685405</v>
      </c>
      <c r="H1671" s="100">
        <v>2306.959325960463</v>
      </c>
      <c r="I1671" s="100">
        <v>-112.61832631578272</v>
      </c>
      <c r="J1671" s="100">
        <v>-268.71851877039762</v>
      </c>
    </row>
    <row r="1672" spans="1:10" x14ac:dyDescent="0.25">
      <c r="A1672">
        <v>1655</v>
      </c>
      <c r="B1672" s="100">
        <v>89.572846504767966</v>
      </c>
      <c r="C1672" s="100">
        <v>98.004167329472736</v>
      </c>
      <c r="D1672" s="100">
        <v>94.612130868991827</v>
      </c>
      <c r="E1672" s="100">
        <v>93.956249239763935</v>
      </c>
      <c r="F1672" s="100">
        <v>-63.376862024759362</v>
      </c>
      <c r="G1672" s="100">
        <v>308.58326573407169</v>
      </c>
      <c r="H1672" s="100">
        <v>-3592.1015270104417</v>
      </c>
      <c r="I1672" s="100">
        <v>-575.60958506270765</v>
      </c>
      <c r="J1672" s="100">
        <v>-3922.5047083638369</v>
      </c>
    </row>
    <row r="1673" spans="1:10" x14ac:dyDescent="0.25">
      <c r="A1673">
        <v>1656</v>
      </c>
      <c r="B1673" s="100">
        <v>90.202289097359255</v>
      </c>
      <c r="C1673" s="100">
        <v>99.522482804561321</v>
      </c>
      <c r="D1673" s="100">
        <v>92.852608926667841</v>
      </c>
      <c r="E1673" s="100">
        <v>94.187949646542677</v>
      </c>
      <c r="F1673" s="100">
        <v>-2140.537417576013</v>
      </c>
      <c r="G1673" s="100">
        <v>-1968.8899468988054</v>
      </c>
      <c r="H1673" s="100">
        <v>-73.057642362471142</v>
      </c>
      <c r="I1673" s="100">
        <v>-807.30999184144991</v>
      </c>
      <c r="J1673" s="100">
        <v>-4989.7949986787389</v>
      </c>
    </row>
    <row r="1674" spans="1:10" x14ac:dyDescent="0.25">
      <c r="A1674">
        <v>1657</v>
      </c>
      <c r="B1674" s="100">
        <v>89.495834959019206</v>
      </c>
      <c r="C1674" s="100">
        <v>98.625353933715814</v>
      </c>
      <c r="D1674" s="100">
        <v>91.719565435834028</v>
      </c>
      <c r="E1674" s="100">
        <v>92.669298959467312</v>
      </c>
      <c r="F1674" s="100">
        <v>190.76123894615051</v>
      </c>
      <c r="G1674" s="100">
        <v>-623.19664063054597</v>
      </c>
      <c r="H1674" s="100">
        <v>2193.0293393051556</v>
      </c>
      <c r="I1674" s="100">
        <v>711.34069523391474</v>
      </c>
      <c r="J1674" s="100">
        <v>2471.9346328546749</v>
      </c>
    </row>
    <row r="1675" spans="1:10" x14ac:dyDescent="0.25">
      <c r="A1675">
        <v>1658</v>
      </c>
      <c r="B1675" s="100">
        <v>89.640313077885452</v>
      </c>
      <c r="C1675" s="100">
        <v>99.054771375427677</v>
      </c>
      <c r="D1675" s="100">
        <v>93.939183493595138</v>
      </c>
      <c r="E1675" s="100">
        <v>94.503926969640659</v>
      </c>
      <c r="F1675" s="100">
        <v>-286.0165533124615</v>
      </c>
      <c r="G1675" s="100">
        <v>-1267.3228031983399</v>
      </c>
      <c r="H1675" s="100">
        <v>-2246.2067762170645</v>
      </c>
      <c r="I1675" s="100">
        <v>-1123.2873149394322</v>
      </c>
      <c r="J1675" s="100">
        <v>-4922.8334476672981</v>
      </c>
    </row>
    <row r="1676" spans="1:10" x14ac:dyDescent="0.25">
      <c r="A1676">
        <v>1659</v>
      </c>
      <c r="B1676" s="100">
        <v>89.296782659149585</v>
      </c>
      <c r="C1676" s="100">
        <v>97.331632362951368</v>
      </c>
      <c r="D1676" s="100">
        <v>91.627681407557574</v>
      </c>
      <c r="E1676" s="100">
        <v>94.276547263943243</v>
      </c>
      <c r="F1676" s="100">
        <v>847.63382851589881</v>
      </c>
      <c r="G1676" s="100">
        <v>1317.3857155161245</v>
      </c>
      <c r="H1676" s="100">
        <v>2376.7973958580624</v>
      </c>
      <c r="I1676" s="100">
        <v>-895.90760924201618</v>
      </c>
      <c r="J1676" s="100">
        <v>3645.909330648069</v>
      </c>
    </row>
    <row r="1677" spans="1:10" x14ac:dyDescent="0.25">
      <c r="A1677">
        <v>1660</v>
      </c>
      <c r="B1677" s="100">
        <v>89.225377680899939</v>
      </c>
      <c r="C1677" s="100">
        <v>99.832159927685183</v>
      </c>
      <c r="D1677" s="100">
        <v>91.808414175898804</v>
      </c>
      <c r="E1677" s="100">
        <v>94.248187107124096</v>
      </c>
      <c r="F1677" s="100">
        <v>1083.2702567397305</v>
      </c>
      <c r="G1677" s="100">
        <v>-2433.4056315845983</v>
      </c>
      <c r="H1677" s="100">
        <v>2015.3318591756033</v>
      </c>
      <c r="I1677" s="100">
        <v>-867.54745242286901</v>
      </c>
      <c r="J1677" s="100">
        <v>-202.35096809213348</v>
      </c>
    </row>
    <row r="1678" spans="1:10" x14ac:dyDescent="0.25">
      <c r="A1678">
        <v>1661</v>
      </c>
      <c r="B1678" s="100">
        <v>90.173788050154442</v>
      </c>
      <c r="C1678" s="100">
        <v>97.19574275923901</v>
      </c>
      <c r="D1678" s="100">
        <v>92.657942585873684</v>
      </c>
      <c r="E1678" s="100">
        <v>92.790705641321878</v>
      </c>
      <c r="F1678" s="100">
        <v>-2046.4839618001306</v>
      </c>
      <c r="G1678" s="100">
        <v>1521.2201210846601</v>
      </c>
      <c r="H1678" s="100">
        <v>316.2750392258431</v>
      </c>
      <c r="I1678" s="100">
        <v>589.9340133793487</v>
      </c>
      <c r="J1678" s="100">
        <v>380.94521188972135</v>
      </c>
    </row>
    <row r="1679" spans="1:10" x14ac:dyDescent="0.25">
      <c r="A1679">
        <v>1662</v>
      </c>
      <c r="B1679" s="100">
        <v>89.594729927897092</v>
      </c>
      <c r="C1679" s="100">
        <v>99.093530194838095</v>
      </c>
      <c r="D1679" s="100">
        <v>92.378718111989883</v>
      </c>
      <c r="E1679" s="100">
        <v>93.05424148093222</v>
      </c>
      <c r="F1679" s="100">
        <v>-135.59215835087315</v>
      </c>
      <c r="G1679" s="100">
        <v>-1325.4610323139673</v>
      </c>
      <c r="H1679" s="100">
        <v>874.72398699344467</v>
      </c>
      <c r="I1679" s="100">
        <v>326.39817376900737</v>
      </c>
      <c r="J1679" s="100">
        <v>-259.93102990238845</v>
      </c>
    </row>
    <row r="1680" spans="1:10" x14ac:dyDescent="0.25">
      <c r="A1680">
        <v>1663</v>
      </c>
      <c r="B1680" s="100">
        <v>89.473569549747168</v>
      </c>
      <c r="C1680" s="100">
        <v>97.384921705611319</v>
      </c>
      <c r="D1680" s="100">
        <v>92.675084446837317</v>
      </c>
      <c r="E1680" s="100">
        <v>93.66388462043686</v>
      </c>
      <c r="F1680" s="100">
        <v>264.2370895438745</v>
      </c>
      <c r="G1680" s="100">
        <v>1237.4517015261972</v>
      </c>
      <c r="H1680" s="100">
        <v>281.9913172985764</v>
      </c>
      <c r="I1680" s="100">
        <v>-283.24496573563351</v>
      </c>
      <c r="J1680" s="100">
        <v>1500.4351426330145</v>
      </c>
    </row>
    <row r="1681" spans="1:10" x14ac:dyDescent="0.25">
      <c r="A1681">
        <v>1664</v>
      </c>
      <c r="B1681" s="100">
        <v>90.158771248972513</v>
      </c>
      <c r="C1681" s="100">
        <v>97.068209245241064</v>
      </c>
      <c r="D1681" s="100">
        <v>94.122706965793839</v>
      </c>
      <c r="E1681" s="100">
        <v>91.877443167634695</v>
      </c>
      <c r="F1681" s="100">
        <v>-1996.9285178997652</v>
      </c>
      <c r="G1681" s="100">
        <v>1712.5203920815793</v>
      </c>
      <c r="H1681" s="100">
        <v>-2613.2537206144661</v>
      </c>
      <c r="I1681" s="100">
        <v>1503.196487066532</v>
      </c>
      <c r="J1681" s="100">
        <v>-1394.4653593661201</v>
      </c>
    </row>
    <row r="1682" spans="1:10" x14ac:dyDescent="0.25">
      <c r="A1682">
        <v>1665</v>
      </c>
      <c r="B1682" s="100">
        <v>89.68064343054084</v>
      </c>
      <c r="C1682" s="100">
        <v>96.395679434008301</v>
      </c>
      <c r="D1682" s="100">
        <v>94.410328370065614</v>
      </c>
      <c r="E1682" s="100">
        <v>96.038793502428589</v>
      </c>
      <c r="F1682" s="100">
        <v>-419.1067170752433</v>
      </c>
      <c r="G1682" s="100">
        <v>2721.3151089307248</v>
      </c>
      <c r="H1682" s="100">
        <v>-3188.4965291580156</v>
      </c>
      <c r="I1682" s="100">
        <v>-2658.1538477273625</v>
      </c>
      <c r="J1682" s="100">
        <v>-3544.4419850298964</v>
      </c>
    </row>
    <row r="1683" spans="1:10" x14ac:dyDescent="0.25">
      <c r="A1683">
        <v>1666</v>
      </c>
      <c r="B1683" s="100">
        <v>89.422141796250884</v>
      </c>
      <c r="C1683" s="100">
        <v>99.63198015061819</v>
      </c>
      <c r="D1683" s="100">
        <v>93.583892573073797</v>
      </c>
      <c r="E1683" s="100">
        <v>91.057512356407955</v>
      </c>
      <c r="F1683" s="100">
        <v>433.94867608161292</v>
      </c>
      <c r="G1683" s="100">
        <v>-2133.13596598411</v>
      </c>
      <c r="H1683" s="100">
        <v>-1535.6249351743827</v>
      </c>
      <c r="I1683" s="100">
        <v>2323.1272982932724</v>
      </c>
      <c r="J1683" s="100">
        <v>-911.68492678360735</v>
      </c>
    </row>
    <row r="1684" spans="1:10" x14ac:dyDescent="0.25">
      <c r="A1684">
        <v>1667</v>
      </c>
      <c r="B1684" s="100">
        <v>90.023959136932021</v>
      </c>
      <c r="C1684" s="100">
        <v>98.088304913217925</v>
      </c>
      <c r="D1684" s="100">
        <v>94.027505293314974</v>
      </c>
      <c r="E1684" s="100">
        <v>95.180787906133489</v>
      </c>
      <c r="F1684" s="100">
        <v>-1552.0485481661397</v>
      </c>
      <c r="G1684" s="100">
        <v>182.37689011628788</v>
      </c>
      <c r="H1684" s="100">
        <v>-2422.8503756567361</v>
      </c>
      <c r="I1684" s="100">
        <v>-1800.1482514322618</v>
      </c>
      <c r="J1684" s="100">
        <v>-5592.67028513885</v>
      </c>
    </row>
    <row r="1685" spans="1:10" x14ac:dyDescent="0.25">
      <c r="A1685">
        <v>1668</v>
      </c>
      <c r="B1685" s="100">
        <v>89.14727544205806</v>
      </c>
      <c r="C1685" s="100">
        <v>98.075383975184636</v>
      </c>
      <c r="D1685" s="100">
        <v>93.236043349458001</v>
      </c>
      <c r="E1685" s="100">
        <v>93.077216356884676</v>
      </c>
      <c r="F1685" s="100">
        <v>1341.0076449179314</v>
      </c>
      <c r="G1685" s="100">
        <v>201.75829716622218</v>
      </c>
      <c r="H1685" s="100">
        <v>-839.92648794279035</v>
      </c>
      <c r="I1685" s="100">
        <v>303.42329781655053</v>
      </c>
      <c r="J1685" s="100">
        <v>1006.2627519579139</v>
      </c>
    </row>
    <row r="1686" spans="1:10" x14ac:dyDescent="0.25">
      <c r="A1686">
        <v>1669</v>
      </c>
      <c r="B1686" s="100">
        <v>89.253720074715432</v>
      </c>
      <c r="C1686" s="100">
        <v>97.110860684715462</v>
      </c>
      <c r="D1686" s="100">
        <v>93.689122521389692</v>
      </c>
      <c r="E1686" s="100">
        <v>90.657740736743577</v>
      </c>
      <c r="F1686" s="100">
        <v>989.7403571486052</v>
      </c>
      <c r="G1686" s="100">
        <v>1648.5432328699831</v>
      </c>
      <c r="H1686" s="100">
        <v>-1746.0848318061721</v>
      </c>
      <c r="I1686" s="100">
        <v>2722.8989179576502</v>
      </c>
      <c r="J1686" s="100">
        <v>3615.0976761700663</v>
      </c>
    </row>
    <row r="1687" spans="1:10" x14ac:dyDescent="0.25">
      <c r="A1687">
        <v>1670</v>
      </c>
      <c r="B1687" s="100">
        <v>89.928167571602643</v>
      </c>
      <c r="C1687" s="100">
        <v>99.706506718877492</v>
      </c>
      <c r="D1687" s="100">
        <v>92.291292605278926</v>
      </c>
      <c r="E1687" s="100">
        <v>93.070557685797382</v>
      </c>
      <c r="F1687" s="100">
        <v>-1235.9363825791916</v>
      </c>
      <c r="G1687" s="100">
        <v>-2244.9258183730622</v>
      </c>
      <c r="H1687" s="100">
        <v>1049.5750004153592</v>
      </c>
      <c r="I1687" s="100">
        <v>310.08196890384454</v>
      </c>
      <c r="J1687" s="100">
        <v>-2121.2052316330501</v>
      </c>
    </row>
    <row r="1688" spans="1:10" x14ac:dyDescent="0.25">
      <c r="A1688">
        <v>1671</v>
      </c>
      <c r="B1688" s="100">
        <v>90.219790765071394</v>
      </c>
      <c r="C1688" s="100">
        <v>98.32506133267438</v>
      </c>
      <c r="D1688" s="100">
        <v>91.315886628845703</v>
      </c>
      <c r="E1688" s="100">
        <v>92.5814572486656</v>
      </c>
      <c r="F1688" s="100">
        <v>-2198.2929210260722</v>
      </c>
      <c r="G1688" s="100">
        <v>-172.75773906839476</v>
      </c>
      <c r="H1688" s="100">
        <v>3000.3869532818044</v>
      </c>
      <c r="I1688" s="100">
        <v>799.18240603562651</v>
      </c>
      <c r="J1688" s="100">
        <v>1428.5186992229642</v>
      </c>
    </row>
    <row r="1689" spans="1:10" x14ac:dyDescent="0.25">
      <c r="A1689">
        <v>1672</v>
      </c>
      <c r="B1689" s="100">
        <v>89.574406626457474</v>
      </c>
      <c r="C1689" s="100">
        <v>98.723564476157748</v>
      </c>
      <c r="D1689" s="100">
        <v>94.024402415222866</v>
      </c>
      <c r="E1689" s="100">
        <v>92.164152185745309</v>
      </c>
      <c r="F1689" s="100">
        <v>-68.525263600135133</v>
      </c>
      <c r="G1689" s="100">
        <v>-770.51245429344567</v>
      </c>
      <c r="H1689" s="100">
        <v>-2416.6446194725213</v>
      </c>
      <c r="I1689" s="100">
        <v>1216.4874689559183</v>
      </c>
      <c r="J1689" s="100">
        <v>-2039.1948684101835</v>
      </c>
    </row>
    <row r="1690" spans="1:10" x14ac:dyDescent="0.25">
      <c r="A1690">
        <v>1673</v>
      </c>
      <c r="B1690" s="100">
        <v>89.645794575904489</v>
      </c>
      <c r="C1690" s="100">
        <v>97.82079231943419</v>
      </c>
      <c r="D1690" s="100">
        <v>91.515924511667521</v>
      </c>
      <c r="E1690" s="100">
        <v>91.952052744083133</v>
      </c>
      <c r="F1690" s="100">
        <v>-304.10549677528422</v>
      </c>
      <c r="G1690" s="100">
        <v>583.6457807918905</v>
      </c>
      <c r="H1690" s="100">
        <v>2600.3111876381695</v>
      </c>
      <c r="I1690" s="100">
        <v>1428.586910618094</v>
      </c>
      <c r="J1690" s="100">
        <v>4308.4383822728696</v>
      </c>
    </row>
    <row r="1691" spans="1:10" x14ac:dyDescent="0.25">
      <c r="A1691">
        <v>1674</v>
      </c>
      <c r="B1691" s="100">
        <v>89.051673408173883</v>
      </c>
      <c r="C1691" s="100">
        <v>99.527256341151812</v>
      </c>
      <c r="D1691" s="100">
        <v>92.114045562267009</v>
      </c>
      <c r="E1691" s="100">
        <v>89.787529447217096</v>
      </c>
      <c r="F1691" s="100">
        <v>1656.4943567357147</v>
      </c>
      <c r="G1691" s="100">
        <v>-1976.0502517845425</v>
      </c>
      <c r="H1691" s="100">
        <v>1404.0690864391934</v>
      </c>
      <c r="I1691" s="100">
        <v>3593.1102074841306</v>
      </c>
      <c r="J1691" s="100">
        <v>4677.6233988744962</v>
      </c>
    </row>
    <row r="1692" spans="1:10" x14ac:dyDescent="0.25">
      <c r="A1692">
        <v>1675</v>
      </c>
      <c r="B1692" s="100">
        <v>90.075445068565557</v>
      </c>
      <c r="C1692" s="100">
        <v>97.719441890722024</v>
      </c>
      <c r="D1692" s="100">
        <v>93.796496425729828</v>
      </c>
      <c r="E1692" s="100">
        <v>91.773558576479402</v>
      </c>
      <c r="F1692" s="100">
        <v>-1721.9521225568087</v>
      </c>
      <c r="G1692" s="100">
        <v>735.67142386013984</v>
      </c>
      <c r="H1692" s="100">
        <v>-1960.8326404864442</v>
      </c>
      <c r="I1692" s="100">
        <v>1607.0810782218246</v>
      </c>
      <c r="J1692" s="100">
        <v>-1340.0322609612886</v>
      </c>
    </row>
    <row r="1693" spans="1:10" x14ac:dyDescent="0.25">
      <c r="A1693">
        <v>1676</v>
      </c>
      <c r="B1693" s="100">
        <v>89.294484987122203</v>
      </c>
      <c r="C1693" s="100">
        <v>98.645808972223648</v>
      </c>
      <c r="D1693" s="100">
        <v>92.995017318373684</v>
      </c>
      <c r="E1693" s="100">
        <v>94.416372122203938</v>
      </c>
      <c r="F1693" s="100">
        <v>855.2161462062586</v>
      </c>
      <c r="G1693" s="100">
        <v>-653.8791983922963</v>
      </c>
      <c r="H1693" s="100">
        <v>-357.87442577415618</v>
      </c>
      <c r="I1693" s="100">
        <v>-1035.7324675027116</v>
      </c>
      <c r="J1693" s="100">
        <v>-1192.2699454629055</v>
      </c>
    </row>
    <row r="1694" spans="1:10" x14ac:dyDescent="0.25">
      <c r="A1694">
        <v>1677</v>
      </c>
      <c r="B1694" s="100">
        <v>89.008591538473581</v>
      </c>
      <c r="C1694" s="100">
        <v>98.755710523334898</v>
      </c>
      <c r="D1694" s="100">
        <v>92.151415343002313</v>
      </c>
      <c r="E1694" s="100">
        <v>93.796921017270037</v>
      </c>
      <c r="F1694" s="100">
        <v>1798.6645267467111</v>
      </c>
      <c r="G1694" s="100">
        <v>-818.73152505917096</v>
      </c>
      <c r="H1694" s="100">
        <v>1329.3295249685855</v>
      </c>
      <c r="I1694" s="100">
        <v>-416.28136256881021</v>
      </c>
      <c r="J1694" s="100">
        <v>1892.9811640873152</v>
      </c>
    </row>
    <row r="1695" spans="1:10" x14ac:dyDescent="0.25">
      <c r="A1695">
        <v>1678</v>
      </c>
      <c r="B1695" s="100">
        <v>89.826714527067097</v>
      </c>
      <c r="C1695" s="100">
        <v>96.615171910822085</v>
      </c>
      <c r="D1695" s="100">
        <v>92.91707335547207</v>
      </c>
      <c r="E1695" s="100">
        <v>95.545918006315119</v>
      </c>
      <c r="F1695" s="100">
        <v>-901.14133561188942</v>
      </c>
      <c r="G1695" s="100">
        <v>2392.0763937100487</v>
      </c>
      <c r="H1695" s="100">
        <v>-201.98649997092843</v>
      </c>
      <c r="I1695" s="100">
        <v>-2165.2783516138925</v>
      </c>
      <c r="J1695" s="100">
        <v>-876.32979348666163</v>
      </c>
    </row>
    <row r="1696" spans="1:10" x14ac:dyDescent="0.25">
      <c r="A1696">
        <v>1679</v>
      </c>
      <c r="B1696" s="100">
        <v>89.773297280770379</v>
      </c>
      <c r="C1696" s="100">
        <v>100.00041751850814</v>
      </c>
      <c r="D1696" s="100">
        <v>92.283935710856156</v>
      </c>
      <c r="E1696" s="100">
        <v>93.97033913231131</v>
      </c>
      <c r="F1696" s="100">
        <v>-724.86442283272083</v>
      </c>
      <c r="G1696" s="100">
        <v>-2685.7920178190398</v>
      </c>
      <c r="H1696" s="100">
        <v>1064.2887892608996</v>
      </c>
      <c r="I1696" s="100">
        <v>-589.69947761008257</v>
      </c>
      <c r="J1696" s="100">
        <v>-2936.0671290009432</v>
      </c>
    </row>
    <row r="1697" spans="1:10" x14ac:dyDescent="0.25">
      <c r="A1697">
        <v>1680</v>
      </c>
      <c r="B1697" s="100">
        <v>89.543950839125003</v>
      </c>
      <c r="C1697" s="100">
        <v>97.705635096039671</v>
      </c>
      <c r="D1697" s="100">
        <v>93.705650120687949</v>
      </c>
      <c r="E1697" s="100">
        <v>94.84820337987766</v>
      </c>
      <c r="F1697" s="100">
        <v>31.978834597019556</v>
      </c>
      <c r="G1697" s="100">
        <v>756.3816158836687</v>
      </c>
      <c r="H1697" s="100">
        <v>-1779.1400304026865</v>
      </c>
      <c r="I1697" s="100">
        <v>-1467.5637251764329</v>
      </c>
      <c r="J1697" s="100">
        <v>-2458.3433050984313</v>
      </c>
    </row>
    <row r="1698" spans="1:10" x14ac:dyDescent="0.25">
      <c r="A1698">
        <v>1681</v>
      </c>
      <c r="B1698" s="100">
        <v>89.861341113448347</v>
      </c>
      <c r="C1698" s="100">
        <v>98.604735303179282</v>
      </c>
      <c r="D1698" s="100">
        <v>91.40289484977275</v>
      </c>
      <c r="E1698" s="100">
        <v>92.715284518835645</v>
      </c>
      <c r="F1698" s="100">
        <v>-1015.409070670016</v>
      </c>
      <c r="G1698" s="100">
        <v>-592.26869482574784</v>
      </c>
      <c r="H1698" s="100">
        <v>2826.3705114277118</v>
      </c>
      <c r="I1698" s="100">
        <v>665.35513586558181</v>
      </c>
      <c r="J1698" s="100">
        <v>1884.0478817975297</v>
      </c>
    </row>
    <row r="1699" spans="1:10" x14ac:dyDescent="0.25">
      <c r="A1699">
        <v>1682</v>
      </c>
      <c r="B1699" s="100">
        <v>89.564674398489927</v>
      </c>
      <c r="C1699" s="100">
        <v>97.831411579733356</v>
      </c>
      <c r="D1699" s="100">
        <v>93.044206297047751</v>
      </c>
      <c r="E1699" s="100">
        <v>93.78724266086121</v>
      </c>
      <c r="F1699" s="100">
        <v>-36.408911307231051</v>
      </c>
      <c r="G1699" s="100">
        <v>567.71689034314227</v>
      </c>
      <c r="H1699" s="100">
        <v>-456.25238312229044</v>
      </c>
      <c r="I1699" s="100">
        <v>-406.60300615998324</v>
      </c>
      <c r="J1699" s="100">
        <v>-331.54741024636246</v>
      </c>
    </row>
    <row r="1700" spans="1:10" x14ac:dyDescent="0.25">
      <c r="A1700">
        <v>1683</v>
      </c>
      <c r="B1700" s="100">
        <v>89.992657037439116</v>
      </c>
      <c r="C1700" s="100">
        <v>97.911653173390178</v>
      </c>
      <c r="D1700" s="100">
        <v>93.031606966289019</v>
      </c>
      <c r="E1700" s="100">
        <v>91.325176201105151</v>
      </c>
      <c r="F1700" s="100">
        <v>-1448.751619839554</v>
      </c>
      <c r="G1700" s="100">
        <v>447.35449985790865</v>
      </c>
      <c r="H1700" s="100">
        <v>-431.05372160482602</v>
      </c>
      <c r="I1700" s="100">
        <v>2055.4634535960759</v>
      </c>
      <c r="J1700" s="100">
        <v>623.01261200960448</v>
      </c>
    </row>
    <row r="1701" spans="1:10" x14ac:dyDescent="0.25">
      <c r="A1701">
        <v>1684</v>
      </c>
      <c r="B1701" s="100">
        <v>89.876122831044739</v>
      </c>
      <c r="C1701" s="100">
        <v>97.974191860878818</v>
      </c>
      <c r="D1701" s="100">
        <v>91.728206703321007</v>
      </c>
      <c r="E1701" s="100">
        <v>95.597810071794399</v>
      </c>
      <c r="F1701" s="100">
        <v>-1064.1887387381103</v>
      </c>
      <c r="G1701" s="100">
        <v>353.54646862494832</v>
      </c>
      <c r="H1701" s="100">
        <v>2175.7468043311974</v>
      </c>
      <c r="I1701" s="100">
        <v>-2217.1704170931716</v>
      </c>
      <c r="J1701" s="100">
        <v>-752.06588287513614</v>
      </c>
    </row>
    <row r="1702" spans="1:10" x14ac:dyDescent="0.25">
      <c r="A1702">
        <v>1685</v>
      </c>
      <c r="B1702" s="100">
        <v>89.584997127798559</v>
      </c>
      <c r="C1702" s="100">
        <v>98.585837438255496</v>
      </c>
      <c r="D1702" s="100">
        <v>91.154336611807096</v>
      </c>
      <c r="E1702" s="100">
        <v>94.763083500446172</v>
      </c>
      <c r="F1702" s="100">
        <v>-103.4739180257148</v>
      </c>
      <c r="G1702" s="100">
        <v>-563.92189744006771</v>
      </c>
      <c r="H1702" s="100">
        <v>3323.4869873590187</v>
      </c>
      <c r="I1702" s="100">
        <v>-1382.4438457449446</v>
      </c>
      <c r="J1702" s="100">
        <v>1273.6473261482915</v>
      </c>
    </row>
    <row r="1703" spans="1:10" x14ac:dyDescent="0.25">
      <c r="A1703">
        <v>1686</v>
      </c>
      <c r="B1703" s="100">
        <v>90.151233262572106</v>
      </c>
      <c r="C1703" s="100">
        <v>98.494238473396067</v>
      </c>
      <c r="D1703" s="100">
        <v>92.260291790886782</v>
      </c>
      <c r="E1703" s="100">
        <v>97.372276198451544</v>
      </c>
      <c r="F1703" s="100">
        <v>-1972.0531627784198</v>
      </c>
      <c r="G1703" s="100">
        <v>-426.52345015092408</v>
      </c>
      <c r="H1703" s="100">
        <v>1111.5766291996465</v>
      </c>
      <c r="I1703" s="100">
        <v>-3991.6365437503173</v>
      </c>
      <c r="J1703" s="100">
        <v>-5278.6365274800146</v>
      </c>
    </row>
    <row r="1704" spans="1:10" x14ac:dyDescent="0.25">
      <c r="A1704">
        <v>1687</v>
      </c>
      <c r="B1704" s="100">
        <v>88.830161041460727</v>
      </c>
      <c r="C1704" s="100">
        <v>99.006953567137217</v>
      </c>
      <c r="D1704" s="100">
        <v>92.805397957955648</v>
      </c>
      <c r="E1704" s="100">
        <v>95.448072186523333</v>
      </c>
      <c r="F1704" s="100">
        <v>2387.4851668891311</v>
      </c>
      <c r="G1704" s="100">
        <v>-1195.5960907626491</v>
      </c>
      <c r="H1704" s="100">
        <v>21.364295061914618</v>
      </c>
      <c r="I1704" s="100">
        <v>-2067.4325318221063</v>
      </c>
      <c r="J1704" s="100">
        <v>-854.17916063370967</v>
      </c>
    </row>
    <row r="1705" spans="1:10" x14ac:dyDescent="0.25">
      <c r="A1705">
        <v>1688</v>
      </c>
      <c r="B1705" s="100">
        <v>89.641200630472724</v>
      </c>
      <c r="C1705" s="100">
        <v>98.71776817404745</v>
      </c>
      <c r="D1705" s="100">
        <v>91.876528899477478</v>
      </c>
      <c r="E1705" s="100">
        <v>93.150904371617841</v>
      </c>
      <c r="F1705" s="100">
        <v>-288.94547685046064</v>
      </c>
      <c r="G1705" s="100">
        <v>-761.81800112799897</v>
      </c>
      <c r="H1705" s="100">
        <v>1879.1024120182556</v>
      </c>
      <c r="I1705" s="100">
        <v>229.73528308338587</v>
      </c>
      <c r="J1705" s="100">
        <v>1058.0742171231818</v>
      </c>
    </row>
    <row r="1706" spans="1:10" x14ac:dyDescent="0.25">
      <c r="A1706">
        <v>1689</v>
      </c>
      <c r="B1706" s="100">
        <v>89.783663204592088</v>
      </c>
      <c r="C1706" s="100">
        <v>99.198812538778043</v>
      </c>
      <c r="D1706" s="100">
        <v>92.48697735577872</v>
      </c>
      <c r="E1706" s="100">
        <v>90.803006902623281</v>
      </c>
      <c r="F1706" s="100">
        <v>-759.07197144436077</v>
      </c>
      <c r="G1706" s="100">
        <v>-1483.3845482238885</v>
      </c>
      <c r="H1706" s="100">
        <v>658.20549941577156</v>
      </c>
      <c r="I1706" s="100">
        <v>2577.632752077946</v>
      </c>
      <c r="J1706" s="100">
        <v>993.38173182546825</v>
      </c>
    </row>
    <row r="1707" spans="1:10" x14ac:dyDescent="0.25">
      <c r="A1707">
        <v>1690</v>
      </c>
      <c r="B1707" s="100">
        <v>88.887512899365746</v>
      </c>
      <c r="C1707" s="100">
        <v>98.161690378261767</v>
      </c>
      <c r="D1707" s="100">
        <v>92.253537701050547</v>
      </c>
      <c r="E1707" s="100">
        <v>92.800573677630723</v>
      </c>
      <c r="F1707" s="100">
        <v>2198.2240358025692</v>
      </c>
      <c r="G1707" s="100">
        <v>72.298692550525345</v>
      </c>
      <c r="H1707" s="100">
        <v>1125.084808872117</v>
      </c>
      <c r="I1707" s="100">
        <v>580.06597707050389</v>
      </c>
      <c r="J1707" s="100">
        <v>3975.6735142957154</v>
      </c>
    </row>
    <row r="1708" spans="1:10" x14ac:dyDescent="0.25">
      <c r="A1708">
        <v>1691</v>
      </c>
      <c r="B1708" s="100">
        <v>89.332078182658151</v>
      </c>
      <c r="C1708" s="100">
        <v>98.550679532465736</v>
      </c>
      <c r="D1708" s="100">
        <v>90.481876979395778</v>
      </c>
      <c r="E1708" s="100">
        <v>93.320113162594922</v>
      </c>
      <c r="F1708" s="100">
        <v>731.15860093763126</v>
      </c>
      <c r="G1708" s="100">
        <v>-511.18503875542842</v>
      </c>
      <c r="H1708" s="100">
        <v>4668.4062521816541</v>
      </c>
      <c r="I1708" s="100">
        <v>60.526492106305341</v>
      </c>
      <c r="J1708" s="100">
        <v>4948.9063064701622</v>
      </c>
    </row>
    <row r="1709" spans="1:10" x14ac:dyDescent="0.25">
      <c r="A1709">
        <v>1692</v>
      </c>
      <c r="B1709" s="100">
        <v>88.859627354121301</v>
      </c>
      <c r="C1709" s="100">
        <v>97.176195730244288</v>
      </c>
      <c r="D1709" s="100">
        <v>92.680147068850076</v>
      </c>
      <c r="E1709" s="100">
        <v>95.033322717670558</v>
      </c>
      <c r="F1709" s="100">
        <v>2290.2463351092365</v>
      </c>
      <c r="G1709" s="100">
        <v>1550.5406645767437</v>
      </c>
      <c r="H1709" s="100">
        <v>271.86607327305978</v>
      </c>
      <c r="I1709" s="100">
        <v>-1652.6830629693309</v>
      </c>
      <c r="J1709" s="100">
        <v>2459.9700099897086</v>
      </c>
    </row>
    <row r="1710" spans="1:10" x14ac:dyDescent="0.25">
      <c r="A1710">
        <v>1693</v>
      </c>
      <c r="B1710" s="100">
        <v>88.912202358118307</v>
      </c>
      <c r="C1710" s="100">
        <v>97.56644713534935</v>
      </c>
      <c r="D1710" s="100">
        <v>93.289407204821487</v>
      </c>
      <c r="E1710" s="100">
        <v>95.259034472771418</v>
      </c>
      <c r="F1710" s="100">
        <v>2116.7488219191155</v>
      </c>
      <c r="G1710" s="100">
        <v>965.16355691915123</v>
      </c>
      <c r="H1710" s="100">
        <v>-946.65419866976208</v>
      </c>
      <c r="I1710" s="100">
        <v>-1878.3948180701914</v>
      </c>
      <c r="J1710" s="100">
        <v>256.86336209831325</v>
      </c>
    </row>
    <row r="1711" spans="1:10" x14ac:dyDescent="0.25">
      <c r="A1711">
        <v>1694</v>
      </c>
      <c r="B1711" s="100">
        <v>89.961752008273066</v>
      </c>
      <c r="C1711" s="100">
        <v>96.789113416323985</v>
      </c>
      <c r="D1711" s="100">
        <v>92.506049729767</v>
      </c>
      <c r="E1711" s="100">
        <v>93.860259708472583</v>
      </c>
      <c r="F1711" s="100">
        <v>-1346.7650235915899</v>
      </c>
      <c r="G1711" s="100">
        <v>2131.1641354571975</v>
      </c>
      <c r="H1711" s="100">
        <v>620.0607514392118</v>
      </c>
      <c r="I1711" s="100">
        <v>-479.62005377135597</v>
      </c>
      <c r="J1711" s="100">
        <v>924.83980953346349</v>
      </c>
    </row>
    <row r="1712" spans="1:10" x14ac:dyDescent="0.25">
      <c r="A1712">
        <v>1695</v>
      </c>
      <c r="B1712" s="100">
        <v>90.143125280120572</v>
      </c>
      <c r="C1712" s="100">
        <v>96.948188867281118</v>
      </c>
      <c r="D1712" s="100">
        <v>91.727757641395002</v>
      </c>
      <c r="E1712" s="100">
        <v>92.812870830385535</v>
      </c>
      <c r="F1712" s="100">
        <v>-1945.2968206883568</v>
      </c>
      <c r="G1712" s="100">
        <v>1892.5509590214986</v>
      </c>
      <c r="H1712" s="100">
        <v>2176.6449281832083</v>
      </c>
      <c r="I1712" s="100">
        <v>567.7688243156922</v>
      </c>
      <c r="J1712" s="100">
        <v>2691.6678908320423</v>
      </c>
    </row>
    <row r="1713" spans="1:10" x14ac:dyDescent="0.25">
      <c r="A1713">
        <v>1696</v>
      </c>
      <c r="B1713" s="100">
        <v>89.283085107219875</v>
      </c>
      <c r="C1713" s="100">
        <v>98.049620459984666</v>
      </c>
      <c r="D1713" s="100">
        <v>92.797277546803571</v>
      </c>
      <c r="E1713" s="100">
        <v>94.094139199323308</v>
      </c>
      <c r="F1713" s="100">
        <v>892.83574988394037</v>
      </c>
      <c r="G1713" s="100">
        <v>240.40356996617618</v>
      </c>
      <c r="H1713" s="100">
        <v>37.605117366069862</v>
      </c>
      <c r="I1713" s="100">
        <v>-713.49954462208132</v>
      </c>
      <c r="J1713" s="100">
        <v>457.34489259410509</v>
      </c>
    </row>
    <row r="1714" spans="1:10" x14ac:dyDescent="0.25">
      <c r="A1714">
        <v>1697</v>
      </c>
      <c r="B1714" s="100">
        <v>89.539250959685774</v>
      </c>
      <c r="C1714" s="100">
        <v>98.58169312629154</v>
      </c>
      <c r="D1714" s="100">
        <v>93.685802184895849</v>
      </c>
      <c r="E1714" s="100">
        <v>94.308853642576267</v>
      </c>
      <c r="F1714" s="100">
        <v>47.488436746476737</v>
      </c>
      <c r="G1714" s="100">
        <v>-557.70542949413482</v>
      </c>
      <c r="H1714" s="100">
        <v>-1739.4441588184861</v>
      </c>
      <c r="I1714" s="100">
        <v>-928.21398787503995</v>
      </c>
      <c r="J1714" s="100">
        <v>-3177.8751394411843</v>
      </c>
    </row>
    <row r="1715" spans="1:10" x14ac:dyDescent="0.25">
      <c r="A1715">
        <v>1698</v>
      </c>
      <c r="B1715" s="100">
        <v>90.261863787711746</v>
      </c>
      <c r="C1715" s="100">
        <v>96.573303339101514</v>
      </c>
      <c r="D1715" s="100">
        <v>92.150114819209904</v>
      </c>
      <c r="E1715" s="100">
        <v>92.506547994512232</v>
      </c>
      <c r="F1715" s="100">
        <v>-2337.133895739234</v>
      </c>
      <c r="G1715" s="100">
        <v>2454.8792512909044</v>
      </c>
      <c r="H1715" s="100">
        <v>1331.9305725534036</v>
      </c>
      <c r="I1715" s="100">
        <v>874.09166018899498</v>
      </c>
      <c r="J1715" s="100">
        <v>2323.7675882940689</v>
      </c>
    </row>
    <row r="1716" spans="1:10" x14ac:dyDescent="0.25">
      <c r="A1716">
        <v>1699</v>
      </c>
      <c r="B1716" s="100">
        <v>88.556791115437392</v>
      </c>
      <c r="C1716" s="100">
        <v>97.200082056389107</v>
      </c>
      <c r="D1716" s="100">
        <v>93.64709869382871</v>
      </c>
      <c r="E1716" s="100">
        <v>92.397064741985517</v>
      </c>
      <c r="F1716" s="100">
        <v>3289.6059227661367</v>
      </c>
      <c r="G1716" s="100">
        <v>1514.7111753595154</v>
      </c>
      <c r="H1716" s="100">
        <v>-1662.0371766842084</v>
      </c>
      <c r="I1716" s="100">
        <v>983.57491271571007</v>
      </c>
      <c r="J1716" s="100">
        <v>4125.8548341571532</v>
      </c>
    </row>
    <row r="1717" spans="1:10" x14ac:dyDescent="0.25">
      <c r="A1717">
        <v>1700</v>
      </c>
      <c r="B1717" s="100">
        <v>89.764008636159673</v>
      </c>
      <c r="C1717" s="100">
        <v>98.759499255630629</v>
      </c>
      <c r="D1717" s="100">
        <v>91.722394039162651</v>
      </c>
      <c r="E1717" s="100">
        <v>93.909197530537227</v>
      </c>
      <c r="F1717" s="100">
        <v>-694.21189561739141</v>
      </c>
      <c r="G1717" s="100">
        <v>-824.41462350276856</v>
      </c>
      <c r="H1717" s="100">
        <v>2187.3721326479085</v>
      </c>
      <c r="I1717" s="100">
        <v>-528.55787583600033</v>
      </c>
      <c r="J1717" s="100">
        <v>140.18773769174811</v>
      </c>
    </row>
    <row r="1718" spans="1:10" x14ac:dyDescent="0.25">
      <c r="A1718">
        <v>1701</v>
      </c>
      <c r="B1718" s="100">
        <v>88.90150837678874</v>
      </c>
      <c r="C1718" s="100">
        <v>97.068284875668837</v>
      </c>
      <c r="D1718" s="100">
        <v>91.229555710577671</v>
      </c>
      <c r="E1718" s="100">
        <v>96.017605107338255</v>
      </c>
      <c r="F1718" s="100">
        <v>2152.038960306686</v>
      </c>
      <c r="G1718" s="100">
        <v>1712.4069464399199</v>
      </c>
      <c r="H1718" s="100">
        <v>3173.0487898178694</v>
      </c>
      <c r="I1718" s="100">
        <v>-2636.9654526370282</v>
      </c>
      <c r="J1718" s="100">
        <v>4400.5292439274472</v>
      </c>
    </row>
    <row r="1719" spans="1:10" x14ac:dyDescent="0.25">
      <c r="A1719">
        <v>1702</v>
      </c>
      <c r="B1719" s="100">
        <v>88.971581762795381</v>
      </c>
      <c r="C1719" s="100">
        <v>97.802569829255305</v>
      </c>
      <c r="D1719" s="100">
        <v>93.983098586178755</v>
      </c>
      <c r="E1719" s="100">
        <v>91.886429625823681</v>
      </c>
      <c r="F1719" s="100">
        <v>1920.7967864847717</v>
      </c>
      <c r="G1719" s="100">
        <v>610.97951606021888</v>
      </c>
      <c r="H1719" s="100">
        <v>-2334.0369613842995</v>
      </c>
      <c r="I1719" s="100">
        <v>1494.2100288775464</v>
      </c>
      <c r="J1719" s="100">
        <v>1691.9493700382372</v>
      </c>
    </row>
    <row r="1720" spans="1:10" x14ac:dyDescent="0.25">
      <c r="A1720">
        <v>1703</v>
      </c>
      <c r="B1720" s="100">
        <v>89.065623194767127</v>
      </c>
      <c r="C1720" s="100">
        <v>98.160246864539957</v>
      </c>
      <c r="D1720" s="100">
        <v>93.72350872777001</v>
      </c>
      <c r="E1720" s="100">
        <v>93.721823491405956</v>
      </c>
      <c r="F1720" s="100">
        <v>1610.4600609780093</v>
      </c>
      <c r="G1720" s="100">
        <v>74.463963133240441</v>
      </c>
      <c r="H1720" s="100">
        <v>-1814.8572445668094</v>
      </c>
      <c r="I1720" s="100">
        <v>-341.18383670472952</v>
      </c>
      <c r="J1720" s="100">
        <v>-471.11705716028916</v>
      </c>
    </row>
    <row r="1721" spans="1:10" x14ac:dyDescent="0.25">
      <c r="A1721">
        <v>1704</v>
      </c>
      <c r="B1721" s="100">
        <v>89.574168359118843</v>
      </c>
      <c r="C1721" s="100">
        <v>98.247771701220344</v>
      </c>
      <c r="D1721" s="100">
        <v>94.052601219120461</v>
      </c>
      <c r="E1721" s="100">
        <v>92.608571356534696</v>
      </c>
      <c r="F1721" s="100">
        <v>-67.738981382653662</v>
      </c>
      <c r="G1721" s="100">
        <v>-56.823291887340588</v>
      </c>
      <c r="H1721" s="100">
        <v>-2473.0422272677115</v>
      </c>
      <c r="I1721" s="100">
        <v>772.06829816653055</v>
      </c>
      <c r="J1721" s="100">
        <v>-1825.5362023711755</v>
      </c>
    </row>
    <row r="1722" spans="1:10" x14ac:dyDescent="0.25">
      <c r="A1722">
        <v>1705</v>
      </c>
      <c r="B1722" s="100">
        <v>89.591146709512614</v>
      </c>
      <c r="C1722" s="100">
        <v>98.196794378971646</v>
      </c>
      <c r="D1722" s="100">
        <v>92.929465120470937</v>
      </c>
      <c r="E1722" s="100">
        <v>95.586365689429073</v>
      </c>
      <c r="F1722" s="100">
        <v>-123.76753768209738</v>
      </c>
      <c r="G1722" s="100">
        <v>19.642691485707076</v>
      </c>
      <c r="H1722" s="100">
        <v>-226.77002996866236</v>
      </c>
      <c r="I1722" s="100">
        <v>-2205.7260347278457</v>
      </c>
      <c r="J1722" s="100">
        <v>-2536.6209108928983</v>
      </c>
    </row>
    <row r="1723" spans="1:10" x14ac:dyDescent="0.25">
      <c r="A1723">
        <v>1706</v>
      </c>
      <c r="B1723" s="100">
        <v>89.289774666855521</v>
      </c>
      <c r="C1723" s="100">
        <v>98.550537236781025</v>
      </c>
      <c r="D1723" s="100">
        <v>94.095146974606521</v>
      </c>
      <c r="E1723" s="100">
        <v>94.880231671069296</v>
      </c>
      <c r="F1723" s="100">
        <v>870.76020308630859</v>
      </c>
      <c r="G1723" s="100">
        <v>-510.97159522836222</v>
      </c>
      <c r="H1723" s="100">
        <v>-2558.1337382398315</v>
      </c>
      <c r="I1723" s="100">
        <v>-1499.5920163680694</v>
      </c>
      <c r="J1723" s="100">
        <v>-3697.9371467499545</v>
      </c>
    </row>
    <row r="1724" spans="1:10" x14ac:dyDescent="0.25">
      <c r="A1724">
        <v>1707</v>
      </c>
      <c r="B1724" s="100">
        <v>90.339804085253263</v>
      </c>
      <c r="C1724" s="100">
        <v>97.423793661450532</v>
      </c>
      <c r="D1724" s="100">
        <v>92.419782451683261</v>
      </c>
      <c r="E1724" s="100">
        <v>92.207943341769393</v>
      </c>
      <c r="F1724" s="100">
        <v>-2594.3368776262387</v>
      </c>
      <c r="G1724" s="100">
        <v>1179.1437677673784</v>
      </c>
      <c r="H1724" s="100">
        <v>792.59530760668895</v>
      </c>
      <c r="I1724" s="100">
        <v>1172.6963129318335</v>
      </c>
      <c r="J1724" s="100">
        <v>550.09851067966224</v>
      </c>
    </row>
    <row r="1725" spans="1:10" x14ac:dyDescent="0.25">
      <c r="A1725">
        <v>1708</v>
      </c>
      <c r="B1725" s="100">
        <v>90.108041608358803</v>
      </c>
      <c r="C1725" s="100">
        <v>99.257600265822532</v>
      </c>
      <c r="D1725" s="100">
        <v>92.998599173327477</v>
      </c>
      <c r="E1725" s="100">
        <v>91.326914971718992</v>
      </c>
      <c r="F1725" s="100">
        <v>-1829.5207038745218</v>
      </c>
      <c r="G1725" s="100">
        <v>-1571.5661387906223</v>
      </c>
      <c r="H1725" s="100">
        <v>-365.03813568174337</v>
      </c>
      <c r="I1725" s="100">
        <v>2053.7246829822352</v>
      </c>
      <c r="J1725" s="100">
        <v>-1712.4002953646523</v>
      </c>
    </row>
    <row r="1726" spans="1:10" x14ac:dyDescent="0.25">
      <c r="A1726">
        <v>1709</v>
      </c>
      <c r="B1726" s="100">
        <v>89.922286328193962</v>
      </c>
      <c r="C1726" s="100">
        <v>98.734757980173697</v>
      </c>
      <c r="D1726" s="100">
        <v>92.381242546999545</v>
      </c>
      <c r="E1726" s="100">
        <v>95.96913360055855</v>
      </c>
      <c r="F1726" s="100">
        <v>-1216.5282793305464</v>
      </c>
      <c r="G1726" s="100">
        <v>-787.3027103173697</v>
      </c>
      <c r="H1726" s="100">
        <v>869.67511697412192</v>
      </c>
      <c r="I1726" s="100">
        <v>-2588.4939458573226</v>
      </c>
      <c r="J1726" s="100">
        <v>-3722.6498185311166</v>
      </c>
    </row>
    <row r="1727" spans="1:10" x14ac:dyDescent="0.25">
      <c r="A1727">
        <v>1710</v>
      </c>
      <c r="B1727" s="100">
        <v>89.902688362552112</v>
      </c>
      <c r="C1727" s="100">
        <v>96.73040394841054</v>
      </c>
      <c r="D1727" s="100">
        <v>93.017709841882407</v>
      </c>
      <c r="E1727" s="100">
        <v>94.760210517803912</v>
      </c>
      <c r="F1727" s="100">
        <v>-1151.8549927124411</v>
      </c>
      <c r="G1727" s="100">
        <v>2219.2283373273654</v>
      </c>
      <c r="H1727" s="100">
        <v>-403.25947279160346</v>
      </c>
      <c r="I1727" s="100">
        <v>-1379.5708631026855</v>
      </c>
      <c r="J1727" s="100">
        <v>-715.45699127936473</v>
      </c>
    </row>
    <row r="1728" spans="1:10" x14ac:dyDescent="0.25">
      <c r="A1728">
        <v>1711</v>
      </c>
      <c r="B1728" s="100">
        <v>89.064723884378935</v>
      </c>
      <c r="C1728" s="100">
        <v>97.588683861143323</v>
      </c>
      <c r="D1728" s="100">
        <v>90.861865296103062</v>
      </c>
      <c r="E1728" s="100">
        <v>91.174337516117788</v>
      </c>
      <c r="F1728" s="100">
        <v>1613.427785259043</v>
      </c>
      <c r="G1728" s="100">
        <v>931.80846822819058</v>
      </c>
      <c r="H1728" s="100">
        <v>3908.429618767087</v>
      </c>
      <c r="I1728" s="100">
        <v>2206.302138583439</v>
      </c>
      <c r="J1728" s="100">
        <v>8659.9680108377597</v>
      </c>
    </row>
    <row r="1729" spans="1:10" x14ac:dyDescent="0.25">
      <c r="A1729">
        <v>1712</v>
      </c>
      <c r="B1729" s="100">
        <v>89.453795637125566</v>
      </c>
      <c r="C1729" s="100">
        <v>98.636888027965966</v>
      </c>
      <c r="D1729" s="100">
        <v>93.302165130175425</v>
      </c>
      <c r="E1729" s="100">
        <v>91.878693114202903</v>
      </c>
      <c r="F1729" s="100">
        <v>329.49100119516146</v>
      </c>
      <c r="G1729" s="100">
        <v>-640.49778200577384</v>
      </c>
      <c r="H1729" s="100">
        <v>-972.17004937763818</v>
      </c>
      <c r="I1729" s="100">
        <v>1501.9465404983237</v>
      </c>
      <c r="J1729" s="100">
        <v>218.76971031007315</v>
      </c>
    </row>
    <row r="1730" spans="1:10" x14ac:dyDescent="0.25">
      <c r="A1730">
        <v>1713</v>
      </c>
      <c r="B1730" s="100">
        <v>88.849092871242632</v>
      </c>
      <c r="C1730" s="100">
        <v>98.049041696051432</v>
      </c>
      <c r="D1730" s="100">
        <v>91.998877855503565</v>
      </c>
      <c r="E1730" s="100">
        <v>94.242915739942504</v>
      </c>
      <c r="F1730" s="100">
        <v>2325.0101286088425</v>
      </c>
      <c r="G1730" s="100">
        <v>241.27171586602714</v>
      </c>
      <c r="H1730" s="100">
        <v>1634.4044999660809</v>
      </c>
      <c r="I1730" s="100">
        <v>-862.27608524127675</v>
      </c>
      <c r="J1730" s="100">
        <v>3338.4102591996734</v>
      </c>
    </row>
    <row r="1731" spans="1:10" x14ac:dyDescent="0.25">
      <c r="A1731">
        <v>1714</v>
      </c>
      <c r="B1731" s="100">
        <v>89.105123066633638</v>
      </c>
      <c r="C1731" s="100">
        <v>97.73094221732201</v>
      </c>
      <c r="D1731" s="100">
        <v>92.421662881241573</v>
      </c>
      <c r="E1731" s="100">
        <v>94.553622569253193</v>
      </c>
      <c r="F1731" s="100">
        <v>1480.1104838185238</v>
      </c>
      <c r="G1731" s="100">
        <v>718.42093396016082</v>
      </c>
      <c r="H1731" s="100">
        <v>788.83444849006423</v>
      </c>
      <c r="I1731" s="100">
        <v>-1172.9829145519659</v>
      </c>
      <c r="J1731" s="100">
        <v>1814.3829517167826</v>
      </c>
    </row>
    <row r="1732" spans="1:10" x14ac:dyDescent="0.25">
      <c r="A1732">
        <v>1715</v>
      </c>
      <c r="B1732" s="100">
        <v>89.502611452092708</v>
      </c>
      <c r="C1732" s="100">
        <v>97.515670131324043</v>
      </c>
      <c r="D1732" s="100">
        <v>92.570446230416422</v>
      </c>
      <c r="E1732" s="100">
        <v>93.416313830900407</v>
      </c>
      <c r="F1732" s="100">
        <v>168.39881180359271</v>
      </c>
      <c r="G1732" s="100">
        <v>1041.3290629571109</v>
      </c>
      <c r="H1732" s="100">
        <v>491.26775014036639</v>
      </c>
      <c r="I1732" s="100">
        <v>-35.674176199179897</v>
      </c>
      <c r="J1732" s="100">
        <v>1665.3214487018899</v>
      </c>
    </row>
    <row r="1733" spans="1:10" x14ac:dyDescent="0.25">
      <c r="A1733">
        <v>1716</v>
      </c>
      <c r="B1733" s="100">
        <v>88.710391301668523</v>
      </c>
      <c r="C1733" s="100">
        <v>98.413606220770163</v>
      </c>
      <c r="D1733" s="100">
        <v>94.312457613258516</v>
      </c>
      <c r="E1733" s="100">
        <v>92.388666405907145</v>
      </c>
      <c r="F1733" s="100">
        <v>2782.7253082034049</v>
      </c>
      <c r="G1733" s="100">
        <v>-305.57507121206839</v>
      </c>
      <c r="H1733" s="100">
        <v>-2992.7550155438212</v>
      </c>
      <c r="I1733" s="100">
        <v>991.973248794082</v>
      </c>
      <c r="J1733" s="100">
        <v>476.36847024159727</v>
      </c>
    </row>
    <row r="1734" spans="1:10" x14ac:dyDescent="0.25">
      <c r="A1734">
        <v>1717</v>
      </c>
      <c r="B1734" s="100">
        <v>89.504289569255434</v>
      </c>
      <c r="C1734" s="100">
        <v>98.900983071780715</v>
      </c>
      <c r="D1734" s="100">
        <v>91.304505638496295</v>
      </c>
      <c r="E1734" s="100">
        <v>92.705298001872862</v>
      </c>
      <c r="F1734" s="100">
        <v>162.86102516659753</v>
      </c>
      <c r="G1734" s="100">
        <v>-1036.6403477278964</v>
      </c>
      <c r="H1734" s="100">
        <v>3023.1489339806217</v>
      </c>
      <c r="I1734" s="100">
        <v>675.34165282836511</v>
      </c>
      <c r="J1734" s="100">
        <v>2824.7112642476877</v>
      </c>
    </row>
    <row r="1735" spans="1:10" x14ac:dyDescent="0.25">
      <c r="A1735">
        <v>1718</v>
      </c>
      <c r="B1735" s="100">
        <v>90.117360025220734</v>
      </c>
      <c r="C1735" s="100">
        <v>98.768330318893987</v>
      </c>
      <c r="D1735" s="100">
        <v>92.873699285910703</v>
      </c>
      <c r="E1735" s="100">
        <v>94.369144461384877</v>
      </c>
      <c r="F1735" s="100">
        <v>-1860.2714795188917</v>
      </c>
      <c r="G1735" s="100">
        <v>-837.66121839780544</v>
      </c>
      <c r="H1735" s="100">
        <v>-115.2383608481955</v>
      </c>
      <c r="I1735" s="100">
        <v>-988.50480668365037</v>
      </c>
      <c r="J1735" s="100">
        <v>-3801.6758654485429</v>
      </c>
    </row>
    <row r="1736" spans="1:10" x14ac:dyDescent="0.25">
      <c r="A1736">
        <v>1719</v>
      </c>
      <c r="B1736" s="100">
        <v>89.750033427062547</v>
      </c>
      <c r="C1736" s="100">
        <v>98.075091776578219</v>
      </c>
      <c r="D1736" s="100">
        <v>94.7756945042197</v>
      </c>
      <c r="E1736" s="100">
        <v>96.900403776628423</v>
      </c>
      <c r="F1736" s="100">
        <v>-648.09370559687659</v>
      </c>
      <c r="G1736" s="100">
        <v>202.19659507584709</v>
      </c>
      <c r="H1736" s="100">
        <v>-3919.2287974661895</v>
      </c>
      <c r="I1736" s="100">
        <v>-3519.7641219271959</v>
      </c>
      <c r="J1736" s="100">
        <v>-7884.8900299144152</v>
      </c>
    </row>
    <row r="1737" spans="1:10" x14ac:dyDescent="0.25">
      <c r="A1737">
        <v>1720</v>
      </c>
      <c r="B1737" s="100">
        <v>89.714514497747828</v>
      </c>
      <c r="C1737" s="100">
        <v>97.922123722707241</v>
      </c>
      <c r="D1737" s="100">
        <v>91.438651882618302</v>
      </c>
      <c r="E1737" s="100">
        <v>96.132734677659386</v>
      </c>
      <c r="F1737" s="100">
        <v>-530.8812388583035</v>
      </c>
      <c r="G1737" s="100">
        <v>431.64867588231459</v>
      </c>
      <c r="H1737" s="100">
        <v>2754.8564457366069</v>
      </c>
      <c r="I1737" s="100">
        <v>-2752.0950229581586</v>
      </c>
      <c r="J1737" s="100">
        <v>-96.471140197540535</v>
      </c>
    </row>
    <row r="1738" spans="1:10" x14ac:dyDescent="0.25">
      <c r="A1738">
        <v>1721</v>
      </c>
      <c r="B1738" s="100">
        <v>89.503658088383943</v>
      </c>
      <c r="C1738" s="100">
        <v>97.949265575975332</v>
      </c>
      <c r="D1738" s="100">
        <v>93.847619552898934</v>
      </c>
      <c r="E1738" s="100">
        <v>94.991612718404781</v>
      </c>
      <c r="F1738" s="100">
        <v>164.94491204251602</v>
      </c>
      <c r="G1738" s="100">
        <v>390.93589598017786</v>
      </c>
      <c r="H1738" s="100">
        <v>-2063.0788948246563</v>
      </c>
      <c r="I1738" s="100">
        <v>-1610.9730637035541</v>
      </c>
      <c r="J1738" s="100">
        <v>-3118.1711505055164</v>
      </c>
    </row>
    <row r="1739" spans="1:10" x14ac:dyDescent="0.25">
      <c r="A1739">
        <v>1722</v>
      </c>
      <c r="B1739" s="100">
        <v>89.828345402924114</v>
      </c>
      <c r="C1739" s="100">
        <v>99.330964416500635</v>
      </c>
      <c r="D1739" s="100">
        <v>93.907213477804547</v>
      </c>
      <c r="E1739" s="100">
        <v>90.949412852882347</v>
      </c>
      <c r="F1739" s="100">
        <v>-906.5232259400475</v>
      </c>
      <c r="G1739" s="100">
        <v>-1681.6123648077764</v>
      </c>
      <c r="H1739" s="100">
        <v>-2182.2667446358819</v>
      </c>
      <c r="I1739" s="100">
        <v>2431.2268018188802</v>
      </c>
      <c r="J1739" s="100">
        <v>-2339.1755335648254</v>
      </c>
    </row>
    <row r="1740" spans="1:10" x14ac:dyDescent="0.25">
      <c r="A1740">
        <v>1723</v>
      </c>
      <c r="B1740" s="100">
        <v>88.601675553426148</v>
      </c>
      <c r="C1740" s="100">
        <v>98.981998147774803</v>
      </c>
      <c r="D1740" s="100">
        <v>91.865797833136369</v>
      </c>
      <c r="E1740" s="100">
        <v>95.261770393577208</v>
      </c>
      <c r="F1740" s="100">
        <v>3141.4872774032419</v>
      </c>
      <c r="G1740" s="100">
        <v>-1158.1629617190288</v>
      </c>
      <c r="H1740" s="100">
        <v>1900.5645447004724</v>
      </c>
      <c r="I1740" s="100">
        <v>-1881.1307388759815</v>
      </c>
      <c r="J1740" s="100">
        <v>2002.7581215087039</v>
      </c>
    </row>
    <row r="1741" spans="1:10" x14ac:dyDescent="0.25">
      <c r="A1741">
        <v>1724</v>
      </c>
      <c r="B1741" s="100">
        <v>89.579731214088341</v>
      </c>
      <c r="C1741" s="100">
        <v>98.32589178497642</v>
      </c>
      <c r="D1741" s="100">
        <v>93.397174718566689</v>
      </c>
      <c r="E1741" s="100">
        <v>91.999525051180768</v>
      </c>
      <c r="F1741" s="100">
        <v>-86.096402781994641</v>
      </c>
      <c r="G1741" s="100">
        <v>-174.00341752145465</v>
      </c>
      <c r="H1741" s="100">
        <v>-1162.1892261601658</v>
      </c>
      <c r="I1741" s="100">
        <v>1381.1146035204588</v>
      </c>
      <c r="J1741" s="100">
        <v>-41.174442943156464</v>
      </c>
    </row>
    <row r="1742" spans="1:10" x14ac:dyDescent="0.25">
      <c r="A1742">
        <v>1725</v>
      </c>
      <c r="B1742" s="100">
        <v>90.44019618192074</v>
      </c>
      <c r="C1742" s="100">
        <v>98.665046914514676</v>
      </c>
      <c r="D1742" s="100">
        <v>91.611333430706196</v>
      </c>
      <c r="E1742" s="100">
        <v>92.463819241659294</v>
      </c>
      <c r="F1742" s="100">
        <v>-2925.6307966289128</v>
      </c>
      <c r="G1742" s="100">
        <v>-682.73611182883792</v>
      </c>
      <c r="H1742" s="100">
        <v>2409.4933495608188</v>
      </c>
      <c r="I1742" s="100">
        <v>916.82041304193262</v>
      </c>
      <c r="J1742" s="100">
        <v>-282.053145854999</v>
      </c>
    </row>
    <row r="1743" spans="1:10" x14ac:dyDescent="0.25">
      <c r="A1743">
        <v>1726</v>
      </c>
      <c r="B1743" s="100">
        <v>89.371284026568119</v>
      </c>
      <c r="C1743" s="100">
        <v>99.925349346018038</v>
      </c>
      <c r="D1743" s="100">
        <v>90.522067609112781</v>
      </c>
      <c r="E1743" s="100">
        <v>92.54335203574054</v>
      </c>
      <c r="F1743" s="100">
        <v>601.7793160347353</v>
      </c>
      <c r="G1743" s="100">
        <v>-2573.1897590838812</v>
      </c>
      <c r="H1743" s="100">
        <v>4588.0249927476489</v>
      </c>
      <c r="I1743" s="100">
        <v>837.28761896068704</v>
      </c>
      <c r="J1743" s="100">
        <v>3453.9021686591896</v>
      </c>
    </row>
    <row r="1744" spans="1:10" x14ac:dyDescent="0.25">
      <c r="A1744">
        <v>1727</v>
      </c>
      <c r="B1744" s="100">
        <v>88.62390749455426</v>
      </c>
      <c r="C1744" s="100">
        <v>100.72152803499888</v>
      </c>
      <c r="D1744" s="100">
        <v>93.697658587491674</v>
      </c>
      <c r="E1744" s="100">
        <v>92.939487877683064</v>
      </c>
      <c r="F1744" s="100">
        <v>3068.1218716804724</v>
      </c>
      <c r="G1744" s="100">
        <v>-3767.4577925551489</v>
      </c>
      <c r="H1744" s="100">
        <v>-1763.1569640101361</v>
      </c>
      <c r="I1744" s="100">
        <v>441.15177701816322</v>
      </c>
      <c r="J1744" s="100">
        <v>-2021.3411078666495</v>
      </c>
    </row>
    <row r="1745" spans="1:10" x14ac:dyDescent="0.25">
      <c r="A1745">
        <v>1728</v>
      </c>
      <c r="B1745" s="100">
        <v>89.621816219338996</v>
      </c>
      <c r="C1745" s="100">
        <v>96.793128494222486</v>
      </c>
      <c r="D1745" s="100">
        <v>94.064020042022477</v>
      </c>
      <c r="E1745" s="100">
        <v>93.435324987506718</v>
      </c>
      <c r="F1745" s="100">
        <v>-224.97692010915671</v>
      </c>
      <c r="G1745" s="100">
        <v>2125.1415186094464</v>
      </c>
      <c r="H1745" s="100">
        <v>-2495.8798730717435</v>
      </c>
      <c r="I1745" s="100">
        <v>-54.685332805490816</v>
      </c>
      <c r="J1745" s="100">
        <v>-650.40060737694466</v>
      </c>
    </row>
    <row r="1746" spans="1:10" x14ac:dyDescent="0.25">
      <c r="A1746">
        <v>1729</v>
      </c>
      <c r="B1746" s="100">
        <v>89.61758755131595</v>
      </c>
      <c r="C1746" s="100">
        <v>97.918278457083588</v>
      </c>
      <c r="D1746" s="100">
        <v>93.182863263848631</v>
      </c>
      <c r="E1746" s="100">
        <v>93.23705372648341</v>
      </c>
      <c r="F1746" s="100">
        <v>-211.02231563310454</v>
      </c>
      <c r="G1746" s="100">
        <v>437.41657431779402</v>
      </c>
      <c r="H1746" s="100">
        <v>-733.56631672405115</v>
      </c>
      <c r="I1746" s="100">
        <v>143.58592821781713</v>
      </c>
      <c r="J1746" s="100">
        <v>-363.58612982154455</v>
      </c>
    </row>
    <row r="1747" spans="1:10" x14ac:dyDescent="0.25">
      <c r="A1747">
        <v>1730</v>
      </c>
      <c r="B1747" s="100">
        <v>90.260669043945597</v>
      </c>
      <c r="C1747" s="100">
        <v>98.244707812436232</v>
      </c>
      <c r="D1747" s="100">
        <v>92.713201234310148</v>
      </c>
      <c r="E1747" s="100">
        <v>93.710733722900443</v>
      </c>
      <c r="F1747" s="100">
        <v>-2333.1912413109421</v>
      </c>
      <c r="G1747" s="100">
        <v>-52.227458711172403</v>
      </c>
      <c r="H1747" s="100">
        <v>205.75774235291533</v>
      </c>
      <c r="I1747" s="100">
        <v>-330.09406819921594</v>
      </c>
      <c r="J1747" s="100">
        <v>-2509.755025868415</v>
      </c>
    </row>
    <row r="1748" spans="1:10" x14ac:dyDescent="0.25">
      <c r="A1748">
        <v>1731</v>
      </c>
      <c r="B1748" s="100">
        <v>90.303184773755945</v>
      </c>
      <c r="C1748" s="100">
        <v>97.465648020510784</v>
      </c>
      <c r="D1748" s="100">
        <v>92.696506545319025</v>
      </c>
      <c r="E1748" s="100">
        <v>93.014042496789685</v>
      </c>
      <c r="F1748" s="100">
        <v>-2473.4931496850877</v>
      </c>
      <c r="G1748" s="100">
        <v>1116.3622291769998</v>
      </c>
      <c r="H1748" s="100">
        <v>239.14712033516139</v>
      </c>
      <c r="I1748" s="100">
        <v>366.59715791154213</v>
      </c>
      <c r="J1748" s="100">
        <v>-751.3866422613844</v>
      </c>
    </row>
    <row r="1749" spans="1:10" x14ac:dyDescent="0.25">
      <c r="A1749">
        <v>1732</v>
      </c>
      <c r="B1749" s="100">
        <v>89.156741351683493</v>
      </c>
      <c r="C1749" s="100">
        <v>99.473745761747935</v>
      </c>
      <c r="D1749" s="100">
        <v>93.1795583800223</v>
      </c>
      <c r="E1749" s="100">
        <v>98.756835440003186</v>
      </c>
      <c r="F1749" s="100">
        <v>1309.7701431540017</v>
      </c>
      <c r="G1749" s="100">
        <v>-1895.7843826787268</v>
      </c>
      <c r="H1749" s="100">
        <v>-726.95654907138874</v>
      </c>
      <c r="I1749" s="100">
        <v>-5376.1957853019594</v>
      </c>
      <c r="J1749" s="100">
        <v>-6689.1665738980737</v>
      </c>
    </row>
    <row r="1750" spans="1:10" x14ac:dyDescent="0.25">
      <c r="A1750">
        <v>1733</v>
      </c>
      <c r="B1750" s="100">
        <v>89.662381074337958</v>
      </c>
      <c r="C1750" s="100">
        <v>97.324083251372713</v>
      </c>
      <c r="D1750" s="100">
        <v>94.591451235643689</v>
      </c>
      <c r="E1750" s="100">
        <v>91.118635490511082</v>
      </c>
      <c r="F1750" s="100">
        <v>-358.8409416057317</v>
      </c>
      <c r="G1750" s="100">
        <v>1328.7093828841066</v>
      </c>
      <c r="H1750" s="100">
        <v>-3550.7422603141663</v>
      </c>
      <c r="I1750" s="100">
        <v>2262.0041641901453</v>
      </c>
      <c r="J1750" s="100">
        <v>-318.86965484564598</v>
      </c>
    </row>
    <row r="1751" spans="1:10" x14ac:dyDescent="0.25">
      <c r="A1751">
        <v>1734</v>
      </c>
      <c r="B1751" s="100">
        <v>90.197812736448213</v>
      </c>
      <c r="C1751" s="100">
        <v>98.615645494808717</v>
      </c>
      <c r="D1751" s="100">
        <v>94.494902706864437</v>
      </c>
      <c r="E1751" s="100">
        <v>95.444526333493755</v>
      </c>
      <c r="F1751" s="100">
        <v>-2125.7654265695746</v>
      </c>
      <c r="G1751" s="100">
        <v>-608.63398226990034</v>
      </c>
      <c r="H1751" s="100">
        <v>-3357.6452027556625</v>
      </c>
      <c r="I1751" s="100">
        <v>-2063.8866787925281</v>
      </c>
      <c r="J1751" s="100">
        <v>-8155.9312903876653</v>
      </c>
    </row>
    <row r="1752" spans="1:10" x14ac:dyDescent="0.25">
      <c r="A1752">
        <v>1735</v>
      </c>
      <c r="B1752" s="100">
        <v>88.69199133736528</v>
      </c>
      <c r="C1752" s="100">
        <v>99.358098852996392</v>
      </c>
      <c r="D1752" s="100">
        <v>90.271901203821997</v>
      </c>
      <c r="E1752" s="100">
        <v>96.461081112089872</v>
      </c>
      <c r="F1752" s="100">
        <v>2843.4451904041039</v>
      </c>
      <c r="G1752" s="100">
        <v>-1722.314019551412</v>
      </c>
      <c r="H1752" s="100">
        <v>5088.3578033292169</v>
      </c>
      <c r="I1752" s="100">
        <v>-3080.4414573886447</v>
      </c>
      <c r="J1752" s="100">
        <v>3129.0475167932641</v>
      </c>
    </row>
    <row r="1753" spans="1:10" x14ac:dyDescent="0.25">
      <c r="A1753">
        <v>1736</v>
      </c>
      <c r="B1753" s="100">
        <v>88.486141986263704</v>
      </c>
      <c r="C1753" s="100">
        <v>98.418825722402133</v>
      </c>
      <c r="D1753" s="100">
        <v>91.405174579158299</v>
      </c>
      <c r="E1753" s="100">
        <v>94.072201172921453</v>
      </c>
      <c r="F1753" s="100">
        <v>3522.7480490393077</v>
      </c>
      <c r="G1753" s="100">
        <v>-313.40432366002346</v>
      </c>
      <c r="H1753" s="100">
        <v>2821.8110526566134</v>
      </c>
      <c r="I1753" s="100">
        <v>-691.56151822022593</v>
      </c>
      <c r="J1753" s="100">
        <v>5339.5932598156724</v>
      </c>
    </row>
    <row r="1754" spans="1:10" x14ac:dyDescent="0.25">
      <c r="A1754">
        <v>1737</v>
      </c>
      <c r="B1754" s="100">
        <v>89.844215914100161</v>
      </c>
      <c r="C1754" s="100">
        <v>96.730884814725343</v>
      </c>
      <c r="D1754" s="100">
        <v>92.118849972816022</v>
      </c>
      <c r="E1754" s="100">
        <v>91.538790854365743</v>
      </c>
      <c r="F1754" s="100">
        <v>-958.89591282100218</v>
      </c>
      <c r="G1754" s="100">
        <v>2218.5070378551613</v>
      </c>
      <c r="H1754" s="100">
        <v>1394.4602653411664</v>
      </c>
      <c r="I1754" s="100">
        <v>1841.8488003354837</v>
      </c>
      <c r="J1754" s="100">
        <v>4495.920190710809</v>
      </c>
    </row>
    <row r="1755" spans="1:10" x14ac:dyDescent="0.25">
      <c r="A1755">
        <v>1738</v>
      </c>
      <c r="B1755" s="100">
        <v>90.171123734672747</v>
      </c>
      <c r="C1755" s="100">
        <v>97.517110994580833</v>
      </c>
      <c r="D1755" s="100">
        <v>93.032725817667455</v>
      </c>
      <c r="E1755" s="100">
        <v>93.32991925402429</v>
      </c>
      <c r="F1755" s="100">
        <v>-2037.6917207105364</v>
      </c>
      <c r="G1755" s="100">
        <v>1039.167768071927</v>
      </c>
      <c r="H1755" s="100">
        <v>-433.29142436169832</v>
      </c>
      <c r="I1755" s="100">
        <v>50.720400676937061</v>
      </c>
      <c r="J1755" s="100">
        <v>-1381.0949763233707</v>
      </c>
    </row>
    <row r="1756" spans="1:10" x14ac:dyDescent="0.25">
      <c r="A1756">
        <v>1739</v>
      </c>
      <c r="B1756" s="100">
        <v>89.238588247097979</v>
      </c>
      <c r="C1756" s="100">
        <v>99.998927398717768</v>
      </c>
      <c r="D1756" s="100">
        <v>92.395674720202905</v>
      </c>
      <c r="E1756" s="100">
        <v>91.367575836984926</v>
      </c>
      <c r="F1756" s="100">
        <v>1039.6753882861972</v>
      </c>
      <c r="G1756" s="100">
        <v>-2683.5568381334765</v>
      </c>
      <c r="H1756" s="100">
        <v>840.81077056740128</v>
      </c>
      <c r="I1756" s="100">
        <v>2013.0638177163007</v>
      </c>
      <c r="J1756" s="100">
        <v>1209.9931384364227</v>
      </c>
    </row>
    <row r="1757" spans="1:10" x14ac:dyDescent="0.25">
      <c r="A1757">
        <v>1740</v>
      </c>
      <c r="B1757" s="100">
        <v>89.506555827552759</v>
      </c>
      <c r="C1757" s="100">
        <v>99.240263679009786</v>
      </c>
      <c r="D1757" s="100">
        <v>93.43342439725518</v>
      </c>
      <c r="E1757" s="100">
        <v>93.936646340723001</v>
      </c>
      <c r="F1757" s="100">
        <v>155.38237278542368</v>
      </c>
      <c r="G1757" s="100">
        <v>-1545.561258571503</v>
      </c>
      <c r="H1757" s="100">
        <v>-1234.6885835371495</v>
      </c>
      <c r="I1757" s="100">
        <v>-556.0066860217745</v>
      </c>
      <c r="J1757" s="100">
        <v>-3180.8741553450031</v>
      </c>
    </row>
    <row r="1758" spans="1:10" x14ac:dyDescent="0.25">
      <c r="A1758">
        <v>1741</v>
      </c>
      <c r="B1758" s="100">
        <v>88.878893168580618</v>
      </c>
      <c r="C1758" s="100">
        <v>98.907264889350543</v>
      </c>
      <c r="D1758" s="100">
        <v>91.937436438665145</v>
      </c>
      <c r="E1758" s="100">
        <v>93.882655719199704</v>
      </c>
      <c r="F1758" s="100">
        <v>2226.6691473934911</v>
      </c>
      <c r="G1758" s="100">
        <v>-1046.0630740826389</v>
      </c>
      <c r="H1758" s="100">
        <v>1757.2873336429211</v>
      </c>
      <c r="I1758" s="100">
        <v>-502.01606449847702</v>
      </c>
      <c r="J1758" s="100">
        <v>2435.8773424552965</v>
      </c>
    </row>
    <row r="1759" spans="1:10" x14ac:dyDescent="0.25">
      <c r="A1759">
        <v>1742</v>
      </c>
      <c r="B1759" s="100">
        <v>88.99420870291911</v>
      </c>
      <c r="C1759" s="100">
        <v>99.574354854245598</v>
      </c>
      <c r="D1759" s="100">
        <v>92.427040164984206</v>
      </c>
      <c r="E1759" s="100">
        <v>94.770159445768797</v>
      </c>
      <c r="F1759" s="100">
        <v>1846.1278840764662</v>
      </c>
      <c r="G1759" s="100">
        <v>-2046.6980214252217</v>
      </c>
      <c r="H1759" s="100">
        <v>778.07988100479974</v>
      </c>
      <c r="I1759" s="100">
        <v>-1389.5197910675706</v>
      </c>
      <c r="J1759" s="100">
        <v>-812.01004741152633</v>
      </c>
    </row>
    <row r="1760" spans="1:10" x14ac:dyDescent="0.25">
      <c r="A1760">
        <v>1743</v>
      </c>
      <c r="B1760" s="100">
        <v>89.498630112755279</v>
      </c>
      <c r="C1760" s="100">
        <v>97.482163924403594</v>
      </c>
      <c r="D1760" s="100">
        <v>92.962572015688906</v>
      </c>
      <c r="E1760" s="100">
        <v>94.261025556226812</v>
      </c>
      <c r="F1760" s="100">
        <v>181.53723161710786</v>
      </c>
      <c r="G1760" s="100">
        <v>1091.5883733377855</v>
      </c>
      <c r="H1760" s="100">
        <v>-292.98382040460069</v>
      </c>
      <c r="I1760" s="100">
        <v>-880.38590152558527</v>
      </c>
      <c r="J1760" s="100">
        <v>99.755883024707373</v>
      </c>
    </row>
    <row r="1761" spans="1:10" x14ac:dyDescent="0.25">
      <c r="A1761">
        <v>1744</v>
      </c>
      <c r="B1761" s="100">
        <v>88.613423678929195</v>
      </c>
      <c r="C1761" s="100">
        <v>97.317430169314832</v>
      </c>
      <c r="D1761" s="100">
        <v>91.388877736464366</v>
      </c>
      <c r="E1761" s="100">
        <v>91.313894644423598</v>
      </c>
      <c r="F1761" s="100">
        <v>3102.7184632431868</v>
      </c>
      <c r="G1761" s="100">
        <v>1338.6890059709274</v>
      </c>
      <c r="H1761" s="100">
        <v>2854.4047380444795</v>
      </c>
      <c r="I1761" s="100">
        <v>2066.7450102776284</v>
      </c>
      <c r="J1761" s="100">
        <v>9362.5572175362213</v>
      </c>
    </row>
    <row r="1762" spans="1:10" x14ac:dyDescent="0.25">
      <c r="A1762">
        <v>1745</v>
      </c>
      <c r="B1762" s="100">
        <v>89.461257537763132</v>
      </c>
      <c r="C1762" s="100">
        <v>98.400291642911995</v>
      </c>
      <c r="D1762" s="100">
        <v>93.059909805203475</v>
      </c>
      <c r="E1762" s="100">
        <v>92.712904015578374</v>
      </c>
      <c r="F1762" s="100">
        <v>304.86672909119505</v>
      </c>
      <c r="G1762" s="100">
        <v>-285.60320442481668</v>
      </c>
      <c r="H1762" s="100">
        <v>-487.65939943373837</v>
      </c>
      <c r="I1762" s="100">
        <v>667.73563912285283</v>
      </c>
      <c r="J1762" s="100">
        <v>199.33976435549283</v>
      </c>
    </row>
    <row r="1763" spans="1:10" x14ac:dyDescent="0.25">
      <c r="A1763">
        <v>1746</v>
      </c>
      <c r="B1763" s="100">
        <v>89.397262952727644</v>
      </c>
      <c r="C1763" s="100">
        <v>98.840366204501606</v>
      </c>
      <c r="D1763" s="100">
        <v>91.951708301513932</v>
      </c>
      <c r="E1763" s="100">
        <v>90.715271274758209</v>
      </c>
      <c r="F1763" s="100">
        <v>516.04885970830446</v>
      </c>
      <c r="G1763" s="100">
        <v>-945.71504680923363</v>
      </c>
      <c r="H1763" s="100">
        <v>1728.7436079453471</v>
      </c>
      <c r="I1763" s="100">
        <v>2665.3683799430182</v>
      </c>
      <c r="J1763" s="100">
        <v>3964.4458007874364</v>
      </c>
    </row>
    <row r="1764" spans="1:10" x14ac:dyDescent="0.25">
      <c r="A1764">
        <v>1747</v>
      </c>
      <c r="B1764" s="100">
        <v>89.512557124045628</v>
      </c>
      <c r="C1764" s="100">
        <v>98.864875324973681</v>
      </c>
      <c r="D1764" s="100">
        <v>92.730125038445053</v>
      </c>
      <c r="E1764" s="100">
        <v>95.800512768768115</v>
      </c>
      <c r="F1764" s="100">
        <v>135.57809435895649</v>
      </c>
      <c r="G1764" s="100">
        <v>-982.47872751734633</v>
      </c>
      <c r="H1764" s="100">
        <v>171.91013408310596</v>
      </c>
      <c r="I1764" s="100">
        <v>-2419.8731140668883</v>
      </c>
      <c r="J1764" s="100">
        <v>-3094.8636131421722</v>
      </c>
    </row>
    <row r="1765" spans="1:10" x14ac:dyDescent="0.25">
      <c r="A1765">
        <v>1748</v>
      </c>
      <c r="B1765" s="100">
        <v>89.968048394576599</v>
      </c>
      <c r="C1765" s="100">
        <v>97.944726719550587</v>
      </c>
      <c r="D1765" s="100">
        <v>92.845573613831903</v>
      </c>
      <c r="E1765" s="100">
        <v>94.296022747689037</v>
      </c>
      <c r="F1765" s="100">
        <v>-1367.5430983932458</v>
      </c>
      <c r="G1765" s="100">
        <v>397.74418061729477</v>
      </c>
      <c r="H1765" s="100">
        <v>-58.987016690593919</v>
      </c>
      <c r="I1765" s="100">
        <v>-915.38309298780973</v>
      </c>
      <c r="J1765" s="100">
        <v>-1944.1690274543546</v>
      </c>
    </row>
    <row r="1766" spans="1:10" x14ac:dyDescent="0.25">
      <c r="A1766">
        <v>1749</v>
      </c>
      <c r="B1766" s="100">
        <v>89.729498480658108</v>
      </c>
      <c r="C1766" s="100">
        <v>97.446466725671598</v>
      </c>
      <c r="D1766" s="100">
        <v>93.120773682761367</v>
      </c>
      <c r="E1766" s="100">
        <v>93.418449212784083</v>
      </c>
      <c r="F1766" s="100">
        <v>-580.32838246222832</v>
      </c>
      <c r="G1766" s="100">
        <v>1145.1341714357782</v>
      </c>
      <c r="H1766" s="100">
        <v>-609.3871545495233</v>
      </c>
      <c r="I1766" s="100">
        <v>-37.809558082855688</v>
      </c>
      <c r="J1766" s="100">
        <v>-82.390923658829138</v>
      </c>
    </row>
    <row r="1767" spans="1:10" x14ac:dyDescent="0.25">
      <c r="A1767">
        <v>1750</v>
      </c>
      <c r="B1767" s="100">
        <v>88.607874229672561</v>
      </c>
      <c r="C1767" s="100">
        <v>98.58049140562963</v>
      </c>
      <c r="D1767" s="100">
        <v>92.094085662084083</v>
      </c>
      <c r="E1767" s="100">
        <v>93.497795208852082</v>
      </c>
      <c r="F1767" s="100">
        <v>3121.031645790079</v>
      </c>
      <c r="G1767" s="100">
        <v>-555.90284850126886</v>
      </c>
      <c r="H1767" s="100">
        <v>1443.9888868050446</v>
      </c>
      <c r="I1767" s="100">
        <v>-117.15555415085532</v>
      </c>
      <c r="J1767" s="100">
        <v>3891.962129943</v>
      </c>
    </row>
    <row r="1768" spans="1:10" x14ac:dyDescent="0.25">
      <c r="A1768">
        <v>1751</v>
      </c>
      <c r="B1768" s="100">
        <v>89.056268652928765</v>
      </c>
      <c r="C1768" s="100">
        <v>97.490089960190105</v>
      </c>
      <c r="D1768" s="100">
        <v>93.920209354065975</v>
      </c>
      <c r="E1768" s="100">
        <v>94.512547375339764</v>
      </c>
      <c r="F1768" s="100">
        <v>1641.3300490446063</v>
      </c>
      <c r="G1768" s="100">
        <v>1079.6993196580188</v>
      </c>
      <c r="H1768" s="100">
        <v>-2208.258497158738</v>
      </c>
      <c r="I1768" s="100">
        <v>-1131.9077206385373</v>
      </c>
      <c r="J1768" s="100">
        <v>-619.13684909465019</v>
      </c>
    </row>
    <row r="1769" spans="1:10" x14ac:dyDescent="0.25">
      <c r="A1769">
        <v>1752</v>
      </c>
      <c r="B1769" s="100">
        <v>88.774128978419824</v>
      </c>
      <c r="C1769" s="100">
        <v>97.797295748022918</v>
      </c>
      <c r="D1769" s="100">
        <v>92.774168246428417</v>
      </c>
      <c r="E1769" s="100">
        <v>93.739042808244221</v>
      </c>
      <c r="F1769" s="100">
        <v>2572.3909749241088</v>
      </c>
      <c r="G1769" s="100">
        <v>618.89063790879823</v>
      </c>
      <c r="H1769" s="100">
        <v>83.823718116377677</v>
      </c>
      <c r="I1769" s="100">
        <v>-358.40315354299435</v>
      </c>
      <c r="J1769" s="100">
        <v>2916.70217740629</v>
      </c>
    </row>
    <row r="1770" spans="1:10" x14ac:dyDescent="0.25">
      <c r="A1770">
        <v>1753</v>
      </c>
      <c r="B1770" s="100">
        <v>89.266010680207017</v>
      </c>
      <c r="C1770" s="100">
        <v>98.580964774351116</v>
      </c>
      <c r="D1770" s="100">
        <v>91.252902378243306</v>
      </c>
      <c r="E1770" s="100">
        <v>94.043835717926029</v>
      </c>
      <c r="F1770" s="100">
        <v>949.18135902637175</v>
      </c>
      <c r="G1770" s="100">
        <v>-556.6129015834988</v>
      </c>
      <c r="H1770" s="100">
        <v>3126.3554544865997</v>
      </c>
      <c r="I1770" s="100">
        <v>-663.1960632248024</v>
      </c>
      <c r="J1770" s="100">
        <v>2855.7278487046701</v>
      </c>
    </row>
    <row r="1771" spans="1:10" x14ac:dyDescent="0.25">
      <c r="A1771">
        <v>1754</v>
      </c>
      <c r="B1771" s="100">
        <v>89.426231804849607</v>
      </c>
      <c r="C1771" s="100">
        <v>97.471797492655909</v>
      </c>
      <c r="D1771" s="100">
        <v>92.400607163218154</v>
      </c>
      <c r="E1771" s="100">
        <v>93.574558161014394</v>
      </c>
      <c r="F1771" s="100">
        <v>420.4516477058263</v>
      </c>
      <c r="G1771" s="100">
        <v>1107.1380209593117</v>
      </c>
      <c r="H1771" s="100">
        <v>830.94588453690221</v>
      </c>
      <c r="I1771" s="100">
        <v>-193.91850631316743</v>
      </c>
      <c r="J1771" s="100">
        <v>2164.6170468888731</v>
      </c>
    </row>
    <row r="1772" spans="1:10" x14ac:dyDescent="0.25">
      <c r="A1772">
        <v>1755</v>
      </c>
      <c r="B1772" s="100">
        <v>89.85688726759561</v>
      </c>
      <c r="C1772" s="100">
        <v>99.453361834185557</v>
      </c>
      <c r="D1772" s="100">
        <v>92.049360930645022</v>
      </c>
      <c r="E1772" s="100">
        <v>94.569070291850011</v>
      </c>
      <c r="F1772" s="100">
        <v>-1000.7113793559838</v>
      </c>
      <c r="G1772" s="100">
        <v>-1865.20849133516</v>
      </c>
      <c r="H1772" s="100">
        <v>1533.4383496831663</v>
      </c>
      <c r="I1772" s="100">
        <v>-1188.4306371487837</v>
      </c>
      <c r="J1772" s="100">
        <v>-2520.9121581567615</v>
      </c>
    </row>
    <row r="1773" spans="1:10" x14ac:dyDescent="0.25">
      <c r="A1773">
        <v>1756</v>
      </c>
      <c r="B1773" s="100">
        <v>89.681394206454684</v>
      </c>
      <c r="C1773" s="100">
        <v>98.414402621205028</v>
      </c>
      <c r="D1773" s="100">
        <v>93.863536237856863</v>
      </c>
      <c r="E1773" s="100">
        <v>94.127552153160778</v>
      </c>
      <c r="F1773" s="100">
        <v>-421.5842775909266</v>
      </c>
      <c r="G1773" s="100">
        <v>-306.76967186436599</v>
      </c>
      <c r="H1773" s="100">
        <v>-2094.9122647405147</v>
      </c>
      <c r="I1773" s="100">
        <v>-746.91249845955099</v>
      </c>
      <c r="J1773" s="100">
        <v>-3570.1787126553581</v>
      </c>
    </row>
    <row r="1774" spans="1:10" x14ac:dyDescent="0.25">
      <c r="A1774">
        <v>1757</v>
      </c>
      <c r="B1774" s="100">
        <v>90.880504393444937</v>
      </c>
      <c r="C1774" s="100">
        <v>98.214818355906061</v>
      </c>
      <c r="D1774" s="100">
        <v>92.694393344545801</v>
      </c>
      <c r="E1774" s="100">
        <v>92.089651789373022</v>
      </c>
      <c r="F1774" s="100">
        <v>-4378.6478946587631</v>
      </c>
      <c r="G1774" s="100">
        <v>-7.3932739159161542</v>
      </c>
      <c r="H1774" s="100">
        <v>243.37352188160821</v>
      </c>
      <c r="I1774" s="100">
        <v>1290.9878653282049</v>
      </c>
      <c r="J1774" s="100">
        <v>-2851.6797813648664</v>
      </c>
    </row>
    <row r="1775" spans="1:10" x14ac:dyDescent="0.25">
      <c r="A1775">
        <v>1758</v>
      </c>
      <c r="B1775" s="100">
        <v>89.218979002022152</v>
      </c>
      <c r="C1775" s="100">
        <v>98.474546819332417</v>
      </c>
      <c r="D1775" s="100">
        <v>94.280128675242693</v>
      </c>
      <c r="E1775" s="100">
        <v>92.526386702666798</v>
      </c>
      <c r="F1775" s="100">
        <v>1104.385897036427</v>
      </c>
      <c r="G1775" s="100">
        <v>-396.98596905545003</v>
      </c>
      <c r="H1775" s="100">
        <v>-2928.0971395121751</v>
      </c>
      <c r="I1775" s="100">
        <v>854.25295203442886</v>
      </c>
      <c r="J1775" s="100">
        <v>-1366.4442594967695</v>
      </c>
    </row>
    <row r="1776" spans="1:10" x14ac:dyDescent="0.25">
      <c r="A1776">
        <v>1759</v>
      </c>
      <c r="B1776" s="100">
        <v>89.285320380358627</v>
      </c>
      <c r="C1776" s="100">
        <v>97.287802924040889</v>
      </c>
      <c r="D1776" s="100">
        <v>92.801318733982114</v>
      </c>
      <c r="E1776" s="100">
        <v>91.957413475725758</v>
      </c>
      <c r="F1776" s="100">
        <v>885.45934852606081</v>
      </c>
      <c r="G1776" s="100">
        <v>1383.1298738818418</v>
      </c>
      <c r="H1776" s="100">
        <v>29.522743008982388</v>
      </c>
      <c r="I1776" s="100">
        <v>1423.2261789754689</v>
      </c>
      <c r="J1776" s="100">
        <v>3721.338144392354</v>
      </c>
    </row>
    <row r="1777" spans="1:10" x14ac:dyDescent="0.25">
      <c r="A1777">
        <v>1760</v>
      </c>
      <c r="B1777" s="100">
        <v>89.594101890499203</v>
      </c>
      <c r="C1777" s="100">
        <v>99.015676705201585</v>
      </c>
      <c r="D1777" s="100">
        <v>92.238092026664958</v>
      </c>
      <c r="E1777" s="100">
        <v>90.487996771676805</v>
      </c>
      <c r="F1777" s="100">
        <v>-133.51963493784211</v>
      </c>
      <c r="G1777" s="100">
        <v>-1208.6807978592019</v>
      </c>
      <c r="H1777" s="100">
        <v>1155.9761576432948</v>
      </c>
      <c r="I1777" s="100">
        <v>2892.6428830244222</v>
      </c>
      <c r="J1777" s="100">
        <v>2706.418607870673</v>
      </c>
    </row>
    <row r="1778" spans="1:10" x14ac:dyDescent="0.25">
      <c r="A1778">
        <v>1761</v>
      </c>
      <c r="B1778" s="100">
        <v>88.94088419054178</v>
      </c>
      <c r="C1778" s="100">
        <v>98.261182657483232</v>
      </c>
      <c r="D1778" s="100">
        <v>93.68251983857067</v>
      </c>
      <c r="E1778" s="100">
        <v>95.983331158532096</v>
      </c>
      <c r="F1778" s="100">
        <v>2022.0987749216547</v>
      </c>
      <c r="G1778" s="100">
        <v>-76.939726281672449</v>
      </c>
      <c r="H1778" s="100">
        <v>-1732.8794661681286</v>
      </c>
      <c r="I1778" s="100">
        <v>-2602.6915038308689</v>
      </c>
      <c r="J1778" s="100">
        <v>-2390.4119213590152</v>
      </c>
    </row>
    <row r="1779" spans="1:10" x14ac:dyDescent="0.25">
      <c r="A1779">
        <v>1762</v>
      </c>
      <c r="B1779" s="100">
        <v>89.128113314806654</v>
      </c>
      <c r="C1779" s="100">
        <v>98.791891808369343</v>
      </c>
      <c r="D1779" s="100">
        <v>93.060485973514716</v>
      </c>
      <c r="E1779" s="100">
        <v>92.554106671712105</v>
      </c>
      <c r="F1779" s="100">
        <v>1404.2426648475698</v>
      </c>
      <c r="G1779" s="100">
        <v>-873.00345261083839</v>
      </c>
      <c r="H1779" s="100">
        <v>-488.81173605622052</v>
      </c>
      <c r="I1779" s="100">
        <v>826.53298298912148</v>
      </c>
      <c r="J1779" s="100">
        <v>868.96045916963237</v>
      </c>
    </row>
    <row r="1780" spans="1:10" x14ac:dyDescent="0.25">
      <c r="A1780">
        <v>1763</v>
      </c>
      <c r="B1780" s="100">
        <v>89.443318190663916</v>
      </c>
      <c r="C1780" s="100">
        <v>96.591382013020066</v>
      </c>
      <c r="D1780" s="100">
        <v>91.957996263983205</v>
      </c>
      <c r="E1780" s="100">
        <v>92.40471867516554</v>
      </c>
      <c r="F1780" s="100">
        <v>364.06657451860553</v>
      </c>
      <c r="G1780" s="100">
        <v>2427.7612404130764</v>
      </c>
      <c r="H1780" s="100">
        <v>1716.1676830068018</v>
      </c>
      <c r="I1780" s="100">
        <v>975.92097953568668</v>
      </c>
      <c r="J1780" s="100">
        <v>5483.9164774741703</v>
      </c>
    </row>
    <row r="1781" spans="1:10" x14ac:dyDescent="0.25">
      <c r="A1781">
        <v>1764</v>
      </c>
      <c r="B1781" s="100">
        <v>90.159797625211866</v>
      </c>
      <c r="C1781" s="100">
        <v>99.234200316215563</v>
      </c>
      <c r="D1781" s="100">
        <v>93.395177078048306</v>
      </c>
      <c r="E1781" s="100">
        <v>93.196134149790424</v>
      </c>
      <c r="F1781" s="100">
        <v>-2000.315559489627</v>
      </c>
      <c r="G1781" s="100">
        <v>-1536.4662143801695</v>
      </c>
      <c r="H1781" s="100">
        <v>-1158.1939451234007</v>
      </c>
      <c r="I1781" s="100">
        <v>184.50550491080264</v>
      </c>
      <c r="J1781" s="100">
        <v>-4510.4702140823947</v>
      </c>
    </row>
    <row r="1782" spans="1:10" x14ac:dyDescent="0.25">
      <c r="A1782">
        <v>1765</v>
      </c>
      <c r="B1782" s="100">
        <v>88.666029361311217</v>
      </c>
      <c r="C1782" s="100">
        <v>98.151497956406686</v>
      </c>
      <c r="D1782" s="100">
        <v>91.52796697386016</v>
      </c>
      <c r="E1782" s="100">
        <v>94.622003117373254</v>
      </c>
      <c r="F1782" s="100">
        <v>2929.1197113825119</v>
      </c>
      <c r="G1782" s="100">
        <v>87.587325333146282</v>
      </c>
      <c r="H1782" s="100">
        <v>2576.2262632528918</v>
      </c>
      <c r="I1782" s="100">
        <v>-1241.3634626720268</v>
      </c>
      <c r="J1782" s="100">
        <v>4351.5698372965235</v>
      </c>
    </row>
    <row r="1783" spans="1:10" x14ac:dyDescent="0.25">
      <c r="A1783">
        <v>1766</v>
      </c>
      <c r="B1783" s="100">
        <v>89.761365266338899</v>
      </c>
      <c r="C1783" s="100">
        <v>99.291787805508065</v>
      </c>
      <c r="D1783" s="100">
        <v>94.231693223941292</v>
      </c>
      <c r="E1783" s="100">
        <v>96.389685541514567</v>
      </c>
      <c r="F1783" s="100">
        <v>-685.4887752088373</v>
      </c>
      <c r="G1783" s="100">
        <v>-1622.8474483189216</v>
      </c>
      <c r="H1783" s="100">
        <v>-2831.2262369093733</v>
      </c>
      <c r="I1783" s="100">
        <v>-3009.0458868133396</v>
      </c>
      <c r="J1783" s="100">
        <v>-8148.6083472504724</v>
      </c>
    </row>
    <row r="1784" spans="1:10" x14ac:dyDescent="0.25">
      <c r="A1784">
        <v>1767</v>
      </c>
      <c r="B1784" s="100">
        <v>89.916080549117439</v>
      </c>
      <c r="C1784" s="100">
        <v>98.496732029454591</v>
      </c>
      <c r="D1784" s="100">
        <v>93.116915033609487</v>
      </c>
      <c r="E1784" s="100">
        <v>94.189188006636769</v>
      </c>
      <c r="F1784" s="100">
        <v>-1196.0492083780182</v>
      </c>
      <c r="G1784" s="100">
        <v>-430.26378423871137</v>
      </c>
      <c r="H1784" s="100">
        <v>-601.66985624576341</v>
      </c>
      <c r="I1784" s="100">
        <v>-808.54835193554209</v>
      </c>
      <c r="J1784" s="100">
        <v>-3036.5312007980351</v>
      </c>
    </row>
    <row r="1785" spans="1:10" x14ac:dyDescent="0.25">
      <c r="A1785">
        <v>1768</v>
      </c>
      <c r="B1785" s="100">
        <v>89.506946756119078</v>
      </c>
      <c r="C1785" s="100">
        <v>96.661210358831269</v>
      </c>
      <c r="D1785" s="100">
        <v>94.246474551105095</v>
      </c>
      <c r="E1785" s="100">
        <v>92.071928507663216</v>
      </c>
      <c r="F1785" s="100">
        <v>154.09230851657298</v>
      </c>
      <c r="G1785" s="100">
        <v>2323.0187216962718</v>
      </c>
      <c r="H1785" s="100">
        <v>-2860.788891236979</v>
      </c>
      <c r="I1785" s="100">
        <v>1308.7111470380109</v>
      </c>
      <c r="J1785" s="100">
        <v>925.03328601387648</v>
      </c>
    </row>
    <row r="1786" spans="1:10" x14ac:dyDescent="0.25">
      <c r="A1786">
        <v>1769</v>
      </c>
      <c r="B1786" s="100">
        <v>89.672552646055166</v>
      </c>
      <c r="C1786" s="100">
        <v>99.23916599331308</v>
      </c>
      <c r="D1786" s="100">
        <v>93.614949972257364</v>
      </c>
      <c r="E1786" s="100">
        <v>92.527009445525394</v>
      </c>
      <c r="F1786" s="100">
        <v>-392.4071282725194</v>
      </c>
      <c r="G1786" s="100">
        <v>-1543.9147300264437</v>
      </c>
      <c r="H1786" s="100">
        <v>-1597.7397335415162</v>
      </c>
      <c r="I1786" s="100">
        <v>853.63020917583299</v>
      </c>
      <c r="J1786" s="100">
        <v>-2680.4313826646462</v>
      </c>
    </row>
    <row r="1787" spans="1:10" x14ac:dyDescent="0.25">
      <c r="A1787">
        <v>1770</v>
      </c>
      <c r="B1787" s="100">
        <v>89.089557421625543</v>
      </c>
      <c r="C1787" s="100">
        <v>98.408332629783146</v>
      </c>
      <c r="D1787" s="100">
        <v>92.815338979554312</v>
      </c>
      <c r="E1787" s="100">
        <v>90.964640856867717</v>
      </c>
      <c r="F1787" s="100">
        <v>1531.4771123452388</v>
      </c>
      <c r="G1787" s="100">
        <v>-297.66468473154362</v>
      </c>
      <c r="H1787" s="100">
        <v>1.4822518645871696</v>
      </c>
      <c r="I1787" s="100">
        <v>2415.9987978335093</v>
      </c>
      <c r="J1787" s="100">
        <v>3651.2934773117913</v>
      </c>
    </row>
    <row r="1788" spans="1:10" x14ac:dyDescent="0.25">
      <c r="A1788">
        <v>1771</v>
      </c>
      <c r="B1788" s="100">
        <v>89.632522009942306</v>
      </c>
      <c r="C1788" s="100">
        <v>97.529510294648659</v>
      </c>
      <c r="D1788" s="100">
        <v>93.008541215062721</v>
      </c>
      <c r="E1788" s="100">
        <v>94.082987580834157</v>
      </c>
      <c r="F1788" s="100">
        <v>-260.30602910008156</v>
      </c>
      <c r="G1788" s="100">
        <v>1020.5688179701866</v>
      </c>
      <c r="H1788" s="100">
        <v>-384.92221915223013</v>
      </c>
      <c r="I1788" s="100">
        <v>-702.34792613292996</v>
      </c>
      <c r="J1788" s="100">
        <v>-327.00735641505503</v>
      </c>
    </row>
    <row r="1789" spans="1:10" x14ac:dyDescent="0.25">
      <c r="A1789">
        <v>1772</v>
      </c>
      <c r="B1789" s="100">
        <v>90.602518643208001</v>
      </c>
      <c r="C1789" s="100">
        <v>97.638409058282292</v>
      </c>
      <c r="D1789" s="100">
        <v>92.287224944227631</v>
      </c>
      <c r="E1789" s="100">
        <v>91.372193110250279</v>
      </c>
      <c r="F1789" s="100">
        <v>-3461.2949188768725</v>
      </c>
      <c r="G1789" s="100">
        <v>857.22067251973749</v>
      </c>
      <c r="H1789" s="100">
        <v>1057.7103225179485</v>
      </c>
      <c r="I1789" s="100">
        <v>2008.4465444509476</v>
      </c>
      <c r="J1789" s="100">
        <v>462.08262061176106</v>
      </c>
    </row>
    <row r="1790" spans="1:10" x14ac:dyDescent="0.25">
      <c r="A1790">
        <v>1773</v>
      </c>
      <c r="B1790" s="100">
        <v>89.944304575765841</v>
      </c>
      <c r="C1790" s="100">
        <v>98.913666512466179</v>
      </c>
      <c r="D1790" s="100">
        <v>94.071121958581202</v>
      </c>
      <c r="E1790" s="100">
        <v>94.181107309466199</v>
      </c>
      <c r="F1790" s="100">
        <v>-1289.1884963177461</v>
      </c>
      <c r="G1790" s="100">
        <v>-1055.6655087560925</v>
      </c>
      <c r="H1790" s="100">
        <v>-2510.0837061891925</v>
      </c>
      <c r="I1790" s="100">
        <v>-800.46765476497228</v>
      </c>
      <c r="J1790" s="100">
        <v>-5655.4053660280033</v>
      </c>
    </row>
    <row r="1791" spans="1:10" x14ac:dyDescent="0.25">
      <c r="A1791">
        <v>1774</v>
      </c>
      <c r="B1791" s="100">
        <v>90.344964994833902</v>
      </c>
      <c r="C1791" s="100">
        <v>100.01639650622876</v>
      </c>
      <c r="D1791" s="100">
        <v>95.215340858343879</v>
      </c>
      <c r="E1791" s="100">
        <v>92.233540466300255</v>
      </c>
      <c r="F1791" s="100">
        <v>-2611.3678792423457</v>
      </c>
      <c r="G1791" s="100">
        <v>-2709.7604993999626</v>
      </c>
      <c r="H1791" s="100">
        <v>-4798.5215057145469</v>
      </c>
      <c r="I1791" s="100">
        <v>1147.099188400972</v>
      </c>
      <c r="J1791" s="100">
        <v>-8972.5506959558825</v>
      </c>
    </row>
    <row r="1792" spans="1:10" x14ac:dyDescent="0.25">
      <c r="A1792">
        <v>1775</v>
      </c>
      <c r="B1792" s="100">
        <v>89.788568376759741</v>
      </c>
      <c r="C1792" s="100">
        <v>98.450522466217379</v>
      </c>
      <c r="D1792" s="100">
        <v>93.099625805861606</v>
      </c>
      <c r="E1792" s="100">
        <v>91.026367008355479</v>
      </c>
      <c r="F1792" s="100">
        <v>-775.25903959761706</v>
      </c>
      <c r="G1792" s="100">
        <v>-360.94943938289248</v>
      </c>
      <c r="H1792" s="100">
        <v>-567.09140075000164</v>
      </c>
      <c r="I1792" s="100">
        <v>2354.2726463457484</v>
      </c>
      <c r="J1792" s="100">
        <v>650.97276661523733</v>
      </c>
    </row>
    <row r="1793" spans="1:10" x14ac:dyDescent="0.25">
      <c r="A1793">
        <v>1776</v>
      </c>
      <c r="B1793" s="100">
        <v>89.852432515633808</v>
      </c>
      <c r="C1793" s="100">
        <v>99.227593190951097</v>
      </c>
      <c r="D1793" s="100">
        <v>91.574806140358604</v>
      </c>
      <c r="E1793" s="100">
        <v>95.571157382837441</v>
      </c>
      <c r="F1793" s="100">
        <v>-986.01069788203688</v>
      </c>
      <c r="G1793" s="100">
        <v>-1526.5555264834702</v>
      </c>
      <c r="H1793" s="100">
        <v>2482.5479302560043</v>
      </c>
      <c r="I1793" s="100">
        <v>-2190.5177281362144</v>
      </c>
      <c r="J1793" s="100">
        <v>-2220.536022245717</v>
      </c>
    </row>
    <row r="1794" spans="1:10" x14ac:dyDescent="0.25">
      <c r="A1794">
        <v>1777</v>
      </c>
      <c r="B1794" s="100">
        <v>90.379278961116739</v>
      </c>
      <c r="C1794" s="100">
        <v>98.405844724398648</v>
      </c>
      <c r="D1794" s="100">
        <v>93.414248863411359</v>
      </c>
      <c r="E1794" s="100">
        <v>96.534068470891512</v>
      </c>
      <c r="F1794" s="100">
        <v>-2724.6039679757105</v>
      </c>
      <c r="G1794" s="100">
        <v>-293.93282665479603</v>
      </c>
      <c r="H1794" s="100">
        <v>-1196.3375158495069</v>
      </c>
      <c r="I1794" s="100">
        <v>-3153.428816190285</v>
      </c>
      <c r="J1794" s="100">
        <v>-7368.3031266702983</v>
      </c>
    </row>
    <row r="1795" spans="1:10" x14ac:dyDescent="0.25">
      <c r="A1795">
        <v>1778</v>
      </c>
      <c r="B1795" s="100">
        <v>89.59143825843671</v>
      </c>
      <c r="C1795" s="100">
        <v>98.553936908895878</v>
      </c>
      <c r="D1795" s="100">
        <v>92.524416813102292</v>
      </c>
      <c r="E1795" s="100">
        <v>90.345785181287852</v>
      </c>
      <c r="F1795" s="100">
        <v>-124.72964913161491</v>
      </c>
      <c r="G1795" s="100">
        <v>-516.07110340064105</v>
      </c>
      <c r="H1795" s="100">
        <v>583.32658476862775</v>
      </c>
      <c r="I1795" s="100">
        <v>3034.8544734133752</v>
      </c>
      <c r="J1795" s="100">
        <v>2977.3803056497472</v>
      </c>
    </row>
    <row r="1796" spans="1:10" x14ac:dyDescent="0.25">
      <c r="A1796">
        <v>1779</v>
      </c>
      <c r="B1796" s="100">
        <v>89.444928634338908</v>
      </c>
      <c r="C1796" s="100">
        <v>98.903871102199972</v>
      </c>
      <c r="D1796" s="100">
        <v>92.814741160117819</v>
      </c>
      <c r="E1796" s="100">
        <v>92.374768346586691</v>
      </c>
      <c r="F1796" s="100">
        <v>358.75211039113424</v>
      </c>
      <c r="G1796" s="100">
        <v>-1040.9723933567818</v>
      </c>
      <c r="H1796" s="100">
        <v>2.6778907375728522</v>
      </c>
      <c r="I1796" s="100">
        <v>1005.8713081145356</v>
      </c>
      <c r="J1796" s="100">
        <v>326.32891588646089</v>
      </c>
    </row>
    <row r="1797" spans="1:10" x14ac:dyDescent="0.25">
      <c r="A1797">
        <v>1780</v>
      </c>
      <c r="B1797" s="100">
        <v>89.080295502399878</v>
      </c>
      <c r="C1797" s="100">
        <v>98.787426407887622</v>
      </c>
      <c r="D1797" s="100">
        <v>94.861971965385067</v>
      </c>
      <c r="E1797" s="100">
        <v>96.367712542634735</v>
      </c>
      <c r="F1797" s="100">
        <v>1562.0414457899328</v>
      </c>
      <c r="G1797" s="100">
        <v>-866.30535188825775</v>
      </c>
      <c r="H1797" s="100">
        <v>-4091.783719796922</v>
      </c>
      <c r="I1797" s="100">
        <v>-2987.0728879335074</v>
      </c>
      <c r="J1797" s="100">
        <v>-6383.1205138287542</v>
      </c>
    </row>
    <row r="1798" spans="1:10" x14ac:dyDescent="0.25">
      <c r="A1798">
        <v>1781</v>
      </c>
      <c r="B1798" s="100">
        <v>90.29970428047163</v>
      </c>
      <c r="C1798" s="100">
        <v>97.98673118749241</v>
      </c>
      <c r="D1798" s="100">
        <v>93.314215130563539</v>
      </c>
      <c r="E1798" s="100">
        <v>94.813275480452134</v>
      </c>
      <c r="F1798" s="100">
        <v>-2462.0075218468501</v>
      </c>
      <c r="G1798" s="100">
        <v>334.73747870456094</v>
      </c>
      <c r="H1798" s="100">
        <v>-996.27005015386771</v>
      </c>
      <c r="I1798" s="100">
        <v>-1432.6358257509071</v>
      </c>
      <c r="J1798" s="100">
        <v>-4556.1759190470639</v>
      </c>
    </row>
    <row r="1799" spans="1:10" x14ac:dyDescent="0.25">
      <c r="A1799">
        <v>1782</v>
      </c>
      <c r="B1799" s="100">
        <v>89.879538383075825</v>
      </c>
      <c r="C1799" s="100">
        <v>98.556893884740404</v>
      </c>
      <c r="D1799" s="100">
        <v>91.361567563564904</v>
      </c>
      <c r="E1799" s="100">
        <v>93.605611156957195</v>
      </c>
      <c r="F1799" s="100">
        <v>-1075.4600604406946</v>
      </c>
      <c r="G1799" s="100">
        <v>-520.50656716743049</v>
      </c>
      <c r="H1799" s="100">
        <v>2909.0250838434031</v>
      </c>
      <c r="I1799" s="100">
        <v>-224.9715022559684</v>
      </c>
      <c r="J1799" s="100">
        <v>1088.0869539793093</v>
      </c>
    </row>
    <row r="1800" spans="1:10" x14ac:dyDescent="0.25">
      <c r="A1800">
        <v>1783</v>
      </c>
      <c r="B1800" s="100">
        <v>89.2150823088583</v>
      </c>
      <c r="C1800" s="100">
        <v>97.977861058410554</v>
      </c>
      <c r="D1800" s="100">
        <v>91.333583427781932</v>
      </c>
      <c r="E1800" s="100">
        <v>92.744233546686374</v>
      </c>
      <c r="F1800" s="100">
        <v>1117.2449844771406</v>
      </c>
      <c r="G1800" s="100">
        <v>348.04267232734531</v>
      </c>
      <c r="H1800" s="100">
        <v>2964.9933554093477</v>
      </c>
      <c r="I1800" s="100">
        <v>636.40610801485309</v>
      </c>
      <c r="J1800" s="100">
        <v>5066.6871202286866</v>
      </c>
    </row>
    <row r="1801" spans="1:10" x14ac:dyDescent="0.25">
      <c r="A1801">
        <v>1784</v>
      </c>
      <c r="B1801" s="100">
        <v>88.984906160384014</v>
      </c>
      <c r="C1801" s="100">
        <v>98.683090236497819</v>
      </c>
      <c r="D1801" s="100">
        <v>92.245677984395641</v>
      </c>
      <c r="E1801" s="100">
        <v>94.274892764225115</v>
      </c>
      <c r="F1801" s="100">
        <v>1876.8262744422827</v>
      </c>
      <c r="G1801" s="100">
        <v>-709.80109480355225</v>
      </c>
      <c r="H1801" s="100">
        <v>1140.8042421819289</v>
      </c>
      <c r="I1801" s="100">
        <v>-894.2531095238877</v>
      </c>
      <c r="J1801" s="100">
        <v>1413.5763122967714</v>
      </c>
    </row>
    <row r="1802" spans="1:10" x14ac:dyDescent="0.25">
      <c r="A1802">
        <v>1785</v>
      </c>
      <c r="B1802" s="100">
        <v>89.128799480040271</v>
      </c>
      <c r="C1802" s="100">
        <v>97.479058221719441</v>
      </c>
      <c r="D1802" s="100">
        <v>91.8921737298529</v>
      </c>
      <c r="E1802" s="100">
        <v>94.278509733473143</v>
      </c>
      <c r="F1802" s="100">
        <v>1401.9783195766336</v>
      </c>
      <c r="G1802" s="100">
        <v>1096.2469273640138</v>
      </c>
      <c r="H1802" s="100">
        <v>1847.8127512674121</v>
      </c>
      <c r="I1802" s="100">
        <v>-897.87007877191627</v>
      </c>
      <c r="J1802" s="100">
        <v>3448.1679194361432</v>
      </c>
    </row>
    <row r="1803" spans="1:10" x14ac:dyDescent="0.25">
      <c r="A1803">
        <v>1786</v>
      </c>
      <c r="B1803" s="100">
        <v>89.717673275031359</v>
      </c>
      <c r="C1803" s="100">
        <v>98.685757062856666</v>
      </c>
      <c r="D1803" s="100">
        <v>90.8219200219268</v>
      </c>
      <c r="E1803" s="100">
        <v>92.906455170404783</v>
      </c>
      <c r="F1803" s="100">
        <v>-541.30520389395542</v>
      </c>
      <c r="G1803" s="100">
        <v>-713.80133434182369</v>
      </c>
      <c r="H1803" s="100">
        <v>3988.3201671196102</v>
      </c>
      <c r="I1803" s="100">
        <v>474.184484296444</v>
      </c>
      <c r="J1803" s="100">
        <v>3207.3981131802748</v>
      </c>
    </row>
    <row r="1804" spans="1:10" x14ac:dyDescent="0.25">
      <c r="A1804">
        <v>1787</v>
      </c>
      <c r="B1804" s="100">
        <v>89.396239384505762</v>
      </c>
      <c r="C1804" s="100">
        <v>99.054437869786142</v>
      </c>
      <c r="D1804" s="100">
        <v>91.958915514567281</v>
      </c>
      <c r="E1804" s="100">
        <v>95.044351596466356</v>
      </c>
      <c r="F1804" s="100">
        <v>519.42663484051513</v>
      </c>
      <c r="G1804" s="100">
        <v>-1266.8225447360371</v>
      </c>
      <c r="H1804" s="100">
        <v>1714.3291818386501</v>
      </c>
      <c r="I1804" s="100">
        <v>-1663.7119417651293</v>
      </c>
      <c r="J1804" s="100">
        <v>-696.77866982200112</v>
      </c>
    </row>
    <row r="1805" spans="1:10" x14ac:dyDescent="0.25">
      <c r="A1805">
        <v>1788</v>
      </c>
      <c r="B1805" s="100">
        <v>89.630689173397897</v>
      </c>
      <c r="C1805" s="100">
        <v>96.817058987188801</v>
      </c>
      <c r="D1805" s="100">
        <v>93.902722021572657</v>
      </c>
      <c r="E1805" s="100">
        <v>91.201628263045109</v>
      </c>
      <c r="F1805" s="100">
        <v>-254.25766850353142</v>
      </c>
      <c r="G1805" s="100">
        <v>2089.2457791599741</v>
      </c>
      <c r="H1805" s="100">
        <v>-2173.2838321721033</v>
      </c>
      <c r="I1805" s="100">
        <v>2179.0113916561181</v>
      </c>
      <c r="J1805" s="100">
        <v>1840.7156701404574</v>
      </c>
    </row>
    <row r="1806" spans="1:10" x14ac:dyDescent="0.25">
      <c r="A1806">
        <v>1789</v>
      </c>
      <c r="B1806" s="100">
        <v>89.348100693607947</v>
      </c>
      <c r="C1806" s="100">
        <v>99.025204364476679</v>
      </c>
      <c r="D1806" s="100">
        <v>93.573776955594738</v>
      </c>
      <c r="E1806" s="100">
        <v>93.45323652170427</v>
      </c>
      <c r="F1806" s="100">
        <v>678.28431480330528</v>
      </c>
      <c r="G1806" s="100">
        <v>-1222.9722867718422</v>
      </c>
      <c r="H1806" s="100">
        <v>-1515.393700216265</v>
      </c>
      <c r="I1806" s="100">
        <v>-72.596867003042576</v>
      </c>
      <c r="J1806" s="100">
        <v>-2132.6785391878443</v>
      </c>
    </row>
    <row r="1807" spans="1:10" x14ac:dyDescent="0.25">
      <c r="A1807">
        <v>1790</v>
      </c>
      <c r="B1807" s="100">
        <v>89.169057084760198</v>
      </c>
      <c r="C1807" s="100">
        <v>98.527227264592369</v>
      </c>
      <c r="D1807" s="100">
        <v>92.601632159739836</v>
      </c>
      <c r="E1807" s="100">
        <v>97.397460365788575</v>
      </c>
      <c r="F1807" s="100">
        <v>1269.1282240008775</v>
      </c>
      <c r="G1807" s="100">
        <v>-476.00663694537815</v>
      </c>
      <c r="H1807" s="100">
        <v>428.89589149353924</v>
      </c>
      <c r="I1807" s="100">
        <v>-4016.8207110873482</v>
      </c>
      <c r="J1807" s="100">
        <v>-2794.8032325383097</v>
      </c>
    </row>
    <row r="1808" spans="1:10" x14ac:dyDescent="0.25">
      <c r="A1808">
        <v>1791</v>
      </c>
      <c r="B1808" s="100">
        <v>89.120980313694659</v>
      </c>
      <c r="C1808" s="100">
        <v>97.419090210495668</v>
      </c>
      <c r="D1808" s="100">
        <v>93.538308455816178</v>
      </c>
      <c r="E1808" s="100">
        <v>91.537396216450688</v>
      </c>
      <c r="F1808" s="100">
        <v>1427.7815685171547</v>
      </c>
      <c r="G1808" s="100">
        <v>1186.1989441996741</v>
      </c>
      <c r="H1808" s="100">
        <v>-1444.4567006591456</v>
      </c>
      <c r="I1808" s="100">
        <v>1843.2434382505392</v>
      </c>
      <c r="J1808" s="100">
        <v>3012.7672503082222</v>
      </c>
    </row>
    <row r="1809" spans="1:10" x14ac:dyDescent="0.25">
      <c r="A1809">
        <v>1792</v>
      </c>
      <c r="B1809" s="100">
        <v>89.762984067492141</v>
      </c>
      <c r="C1809" s="100">
        <v>98.491118694488605</v>
      </c>
      <c r="D1809" s="100">
        <v>91.34650469366413</v>
      </c>
      <c r="E1809" s="100">
        <v>93.495572523003617</v>
      </c>
      <c r="F1809" s="100">
        <v>-690.83081901453625</v>
      </c>
      <c r="G1809" s="100">
        <v>-421.84378178973247</v>
      </c>
      <c r="H1809" s="100">
        <v>2939.1508236449508</v>
      </c>
      <c r="I1809" s="100">
        <v>-114.93286830238958</v>
      </c>
      <c r="J1809" s="100">
        <v>1711.5433545382925</v>
      </c>
    </row>
    <row r="1810" spans="1:10" x14ac:dyDescent="0.25">
      <c r="A1810">
        <v>1793</v>
      </c>
      <c r="B1810" s="100">
        <v>89.902846801822434</v>
      </c>
      <c r="C1810" s="100">
        <v>99.275998793591995</v>
      </c>
      <c r="D1810" s="100">
        <v>94.366113965653312</v>
      </c>
      <c r="E1810" s="100">
        <v>92.77633786550156</v>
      </c>
      <c r="F1810" s="100">
        <v>-1152.3778423045044</v>
      </c>
      <c r="G1810" s="100">
        <v>-1599.1639304448172</v>
      </c>
      <c r="H1810" s="100">
        <v>-3100.0677203334135</v>
      </c>
      <c r="I1810" s="100">
        <v>604.30178919966693</v>
      </c>
      <c r="J1810" s="100">
        <v>-5247.3077038830679</v>
      </c>
    </row>
    <row r="1811" spans="1:10" x14ac:dyDescent="0.25">
      <c r="A1811">
        <v>1794</v>
      </c>
      <c r="B1811" s="100">
        <v>89.868483394139474</v>
      </c>
      <c r="C1811" s="100">
        <v>96.661476233412955</v>
      </c>
      <c r="D1811" s="100">
        <v>92.045480683639724</v>
      </c>
      <c r="E1811" s="100">
        <v>92.997003218671566</v>
      </c>
      <c r="F1811" s="100">
        <v>-1038.9785969507357</v>
      </c>
      <c r="G1811" s="100">
        <v>2322.619909823743</v>
      </c>
      <c r="H1811" s="100">
        <v>1541.1988436937634</v>
      </c>
      <c r="I1811" s="100">
        <v>383.63643602966135</v>
      </c>
      <c r="J1811" s="100">
        <v>3208.4765925964321</v>
      </c>
    </row>
    <row r="1812" spans="1:10" x14ac:dyDescent="0.25">
      <c r="A1812">
        <v>1795</v>
      </c>
      <c r="B1812" s="100">
        <v>89.008720125830862</v>
      </c>
      <c r="C1812" s="100">
        <v>97.823102320596774</v>
      </c>
      <c r="D1812" s="100">
        <v>93.282863717835028</v>
      </c>
      <c r="E1812" s="100">
        <v>93.351413312962151</v>
      </c>
      <c r="F1812" s="100">
        <v>1798.2401884676833</v>
      </c>
      <c r="G1812" s="100">
        <v>580.18077904801407</v>
      </c>
      <c r="H1812" s="100">
        <v>-933.56722469684428</v>
      </c>
      <c r="I1812" s="100">
        <v>29.226341739075679</v>
      </c>
      <c r="J1812" s="100">
        <v>1474.0800845579286</v>
      </c>
    </row>
    <row r="1813" spans="1:10" x14ac:dyDescent="0.25">
      <c r="A1813">
        <v>1796</v>
      </c>
      <c r="B1813" s="100">
        <v>89.289448618227226</v>
      </c>
      <c r="C1813" s="100">
        <v>97.435886199095407</v>
      </c>
      <c r="D1813" s="100">
        <v>94.76480868220176</v>
      </c>
      <c r="E1813" s="100">
        <v>94.032470094139995</v>
      </c>
      <c r="F1813" s="100">
        <v>871.83616355968354</v>
      </c>
      <c r="G1813" s="100">
        <v>1161.0049613000656</v>
      </c>
      <c r="H1813" s="100">
        <v>-3897.4571534303095</v>
      </c>
      <c r="I1813" s="100">
        <v>-651.83043943876839</v>
      </c>
      <c r="J1813" s="100">
        <v>-2516.4464680093288</v>
      </c>
    </row>
    <row r="1814" spans="1:10" x14ac:dyDescent="0.25">
      <c r="A1814">
        <v>1797</v>
      </c>
      <c r="B1814" s="100">
        <v>89.04772929514877</v>
      </c>
      <c r="C1814" s="100">
        <v>97.29473858168295</v>
      </c>
      <c r="D1814" s="100">
        <v>91.686315178334922</v>
      </c>
      <c r="E1814" s="100">
        <v>93.049442540824472</v>
      </c>
      <c r="F1814" s="100">
        <v>1669.5099297185891</v>
      </c>
      <c r="G1814" s="100">
        <v>1372.7263874187515</v>
      </c>
      <c r="H1814" s="100">
        <v>2259.5298543033664</v>
      </c>
      <c r="I1814" s="100">
        <v>331.19711387675466</v>
      </c>
      <c r="J1814" s="100">
        <v>5632.9632853174626</v>
      </c>
    </row>
    <row r="1815" spans="1:10" x14ac:dyDescent="0.25">
      <c r="A1815">
        <v>1798</v>
      </c>
      <c r="B1815" s="100">
        <v>89.093996520808446</v>
      </c>
      <c r="C1815" s="100">
        <v>100.17759035238366</v>
      </c>
      <c r="D1815" s="100">
        <v>93.459671500099205</v>
      </c>
      <c r="E1815" s="100">
        <v>93.077854672387033</v>
      </c>
      <c r="F1815" s="100">
        <v>1516.8280850416579</v>
      </c>
      <c r="G1815" s="100">
        <v>-2951.551268632315</v>
      </c>
      <c r="H1815" s="100">
        <v>-1287.1827892251986</v>
      </c>
      <c r="I1815" s="100">
        <v>302.78498231419348</v>
      </c>
      <c r="J1815" s="100">
        <v>-2419.1209905016622</v>
      </c>
    </row>
    <row r="1816" spans="1:10" x14ac:dyDescent="0.25">
      <c r="A1816">
        <v>1799</v>
      </c>
      <c r="B1816" s="100">
        <v>90.834605107762755</v>
      </c>
      <c r="C1816" s="100">
        <v>98.833438509776101</v>
      </c>
      <c r="D1816" s="100">
        <v>91.856523387579514</v>
      </c>
      <c r="E1816" s="100">
        <v>93.511444834731023</v>
      </c>
      <c r="F1816" s="100">
        <v>-4227.1802519075618</v>
      </c>
      <c r="G1816" s="100">
        <v>-935.32350472097642</v>
      </c>
      <c r="H1816" s="100">
        <v>1919.1134358141824</v>
      </c>
      <c r="I1816" s="100">
        <v>-130.80518002979602</v>
      </c>
      <c r="J1816" s="100">
        <v>-3374.1955008441519</v>
      </c>
    </row>
    <row r="1817" spans="1:10" x14ac:dyDescent="0.25">
      <c r="A1817">
        <v>1800</v>
      </c>
      <c r="B1817" s="100">
        <v>89.836893829212457</v>
      </c>
      <c r="C1817" s="100">
        <v>98.910197997428114</v>
      </c>
      <c r="D1817" s="100">
        <v>92.224945021351374</v>
      </c>
      <c r="E1817" s="100">
        <v>91.488366855816182</v>
      </c>
      <c r="F1817" s="100">
        <v>-934.73303269157805</v>
      </c>
      <c r="G1817" s="100">
        <v>-1050.4627361989947</v>
      </c>
      <c r="H1817" s="100">
        <v>1182.2701682704633</v>
      </c>
      <c r="I1817" s="100">
        <v>1892.2727988850454</v>
      </c>
      <c r="J1817" s="100">
        <v>1089.347198264936</v>
      </c>
    </row>
    <row r="1818" spans="1:10" x14ac:dyDescent="0.25">
      <c r="A1818">
        <v>1801</v>
      </c>
      <c r="B1818" s="100">
        <v>89.451464721715809</v>
      </c>
      <c r="C1818" s="100">
        <v>96.858880202399575</v>
      </c>
      <c r="D1818" s="100">
        <v>92.437985906993461</v>
      </c>
      <c r="E1818" s="100">
        <v>92.822674923354114</v>
      </c>
      <c r="F1818" s="100">
        <v>337.18302204736119</v>
      </c>
      <c r="G1818" s="100">
        <v>2026.5139563438127</v>
      </c>
      <c r="H1818" s="100">
        <v>756.18839698628904</v>
      </c>
      <c r="I1818" s="100">
        <v>557.96473134711277</v>
      </c>
      <c r="J1818" s="100">
        <v>3677.8501067245757</v>
      </c>
    </row>
    <row r="1819" spans="1:10" x14ac:dyDescent="0.25">
      <c r="A1819">
        <v>1802</v>
      </c>
      <c r="B1819" s="100">
        <v>89.659482375501867</v>
      </c>
      <c r="C1819" s="100">
        <v>98.938307308141447</v>
      </c>
      <c r="D1819" s="100">
        <v>92.075959017919075</v>
      </c>
      <c r="E1819" s="100">
        <v>93.530742461854288</v>
      </c>
      <c r="F1819" s="100">
        <v>-349.27523544663046</v>
      </c>
      <c r="G1819" s="100">
        <v>-1092.6267022689942</v>
      </c>
      <c r="H1819" s="100">
        <v>1480.2421751350607</v>
      </c>
      <c r="I1819" s="100">
        <v>-150.10280715306124</v>
      </c>
      <c r="J1819" s="100">
        <v>-111.76256973362513</v>
      </c>
    </row>
    <row r="1820" spans="1:10" x14ac:dyDescent="0.25">
      <c r="A1820">
        <v>1803</v>
      </c>
      <c r="B1820" s="100">
        <v>89.507057312910277</v>
      </c>
      <c r="C1820" s="100">
        <v>99.00858535515809</v>
      </c>
      <c r="D1820" s="100">
        <v>93.190075365887381</v>
      </c>
      <c r="E1820" s="100">
        <v>93.352001169941602</v>
      </c>
      <c r="F1820" s="100">
        <v>153.72747110561562</v>
      </c>
      <c r="G1820" s="100">
        <v>-1198.0437727939589</v>
      </c>
      <c r="H1820" s="100">
        <v>-747.99052080155093</v>
      </c>
      <c r="I1820" s="100">
        <v>28.638484759625271</v>
      </c>
      <c r="J1820" s="100">
        <v>-1763.6683377302688</v>
      </c>
    </row>
    <row r="1821" spans="1:10" x14ac:dyDescent="0.25">
      <c r="A1821">
        <v>1804</v>
      </c>
      <c r="B1821" s="100">
        <v>89.955084460441796</v>
      </c>
      <c r="C1821" s="100">
        <v>98.009242065462217</v>
      </c>
      <c r="D1821" s="100">
        <v>92.345364042871751</v>
      </c>
      <c r="E1821" s="100">
        <v>92.885494033025836</v>
      </c>
      <c r="F1821" s="100">
        <v>-1324.7621157483977</v>
      </c>
      <c r="G1821" s="100">
        <v>300.97116174984961</v>
      </c>
      <c r="H1821" s="100">
        <v>941.43212522970998</v>
      </c>
      <c r="I1821" s="100">
        <v>495.14562167539111</v>
      </c>
      <c r="J1821" s="100">
        <v>412.78679290655305</v>
      </c>
    </row>
    <row r="1822" spans="1:10" x14ac:dyDescent="0.25">
      <c r="A1822">
        <v>1805</v>
      </c>
      <c r="B1822" s="100">
        <v>90.018228008002737</v>
      </c>
      <c r="C1822" s="100">
        <v>98.656598854768831</v>
      </c>
      <c r="D1822" s="100">
        <v>92.328162347578413</v>
      </c>
      <c r="E1822" s="100">
        <v>92.098354349180582</v>
      </c>
      <c r="F1822" s="100">
        <v>-1533.1358226995021</v>
      </c>
      <c r="G1822" s="100">
        <v>-670.06402221007022</v>
      </c>
      <c r="H1822" s="100">
        <v>975.83551581638517</v>
      </c>
      <c r="I1822" s="100">
        <v>1282.2853055206451</v>
      </c>
      <c r="J1822" s="100">
        <v>54.920976427458072</v>
      </c>
    </row>
    <row r="1823" spans="1:10" x14ac:dyDescent="0.25">
      <c r="A1823">
        <v>1806</v>
      </c>
      <c r="B1823" s="100">
        <v>89.905140249134433</v>
      </c>
      <c r="C1823" s="100">
        <v>98.720273641542519</v>
      </c>
      <c r="D1823" s="100">
        <v>92.713732886790552</v>
      </c>
      <c r="E1823" s="100">
        <v>95.968550372994656</v>
      </c>
      <c r="F1823" s="100">
        <v>-1159.9462184341007</v>
      </c>
      <c r="G1823" s="100">
        <v>-765.57620237060314</v>
      </c>
      <c r="H1823" s="100">
        <v>204.69443739210647</v>
      </c>
      <c r="I1823" s="100">
        <v>-2587.910718293429</v>
      </c>
      <c r="J1823" s="100">
        <v>-4308.7387017060264</v>
      </c>
    </row>
    <row r="1824" spans="1:10" x14ac:dyDescent="0.25">
      <c r="A1824">
        <v>1807</v>
      </c>
      <c r="B1824" s="100">
        <v>89.461870340114743</v>
      </c>
      <c r="C1824" s="100">
        <v>98.131662892837824</v>
      </c>
      <c r="D1824" s="100">
        <v>93.857278561440737</v>
      </c>
      <c r="E1824" s="100">
        <v>93.977248835507339</v>
      </c>
      <c r="F1824" s="100">
        <v>302.84448133087807</v>
      </c>
      <c r="G1824" s="100">
        <v>117.33992068644028</v>
      </c>
      <c r="H1824" s="100">
        <v>-2082.3969119082622</v>
      </c>
      <c r="I1824" s="100">
        <v>-596.60918080611225</v>
      </c>
      <c r="J1824" s="100">
        <v>-2258.8216906970561</v>
      </c>
    </row>
    <row r="1825" spans="1:10" x14ac:dyDescent="0.25">
      <c r="A1825">
        <v>1808</v>
      </c>
      <c r="B1825" s="100">
        <v>90.133980992823609</v>
      </c>
      <c r="C1825" s="100">
        <v>98.115350210417347</v>
      </c>
      <c r="D1825" s="100">
        <v>93.151657357553134</v>
      </c>
      <c r="E1825" s="100">
        <v>92.108121297194671</v>
      </c>
      <c r="F1825" s="100">
        <v>-1915.1206726083815</v>
      </c>
      <c r="G1825" s="100">
        <v>141.80894431715529</v>
      </c>
      <c r="H1825" s="100">
        <v>-671.15450413305666</v>
      </c>
      <c r="I1825" s="100">
        <v>1272.5183575065557</v>
      </c>
      <c r="J1825" s="100">
        <v>-1171.9478749177269</v>
      </c>
    </row>
    <row r="1826" spans="1:10" x14ac:dyDescent="0.25">
      <c r="A1826">
        <v>1809</v>
      </c>
      <c r="B1826" s="100">
        <v>89.192401762643016</v>
      </c>
      <c r="C1826" s="100">
        <v>97.685646534706834</v>
      </c>
      <c r="D1826" s="100">
        <v>92.866136882037864</v>
      </c>
      <c r="E1826" s="100">
        <v>91.494865794484909</v>
      </c>
      <c r="F1826" s="100">
        <v>1192.0907869875778</v>
      </c>
      <c r="G1826" s="100">
        <v>786.36445788292519</v>
      </c>
      <c r="H1826" s="100">
        <v>-100.11355310251702</v>
      </c>
      <c r="I1826" s="100">
        <v>1885.7738602163181</v>
      </c>
      <c r="J1826" s="100">
        <v>3764.1155519843041</v>
      </c>
    </row>
    <row r="1827" spans="1:10" x14ac:dyDescent="0.25">
      <c r="A1827">
        <v>1810</v>
      </c>
      <c r="B1827" s="100">
        <v>89.823637113903004</v>
      </c>
      <c r="C1827" s="100">
        <v>98.705174714196716</v>
      </c>
      <c r="D1827" s="100">
        <v>91.466358101999944</v>
      </c>
      <c r="E1827" s="100">
        <v>94.228278035648501</v>
      </c>
      <c r="F1827" s="100">
        <v>-890.98587217038414</v>
      </c>
      <c r="G1827" s="100">
        <v>-742.92781135189762</v>
      </c>
      <c r="H1827" s="100">
        <v>2699.4440069733228</v>
      </c>
      <c r="I1827" s="100">
        <v>-847.63838094727362</v>
      </c>
      <c r="J1827" s="100">
        <v>217.8919425037675</v>
      </c>
    </row>
    <row r="1828" spans="1:10" x14ac:dyDescent="0.25">
      <c r="A1828">
        <v>1811</v>
      </c>
      <c r="B1828" s="100">
        <v>89.925887674858828</v>
      </c>
      <c r="C1828" s="100">
        <v>98.477893795635069</v>
      </c>
      <c r="D1828" s="100">
        <v>93.158776050307665</v>
      </c>
      <c r="E1828" s="100">
        <v>90.030722816100564</v>
      </c>
      <c r="F1828" s="100">
        <v>-1228.4127233246024</v>
      </c>
      <c r="G1828" s="100">
        <v>-402.00643350942755</v>
      </c>
      <c r="H1828" s="100">
        <v>-685.39188964211917</v>
      </c>
      <c r="I1828" s="100">
        <v>3349.9168386006631</v>
      </c>
      <c r="J1828" s="100">
        <v>1034.1057921245138</v>
      </c>
    </row>
    <row r="1829" spans="1:10" x14ac:dyDescent="0.25">
      <c r="A1829">
        <v>1812</v>
      </c>
      <c r="B1829" s="100">
        <v>89.862539824252721</v>
      </c>
      <c r="C1829" s="100">
        <v>98.174933457130379</v>
      </c>
      <c r="D1829" s="100">
        <v>91.58532010276403</v>
      </c>
      <c r="E1829" s="100">
        <v>92.989446806603993</v>
      </c>
      <c r="F1829" s="100">
        <v>-1019.3648163244504</v>
      </c>
      <c r="G1829" s="100">
        <v>52.434074247607043</v>
      </c>
      <c r="H1829" s="100">
        <v>2461.520005445152</v>
      </c>
      <c r="I1829" s="100">
        <v>391.19284809723354</v>
      </c>
      <c r="J1829" s="100">
        <v>1885.7821114655421</v>
      </c>
    </row>
    <row r="1830" spans="1:10" x14ac:dyDescent="0.25">
      <c r="A1830">
        <v>1813</v>
      </c>
      <c r="B1830" s="100">
        <v>89.272849039724377</v>
      </c>
      <c r="C1830" s="100">
        <v>99.228776833413235</v>
      </c>
      <c r="D1830" s="100">
        <v>92.575183561187416</v>
      </c>
      <c r="E1830" s="100">
        <v>94.430211306590948</v>
      </c>
      <c r="F1830" s="100">
        <v>926.61477261908374</v>
      </c>
      <c r="G1830" s="100">
        <v>-1528.330990176677</v>
      </c>
      <c r="H1830" s="100">
        <v>481.79308859837988</v>
      </c>
      <c r="I1830" s="100">
        <v>-1049.5716518897211</v>
      </c>
      <c r="J1830" s="100">
        <v>-1169.4947808489346</v>
      </c>
    </row>
    <row r="1831" spans="1:10" x14ac:dyDescent="0.25">
      <c r="A1831">
        <v>1814</v>
      </c>
      <c r="B1831" s="100">
        <v>89.747566062172154</v>
      </c>
      <c r="C1831" s="100">
        <v>99.142092565371598</v>
      </c>
      <c r="D1831" s="100">
        <v>90.204465002834837</v>
      </c>
      <c r="E1831" s="100">
        <v>94.410055072370042</v>
      </c>
      <c r="F1831" s="100">
        <v>-639.95140145858045</v>
      </c>
      <c r="G1831" s="100">
        <v>-1398.3045881142218</v>
      </c>
      <c r="H1831" s="100">
        <v>5223.2302053035364</v>
      </c>
      <c r="I1831" s="100">
        <v>-1029.4154176688153</v>
      </c>
      <c r="J1831" s="100">
        <v>2155.5587980619189</v>
      </c>
    </row>
    <row r="1832" spans="1:10" x14ac:dyDescent="0.25">
      <c r="A1832">
        <v>1815</v>
      </c>
      <c r="B1832" s="100">
        <v>89.339168237708179</v>
      </c>
      <c r="C1832" s="100">
        <v>97.464898065030326</v>
      </c>
      <c r="D1832" s="100">
        <v>93.698551431809264</v>
      </c>
      <c r="E1832" s="100">
        <v>90.851386388753269</v>
      </c>
      <c r="F1832" s="100">
        <v>707.76141927253775</v>
      </c>
      <c r="G1832" s="100">
        <v>1117.4871623976869</v>
      </c>
      <c r="H1832" s="100">
        <v>-1764.9426526453169</v>
      </c>
      <c r="I1832" s="100">
        <v>2529.2532659479575</v>
      </c>
      <c r="J1832" s="100">
        <v>2589.559194972865</v>
      </c>
    </row>
    <row r="1833" spans="1:10" x14ac:dyDescent="0.25">
      <c r="A1833">
        <v>1816</v>
      </c>
      <c r="B1833" s="100">
        <v>89.23781129360178</v>
      </c>
      <c r="C1833" s="100">
        <v>98.590689722863516</v>
      </c>
      <c r="D1833" s="100">
        <v>93.655656965904967</v>
      </c>
      <c r="E1833" s="100">
        <v>92.935300301595888</v>
      </c>
      <c r="F1833" s="100">
        <v>1042.2393348236553</v>
      </c>
      <c r="G1833" s="100">
        <v>-571.20032435209828</v>
      </c>
      <c r="H1833" s="100">
        <v>-1679.1537208367231</v>
      </c>
      <c r="I1833" s="100">
        <v>445.33935310533934</v>
      </c>
      <c r="J1833" s="100">
        <v>-762.77535725982671</v>
      </c>
    </row>
    <row r="1834" spans="1:10" x14ac:dyDescent="0.25">
      <c r="A1834">
        <v>1817</v>
      </c>
      <c r="B1834" s="100">
        <v>89.432023592200252</v>
      </c>
      <c r="C1834" s="100">
        <v>98.407317360337601</v>
      </c>
      <c r="D1834" s="100">
        <v>91.801453521717619</v>
      </c>
      <c r="E1834" s="100">
        <v>93.234213280819446</v>
      </c>
      <c r="F1834" s="100">
        <v>401.33874944869632</v>
      </c>
      <c r="G1834" s="100">
        <v>-296.14178056322515</v>
      </c>
      <c r="H1834" s="100">
        <v>2029.2531675379735</v>
      </c>
      <c r="I1834" s="100">
        <v>146.42637388178059</v>
      </c>
      <c r="J1834" s="100">
        <v>2280.8765103052256</v>
      </c>
    </row>
    <row r="1835" spans="1:10" x14ac:dyDescent="0.25">
      <c r="A1835">
        <v>1818</v>
      </c>
      <c r="B1835" s="100">
        <v>89.249460881133174</v>
      </c>
      <c r="C1835" s="100">
        <v>97.52498788705978</v>
      </c>
      <c r="D1835" s="100">
        <v>94.545170640148228</v>
      </c>
      <c r="E1835" s="100">
        <v>95.775018674218288</v>
      </c>
      <c r="F1835" s="100">
        <v>1003.7956959700537</v>
      </c>
      <c r="G1835" s="100">
        <v>1027.3524293535061</v>
      </c>
      <c r="H1835" s="100">
        <v>-3458.1810693232455</v>
      </c>
      <c r="I1835" s="100">
        <v>-2394.3790195170604</v>
      </c>
      <c r="J1835" s="100">
        <v>-3821.4119635167463</v>
      </c>
    </row>
    <row r="1836" spans="1:10" x14ac:dyDescent="0.25">
      <c r="A1836">
        <v>1819</v>
      </c>
      <c r="B1836" s="100">
        <v>88.947370849451076</v>
      </c>
      <c r="C1836" s="100">
        <v>97.637339410262683</v>
      </c>
      <c r="D1836" s="100">
        <v>90.597297203551818</v>
      </c>
      <c r="E1836" s="100">
        <v>93.584749122871898</v>
      </c>
      <c r="F1836" s="100">
        <v>2000.6928005209786</v>
      </c>
      <c r="G1836" s="100">
        <v>858.82514454915076</v>
      </c>
      <c r="H1836" s="100">
        <v>4437.5658038695747</v>
      </c>
      <c r="I1836" s="100">
        <v>-204.10946817067099</v>
      </c>
      <c r="J1836" s="100">
        <v>7092.9742807690327</v>
      </c>
    </row>
    <row r="1837" spans="1:10" x14ac:dyDescent="0.25">
      <c r="A1837">
        <v>1820</v>
      </c>
      <c r="B1837" s="100">
        <v>88.883191589941731</v>
      </c>
      <c r="C1837" s="100">
        <v>98.230058219132388</v>
      </c>
      <c r="D1837" s="100">
        <v>93.383866348796019</v>
      </c>
      <c r="E1837" s="100">
        <v>94.792800572585676</v>
      </c>
      <c r="F1837" s="100">
        <v>2212.4843569018167</v>
      </c>
      <c r="G1837" s="100">
        <v>-30.253068755406787</v>
      </c>
      <c r="H1837" s="100">
        <v>-1135.5724866188268</v>
      </c>
      <c r="I1837" s="100">
        <v>-1412.1609178844494</v>
      </c>
      <c r="J1837" s="100">
        <v>-365.50211635686628</v>
      </c>
    </row>
    <row r="1838" spans="1:10" x14ac:dyDescent="0.25">
      <c r="A1838">
        <v>1821</v>
      </c>
      <c r="B1838" s="100">
        <v>88.752513992177043</v>
      </c>
      <c r="C1838" s="100">
        <v>98.400256844318392</v>
      </c>
      <c r="D1838" s="100">
        <v>95.071483458780591</v>
      </c>
      <c r="E1838" s="100">
        <v>93.88466859062801</v>
      </c>
      <c r="F1838" s="100">
        <v>2643.7204295252868</v>
      </c>
      <c r="G1838" s="100">
        <v>-285.55100653441201</v>
      </c>
      <c r="H1838" s="100">
        <v>-4510.8067065879713</v>
      </c>
      <c r="I1838" s="100">
        <v>-504.02893592678311</v>
      </c>
      <c r="J1838" s="100">
        <v>-2656.6662195238796</v>
      </c>
    </row>
    <row r="1839" spans="1:10" x14ac:dyDescent="0.25">
      <c r="A1839">
        <v>1822</v>
      </c>
      <c r="B1839" s="100">
        <v>90.294065557569937</v>
      </c>
      <c r="C1839" s="100">
        <v>98.13183437013231</v>
      </c>
      <c r="D1839" s="100">
        <v>93.478921322220373</v>
      </c>
      <c r="E1839" s="100">
        <v>92.756816711967971</v>
      </c>
      <c r="F1839" s="100">
        <v>-2443.3997362712616</v>
      </c>
      <c r="G1839" s="100">
        <v>117.0827047447105</v>
      </c>
      <c r="H1839" s="100">
        <v>-1325.6824334675343</v>
      </c>
      <c r="I1839" s="100">
        <v>623.82294273325556</v>
      </c>
      <c r="J1839" s="100">
        <v>-3028.1765222608301</v>
      </c>
    </row>
    <row r="1840" spans="1:10" x14ac:dyDescent="0.25">
      <c r="A1840">
        <v>1823</v>
      </c>
      <c r="B1840" s="100">
        <v>89.880303796516358</v>
      </c>
      <c r="C1840" s="100">
        <v>97.98192169649279</v>
      </c>
      <c r="D1840" s="100">
        <v>93.346331116094476</v>
      </c>
      <c r="E1840" s="100">
        <v>90.947920270276555</v>
      </c>
      <c r="F1840" s="100">
        <v>-1077.9859247944528</v>
      </c>
      <c r="G1840" s="100">
        <v>341.95171520399015</v>
      </c>
      <c r="H1840" s="100">
        <v>-1060.5020212157399</v>
      </c>
      <c r="I1840" s="100">
        <v>2432.7193844246722</v>
      </c>
      <c r="J1840" s="100">
        <v>636.18315361846953</v>
      </c>
    </row>
    <row r="1841" spans="1:10" x14ac:dyDescent="0.25">
      <c r="A1841">
        <v>1824</v>
      </c>
      <c r="B1841" s="100">
        <v>89.230767341274628</v>
      </c>
      <c r="C1841" s="100">
        <v>97.973832092741901</v>
      </c>
      <c r="D1841" s="100">
        <v>92.45253714481845</v>
      </c>
      <c r="E1841" s="100">
        <v>94.281922665293592</v>
      </c>
      <c r="F1841" s="100">
        <v>1065.4843775032559</v>
      </c>
      <c r="G1841" s="100">
        <v>354.08612083032409</v>
      </c>
      <c r="H1841" s="100">
        <v>727.085921336311</v>
      </c>
      <c r="I1841" s="100">
        <v>-901.28301059236549</v>
      </c>
      <c r="J1841" s="100">
        <v>1245.3734090775256</v>
      </c>
    </row>
    <row r="1842" spans="1:10" x14ac:dyDescent="0.25">
      <c r="A1842">
        <v>1825</v>
      </c>
      <c r="B1842" s="100">
        <v>89.213239919989789</v>
      </c>
      <c r="C1842" s="100">
        <v>99.338419280272333</v>
      </c>
      <c r="D1842" s="100">
        <v>90.847060321773611</v>
      </c>
      <c r="E1842" s="100">
        <v>95.512160302987922</v>
      </c>
      <c r="F1842" s="100">
        <v>1123.3248677432257</v>
      </c>
      <c r="G1842" s="100">
        <v>-1692.7946604653243</v>
      </c>
      <c r="H1842" s="100">
        <v>3938.0395674259889</v>
      </c>
      <c r="I1842" s="100">
        <v>-2131.5206482866956</v>
      </c>
      <c r="J1842" s="100">
        <v>1237.0491264171947</v>
      </c>
    </row>
    <row r="1843" spans="1:10" x14ac:dyDescent="0.25">
      <c r="A1843">
        <v>1826</v>
      </c>
      <c r="B1843" s="100">
        <v>89.375380651024173</v>
      </c>
      <c r="C1843" s="100">
        <v>99.003671829149255</v>
      </c>
      <c r="D1843" s="100">
        <v>94.379593791002037</v>
      </c>
      <c r="E1843" s="100">
        <v>93.417623880554046</v>
      </c>
      <c r="F1843" s="100">
        <v>588.26045532975832</v>
      </c>
      <c r="G1843" s="100">
        <v>-1190.6734837807064</v>
      </c>
      <c r="H1843" s="100">
        <v>-3127.0273710308629</v>
      </c>
      <c r="I1843" s="100">
        <v>-36.984225852819463</v>
      </c>
      <c r="J1843" s="100">
        <v>-3766.4246253346309</v>
      </c>
    </row>
    <row r="1844" spans="1:10" x14ac:dyDescent="0.25">
      <c r="A1844">
        <v>1827</v>
      </c>
      <c r="B1844" s="100">
        <v>89.655926265649867</v>
      </c>
      <c r="C1844" s="100">
        <v>98.695194874733943</v>
      </c>
      <c r="D1844" s="100">
        <v>92.833536380937602</v>
      </c>
      <c r="E1844" s="100">
        <v>92.760531863217466</v>
      </c>
      <c r="F1844" s="100">
        <v>-337.54007293503321</v>
      </c>
      <c r="G1844" s="100">
        <v>-727.95805215773862</v>
      </c>
      <c r="H1844" s="100">
        <v>-34.912550901992745</v>
      </c>
      <c r="I1844" s="100">
        <v>620.10779148376116</v>
      </c>
      <c r="J1844" s="100">
        <v>-480.3028845110033</v>
      </c>
    </row>
    <row r="1845" spans="1:10" x14ac:dyDescent="0.25">
      <c r="A1845">
        <v>1828</v>
      </c>
      <c r="B1845" s="100">
        <v>89.378558968873307</v>
      </c>
      <c r="C1845" s="100">
        <v>99.099118179037561</v>
      </c>
      <c r="D1845" s="100">
        <v>90.931671593705303</v>
      </c>
      <c r="E1845" s="100">
        <v>93.48581717353558</v>
      </c>
      <c r="F1845" s="100">
        <v>577.7720064276167</v>
      </c>
      <c r="G1845" s="100">
        <v>-1333.8430086131652</v>
      </c>
      <c r="H1845" s="100">
        <v>3768.8170235626048</v>
      </c>
      <c r="I1845" s="100">
        <v>-105.17751883435267</v>
      </c>
      <c r="J1845" s="100">
        <v>2907.5685025427038</v>
      </c>
    </row>
    <row r="1846" spans="1:10" x14ac:dyDescent="0.25">
      <c r="A1846">
        <v>1829</v>
      </c>
      <c r="B1846" s="100">
        <v>89.702601876582307</v>
      </c>
      <c r="C1846" s="100">
        <v>99.416395350446081</v>
      </c>
      <c r="D1846" s="100">
        <v>92.149223725506971</v>
      </c>
      <c r="E1846" s="100">
        <v>94.960335553660784</v>
      </c>
      <c r="F1846" s="100">
        <v>-491.56958901208299</v>
      </c>
      <c r="G1846" s="100">
        <v>-1809.7587657259453</v>
      </c>
      <c r="H1846" s="100">
        <v>1333.7127599592691</v>
      </c>
      <c r="I1846" s="100">
        <v>-1579.6958989595566</v>
      </c>
      <c r="J1846" s="100">
        <v>-2547.3114937383161</v>
      </c>
    </row>
    <row r="1847" spans="1:10" x14ac:dyDescent="0.25">
      <c r="A1847">
        <v>1830</v>
      </c>
      <c r="B1847" s="100">
        <v>89.524411592969969</v>
      </c>
      <c r="C1847" s="100">
        <v>97.243870417997826</v>
      </c>
      <c r="D1847" s="100">
        <v>92.589986764995118</v>
      </c>
      <c r="E1847" s="100">
        <v>92.890803418993897</v>
      </c>
      <c r="F1847" s="100">
        <v>96.458346908632109</v>
      </c>
      <c r="G1847" s="100">
        <v>1449.0286329464368</v>
      </c>
      <c r="H1847" s="100">
        <v>452.18668098297599</v>
      </c>
      <c r="I1847" s="100">
        <v>489.83623570732959</v>
      </c>
      <c r="J1847" s="100">
        <v>2487.5098965453744</v>
      </c>
    </row>
    <row r="1848" spans="1:10" x14ac:dyDescent="0.25">
      <c r="A1848">
        <v>1831</v>
      </c>
      <c r="B1848" s="100">
        <v>89.481759182608954</v>
      </c>
      <c r="C1848" s="100">
        <v>97.564003089286444</v>
      </c>
      <c r="D1848" s="100">
        <v>92.921910105055204</v>
      </c>
      <c r="E1848" s="100">
        <v>93.001839524990672</v>
      </c>
      <c r="F1848" s="100">
        <v>237.21130109998114</v>
      </c>
      <c r="G1848" s="100">
        <v>968.82962601350891</v>
      </c>
      <c r="H1848" s="100">
        <v>-211.65999913719702</v>
      </c>
      <c r="I1848" s="100">
        <v>378.80012971055521</v>
      </c>
      <c r="J1848" s="100">
        <v>1373.1810576868481</v>
      </c>
    </row>
    <row r="1849" spans="1:10" x14ac:dyDescent="0.25">
      <c r="A1849">
        <v>1832</v>
      </c>
      <c r="B1849" s="100">
        <v>89.671769520170201</v>
      </c>
      <c r="C1849" s="100">
        <v>97.591335990504831</v>
      </c>
      <c r="D1849" s="100">
        <v>93.560722019943853</v>
      </c>
      <c r="E1849" s="100">
        <v>94.00421544608686</v>
      </c>
      <c r="F1849" s="100">
        <v>-389.82281285213531</v>
      </c>
      <c r="G1849" s="100">
        <v>927.83027418592928</v>
      </c>
      <c r="H1849" s="100">
        <v>-1489.2838289144947</v>
      </c>
      <c r="I1849" s="100">
        <v>-623.57579138563324</v>
      </c>
      <c r="J1849" s="100">
        <v>-1574.8521589663339</v>
      </c>
    </row>
    <row r="1850" spans="1:10" x14ac:dyDescent="0.25">
      <c r="A1850">
        <v>1833</v>
      </c>
      <c r="B1850" s="100">
        <v>89.501411018288195</v>
      </c>
      <c r="C1850" s="100">
        <v>97.622403676021847</v>
      </c>
      <c r="D1850" s="100">
        <v>92.790867351450643</v>
      </c>
      <c r="E1850" s="100">
        <v>92.673587380871865</v>
      </c>
      <c r="F1850" s="100">
        <v>172.36024335848583</v>
      </c>
      <c r="G1850" s="100">
        <v>881.22874591040556</v>
      </c>
      <c r="H1850" s="100">
        <v>50.425508071924696</v>
      </c>
      <c r="I1850" s="100">
        <v>707.05227382936187</v>
      </c>
      <c r="J1850" s="100">
        <v>1811.0667711701781</v>
      </c>
    </row>
    <row r="1851" spans="1:10" x14ac:dyDescent="0.25">
      <c r="A1851">
        <v>1834</v>
      </c>
      <c r="B1851" s="100">
        <v>89.194516175103686</v>
      </c>
      <c r="C1851" s="100">
        <v>98.148242979519935</v>
      </c>
      <c r="D1851" s="100">
        <v>94.737725390311027</v>
      </c>
      <c r="E1851" s="100">
        <v>93.093891741650879</v>
      </c>
      <c r="F1851" s="100">
        <v>1185.1132258673645</v>
      </c>
      <c r="G1851" s="100">
        <v>92.469790663272988</v>
      </c>
      <c r="H1851" s="100">
        <v>-3843.2905696488433</v>
      </c>
      <c r="I1851" s="100">
        <v>286.7479130503483</v>
      </c>
      <c r="J1851" s="100">
        <v>-2278.9596400678574</v>
      </c>
    </row>
    <row r="1852" spans="1:10" x14ac:dyDescent="0.25">
      <c r="A1852">
        <v>1835</v>
      </c>
      <c r="B1852" s="100">
        <v>89.098863681226646</v>
      </c>
      <c r="C1852" s="100">
        <v>98.472953318235596</v>
      </c>
      <c r="D1852" s="100">
        <v>91.341606639892234</v>
      </c>
      <c r="E1852" s="100">
        <v>92.911061857235154</v>
      </c>
      <c r="F1852" s="100">
        <v>1500.7664556615964</v>
      </c>
      <c r="G1852" s="100">
        <v>-394.59571741021904</v>
      </c>
      <c r="H1852" s="100">
        <v>2948.9469311887433</v>
      </c>
      <c r="I1852" s="100">
        <v>469.57779746607287</v>
      </c>
      <c r="J1852" s="100">
        <v>4524.6954669061934</v>
      </c>
    </row>
    <row r="1853" spans="1:10" x14ac:dyDescent="0.25">
      <c r="A1853">
        <v>1836</v>
      </c>
      <c r="B1853" s="100">
        <v>88.928006046199329</v>
      </c>
      <c r="C1853" s="100">
        <v>98.723952509507313</v>
      </c>
      <c r="D1853" s="100">
        <v>92.55295750505968</v>
      </c>
      <c r="E1853" s="100">
        <v>94.633385522882008</v>
      </c>
      <c r="F1853" s="100">
        <v>2064.5966512517448</v>
      </c>
      <c r="G1853" s="100">
        <v>-771.09450431779442</v>
      </c>
      <c r="H1853" s="100">
        <v>526.24520085385029</v>
      </c>
      <c r="I1853" s="100">
        <v>-1252.7458681807816</v>
      </c>
      <c r="J1853" s="100">
        <v>567.00147960701906</v>
      </c>
    </row>
    <row r="1854" spans="1:10" x14ac:dyDescent="0.25">
      <c r="A1854">
        <v>1837</v>
      </c>
      <c r="B1854" s="100">
        <v>88.891078853361464</v>
      </c>
      <c r="C1854" s="100">
        <v>97.668013226116159</v>
      </c>
      <c r="D1854" s="100">
        <v>94.543189910845555</v>
      </c>
      <c r="E1854" s="100">
        <v>96.173161389149101</v>
      </c>
      <c r="F1854" s="100">
        <v>2186.4563876166999</v>
      </c>
      <c r="G1854" s="100">
        <v>812.81442076893745</v>
      </c>
      <c r="H1854" s="100">
        <v>-3454.2196107178997</v>
      </c>
      <c r="I1854" s="100">
        <v>-2792.5217344478738</v>
      </c>
      <c r="J1854" s="100">
        <v>-3247.4705367801362</v>
      </c>
    </row>
    <row r="1855" spans="1:10" x14ac:dyDescent="0.25">
      <c r="A1855">
        <v>1838</v>
      </c>
      <c r="B1855" s="100">
        <v>88.372940599611042</v>
      </c>
      <c r="C1855" s="100">
        <v>100.23141840723682</v>
      </c>
      <c r="D1855" s="100">
        <v>91.811090682577174</v>
      </c>
      <c r="E1855" s="100">
        <v>91.259770069797639</v>
      </c>
      <c r="F1855" s="100">
        <v>3896.3126249930924</v>
      </c>
      <c r="G1855" s="100">
        <v>-3032.2933509120489</v>
      </c>
      <c r="H1855" s="100">
        <v>2009.9788458188641</v>
      </c>
      <c r="I1855" s="100">
        <v>2120.8695849035876</v>
      </c>
      <c r="J1855" s="100">
        <v>4994.8677048034951</v>
      </c>
    </row>
    <row r="1856" spans="1:10" x14ac:dyDescent="0.25">
      <c r="A1856">
        <v>1839</v>
      </c>
      <c r="B1856" s="100">
        <v>89.300829425374445</v>
      </c>
      <c r="C1856" s="100">
        <v>96.441632806098923</v>
      </c>
      <c r="D1856" s="100">
        <v>93.359783662045473</v>
      </c>
      <c r="E1856" s="100">
        <v>91.938287145989662</v>
      </c>
      <c r="F1856" s="100">
        <v>834.27949997386008</v>
      </c>
      <c r="G1856" s="100">
        <v>2652.3850507947914</v>
      </c>
      <c r="H1856" s="100">
        <v>-1087.4071131177345</v>
      </c>
      <c r="I1856" s="100">
        <v>1442.352508711565</v>
      </c>
      <c r="J1856" s="100">
        <v>3841.6099463624823</v>
      </c>
    </row>
    <row r="1857" spans="1:10" x14ac:dyDescent="0.25">
      <c r="A1857">
        <v>1840</v>
      </c>
      <c r="B1857" s="100">
        <v>89.11356593756409</v>
      </c>
      <c r="C1857" s="100">
        <v>98.587212249058823</v>
      </c>
      <c r="D1857" s="100">
        <v>93.149862808856966</v>
      </c>
      <c r="E1857" s="100">
        <v>90.765608740623009</v>
      </c>
      <c r="F1857" s="100">
        <v>1452.2490097480329</v>
      </c>
      <c r="G1857" s="100">
        <v>-565.98411364505807</v>
      </c>
      <c r="H1857" s="100">
        <v>-667.56540674072085</v>
      </c>
      <c r="I1857" s="100">
        <v>2615.0309140782183</v>
      </c>
      <c r="J1857" s="100">
        <v>2833.7304034404724</v>
      </c>
    </row>
    <row r="1858" spans="1:10" x14ac:dyDescent="0.25">
      <c r="A1858">
        <v>1841</v>
      </c>
      <c r="B1858" s="100">
        <v>89.159177862315076</v>
      </c>
      <c r="C1858" s="100">
        <v>97.528490710496996</v>
      </c>
      <c r="D1858" s="100">
        <v>95.712157446368494</v>
      </c>
      <c r="E1858" s="100">
        <v>93.844510917765291</v>
      </c>
      <c r="F1858" s="100">
        <v>1301.7296580697789</v>
      </c>
      <c r="G1858" s="100">
        <v>1022.0981941976817</v>
      </c>
      <c r="H1858" s="100">
        <v>-5792.1546817637764</v>
      </c>
      <c r="I1858" s="100">
        <v>-463.87126306406401</v>
      </c>
      <c r="J1858" s="100">
        <v>-3932.1980925603798</v>
      </c>
    </row>
    <row r="1859" spans="1:10" x14ac:dyDescent="0.25">
      <c r="A1859">
        <v>1842</v>
      </c>
      <c r="B1859" s="100">
        <v>89.167849208717271</v>
      </c>
      <c r="C1859" s="100">
        <v>97.629549533392975</v>
      </c>
      <c r="D1859" s="100">
        <v>93.853323061371597</v>
      </c>
      <c r="E1859" s="100">
        <v>94.042032258103546</v>
      </c>
      <c r="F1859" s="100">
        <v>1273.1142149425339</v>
      </c>
      <c r="G1859" s="100">
        <v>870.5099598537131</v>
      </c>
      <c r="H1859" s="100">
        <v>-2074.4859117699834</v>
      </c>
      <c r="I1859" s="100">
        <v>-661.39260340231942</v>
      </c>
      <c r="J1859" s="100">
        <v>-592.25434037605612</v>
      </c>
    </row>
    <row r="1860" spans="1:10" x14ac:dyDescent="0.25">
      <c r="A1860">
        <v>1843</v>
      </c>
      <c r="B1860" s="100">
        <v>88.877563243020347</v>
      </c>
      <c r="C1860" s="100">
        <v>97.365041007982896</v>
      </c>
      <c r="D1860" s="100">
        <v>93.625771662215712</v>
      </c>
      <c r="E1860" s="100">
        <v>93.31007057493126</v>
      </c>
      <c r="F1860" s="100">
        <v>2231.0579017423834</v>
      </c>
      <c r="G1860" s="100">
        <v>1267.2727479688319</v>
      </c>
      <c r="H1860" s="100">
        <v>-1619.3831134582126</v>
      </c>
      <c r="I1860" s="100">
        <v>70.569079769967402</v>
      </c>
      <c r="J1860" s="100">
        <v>1949.5166160229701</v>
      </c>
    </row>
    <row r="1861" spans="1:10" x14ac:dyDescent="0.25">
      <c r="A1861">
        <v>1844</v>
      </c>
      <c r="B1861" s="100">
        <v>89.605490524116988</v>
      </c>
      <c r="C1861" s="100">
        <v>97.565087160823907</v>
      </c>
      <c r="D1861" s="100">
        <v>93.312453373240871</v>
      </c>
      <c r="E1861" s="100">
        <v>92.382868804738806</v>
      </c>
      <c r="F1861" s="100">
        <v>-171.10212587652995</v>
      </c>
      <c r="G1861" s="100">
        <v>967.20351870731497</v>
      </c>
      <c r="H1861" s="100">
        <v>-992.74653550853031</v>
      </c>
      <c r="I1861" s="100">
        <v>997.77084996242138</v>
      </c>
      <c r="J1861" s="100">
        <v>801.12570728467608</v>
      </c>
    </row>
    <row r="1862" spans="1:10" x14ac:dyDescent="0.25">
      <c r="A1862">
        <v>1845</v>
      </c>
      <c r="B1862" s="100">
        <v>89.992995115239381</v>
      </c>
      <c r="C1862" s="100">
        <v>98.890668027079599</v>
      </c>
      <c r="D1862" s="100">
        <v>93.438837146377693</v>
      </c>
      <c r="E1862" s="100">
        <v>93.460166271596947</v>
      </c>
      <c r="F1862" s="100">
        <v>-1449.8672765804286</v>
      </c>
      <c r="G1862" s="100">
        <v>-1021.1677806762225</v>
      </c>
      <c r="H1862" s="100">
        <v>-1245.5140817821757</v>
      </c>
      <c r="I1862" s="100">
        <v>-79.526616895719826</v>
      </c>
      <c r="J1862" s="100">
        <v>-3796.0757559345466</v>
      </c>
    </row>
    <row r="1863" spans="1:10" x14ac:dyDescent="0.25">
      <c r="A1863">
        <v>1846</v>
      </c>
      <c r="B1863" s="100">
        <v>89.801847385067674</v>
      </c>
      <c r="C1863" s="100">
        <v>98.458001389696378</v>
      </c>
      <c r="D1863" s="100">
        <v>92.304460012295706</v>
      </c>
      <c r="E1863" s="100">
        <v>92.55538126270082</v>
      </c>
      <c r="F1863" s="100">
        <v>-819.07976701379539</v>
      </c>
      <c r="G1863" s="100">
        <v>-372.16782460139086</v>
      </c>
      <c r="H1863" s="100">
        <v>1023.2401863817984</v>
      </c>
      <c r="I1863" s="100">
        <v>825.25839200040707</v>
      </c>
      <c r="J1863" s="100">
        <v>657.2509867670193</v>
      </c>
    </row>
    <row r="1864" spans="1:10" x14ac:dyDescent="0.25">
      <c r="A1864">
        <v>1847</v>
      </c>
      <c r="B1864" s="100">
        <v>89.961542735877813</v>
      </c>
      <c r="C1864" s="100">
        <v>96.853553595433723</v>
      </c>
      <c r="D1864" s="100">
        <v>93.166641212684354</v>
      </c>
      <c r="E1864" s="100">
        <v>94.960239796786325</v>
      </c>
      <c r="F1864" s="100">
        <v>-1346.074424687255</v>
      </c>
      <c r="G1864" s="100">
        <v>2034.5038667925905</v>
      </c>
      <c r="H1864" s="100">
        <v>-701.12221439549671</v>
      </c>
      <c r="I1864" s="100">
        <v>-1579.6001420850985</v>
      </c>
      <c r="J1864" s="100">
        <v>-1592.2929143752597</v>
      </c>
    </row>
    <row r="1865" spans="1:10" x14ac:dyDescent="0.25">
      <c r="A1865">
        <v>1848</v>
      </c>
      <c r="B1865" s="100">
        <v>90.212797349160809</v>
      </c>
      <c r="C1865" s="100">
        <v>98.879470430108597</v>
      </c>
      <c r="D1865" s="100">
        <v>94.519423684128412</v>
      </c>
      <c r="E1865" s="100">
        <v>94.92709886369758</v>
      </c>
      <c r="F1865" s="100">
        <v>-2175.2146485211397</v>
      </c>
      <c r="G1865" s="100">
        <v>-1004.37138521972</v>
      </c>
      <c r="H1865" s="100">
        <v>-3406.6871572836135</v>
      </c>
      <c r="I1865" s="100">
        <v>-1546.459208996353</v>
      </c>
      <c r="J1865" s="100">
        <v>-8132.7324000208264</v>
      </c>
    </row>
    <row r="1866" spans="1:10" x14ac:dyDescent="0.25">
      <c r="A1866">
        <v>1849</v>
      </c>
      <c r="B1866" s="100">
        <v>89.963276796194492</v>
      </c>
      <c r="C1866" s="100">
        <v>98.485637696713823</v>
      </c>
      <c r="D1866" s="100">
        <v>92.708005400184803</v>
      </c>
      <c r="E1866" s="100">
        <v>93.840716270206201</v>
      </c>
      <c r="F1866" s="100">
        <v>-1351.7968237322948</v>
      </c>
      <c r="G1866" s="100">
        <v>-413.62228512755905</v>
      </c>
      <c r="H1866" s="100">
        <v>216.14941060360593</v>
      </c>
      <c r="I1866" s="100">
        <v>-460.07661550497403</v>
      </c>
      <c r="J1866" s="100">
        <v>-2009.3463137612221</v>
      </c>
    </row>
    <row r="1867" spans="1:10" x14ac:dyDescent="0.25">
      <c r="A1867">
        <v>1850</v>
      </c>
      <c r="B1867" s="100">
        <v>89.801331313141105</v>
      </c>
      <c r="C1867" s="100">
        <v>97.023251014215447</v>
      </c>
      <c r="D1867" s="100">
        <v>93.361816552894098</v>
      </c>
      <c r="E1867" s="100">
        <v>92.526272194413608</v>
      </c>
      <c r="F1867" s="100">
        <v>-817.37672965611807</v>
      </c>
      <c r="G1867" s="100">
        <v>1779.9577386200056</v>
      </c>
      <c r="H1867" s="100">
        <v>-1091.4728948149843</v>
      </c>
      <c r="I1867" s="100">
        <v>854.36746028761945</v>
      </c>
      <c r="J1867" s="100">
        <v>725.47557443652261</v>
      </c>
    </row>
    <row r="1868" spans="1:10" x14ac:dyDescent="0.25">
      <c r="A1868">
        <v>1851</v>
      </c>
      <c r="B1868" s="100">
        <v>89.295617114228619</v>
      </c>
      <c r="C1868" s="100">
        <v>98.578059129074688</v>
      </c>
      <c r="D1868" s="100">
        <v>92.083292915035756</v>
      </c>
      <c r="E1868" s="100">
        <v>93.505068897815647</v>
      </c>
      <c r="F1868" s="100">
        <v>851.48012675508517</v>
      </c>
      <c r="G1868" s="100">
        <v>-552.25443366885679</v>
      </c>
      <c r="H1868" s="100">
        <v>1465.5743809016997</v>
      </c>
      <c r="I1868" s="100">
        <v>-124.42924311442027</v>
      </c>
      <c r="J1868" s="100">
        <v>1640.3708308735077</v>
      </c>
    </row>
    <row r="1869" spans="1:10" x14ac:dyDescent="0.25">
      <c r="A1869">
        <v>1852</v>
      </c>
      <c r="B1869" s="100">
        <v>88.766335943453782</v>
      </c>
      <c r="C1869" s="100">
        <v>98.234034840023824</v>
      </c>
      <c r="D1869" s="100">
        <v>90.840767052863114</v>
      </c>
      <c r="E1869" s="100">
        <v>94.871898021092306</v>
      </c>
      <c r="F1869" s="100">
        <v>2598.1079903120471</v>
      </c>
      <c r="G1869" s="100">
        <v>-36.218000092560487</v>
      </c>
      <c r="H1869" s="100">
        <v>3950.6261052469827</v>
      </c>
      <c r="I1869" s="100">
        <v>-1491.2583663910796</v>
      </c>
      <c r="J1869" s="100">
        <v>5021.2577290753907</v>
      </c>
    </row>
    <row r="1870" spans="1:10" x14ac:dyDescent="0.25">
      <c r="A1870">
        <v>1853</v>
      </c>
      <c r="B1870" s="100">
        <v>88.886905774692792</v>
      </c>
      <c r="C1870" s="100">
        <v>98.265439003081639</v>
      </c>
      <c r="D1870" s="100">
        <v>93.378164372933497</v>
      </c>
      <c r="E1870" s="100">
        <v>92.57641561319781</v>
      </c>
      <c r="F1870" s="100">
        <v>2200.227547223315</v>
      </c>
      <c r="G1870" s="100">
        <v>-83.324244679282344</v>
      </c>
      <c r="H1870" s="100">
        <v>-1124.1685348937835</v>
      </c>
      <c r="I1870" s="100">
        <v>804.2240415034172</v>
      </c>
      <c r="J1870" s="100">
        <v>1796.9588091536662</v>
      </c>
    </row>
    <row r="1871" spans="1:10" x14ac:dyDescent="0.25">
      <c r="A1871">
        <v>1854</v>
      </c>
      <c r="B1871" s="100">
        <v>90.244715503107443</v>
      </c>
      <c r="C1871" s="100">
        <v>98.372855686888784</v>
      </c>
      <c r="D1871" s="100">
        <v>91.185419051976226</v>
      </c>
      <c r="E1871" s="100">
        <v>89.642623928960973</v>
      </c>
      <c r="F1871" s="100">
        <v>-2280.5445565450327</v>
      </c>
      <c r="G1871" s="100">
        <v>-244.44927038999964</v>
      </c>
      <c r="H1871" s="100">
        <v>3261.3221070207601</v>
      </c>
      <c r="I1871" s="100">
        <v>3738.0157257402543</v>
      </c>
      <c r="J1871" s="100">
        <v>4474.3440058259821</v>
      </c>
    </row>
    <row r="1872" spans="1:10" x14ac:dyDescent="0.25">
      <c r="A1872">
        <v>1855</v>
      </c>
      <c r="B1872" s="100">
        <v>88.95019449226757</v>
      </c>
      <c r="C1872" s="100">
        <v>97.087344326689433</v>
      </c>
      <c r="D1872" s="100">
        <v>91.733372584785172</v>
      </c>
      <c r="E1872" s="100">
        <v>94.958920783564565</v>
      </c>
      <c r="F1872" s="100">
        <v>1991.3747792265467</v>
      </c>
      <c r="G1872" s="100">
        <v>1683.8177699090265</v>
      </c>
      <c r="H1872" s="100">
        <v>2165.4150414028663</v>
      </c>
      <c r="I1872" s="100">
        <v>-1578.2811288633384</v>
      </c>
      <c r="J1872" s="100">
        <v>4262.3264616751012</v>
      </c>
    </row>
    <row r="1873" spans="1:10" x14ac:dyDescent="0.25">
      <c r="A1873">
        <v>1856</v>
      </c>
      <c r="B1873" s="100">
        <v>90.461839818823051</v>
      </c>
      <c r="C1873" s="100">
        <v>98.403411186313718</v>
      </c>
      <c r="D1873" s="100">
        <v>92.58081136232218</v>
      </c>
      <c r="E1873" s="100">
        <v>94.110891611779053</v>
      </c>
      <c r="F1873" s="100">
        <v>-2997.0547984065406</v>
      </c>
      <c r="G1873" s="100">
        <v>-290.28251952740192</v>
      </c>
      <c r="H1873" s="100">
        <v>470.53748632885117</v>
      </c>
      <c r="I1873" s="100">
        <v>-730.25195707782586</v>
      </c>
      <c r="J1873" s="100">
        <v>-3547.051788682917</v>
      </c>
    </row>
    <row r="1874" spans="1:10" x14ac:dyDescent="0.25">
      <c r="A1874">
        <v>1857</v>
      </c>
      <c r="B1874" s="100">
        <v>89.648396347798169</v>
      </c>
      <c r="C1874" s="100">
        <v>98.264059359218933</v>
      </c>
      <c r="D1874" s="100">
        <v>93.052976051882382</v>
      </c>
      <c r="E1874" s="100">
        <v>96.507621027674105</v>
      </c>
      <c r="F1874" s="100">
        <v>-312.69134402442802</v>
      </c>
      <c r="G1874" s="100">
        <v>-81.254778885224255</v>
      </c>
      <c r="H1874" s="100">
        <v>-473.79189279155298</v>
      </c>
      <c r="I1874" s="100">
        <v>-3126.981372972878</v>
      </c>
      <c r="J1874" s="100">
        <v>-3994.7193886740833</v>
      </c>
    </row>
    <row r="1875" spans="1:10" x14ac:dyDescent="0.25">
      <c r="A1875">
        <v>1858</v>
      </c>
      <c r="B1875" s="100">
        <v>88.072828110136598</v>
      </c>
      <c r="C1875" s="100">
        <v>97.518922281006766</v>
      </c>
      <c r="D1875" s="100">
        <v>94.057908233258814</v>
      </c>
      <c r="E1875" s="100">
        <v>92.8840409436242</v>
      </c>
      <c r="F1875" s="100">
        <v>4886.6838402587564</v>
      </c>
      <c r="G1875" s="100">
        <v>1036.4508384330265</v>
      </c>
      <c r="H1875" s="100">
        <v>-2483.6562555444175</v>
      </c>
      <c r="I1875" s="100">
        <v>496.59871107702713</v>
      </c>
      <c r="J1875" s="100">
        <v>3936.0771342243925</v>
      </c>
    </row>
    <row r="1876" spans="1:10" x14ac:dyDescent="0.25">
      <c r="A1876">
        <v>1859</v>
      </c>
      <c r="B1876" s="100">
        <v>90.115842607883167</v>
      </c>
      <c r="C1876" s="100">
        <v>99.262685332593009</v>
      </c>
      <c r="D1876" s="100">
        <v>94.117225942630157</v>
      </c>
      <c r="E1876" s="100">
        <v>93.867022750665328</v>
      </c>
      <c r="F1876" s="100">
        <v>-1855.2640023049207</v>
      </c>
      <c r="G1876" s="100">
        <v>-1579.1937389463371</v>
      </c>
      <c r="H1876" s="100">
        <v>-2602.2916742871021</v>
      </c>
      <c r="I1876" s="100">
        <v>-486.38309596410068</v>
      </c>
      <c r="J1876" s="100">
        <v>-6523.1325115024611</v>
      </c>
    </row>
    <row r="1877" spans="1:10" x14ac:dyDescent="0.25">
      <c r="A1877">
        <v>1860</v>
      </c>
      <c r="B1877" s="100">
        <v>89.896709209135906</v>
      </c>
      <c r="C1877" s="100">
        <v>97.587547365217546</v>
      </c>
      <c r="D1877" s="100">
        <v>93.286296216908582</v>
      </c>
      <c r="E1877" s="100">
        <v>95.152323672105027</v>
      </c>
      <c r="F1877" s="100">
        <v>-1132.1237864389616</v>
      </c>
      <c r="G1877" s="100">
        <v>933.51321211685695</v>
      </c>
      <c r="H1877" s="100">
        <v>-940.43222284395256</v>
      </c>
      <c r="I1877" s="100">
        <v>-1771.6840174037998</v>
      </c>
      <c r="J1877" s="100">
        <v>-2910.7268145698572</v>
      </c>
    </row>
    <row r="1878" spans="1:10" x14ac:dyDescent="0.25">
      <c r="A1878">
        <v>1861</v>
      </c>
      <c r="B1878" s="100">
        <v>89.646673174154955</v>
      </c>
      <c r="C1878" s="100">
        <v>98.146846758572423</v>
      </c>
      <c r="D1878" s="100">
        <v>94.94695971725784</v>
      </c>
      <c r="E1878" s="100">
        <v>92.616037453454638</v>
      </c>
      <c r="F1878" s="100">
        <v>-307.00487100182272</v>
      </c>
      <c r="G1878" s="100">
        <v>94.56412208454168</v>
      </c>
      <c r="H1878" s="100">
        <v>-4261.759223542469</v>
      </c>
      <c r="I1878" s="100">
        <v>764.60220124658917</v>
      </c>
      <c r="J1878" s="100">
        <v>-3709.5977712131607</v>
      </c>
    </row>
    <row r="1879" spans="1:10" x14ac:dyDescent="0.25">
      <c r="A1879">
        <v>1862</v>
      </c>
      <c r="B1879" s="100">
        <v>89.198455103488371</v>
      </c>
      <c r="C1879" s="100">
        <v>98.673881196793275</v>
      </c>
      <c r="D1879" s="100">
        <v>93.522928508776303</v>
      </c>
      <c r="E1879" s="100">
        <v>93.486343465281621</v>
      </c>
      <c r="F1879" s="100">
        <v>1172.1147621979057</v>
      </c>
      <c r="G1879" s="100">
        <v>-695.98753524673634</v>
      </c>
      <c r="H1879" s="100">
        <v>-1413.6968065793951</v>
      </c>
      <c r="I1879" s="100">
        <v>-105.70381058039402</v>
      </c>
      <c r="J1879" s="100">
        <v>-1043.2733902086197</v>
      </c>
    </row>
    <row r="1880" spans="1:10" x14ac:dyDescent="0.25">
      <c r="A1880">
        <v>1863</v>
      </c>
      <c r="B1880" s="100">
        <v>89.175109845815086</v>
      </c>
      <c r="C1880" s="100">
        <v>98.348775603305043</v>
      </c>
      <c r="D1880" s="100">
        <v>91.636284577824796</v>
      </c>
      <c r="E1880" s="100">
        <v>93.550613237929198</v>
      </c>
      <c r="F1880" s="100">
        <v>1249.1541125197443</v>
      </c>
      <c r="G1880" s="100">
        <v>-208.32914501438893</v>
      </c>
      <c r="H1880" s="100">
        <v>2359.5910553236195</v>
      </c>
      <c r="I1880" s="100">
        <v>-169.9735832279714</v>
      </c>
      <c r="J1880" s="100">
        <v>3230.4424396010036</v>
      </c>
    </row>
    <row r="1881" spans="1:10" x14ac:dyDescent="0.25">
      <c r="A1881">
        <v>1864</v>
      </c>
      <c r="B1881" s="100">
        <v>89.731162003880755</v>
      </c>
      <c r="C1881" s="100">
        <v>97.209783195748614</v>
      </c>
      <c r="D1881" s="100">
        <v>90.919446514891987</v>
      </c>
      <c r="E1881" s="100">
        <v>93.479964283430874</v>
      </c>
      <c r="F1881" s="100">
        <v>-585.81800909696108</v>
      </c>
      <c r="G1881" s="100">
        <v>1500.1594663202554</v>
      </c>
      <c r="H1881" s="100">
        <v>3793.267181189236</v>
      </c>
      <c r="I1881" s="100">
        <v>-99.324628729647202</v>
      </c>
      <c r="J1881" s="100">
        <v>4608.2840096828832</v>
      </c>
    </row>
    <row r="1882" spans="1:10" x14ac:dyDescent="0.25">
      <c r="A1882">
        <v>1865</v>
      </c>
      <c r="B1882" s="100">
        <v>89.104505928110456</v>
      </c>
      <c r="C1882" s="100">
        <v>98.875416757449102</v>
      </c>
      <c r="D1882" s="100">
        <v>91.543503147012899</v>
      </c>
      <c r="E1882" s="100">
        <v>93.83771428169662</v>
      </c>
      <c r="F1882" s="100">
        <v>1482.1470409450258</v>
      </c>
      <c r="G1882" s="100">
        <v>-998.29087623047735</v>
      </c>
      <c r="H1882" s="100">
        <v>2545.1539169474131</v>
      </c>
      <c r="I1882" s="100">
        <v>-457.07462699539292</v>
      </c>
      <c r="J1882" s="100">
        <v>2571.9354546665686</v>
      </c>
    </row>
    <row r="1883" spans="1:10" x14ac:dyDescent="0.25">
      <c r="A1883">
        <v>1866</v>
      </c>
      <c r="B1883" s="100">
        <v>89.146608795346211</v>
      </c>
      <c r="C1883" s="100">
        <v>98.658984535890099</v>
      </c>
      <c r="D1883" s="100">
        <v>92.73092250580936</v>
      </c>
      <c r="E1883" s="100">
        <v>91.713256614286394</v>
      </c>
      <c r="F1883" s="100">
        <v>1343.207579067034</v>
      </c>
      <c r="G1883" s="100">
        <v>-673.64254389197242</v>
      </c>
      <c r="H1883" s="100">
        <v>170.31519935449069</v>
      </c>
      <c r="I1883" s="100">
        <v>1667.3830404148334</v>
      </c>
      <c r="J1883" s="100">
        <v>2507.2632749443856</v>
      </c>
    </row>
    <row r="1884" spans="1:10" x14ac:dyDescent="0.25">
      <c r="A1884">
        <v>1867</v>
      </c>
      <c r="B1884" s="100">
        <v>89.060982754859765</v>
      </c>
      <c r="C1884" s="100">
        <v>98.108864664738476</v>
      </c>
      <c r="D1884" s="100">
        <v>93.996493526459076</v>
      </c>
      <c r="E1884" s="100">
        <v>90.963879113032291</v>
      </c>
      <c r="F1884" s="100">
        <v>1625.7735126723048</v>
      </c>
      <c r="G1884" s="100">
        <v>151.53726283546121</v>
      </c>
      <c r="H1884" s="100">
        <v>-2360.8268419449414</v>
      </c>
      <c r="I1884" s="100">
        <v>2416.7605416689357</v>
      </c>
      <c r="J1884" s="100">
        <v>1833.2444752317604</v>
      </c>
    </row>
    <row r="1885" spans="1:10" x14ac:dyDescent="0.25">
      <c r="A1885">
        <v>1868</v>
      </c>
      <c r="B1885" s="100">
        <v>89.87093394059616</v>
      </c>
      <c r="C1885" s="100">
        <v>98.873062864530581</v>
      </c>
      <c r="D1885" s="100">
        <v>90.892268862548917</v>
      </c>
      <c r="E1885" s="100">
        <v>93.054043932816825</v>
      </c>
      <c r="F1885" s="100">
        <v>-1047.0654002577987</v>
      </c>
      <c r="G1885" s="100">
        <v>-994.76003685269632</v>
      </c>
      <c r="H1885" s="100">
        <v>3847.6224858753767</v>
      </c>
      <c r="I1885" s="100">
        <v>326.59572188440222</v>
      </c>
      <c r="J1885" s="100">
        <v>2132.3927706492841</v>
      </c>
    </row>
    <row r="1886" spans="1:10" x14ac:dyDescent="0.25">
      <c r="A1886">
        <v>1869</v>
      </c>
      <c r="B1886" s="100">
        <v>89.827045030514753</v>
      </c>
      <c r="C1886" s="100">
        <v>98.398129719498414</v>
      </c>
      <c r="D1886" s="100">
        <v>92.209107118393021</v>
      </c>
      <c r="E1886" s="100">
        <v>94.936536803285932</v>
      </c>
      <c r="F1886" s="100">
        <v>-902.23199698915687</v>
      </c>
      <c r="G1886" s="100">
        <v>-282.36031930444483</v>
      </c>
      <c r="H1886" s="100">
        <v>1213.945974187169</v>
      </c>
      <c r="I1886" s="100">
        <v>-1555.8971485847053</v>
      </c>
      <c r="J1886" s="100">
        <v>-1526.543490691138</v>
      </c>
    </row>
    <row r="1887" spans="1:10" x14ac:dyDescent="0.25">
      <c r="A1887">
        <v>1870</v>
      </c>
      <c r="B1887" s="100">
        <v>89.955455543340506</v>
      </c>
      <c r="C1887" s="100">
        <v>98.113700748575127</v>
      </c>
      <c r="D1887" s="100">
        <v>92.268741279029186</v>
      </c>
      <c r="E1887" s="100">
        <v>91.328398582005022</v>
      </c>
      <c r="F1887" s="100">
        <v>-1325.9866893141393</v>
      </c>
      <c r="G1887" s="100">
        <v>144.28313708048535</v>
      </c>
      <c r="H1887" s="100">
        <v>1094.6776529148394</v>
      </c>
      <c r="I1887" s="100">
        <v>2052.2410726962053</v>
      </c>
      <c r="J1887" s="100">
        <v>1965.2151733773908</v>
      </c>
    </row>
    <row r="1888" spans="1:10" x14ac:dyDescent="0.25">
      <c r="A1888">
        <v>1871</v>
      </c>
      <c r="B1888" s="100">
        <v>90.10282207789966</v>
      </c>
      <c r="C1888" s="100">
        <v>98.765012538088058</v>
      </c>
      <c r="D1888" s="100">
        <v>91.469139017473111</v>
      </c>
      <c r="E1888" s="100">
        <v>92.278403387150817</v>
      </c>
      <c r="F1888" s="100">
        <v>-1812.2962533593479</v>
      </c>
      <c r="G1888" s="100">
        <v>-832.68454718891144</v>
      </c>
      <c r="H1888" s="100">
        <v>2693.8821760269889</v>
      </c>
      <c r="I1888" s="100">
        <v>1102.2362675504098</v>
      </c>
      <c r="J1888" s="100">
        <v>1151.1376430291396</v>
      </c>
    </row>
    <row r="1889" spans="1:10" x14ac:dyDescent="0.25">
      <c r="A1889">
        <v>1872</v>
      </c>
      <c r="B1889" s="100">
        <v>88.781737882854102</v>
      </c>
      <c r="C1889" s="100">
        <v>100.46908660605675</v>
      </c>
      <c r="D1889" s="100">
        <v>93.409009897626703</v>
      </c>
      <c r="E1889" s="100">
        <v>93.670111589523131</v>
      </c>
      <c r="F1889" s="100">
        <v>2547.2815902909915</v>
      </c>
      <c r="G1889" s="100">
        <v>-3388.7956491419473</v>
      </c>
      <c r="H1889" s="100">
        <v>-1185.8595842801947</v>
      </c>
      <c r="I1889" s="100">
        <v>-289.47193482190414</v>
      </c>
      <c r="J1889" s="100">
        <v>-2316.8455779530545</v>
      </c>
    </row>
    <row r="1890" spans="1:10" x14ac:dyDescent="0.25">
      <c r="A1890">
        <v>1873</v>
      </c>
      <c r="B1890" s="100">
        <v>88.798381441871499</v>
      </c>
      <c r="C1890" s="100">
        <v>98.102196541630335</v>
      </c>
      <c r="D1890" s="100">
        <v>92.434972980330798</v>
      </c>
      <c r="E1890" s="100">
        <v>93.894736872228137</v>
      </c>
      <c r="F1890" s="100">
        <v>2492.3578455335842</v>
      </c>
      <c r="G1890" s="100">
        <v>161.5394474976739</v>
      </c>
      <c r="H1890" s="100">
        <v>762.21425031161516</v>
      </c>
      <c r="I1890" s="100">
        <v>-514.09721752690984</v>
      </c>
      <c r="J1890" s="100">
        <v>2902.0143258159633</v>
      </c>
    </row>
    <row r="1891" spans="1:10" x14ac:dyDescent="0.25">
      <c r="A1891">
        <v>1874</v>
      </c>
      <c r="B1891" s="100">
        <v>89.752859473456638</v>
      </c>
      <c r="C1891" s="100">
        <v>98.054842629846405</v>
      </c>
      <c r="D1891" s="100">
        <v>92.513972440551584</v>
      </c>
      <c r="E1891" s="100">
        <v>92.27678233609592</v>
      </c>
      <c r="F1891" s="100">
        <v>-657.41965869737692</v>
      </c>
      <c r="G1891" s="100">
        <v>232.57031517356808</v>
      </c>
      <c r="H1891" s="100">
        <v>604.21532987004412</v>
      </c>
      <c r="I1891" s="100">
        <v>1103.8573186053072</v>
      </c>
      <c r="J1891" s="100">
        <v>1283.2233049515426</v>
      </c>
    </row>
    <row r="1892" spans="1:10" x14ac:dyDescent="0.25">
      <c r="A1892">
        <v>1875</v>
      </c>
      <c r="B1892" s="100">
        <v>89.938221810588075</v>
      </c>
      <c r="C1892" s="100">
        <v>98.675589222794201</v>
      </c>
      <c r="D1892" s="100">
        <v>93.662113872233661</v>
      </c>
      <c r="E1892" s="100">
        <v>93.902084471924965</v>
      </c>
      <c r="F1892" s="100">
        <v>-1269.1153712311191</v>
      </c>
      <c r="G1892" s="100">
        <v>-698.54957424812619</v>
      </c>
      <c r="H1892" s="100">
        <v>-1692.0675334941109</v>
      </c>
      <c r="I1892" s="100">
        <v>-521.44481722373826</v>
      </c>
      <c r="J1892" s="100">
        <v>-4181.1772961970946</v>
      </c>
    </row>
    <row r="1893" spans="1:10" x14ac:dyDescent="0.25">
      <c r="A1893">
        <v>1876</v>
      </c>
      <c r="B1893" s="100">
        <v>89.198257818211687</v>
      </c>
      <c r="C1893" s="100">
        <v>98.167915104819514</v>
      </c>
      <c r="D1893" s="100">
        <v>94.15342176778357</v>
      </c>
      <c r="E1893" s="100">
        <v>93.366612212034084</v>
      </c>
      <c r="F1893" s="100">
        <v>1172.7658036109631</v>
      </c>
      <c r="G1893" s="100">
        <v>62.961602713905052</v>
      </c>
      <c r="H1893" s="100">
        <v>-2674.6833245939288</v>
      </c>
      <c r="I1893" s="100">
        <v>14.027442667142509</v>
      </c>
      <c r="J1893" s="100">
        <v>-1424.9284756019183</v>
      </c>
    </row>
    <row r="1894" spans="1:10" x14ac:dyDescent="0.25">
      <c r="A1894">
        <v>1877</v>
      </c>
      <c r="B1894" s="100">
        <v>89.224018581118671</v>
      </c>
      <c r="C1894" s="100">
        <v>96.28239351556546</v>
      </c>
      <c r="D1894" s="100">
        <v>91.392742353040163</v>
      </c>
      <c r="E1894" s="100">
        <v>93.561377813115499</v>
      </c>
      <c r="F1894" s="100">
        <v>1087.7552860179164</v>
      </c>
      <c r="G1894" s="100">
        <v>2891.2439865949864</v>
      </c>
      <c r="H1894" s="100">
        <v>2846.6755048928862</v>
      </c>
      <c r="I1894" s="100">
        <v>-180.73815841427177</v>
      </c>
      <c r="J1894" s="100">
        <v>6644.9366190915171</v>
      </c>
    </row>
    <row r="1895" spans="1:10" x14ac:dyDescent="0.25">
      <c r="A1895">
        <v>1878</v>
      </c>
      <c r="B1895" s="100">
        <v>89.894959600089535</v>
      </c>
      <c r="C1895" s="100">
        <v>99.051663099094924</v>
      </c>
      <c r="D1895" s="100">
        <v>92.259388533884135</v>
      </c>
      <c r="E1895" s="100">
        <v>96.054106444432634</v>
      </c>
      <c r="F1895" s="100">
        <v>-1126.3500765859376</v>
      </c>
      <c r="G1895" s="100">
        <v>-1262.66038869921</v>
      </c>
      <c r="H1895" s="100">
        <v>1113.3831432049419</v>
      </c>
      <c r="I1895" s="100">
        <v>-2673.4667897314066</v>
      </c>
      <c r="J1895" s="100">
        <v>-3949.0941118116125</v>
      </c>
    </row>
    <row r="1896" spans="1:10" x14ac:dyDescent="0.25">
      <c r="A1896">
        <v>1879</v>
      </c>
      <c r="B1896" s="100">
        <v>89.392927894732949</v>
      </c>
      <c r="C1896" s="100">
        <v>98.611808081232866</v>
      </c>
      <c r="D1896" s="100">
        <v>92.207976930294564</v>
      </c>
      <c r="E1896" s="100">
        <v>92.027521847948549</v>
      </c>
      <c r="F1896" s="100">
        <v>530.35455109079658</v>
      </c>
      <c r="G1896" s="100">
        <v>-602.8778619061228</v>
      </c>
      <c r="H1896" s="100">
        <v>1216.2063503840841</v>
      </c>
      <c r="I1896" s="100">
        <v>1353.117806752678</v>
      </c>
      <c r="J1896" s="100">
        <v>2496.800846321436</v>
      </c>
    </row>
    <row r="1897" spans="1:10" x14ac:dyDescent="0.25">
      <c r="A1897">
        <v>1880</v>
      </c>
      <c r="B1897" s="100">
        <v>88.768952407429268</v>
      </c>
      <c r="C1897" s="100">
        <v>97.695220079132312</v>
      </c>
      <c r="D1897" s="100">
        <v>93.390621650429566</v>
      </c>
      <c r="E1897" s="100">
        <v>91.068479928227774</v>
      </c>
      <c r="F1897" s="100">
        <v>2589.4736591929459</v>
      </c>
      <c r="G1897" s="100">
        <v>772.0041412447074</v>
      </c>
      <c r="H1897" s="100">
        <v>-1149.0830898859201</v>
      </c>
      <c r="I1897" s="100">
        <v>2312.1597264734532</v>
      </c>
      <c r="J1897" s="100">
        <v>4524.5544370251864</v>
      </c>
    </row>
    <row r="1898" spans="1:10" x14ac:dyDescent="0.25">
      <c r="A1898">
        <v>1881</v>
      </c>
      <c r="B1898" s="100">
        <v>89.105706203852066</v>
      </c>
      <c r="C1898" s="100">
        <v>99.710194345346096</v>
      </c>
      <c r="D1898" s="100">
        <v>92.517845183222391</v>
      </c>
      <c r="E1898" s="100">
        <v>92.312029964618489</v>
      </c>
      <c r="F1898" s="100">
        <v>1478.186130997713</v>
      </c>
      <c r="G1898" s="100">
        <v>-2250.4572580759686</v>
      </c>
      <c r="H1898" s="100">
        <v>596.46984452842844</v>
      </c>
      <c r="I1898" s="100">
        <v>1068.6096900827379</v>
      </c>
      <c r="J1898" s="100">
        <v>892.80840753291068</v>
      </c>
    </row>
    <row r="1899" spans="1:10" x14ac:dyDescent="0.25">
      <c r="A1899">
        <v>1882</v>
      </c>
      <c r="B1899" s="100">
        <v>89.817161926596398</v>
      </c>
      <c r="C1899" s="100">
        <v>100.47359337819937</v>
      </c>
      <c r="D1899" s="100">
        <v>93.795309400119407</v>
      </c>
      <c r="E1899" s="100">
        <v>93.940268166902399</v>
      </c>
      <c r="F1899" s="100">
        <v>-869.61775405858498</v>
      </c>
      <c r="G1899" s="100">
        <v>-3395.5558073558764</v>
      </c>
      <c r="H1899" s="100">
        <v>-1958.4585892656037</v>
      </c>
      <c r="I1899" s="100">
        <v>-559.62851220117216</v>
      </c>
      <c r="J1899" s="100">
        <v>-6783.2606628812373</v>
      </c>
    </row>
    <row r="1900" spans="1:10" x14ac:dyDescent="0.25">
      <c r="A1900">
        <v>1883</v>
      </c>
      <c r="B1900" s="100">
        <v>89.364127929433849</v>
      </c>
      <c r="C1900" s="100">
        <v>96.498350673878392</v>
      </c>
      <c r="D1900" s="100">
        <v>94.369277454853389</v>
      </c>
      <c r="E1900" s="100">
        <v>94.264368383618034</v>
      </c>
      <c r="F1900" s="100">
        <v>625.39443657782817</v>
      </c>
      <c r="G1900" s="100">
        <v>2567.3082491255882</v>
      </c>
      <c r="H1900" s="100">
        <v>-3106.3946987335667</v>
      </c>
      <c r="I1900" s="100">
        <v>-883.72872891680743</v>
      </c>
      <c r="J1900" s="100">
        <v>-797.42074194695795</v>
      </c>
    </row>
    <row r="1901" spans="1:10" x14ac:dyDescent="0.25">
      <c r="A1901">
        <v>1884</v>
      </c>
      <c r="B1901" s="100">
        <v>89.247946601229884</v>
      </c>
      <c r="C1901" s="100">
        <v>98.827854936507066</v>
      </c>
      <c r="D1901" s="100">
        <v>93.800449103578927</v>
      </c>
      <c r="E1901" s="100">
        <v>92.838779850323348</v>
      </c>
      <c r="F1901" s="100">
        <v>1008.792819650911</v>
      </c>
      <c r="G1901" s="100">
        <v>-926.94814481742333</v>
      </c>
      <c r="H1901" s="100">
        <v>-1968.7379961846432</v>
      </c>
      <c r="I1901" s="100">
        <v>541.85980437787862</v>
      </c>
      <c r="J1901" s="100">
        <v>-1345.0335169732768</v>
      </c>
    </row>
    <row r="1902" spans="1:10" x14ac:dyDescent="0.25">
      <c r="A1902">
        <v>1885</v>
      </c>
      <c r="B1902" s="100">
        <v>89.859159850935299</v>
      </c>
      <c r="C1902" s="100">
        <v>99.117863461370021</v>
      </c>
      <c r="D1902" s="100">
        <v>90.976477124082777</v>
      </c>
      <c r="E1902" s="100">
        <v>94.981428082888229</v>
      </c>
      <c r="F1902" s="100">
        <v>-1008.2109043769577</v>
      </c>
      <c r="G1902" s="100">
        <v>-1361.960932111856</v>
      </c>
      <c r="H1902" s="100">
        <v>3679.2059628076572</v>
      </c>
      <c r="I1902" s="100">
        <v>-1600.788428187002</v>
      </c>
      <c r="J1902" s="100">
        <v>-291.75430186815856</v>
      </c>
    </row>
    <row r="1903" spans="1:10" x14ac:dyDescent="0.25">
      <c r="A1903">
        <v>1886</v>
      </c>
      <c r="B1903" s="100">
        <v>89.403938231547173</v>
      </c>
      <c r="C1903" s="100">
        <v>98.588548545382807</v>
      </c>
      <c r="D1903" s="100">
        <v>92.634165747751666</v>
      </c>
      <c r="E1903" s="100">
        <v>94.464604702770615</v>
      </c>
      <c r="F1903" s="100">
        <v>494.02043960385953</v>
      </c>
      <c r="G1903" s="100">
        <v>-567.98855813103444</v>
      </c>
      <c r="H1903" s="100">
        <v>363.82871546987872</v>
      </c>
      <c r="I1903" s="100">
        <v>-1083.9650480693876</v>
      </c>
      <c r="J1903" s="100">
        <v>-794.1044511266839</v>
      </c>
    </row>
    <row r="1904" spans="1:10" x14ac:dyDescent="0.25">
      <c r="A1904">
        <v>1887</v>
      </c>
      <c r="B1904" s="100">
        <v>88.814005219151383</v>
      </c>
      <c r="C1904" s="100">
        <v>96.815242627795499</v>
      </c>
      <c r="D1904" s="100">
        <v>92.914262285832208</v>
      </c>
      <c r="E1904" s="100">
        <v>94.876644008977422</v>
      </c>
      <c r="F1904" s="100">
        <v>2440.799380509965</v>
      </c>
      <c r="G1904" s="100">
        <v>2091.9703182499275</v>
      </c>
      <c r="H1904" s="100">
        <v>-196.36436069120577</v>
      </c>
      <c r="I1904" s="100">
        <v>-1496.004354276195</v>
      </c>
      <c r="J1904" s="100">
        <v>2840.4009837924914</v>
      </c>
    </row>
    <row r="1905" spans="1:10" x14ac:dyDescent="0.25">
      <c r="A1905">
        <v>1888</v>
      </c>
      <c r="B1905" s="100">
        <v>90.353933210654048</v>
      </c>
      <c r="C1905" s="100">
        <v>98.176865783123105</v>
      </c>
      <c r="D1905" s="100">
        <v>93.620194263054884</v>
      </c>
      <c r="E1905" s="100">
        <v>92.28265377494418</v>
      </c>
      <c r="F1905" s="100">
        <v>-2640.9629914488305</v>
      </c>
      <c r="G1905" s="100">
        <v>49.535585258517756</v>
      </c>
      <c r="H1905" s="100">
        <v>-1608.2283151365573</v>
      </c>
      <c r="I1905" s="100">
        <v>1097.9858797570473</v>
      </c>
      <c r="J1905" s="100">
        <v>-3101.6698415698224</v>
      </c>
    </row>
    <row r="1906" spans="1:10" x14ac:dyDescent="0.25">
      <c r="A1906">
        <v>1889</v>
      </c>
      <c r="B1906" s="100">
        <v>89.294459681607293</v>
      </c>
      <c r="C1906" s="100">
        <v>97.899069952427212</v>
      </c>
      <c r="D1906" s="100">
        <v>92.932644160367133</v>
      </c>
      <c r="E1906" s="100">
        <v>92.945763239857683</v>
      </c>
      <c r="F1906" s="100">
        <v>855.29965440546221</v>
      </c>
      <c r="G1906" s="100">
        <v>466.22933130235822</v>
      </c>
      <c r="H1906" s="100">
        <v>-233.12810976105425</v>
      </c>
      <c r="I1906" s="100">
        <v>434.87641484354356</v>
      </c>
      <c r="J1906" s="100">
        <v>1523.27729079031</v>
      </c>
    </row>
    <row r="1907" spans="1:10" x14ac:dyDescent="0.25">
      <c r="A1907">
        <v>1890</v>
      </c>
      <c r="B1907" s="100">
        <v>89.650073214506676</v>
      </c>
      <c r="C1907" s="100">
        <v>97.872487644652026</v>
      </c>
      <c r="D1907" s="100">
        <v>93.124392153830115</v>
      </c>
      <c r="E1907" s="100">
        <v>95.184177923186581</v>
      </c>
      <c r="F1907" s="100">
        <v>-318.2250041625025</v>
      </c>
      <c r="G1907" s="100">
        <v>506.10279296513738</v>
      </c>
      <c r="H1907" s="100">
        <v>-616.62409668701912</v>
      </c>
      <c r="I1907" s="100">
        <v>-1803.5382684853544</v>
      </c>
      <c r="J1907" s="100">
        <v>-2232.2845763697387</v>
      </c>
    </row>
    <row r="1908" spans="1:10" x14ac:dyDescent="0.25">
      <c r="A1908">
        <v>1891</v>
      </c>
      <c r="B1908" s="100">
        <v>89.256792559877454</v>
      </c>
      <c r="C1908" s="100">
        <v>98.571405960368637</v>
      </c>
      <c r="D1908" s="100">
        <v>93.56973036114897</v>
      </c>
      <c r="E1908" s="100">
        <v>90.993201510732277</v>
      </c>
      <c r="F1908" s="100">
        <v>979.60115611393235</v>
      </c>
      <c r="G1908" s="100">
        <v>-542.27468060977913</v>
      </c>
      <c r="H1908" s="100">
        <v>-1507.3005113247291</v>
      </c>
      <c r="I1908" s="100">
        <v>2387.43814396895</v>
      </c>
      <c r="J1908" s="100">
        <v>1317.4641081483742</v>
      </c>
    </row>
    <row r="1909" spans="1:10" x14ac:dyDescent="0.25">
      <c r="A1909">
        <v>1892</v>
      </c>
      <c r="B1909" s="100">
        <v>89.869811741244476</v>
      </c>
      <c r="C1909" s="100">
        <v>98.078859365003765</v>
      </c>
      <c r="D1909" s="100">
        <v>93.910914079956626</v>
      </c>
      <c r="E1909" s="100">
        <v>93.442456672935577</v>
      </c>
      <c r="F1909" s="100">
        <v>-1043.3621423972411</v>
      </c>
      <c r="G1909" s="100">
        <v>196.54521243752754</v>
      </c>
      <c r="H1909" s="100">
        <v>-2189.6679489400412</v>
      </c>
      <c r="I1909" s="100">
        <v>-61.817018234350485</v>
      </c>
      <c r="J1909" s="100">
        <v>-3098.3018971341053</v>
      </c>
    </row>
    <row r="1910" spans="1:10" x14ac:dyDescent="0.25">
      <c r="A1910">
        <v>1893</v>
      </c>
      <c r="B1910" s="100">
        <v>89.289023925454799</v>
      </c>
      <c r="C1910" s="100">
        <v>98.114540309612352</v>
      </c>
      <c r="D1910" s="100">
        <v>93.335612777094582</v>
      </c>
      <c r="E1910" s="100">
        <v>92.309577703634346</v>
      </c>
      <c r="F1910" s="100">
        <v>873.23764970869183</v>
      </c>
      <c r="G1910" s="100">
        <v>143.02379552464828</v>
      </c>
      <c r="H1910" s="100">
        <v>-1039.0653432159525</v>
      </c>
      <c r="I1910" s="100">
        <v>1071.0619510668807</v>
      </c>
      <c r="J1910" s="100">
        <v>1048.2580530842683</v>
      </c>
    </row>
    <row r="1911" spans="1:10" x14ac:dyDescent="0.25">
      <c r="A1911">
        <v>1894</v>
      </c>
      <c r="B1911" s="100">
        <v>89.841455836408812</v>
      </c>
      <c r="C1911" s="100">
        <v>97.808251867130124</v>
      </c>
      <c r="D1911" s="100">
        <v>94.452151579538466</v>
      </c>
      <c r="E1911" s="100">
        <v>93.598943794342972</v>
      </c>
      <c r="F1911" s="100">
        <v>-949.78765643955114</v>
      </c>
      <c r="G1911" s="100">
        <v>602.45645924798907</v>
      </c>
      <c r="H1911" s="100">
        <v>-3272.1429481037203</v>
      </c>
      <c r="I1911" s="100">
        <v>-218.30413964174511</v>
      </c>
      <c r="J1911" s="100">
        <v>-3837.7782849370274</v>
      </c>
    </row>
    <row r="1912" spans="1:10" x14ac:dyDescent="0.25">
      <c r="A1912">
        <v>1895</v>
      </c>
      <c r="B1912" s="100">
        <v>89.89039047967357</v>
      </c>
      <c r="C1912" s="100">
        <v>98.98159582034981</v>
      </c>
      <c r="D1912" s="100">
        <v>92.102601207810565</v>
      </c>
      <c r="E1912" s="100">
        <v>92.784839347056234</v>
      </c>
      <c r="F1912" s="100">
        <v>-1111.2719792132523</v>
      </c>
      <c r="G1912" s="100">
        <v>-1157.559470581539</v>
      </c>
      <c r="H1912" s="100">
        <v>1426.9577953520809</v>
      </c>
      <c r="I1912" s="100">
        <v>595.8003076449927</v>
      </c>
      <c r="J1912" s="100">
        <v>-246.0733467977177</v>
      </c>
    </row>
    <row r="1913" spans="1:10" x14ac:dyDescent="0.25">
      <c r="A1913">
        <v>1896</v>
      </c>
      <c r="B1913" s="100">
        <v>88.995350470845025</v>
      </c>
      <c r="C1913" s="100">
        <v>98.966737057436347</v>
      </c>
      <c r="D1913" s="100">
        <v>93.149385516312222</v>
      </c>
      <c r="E1913" s="100">
        <v>93.172299083190225</v>
      </c>
      <c r="F1913" s="100">
        <v>1842.3600499209456</v>
      </c>
      <c r="G1913" s="100">
        <v>-1135.2713262113455</v>
      </c>
      <c r="H1913" s="100">
        <v>-666.61082165123275</v>
      </c>
      <c r="I1913" s="100">
        <v>208.34057151100183</v>
      </c>
      <c r="J1913" s="100">
        <v>248.81847356936919</v>
      </c>
    </row>
    <row r="1914" spans="1:10" x14ac:dyDescent="0.25">
      <c r="A1914">
        <v>1897</v>
      </c>
      <c r="B1914" s="100">
        <v>89.846727152805428</v>
      </c>
      <c r="C1914" s="100">
        <v>99.815796860318471</v>
      </c>
      <c r="D1914" s="100">
        <v>93.096773452525809</v>
      </c>
      <c r="E1914" s="100">
        <v>95.540986397226249</v>
      </c>
      <c r="F1914" s="100">
        <v>-967.18300054838414</v>
      </c>
      <c r="G1914" s="100">
        <v>-2408.8610305345314</v>
      </c>
      <c r="H1914" s="100">
        <v>-561.3866940784078</v>
      </c>
      <c r="I1914" s="100">
        <v>-2160.3467425250215</v>
      </c>
      <c r="J1914" s="100">
        <v>-6097.7774676863446</v>
      </c>
    </row>
    <row r="1915" spans="1:10" x14ac:dyDescent="0.25">
      <c r="A1915">
        <v>1898</v>
      </c>
      <c r="B1915" s="100">
        <v>89.044752358747346</v>
      </c>
      <c r="C1915" s="100">
        <v>97.620467219888837</v>
      </c>
      <c r="D1915" s="100">
        <v>95.311834724838519</v>
      </c>
      <c r="E1915" s="100">
        <v>92.458741052541868</v>
      </c>
      <c r="F1915" s="100">
        <v>1679.3338198432891</v>
      </c>
      <c r="G1915" s="100">
        <v>884.13343010991957</v>
      </c>
      <c r="H1915" s="100">
        <v>-4991.5092387038276</v>
      </c>
      <c r="I1915" s="100">
        <v>921.89860215935937</v>
      </c>
      <c r="J1915" s="100">
        <v>-1506.1433865912593</v>
      </c>
    </row>
    <row r="1916" spans="1:10" x14ac:dyDescent="0.25">
      <c r="A1916">
        <v>1899</v>
      </c>
      <c r="B1916" s="100">
        <v>89.543454229591688</v>
      </c>
      <c r="C1916" s="100">
        <v>97.78331519838936</v>
      </c>
      <c r="D1916" s="100">
        <v>93.231519353980119</v>
      </c>
      <c r="E1916" s="100">
        <v>91.597999691917565</v>
      </c>
      <c r="F1916" s="100">
        <v>33.61764605695754</v>
      </c>
      <c r="G1916" s="100">
        <v>639.86146235913566</v>
      </c>
      <c r="H1916" s="100">
        <v>-830.87849698702598</v>
      </c>
      <c r="I1916" s="100">
        <v>1782.6399627836622</v>
      </c>
      <c r="J1916" s="100">
        <v>1625.2405742127294</v>
      </c>
    </row>
    <row r="1917" spans="1:10" x14ac:dyDescent="0.25">
      <c r="A1917">
        <v>1900</v>
      </c>
      <c r="B1917" s="100">
        <v>89.549216370091827</v>
      </c>
      <c r="C1917" s="100">
        <v>99.928127697079489</v>
      </c>
      <c r="D1917" s="100">
        <v>91.995980237440975</v>
      </c>
      <c r="E1917" s="100">
        <v>94.332354111494382</v>
      </c>
      <c r="F1917" s="100">
        <v>14.60258240650063</v>
      </c>
      <c r="G1917" s="100">
        <v>-2577.3572856760579</v>
      </c>
      <c r="H1917" s="100">
        <v>1640.1997360912617</v>
      </c>
      <c r="I1917" s="100">
        <v>-951.71445679315525</v>
      </c>
      <c r="J1917" s="100">
        <v>-1874.269423971451</v>
      </c>
    </row>
    <row r="1918" spans="1:10" x14ac:dyDescent="0.25">
      <c r="A1918">
        <v>1901</v>
      </c>
      <c r="B1918" s="100">
        <v>90.01902550438723</v>
      </c>
      <c r="C1918" s="100">
        <v>97.43373648497851</v>
      </c>
      <c r="D1918" s="100">
        <v>93.775730705611437</v>
      </c>
      <c r="E1918" s="100">
        <v>91.91631809410687</v>
      </c>
      <c r="F1918" s="100">
        <v>-1535.7675607683291</v>
      </c>
      <c r="G1918" s="100">
        <v>1164.2295324754102</v>
      </c>
      <c r="H1918" s="100">
        <v>-1919.301200249663</v>
      </c>
      <c r="I1918" s="100">
        <v>1464.3215605943567</v>
      </c>
      <c r="J1918" s="100">
        <v>-826.51766794822493</v>
      </c>
    </row>
    <row r="1919" spans="1:10" x14ac:dyDescent="0.25">
      <c r="A1919">
        <v>1902</v>
      </c>
      <c r="B1919" s="100">
        <v>88.869477662485423</v>
      </c>
      <c r="C1919" s="100">
        <v>99.162065788050811</v>
      </c>
      <c r="D1919" s="100">
        <v>92.17811763227229</v>
      </c>
      <c r="E1919" s="100">
        <v>93.6077645686549</v>
      </c>
      <c r="F1919" s="100">
        <v>2257.7403175076342</v>
      </c>
      <c r="G1919" s="100">
        <v>-1428.2644221330402</v>
      </c>
      <c r="H1919" s="100">
        <v>1275.9249464286313</v>
      </c>
      <c r="I1919" s="100">
        <v>-227.12491395367351</v>
      </c>
      <c r="J1919" s="100">
        <v>1878.2759278495519</v>
      </c>
    </row>
    <row r="1920" spans="1:10" x14ac:dyDescent="0.25">
      <c r="A1920">
        <v>1903</v>
      </c>
      <c r="B1920" s="100">
        <v>89.146138840982687</v>
      </c>
      <c r="C1920" s="100">
        <v>97.79798538517062</v>
      </c>
      <c r="D1920" s="100">
        <v>91.74109604122954</v>
      </c>
      <c r="E1920" s="100">
        <v>93.03833097902384</v>
      </c>
      <c r="F1920" s="100">
        <v>1344.7584284666632</v>
      </c>
      <c r="G1920" s="100">
        <v>617.8561821872463</v>
      </c>
      <c r="H1920" s="100">
        <v>2149.9681285141323</v>
      </c>
      <c r="I1920" s="100">
        <v>342.30867567738699</v>
      </c>
      <c r="J1920" s="100">
        <v>4454.8914148454287</v>
      </c>
    </row>
    <row r="1921" spans="1:10" x14ac:dyDescent="0.25">
      <c r="A1921">
        <v>1904</v>
      </c>
      <c r="B1921" s="100">
        <v>90.119514147122374</v>
      </c>
      <c r="C1921" s="100">
        <v>98.446639943867623</v>
      </c>
      <c r="D1921" s="100">
        <v>91.887487682724711</v>
      </c>
      <c r="E1921" s="100">
        <v>91.891521318820551</v>
      </c>
      <c r="F1921" s="100">
        <v>-1867.3800817943034</v>
      </c>
      <c r="G1921" s="100">
        <v>-355.12565585825939</v>
      </c>
      <c r="H1921" s="100">
        <v>1857.1848455237898</v>
      </c>
      <c r="I1921" s="100">
        <v>1489.1183358806757</v>
      </c>
      <c r="J1921" s="100">
        <v>1123.7974437519026</v>
      </c>
    </row>
    <row r="1922" spans="1:10" x14ac:dyDescent="0.25">
      <c r="A1922">
        <v>1905</v>
      </c>
      <c r="B1922" s="100">
        <v>89.283908372914823</v>
      </c>
      <c r="C1922" s="100">
        <v>97.832081052141376</v>
      </c>
      <c r="D1922" s="100">
        <v>93.231666104983489</v>
      </c>
      <c r="E1922" s="100">
        <v>93.745236184761694</v>
      </c>
      <c r="F1922" s="100">
        <v>890.11897309061396</v>
      </c>
      <c r="G1922" s="100">
        <v>566.71268173111139</v>
      </c>
      <c r="H1922" s="100">
        <v>-831.17199899376715</v>
      </c>
      <c r="I1922" s="100">
        <v>-364.59653006046722</v>
      </c>
      <c r="J1922" s="100">
        <v>261.06312576749099</v>
      </c>
    </row>
    <row r="1923" spans="1:10" x14ac:dyDescent="0.25">
      <c r="A1923">
        <v>1906</v>
      </c>
      <c r="B1923" s="100">
        <v>88.868274382017376</v>
      </c>
      <c r="C1923" s="100">
        <v>99.631133929942195</v>
      </c>
      <c r="D1923" s="100">
        <v>93.911820996695837</v>
      </c>
      <c r="E1923" s="100">
        <v>95.317748479546992</v>
      </c>
      <c r="F1923" s="100">
        <v>2261.71114305219</v>
      </c>
      <c r="G1923" s="100">
        <v>-2131.8666349701161</v>
      </c>
      <c r="H1923" s="100">
        <v>-2191.4817824184638</v>
      </c>
      <c r="I1923" s="100">
        <v>-1937.1088248457654</v>
      </c>
      <c r="J1923" s="100">
        <v>-3998.7460991821554</v>
      </c>
    </row>
    <row r="1924" spans="1:10" x14ac:dyDescent="0.25">
      <c r="A1924">
        <v>1907</v>
      </c>
      <c r="B1924" s="100">
        <v>89.435977211147502</v>
      </c>
      <c r="C1924" s="100">
        <v>98.508510003271311</v>
      </c>
      <c r="D1924" s="100">
        <v>94.872150901709787</v>
      </c>
      <c r="E1924" s="100">
        <v>91.895729215446792</v>
      </c>
      <c r="F1924" s="100">
        <v>388.29180692277134</v>
      </c>
      <c r="G1924" s="100">
        <v>-447.93074496379148</v>
      </c>
      <c r="H1924" s="100">
        <v>-4112.1415924463636</v>
      </c>
      <c r="I1924" s="100">
        <v>1484.9104392544348</v>
      </c>
      <c r="J1924" s="100">
        <v>-2686.8700912329487</v>
      </c>
    </row>
    <row r="1925" spans="1:10" x14ac:dyDescent="0.25">
      <c r="A1925">
        <v>1908</v>
      </c>
      <c r="B1925" s="100">
        <v>89.832795451385465</v>
      </c>
      <c r="C1925" s="100">
        <v>98.848509901401158</v>
      </c>
      <c r="D1925" s="100">
        <v>93.354504406061807</v>
      </c>
      <c r="E1925" s="100">
        <v>96.268478103606427</v>
      </c>
      <c r="F1925" s="100">
        <v>-921.208385862505</v>
      </c>
      <c r="G1925" s="100">
        <v>-957.93059215856147</v>
      </c>
      <c r="H1925" s="100">
        <v>-1076.8486011504024</v>
      </c>
      <c r="I1925" s="100">
        <v>-2887.8384489051996</v>
      </c>
      <c r="J1925" s="100">
        <v>-5843.8260280766681</v>
      </c>
    </row>
    <row r="1926" spans="1:10" x14ac:dyDescent="0.25">
      <c r="A1926">
        <v>1909</v>
      </c>
      <c r="B1926" s="100">
        <v>89.240492118686916</v>
      </c>
      <c r="C1926" s="100">
        <v>96.774501788851268</v>
      </c>
      <c r="D1926" s="100">
        <v>93.512540597311414</v>
      </c>
      <c r="E1926" s="100">
        <v>93.983370483125853</v>
      </c>
      <c r="F1926" s="100">
        <v>1033.3926120427066</v>
      </c>
      <c r="G1926" s="100">
        <v>2153.081576666274</v>
      </c>
      <c r="H1926" s="100">
        <v>-1392.920983649617</v>
      </c>
      <c r="I1926" s="100">
        <v>-602.730828424626</v>
      </c>
      <c r="J1926" s="100">
        <v>1190.8223766347373</v>
      </c>
    </row>
    <row r="1927" spans="1:10" x14ac:dyDescent="0.25">
      <c r="A1927">
        <v>1910</v>
      </c>
      <c r="B1927" s="100">
        <v>89.423272435716143</v>
      </c>
      <c r="C1927" s="100">
        <v>97.951693975521451</v>
      </c>
      <c r="D1927" s="100">
        <v>92.857125667666082</v>
      </c>
      <c r="E1927" s="100">
        <v>92.039911659959813</v>
      </c>
      <c r="F1927" s="100">
        <v>430.21756584625734</v>
      </c>
      <c r="G1927" s="100">
        <v>387.29329666099943</v>
      </c>
      <c r="H1927" s="100">
        <v>-82.091124358953493</v>
      </c>
      <c r="I1927" s="100">
        <v>1340.727994741414</v>
      </c>
      <c r="J1927" s="100">
        <v>2076.1477328897172</v>
      </c>
    </row>
    <row r="1928" spans="1:10" x14ac:dyDescent="0.25">
      <c r="A1928">
        <v>1911</v>
      </c>
      <c r="B1928" s="100">
        <v>89.751909241185189</v>
      </c>
      <c r="C1928" s="100">
        <v>98.147290709456882</v>
      </c>
      <c r="D1928" s="100">
        <v>94.374338485802014</v>
      </c>
      <c r="E1928" s="100">
        <v>91.810852759694313</v>
      </c>
      <c r="F1928" s="100">
        <v>-654.28389220159318</v>
      </c>
      <c r="G1928" s="100">
        <v>93.898195757851965</v>
      </c>
      <c r="H1928" s="100">
        <v>-3116.516760630816</v>
      </c>
      <c r="I1928" s="100">
        <v>1569.7868950069137</v>
      </c>
      <c r="J1928" s="100">
        <v>-2107.1155620676432</v>
      </c>
    </row>
    <row r="1929" spans="1:10" x14ac:dyDescent="0.25">
      <c r="A1929">
        <v>1912</v>
      </c>
      <c r="B1929" s="100">
        <v>89.29525899781197</v>
      </c>
      <c r="C1929" s="100">
        <v>99.408275396030817</v>
      </c>
      <c r="D1929" s="100">
        <v>94.494115037358043</v>
      </c>
      <c r="E1929" s="100">
        <v>89.680793192281911</v>
      </c>
      <c r="F1929" s="100">
        <v>852.66191093002703</v>
      </c>
      <c r="G1929" s="100">
        <v>-1797.5788341030493</v>
      </c>
      <c r="H1929" s="100">
        <v>-3356.0698637428741</v>
      </c>
      <c r="I1929" s="100">
        <v>3699.8464624193161</v>
      </c>
      <c r="J1929" s="100">
        <v>-601.14032449657998</v>
      </c>
    </row>
    <row r="1930" spans="1:10" x14ac:dyDescent="0.25">
      <c r="A1930">
        <v>1913</v>
      </c>
      <c r="B1930" s="100">
        <v>88.351181483598822</v>
      </c>
      <c r="C1930" s="100">
        <v>98.151321226556476</v>
      </c>
      <c r="D1930" s="100">
        <v>93.107577934363675</v>
      </c>
      <c r="E1930" s="100">
        <v>94.096208787742825</v>
      </c>
      <c r="F1930" s="100">
        <v>3968.1177078334172</v>
      </c>
      <c r="G1930" s="100">
        <v>87.852420108461615</v>
      </c>
      <c r="H1930" s="100">
        <v>-582.99565775413953</v>
      </c>
      <c r="I1930" s="100">
        <v>-715.56913304159764</v>
      </c>
      <c r="J1930" s="100">
        <v>2757.4053371461414</v>
      </c>
    </row>
    <row r="1931" spans="1:10" x14ac:dyDescent="0.25">
      <c r="A1931">
        <v>1914</v>
      </c>
      <c r="B1931" s="100">
        <v>89.856864082023293</v>
      </c>
      <c r="C1931" s="100">
        <v>98.092122087754063</v>
      </c>
      <c r="D1931" s="100">
        <v>93.332749674699556</v>
      </c>
      <c r="E1931" s="100">
        <v>91.606676636936626</v>
      </c>
      <c r="F1931" s="100">
        <v>-1000.6348669673372</v>
      </c>
      <c r="G1931" s="100">
        <v>176.65112831208063</v>
      </c>
      <c r="H1931" s="100">
        <v>-1033.3391384259016</v>
      </c>
      <c r="I1931" s="100">
        <v>1773.9630177646006</v>
      </c>
      <c r="J1931" s="100">
        <v>-83.359859316557504</v>
      </c>
    </row>
    <row r="1932" spans="1:10" x14ac:dyDescent="0.25">
      <c r="A1932">
        <v>1915</v>
      </c>
      <c r="B1932" s="100">
        <v>88.894166199817946</v>
      </c>
      <c r="C1932" s="100">
        <v>98.851096708121872</v>
      </c>
      <c r="D1932" s="100">
        <v>92.713756899215113</v>
      </c>
      <c r="E1932" s="100">
        <v>93.103094636405856</v>
      </c>
      <c r="F1932" s="100">
        <v>2176.2681443103093</v>
      </c>
      <c r="G1932" s="100">
        <v>-961.81080223963272</v>
      </c>
      <c r="H1932" s="100">
        <v>204.64641254298499</v>
      </c>
      <c r="I1932" s="100">
        <v>277.54501829537048</v>
      </c>
      <c r="J1932" s="100">
        <v>1696.648772909032</v>
      </c>
    </row>
    <row r="1933" spans="1:10" x14ac:dyDescent="0.25">
      <c r="A1933">
        <v>1916</v>
      </c>
      <c r="B1933" s="100">
        <v>89.34013719269592</v>
      </c>
      <c r="C1933" s="100">
        <v>96.430549011810925</v>
      </c>
      <c r="D1933" s="100">
        <v>92.614667555754622</v>
      </c>
      <c r="E1933" s="100">
        <v>94.319584457371676</v>
      </c>
      <c r="F1933" s="100">
        <v>704.56386781299329</v>
      </c>
      <c r="G1933" s="100">
        <v>2669.0107422267884</v>
      </c>
      <c r="H1933" s="100">
        <v>402.82509946396772</v>
      </c>
      <c r="I1933" s="100">
        <v>-938.94480267044855</v>
      </c>
      <c r="J1933" s="100">
        <v>2837.4549068333008</v>
      </c>
    </row>
    <row r="1934" spans="1:10" x14ac:dyDescent="0.25">
      <c r="A1934">
        <v>1917</v>
      </c>
      <c r="B1934" s="100">
        <v>89.456674449620564</v>
      </c>
      <c r="C1934" s="100">
        <v>98.79369000266675</v>
      </c>
      <c r="D1934" s="100">
        <v>92.223936499326001</v>
      </c>
      <c r="E1934" s="100">
        <v>92.691227065069839</v>
      </c>
      <c r="F1934" s="100">
        <v>319.99091996166698</v>
      </c>
      <c r="G1934" s="100">
        <v>-875.70074405694959</v>
      </c>
      <c r="H1934" s="100">
        <v>1184.2872123212089</v>
      </c>
      <c r="I1934" s="100">
        <v>689.41258963138807</v>
      </c>
      <c r="J1934" s="100">
        <v>1317.9899778573144</v>
      </c>
    </row>
    <row r="1935" spans="1:10" x14ac:dyDescent="0.25">
      <c r="A1935">
        <v>1918</v>
      </c>
      <c r="B1935" s="100">
        <v>89.764557423503248</v>
      </c>
      <c r="C1935" s="100">
        <v>97.378189538866394</v>
      </c>
      <c r="D1935" s="100">
        <v>92.957350197208214</v>
      </c>
      <c r="E1935" s="100">
        <v>97.298361880473948</v>
      </c>
      <c r="F1935" s="100">
        <v>-696.02289385119036</v>
      </c>
      <c r="G1935" s="100">
        <v>1247.5499516435846</v>
      </c>
      <c r="H1935" s="100">
        <v>-282.54018344321707</v>
      </c>
      <c r="I1935" s="100">
        <v>-3917.7222257727208</v>
      </c>
      <c r="J1935" s="100">
        <v>-3648.7353514235438</v>
      </c>
    </row>
    <row r="1936" spans="1:10" x14ac:dyDescent="0.25">
      <c r="A1936">
        <v>1919</v>
      </c>
      <c r="B1936" s="100">
        <v>89.240665544319924</v>
      </c>
      <c r="C1936" s="100">
        <v>98.177430845705956</v>
      </c>
      <c r="D1936" s="100">
        <v>91.463268372541222</v>
      </c>
      <c r="E1936" s="100">
        <v>90.968667547673832</v>
      </c>
      <c r="F1936" s="100">
        <v>1032.8203074537796</v>
      </c>
      <c r="G1936" s="100">
        <v>48.687991384241514</v>
      </c>
      <c r="H1936" s="100">
        <v>2705.623465890767</v>
      </c>
      <c r="I1936" s="100">
        <v>2411.9721070273954</v>
      </c>
      <c r="J1936" s="100">
        <v>6199.1038717561833</v>
      </c>
    </row>
    <row r="1937" spans="1:10" x14ac:dyDescent="0.25">
      <c r="A1937">
        <v>1920</v>
      </c>
      <c r="B1937" s="100">
        <v>89.592704208270106</v>
      </c>
      <c r="C1937" s="100">
        <v>99.009445923439415</v>
      </c>
      <c r="D1937" s="100">
        <v>92.571045800218926</v>
      </c>
      <c r="E1937" s="100">
        <v>93.875570290779748</v>
      </c>
      <c r="F1937" s="100">
        <v>-128.90728358182173</v>
      </c>
      <c r="G1937" s="100">
        <v>-1199.334625215947</v>
      </c>
      <c r="H1937" s="100">
        <v>490.06861053535999</v>
      </c>
      <c r="I1937" s="100">
        <v>-494.9306360785215</v>
      </c>
      <c r="J1937" s="100">
        <v>-1333.1039343409302</v>
      </c>
    </row>
    <row r="1938" spans="1:10" x14ac:dyDescent="0.25">
      <c r="A1938">
        <v>1921</v>
      </c>
      <c r="B1938" s="100">
        <v>89.182976892854654</v>
      </c>
      <c r="C1938" s="100">
        <v>96.382074208905195</v>
      </c>
      <c r="D1938" s="100">
        <v>93.324834702048378</v>
      </c>
      <c r="E1938" s="100">
        <v>93.240706000350457</v>
      </c>
      <c r="F1938" s="100">
        <v>1223.1928572891704</v>
      </c>
      <c r="G1938" s="100">
        <v>2741.7229465853834</v>
      </c>
      <c r="H1938" s="100">
        <v>-1017.5091931235443</v>
      </c>
      <c r="I1938" s="100">
        <v>139.9336543507701</v>
      </c>
      <c r="J1938" s="100">
        <v>3087.3402651017796</v>
      </c>
    </row>
    <row r="1939" spans="1:10" x14ac:dyDescent="0.25">
      <c r="A1939">
        <v>1922</v>
      </c>
      <c r="B1939" s="100">
        <v>89.775586071717981</v>
      </c>
      <c r="C1939" s="100">
        <v>98.45330992354053</v>
      </c>
      <c r="D1939" s="100">
        <v>93.111631646994425</v>
      </c>
      <c r="E1939" s="100">
        <v>92.73037266990292</v>
      </c>
      <c r="F1939" s="100">
        <v>-732.41743295980939</v>
      </c>
      <c r="G1939" s="100">
        <v>-365.13062536761964</v>
      </c>
      <c r="H1939" s="100">
        <v>-591.10308301563919</v>
      </c>
      <c r="I1939" s="100">
        <v>650.26698479830713</v>
      </c>
      <c r="J1939" s="100">
        <v>-1038.384156544761</v>
      </c>
    </row>
    <row r="1940" spans="1:10" x14ac:dyDescent="0.25">
      <c r="A1940">
        <v>1923</v>
      </c>
      <c r="B1940" s="100">
        <v>89.399873313160455</v>
      </c>
      <c r="C1940" s="100">
        <v>97.977711107160658</v>
      </c>
      <c r="D1940" s="100">
        <v>93.092941684830507</v>
      </c>
      <c r="E1940" s="100">
        <v>90.642318646112827</v>
      </c>
      <c r="F1940" s="100">
        <v>507.43467028002698</v>
      </c>
      <c r="G1940" s="100">
        <v>348.26759920218819</v>
      </c>
      <c r="H1940" s="100">
        <v>-553.7231586878022</v>
      </c>
      <c r="I1940" s="100">
        <v>2738.3210085884002</v>
      </c>
      <c r="J1940" s="100">
        <v>3040.3001193828131</v>
      </c>
    </row>
    <row r="1941" spans="1:10" x14ac:dyDescent="0.25">
      <c r="A1941">
        <v>1924</v>
      </c>
      <c r="B1941" s="100">
        <v>88.834842771351788</v>
      </c>
      <c r="C1941" s="100">
        <v>98.835764111610885</v>
      </c>
      <c r="D1941" s="100">
        <v>92.955641150968759</v>
      </c>
      <c r="E1941" s="100">
        <v>96.392387175687048</v>
      </c>
      <c r="F1941" s="100">
        <v>2372.0354582486293</v>
      </c>
      <c r="G1941" s="100">
        <v>-938.81190747315202</v>
      </c>
      <c r="H1941" s="100">
        <v>-279.12209096430729</v>
      </c>
      <c r="I1941" s="100">
        <v>-3011.7475209858212</v>
      </c>
      <c r="J1941" s="100">
        <v>-1857.6460611746513</v>
      </c>
    </row>
    <row r="1942" spans="1:10" x14ac:dyDescent="0.25">
      <c r="A1942">
        <v>1925</v>
      </c>
      <c r="B1942" s="100">
        <v>89.903637698505463</v>
      </c>
      <c r="C1942" s="100">
        <v>96.732777841409259</v>
      </c>
      <c r="D1942" s="100">
        <v>92.469097975977931</v>
      </c>
      <c r="E1942" s="100">
        <v>94.157867274117905</v>
      </c>
      <c r="F1942" s="100">
        <v>-1154.9878013584987</v>
      </c>
      <c r="G1942" s="100">
        <v>2215.6674978292867</v>
      </c>
      <c r="H1942" s="100">
        <v>693.96425901734915</v>
      </c>
      <c r="I1942" s="100">
        <v>-777.22761941667784</v>
      </c>
      <c r="J1942" s="100">
        <v>977.41633607145934</v>
      </c>
    </row>
    <row r="1943" spans="1:10" x14ac:dyDescent="0.25">
      <c r="A1943">
        <v>1926</v>
      </c>
      <c r="B1943" s="100">
        <v>89.533209401165067</v>
      </c>
      <c r="C1943" s="100">
        <v>97.964391828748902</v>
      </c>
      <c r="D1943" s="100">
        <v>94.677833276580174</v>
      </c>
      <c r="E1943" s="100">
        <v>96.146974744166783</v>
      </c>
      <c r="F1943" s="100">
        <v>67.425579864809038</v>
      </c>
      <c r="G1943" s="100">
        <v>368.24651681982346</v>
      </c>
      <c r="H1943" s="100">
        <v>-3723.5063421871359</v>
      </c>
      <c r="I1943" s="100">
        <v>-2766.3350894655564</v>
      </c>
      <c r="J1943" s="100">
        <v>-6054.16933496806</v>
      </c>
    </row>
    <row r="1944" spans="1:10" x14ac:dyDescent="0.25">
      <c r="A1944">
        <v>1927</v>
      </c>
      <c r="B1944" s="100">
        <v>90.236982816389826</v>
      </c>
      <c r="C1944" s="100">
        <v>98.484380981837901</v>
      </c>
      <c r="D1944" s="100">
        <v>93.321157535422131</v>
      </c>
      <c r="E1944" s="100">
        <v>93.314404659028625</v>
      </c>
      <c r="F1944" s="100">
        <v>-2255.026690376897</v>
      </c>
      <c r="G1944" s="100">
        <v>-411.73721281367648</v>
      </c>
      <c r="H1944" s="100">
        <v>-1010.1548598710508</v>
      </c>
      <c r="I1944" s="100">
        <v>66.234995672601826</v>
      </c>
      <c r="J1944" s="100">
        <v>-3610.6837673890223</v>
      </c>
    </row>
    <row r="1945" spans="1:10" x14ac:dyDescent="0.25">
      <c r="A1945">
        <v>1928</v>
      </c>
      <c r="B1945" s="100">
        <v>89.953171493825593</v>
      </c>
      <c r="C1945" s="100">
        <v>99.090720302842612</v>
      </c>
      <c r="D1945" s="100">
        <v>92.98482090992799</v>
      </c>
      <c r="E1945" s="100">
        <v>94.224269580164474</v>
      </c>
      <c r="F1945" s="100">
        <v>-1318.4493259149278</v>
      </c>
      <c r="G1945" s="100">
        <v>-1321.2461943207429</v>
      </c>
      <c r="H1945" s="100">
        <v>-337.48160888276857</v>
      </c>
      <c r="I1945" s="100">
        <v>-843.62992546324733</v>
      </c>
      <c r="J1945" s="100">
        <v>-3820.8070545816868</v>
      </c>
    </row>
    <row r="1946" spans="1:10" x14ac:dyDescent="0.25">
      <c r="A1946">
        <v>1929</v>
      </c>
      <c r="B1946" s="100">
        <v>90.045706938783653</v>
      </c>
      <c r="C1946" s="100">
        <v>98.604954485104628</v>
      </c>
      <c r="D1946" s="100">
        <v>93.329054045280685</v>
      </c>
      <c r="E1946" s="100">
        <v>93.564268721992605</v>
      </c>
      <c r="F1946" s="100">
        <v>-1623.8162942765243</v>
      </c>
      <c r="G1946" s="100">
        <v>-592.59746771376604</v>
      </c>
      <c r="H1946" s="100">
        <v>-1025.9478795881591</v>
      </c>
      <c r="I1946" s="100">
        <v>-183.62906729137762</v>
      </c>
      <c r="J1946" s="100">
        <v>-3425.9907088698274</v>
      </c>
    </row>
    <row r="1947" spans="1:10" x14ac:dyDescent="0.25">
      <c r="A1947">
        <v>1930</v>
      </c>
      <c r="B1947" s="100">
        <v>90.244215173758576</v>
      </c>
      <c r="C1947" s="100">
        <v>97.605014901024703</v>
      </c>
      <c r="D1947" s="100">
        <v>94.390193387493284</v>
      </c>
      <c r="E1947" s="100">
        <v>91.864244920842239</v>
      </c>
      <c r="F1947" s="100">
        <v>-2278.8934696937717</v>
      </c>
      <c r="G1947" s="100">
        <v>907.3119084061218</v>
      </c>
      <c r="H1947" s="100">
        <v>-3148.2265640133564</v>
      </c>
      <c r="I1947" s="100">
        <v>1516.3947338589878</v>
      </c>
      <c r="J1947" s="100">
        <v>-3003.4133914420181</v>
      </c>
    </row>
    <row r="1948" spans="1:10" x14ac:dyDescent="0.25">
      <c r="A1948">
        <v>1931</v>
      </c>
      <c r="B1948" s="100">
        <v>89.781616022272388</v>
      </c>
      <c r="C1948" s="100">
        <v>98.173145255118357</v>
      </c>
      <c r="D1948" s="100">
        <v>92.083771452086978</v>
      </c>
      <c r="E1948" s="100">
        <v>94.508224556213563</v>
      </c>
      <c r="F1948" s="100">
        <v>-752.31626978935105</v>
      </c>
      <c r="G1948" s="100">
        <v>55.116377265640892</v>
      </c>
      <c r="H1948" s="100">
        <v>1464.6173067992549</v>
      </c>
      <c r="I1948" s="100">
        <v>-1127.5849015123356</v>
      </c>
      <c r="J1948" s="100">
        <v>-360.16748723679075</v>
      </c>
    </row>
    <row r="1949" spans="1:10" x14ac:dyDescent="0.25">
      <c r="A1949">
        <v>1932</v>
      </c>
      <c r="B1949" s="100">
        <v>90.193126182100357</v>
      </c>
      <c r="C1949" s="100">
        <v>99.060776699078616</v>
      </c>
      <c r="D1949" s="100">
        <v>92.693765174277218</v>
      </c>
      <c r="E1949" s="100">
        <v>93.640235345581175</v>
      </c>
      <c r="F1949" s="100">
        <v>-2110.2997972216499</v>
      </c>
      <c r="G1949" s="100">
        <v>-1276.3307886747484</v>
      </c>
      <c r="H1949" s="100">
        <v>244.62986241877616</v>
      </c>
      <c r="I1949" s="100">
        <v>-259.59569087994794</v>
      </c>
      <c r="J1949" s="100">
        <v>-3401.5964143575702</v>
      </c>
    </row>
    <row r="1950" spans="1:10" x14ac:dyDescent="0.25">
      <c r="A1950">
        <v>1933</v>
      </c>
      <c r="B1950" s="100">
        <v>89.878036310381489</v>
      </c>
      <c r="C1950" s="100">
        <v>98.9816147571794</v>
      </c>
      <c r="D1950" s="100">
        <v>93.949833879596994</v>
      </c>
      <c r="E1950" s="100">
        <v>96.470881545907659</v>
      </c>
      <c r="F1950" s="100">
        <v>-1070.5032205493851</v>
      </c>
      <c r="G1950" s="100">
        <v>-1157.587875825925</v>
      </c>
      <c r="H1950" s="100">
        <v>-2267.5075482207776</v>
      </c>
      <c r="I1950" s="100">
        <v>-3090.2418912064322</v>
      </c>
      <c r="J1950" s="100">
        <v>-7585.8405358025202</v>
      </c>
    </row>
    <row r="1951" spans="1:10" x14ac:dyDescent="0.25">
      <c r="A1951">
        <v>1934</v>
      </c>
      <c r="B1951" s="100">
        <v>89.591104797113601</v>
      </c>
      <c r="C1951" s="100">
        <v>96.768421114638073</v>
      </c>
      <c r="D1951" s="100">
        <v>93.39129230715325</v>
      </c>
      <c r="E1951" s="100">
        <v>94.146878603399287</v>
      </c>
      <c r="F1951" s="100">
        <v>-123.62922676535533</v>
      </c>
      <c r="G1951" s="100">
        <v>2162.2025879860657</v>
      </c>
      <c r="H1951" s="100">
        <v>-1150.4244033332895</v>
      </c>
      <c r="I1951" s="100">
        <v>-766.23894869806009</v>
      </c>
      <c r="J1951" s="100">
        <v>121.91000918936084</v>
      </c>
    </row>
    <row r="1952" spans="1:10" x14ac:dyDescent="0.25">
      <c r="A1952">
        <v>1935</v>
      </c>
      <c r="B1952" s="100">
        <v>89.368941798688553</v>
      </c>
      <c r="C1952" s="100">
        <v>97.705211935856283</v>
      </c>
      <c r="D1952" s="100">
        <v>94.058056585877679</v>
      </c>
      <c r="E1952" s="100">
        <v>94.034739027489664</v>
      </c>
      <c r="F1952" s="100">
        <v>609.50866803730435</v>
      </c>
      <c r="G1952" s="100">
        <v>757.01635615875057</v>
      </c>
      <c r="H1952" s="100">
        <v>-2483.9529607821478</v>
      </c>
      <c r="I1952" s="100">
        <v>-654.09937278843699</v>
      </c>
      <c r="J1952" s="100">
        <v>-1771.52730937453</v>
      </c>
    </row>
    <row r="1953" spans="1:10" x14ac:dyDescent="0.25">
      <c r="A1953">
        <v>1936</v>
      </c>
      <c r="B1953" s="100">
        <v>88.900449151766978</v>
      </c>
      <c r="C1953" s="100">
        <v>97.854109118009575</v>
      </c>
      <c r="D1953" s="100">
        <v>94.85275400576424</v>
      </c>
      <c r="E1953" s="100">
        <v>93.258868895555707</v>
      </c>
      <c r="F1953" s="100">
        <v>2155.534402878503</v>
      </c>
      <c r="G1953" s="100">
        <v>533.67058292881347</v>
      </c>
      <c r="H1953" s="100">
        <v>-4073.3478005552683</v>
      </c>
      <c r="I1953" s="100">
        <v>121.77075914551949</v>
      </c>
      <c r="J1953" s="100">
        <v>-1262.3720556024323</v>
      </c>
    </row>
    <row r="1954" spans="1:10" x14ac:dyDescent="0.25">
      <c r="A1954">
        <v>1937</v>
      </c>
      <c r="B1954" s="100">
        <v>90.499157647588234</v>
      </c>
      <c r="C1954" s="100">
        <v>98.037384593185294</v>
      </c>
      <c r="D1954" s="100">
        <v>91.447400666151779</v>
      </c>
      <c r="E1954" s="100">
        <v>94.810385560033097</v>
      </c>
      <c r="F1954" s="100">
        <v>-3120.2036333316428</v>
      </c>
      <c r="G1954" s="100">
        <v>258.75737016523459</v>
      </c>
      <c r="H1954" s="100">
        <v>2737.3588786696528</v>
      </c>
      <c r="I1954" s="100">
        <v>-1429.7459053318703</v>
      </c>
      <c r="J1954" s="100">
        <v>-1553.8332898286258</v>
      </c>
    </row>
    <row r="1955" spans="1:10" x14ac:dyDescent="0.25">
      <c r="A1955">
        <v>1938</v>
      </c>
      <c r="B1955" s="100">
        <v>90.199485477813738</v>
      </c>
      <c r="C1955" s="100">
        <v>98.76852522859302</v>
      </c>
      <c r="D1955" s="100">
        <v>91.913886748448576</v>
      </c>
      <c r="E1955" s="100">
        <v>94.892152649925265</v>
      </c>
      <c r="F1955" s="100">
        <v>-2131.2854730758063</v>
      </c>
      <c r="G1955" s="100">
        <v>-837.95358294635491</v>
      </c>
      <c r="H1955" s="100">
        <v>1804.3867140760597</v>
      </c>
      <c r="I1955" s="100">
        <v>-1511.5129952240381</v>
      </c>
      <c r="J1955" s="100">
        <v>-2676.3653371701394</v>
      </c>
    </row>
    <row r="1956" spans="1:10" x14ac:dyDescent="0.25">
      <c r="A1956">
        <v>1939</v>
      </c>
      <c r="B1956" s="100">
        <v>89.708472708662242</v>
      </c>
      <c r="C1956" s="100">
        <v>98.419669457962172</v>
      </c>
      <c r="D1956" s="100">
        <v>92.876101865428794</v>
      </c>
      <c r="E1956" s="100">
        <v>93.369862869747649</v>
      </c>
      <c r="F1956" s="100">
        <v>-510.94333487586994</v>
      </c>
      <c r="G1956" s="100">
        <v>-314.66992700008234</v>
      </c>
      <c r="H1956" s="100">
        <v>-120.04351988437634</v>
      </c>
      <c r="I1956" s="100">
        <v>10.776784953577589</v>
      </c>
      <c r="J1956" s="100">
        <v>-934.87999680675102</v>
      </c>
    </row>
    <row r="1957" spans="1:10" x14ac:dyDescent="0.25">
      <c r="A1957">
        <v>1940</v>
      </c>
      <c r="B1957" s="100">
        <v>89.266007625205219</v>
      </c>
      <c r="C1957" s="100">
        <v>98.89854867462617</v>
      </c>
      <c r="D1957" s="100">
        <v>91.989326501935892</v>
      </c>
      <c r="E1957" s="100">
        <v>89.03108482493316</v>
      </c>
      <c r="F1957" s="100">
        <v>949.19144053230582</v>
      </c>
      <c r="G1957" s="100">
        <v>-1032.9887519960791</v>
      </c>
      <c r="H1957" s="100">
        <v>1653.507207101427</v>
      </c>
      <c r="I1957" s="100">
        <v>4349.5548297680671</v>
      </c>
      <c r="J1957" s="100">
        <v>5919.264725405721</v>
      </c>
    </row>
    <row r="1958" spans="1:10" x14ac:dyDescent="0.25">
      <c r="A1958">
        <v>1941</v>
      </c>
      <c r="B1958" s="100">
        <v>89.671359694522423</v>
      </c>
      <c r="C1958" s="100">
        <v>97.069766417195893</v>
      </c>
      <c r="D1958" s="100">
        <v>92.52106437510723</v>
      </c>
      <c r="E1958" s="100">
        <v>94.409569340563422</v>
      </c>
      <c r="F1958" s="100">
        <v>-388.47038821446489</v>
      </c>
      <c r="G1958" s="100">
        <v>1710.1846341493356</v>
      </c>
      <c r="H1958" s="100">
        <v>590.03146075875179</v>
      </c>
      <c r="I1958" s="100">
        <v>-1028.9296858621951</v>
      </c>
      <c r="J1958" s="100">
        <v>882.81602083142729</v>
      </c>
    </row>
    <row r="1959" spans="1:10" x14ac:dyDescent="0.25">
      <c r="A1959">
        <v>1942</v>
      </c>
      <c r="B1959" s="100">
        <v>89.504761864428261</v>
      </c>
      <c r="C1959" s="100">
        <v>97.132163020630983</v>
      </c>
      <c r="D1959" s="100">
        <v>92.741821073387726</v>
      </c>
      <c r="E1959" s="100">
        <v>89.16230985951681</v>
      </c>
      <c r="F1959" s="100">
        <v>161.30245109626884</v>
      </c>
      <c r="G1959" s="100">
        <v>1616.5897289967006</v>
      </c>
      <c r="H1959" s="100">
        <v>148.51806419775926</v>
      </c>
      <c r="I1959" s="100">
        <v>4218.329795184417</v>
      </c>
      <c r="J1959" s="100">
        <v>6144.7400394751457</v>
      </c>
    </row>
    <row r="1960" spans="1:10" x14ac:dyDescent="0.25">
      <c r="A1960">
        <v>1943</v>
      </c>
      <c r="B1960" s="100">
        <v>90.564612549125954</v>
      </c>
      <c r="C1960" s="100">
        <v>99.063115738654133</v>
      </c>
      <c r="D1960" s="100">
        <v>94.059082480288453</v>
      </c>
      <c r="E1960" s="100">
        <v>93.228882508983716</v>
      </c>
      <c r="F1960" s="100">
        <v>-3336.2048084061184</v>
      </c>
      <c r="G1960" s="100">
        <v>-1279.8393480380241</v>
      </c>
      <c r="H1960" s="100">
        <v>-2486.0047496036941</v>
      </c>
      <c r="I1960" s="100">
        <v>151.75714571751087</v>
      </c>
      <c r="J1960" s="100">
        <v>-6950.2917603303258</v>
      </c>
    </row>
    <row r="1961" spans="1:10" x14ac:dyDescent="0.25">
      <c r="A1961">
        <v>1944</v>
      </c>
      <c r="B1961" s="100">
        <v>90.264323881593498</v>
      </c>
      <c r="C1961" s="100">
        <v>99.33886555850296</v>
      </c>
      <c r="D1961" s="100">
        <v>92.8955261239024</v>
      </c>
      <c r="E1961" s="100">
        <v>92.721264141972853</v>
      </c>
      <c r="F1961" s="100">
        <v>-2345.2522055490135</v>
      </c>
      <c r="G1961" s="100">
        <v>-1693.4640778112637</v>
      </c>
      <c r="H1961" s="100">
        <v>-158.89203683158826</v>
      </c>
      <c r="I1961" s="100">
        <v>659.37551272837425</v>
      </c>
      <c r="J1961" s="100">
        <v>-3538.2328074634911</v>
      </c>
    </row>
    <row r="1962" spans="1:10" x14ac:dyDescent="0.25">
      <c r="A1962">
        <v>1945</v>
      </c>
      <c r="B1962" s="100">
        <v>90.222869815392443</v>
      </c>
      <c r="C1962" s="100">
        <v>98.583960651902458</v>
      </c>
      <c r="D1962" s="100">
        <v>92.640489122522553</v>
      </c>
      <c r="E1962" s="100">
        <v>93.798975334840193</v>
      </c>
      <c r="F1962" s="100">
        <v>-2208.4537870855315</v>
      </c>
      <c r="G1962" s="100">
        <v>-561.10671791051209</v>
      </c>
      <c r="H1962" s="100">
        <v>351.18196592810591</v>
      </c>
      <c r="I1962" s="100">
        <v>-418.33568013896638</v>
      </c>
      <c r="J1962" s="100">
        <v>-2836.7142192069041</v>
      </c>
    </row>
    <row r="1963" spans="1:10" x14ac:dyDescent="0.25">
      <c r="A1963">
        <v>1946</v>
      </c>
      <c r="B1963" s="100">
        <v>89.561026267224932</v>
      </c>
      <c r="C1963" s="100">
        <v>98.749659101806699</v>
      </c>
      <c r="D1963" s="100">
        <v>92.480895925869675</v>
      </c>
      <c r="E1963" s="100">
        <v>91.399952411657935</v>
      </c>
      <c r="F1963" s="100">
        <v>-24.370078132746187</v>
      </c>
      <c r="G1963" s="100">
        <v>-809.65439276687334</v>
      </c>
      <c r="H1963" s="100">
        <v>670.36835923386207</v>
      </c>
      <c r="I1963" s="100">
        <v>1980.6872430432918</v>
      </c>
      <c r="J1963" s="100">
        <v>1817.0311313775344</v>
      </c>
    </row>
    <row r="1964" spans="1:10" x14ac:dyDescent="0.25">
      <c r="A1964">
        <v>1947</v>
      </c>
      <c r="B1964" s="100">
        <v>89.266128513593202</v>
      </c>
      <c r="C1964" s="100">
        <v>98.869864672036329</v>
      </c>
      <c r="D1964" s="100">
        <v>90.426335702489013</v>
      </c>
      <c r="E1964" s="100">
        <v>91.456576522630399</v>
      </c>
      <c r="F1964" s="100">
        <v>948.79250885196313</v>
      </c>
      <c r="G1964" s="100">
        <v>-989.96274811131707</v>
      </c>
      <c r="H1964" s="100">
        <v>4779.4888059951863</v>
      </c>
      <c r="I1964" s="100">
        <v>1924.0631320708276</v>
      </c>
      <c r="J1964" s="100">
        <v>6662.3816988066592</v>
      </c>
    </row>
    <row r="1965" spans="1:10" x14ac:dyDescent="0.25">
      <c r="A1965">
        <v>1948</v>
      </c>
      <c r="B1965" s="100">
        <v>89.774648087947071</v>
      </c>
      <c r="C1965" s="100">
        <v>98.964361799878688</v>
      </c>
      <c r="D1965" s="100">
        <v>92.927058922718473</v>
      </c>
      <c r="E1965" s="100">
        <v>94.677938118919187</v>
      </c>
      <c r="F1965" s="100">
        <v>-729.32208651580481</v>
      </c>
      <c r="G1965" s="100">
        <v>-1131.7084398748561</v>
      </c>
      <c r="H1965" s="100">
        <v>-221.95763446373462</v>
      </c>
      <c r="I1965" s="100">
        <v>-1297.2984642179597</v>
      </c>
      <c r="J1965" s="100">
        <v>-3380.2866250723555</v>
      </c>
    </row>
    <row r="1966" spans="1:10" x14ac:dyDescent="0.25">
      <c r="A1966">
        <v>1949</v>
      </c>
      <c r="B1966" s="100">
        <v>89.943282170807365</v>
      </c>
      <c r="C1966" s="100">
        <v>98.434816635809625</v>
      </c>
      <c r="D1966" s="100">
        <v>95.020769337470512</v>
      </c>
      <c r="E1966" s="100">
        <v>91.987403017450873</v>
      </c>
      <c r="F1966" s="100">
        <v>-1285.814559954774</v>
      </c>
      <c r="G1966" s="100">
        <v>-337.39069377126185</v>
      </c>
      <c r="H1966" s="100">
        <v>-4409.3784639678124</v>
      </c>
      <c r="I1966" s="100">
        <v>1393.2366372503539</v>
      </c>
      <c r="J1966" s="100">
        <v>-4639.3470804434946</v>
      </c>
    </row>
    <row r="1967" spans="1:10" x14ac:dyDescent="0.25">
      <c r="A1967">
        <v>1950</v>
      </c>
      <c r="B1967" s="100">
        <v>88.9588420663937</v>
      </c>
      <c r="C1967" s="100">
        <v>97.771272691850925</v>
      </c>
      <c r="D1967" s="100">
        <v>91.551321118970279</v>
      </c>
      <c r="E1967" s="100">
        <v>92.970865099549641</v>
      </c>
      <c r="F1967" s="100">
        <v>1962.8377846103192</v>
      </c>
      <c r="G1967" s="100">
        <v>657.92522216678867</v>
      </c>
      <c r="H1967" s="100">
        <v>2529.5179730326536</v>
      </c>
      <c r="I1967" s="100">
        <v>409.77455515158567</v>
      </c>
      <c r="J1967" s="100">
        <v>5560.0555349613469</v>
      </c>
    </row>
    <row r="1968" spans="1:10" x14ac:dyDescent="0.25">
      <c r="A1968">
        <v>1951</v>
      </c>
      <c r="B1968" s="100">
        <v>89.711713193226515</v>
      </c>
      <c r="C1968" s="100">
        <v>98.165070055909993</v>
      </c>
      <c r="D1968" s="100">
        <v>93.395793300512182</v>
      </c>
      <c r="E1968" s="100">
        <v>92.303891290567833</v>
      </c>
      <c r="F1968" s="100">
        <v>-521.63693393797098</v>
      </c>
      <c r="G1968" s="100">
        <v>67.229176078186015</v>
      </c>
      <c r="H1968" s="100">
        <v>-1159.4263900511521</v>
      </c>
      <c r="I1968" s="100">
        <v>1076.7483641333938</v>
      </c>
      <c r="J1968" s="100">
        <v>-537.08578377754338</v>
      </c>
    </row>
    <row r="1969" spans="1:10" x14ac:dyDescent="0.25">
      <c r="A1969">
        <v>1952</v>
      </c>
      <c r="B1969" s="100">
        <v>90.209685142921629</v>
      </c>
      <c r="C1969" s="100">
        <v>98.96749459283717</v>
      </c>
      <c r="D1969" s="100">
        <v>92.653247155318965</v>
      </c>
      <c r="E1969" s="100">
        <v>96.620596908847745</v>
      </c>
      <c r="F1969" s="100">
        <v>-2164.9443679318451</v>
      </c>
      <c r="G1969" s="100">
        <v>-1136.407629312579</v>
      </c>
      <c r="H1969" s="100">
        <v>325.66590033528087</v>
      </c>
      <c r="I1969" s="100">
        <v>-3239.9572541465177</v>
      </c>
      <c r="J1969" s="100">
        <v>-6215.6433510556608</v>
      </c>
    </row>
    <row r="1970" spans="1:10" x14ac:dyDescent="0.25">
      <c r="A1970">
        <v>1953</v>
      </c>
      <c r="B1970" s="100">
        <v>89.369818799234039</v>
      </c>
      <c r="C1970" s="100">
        <v>98.642430883856392</v>
      </c>
      <c r="D1970" s="100">
        <v>92.388358124101529</v>
      </c>
      <c r="E1970" s="100">
        <v>94.438775339908119</v>
      </c>
      <c r="F1970" s="100">
        <v>606.61456623719937</v>
      </c>
      <c r="G1970" s="100">
        <v>-648.81206584141182</v>
      </c>
      <c r="H1970" s="100">
        <v>855.44396277015267</v>
      </c>
      <c r="I1970" s="100">
        <v>-1058.135685206892</v>
      </c>
      <c r="J1970" s="100">
        <v>-244.88922204095184</v>
      </c>
    </row>
    <row r="1971" spans="1:10" x14ac:dyDescent="0.25">
      <c r="A1971">
        <v>1954</v>
      </c>
      <c r="B1971" s="100">
        <v>89.615486213390781</v>
      </c>
      <c r="C1971" s="100">
        <v>98.45909091437494</v>
      </c>
      <c r="D1971" s="100">
        <v>91.813854237860426</v>
      </c>
      <c r="E1971" s="100">
        <v>93.726843045591366</v>
      </c>
      <c r="F1971" s="100">
        <v>-204.08790048004875</v>
      </c>
      <c r="G1971" s="100">
        <v>-373.80211161923427</v>
      </c>
      <c r="H1971" s="100">
        <v>2004.4517352523599</v>
      </c>
      <c r="I1971" s="100">
        <v>-346.20339089013896</v>
      </c>
      <c r="J1971" s="100">
        <v>1080.3583322629379</v>
      </c>
    </row>
    <row r="1972" spans="1:10" x14ac:dyDescent="0.25">
      <c r="A1972">
        <v>1955</v>
      </c>
      <c r="B1972" s="100">
        <v>90.262731780629821</v>
      </c>
      <c r="C1972" s="100">
        <v>99.156933445063714</v>
      </c>
      <c r="D1972" s="100">
        <v>93.487033952134624</v>
      </c>
      <c r="E1972" s="100">
        <v>94.886752746761672</v>
      </c>
      <c r="F1972" s="100">
        <v>-2339.9982723688795</v>
      </c>
      <c r="G1972" s="100">
        <v>-1420.5659076523957</v>
      </c>
      <c r="H1972" s="100">
        <v>-1341.9076932960365</v>
      </c>
      <c r="I1972" s="100">
        <v>-1506.1130920604455</v>
      </c>
      <c r="J1972" s="100">
        <v>-6608.5849653777577</v>
      </c>
    </row>
    <row r="1973" spans="1:10" x14ac:dyDescent="0.25">
      <c r="A1973">
        <v>1956</v>
      </c>
      <c r="B1973" s="100">
        <v>90.547095211647729</v>
      </c>
      <c r="C1973" s="100">
        <v>98.216380517553091</v>
      </c>
      <c r="D1973" s="100">
        <v>91.943174122074524</v>
      </c>
      <c r="E1973" s="100">
        <v>91.366800524685985</v>
      </c>
      <c r="F1973" s="100">
        <v>-3278.3975947279769</v>
      </c>
      <c r="G1973" s="100">
        <v>-9.7365163864608917</v>
      </c>
      <c r="H1973" s="100">
        <v>1745.8119668241636</v>
      </c>
      <c r="I1973" s="100">
        <v>2013.8391300152421</v>
      </c>
      <c r="J1973" s="100">
        <v>471.51698572496775</v>
      </c>
    </row>
    <row r="1974" spans="1:10" x14ac:dyDescent="0.25">
      <c r="A1974">
        <v>1957</v>
      </c>
      <c r="B1974" s="100">
        <v>89.848964437478301</v>
      </c>
      <c r="C1974" s="100">
        <v>98.805161495467303</v>
      </c>
      <c r="D1974" s="100">
        <v>92.188318531728669</v>
      </c>
      <c r="E1974" s="100">
        <v>98.405318557921717</v>
      </c>
      <c r="F1974" s="100">
        <v>-974.56603996886452</v>
      </c>
      <c r="G1974" s="100">
        <v>-892.90798325777837</v>
      </c>
      <c r="H1974" s="100">
        <v>1255.5231475158735</v>
      </c>
      <c r="I1974" s="100">
        <v>-5024.6789032204906</v>
      </c>
      <c r="J1974" s="100">
        <v>-5636.6297789312603</v>
      </c>
    </row>
    <row r="1975" spans="1:10" x14ac:dyDescent="0.25">
      <c r="A1975">
        <v>1958</v>
      </c>
      <c r="B1975" s="100">
        <v>89.414696503908488</v>
      </c>
      <c r="C1975" s="100">
        <v>98.095066455829269</v>
      </c>
      <c r="D1975" s="100">
        <v>92.532202146894946</v>
      </c>
      <c r="E1975" s="100">
        <v>92.61520139920745</v>
      </c>
      <c r="F1975" s="100">
        <v>458.51814081152042</v>
      </c>
      <c r="G1975" s="100">
        <v>172.23457619927274</v>
      </c>
      <c r="H1975" s="100">
        <v>567.75591718331953</v>
      </c>
      <c r="I1975" s="100">
        <v>765.43825549377686</v>
      </c>
      <c r="J1975" s="100">
        <v>1963.9468896878898</v>
      </c>
    </row>
    <row r="1976" spans="1:10" x14ac:dyDescent="0.25">
      <c r="A1976">
        <v>1959</v>
      </c>
      <c r="B1976" s="100">
        <v>89.393580600593495</v>
      </c>
      <c r="C1976" s="100">
        <v>95.304372283041943</v>
      </c>
      <c r="D1976" s="100">
        <v>93.762734620983977</v>
      </c>
      <c r="E1976" s="100">
        <v>93.353538017384508</v>
      </c>
      <c r="F1976" s="100">
        <v>528.20062175099588</v>
      </c>
      <c r="G1976" s="100">
        <v>4358.2758353802619</v>
      </c>
      <c r="H1976" s="100">
        <v>-1893.3090309947431</v>
      </c>
      <c r="I1976" s="100">
        <v>27.101637316718552</v>
      </c>
      <c r="J1976" s="100">
        <v>3020.2690634532337</v>
      </c>
    </row>
    <row r="1977" spans="1:10" x14ac:dyDescent="0.25">
      <c r="A1977">
        <v>1960</v>
      </c>
      <c r="B1977" s="100">
        <v>88.940515657697247</v>
      </c>
      <c r="C1977" s="100">
        <v>97.52010976508339</v>
      </c>
      <c r="D1977" s="100">
        <v>93.266321494960494</v>
      </c>
      <c r="E1977" s="100">
        <v>92.94052501934992</v>
      </c>
      <c r="F1977" s="100">
        <v>2023.3149333086133</v>
      </c>
      <c r="G1977" s="100">
        <v>1034.6696123180905</v>
      </c>
      <c r="H1977" s="100">
        <v>-900.48277894777584</v>
      </c>
      <c r="I1977" s="100">
        <v>440.11463535130702</v>
      </c>
      <c r="J1977" s="100">
        <v>2597.6164020302349</v>
      </c>
    </row>
    <row r="1978" spans="1:10" x14ac:dyDescent="0.25">
      <c r="A1978">
        <v>1961</v>
      </c>
      <c r="B1978" s="100">
        <v>88.897570171256774</v>
      </c>
      <c r="C1978" s="100">
        <v>97.616884703618894</v>
      </c>
      <c r="D1978" s="100">
        <v>93.179448479439785</v>
      </c>
      <c r="E1978" s="100">
        <v>94.145430068950603</v>
      </c>
      <c r="F1978" s="100">
        <v>2165.035038562175</v>
      </c>
      <c r="G1978" s="100">
        <v>889.50720451483539</v>
      </c>
      <c r="H1978" s="100">
        <v>-726.736747906358</v>
      </c>
      <c r="I1978" s="100">
        <v>-764.79041424937577</v>
      </c>
      <c r="J1978" s="100">
        <v>1563.0150809212769</v>
      </c>
    </row>
    <row r="1979" spans="1:10" x14ac:dyDescent="0.25">
      <c r="A1979">
        <v>1962</v>
      </c>
      <c r="B1979" s="100">
        <v>90.383172717388234</v>
      </c>
      <c r="C1979" s="100">
        <v>97.889294224246143</v>
      </c>
      <c r="D1979" s="100">
        <v>93.813827126389441</v>
      </c>
      <c r="E1979" s="100">
        <v>93.771060399334232</v>
      </c>
      <c r="F1979" s="100">
        <v>-2737.4533636716437</v>
      </c>
      <c r="G1979" s="100">
        <v>480.89292357396118</v>
      </c>
      <c r="H1979" s="100">
        <v>-1995.4940418056708</v>
      </c>
      <c r="I1979" s="100">
        <v>-390.4207446330048</v>
      </c>
      <c r="J1979" s="100">
        <v>-4642.4752265363577</v>
      </c>
    </row>
    <row r="1980" spans="1:10" x14ac:dyDescent="0.25">
      <c r="A1980">
        <v>1963</v>
      </c>
      <c r="B1980" s="100">
        <v>89.41535772718747</v>
      </c>
      <c r="C1980" s="100">
        <v>98.336570286648225</v>
      </c>
      <c r="D1980" s="100">
        <v>95.250779703493407</v>
      </c>
      <c r="E1980" s="100">
        <v>92.819766483303724</v>
      </c>
      <c r="F1980" s="100">
        <v>456.33610399087985</v>
      </c>
      <c r="G1980" s="100">
        <v>-190.02117002916208</v>
      </c>
      <c r="H1980" s="100">
        <v>-4869.3991960136027</v>
      </c>
      <c r="I1980" s="100">
        <v>560.87317139750326</v>
      </c>
      <c r="J1980" s="100">
        <v>-4042.2110906543821</v>
      </c>
    </row>
    <row r="1981" spans="1:10" x14ac:dyDescent="0.25">
      <c r="A1981">
        <v>1964</v>
      </c>
      <c r="B1981" s="100">
        <v>90.207017058278097</v>
      </c>
      <c r="C1981" s="100">
        <v>98.657484972785824</v>
      </c>
      <c r="D1981" s="100">
        <v>92.18663782357936</v>
      </c>
      <c r="E1981" s="100">
        <v>93.768448404148756</v>
      </c>
      <c r="F1981" s="100">
        <v>-2156.139688608192</v>
      </c>
      <c r="G1981" s="100">
        <v>-671.39319923555968</v>
      </c>
      <c r="H1981" s="100">
        <v>1258.8845638144903</v>
      </c>
      <c r="I1981" s="100">
        <v>-387.80874944752952</v>
      </c>
      <c r="J1981" s="100">
        <v>-1956.4570734767908</v>
      </c>
    </row>
    <row r="1982" spans="1:10" x14ac:dyDescent="0.25">
      <c r="A1982">
        <v>1965</v>
      </c>
      <c r="B1982" s="100">
        <v>90.440672645441509</v>
      </c>
      <c r="C1982" s="100">
        <v>97.302745043082282</v>
      </c>
      <c r="D1982" s="100">
        <v>91.713962855901926</v>
      </c>
      <c r="E1982" s="100">
        <v>94.114007499082589</v>
      </c>
      <c r="F1982" s="100">
        <v>-2927.2031262474511</v>
      </c>
      <c r="G1982" s="100">
        <v>1360.716695319752</v>
      </c>
      <c r="H1982" s="100">
        <v>2204.2344991693599</v>
      </c>
      <c r="I1982" s="100">
        <v>-733.36784438136249</v>
      </c>
      <c r="J1982" s="100">
        <v>-95.619776139701685</v>
      </c>
    </row>
    <row r="1983" spans="1:10" x14ac:dyDescent="0.25">
      <c r="A1983">
        <v>1966</v>
      </c>
      <c r="B1983" s="100">
        <v>89.297525226562399</v>
      </c>
      <c r="C1983" s="100">
        <v>97.137483519930072</v>
      </c>
      <c r="D1983" s="100">
        <v>93.624376485235857</v>
      </c>
      <c r="E1983" s="100">
        <v>92.011247911179112</v>
      </c>
      <c r="F1983" s="100">
        <v>845.18335605361153</v>
      </c>
      <c r="G1983" s="100">
        <v>1608.6089800480679</v>
      </c>
      <c r="H1983" s="100">
        <v>-1616.5927594985021</v>
      </c>
      <c r="I1983" s="100">
        <v>1369.3917435221151</v>
      </c>
      <c r="J1983" s="100">
        <v>2206.5913201252924</v>
      </c>
    </row>
    <row r="1984" spans="1:10" x14ac:dyDescent="0.25">
      <c r="A1984">
        <v>1967</v>
      </c>
      <c r="B1984" s="100">
        <v>88.887895081613252</v>
      </c>
      <c r="C1984" s="100">
        <v>98.122506688515259</v>
      </c>
      <c r="D1984" s="100">
        <v>91.874084873008471</v>
      </c>
      <c r="E1984" s="100">
        <v>93.477832382231256</v>
      </c>
      <c r="F1984" s="100">
        <v>2196.9628343857989</v>
      </c>
      <c r="G1984" s="100">
        <v>131.07422717028783</v>
      </c>
      <c r="H1984" s="100">
        <v>1883.9904649562698</v>
      </c>
      <c r="I1984" s="100">
        <v>-97.192727530028833</v>
      </c>
      <c r="J1984" s="100">
        <v>4114.8347989823278</v>
      </c>
    </row>
    <row r="1985" spans="1:10" x14ac:dyDescent="0.25">
      <c r="A1985">
        <v>1968</v>
      </c>
      <c r="B1985" s="100">
        <v>89.797176050882712</v>
      </c>
      <c r="C1985" s="100">
        <v>98.430024640894516</v>
      </c>
      <c r="D1985" s="100">
        <v>92.019082236430563</v>
      </c>
      <c r="E1985" s="100">
        <v>92.201248782419967</v>
      </c>
      <c r="F1985" s="100">
        <v>-803.66436420341927</v>
      </c>
      <c r="G1985" s="100">
        <v>-330.20270139859775</v>
      </c>
      <c r="H1985" s="100">
        <v>1593.9957381120848</v>
      </c>
      <c r="I1985" s="100">
        <v>1179.3908722812603</v>
      </c>
      <c r="J1985" s="100">
        <v>1639.5195447913281</v>
      </c>
    </row>
    <row r="1986" spans="1:10" x14ac:dyDescent="0.25">
      <c r="A1986">
        <v>1969</v>
      </c>
      <c r="B1986" s="100">
        <v>89.347047133908845</v>
      </c>
      <c r="C1986" s="100">
        <v>96.155208661297493</v>
      </c>
      <c r="D1986" s="100">
        <v>91.956495421129787</v>
      </c>
      <c r="E1986" s="100">
        <v>91.371626161582526</v>
      </c>
      <c r="F1986" s="100">
        <v>681.76106181034152</v>
      </c>
      <c r="G1986" s="100">
        <v>3082.0212679969359</v>
      </c>
      <c r="H1986" s="100">
        <v>1719.1693687136365</v>
      </c>
      <c r="I1986" s="100">
        <v>2009.0134931187008</v>
      </c>
      <c r="J1986" s="100">
        <v>7491.9651916396142</v>
      </c>
    </row>
    <row r="1987" spans="1:10" x14ac:dyDescent="0.25">
      <c r="A1987">
        <v>1970</v>
      </c>
      <c r="B1987" s="100">
        <v>89.614893445465853</v>
      </c>
      <c r="C1987" s="100">
        <v>98.877611894424945</v>
      </c>
      <c r="D1987" s="100">
        <v>92.263414033454737</v>
      </c>
      <c r="E1987" s="100">
        <v>96.939287785203149</v>
      </c>
      <c r="F1987" s="100">
        <v>-202.13176632778556</v>
      </c>
      <c r="G1987" s="100">
        <v>-1001.5835816942413</v>
      </c>
      <c r="H1987" s="100">
        <v>1105.3321440637376</v>
      </c>
      <c r="I1987" s="100">
        <v>-3558.648130501922</v>
      </c>
      <c r="J1987" s="100">
        <v>-3657.0313344602109</v>
      </c>
    </row>
    <row r="1988" spans="1:10" x14ac:dyDescent="0.25">
      <c r="A1988">
        <v>1971</v>
      </c>
      <c r="B1988" s="100">
        <v>88.650773209216297</v>
      </c>
      <c r="C1988" s="100">
        <v>99.09108105319936</v>
      </c>
      <c r="D1988" s="100">
        <v>92.374230554579981</v>
      </c>
      <c r="E1988" s="100">
        <v>92.522995219572067</v>
      </c>
      <c r="F1988" s="100">
        <v>2979.4650132957499</v>
      </c>
      <c r="G1988" s="100">
        <v>-1321.787319855865</v>
      </c>
      <c r="H1988" s="100">
        <v>883.6991018132494</v>
      </c>
      <c r="I1988" s="100">
        <v>857.64443512915989</v>
      </c>
      <c r="J1988" s="100">
        <v>3399.0212303822941</v>
      </c>
    </row>
    <row r="1989" spans="1:10" x14ac:dyDescent="0.25">
      <c r="A1989">
        <v>1972</v>
      </c>
      <c r="B1989" s="100">
        <v>89.887096362672608</v>
      </c>
      <c r="C1989" s="100">
        <v>98.746692236713599</v>
      </c>
      <c r="D1989" s="100">
        <v>93.332027083142748</v>
      </c>
      <c r="E1989" s="100">
        <v>95.719198025015388</v>
      </c>
      <c r="F1989" s="100">
        <v>-1100.4013931100772</v>
      </c>
      <c r="G1989" s="100">
        <v>-805.20409512722324</v>
      </c>
      <c r="H1989" s="100">
        <v>-1031.8939553122846</v>
      </c>
      <c r="I1989" s="100">
        <v>-2338.5583703141606</v>
      </c>
      <c r="J1989" s="100">
        <v>-5276.0578138637457</v>
      </c>
    </row>
    <row r="1990" spans="1:10" x14ac:dyDescent="0.25">
      <c r="A1990">
        <v>1973</v>
      </c>
      <c r="B1990" s="100">
        <v>89.640686086341319</v>
      </c>
      <c r="C1990" s="100">
        <v>98.753523225359103</v>
      </c>
      <c r="D1990" s="100">
        <v>92.140336601089118</v>
      </c>
      <c r="E1990" s="100">
        <v>90.970338953832083</v>
      </c>
      <c r="F1990" s="100">
        <v>-287.24748121682211</v>
      </c>
      <c r="G1990" s="100">
        <v>-815.45057809547927</v>
      </c>
      <c r="H1990" s="100">
        <v>1351.487008794976</v>
      </c>
      <c r="I1990" s="100">
        <v>2410.3007008691434</v>
      </c>
      <c r="J1990" s="100">
        <v>2659.0896503518179</v>
      </c>
    </row>
    <row r="1991" spans="1:10" x14ac:dyDescent="0.25">
      <c r="A1991">
        <v>1974</v>
      </c>
      <c r="B1991" s="100">
        <v>88.387532281821322</v>
      </c>
      <c r="C1991" s="100">
        <v>98.177244817633351</v>
      </c>
      <c r="D1991" s="100">
        <v>93.236472233569643</v>
      </c>
      <c r="E1991" s="100">
        <v>94.509239640572247</v>
      </c>
      <c r="F1991" s="100">
        <v>3848.1600736991668</v>
      </c>
      <c r="G1991" s="100">
        <v>48.967033493148904</v>
      </c>
      <c r="H1991" s="100">
        <v>-840.78425616607433</v>
      </c>
      <c r="I1991" s="100">
        <v>-1128.5999858710197</v>
      </c>
      <c r="J1991" s="100">
        <v>1927.7428651552214</v>
      </c>
    </row>
    <row r="1992" spans="1:10" x14ac:dyDescent="0.25">
      <c r="A1992">
        <v>1975</v>
      </c>
      <c r="B1992" s="100">
        <v>90.524815630907014</v>
      </c>
      <c r="C1992" s="100">
        <v>99.085176844394297</v>
      </c>
      <c r="D1992" s="100">
        <v>90.62059103325555</v>
      </c>
      <c r="E1992" s="100">
        <v>92.421758395519916</v>
      </c>
      <c r="F1992" s="100">
        <v>-3204.8749782836167</v>
      </c>
      <c r="G1992" s="100">
        <v>-1312.9310066482703</v>
      </c>
      <c r="H1992" s="100">
        <v>4390.9781444621103</v>
      </c>
      <c r="I1992" s="100">
        <v>958.88125918131095</v>
      </c>
      <c r="J1992" s="100">
        <v>832.05341871153428</v>
      </c>
    </row>
    <row r="1993" spans="1:10" x14ac:dyDescent="0.25">
      <c r="A1993">
        <v>1976</v>
      </c>
      <c r="B1993" s="100">
        <v>89.462594712468373</v>
      </c>
      <c r="C1993" s="100">
        <v>98.558830483228306</v>
      </c>
      <c r="D1993" s="100">
        <v>92.099338313184859</v>
      </c>
      <c r="E1993" s="100">
        <v>97.554068661326369</v>
      </c>
      <c r="F1993" s="100">
        <v>300.45405256389728</v>
      </c>
      <c r="G1993" s="100">
        <v>-523.41146489928292</v>
      </c>
      <c r="H1993" s="100">
        <v>1433.4835846034935</v>
      </c>
      <c r="I1993" s="100">
        <v>-4173.4290066251415</v>
      </c>
      <c r="J1993" s="100">
        <v>-2962.9028343570335</v>
      </c>
    </row>
    <row r="1994" spans="1:10" x14ac:dyDescent="0.25">
      <c r="A1994">
        <v>1977</v>
      </c>
      <c r="B1994" s="100">
        <v>89.983877816003314</v>
      </c>
      <c r="C1994" s="100">
        <v>97.766541305851476</v>
      </c>
      <c r="D1994" s="100">
        <v>91.498767422847877</v>
      </c>
      <c r="E1994" s="100">
        <v>96.331475855098063</v>
      </c>
      <c r="F1994" s="100">
        <v>-1419.780189101408</v>
      </c>
      <c r="G1994" s="100">
        <v>665.02230116596195</v>
      </c>
      <c r="H1994" s="100">
        <v>2634.6253652774576</v>
      </c>
      <c r="I1994" s="100">
        <v>-2950.8362003968359</v>
      </c>
      <c r="J1994" s="100">
        <v>-1070.9687230548243</v>
      </c>
    </row>
    <row r="1995" spans="1:10" x14ac:dyDescent="0.25">
      <c r="A1995">
        <v>1978</v>
      </c>
      <c r="B1995" s="100">
        <v>88.611155965651463</v>
      </c>
      <c r="C1995" s="100">
        <v>98.847442375434852</v>
      </c>
      <c r="D1995" s="100">
        <v>91.84486319809217</v>
      </c>
      <c r="E1995" s="100">
        <v>96.101146074832613</v>
      </c>
      <c r="F1995" s="100">
        <v>3110.2019170597018</v>
      </c>
      <c r="G1995" s="100">
        <v>-956.32930320910248</v>
      </c>
      <c r="H1995" s="100">
        <v>1942.4338147888704</v>
      </c>
      <c r="I1995" s="100">
        <v>-2720.5064201313862</v>
      </c>
      <c r="J1995" s="100">
        <v>1375.8000085080839</v>
      </c>
    </row>
    <row r="1996" spans="1:10" x14ac:dyDescent="0.25">
      <c r="A1996">
        <v>1979</v>
      </c>
      <c r="B1996" s="100">
        <v>89.609152136627785</v>
      </c>
      <c r="C1996" s="100">
        <v>95.281568694213874</v>
      </c>
      <c r="D1996" s="100">
        <v>90.975387833293809</v>
      </c>
      <c r="E1996" s="100">
        <v>92.638929997906587</v>
      </c>
      <c r="F1996" s="100">
        <v>-183.18544716215968</v>
      </c>
      <c r="G1996" s="100">
        <v>4392.4812186223644</v>
      </c>
      <c r="H1996" s="100">
        <v>3681.3845443855939</v>
      </c>
      <c r="I1996" s="100">
        <v>741.70965679464018</v>
      </c>
      <c r="J1996" s="100">
        <v>8632.3899726404397</v>
      </c>
    </row>
    <row r="1997" spans="1:10" x14ac:dyDescent="0.25">
      <c r="A1997">
        <v>1980</v>
      </c>
      <c r="B1997" s="100">
        <v>90.088093313146416</v>
      </c>
      <c r="C1997" s="100">
        <v>98.911429563055265</v>
      </c>
      <c r="D1997" s="100">
        <v>92.084813151865347</v>
      </c>
      <c r="E1997" s="100">
        <v>97.418702892089385</v>
      </c>
      <c r="F1997" s="100">
        <v>-1763.6913296736438</v>
      </c>
      <c r="G1997" s="100">
        <v>-1052.3100846397213</v>
      </c>
      <c r="H1997" s="100">
        <v>1462.5339072425163</v>
      </c>
      <c r="I1997" s="100">
        <v>-4038.0632373881581</v>
      </c>
      <c r="J1997" s="100">
        <v>-5391.5307444590071</v>
      </c>
    </row>
    <row r="1998" spans="1:10" x14ac:dyDescent="0.25">
      <c r="A1998">
        <v>1981</v>
      </c>
      <c r="B1998" s="100">
        <v>89.664854361249212</v>
      </c>
      <c r="C1998" s="100">
        <v>97.940898674957353</v>
      </c>
      <c r="D1998" s="100">
        <v>93.181857828602517</v>
      </c>
      <c r="E1998" s="100">
        <v>94.523160998246453</v>
      </c>
      <c r="F1998" s="100">
        <v>-367.00278841287002</v>
      </c>
      <c r="G1998" s="100">
        <v>403.48624750714635</v>
      </c>
      <c r="H1998" s="100">
        <v>-731.55544623182323</v>
      </c>
      <c r="I1998" s="100">
        <v>-1142.5213435452265</v>
      </c>
      <c r="J1998" s="100">
        <v>-1837.5933306827733</v>
      </c>
    </row>
    <row r="1999" spans="1:10" x14ac:dyDescent="0.25">
      <c r="A1999">
        <v>1982</v>
      </c>
      <c r="B1999" s="100">
        <v>88.541874963853715</v>
      </c>
      <c r="C1999" s="100">
        <v>99.264421148981839</v>
      </c>
      <c r="D1999" s="100">
        <v>93.526644282051166</v>
      </c>
      <c r="E1999" s="100">
        <v>95.770947877838822</v>
      </c>
      <c r="F1999" s="100">
        <v>3338.8292229922699</v>
      </c>
      <c r="G1999" s="100">
        <v>-1581.7974635295827</v>
      </c>
      <c r="H1999" s="100">
        <v>-1421.1283531291201</v>
      </c>
      <c r="I1999" s="100">
        <v>-2390.3082231375947</v>
      </c>
      <c r="J1999" s="100">
        <v>-2054.4048168040276</v>
      </c>
    </row>
    <row r="2000" spans="1:10" x14ac:dyDescent="0.25">
      <c r="A2000">
        <v>1983</v>
      </c>
      <c r="B2000" s="100">
        <v>90.585333551315244</v>
      </c>
      <c r="C2000" s="100">
        <v>99.15118494509376</v>
      </c>
      <c r="D2000" s="100">
        <v>94.870578167118609</v>
      </c>
      <c r="E2000" s="100">
        <v>96.987611767762871</v>
      </c>
      <c r="F2000" s="100">
        <v>-3404.5841156307774</v>
      </c>
      <c r="G2000" s="100">
        <v>-1411.9431576974648</v>
      </c>
      <c r="H2000" s="100">
        <v>-4108.9961232640062</v>
      </c>
      <c r="I2000" s="100">
        <v>-3606.9721130616444</v>
      </c>
      <c r="J2000" s="100">
        <v>-12532.495509653894</v>
      </c>
    </row>
    <row r="2001" spans="1:10" x14ac:dyDescent="0.25">
      <c r="A2001">
        <v>1984</v>
      </c>
      <c r="B2001" s="100">
        <v>90.241939503480609</v>
      </c>
      <c r="C2001" s="100">
        <v>98.454406770540544</v>
      </c>
      <c r="D2001" s="100">
        <v>93.595757279245049</v>
      </c>
      <c r="E2001" s="100">
        <v>91.724681233909223</v>
      </c>
      <c r="F2001" s="100">
        <v>-2271.3837577764793</v>
      </c>
      <c r="G2001" s="100">
        <v>-366.77589586764014</v>
      </c>
      <c r="H2001" s="100">
        <v>-1559.3543475168872</v>
      </c>
      <c r="I2001" s="100">
        <v>1655.9584207920038</v>
      </c>
      <c r="J2001" s="100">
        <v>-2541.5555803690027</v>
      </c>
    </row>
    <row r="2002" spans="1:10" x14ac:dyDescent="0.25">
      <c r="A2002">
        <v>1985</v>
      </c>
      <c r="B2002" s="100">
        <v>89.484018878334908</v>
      </c>
      <c r="C2002" s="100">
        <v>98.307047295067719</v>
      </c>
      <c r="D2002" s="100">
        <v>92.978457244852564</v>
      </c>
      <c r="E2002" s="100">
        <v>95.096635125645548</v>
      </c>
      <c r="F2002" s="100">
        <v>229.75430520433378</v>
      </c>
      <c r="G2002" s="100">
        <v>-145.73668265840212</v>
      </c>
      <c r="H2002" s="100">
        <v>-324.7542787319162</v>
      </c>
      <c r="I2002" s="100">
        <v>-1715.9954709443214</v>
      </c>
      <c r="J2002" s="100">
        <v>-1956.7321271303058</v>
      </c>
    </row>
    <row r="2003" spans="1:10" x14ac:dyDescent="0.25">
      <c r="A2003">
        <v>1986</v>
      </c>
      <c r="B2003" s="100">
        <v>89.680949953579287</v>
      </c>
      <c r="C2003" s="100">
        <v>99.268164446239595</v>
      </c>
      <c r="D2003" s="100">
        <v>91.752619463518414</v>
      </c>
      <c r="E2003" s="100">
        <v>94.145900908097204</v>
      </c>
      <c r="F2003" s="100">
        <v>-420.11824310211665</v>
      </c>
      <c r="G2003" s="100">
        <v>-1587.4124094162171</v>
      </c>
      <c r="H2003" s="100">
        <v>2126.9212839363831</v>
      </c>
      <c r="I2003" s="100">
        <v>-765.26125339597684</v>
      </c>
      <c r="J2003" s="100">
        <v>-645.87062197792739</v>
      </c>
    </row>
    <row r="2004" spans="1:10" x14ac:dyDescent="0.25">
      <c r="A2004">
        <v>1987</v>
      </c>
      <c r="B2004" s="100">
        <v>89.398659355867963</v>
      </c>
      <c r="C2004" s="100">
        <v>98.350018180067977</v>
      </c>
      <c r="D2004" s="100">
        <v>89.593215228652909</v>
      </c>
      <c r="E2004" s="100">
        <v>94.590812657776482</v>
      </c>
      <c r="F2004" s="100">
        <v>511.44072934525155</v>
      </c>
      <c r="G2004" s="100">
        <v>-210.19301015878966</v>
      </c>
      <c r="H2004" s="100">
        <v>6445.7297536673932</v>
      </c>
      <c r="I2004" s="100">
        <v>-1210.1730030752549</v>
      </c>
      <c r="J2004" s="100">
        <v>5536.8044697785999</v>
      </c>
    </row>
    <row r="2005" spans="1:10" x14ac:dyDescent="0.25">
      <c r="A2005">
        <v>1988</v>
      </c>
      <c r="B2005" s="100">
        <v>88.953605298717889</v>
      </c>
      <c r="C2005" s="100">
        <v>98.285971076679814</v>
      </c>
      <c r="D2005" s="100">
        <v>92.307313971845986</v>
      </c>
      <c r="E2005" s="100">
        <v>93.255569054102551</v>
      </c>
      <c r="F2005" s="100">
        <v>1980.1191179404952</v>
      </c>
      <c r="G2005" s="100">
        <v>-114.122355076546</v>
      </c>
      <c r="H2005" s="100">
        <v>1017.5322672812399</v>
      </c>
      <c r="I2005" s="100">
        <v>125.0706005986757</v>
      </c>
      <c r="J2005" s="100">
        <v>3008.599630743865</v>
      </c>
    </row>
    <row r="2006" spans="1:10" x14ac:dyDescent="0.25">
      <c r="A2006">
        <v>1989</v>
      </c>
      <c r="B2006" s="100">
        <v>89.154122183707614</v>
      </c>
      <c r="C2006" s="100">
        <v>97.570250469075546</v>
      </c>
      <c r="D2006" s="100">
        <v>91.127938631700928</v>
      </c>
      <c r="E2006" s="100">
        <v>96.402341091889241</v>
      </c>
      <c r="F2006" s="100">
        <v>1318.4133974744043</v>
      </c>
      <c r="G2006" s="100">
        <v>959.45855632985649</v>
      </c>
      <c r="H2006" s="100">
        <v>3376.2829475713543</v>
      </c>
      <c r="I2006" s="100">
        <v>-3021.7014371880141</v>
      </c>
      <c r="J2006" s="100">
        <v>2632.4534641876007</v>
      </c>
    </row>
    <row r="2007" spans="1:10" x14ac:dyDescent="0.25">
      <c r="A2007">
        <v>1990</v>
      </c>
      <c r="B2007" s="100">
        <v>89.639603228244667</v>
      </c>
      <c r="C2007" s="100">
        <v>99.145750372107713</v>
      </c>
      <c r="D2007" s="100">
        <v>95.248201646565164</v>
      </c>
      <c r="E2007" s="100">
        <v>94.534302203903479</v>
      </c>
      <c r="F2007" s="100">
        <v>-283.67404949787129</v>
      </c>
      <c r="G2007" s="100">
        <v>-1403.7912982183939</v>
      </c>
      <c r="H2007" s="100">
        <v>-4864.243082157117</v>
      </c>
      <c r="I2007" s="100">
        <v>-1153.6625492022522</v>
      </c>
      <c r="J2007" s="100">
        <v>-7705.3709790756348</v>
      </c>
    </row>
    <row r="2008" spans="1:10" x14ac:dyDescent="0.25">
      <c r="A2008">
        <v>1991</v>
      </c>
      <c r="B2008" s="100">
        <v>89.62397159182818</v>
      </c>
      <c r="C2008" s="100">
        <v>98.020687253245214</v>
      </c>
      <c r="D2008" s="100">
        <v>95.014024297080866</v>
      </c>
      <c r="E2008" s="100">
        <v>91.179184618718111</v>
      </c>
      <c r="F2008" s="100">
        <v>-232.08964932346561</v>
      </c>
      <c r="G2008" s="100">
        <v>283.80338007535499</v>
      </c>
      <c r="H2008" s="100">
        <v>-4395.8883831885205</v>
      </c>
      <c r="I2008" s="100">
        <v>2201.4550359831164</v>
      </c>
      <c r="J2008" s="100">
        <v>-2142.7196164535144</v>
      </c>
    </row>
    <row r="2009" spans="1:10" x14ac:dyDescent="0.25">
      <c r="A2009">
        <v>1992</v>
      </c>
      <c r="B2009" s="100">
        <v>90.762480027901177</v>
      </c>
      <c r="C2009" s="100">
        <v>97.907200424112915</v>
      </c>
      <c r="D2009" s="100">
        <v>92.979730719647051</v>
      </c>
      <c r="E2009" s="100">
        <v>92.913513728163196</v>
      </c>
      <c r="F2009" s="100">
        <v>-3989.1674883643532</v>
      </c>
      <c r="G2009" s="100">
        <v>454.03362377380319</v>
      </c>
      <c r="H2009" s="100">
        <v>-327.30122832089137</v>
      </c>
      <c r="I2009" s="100">
        <v>467.12592653803142</v>
      </c>
      <c r="J2009" s="100">
        <v>-3395.3091663734099</v>
      </c>
    </row>
    <row r="2010" spans="1:10" x14ac:dyDescent="0.25">
      <c r="A2010">
        <v>1993</v>
      </c>
      <c r="B2010" s="100">
        <v>89.631619682500997</v>
      </c>
      <c r="C2010" s="100">
        <v>98.883419449196097</v>
      </c>
      <c r="D2010" s="100">
        <v>94.270250262812141</v>
      </c>
      <c r="E2010" s="100">
        <v>91.969747961479783</v>
      </c>
      <c r="F2010" s="100">
        <v>-257.32834854375994</v>
      </c>
      <c r="G2010" s="100">
        <v>-1010.29491385097</v>
      </c>
      <c r="H2010" s="100">
        <v>-2908.3403146510705</v>
      </c>
      <c r="I2010" s="100">
        <v>1410.8916932214443</v>
      </c>
      <c r="J2010" s="100">
        <v>-2765.0718838243565</v>
      </c>
    </row>
    <row r="2011" spans="1:10" x14ac:dyDescent="0.25">
      <c r="A2011">
        <v>1994</v>
      </c>
      <c r="B2011" s="100">
        <v>90.147436763704704</v>
      </c>
      <c r="C2011" s="100">
        <v>97.830878079308064</v>
      </c>
      <c r="D2011" s="100">
        <v>92.762738293524407</v>
      </c>
      <c r="E2011" s="100">
        <v>91.788432094402239</v>
      </c>
      <c r="F2011" s="100">
        <v>-1959.5247165159933</v>
      </c>
      <c r="G2011" s="100">
        <v>568.51714098107914</v>
      </c>
      <c r="H2011" s="100">
        <v>106.6836239243969</v>
      </c>
      <c r="I2011" s="100">
        <v>1592.2075602989878</v>
      </c>
      <c r="J2011" s="100">
        <v>307.88360868847053</v>
      </c>
    </row>
    <row r="2012" spans="1:10" x14ac:dyDescent="0.25">
      <c r="A2012">
        <v>1995</v>
      </c>
      <c r="B2012" s="100">
        <v>89.874343556096051</v>
      </c>
      <c r="C2012" s="100">
        <v>98.710786184843442</v>
      </c>
      <c r="D2012" s="100">
        <v>93.819145399474863</v>
      </c>
      <c r="E2012" s="100">
        <v>91.686670712404492</v>
      </c>
      <c r="F2012" s="100">
        <v>-1058.3171314074377</v>
      </c>
      <c r="G2012" s="100">
        <v>-751.34501732198805</v>
      </c>
      <c r="H2012" s="100">
        <v>-2006.1305879765143</v>
      </c>
      <c r="I2012" s="100">
        <v>1693.9689422967349</v>
      </c>
      <c r="J2012" s="100">
        <v>-2121.8237944092052</v>
      </c>
    </row>
    <row r="2013" spans="1:10" x14ac:dyDescent="0.25">
      <c r="A2013">
        <v>1996</v>
      </c>
      <c r="B2013" s="100">
        <v>89.248017784909777</v>
      </c>
      <c r="C2013" s="100">
        <v>99.064954255899536</v>
      </c>
      <c r="D2013" s="100">
        <v>94.590550346044481</v>
      </c>
      <c r="E2013" s="100">
        <v>92.910059520264511</v>
      </c>
      <c r="F2013" s="100">
        <v>1008.5579135072649</v>
      </c>
      <c r="G2013" s="100">
        <v>-1282.5971239061289</v>
      </c>
      <c r="H2013" s="100">
        <v>-3548.9404811157501</v>
      </c>
      <c r="I2013" s="100">
        <v>470.58013443671598</v>
      </c>
      <c r="J2013" s="100">
        <v>-3352.3995570778984</v>
      </c>
    </row>
    <row r="2014" spans="1:10" x14ac:dyDescent="0.25">
      <c r="A2014">
        <v>1997</v>
      </c>
      <c r="B2014" s="100">
        <v>90.281101763397075</v>
      </c>
      <c r="C2014" s="100">
        <v>99.005724309058806</v>
      </c>
      <c r="D2014" s="100">
        <v>93.678509464313208</v>
      </c>
      <c r="E2014" s="100">
        <v>96.32037613513242</v>
      </c>
      <c r="F2014" s="100">
        <v>-2400.619215500818</v>
      </c>
      <c r="G2014" s="100">
        <v>-1193.7522036450332</v>
      </c>
      <c r="H2014" s="100">
        <v>-1724.8587176532055</v>
      </c>
      <c r="I2014" s="100">
        <v>-2939.7364804311933</v>
      </c>
      <c r="J2014" s="100">
        <v>-8258.9666172302495</v>
      </c>
    </row>
    <row r="2015" spans="1:10" x14ac:dyDescent="0.25">
      <c r="A2015">
        <v>1998</v>
      </c>
      <c r="B2015" s="100">
        <v>89.261289794625881</v>
      </c>
      <c r="C2015" s="100">
        <v>98.537641451148531</v>
      </c>
      <c r="D2015" s="100">
        <v>94.111247055556035</v>
      </c>
      <c r="E2015" s="100">
        <v>96.407073238531169</v>
      </c>
      <c r="F2015" s="100">
        <v>964.76028144412135</v>
      </c>
      <c r="G2015" s="100">
        <v>-491.62791677962048</v>
      </c>
      <c r="H2015" s="100">
        <v>-2590.3339001388586</v>
      </c>
      <c r="I2015" s="100">
        <v>-3026.4335838299417</v>
      </c>
      <c r="J2015" s="100">
        <v>-5143.6351193042992</v>
      </c>
    </row>
    <row r="2016" spans="1:10" x14ac:dyDescent="0.25">
      <c r="A2016">
        <v>1999</v>
      </c>
      <c r="B2016" s="100">
        <v>90.070992246557381</v>
      </c>
      <c r="C2016" s="100">
        <v>99.134427319799727</v>
      </c>
      <c r="D2016" s="100">
        <v>92.32413154230558</v>
      </c>
      <c r="E2016" s="100">
        <v>91.653693185487796</v>
      </c>
      <c r="F2016" s="100">
        <v>-1707.2578099298285</v>
      </c>
      <c r="G2016" s="100">
        <v>-1386.8067197564144</v>
      </c>
      <c r="H2016" s="100">
        <v>983.89712636205218</v>
      </c>
      <c r="I2016" s="100">
        <v>1726.9464692134306</v>
      </c>
      <c r="J2016" s="100">
        <v>-383.22093411076003</v>
      </c>
    </row>
    <row r="2017" spans="1:10" x14ac:dyDescent="0.25">
      <c r="A2017">
        <v>2000</v>
      </c>
      <c r="B2017" s="100">
        <v>89.929028845342032</v>
      </c>
      <c r="C2017" s="100">
        <v>98.503167064133919</v>
      </c>
      <c r="D2017" s="100">
        <v>92.830132121633227</v>
      </c>
      <c r="E2017" s="100">
        <v>91.771393214644306</v>
      </c>
      <c r="F2017" s="100">
        <v>-1238.7785859191752</v>
      </c>
      <c r="G2017" s="100">
        <v>-439.91633625770277</v>
      </c>
      <c r="H2017" s="100">
        <v>-28.104032293242653</v>
      </c>
      <c r="I2017" s="100">
        <v>1609.2464400569213</v>
      </c>
      <c r="J2017" s="100">
        <v>-97.552514413199333</v>
      </c>
    </row>
    <row r="2018" spans="1:10" x14ac:dyDescent="0.25">
      <c r="A2018">
        <v>2001</v>
      </c>
      <c r="B2018" s="100">
        <v>88.755833612607276</v>
      </c>
      <c r="C2018" s="100">
        <v>97.054345492388833</v>
      </c>
      <c r="D2018" s="100">
        <v>93.215194172316572</v>
      </c>
      <c r="E2018" s="100">
        <v>92.332069642073392</v>
      </c>
      <c r="F2018" s="100">
        <v>2632.7656821055184</v>
      </c>
      <c r="G2018" s="100">
        <v>1733.3160213599258</v>
      </c>
      <c r="H2018" s="100">
        <v>-798.22813365993284</v>
      </c>
      <c r="I2018" s="100">
        <v>1048.5700126278346</v>
      </c>
      <c r="J2018" s="100">
        <v>4616.4235824333464</v>
      </c>
    </row>
    <row r="2019" spans="1:10" x14ac:dyDescent="0.25">
      <c r="A2019">
        <v>2002</v>
      </c>
      <c r="B2019" s="100">
        <v>89.262508725130473</v>
      </c>
      <c r="C2019" s="100">
        <v>97.926340702936358</v>
      </c>
      <c r="D2019" s="100">
        <v>92.716679354377433</v>
      </c>
      <c r="E2019" s="100">
        <v>92.547866708490503</v>
      </c>
      <c r="F2019" s="100">
        <v>960.73781077896706</v>
      </c>
      <c r="G2019" s="100">
        <v>425.32320553863912</v>
      </c>
      <c r="H2019" s="100">
        <v>198.80150221834469</v>
      </c>
      <c r="I2019" s="100">
        <v>832.77294621072429</v>
      </c>
      <c r="J2019" s="100">
        <v>2417.6354647466751</v>
      </c>
    </row>
    <row r="2020" spans="1:10" x14ac:dyDescent="0.25">
      <c r="A2020">
        <v>2003</v>
      </c>
      <c r="B2020" s="100">
        <v>89.726572883538438</v>
      </c>
      <c r="C2020" s="100">
        <v>98.677309358375325</v>
      </c>
      <c r="D2020" s="100">
        <v>95.160994314727617</v>
      </c>
      <c r="E2020" s="100">
        <v>94.980962244782788</v>
      </c>
      <c r="F2020" s="100">
        <v>-570.67391196731592</v>
      </c>
      <c r="G2020" s="100">
        <v>-701.12977761981199</v>
      </c>
      <c r="H2020" s="100">
        <v>-4689.8284184820222</v>
      </c>
      <c r="I2020" s="100">
        <v>-1600.3225900815607</v>
      </c>
      <c r="J2020" s="100">
        <v>-7561.954698150711</v>
      </c>
    </row>
    <row r="2021" spans="1:10" x14ac:dyDescent="0.25">
      <c r="A2021">
        <v>2004</v>
      </c>
      <c r="B2021" s="100">
        <v>90.079548546633802</v>
      </c>
      <c r="C2021" s="100">
        <v>97.686544069832379</v>
      </c>
      <c r="D2021" s="100">
        <v>89.856137102489697</v>
      </c>
      <c r="E2021" s="100">
        <v>93.591325018986396</v>
      </c>
      <c r="F2021" s="100">
        <v>-1735.4936001820179</v>
      </c>
      <c r="G2021" s="100">
        <v>785.01815519460649</v>
      </c>
      <c r="H2021" s="100">
        <v>5919.886005993817</v>
      </c>
      <c r="I2021" s="100">
        <v>-210.68536428516893</v>
      </c>
      <c r="J2021" s="100">
        <v>4758.725196721236</v>
      </c>
    </row>
    <row r="2022" spans="1:10" x14ac:dyDescent="0.25">
      <c r="A2022">
        <v>2005</v>
      </c>
      <c r="B2022" s="100">
        <v>88.794099930414134</v>
      </c>
      <c r="C2022" s="100">
        <v>98.317062118484799</v>
      </c>
      <c r="D2022" s="100">
        <v>94.794210553409798</v>
      </c>
      <c r="E2022" s="100">
        <v>96.026809487458777</v>
      </c>
      <c r="F2022" s="100">
        <v>2506.4868333428863</v>
      </c>
      <c r="G2022" s="100">
        <v>-160.75891778402251</v>
      </c>
      <c r="H2022" s="100">
        <v>-3956.2608958463843</v>
      </c>
      <c r="I2022" s="100">
        <v>-2646.1698327575505</v>
      </c>
      <c r="J2022" s="100">
        <v>-4256.7028130450708</v>
      </c>
    </row>
    <row r="2023" spans="1:10" x14ac:dyDescent="0.25">
      <c r="A2023">
        <v>2006</v>
      </c>
      <c r="B2023" s="100">
        <v>90.905024635650832</v>
      </c>
      <c r="C2023" s="100">
        <v>98.140814506607327</v>
      </c>
      <c r="D2023" s="100">
        <v>91.608523928277734</v>
      </c>
      <c r="E2023" s="100">
        <v>93.75548582436582</v>
      </c>
      <c r="F2023" s="100">
        <v>-4459.5646939382177</v>
      </c>
      <c r="G2023" s="100">
        <v>103.61250003218458</v>
      </c>
      <c r="H2023" s="100">
        <v>2415.1123544177435</v>
      </c>
      <c r="I2023" s="100">
        <v>-374.84616966459328</v>
      </c>
      <c r="J2023" s="100">
        <v>-2315.6860091528829</v>
      </c>
    </row>
    <row r="2024" spans="1:10" x14ac:dyDescent="0.25">
      <c r="A2024">
        <v>2007</v>
      </c>
      <c r="B2024" s="100">
        <v>90.320894891019137</v>
      </c>
      <c r="C2024" s="100">
        <v>97.037088607150864</v>
      </c>
      <c r="D2024" s="100">
        <v>92.373891243959605</v>
      </c>
      <c r="E2024" s="100">
        <v>94.986154949088544</v>
      </c>
      <c r="F2024" s="100">
        <v>-2531.9365366536217</v>
      </c>
      <c r="G2024" s="100">
        <v>1759.2013492168803</v>
      </c>
      <c r="H2024" s="100">
        <v>884.37772305400131</v>
      </c>
      <c r="I2024" s="100">
        <v>-1605.5152943873168</v>
      </c>
      <c r="J2024" s="100">
        <v>-1493.8727587700569</v>
      </c>
    </row>
    <row r="2025" spans="1:10" x14ac:dyDescent="0.25">
      <c r="A2025">
        <v>2008</v>
      </c>
      <c r="B2025" s="100">
        <v>89.777878356193199</v>
      </c>
      <c r="C2025" s="100">
        <v>97.958884357162759</v>
      </c>
      <c r="D2025" s="100">
        <v>95.357397411914235</v>
      </c>
      <c r="E2025" s="100">
        <v>92.569887974583352</v>
      </c>
      <c r="F2025" s="100">
        <v>-739.98197172802656</v>
      </c>
      <c r="G2025" s="100">
        <v>376.50772419903689</v>
      </c>
      <c r="H2025" s="100">
        <v>-5082.6346128552586</v>
      </c>
      <c r="I2025" s="100">
        <v>810.75168011787468</v>
      </c>
      <c r="J2025" s="100">
        <v>-4635.3571802663737</v>
      </c>
    </row>
    <row r="2026" spans="1:10" x14ac:dyDescent="0.25">
      <c r="A2026">
        <v>2009</v>
      </c>
      <c r="B2026" s="100">
        <v>89.359571043457791</v>
      </c>
      <c r="C2026" s="100">
        <v>99.766067333802326</v>
      </c>
      <c r="D2026" s="100">
        <v>92.568192539460938</v>
      </c>
      <c r="E2026" s="100">
        <v>92.188923606753093</v>
      </c>
      <c r="F2026" s="100">
        <v>640.4321602988191</v>
      </c>
      <c r="G2026" s="100">
        <v>-2334.266740760313</v>
      </c>
      <c r="H2026" s="100">
        <v>495.77513205133528</v>
      </c>
      <c r="I2026" s="100">
        <v>1191.716047948134</v>
      </c>
      <c r="J2026" s="100">
        <v>-6.3434004620246469</v>
      </c>
    </row>
    <row r="2027" spans="1:10" x14ac:dyDescent="0.25">
      <c r="A2027">
        <v>2010</v>
      </c>
      <c r="B2027" s="100">
        <v>89.040929030312725</v>
      </c>
      <c r="C2027" s="100">
        <v>98.565147622406769</v>
      </c>
      <c r="D2027" s="100">
        <v>91.321241235104708</v>
      </c>
      <c r="E2027" s="100">
        <v>92.547144704291085</v>
      </c>
      <c r="F2027" s="100">
        <v>1691.9508036775369</v>
      </c>
      <c r="G2027" s="100">
        <v>-532.88717366697824</v>
      </c>
      <c r="H2027" s="100">
        <v>2989.6777407637956</v>
      </c>
      <c r="I2027" s="100">
        <v>833.49495041014166</v>
      </c>
      <c r="J2027" s="100">
        <v>4982.2363211844959</v>
      </c>
    </row>
    <row r="2028" spans="1:10" x14ac:dyDescent="0.25">
      <c r="A2028">
        <v>2011</v>
      </c>
      <c r="B2028" s="100">
        <v>90.091738932720091</v>
      </c>
      <c r="C2028" s="100">
        <v>98.803852312581782</v>
      </c>
      <c r="D2028" s="100">
        <v>93.130817439717063</v>
      </c>
      <c r="E2028" s="100">
        <v>95.045585393980332</v>
      </c>
      <c r="F2028" s="100">
        <v>-1775.7218742667703</v>
      </c>
      <c r="G2028" s="100">
        <v>-890.94420892949699</v>
      </c>
      <c r="H2028" s="100">
        <v>-629.47466846091515</v>
      </c>
      <c r="I2028" s="100">
        <v>-1664.9457392791051</v>
      </c>
      <c r="J2028" s="100">
        <v>-4961.0864909362881</v>
      </c>
    </row>
    <row r="2029" spans="1:10" x14ac:dyDescent="0.25">
      <c r="A2029">
        <v>2012</v>
      </c>
      <c r="B2029" s="100">
        <v>89.905071164956709</v>
      </c>
      <c r="C2029" s="100">
        <v>96.835387603906526</v>
      </c>
      <c r="D2029" s="100">
        <v>92.608273318627909</v>
      </c>
      <c r="E2029" s="100">
        <v>92.785242087683983</v>
      </c>
      <c r="F2029" s="100">
        <v>-1159.7182406476109</v>
      </c>
      <c r="G2029" s="100">
        <v>2061.7528540833873</v>
      </c>
      <c r="H2029" s="100">
        <v>415.61357371739405</v>
      </c>
      <c r="I2029" s="100">
        <v>595.397567017244</v>
      </c>
      <c r="J2029" s="100">
        <v>1913.0457541704145</v>
      </c>
    </row>
    <row r="2030" spans="1:10" x14ac:dyDescent="0.25">
      <c r="A2030">
        <v>2013</v>
      </c>
      <c r="B2030" s="100">
        <v>88.725594362501269</v>
      </c>
      <c r="C2030" s="100">
        <v>96.676877882866265</v>
      </c>
      <c r="D2030" s="100">
        <v>92.146998640558166</v>
      </c>
      <c r="E2030" s="100">
        <v>92.065299043313331</v>
      </c>
      <c r="F2030" s="100">
        <v>2732.5552074553416</v>
      </c>
      <c r="G2030" s="100">
        <v>2299.5174356437788</v>
      </c>
      <c r="H2030" s="100">
        <v>1338.1629298568782</v>
      </c>
      <c r="I2030" s="100">
        <v>1315.3406113878959</v>
      </c>
      <c r="J2030" s="100">
        <v>7685.5761843438941</v>
      </c>
    </row>
    <row r="2031" spans="1:10" x14ac:dyDescent="0.25">
      <c r="A2031">
        <v>2014</v>
      </c>
      <c r="B2031" s="100">
        <v>90.344861186439786</v>
      </c>
      <c r="C2031" s="100">
        <v>98.185665426493287</v>
      </c>
      <c r="D2031" s="100">
        <v>92.779612970058878</v>
      </c>
      <c r="E2031" s="100">
        <v>93.70206486953191</v>
      </c>
      <c r="F2031" s="100">
        <v>-2611.0253115417649</v>
      </c>
      <c r="G2031" s="100">
        <v>36.336120203245059</v>
      </c>
      <c r="H2031" s="100">
        <v>72.934270855455452</v>
      </c>
      <c r="I2031" s="100">
        <v>-321.42521483068265</v>
      </c>
      <c r="J2031" s="100">
        <v>-2823.1801353137471</v>
      </c>
    </row>
    <row r="2032" spans="1:10" x14ac:dyDescent="0.25">
      <c r="A2032">
        <v>2015</v>
      </c>
      <c r="B2032" s="100">
        <v>89.40827406593732</v>
      </c>
      <c r="C2032" s="100">
        <v>98.991464854885265</v>
      </c>
      <c r="D2032" s="100">
        <v>91.937133574221164</v>
      </c>
      <c r="E2032" s="100">
        <v>95.323546557575938</v>
      </c>
      <c r="F2032" s="100">
        <v>479.71218611637312</v>
      </c>
      <c r="G2032" s="100">
        <v>-1172.3630223847224</v>
      </c>
      <c r="H2032" s="100">
        <v>1757.8930625308828</v>
      </c>
      <c r="I2032" s="100">
        <v>-1942.9069028747108</v>
      </c>
      <c r="J2032" s="100">
        <v>-877.66467661217712</v>
      </c>
    </row>
    <row r="2033" spans="1:10" x14ac:dyDescent="0.25">
      <c r="A2033">
        <v>2016</v>
      </c>
      <c r="B2033" s="100">
        <v>89.338109859262531</v>
      </c>
      <c r="C2033" s="100">
        <v>99.167821685909857</v>
      </c>
      <c r="D2033" s="100">
        <v>93.95516230228813</v>
      </c>
      <c r="E2033" s="100">
        <v>91.814659470067525</v>
      </c>
      <c r="F2033" s="100">
        <v>711.25406814317807</v>
      </c>
      <c r="G2033" s="100">
        <v>-1436.8982689216095</v>
      </c>
      <c r="H2033" s="100">
        <v>-2278.1643936030491</v>
      </c>
      <c r="I2033" s="100">
        <v>1565.9801846337018</v>
      </c>
      <c r="J2033" s="100">
        <v>-1437.8284097477786</v>
      </c>
    </row>
    <row r="2034" spans="1:10" x14ac:dyDescent="0.25">
      <c r="A2034">
        <v>2017</v>
      </c>
      <c r="B2034" s="100">
        <v>90.072071459251376</v>
      </c>
      <c r="C2034" s="100">
        <v>97.880466156277109</v>
      </c>
      <c r="D2034" s="100">
        <v>93.948543364844568</v>
      </c>
      <c r="E2034" s="100">
        <v>91.505485611005099</v>
      </c>
      <c r="F2034" s="100">
        <v>-1710.8192118200109</v>
      </c>
      <c r="G2034" s="100">
        <v>494.13502552751254</v>
      </c>
      <c r="H2034" s="100">
        <v>-2264.9265187159244</v>
      </c>
      <c r="I2034" s="100">
        <v>1875.1540436961277</v>
      </c>
      <c r="J2034" s="100">
        <v>-1606.4566613122952</v>
      </c>
    </row>
    <row r="2035" spans="1:10" x14ac:dyDescent="0.25">
      <c r="A2035">
        <v>2018</v>
      </c>
      <c r="B2035" s="100">
        <v>88.798992724543098</v>
      </c>
      <c r="C2035" s="100">
        <v>97.070330399622932</v>
      </c>
      <c r="D2035" s="100">
        <v>94.090538100280199</v>
      </c>
      <c r="E2035" s="100">
        <v>92.799958434362807</v>
      </c>
      <c r="F2035" s="100">
        <v>2490.3406127173071</v>
      </c>
      <c r="G2035" s="100">
        <v>1709.3386605087771</v>
      </c>
      <c r="H2035" s="100">
        <v>-2548.9159895871862</v>
      </c>
      <c r="I2035" s="100">
        <v>580.68122033841973</v>
      </c>
      <c r="J2035" s="100">
        <v>2231.4445039773173</v>
      </c>
    </row>
    <row r="2036" spans="1:10" x14ac:dyDescent="0.25">
      <c r="A2036">
        <v>2019</v>
      </c>
      <c r="B2036" s="100">
        <v>88.816935719114895</v>
      </c>
      <c r="C2036" s="100">
        <v>97.52328821482007</v>
      </c>
      <c r="D2036" s="100">
        <v>93.226919538786092</v>
      </c>
      <c r="E2036" s="100">
        <v>94.413421355506458</v>
      </c>
      <c r="F2036" s="100">
        <v>2431.1287306303766</v>
      </c>
      <c r="G2036" s="100">
        <v>1029.9019377130705</v>
      </c>
      <c r="H2036" s="100">
        <v>-821.67886659897249</v>
      </c>
      <c r="I2036" s="100">
        <v>-1032.7817008052307</v>
      </c>
      <c r="J2036" s="100">
        <v>1606.5701009392442</v>
      </c>
    </row>
    <row r="2037" spans="1:10" x14ac:dyDescent="0.25">
      <c r="A2037">
        <v>2020</v>
      </c>
      <c r="B2037" s="100">
        <v>89.95988333719859</v>
      </c>
      <c r="C2037" s="100">
        <v>97.850462511293784</v>
      </c>
      <c r="D2037" s="100">
        <v>93.160266033307011</v>
      </c>
      <c r="E2037" s="100">
        <v>89.69320307469107</v>
      </c>
      <c r="F2037" s="100">
        <v>-1340.5984090458192</v>
      </c>
      <c r="G2037" s="100">
        <v>539.14049300249894</v>
      </c>
      <c r="H2037" s="100">
        <v>-688.37185564080983</v>
      </c>
      <c r="I2037" s="100">
        <v>3687.4365800101573</v>
      </c>
      <c r="J2037" s="100">
        <v>2197.606808326027</v>
      </c>
    </row>
    <row r="2038" spans="1:10" x14ac:dyDescent="0.25">
      <c r="A2038">
        <v>2021</v>
      </c>
      <c r="B2038" s="100">
        <v>90.073753804691776</v>
      </c>
      <c r="C2038" s="100">
        <v>99.820947580139105</v>
      </c>
      <c r="D2038" s="100">
        <v>93.504129539410343</v>
      </c>
      <c r="E2038" s="100">
        <v>93.165159901222935</v>
      </c>
      <c r="F2038" s="100">
        <v>-1716.3709517733323</v>
      </c>
      <c r="G2038" s="100">
        <v>-2416.5871102654819</v>
      </c>
      <c r="H2038" s="100">
        <v>-1376.0988678474746</v>
      </c>
      <c r="I2038" s="100">
        <v>215.47975347829151</v>
      </c>
      <c r="J2038" s="100">
        <v>-5293.5771764079964</v>
      </c>
    </row>
    <row r="2039" spans="1:10" x14ac:dyDescent="0.25">
      <c r="A2039">
        <v>2022</v>
      </c>
      <c r="B2039" s="100">
        <v>89.125320223178619</v>
      </c>
      <c r="C2039" s="100">
        <v>97.235482905686183</v>
      </c>
      <c r="D2039" s="100">
        <v>92.281651995760839</v>
      </c>
      <c r="E2039" s="100">
        <v>91.409832392687534</v>
      </c>
      <c r="F2039" s="100">
        <v>1413.4598672200866</v>
      </c>
      <c r="G2039" s="100">
        <v>1461.6099014139011</v>
      </c>
      <c r="H2039" s="100">
        <v>1068.8562194515328</v>
      </c>
      <c r="I2039" s="100">
        <v>1970.8072620136932</v>
      </c>
      <c r="J2039" s="100">
        <v>5914.7332500992143</v>
      </c>
    </row>
    <row r="2040" spans="1:10" x14ac:dyDescent="0.25">
      <c r="A2040">
        <v>2023</v>
      </c>
      <c r="B2040" s="100">
        <v>89.75232915197229</v>
      </c>
      <c r="C2040" s="100">
        <v>98.995883656690665</v>
      </c>
      <c r="D2040" s="100">
        <v>91.833973367961832</v>
      </c>
      <c r="E2040" s="100">
        <v>94.794579221476496</v>
      </c>
      <c r="F2040" s="100">
        <v>-655.66959779902868</v>
      </c>
      <c r="G2040" s="100">
        <v>-1178.9912250928226</v>
      </c>
      <c r="H2040" s="100">
        <v>1964.2134750495472</v>
      </c>
      <c r="I2040" s="100">
        <v>-1413.9395667752694</v>
      </c>
      <c r="J2040" s="100">
        <v>-1284.3869146175734</v>
      </c>
    </row>
    <row r="2041" spans="1:10" x14ac:dyDescent="0.25">
      <c r="A2041">
        <v>2024</v>
      </c>
      <c r="B2041" s="100">
        <v>90.363863477445179</v>
      </c>
      <c r="C2041" s="100">
        <v>98.865178458448611</v>
      </c>
      <c r="D2041" s="100">
        <v>93.436919974531804</v>
      </c>
      <c r="E2041" s="100">
        <v>95.582627507141211</v>
      </c>
      <c r="F2041" s="100">
        <v>-2673.7328718595604</v>
      </c>
      <c r="G2041" s="100">
        <v>-982.93342772974052</v>
      </c>
      <c r="H2041" s="100">
        <v>-1241.6797380903972</v>
      </c>
      <c r="I2041" s="100">
        <v>-2201.9878524399842</v>
      </c>
      <c r="J2041" s="100">
        <v>-7100.3338901196821</v>
      </c>
    </row>
    <row r="2042" spans="1:10" x14ac:dyDescent="0.25">
      <c r="A2042">
        <v>2025</v>
      </c>
      <c r="B2042" s="100">
        <v>89.261019920194812</v>
      </c>
      <c r="C2042" s="100">
        <v>97.960188317003258</v>
      </c>
      <c r="D2042" s="100">
        <v>90.909556166653402</v>
      </c>
      <c r="E2042" s="100">
        <v>93.553252109979439</v>
      </c>
      <c r="F2042" s="100">
        <v>965.65086706664965</v>
      </c>
      <c r="G2042" s="100">
        <v>374.55178443828885</v>
      </c>
      <c r="H2042" s="100">
        <v>3813.0478776664063</v>
      </c>
      <c r="I2042" s="100">
        <v>-172.61245527821245</v>
      </c>
      <c r="J2042" s="100">
        <v>4980.638073893133</v>
      </c>
    </row>
    <row r="2043" spans="1:10" x14ac:dyDescent="0.25">
      <c r="A2043">
        <v>2026</v>
      </c>
      <c r="B2043" s="100">
        <v>89.458184216349267</v>
      </c>
      <c r="C2043" s="100">
        <v>97.823693636259407</v>
      </c>
      <c r="D2043" s="100">
        <v>94.439613995629998</v>
      </c>
      <c r="E2043" s="100">
        <v>94.67291815332149</v>
      </c>
      <c r="F2043" s="100">
        <v>315.00868975694942</v>
      </c>
      <c r="G2043" s="100">
        <v>579.29380555406601</v>
      </c>
      <c r="H2043" s="100">
        <v>-3247.067780286784</v>
      </c>
      <c r="I2043" s="100">
        <v>-1292.2784986202628</v>
      </c>
      <c r="J2043" s="100">
        <v>-3645.0437835960315</v>
      </c>
    </row>
    <row r="2044" spans="1:10" x14ac:dyDescent="0.25">
      <c r="A2044">
        <v>2027</v>
      </c>
      <c r="B2044" s="100">
        <v>89.847707891897841</v>
      </c>
      <c r="C2044" s="100">
        <v>98.902338783642762</v>
      </c>
      <c r="D2044" s="100">
        <v>93.175475623756881</v>
      </c>
      <c r="E2044" s="100">
        <v>91.00983385887146</v>
      </c>
      <c r="F2044" s="100">
        <v>-970.41943955334489</v>
      </c>
      <c r="G2044" s="100">
        <v>-1038.6739155209668</v>
      </c>
      <c r="H2044" s="100">
        <v>-718.79103654055143</v>
      </c>
      <c r="I2044" s="100">
        <v>2370.8057958297672</v>
      </c>
      <c r="J2044" s="100">
        <v>-357.07859578509579</v>
      </c>
    </row>
    <row r="2045" spans="1:10" x14ac:dyDescent="0.25">
      <c r="A2045">
        <v>2028</v>
      </c>
      <c r="B2045" s="100">
        <v>89.569327446813872</v>
      </c>
      <c r="C2045" s="100">
        <v>99.496319388795499</v>
      </c>
      <c r="D2045" s="100">
        <v>93.554864118730379</v>
      </c>
      <c r="E2045" s="100">
        <v>93.454919964667639</v>
      </c>
      <c r="F2045" s="100">
        <v>-51.763970776249835</v>
      </c>
      <c r="G2045" s="100">
        <v>-1929.6448232500722</v>
      </c>
      <c r="H2045" s="100">
        <v>-1477.5680264875461</v>
      </c>
      <c r="I2045" s="100">
        <v>-74.280309966411551</v>
      </c>
      <c r="J2045" s="100">
        <v>-3533.2571304802796</v>
      </c>
    </row>
    <row r="2046" spans="1:10" x14ac:dyDescent="0.25">
      <c r="A2046">
        <v>2029</v>
      </c>
      <c r="B2046" s="100">
        <v>89.560100148240153</v>
      </c>
      <c r="C2046" s="100">
        <v>96.545043442887447</v>
      </c>
      <c r="D2046" s="100">
        <v>91.187209766162411</v>
      </c>
      <c r="E2046" s="100">
        <v>93.975859621988846</v>
      </c>
      <c r="F2046" s="100">
        <v>-21.313885482975081</v>
      </c>
      <c r="G2046" s="100">
        <v>2497.2690956120045</v>
      </c>
      <c r="H2046" s="100">
        <v>3257.7406786483889</v>
      </c>
      <c r="I2046" s="100">
        <v>-595.21996728761906</v>
      </c>
      <c r="J2046" s="100">
        <v>5138.4759214897986</v>
      </c>
    </row>
    <row r="2047" spans="1:10" x14ac:dyDescent="0.25">
      <c r="A2047">
        <v>2030</v>
      </c>
      <c r="B2047" s="100">
        <v>90.756702411342701</v>
      </c>
      <c r="C2047" s="100">
        <v>99.633667718963224</v>
      </c>
      <c r="D2047" s="100">
        <v>91.016268299639819</v>
      </c>
      <c r="E2047" s="100">
        <v>95.948767678015116</v>
      </c>
      <c r="F2047" s="100">
        <v>-3970.1013537213839</v>
      </c>
      <c r="G2047" s="100">
        <v>-2135.6673185016602</v>
      </c>
      <c r="H2047" s="100">
        <v>3599.6236116935734</v>
      </c>
      <c r="I2047" s="100">
        <v>-2568.1280233138891</v>
      </c>
      <c r="J2047" s="100">
        <v>-5074.2730838433599</v>
      </c>
    </row>
    <row r="2048" spans="1:10" x14ac:dyDescent="0.25">
      <c r="A2048">
        <v>2031</v>
      </c>
      <c r="B2048" s="100">
        <v>89.65676513968063</v>
      </c>
      <c r="C2048" s="100">
        <v>97.613190547614323</v>
      </c>
      <c r="D2048" s="100">
        <v>92.061750990213312</v>
      </c>
      <c r="E2048" s="100">
        <v>94.328468645828096</v>
      </c>
      <c r="F2048" s="100">
        <v>-340.30835723654889</v>
      </c>
      <c r="G2048" s="100">
        <v>895.04843852169097</v>
      </c>
      <c r="H2048" s="100">
        <v>1508.6582305465868</v>
      </c>
      <c r="I2048" s="100">
        <v>-947.82899112686891</v>
      </c>
      <c r="J2048" s="100">
        <v>1115.5693207048598</v>
      </c>
    </row>
    <row r="2049" spans="1:10" x14ac:dyDescent="0.25">
      <c r="A2049">
        <v>2032</v>
      </c>
      <c r="B2049" s="100">
        <v>89.871108054100276</v>
      </c>
      <c r="C2049" s="100">
        <v>98.744215713665923</v>
      </c>
      <c r="D2049" s="100">
        <v>94.086875365424447</v>
      </c>
      <c r="E2049" s="100">
        <v>93.815079873980153</v>
      </c>
      <c r="F2049" s="100">
        <v>-1047.6399748213807</v>
      </c>
      <c r="G2049" s="100">
        <v>-801.48931055570927</v>
      </c>
      <c r="H2049" s="100">
        <v>-2541.5905198756832</v>
      </c>
      <c r="I2049" s="100">
        <v>-434.44021927892607</v>
      </c>
      <c r="J2049" s="100">
        <v>-4825.1600245316986</v>
      </c>
    </row>
    <row r="2050" spans="1:10" x14ac:dyDescent="0.25">
      <c r="A2050">
        <v>2033</v>
      </c>
      <c r="B2050" s="100">
        <v>89.835906900201735</v>
      </c>
      <c r="C2050" s="100">
        <v>97.451055341004661</v>
      </c>
      <c r="D2050" s="100">
        <v>91.678567297853945</v>
      </c>
      <c r="E2050" s="100">
        <v>93.293884535617948</v>
      </c>
      <c r="F2050" s="100">
        <v>-931.47616695619604</v>
      </c>
      <c r="G2050" s="100">
        <v>1138.2512484361839</v>
      </c>
      <c r="H2050" s="100">
        <v>2275.025615265321</v>
      </c>
      <c r="I2050" s="100">
        <v>86.755119083278487</v>
      </c>
      <c r="J2050" s="100">
        <v>2568.5558158285876</v>
      </c>
    </row>
    <row r="2051" spans="1:10" x14ac:dyDescent="0.25">
      <c r="A2051">
        <v>2034</v>
      </c>
      <c r="B2051" s="100">
        <v>90.09611027105791</v>
      </c>
      <c r="C2051" s="100">
        <v>99.383308852605424</v>
      </c>
      <c r="D2051" s="100">
        <v>92.789742346038594</v>
      </c>
      <c r="E2051" s="100">
        <v>92.451544454486651</v>
      </c>
      <c r="F2051" s="100">
        <v>-1790.147290781573</v>
      </c>
      <c r="G2051" s="100">
        <v>-1760.1290189649603</v>
      </c>
      <c r="H2051" s="100">
        <v>52.675518896023732</v>
      </c>
      <c r="I2051" s="100">
        <v>929.09520021457581</v>
      </c>
      <c r="J2051" s="100">
        <v>-2568.5055906359335</v>
      </c>
    </row>
    <row r="2052" spans="1:10" x14ac:dyDescent="0.25">
      <c r="A2052">
        <v>2035</v>
      </c>
      <c r="B2052" s="100">
        <v>89.894674441123342</v>
      </c>
      <c r="C2052" s="100">
        <v>96.429138782655144</v>
      </c>
      <c r="D2052" s="100">
        <v>92.727182389541099</v>
      </c>
      <c r="E2052" s="100">
        <v>94.876926625165041</v>
      </c>
      <c r="F2052" s="100">
        <v>-1125.4090519975009</v>
      </c>
      <c r="G2052" s="100">
        <v>2671.1260859604595</v>
      </c>
      <c r="H2052" s="100">
        <v>177.79543189101332</v>
      </c>
      <c r="I2052" s="100">
        <v>-1496.2869704638138</v>
      </c>
      <c r="J2052" s="100">
        <v>227.22549539015813</v>
      </c>
    </row>
    <row r="2053" spans="1:10" x14ac:dyDescent="0.25">
      <c r="A2053">
        <v>2036</v>
      </c>
      <c r="B2053" s="100">
        <v>89.89402793494331</v>
      </c>
      <c r="C2053" s="100">
        <v>97.234091174914852</v>
      </c>
      <c r="D2053" s="100">
        <v>93.10052507678725</v>
      </c>
      <c r="E2053" s="100">
        <v>92.671581744093515</v>
      </c>
      <c r="F2053" s="100">
        <v>-1123.275581603393</v>
      </c>
      <c r="G2053" s="100">
        <v>1463.6974975708981</v>
      </c>
      <c r="H2053" s="100">
        <v>-568.88994260128811</v>
      </c>
      <c r="I2053" s="100">
        <v>709.05791060771151</v>
      </c>
      <c r="J2053" s="100">
        <v>480.58988397392852</v>
      </c>
    </row>
    <row r="2054" spans="1:10" x14ac:dyDescent="0.25">
      <c r="A2054">
        <v>2037</v>
      </c>
      <c r="B2054" s="100">
        <v>89.948552875418557</v>
      </c>
      <c r="C2054" s="100">
        <v>97.978327911297413</v>
      </c>
      <c r="D2054" s="100">
        <v>92.528917582759888</v>
      </c>
      <c r="E2054" s="100">
        <v>93.777381926957844</v>
      </c>
      <c r="F2054" s="100">
        <v>-1303.2078851717074</v>
      </c>
      <c r="G2054" s="100">
        <v>347.34239299705649</v>
      </c>
      <c r="H2054" s="100">
        <v>574.32504545343477</v>
      </c>
      <c r="I2054" s="100">
        <v>-396.74227225661696</v>
      </c>
      <c r="J2054" s="100">
        <v>-778.28271897783304</v>
      </c>
    </row>
    <row r="2055" spans="1:10" x14ac:dyDescent="0.25">
      <c r="A2055">
        <v>2038</v>
      </c>
      <c r="B2055" s="100">
        <v>89.357348077460301</v>
      </c>
      <c r="C2055" s="100">
        <v>97.379262082725447</v>
      </c>
      <c r="D2055" s="100">
        <v>93.28469772342838</v>
      </c>
      <c r="E2055" s="100">
        <v>92.810401764336575</v>
      </c>
      <c r="F2055" s="100">
        <v>647.76794809053513</v>
      </c>
      <c r="G2055" s="100">
        <v>1245.9411358550055</v>
      </c>
      <c r="H2055" s="100">
        <v>-937.23523588354851</v>
      </c>
      <c r="I2055" s="100">
        <v>570.23789036465189</v>
      </c>
      <c r="J2055" s="100">
        <v>1526.7117384266439</v>
      </c>
    </row>
    <row r="2056" spans="1:10" x14ac:dyDescent="0.25">
      <c r="A2056">
        <v>2039</v>
      </c>
      <c r="B2056" s="100">
        <v>89.740927489389847</v>
      </c>
      <c r="C2056" s="100">
        <v>98.362980745035813</v>
      </c>
      <c r="D2056" s="100">
        <v>92.600639139898746</v>
      </c>
      <c r="E2056" s="100">
        <v>94.165289098978604</v>
      </c>
      <c r="F2056" s="100">
        <v>-618.04411127696562</v>
      </c>
      <c r="G2056" s="100">
        <v>-229.63685761054364</v>
      </c>
      <c r="H2056" s="100">
        <v>430.88193117571905</v>
      </c>
      <c r="I2056" s="100">
        <v>-784.64944427737748</v>
      </c>
      <c r="J2056" s="100">
        <v>-1201.4484819891677</v>
      </c>
    </row>
    <row r="2057" spans="1:10" x14ac:dyDescent="0.25">
      <c r="A2057">
        <v>2040</v>
      </c>
      <c r="B2057" s="100">
        <v>89.086496426710355</v>
      </c>
      <c r="C2057" s="100">
        <v>98.302659348912712</v>
      </c>
      <c r="D2057" s="100">
        <v>91.594601137458056</v>
      </c>
      <c r="E2057" s="100">
        <v>94.833193927748994</v>
      </c>
      <c r="F2057" s="100">
        <v>1541.5783955653594</v>
      </c>
      <c r="G2057" s="100">
        <v>-139.15476342589272</v>
      </c>
      <c r="H2057" s="100">
        <v>2442.9579360570983</v>
      </c>
      <c r="I2057" s="100">
        <v>-1452.5542730477669</v>
      </c>
      <c r="J2057" s="100">
        <v>2392.8272951487984</v>
      </c>
    </row>
    <row r="2058" spans="1:10" x14ac:dyDescent="0.25">
      <c r="A2058">
        <v>2041</v>
      </c>
      <c r="B2058" s="100">
        <v>88.69396473406087</v>
      </c>
      <c r="C2058" s="100">
        <v>98.956573843286833</v>
      </c>
      <c r="D2058" s="100">
        <v>93.385242765237606</v>
      </c>
      <c r="E2058" s="100">
        <v>94.630005467019714</v>
      </c>
      <c r="F2058" s="100">
        <v>2836.9329813086579</v>
      </c>
      <c r="G2058" s="100">
        <v>-1120.0265049870736</v>
      </c>
      <c r="H2058" s="100">
        <v>-1138.3253195020018</v>
      </c>
      <c r="I2058" s="100">
        <v>-1249.3658123184873</v>
      </c>
      <c r="J2058" s="100">
        <v>-670.78465549890484</v>
      </c>
    </row>
    <row r="2059" spans="1:10" x14ac:dyDescent="0.25">
      <c r="A2059">
        <v>2042</v>
      </c>
      <c r="B2059" s="100">
        <v>90.139965480998626</v>
      </c>
      <c r="C2059" s="100">
        <v>98.267140397753238</v>
      </c>
      <c r="D2059" s="100">
        <v>91.725400693691938</v>
      </c>
      <c r="E2059" s="100">
        <v>93.372434208033624</v>
      </c>
      <c r="F2059" s="100">
        <v>-1934.8694835859362</v>
      </c>
      <c r="G2059" s="100">
        <v>-85.876336686681043</v>
      </c>
      <c r="H2059" s="100">
        <v>2181.3588235893349</v>
      </c>
      <c r="I2059" s="100">
        <v>8.2054466676027005</v>
      </c>
      <c r="J2059" s="100">
        <v>168.8184499843203</v>
      </c>
    </row>
    <row r="2060" spans="1:10" x14ac:dyDescent="0.25">
      <c r="A2060">
        <v>2043</v>
      </c>
      <c r="B2060" s="100">
        <v>90.736266581451005</v>
      </c>
      <c r="C2060" s="100">
        <v>98.251950314261691</v>
      </c>
      <c r="D2060" s="100">
        <v>89.765208001870477</v>
      </c>
      <c r="E2060" s="100">
        <v>91.669939280559433</v>
      </c>
      <c r="F2060" s="100">
        <v>-3902.663115078788</v>
      </c>
      <c r="G2060" s="100">
        <v>-63.09121144936114</v>
      </c>
      <c r="H2060" s="100">
        <v>6101.7442072322583</v>
      </c>
      <c r="I2060" s="100">
        <v>1710.7003741417941</v>
      </c>
      <c r="J2060" s="100">
        <v>3846.6902548459029</v>
      </c>
    </row>
    <row r="2061" spans="1:10" x14ac:dyDescent="0.25">
      <c r="A2061">
        <v>2044</v>
      </c>
      <c r="B2061" s="100">
        <v>89.566983791006649</v>
      </c>
      <c r="C2061" s="100">
        <v>98.662548732628792</v>
      </c>
      <c r="D2061" s="100">
        <v>90.987583436785656</v>
      </c>
      <c r="E2061" s="100">
        <v>94.044873083454306</v>
      </c>
      <c r="F2061" s="100">
        <v>-44.029906612412617</v>
      </c>
      <c r="G2061" s="100">
        <v>-678.98883900001294</v>
      </c>
      <c r="H2061" s="100">
        <v>3656.9933374019001</v>
      </c>
      <c r="I2061" s="100">
        <v>-664.23342875307867</v>
      </c>
      <c r="J2061" s="100">
        <v>2269.7411630363958</v>
      </c>
    </row>
    <row r="2062" spans="1:10" x14ac:dyDescent="0.25">
      <c r="A2062">
        <v>2045</v>
      </c>
      <c r="B2062" s="100">
        <v>90.574952388168853</v>
      </c>
      <c r="C2062" s="100">
        <v>98.239788431496663</v>
      </c>
      <c r="D2062" s="100">
        <v>93.423215425465742</v>
      </c>
      <c r="E2062" s="100">
        <v>93.073892602658049</v>
      </c>
      <c r="F2062" s="100">
        <v>-3370.326277247686</v>
      </c>
      <c r="G2062" s="100">
        <v>-44.848387301819059</v>
      </c>
      <c r="H2062" s="100">
        <v>-1214.2706399582721</v>
      </c>
      <c r="I2062" s="100">
        <v>306.74705204317831</v>
      </c>
      <c r="J2062" s="100">
        <v>-4322.6982524645991</v>
      </c>
    </row>
    <row r="2063" spans="1:10" x14ac:dyDescent="0.25">
      <c r="A2063">
        <v>2046</v>
      </c>
      <c r="B2063" s="100">
        <v>89.292037876046606</v>
      </c>
      <c r="C2063" s="100">
        <v>96.110706821390991</v>
      </c>
      <c r="D2063" s="100">
        <v>94.603843055415211</v>
      </c>
      <c r="E2063" s="100">
        <v>92.822103861898469</v>
      </c>
      <c r="F2063" s="100">
        <v>863.29161275572801</v>
      </c>
      <c r="G2063" s="100">
        <v>3148.7740278566889</v>
      </c>
      <c r="H2063" s="100">
        <v>-3575.5258998572117</v>
      </c>
      <c r="I2063" s="100">
        <v>558.53579280275767</v>
      </c>
      <c r="J2063" s="100">
        <v>995.07553355796313</v>
      </c>
    </row>
    <row r="2064" spans="1:10" x14ac:dyDescent="0.25">
      <c r="A2064">
        <v>2047</v>
      </c>
      <c r="B2064" s="100">
        <v>88.397377695879598</v>
      </c>
      <c r="C2064" s="100">
        <v>99.330887805964295</v>
      </c>
      <c r="D2064" s="100">
        <v>92.39144263411437</v>
      </c>
      <c r="E2064" s="100">
        <v>92.299175640723732</v>
      </c>
      <c r="F2064" s="100">
        <v>3815.6702073068559</v>
      </c>
      <c r="G2064" s="100">
        <v>-1681.4974490032669</v>
      </c>
      <c r="H2064" s="100">
        <v>849.27494274447213</v>
      </c>
      <c r="I2064" s="100">
        <v>1081.4640139774951</v>
      </c>
      <c r="J2064" s="100">
        <v>4064.9117150255565</v>
      </c>
    </row>
    <row r="2065" spans="1:10" x14ac:dyDescent="0.25">
      <c r="A2065">
        <v>2048</v>
      </c>
      <c r="B2065" s="100">
        <v>90.113165830172079</v>
      </c>
      <c r="C2065" s="100">
        <v>98.865596128159879</v>
      </c>
      <c r="D2065" s="100">
        <v>93.216615594586983</v>
      </c>
      <c r="E2065" s="100">
        <v>88.658910643763122</v>
      </c>
      <c r="F2065" s="100">
        <v>-1846.4306358583315</v>
      </c>
      <c r="G2065" s="100">
        <v>-983.55993229664307</v>
      </c>
      <c r="H2065" s="100">
        <v>-801.07097820075523</v>
      </c>
      <c r="I2065" s="100">
        <v>4721.7290109381056</v>
      </c>
      <c r="J2065" s="100">
        <v>1090.6674645823759</v>
      </c>
    </row>
    <row r="2066" spans="1:10" x14ac:dyDescent="0.25">
      <c r="A2066">
        <v>2049</v>
      </c>
      <c r="B2066" s="100">
        <v>89.67624879608222</v>
      </c>
      <c r="C2066" s="100">
        <v>97.766335868015247</v>
      </c>
      <c r="D2066" s="100">
        <v>89.380157445258405</v>
      </c>
      <c r="E2066" s="100">
        <v>92.904931317939258</v>
      </c>
      <c r="F2066" s="100">
        <v>-404.60442336179625</v>
      </c>
      <c r="G2066" s="100">
        <v>665.33045792030521</v>
      </c>
      <c r="H2066" s="100">
        <v>6871.8453204564012</v>
      </c>
      <c r="I2066" s="100">
        <v>475.70833676196855</v>
      </c>
      <c r="J2066" s="100">
        <v>7608.2796917768792</v>
      </c>
    </row>
    <row r="2067" spans="1:10" x14ac:dyDescent="0.25">
      <c r="A2067">
        <v>2050</v>
      </c>
      <c r="B2067" s="100">
        <v>88.32401138877475</v>
      </c>
      <c r="C2067" s="100">
        <v>100.19972829960513</v>
      </c>
      <c r="D2067" s="100">
        <v>91.867078635824427</v>
      </c>
      <c r="E2067" s="100">
        <v>96.614778224423716</v>
      </c>
      <c r="F2067" s="100">
        <v>4057.7790207528551</v>
      </c>
      <c r="G2067" s="100">
        <v>-2984.7581894645145</v>
      </c>
      <c r="H2067" s="100">
        <v>1898.0029393243569</v>
      </c>
      <c r="I2067" s="100">
        <v>-3234.1385697224896</v>
      </c>
      <c r="J2067" s="100">
        <v>-263.11479910979233</v>
      </c>
    </row>
    <row r="2068" spans="1:10" x14ac:dyDescent="0.25">
      <c r="A2068">
        <v>2051</v>
      </c>
      <c r="B2068" s="100">
        <v>89.063706645276483</v>
      </c>
      <c r="C2068" s="100">
        <v>96.89905002750686</v>
      </c>
      <c r="D2068" s="100">
        <v>92.429361093737299</v>
      </c>
      <c r="E2068" s="100">
        <v>93.071978656877107</v>
      </c>
      <c r="F2068" s="100">
        <v>1616.7846742971365</v>
      </c>
      <c r="G2068" s="100">
        <v>1966.2592186828861</v>
      </c>
      <c r="H2068" s="100">
        <v>773.43802349861335</v>
      </c>
      <c r="I2068" s="100">
        <v>308.66099782411993</v>
      </c>
      <c r="J2068" s="100">
        <v>4665.1429143027563</v>
      </c>
    </row>
    <row r="2069" spans="1:10" x14ac:dyDescent="0.25">
      <c r="A2069">
        <v>2052</v>
      </c>
      <c r="B2069" s="100">
        <v>90.662558731602857</v>
      </c>
      <c r="C2069" s="100">
        <v>98.11402961371472</v>
      </c>
      <c r="D2069" s="100">
        <v>92.29626484837928</v>
      </c>
      <c r="E2069" s="100">
        <v>94.109262227855865</v>
      </c>
      <c r="F2069" s="100">
        <v>-3659.4272105798991</v>
      </c>
      <c r="G2069" s="100">
        <v>143.78983937109524</v>
      </c>
      <c r="H2069" s="100">
        <v>1039.6305142146502</v>
      </c>
      <c r="I2069" s="100">
        <v>-728.62257315463808</v>
      </c>
      <c r="J2069" s="100">
        <v>-3204.6294301487915</v>
      </c>
    </row>
    <row r="2070" spans="1:10" x14ac:dyDescent="0.25">
      <c r="A2070">
        <v>2053</v>
      </c>
      <c r="B2070" s="100">
        <v>89.230420556637725</v>
      </c>
      <c r="C2070" s="100">
        <v>98.943354879898138</v>
      </c>
      <c r="D2070" s="100">
        <v>92.108268789762718</v>
      </c>
      <c r="E2070" s="100">
        <v>93.250772421298009</v>
      </c>
      <c r="F2070" s="100">
        <v>1066.6287668050372</v>
      </c>
      <c r="G2070" s="100">
        <v>-1100.1980599040307</v>
      </c>
      <c r="H2070" s="100">
        <v>1415.6226314477749</v>
      </c>
      <c r="I2070" s="100">
        <v>129.8672334032176</v>
      </c>
      <c r="J2070" s="100">
        <v>1511.920571751999</v>
      </c>
    </row>
    <row r="2071" spans="1:10" x14ac:dyDescent="0.25">
      <c r="A2071">
        <v>2054</v>
      </c>
      <c r="B2071" s="100">
        <v>89.60964226917821</v>
      </c>
      <c r="C2071" s="100">
        <v>98.057083563332398</v>
      </c>
      <c r="D2071" s="100">
        <v>92.786793853017429</v>
      </c>
      <c r="E2071" s="100">
        <v>93.94624439849926</v>
      </c>
      <c r="F2071" s="100">
        <v>-184.80288457856204</v>
      </c>
      <c r="G2071" s="100">
        <v>229.20891494457862</v>
      </c>
      <c r="H2071" s="100">
        <v>58.572504938354086</v>
      </c>
      <c r="I2071" s="100">
        <v>-565.60474379803338</v>
      </c>
      <c r="J2071" s="100">
        <v>-462.62620849366272</v>
      </c>
    </row>
    <row r="2072" spans="1:10" x14ac:dyDescent="0.25">
      <c r="A2072">
        <v>2055</v>
      </c>
      <c r="B2072" s="100">
        <v>90.055647296695284</v>
      </c>
      <c r="C2072" s="100">
        <v>97.790753751601386</v>
      </c>
      <c r="D2072" s="100">
        <v>93.385156071651295</v>
      </c>
      <c r="E2072" s="100">
        <v>94.030119904495493</v>
      </c>
      <c r="F2072" s="100">
        <v>-1656.6194753849074</v>
      </c>
      <c r="G2072" s="100">
        <v>628.70363254109657</v>
      </c>
      <c r="H2072" s="100">
        <v>-1138.1519323293787</v>
      </c>
      <c r="I2072" s="100">
        <v>-649.48024979426577</v>
      </c>
      <c r="J2072" s="100">
        <v>-2815.5480249674556</v>
      </c>
    </row>
    <row r="2073" spans="1:10" x14ac:dyDescent="0.25">
      <c r="A2073">
        <v>2056</v>
      </c>
      <c r="B2073" s="100">
        <v>90.272811699182427</v>
      </c>
      <c r="C2073" s="100">
        <v>98.449918673239992</v>
      </c>
      <c r="D2073" s="100">
        <v>90.48980505167728</v>
      </c>
      <c r="E2073" s="100">
        <v>94.323096705034246</v>
      </c>
      <c r="F2073" s="100">
        <v>-2373.2620035924783</v>
      </c>
      <c r="G2073" s="100">
        <v>-360.04374991681232</v>
      </c>
      <c r="H2073" s="100">
        <v>4652.550107618652</v>
      </c>
      <c r="I2073" s="100">
        <v>-942.45705033301874</v>
      </c>
      <c r="J2073" s="100">
        <v>976.78730377634247</v>
      </c>
    </row>
    <row r="2074" spans="1:10" x14ac:dyDescent="0.25">
      <c r="A2074">
        <v>2057</v>
      </c>
      <c r="B2074" s="100">
        <v>90.042942957580394</v>
      </c>
      <c r="C2074" s="100">
        <v>97.638906966398139</v>
      </c>
      <c r="D2074" s="100">
        <v>94.474633250609116</v>
      </c>
      <c r="E2074" s="100">
        <v>91.345704365415955</v>
      </c>
      <c r="F2074" s="100">
        <v>-1614.6951563057698</v>
      </c>
      <c r="G2074" s="100">
        <v>856.47381034596742</v>
      </c>
      <c r="H2074" s="100">
        <v>-3317.1062902450217</v>
      </c>
      <c r="I2074" s="100">
        <v>2034.9352892852721</v>
      </c>
      <c r="J2074" s="100">
        <v>-2040.392346919552</v>
      </c>
    </row>
    <row r="2075" spans="1:10" x14ac:dyDescent="0.25">
      <c r="A2075">
        <v>2058</v>
      </c>
      <c r="B2075" s="100">
        <v>89.920197464029371</v>
      </c>
      <c r="C2075" s="100">
        <v>97.921104168286504</v>
      </c>
      <c r="D2075" s="100">
        <v>95.050989450389963</v>
      </c>
      <c r="E2075" s="100">
        <v>91.024343479500146</v>
      </c>
      <c r="F2075" s="100">
        <v>-1209.6350275873961</v>
      </c>
      <c r="G2075" s="100">
        <v>433.17800751341906</v>
      </c>
      <c r="H2075" s="100">
        <v>-4469.8186898067152</v>
      </c>
      <c r="I2075" s="100">
        <v>2356.2961752010806</v>
      </c>
      <c r="J2075" s="100">
        <v>-2889.9795346796118</v>
      </c>
    </row>
    <row r="2076" spans="1:10" x14ac:dyDescent="0.25">
      <c r="A2076">
        <v>2059</v>
      </c>
      <c r="B2076" s="100">
        <v>89.403758801934615</v>
      </c>
      <c r="C2076" s="100">
        <v>98.186901533886996</v>
      </c>
      <c r="D2076" s="100">
        <v>94.138634169368288</v>
      </c>
      <c r="E2076" s="100">
        <v>93.224144077619826</v>
      </c>
      <c r="F2076" s="100">
        <v>494.61255732530134</v>
      </c>
      <c r="G2076" s="100">
        <v>34.481959112682148</v>
      </c>
      <c r="H2076" s="100">
        <v>-2645.1081277633648</v>
      </c>
      <c r="I2076" s="100">
        <v>156.49557708140094</v>
      </c>
      <c r="J2076" s="100">
        <v>-1959.5180342439803</v>
      </c>
    </row>
    <row r="2077" spans="1:10" x14ac:dyDescent="0.25">
      <c r="A2077">
        <v>2060</v>
      </c>
      <c r="B2077" s="100">
        <v>89.040370173025352</v>
      </c>
      <c r="C2077" s="100">
        <v>98.949697300852648</v>
      </c>
      <c r="D2077" s="100">
        <v>92.967069199776716</v>
      </c>
      <c r="E2077" s="100">
        <v>93.985935420796807</v>
      </c>
      <c r="F2077" s="100">
        <v>1693.7950327258691</v>
      </c>
      <c r="G2077" s="100">
        <v>-1109.7116913357966</v>
      </c>
      <c r="H2077" s="100">
        <v>-301.97818858022174</v>
      </c>
      <c r="I2077" s="100">
        <v>-605.29576609557978</v>
      </c>
      <c r="J2077" s="100">
        <v>-323.190613285729</v>
      </c>
    </row>
    <row r="2078" spans="1:10" x14ac:dyDescent="0.25">
      <c r="A2078">
        <v>2061</v>
      </c>
      <c r="B2078" s="100">
        <v>89.909129061092656</v>
      </c>
      <c r="C2078" s="100">
        <v>98.978261596485225</v>
      </c>
      <c r="D2078" s="100">
        <v>93.682758770408171</v>
      </c>
      <c r="E2078" s="100">
        <v>91.437278219849915</v>
      </c>
      <c r="F2078" s="100">
        <v>-1173.1092978962365</v>
      </c>
      <c r="G2078" s="100">
        <v>-1152.5581347846626</v>
      </c>
      <c r="H2078" s="100">
        <v>-1733.3573298431304</v>
      </c>
      <c r="I2078" s="100">
        <v>1943.3614348513117</v>
      </c>
      <c r="J2078" s="100">
        <v>-2115.6633276727171</v>
      </c>
    </row>
    <row r="2079" spans="1:10" x14ac:dyDescent="0.25">
      <c r="A2079">
        <v>2062</v>
      </c>
      <c r="B2079" s="100">
        <v>90.191598763779012</v>
      </c>
      <c r="C2079" s="100">
        <v>97.53256503299724</v>
      </c>
      <c r="D2079" s="100">
        <v>93.52233417823355</v>
      </c>
      <c r="E2079" s="100">
        <v>95.458687995635159</v>
      </c>
      <c r="F2079" s="100">
        <v>-2105.2593167612117</v>
      </c>
      <c r="G2079" s="100">
        <v>1015.9867104473151</v>
      </c>
      <c r="H2079" s="100">
        <v>-1412.5081454938879</v>
      </c>
      <c r="I2079" s="100">
        <v>-2078.0483409339326</v>
      </c>
      <c r="J2079" s="100">
        <v>-4579.8290927417165</v>
      </c>
    </row>
    <row r="2080" spans="1:10" x14ac:dyDescent="0.25">
      <c r="A2080">
        <v>2063</v>
      </c>
      <c r="B2080" s="100">
        <v>89.457783119290298</v>
      </c>
      <c r="C2080" s="100">
        <v>98.642075511502213</v>
      </c>
      <c r="D2080" s="100">
        <v>91.714671920392931</v>
      </c>
      <c r="E2080" s="100">
        <v>91.867138649780173</v>
      </c>
      <c r="F2080" s="100">
        <v>316.33231005154698</v>
      </c>
      <c r="G2080" s="100">
        <v>-648.27900731014415</v>
      </c>
      <c r="H2080" s="100">
        <v>2202.8163701873495</v>
      </c>
      <c r="I2080" s="100">
        <v>1513.5010049210537</v>
      </c>
      <c r="J2080" s="100">
        <v>3384.3706778498063</v>
      </c>
    </row>
    <row r="2081" spans="1:10" x14ac:dyDescent="0.25">
      <c r="A2081">
        <v>2064</v>
      </c>
      <c r="B2081" s="100">
        <v>90.075983191562685</v>
      </c>
      <c r="C2081" s="100">
        <v>97.265498460069026</v>
      </c>
      <c r="D2081" s="100">
        <v>90.851205219457313</v>
      </c>
      <c r="E2081" s="100">
        <v>91.428670663235181</v>
      </c>
      <c r="F2081" s="100">
        <v>-1723.7279284473302</v>
      </c>
      <c r="G2081" s="100">
        <v>1416.5865698396374</v>
      </c>
      <c r="H2081" s="100">
        <v>3929.7497720585852</v>
      </c>
      <c r="I2081" s="100">
        <v>1951.9689914660462</v>
      </c>
      <c r="J2081" s="100">
        <v>5574.5774049169386</v>
      </c>
    </row>
    <row r="2082" spans="1:10" x14ac:dyDescent="0.25">
      <c r="A2082">
        <v>2065</v>
      </c>
      <c r="B2082" s="100">
        <v>90.586963420099167</v>
      </c>
      <c r="C2082" s="100">
        <v>96.876335982447941</v>
      </c>
      <c r="D2082" s="100">
        <v>92.950283310927816</v>
      </c>
      <c r="E2082" s="100">
        <v>92.476049025061684</v>
      </c>
      <c r="F2082" s="100">
        <v>-3409.9626826177214</v>
      </c>
      <c r="G2082" s="100">
        <v>2000.3302862712644</v>
      </c>
      <c r="H2082" s="100">
        <v>-268.40641088242023</v>
      </c>
      <c r="I2082" s="100">
        <v>904.59062963954295</v>
      </c>
      <c r="J2082" s="100">
        <v>-773.44817758933425</v>
      </c>
    </row>
    <row r="2083" spans="1:10" x14ac:dyDescent="0.25">
      <c r="A2083">
        <v>2066</v>
      </c>
      <c r="B2083" s="100">
        <v>90.228612762875088</v>
      </c>
      <c r="C2083" s="100">
        <v>96.658672086624748</v>
      </c>
      <c r="D2083" s="100">
        <v>92.78438593703936</v>
      </c>
      <c r="E2083" s="100">
        <v>93.354879269996616</v>
      </c>
      <c r="F2083" s="100">
        <v>-2227.4055137782598</v>
      </c>
      <c r="G2083" s="100">
        <v>2326.8261300060544</v>
      </c>
      <c r="H2083" s="100">
        <v>63.388336894490749</v>
      </c>
      <c r="I2083" s="100">
        <v>25.760384704611283</v>
      </c>
      <c r="J2083" s="100">
        <v>188.56933782689669</v>
      </c>
    </row>
    <row r="2084" spans="1:10" x14ac:dyDescent="0.25">
      <c r="A2084">
        <v>2067</v>
      </c>
      <c r="B2084" s="100">
        <v>89.555655915711029</v>
      </c>
      <c r="C2084" s="100">
        <v>98.228169404329975</v>
      </c>
      <c r="D2084" s="100">
        <v>92.231127558580653</v>
      </c>
      <c r="E2084" s="100">
        <v>93.999693321563555</v>
      </c>
      <c r="F2084" s="100">
        <v>-6.6479181368649165</v>
      </c>
      <c r="G2084" s="100">
        <v>-27.419846551786975</v>
      </c>
      <c r="H2084" s="100">
        <v>1169.9050938119058</v>
      </c>
      <c r="I2084" s="100">
        <v>-619.0536668623281</v>
      </c>
      <c r="J2084" s="100">
        <v>516.78366226092567</v>
      </c>
    </row>
    <row r="2085" spans="1:10" x14ac:dyDescent="0.25">
      <c r="A2085">
        <v>2068</v>
      </c>
      <c r="B2085" s="100">
        <v>90.7006431683225</v>
      </c>
      <c r="C2085" s="100">
        <v>99.820794653210655</v>
      </c>
      <c r="D2085" s="100">
        <v>91.358155298408718</v>
      </c>
      <c r="E2085" s="100">
        <v>93.637654399941951</v>
      </c>
      <c r="F2085" s="100">
        <v>-3785.1058517547217</v>
      </c>
      <c r="G2085" s="100">
        <v>-2416.3577198728062</v>
      </c>
      <c r="H2085" s="100">
        <v>2915.8496141557748</v>
      </c>
      <c r="I2085" s="100">
        <v>-257.0147452407241</v>
      </c>
      <c r="J2085" s="100">
        <v>-3542.6287027124772</v>
      </c>
    </row>
    <row r="2086" spans="1:10" x14ac:dyDescent="0.25">
      <c r="A2086">
        <v>2069</v>
      </c>
      <c r="B2086" s="100">
        <v>90.184369665159039</v>
      </c>
      <c r="C2086" s="100">
        <v>97.56536183572635</v>
      </c>
      <c r="D2086" s="100">
        <v>96.021245408912648</v>
      </c>
      <c r="E2086" s="100">
        <v>94.47735857636323</v>
      </c>
      <c r="F2086" s="100">
        <v>-2081.4032913153001</v>
      </c>
      <c r="G2086" s="100">
        <v>966.79150635365113</v>
      </c>
      <c r="H2086" s="100">
        <v>-6410.3306068520851</v>
      </c>
      <c r="I2086" s="100">
        <v>-1096.7189216620027</v>
      </c>
      <c r="J2086" s="100">
        <v>-8621.6613134757372</v>
      </c>
    </row>
    <row r="2087" spans="1:10" x14ac:dyDescent="0.25">
      <c r="A2087">
        <v>2070</v>
      </c>
      <c r="B2087" s="100">
        <v>88.270782135804751</v>
      </c>
      <c r="C2087" s="100">
        <v>97.666427261906719</v>
      </c>
      <c r="D2087" s="100">
        <v>91.679698418146316</v>
      </c>
      <c r="E2087" s="100">
        <v>96.263393535323559</v>
      </c>
      <c r="F2087" s="100">
        <v>4233.4355555538505</v>
      </c>
      <c r="G2087" s="100">
        <v>815.19336708309709</v>
      </c>
      <c r="H2087" s="100">
        <v>2272.7633746805795</v>
      </c>
      <c r="I2087" s="100">
        <v>-2882.7538806223315</v>
      </c>
      <c r="J2087" s="100">
        <v>4438.6384166951957</v>
      </c>
    </row>
    <row r="2088" spans="1:10" x14ac:dyDescent="0.25">
      <c r="A2088">
        <v>2071</v>
      </c>
      <c r="B2088" s="100">
        <v>89.860269043451979</v>
      </c>
      <c r="C2088" s="100">
        <v>98.078965053322221</v>
      </c>
      <c r="D2088" s="100">
        <v>91.926180391249872</v>
      </c>
      <c r="E2088" s="100">
        <v>91.128658626369486</v>
      </c>
      <c r="F2088" s="100">
        <v>-1011.8712396820001</v>
      </c>
      <c r="G2088" s="100">
        <v>196.38667995984349</v>
      </c>
      <c r="H2088" s="100">
        <v>1779.7994284734671</v>
      </c>
      <c r="I2088" s="100">
        <v>2251.9810283317411</v>
      </c>
      <c r="J2088" s="100">
        <v>3216.2958970830514</v>
      </c>
    </row>
    <row r="2089" spans="1:10" x14ac:dyDescent="0.25">
      <c r="A2089">
        <v>2072</v>
      </c>
      <c r="B2089" s="100">
        <v>88.784856787916155</v>
      </c>
      <c r="C2089" s="100">
        <v>99.340235937691929</v>
      </c>
      <c r="D2089" s="100">
        <v>93.276341390282127</v>
      </c>
      <c r="E2089" s="100">
        <v>92.659952526727565</v>
      </c>
      <c r="F2089" s="100">
        <v>2536.9892035862181</v>
      </c>
      <c r="G2089" s="100">
        <v>-1695.5196465947183</v>
      </c>
      <c r="H2089" s="100">
        <v>-920.52256959104284</v>
      </c>
      <c r="I2089" s="100">
        <v>720.68712797366175</v>
      </c>
      <c r="J2089" s="100">
        <v>641.63411537411866</v>
      </c>
    </row>
    <row r="2090" spans="1:10" x14ac:dyDescent="0.25">
      <c r="A2090">
        <v>2073</v>
      </c>
      <c r="B2090" s="100">
        <v>89.497840243023475</v>
      </c>
      <c r="C2090" s="100">
        <v>99.052074980871652</v>
      </c>
      <c r="D2090" s="100">
        <v>92.091170280297248</v>
      </c>
      <c r="E2090" s="100">
        <v>94.519604363534611</v>
      </c>
      <c r="F2090" s="100">
        <v>184.14380173206126</v>
      </c>
      <c r="G2090" s="100">
        <v>-1263.2782113643018</v>
      </c>
      <c r="H2090" s="100">
        <v>1449.8196503787142</v>
      </c>
      <c r="I2090" s="100">
        <v>-1138.9647088333845</v>
      </c>
      <c r="J2090" s="100">
        <v>-768.27946808691081</v>
      </c>
    </row>
    <row r="2091" spans="1:10" x14ac:dyDescent="0.25">
      <c r="A2091">
        <v>2074</v>
      </c>
      <c r="B2091" s="100">
        <v>88.690386317468139</v>
      </c>
      <c r="C2091" s="100">
        <v>98.524638429142868</v>
      </c>
      <c r="D2091" s="100">
        <v>90.887341541502437</v>
      </c>
      <c r="E2091" s="100">
        <v>94.319583698071526</v>
      </c>
      <c r="F2091" s="100">
        <v>2848.7417560646704</v>
      </c>
      <c r="G2091" s="100">
        <v>-472.12338377112673</v>
      </c>
      <c r="H2091" s="100">
        <v>3857.4771279683373</v>
      </c>
      <c r="I2091" s="100">
        <v>-938.94404337029869</v>
      </c>
      <c r="J2091" s="100">
        <v>5295.1514568915827</v>
      </c>
    </row>
    <row r="2092" spans="1:10" x14ac:dyDescent="0.25">
      <c r="A2092">
        <v>2075</v>
      </c>
      <c r="B2092" s="100">
        <v>90.734089969248785</v>
      </c>
      <c r="C2092" s="100">
        <v>98.120213018697498</v>
      </c>
      <c r="D2092" s="100">
        <v>90.654019598238975</v>
      </c>
      <c r="E2092" s="100">
        <v>93.753486950911579</v>
      </c>
      <c r="F2092" s="100">
        <v>-3895.480294811462</v>
      </c>
      <c r="G2092" s="100">
        <v>134.5147318969282</v>
      </c>
      <c r="H2092" s="100">
        <v>4324.121014495262</v>
      </c>
      <c r="I2092" s="100">
        <v>-372.8472962103524</v>
      </c>
      <c r="J2092" s="100">
        <v>190.30815537037597</v>
      </c>
    </row>
    <row r="2093" spans="1:10" x14ac:dyDescent="0.25">
      <c r="A2093">
        <v>2076</v>
      </c>
      <c r="B2093" s="100">
        <v>89.513564833337327</v>
      </c>
      <c r="C2093" s="100">
        <v>97.241536960105194</v>
      </c>
      <c r="D2093" s="100">
        <v>91.103893882881437</v>
      </c>
      <c r="E2093" s="100">
        <v>91.883004403590931</v>
      </c>
      <c r="F2093" s="100">
        <v>132.25265369635082</v>
      </c>
      <c r="G2093" s="100">
        <v>1452.5288197853854</v>
      </c>
      <c r="H2093" s="100">
        <v>3424.3724452103379</v>
      </c>
      <c r="I2093" s="100">
        <v>1497.6352511102959</v>
      </c>
      <c r="J2093" s="100">
        <v>6506.7891698023705</v>
      </c>
    </row>
    <row r="2094" spans="1:10" x14ac:dyDescent="0.25">
      <c r="A2094">
        <v>2077</v>
      </c>
      <c r="B2094" s="100">
        <v>89.795034827974689</v>
      </c>
      <c r="C2094" s="100">
        <v>97.989193279372714</v>
      </c>
      <c r="D2094" s="100">
        <v>92.072380281674654</v>
      </c>
      <c r="E2094" s="100">
        <v>94.185689159831227</v>
      </c>
      <c r="F2094" s="100">
        <v>-796.59832860694451</v>
      </c>
      <c r="G2094" s="100">
        <v>331.04434088410528</v>
      </c>
      <c r="H2094" s="100">
        <v>1487.3996476239029</v>
      </c>
      <c r="I2094" s="100">
        <v>-805.0495051300004</v>
      </c>
      <c r="J2094" s="100">
        <v>216.79615477106324</v>
      </c>
    </row>
    <row r="2095" spans="1:10" x14ac:dyDescent="0.25">
      <c r="A2095">
        <v>2078</v>
      </c>
      <c r="B2095" s="100">
        <v>88.606658108907723</v>
      </c>
      <c r="C2095" s="100">
        <v>98.606894339401762</v>
      </c>
      <c r="D2095" s="100">
        <v>92.672074141116056</v>
      </c>
      <c r="E2095" s="100">
        <v>93.901728781254377</v>
      </c>
      <c r="F2095" s="100">
        <v>3125.0448443140426</v>
      </c>
      <c r="G2095" s="100">
        <v>-595.50724915946773</v>
      </c>
      <c r="H2095" s="100">
        <v>288.01192874109915</v>
      </c>
      <c r="I2095" s="100">
        <v>-521.08912655315009</v>
      </c>
      <c r="J2095" s="100">
        <v>2296.4603973425237</v>
      </c>
    </row>
    <row r="2096" spans="1:10" x14ac:dyDescent="0.25">
      <c r="A2096">
        <v>2079</v>
      </c>
      <c r="B2096" s="100">
        <v>89.95405857510012</v>
      </c>
      <c r="C2096" s="100">
        <v>97.441098437409934</v>
      </c>
      <c r="D2096" s="100">
        <v>92.256386279984952</v>
      </c>
      <c r="E2096" s="100">
        <v>95.474624926713886</v>
      </c>
      <c r="F2096" s="100">
        <v>-1321.3766941208676</v>
      </c>
      <c r="G2096" s="100">
        <v>1153.1866038282742</v>
      </c>
      <c r="H2096" s="100">
        <v>1119.3876510033078</v>
      </c>
      <c r="I2096" s="100">
        <v>-2093.9852720126596</v>
      </c>
      <c r="J2096" s="100">
        <v>-1142.7877113019451</v>
      </c>
    </row>
    <row r="2097" spans="1:10" x14ac:dyDescent="0.25">
      <c r="A2097">
        <v>2080</v>
      </c>
      <c r="B2097" s="100">
        <v>89.416051901088238</v>
      </c>
      <c r="C2097" s="100">
        <v>98.711788897217758</v>
      </c>
      <c r="D2097" s="100">
        <v>91.981082056249605</v>
      </c>
      <c r="E2097" s="100">
        <v>92.344034235080002</v>
      </c>
      <c r="F2097" s="100">
        <v>454.04533011834332</v>
      </c>
      <c r="G2097" s="100">
        <v>-752.84908588346161</v>
      </c>
      <c r="H2097" s="100">
        <v>1669.9960984740017</v>
      </c>
      <c r="I2097" s="100">
        <v>1036.6054196212247</v>
      </c>
      <c r="J2097" s="100">
        <v>2407.7977623301081</v>
      </c>
    </row>
    <row r="2098" spans="1:10" x14ac:dyDescent="0.25">
      <c r="A2098">
        <v>2081</v>
      </c>
      <c r="B2098" s="100">
        <v>89.700037249980426</v>
      </c>
      <c r="C2098" s="100">
        <v>98.187919550420503</v>
      </c>
      <c r="D2098" s="100">
        <v>93.182368084842054</v>
      </c>
      <c r="E2098" s="100">
        <v>94.290283286336262</v>
      </c>
      <c r="F2098" s="100">
        <v>-483.10632122587549</v>
      </c>
      <c r="G2098" s="100">
        <v>32.954934312421358</v>
      </c>
      <c r="H2098" s="100">
        <v>-732.5759587108962</v>
      </c>
      <c r="I2098" s="100">
        <v>-909.64363163503492</v>
      </c>
      <c r="J2098" s="100">
        <v>-2092.3709772593852</v>
      </c>
    </row>
    <row r="2099" spans="1:10" x14ac:dyDescent="0.25">
      <c r="A2099">
        <v>2082</v>
      </c>
      <c r="B2099" s="100">
        <v>89.415757559016129</v>
      </c>
      <c r="C2099" s="100">
        <v>97.681998559906518</v>
      </c>
      <c r="D2099" s="100">
        <v>90.953409515463278</v>
      </c>
      <c r="E2099" s="100">
        <v>93.514822682339044</v>
      </c>
      <c r="F2099" s="100">
        <v>455.01665895630481</v>
      </c>
      <c r="G2099" s="100">
        <v>791.83642008339916</v>
      </c>
      <c r="H2099" s="100">
        <v>3725.3411800466552</v>
      </c>
      <c r="I2099" s="100">
        <v>-134.18302763781753</v>
      </c>
      <c r="J2099" s="100">
        <v>4838.0112314485414</v>
      </c>
    </row>
    <row r="2100" spans="1:10" x14ac:dyDescent="0.25">
      <c r="A2100">
        <v>2083</v>
      </c>
      <c r="B2100" s="100">
        <v>89.04637905137227</v>
      </c>
      <c r="C2100" s="100">
        <v>99.008532859516066</v>
      </c>
      <c r="D2100" s="100">
        <v>93.371069902694742</v>
      </c>
      <c r="E2100" s="100">
        <v>92.631571817575534</v>
      </c>
      <c r="F2100" s="100">
        <v>1673.9657341810384</v>
      </c>
      <c r="G2100" s="100">
        <v>-1197.9650293309235</v>
      </c>
      <c r="H2100" s="100">
        <v>-1109.9795944162736</v>
      </c>
      <c r="I2100" s="100">
        <v>749.06783712569336</v>
      </c>
      <c r="J2100" s="100">
        <v>115.08894755953474</v>
      </c>
    </row>
    <row r="2101" spans="1:10" x14ac:dyDescent="0.25">
      <c r="A2101">
        <v>2084</v>
      </c>
      <c r="B2101" s="100">
        <v>89.800840208356419</v>
      </c>
      <c r="C2101" s="100">
        <v>97.742254390791572</v>
      </c>
      <c r="D2101" s="100">
        <v>93.803654441556773</v>
      </c>
      <c r="E2101" s="100">
        <v>93.034890707447275</v>
      </c>
      <c r="F2101" s="100">
        <v>-815.75608386665408</v>
      </c>
      <c r="G2101" s="100">
        <v>701.45267375581716</v>
      </c>
      <c r="H2101" s="100">
        <v>-1975.1486721403353</v>
      </c>
      <c r="I2101" s="100">
        <v>345.74894725395211</v>
      </c>
      <c r="J2101" s="100">
        <v>-1743.7031349972201</v>
      </c>
    </row>
    <row r="2102" spans="1:10" x14ac:dyDescent="0.25">
      <c r="A2102">
        <v>2085</v>
      </c>
      <c r="B2102" s="100">
        <v>89.219847293485373</v>
      </c>
      <c r="C2102" s="100">
        <v>98.670220326677565</v>
      </c>
      <c r="D2102" s="100">
        <v>91.018312077259651</v>
      </c>
      <c r="E2102" s="100">
        <v>95.438869781958658</v>
      </c>
      <c r="F2102" s="100">
        <v>1101.5205352077999</v>
      </c>
      <c r="G2102" s="100">
        <v>-690.49623007317246</v>
      </c>
      <c r="H2102" s="100">
        <v>3595.5360564539092</v>
      </c>
      <c r="I2102" s="100">
        <v>-2058.2301272574314</v>
      </c>
      <c r="J2102" s="100">
        <v>1948.3302343311052</v>
      </c>
    </row>
    <row r="2103" spans="1:10" x14ac:dyDescent="0.25">
      <c r="A2103">
        <v>2086</v>
      </c>
      <c r="B2103" s="100">
        <v>89.548234948106085</v>
      </c>
      <c r="C2103" s="100">
        <v>96.396059488471735</v>
      </c>
      <c r="D2103" s="100">
        <v>93.442725521035229</v>
      </c>
      <c r="E2103" s="100">
        <v>93.208351761858594</v>
      </c>
      <c r="F2103" s="100">
        <v>17.841274959448583</v>
      </c>
      <c r="G2103" s="100">
        <v>2720.7450272355727</v>
      </c>
      <c r="H2103" s="100">
        <v>-1253.2908310972459</v>
      </c>
      <c r="I2103" s="100">
        <v>172.28789284263257</v>
      </c>
      <c r="J2103" s="100">
        <v>1657.5833639404079</v>
      </c>
    </row>
    <row r="2104" spans="1:10" x14ac:dyDescent="0.25">
      <c r="A2104">
        <v>2087</v>
      </c>
      <c r="B2104" s="100">
        <v>88.677942619710947</v>
      </c>
      <c r="C2104" s="100">
        <v>99.527158735125909</v>
      </c>
      <c r="D2104" s="100">
        <v>92.573084216994246</v>
      </c>
      <c r="E2104" s="100">
        <v>96.961637070691978</v>
      </c>
      <c r="F2104" s="100">
        <v>2889.8059586634035</v>
      </c>
      <c r="G2104" s="100">
        <v>-1975.9038427456871</v>
      </c>
      <c r="H2104" s="100">
        <v>485.99177698471863</v>
      </c>
      <c r="I2104" s="100">
        <v>-3580.9974159907511</v>
      </c>
      <c r="J2104" s="100">
        <v>-2181.1035230883163</v>
      </c>
    </row>
    <row r="2105" spans="1:10" x14ac:dyDescent="0.25">
      <c r="A2105">
        <v>2088</v>
      </c>
      <c r="B2105" s="100">
        <v>88.956548289430742</v>
      </c>
      <c r="C2105" s="100">
        <v>99.116274619770891</v>
      </c>
      <c r="D2105" s="100">
        <v>92.250573424373755</v>
      </c>
      <c r="E2105" s="100">
        <v>94.485828288984834</v>
      </c>
      <c r="F2105" s="100">
        <v>1970.4072485880802</v>
      </c>
      <c r="G2105" s="100">
        <v>-1359.5776697131612</v>
      </c>
      <c r="H2105" s="100">
        <v>1131.0133622257013</v>
      </c>
      <c r="I2105" s="100">
        <v>-1105.1886342836069</v>
      </c>
      <c r="J2105" s="100">
        <v>636.65430681701332</v>
      </c>
    </row>
    <row r="2106" spans="1:10" x14ac:dyDescent="0.25">
      <c r="A2106">
        <v>2089</v>
      </c>
      <c r="B2106" s="100">
        <v>89.438321583851504</v>
      </c>
      <c r="C2106" s="100">
        <v>97.606632002640197</v>
      </c>
      <c r="D2106" s="100">
        <v>93.639940824672095</v>
      </c>
      <c r="E2106" s="100">
        <v>91.400812883098354</v>
      </c>
      <c r="F2106" s="100">
        <v>380.55537699956545</v>
      </c>
      <c r="G2106" s="100">
        <v>904.88625598288058</v>
      </c>
      <c r="H2106" s="100">
        <v>-1647.7214383709793</v>
      </c>
      <c r="I2106" s="100">
        <v>1979.8267716028731</v>
      </c>
      <c r="J2106" s="100">
        <v>1617.5469662143398</v>
      </c>
    </row>
    <row r="2107" spans="1:10" x14ac:dyDescent="0.25">
      <c r="A2107">
        <v>2090</v>
      </c>
      <c r="B2107" s="100">
        <v>89.358969869988712</v>
      </c>
      <c r="C2107" s="100">
        <v>98.420427335990041</v>
      </c>
      <c r="D2107" s="100">
        <v>93.143941617128817</v>
      </c>
      <c r="E2107" s="100">
        <v>90.913491971053801</v>
      </c>
      <c r="F2107" s="100">
        <v>642.41603274677891</v>
      </c>
      <c r="G2107" s="100">
        <v>-315.80674404188613</v>
      </c>
      <c r="H2107" s="100">
        <v>-655.72302328442333</v>
      </c>
      <c r="I2107" s="100">
        <v>2467.1476836474258</v>
      </c>
      <c r="J2107" s="100">
        <v>2138.0339490678953</v>
      </c>
    </row>
    <row r="2108" spans="1:10" x14ac:dyDescent="0.25">
      <c r="A2108">
        <v>2091</v>
      </c>
      <c r="B2108" s="100">
        <v>90.145362134419472</v>
      </c>
      <c r="C2108" s="100">
        <v>97.268392357100339</v>
      </c>
      <c r="D2108" s="100">
        <v>92.761808500030639</v>
      </c>
      <c r="E2108" s="100">
        <v>93.734432472628001</v>
      </c>
      <c r="F2108" s="100">
        <v>-1952.6784398747268</v>
      </c>
      <c r="G2108" s="100">
        <v>1412.2457242926671</v>
      </c>
      <c r="H2108" s="100">
        <v>108.54321091193242</v>
      </c>
      <c r="I2108" s="100">
        <v>-353.79281792677375</v>
      </c>
      <c r="J2108" s="100">
        <v>-785.68232259690103</v>
      </c>
    </row>
    <row r="2109" spans="1:10" x14ac:dyDescent="0.25">
      <c r="A2109">
        <v>2092</v>
      </c>
      <c r="B2109" s="100">
        <v>89.557786387592486</v>
      </c>
      <c r="C2109" s="100">
        <v>98.563490249066149</v>
      </c>
      <c r="D2109" s="100">
        <v>92.521653461367137</v>
      </c>
      <c r="E2109" s="100">
        <v>93.258623328075529</v>
      </c>
      <c r="F2109" s="100">
        <v>-13.678475345675167</v>
      </c>
      <c r="G2109" s="100">
        <v>-530.40111365604753</v>
      </c>
      <c r="H2109" s="100">
        <v>588.85328823893701</v>
      </c>
      <c r="I2109" s="100">
        <v>122.0163266256975</v>
      </c>
      <c r="J2109" s="100">
        <v>166.79002586291176</v>
      </c>
    </row>
    <row r="2110" spans="1:10" x14ac:dyDescent="0.25">
      <c r="A2110">
        <v>2093</v>
      </c>
      <c r="B2110" s="100">
        <v>90.602996108541987</v>
      </c>
      <c r="C2110" s="100">
        <v>98.437531599904872</v>
      </c>
      <c r="D2110" s="100">
        <v>93.384888873738916</v>
      </c>
      <c r="E2110" s="100">
        <v>94.148052851901284</v>
      </c>
      <c r="F2110" s="100">
        <v>-3462.8705544790278</v>
      </c>
      <c r="G2110" s="100">
        <v>-341.4631399141328</v>
      </c>
      <c r="H2110" s="100">
        <v>-1137.6175365046208</v>
      </c>
      <c r="I2110" s="100">
        <v>-767.41319720005663</v>
      </c>
      <c r="J2110" s="100">
        <v>-5709.3644280978378</v>
      </c>
    </row>
    <row r="2111" spans="1:10" x14ac:dyDescent="0.25">
      <c r="A2111">
        <v>2094</v>
      </c>
      <c r="B2111" s="100">
        <v>89.418055193024202</v>
      </c>
      <c r="C2111" s="100">
        <v>97.865046170987597</v>
      </c>
      <c r="D2111" s="100">
        <v>92.151380672057215</v>
      </c>
      <c r="E2111" s="100">
        <v>92.596240827110691</v>
      </c>
      <c r="F2111" s="100">
        <v>447.43446672966343</v>
      </c>
      <c r="G2111" s="100">
        <v>517.26500346178022</v>
      </c>
      <c r="H2111" s="100">
        <v>1329.3988668587815</v>
      </c>
      <c r="I2111" s="100">
        <v>784.39882759053603</v>
      </c>
      <c r="J2111" s="100">
        <v>3078.4971646407612</v>
      </c>
    </row>
    <row r="2112" spans="1:10" x14ac:dyDescent="0.25">
      <c r="A2112">
        <v>2095</v>
      </c>
      <c r="B2112" s="100">
        <v>89.678351691932448</v>
      </c>
      <c r="C2112" s="100">
        <v>99.469254129454214</v>
      </c>
      <c r="D2112" s="100">
        <v>94.552526963617396</v>
      </c>
      <c r="E2112" s="100">
        <v>96.878195504129977</v>
      </c>
      <c r="F2112" s="100">
        <v>-411.54397966755027</v>
      </c>
      <c r="G2112" s="100">
        <v>-1889.046934238145</v>
      </c>
      <c r="H2112" s="100">
        <v>-3472.8937162615807</v>
      </c>
      <c r="I2112" s="100">
        <v>-3497.5558494287498</v>
      </c>
      <c r="J2112" s="100">
        <v>-9271.0404795960258</v>
      </c>
    </row>
    <row r="2113" spans="1:10" x14ac:dyDescent="0.25">
      <c r="A2113">
        <v>2096</v>
      </c>
      <c r="B2113" s="100">
        <v>89.423715735685064</v>
      </c>
      <c r="C2113" s="100">
        <v>97.313496640363283</v>
      </c>
      <c r="D2113" s="100">
        <v>93.12797938384908</v>
      </c>
      <c r="E2113" s="100">
        <v>90.019308694842792</v>
      </c>
      <c r="F2113" s="100">
        <v>428.75467594881655</v>
      </c>
      <c r="G2113" s="100">
        <v>1344.5892993982511</v>
      </c>
      <c r="H2113" s="100">
        <v>-623.79855672494955</v>
      </c>
      <c r="I2113" s="100">
        <v>3361.3309598584351</v>
      </c>
      <c r="J2113" s="100">
        <v>4510.8763784805533</v>
      </c>
    </row>
    <row r="2114" spans="1:10" x14ac:dyDescent="0.25">
      <c r="A2114">
        <v>2097</v>
      </c>
      <c r="B2114" s="100">
        <v>90.187227848539209</v>
      </c>
      <c r="C2114" s="100">
        <v>98.585775378245046</v>
      </c>
      <c r="D2114" s="100">
        <v>93.297824748208939</v>
      </c>
      <c r="E2114" s="100">
        <v>92.133212238027482</v>
      </c>
      <c r="F2114" s="100">
        <v>-2090.8352964698593</v>
      </c>
      <c r="G2114" s="100">
        <v>-563.82880742439306</v>
      </c>
      <c r="H2114" s="100">
        <v>-963.48928544466617</v>
      </c>
      <c r="I2114" s="100">
        <v>1247.4274166737446</v>
      </c>
      <c r="J2114" s="100">
        <v>-2370.7259726651741</v>
      </c>
    </row>
    <row r="2115" spans="1:10" x14ac:dyDescent="0.25">
      <c r="A2115">
        <v>2098</v>
      </c>
      <c r="B2115" s="100">
        <v>89.96396757477855</v>
      </c>
      <c r="C2115" s="100">
        <v>99.76754607382864</v>
      </c>
      <c r="D2115" s="100">
        <v>93.795059765040492</v>
      </c>
      <c r="E2115" s="100">
        <v>90.454121491212376</v>
      </c>
      <c r="F2115" s="100">
        <v>-1354.0763930596868</v>
      </c>
      <c r="G2115" s="100">
        <v>-2336.4848507997849</v>
      </c>
      <c r="H2115" s="100">
        <v>-1957.959319107772</v>
      </c>
      <c r="I2115" s="100">
        <v>2926.5181634888504</v>
      </c>
      <c r="J2115" s="100">
        <v>-2722.0023994783933</v>
      </c>
    </row>
    <row r="2116" spans="1:10" x14ac:dyDescent="0.25">
      <c r="A2116">
        <v>2099</v>
      </c>
      <c r="B2116" s="100">
        <v>89.101836129982132</v>
      </c>
      <c r="C2116" s="100">
        <v>98.796040520189578</v>
      </c>
      <c r="D2116" s="100">
        <v>93.387548766264047</v>
      </c>
      <c r="E2116" s="100">
        <v>90.786325261853278</v>
      </c>
      <c r="F2116" s="100">
        <v>1490.9573747684931</v>
      </c>
      <c r="G2116" s="100">
        <v>-879.22652034119153</v>
      </c>
      <c r="H2116" s="100">
        <v>-1142.9373215548821</v>
      </c>
      <c r="I2116" s="100">
        <v>2594.3143928479485</v>
      </c>
      <c r="J2116" s="100">
        <v>2063.1079257203678</v>
      </c>
    </row>
    <row r="2117" spans="1:10" x14ac:dyDescent="0.25">
      <c r="A2117">
        <v>2100</v>
      </c>
      <c r="B2117" s="100">
        <v>89.194053083477172</v>
      </c>
      <c r="C2117" s="100">
        <v>97.78531396719724</v>
      </c>
      <c r="D2117" s="100">
        <v>93.157188631565973</v>
      </c>
      <c r="E2117" s="100">
        <v>94.173748665796467</v>
      </c>
      <c r="F2117" s="100">
        <v>1186.6414282348615</v>
      </c>
      <c r="G2117" s="100">
        <v>636.8633091473157</v>
      </c>
      <c r="H2117" s="100">
        <v>-682.21705215873385</v>
      </c>
      <c r="I2117" s="100">
        <v>-793.10901109523968</v>
      </c>
      <c r="J2117" s="100">
        <v>348.17867412820362</v>
      </c>
    </row>
    <row r="2118" spans="1:10" x14ac:dyDescent="0.25">
      <c r="A2118">
        <v>2101</v>
      </c>
      <c r="B2118" s="100">
        <v>89.47936442708324</v>
      </c>
      <c r="C2118" s="100">
        <v>98.469117691427783</v>
      </c>
      <c r="D2118" s="100">
        <v>94.21961145922559</v>
      </c>
      <c r="E2118" s="100">
        <v>92.984976718080873</v>
      </c>
      <c r="F2118" s="100">
        <v>245.1139943348366</v>
      </c>
      <c r="G2118" s="100">
        <v>-388.84227719849918</v>
      </c>
      <c r="H2118" s="100">
        <v>-2807.0627074779677</v>
      </c>
      <c r="I2118" s="100">
        <v>395.66293662035434</v>
      </c>
      <c r="J2118" s="100">
        <v>-2555.128053721276</v>
      </c>
    </row>
    <row r="2119" spans="1:10" x14ac:dyDescent="0.25">
      <c r="A2119">
        <v>2102</v>
      </c>
      <c r="B2119" s="100">
        <v>89.772885469754598</v>
      </c>
      <c r="C2119" s="100">
        <v>98.046928729487746</v>
      </c>
      <c r="D2119" s="100">
        <v>93.129034540860275</v>
      </c>
      <c r="E2119" s="100">
        <v>94.073276345709743</v>
      </c>
      <c r="F2119" s="100">
        <v>-723.50544648064533</v>
      </c>
      <c r="G2119" s="100">
        <v>244.44116571155661</v>
      </c>
      <c r="H2119" s="100">
        <v>-625.90887074733814</v>
      </c>
      <c r="I2119" s="100">
        <v>-692.63669100851644</v>
      </c>
      <c r="J2119" s="100">
        <v>-1797.6098425249434</v>
      </c>
    </row>
    <row r="2120" spans="1:10" x14ac:dyDescent="0.25">
      <c r="A2120">
        <v>2103</v>
      </c>
      <c r="B2120" s="100">
        <v>88.957369111579567</v>
      </c>
      <c r="C2120" s="100">
        <v>97.87496446681952</v>
      </c>
      <c r="D2120" s="100">
        <v>93.686923607501413</v>
      </c>
      <c r="E2120" s="100">
        <v>92.984498788243798</v>
      </c>
      <c r="F2120" s="100">
        <v>1967.6985354969588</v>
      </c>
      <c r="G2120" s="100">
        <v>502.38755971389537</v>
      </c>
      <c r="H2120" s="100">
        <v>-1741.6870040296146</v>
      </c>
      <c r="I2120" s="100">
        <v>396.1408664574293</v>
      </c>
      <c r="J2120" s="100">
        <v>1124.539957638669</v>
      </c>
    </row>
    <row r="2121" spans="1:10" x14ac:dyDescent="0.25">
      <c r="A2121">
        <v>2104</v>
      </c>
      <c r="B2121" s="100">
        <v>89.243221859168401</v>
      </c>
      <c r="C2121" s="100">
        <v>97.985953910404774</v>
      </c>
      <c r="D2121" s="100">
        <v>92.180555653423568</v>
      </c>
      <c r="E2121" s="100">
        <v>93.11801720977131</v>
      </c>
      <c r="F2121" s="100">
        <v>1024.3844684538076</v>
      </c>
      <c r="G2121" s="100">
        <v>335.90339433601457</v>
      </c>
      <c r="H2121" s="100">
        <v>1271.0489041260757</v>
      </c>
      <c r="I2121" s="100">
        <v>262.62244492991726</v>
      </c>
      <c r="J2121" s="100">
        <v>2893.9592118458149</v>
      </c>
    </row>
    <row r="2122" spans="1:10" x14ac:dyDescent="0.25">
      <c r="A2122">
        <v>2105</v>
      </c>
      <c r="B2122" s="100">
        <v>88.769694636869104</v>
      </c>
      <c r="C2122" s="100">
        <v>99.532286680836108</v>
      </c>
      <c r="D2122" s="100">
        <v>93.526871756755156</v>
      </c>
      <c r="E2122" s="100">
        <v>93.099779653341727</v>
      </c>
      <c r="F2122" s="100">
        <v>2587.0243020414846</v>
      </c>
      <c r="G2122" s="100">
        <v>-1983.595761310987</v>
      </c>
      <c r="H2122" s="100">
        <v>-1421.5833025371012</v>
      </c>
      <c r="I2122" s="100">
        <v>280.86000135949973</v>
      </c>
      <c r="J2122" s="100">
        <v>-537.29476044710384</v>
      </c>
    </row>
    <row r="2123" spans="1:10" x14ac:dyDescent="0.25">
      <c r="A2123">
        <v>2106</v>
      </c>
      <c r="B2123" s="100">
        <v>89.683049189999039</v>
      </c>
      <c r="C2123" s="100">
        <v>97.751856558651568</v>
      </c>
      <c r="D2123" s="100">
        <v>93.331157567776259</v>
      </c>
      <c r="E2123" s="100">
        <v>92.390765003280805</v>
      </c>
      <c r="F2123" s="100">
        <v>-427.04572328729995</v>
      </c>
      <c r="G2123" s="100">
        <v>687.04942196582408</v>
      </c>
      <c r="H2123" s="100">
        <v>-1030.1549245793069</v>
      </c>
      <c r="I2123" s="100">
        <v>989.87465142042197</v>
      </c>
      <c r="J2123" s="100">
        <v>219.72342551963925</v>
      </c>
    </row>
    <row r="2124" spans="1:10" x14ac:dyDescent="0.25">
      <c r="A2124">
        <v>2107</v>
      </c>
      <c r="B2124" s="100">
        <v>90.409493959900715</v>
      </c>
      <c r="C2124" s="100">
        <v>97.999592858433303</v>
      </c>
      <c r="D2124" s="100">
        <v>93.717340213204096</v>
      </c>
      <c r="E2124" s="100">
        <v>95.149541024952299</v>
      </c>
      <c r="F2124" s="100">
        <v>-2824.3134639628297</v>
      </c>
      <c r="G2124" s="100">
        <v>315.44497229322133</v>
      </c>
      <c r="H2124" s="100">
        <v>-1802.5202154349813</v>
      </c>
      <c r="I2124" s="100">
        <v>-1768.901370251072</v>
      </c>
      <c r="J2124" s="100">
        <v>-6080.2900773556621</v>
      </c>
    </row>
    <row r="2125" spans="1:10" x14ac:dyDescent="0.25">
      <c r="A2125">
        <v>2108</v>
      </c>
      <c r="B2125" s="100">
        <v>90.188346883494191</v>
      </c>
      <c r="C2125" s="100">
        <v>98.420821780947207</v>
      </c>
      <c r="D2125" s="100">
        <v>92.846627642663151</v>
      </c>
      <c r="E2125" s="100">
        <v>93.688835444564063</v>
      </c>
      <c r="F2125" s="100">
        <v>-2094.5281118213002</v>
      </c>
      <c r="G2125" s="100">
        <v>-316.39841147763548</v>
      </c>
      <c r="H2125" s="100">
        <v>-61.095074353090695</v>
      </c>
      <c r="I2125" s="100">
        <v>-308.19578986283602</v>
      </c>
      <c r="J2125" s="100">
        <v>-2780.2173875148624</v>
      </c>
    </row>
    <row r="2126" spans="1:10" x14ac:dyDescent="0.25">
      <c r="A2126">
        <v>2109</v>
      </c>
      <c r="B2126" s="100">
        <v>90.198522329851286</v>
      </c>
      <c r="C2126" s="100">
        <v>97.263138503812542</v>
      </c>
      <c r="D2126" s="100">
        <v>93.054934453586966</v>
      </c>
      <c r="E2126" s="100">
        <v>95.779996464821366</v>
      </c>
      <c r="F2126" s="100">
        <v>-2128.1070847997157</v>
      </c>
      <c r="G2126" s="100">
        <v>1420.1265042243633</v>
      </c>
      <c r="H2126" s="100">
        <v>-477.70869620072176</v>
      </c>
      <c r="I2126" s="100">
        <v>-2399.356810120139</v>
      </c>
      <c r="J2126" s="100">
        <v>-3585.0460868962132</v>
      </c>
    </row>
    <row r="2127" spans="1:10" x14ac:dyDescent="0.25">
      <c r="A2127">
        <v>2110</v>
      </c>
      <c r="B2127" s="100">
        <v>90.431260472679739</v>
      </c>
      <c r="C2127" s="100">
        <v>98.213420195654507</v>
      </c>
      <c r="D2127" s="100">
        <v>91.525316878306086</v>
      </c>
      <c r="E2127" s="100">
        <v>93.434351745609177</v>
      </c>
      <c r="F2127" s="100">
        <v>-2896.142956133609</v>
      </c>
      <c r="G2127" s="100">
        <v>-5.2960335385847657</v>
      </c>
      <c r="H2127" s="100">
        <v>2581.5264543610397</v>
      </c>
      <c r="I2127" s="100">
        <v>-53.712090907950483</v>
      </c>
      <c r="J2127" s="100">
        <v>-373.62462621910447</v>
      </c>
    </row>
    <row r="2128" spans="1:10" x14ac:dyDescent="0.25">
      <c r="A2128">
        <v>2111</v>
      </c>
      <c r="B2128" s="100">
        <v>89.455867325972392</v>
      </c>
      <c r="C2128" s="100">
        <v>97.260854915560515</v>
      </c>
      <c r="D2128" s="100">
        <v>92.747697295556364</v>
      </c>
      <c r="E2128" s="100">
        <v>95.226091182781474</v>
      </c>
      <c r="F2128" s="100">
        <v>322.65442800063653</v>
      </c>
      <c r="G2128" s="100">
        <v>1423.5518866024038</v>
      </c>
      <c r="H2128" s="100">
        <v>136.76561986048341</v>
      </c>
      <c r="I2128" s="100">
        <v>-1845.4515280802468</v>
      </c>
      <c r="J2128" s="100">
        <v>37.52040638327685</v>
      </c>
    </row>
    <row r="2129" spans="1:10" x14ac:dyDescent="0.25">
      <c r="A2129">
        <v>2112</v>
      </c>
      <c r="B2129" s="100">
        <v>88.261279956915615</v>
      </c>
      <c r="C2129" s="100">
        <v>97.167596889872229</v>
      </c>
      <c r="D2129" s="100">
        <v>92.392933493277042</v>
      </c>
      <c r="E2129" s="100">
        <v>94.162235138107604</v>
      </c>
      <c r="F2129" s="100">
        <v>4264.7927458879994</v>
      </c>
      <c r="G2129" s="100">
        <v>1563.4389251348325</v>
      </c>
      <c r="H2129" s="100">
        <v>846.29322441912791</v>
      </c>
      <c r="I2129" s="100">
        <v>-781.59548340637741</v>
      </c>
      <c r="J2129" s="100">
        <v>5892.9294120355817</v>
      </c>
    </row>
    <row r="2130" spans="1:10" x14ac:dyDescent="0.25">
      <c r="A2130">
        <v>2113</v>
      </c>
      <c r="B2130" s="100">
        <v>90.411745998056531</v>
      </c>
      <c r="C2130" s="100">
        <v>99.437604413487151</v>
      </c>
      <c r="D2130" s="100">
        <v>91.691069316450864</v>
      </c>
      <c r="E2130" s="100">
        <v>89.953001998299086</v>
      </c>
      <c r="F2130" s="100">
        <v>-2831.7451898770246</v>
      </c>
      <c r="G2130" s="100">
        <v>-1841.5723602875503</v>
      </c>
      <c r="H2130" s="100">
        <v>2250.0215780714825</v>
      </c>
      <c r="I2130" s="100">
        <v>3427.6376564021402</v>
      </c>
      <c r="J2130" s="100">
        <v>1004.3416843090481</v>
      </c>
    </row>
    <row r="2131" spans="1:10" x14ac:dyDescent="0.25">
      <c r="A2131">
        <v>2114</v>
      </c>
      <c r="B2131" s="100">
        <v>89.333126941437385</v>
      </c>
      <c r="C2131" s="100">
        <v>96.998132877532413</v>
      </c>
      <c r="D2131" s="100">
        <v>91.555221770884742</v>
      </c>
      <c r="E2131" s="100">
        <v>91.359606507901589</v>
      </c>
      <c r="F2131" s="100">
        <v>727.6976969661589</v>
      </c>
      <c r="G2131" s="100">
        <v>1817.6349436445562</v>
      </c>
      <c r="H2131" s="100">
        <v>2521.7166692037267</v>
      </c>
      <c r="I2131" s="100">
        <v>2021.0331467996384</v>
      </c>
      <c r="J2131" s="100">
        <v>7088.08245661408</v>
      </c>
    </row>
    <row r="2132" spans="1:10" x14ac:dyDescent="0.25">
      <c r="A2132">
        <v>2115</v>
      </c>
      <c r="B2132" s="100">
        <v>89.732267084910575</v>
      </c>
      <c r="C2132" s="100">
        <v>99.238618813407143</v>
      </c>
      <c r="D2132" s="100">
        <v>92.521820456509033</v>
      </c>
      <c r="E2132" s="100">
        <v>92.25705498107304</v>
      </c>
      <c r="F2132" s="100">
        <v>-589.46477649536746</v>
      </c>
      <c r="G2132" s="100">
        <v>-1543.0939601675391</v>
      </c>
      <c r="H2132" s="100">
        <v>588.51929795514479</v>
      </c>
      <c r="I2132" s="100">
        <v>1123.5846736281871</v>
      </c>
      <c r="J2132" s="100">
        <v>-420.4547650795746</v>
      </c>
    </row>
    <row r="2133" spans="1:10" x14ac:dyDescent="0.25">
      <c r="A2133">
        <v>2116</v>
      </c>
      <c r="B2133" s="100">
        <v>88.845129447037877</v>
      </c>
      <c r="C2133" s="100">
        <v>96.363564851178865</v>
      </c>
      <c r="D2133" s="100">
        <v>91.936072224458925</v>
      </c>
      <c r="E2133" s="100">
        <v>92.610546471172711</v>
      </c>
      <c r="F2133" s="100">
        <v>2338.0894284845353</v>
      </c>
      <c r="G2133" s="100">
        <v>2769.4869831748788</v>
      </c>
      <c r="H2133" s="100">
        <v>1760.0157620553603</v>
      </c>
      <c r="I2133" s="100">
        <v>770.09318352851608</v>
      </c>
      <c r="J2133" s="100">
        <v>7637.685357243291</v>
      </c>
    </row>
    <row r="2134" spans="1:10" x14ac:dyDescent="0.25">
      <c r="A2134">
        <v>2117</v>
      </c>
      <c r="B2134" s="100">
        <v>89.510178137053131</v>
      </c>
      <c r="C2134" s="100">
        <v>97.402543003009924</v>
      </c>
      <c r="D2134" s="100">
        <v>93.486793380023684</v>
      </c>
      <c r="E2134" s="100">
        <v>93.958591283878107</v>
      </c>
      <c r="F2134" s="100">
        <v>143.42875143419604</v>
      </c>
      <c r="G2134" s="100">
        <v>1211.019755428289</v>
      </c>
      <c r="H2134" s="100">
        <v>-1341.426549074157</v>
      </c>
      <c r="I2134" s="100">
        <v>-577.95162917688003</v>
      </c>
      <c r="J2134" s="100">
        <v>-564.92967138855192</v>
      </c>
    </row>
    <row r="2135" spans="1:10" x14ac:dyDescent="0.25">
      <c r="A2135">
        <v>2118</v>
      </c>
      <c r="B2135" s="100">
        <v>90.341580455624467</v>
      </c>
      <c r="C2135" s="100">
        <v>96.988379880640096</v>
      </c>
      <c r="D2135" s="100">
        <v>92.818009366228353</v>
      </c>
      <c r="E2135" s="100">
        <v>93.989965075215764</v>
      </c>
      <c r="F2135" s="100">
        <v>-2600.1988998512106</v>
      </c>
      <c r="G2135" s="100">
        <v>1832.2644389830316</v>
      </c>
      <c r="H2135" s="100">
        <v>-3.8585214834938597</v>
      </c>
      <c r="I2135" s="100">
        <v>-609.32542051453709</v>
      </c>
      <c r="J2135" s="100">
        <v>-1381.1184028662101</v>
      </c>
    </row>
    <row r="2136" spans="1:10" x14ac:dyDescent="0.25">
      <c r="A2136">
        <v>2119</v>
      </c>
      <c r="B2136" s="100">
        <v>90.626284992060832</v>
      </c>
      <c r="C2136" s="100">
        <v>97.911400826886506</v>
      </c>
      <c r="D2136" s="100">
        <v>90.871159032246723</v>
      </c>
      <c r="E2136" s="100">
        <v>91.626502113032842</v>
      </c>
      <c r="F2136" s="100">
        <v>-3539.7238700912153</v>
      </c>
      <c r="G2136" s="100">
        <v>447.73301961341616</v>
      </c>
      <c r="H2136" s="100">
        <v>3889.8421464797648</v>
      </c>
      <c r="I2136" s="100">
        <v>1754.137541668385</v>
      </c>
      <c r="J2136" s="100">
        <v>2551.9888376703507</v>
      </c>
    </row>
    <row r="2137" spans="1:10" x14ac:dyDescent="0.25">
      <c r="A2137">
        <v>2120</v>
      </c>
      <c r="B2137" s="100">
        <v>90.060402875580834</v>
      </c>
      <c r="C2137" s="100">
        <v>97.383441207895203</v>
      </c>
      <c r="D2137" s="100">
        <v>90.665467615782688</v>
      </c>
      <c r="E2137" s="100">
        <v>95.156295091299725</v>
      </c>
      <c r="F2137" s="100">
        <v>-1672.312885707224</v>
      </c>
      <c r="G2137" s="100">
        <v>1239.6724481003716</v>
      </c>
      <c r="H2137" s="100">
        <v>4301.2249794078343</v>
      </c>
      <c r="I2137" s="100">
        <v>-1775.6554365984982</v>
      </c>
      <c r="J2137" s="100">
        <v>2092.9291052024837</v>
      </c>
    </row>
    <row r="2138" spans="1:10" x14ac:dyDescent="0.25">
      <c r="A2138">
        <v>2121</v>
      </c>
      <c r="B2138" s="100">
        <v>90.184268173482749</v>
      </c>
      <c r="C2138" s="100">
        <v>99.548370168840066</v>
      </c>
      <c r="D2138" s="100">
        <v>93.89565374821214</v>
      </c>
      <c r="E2138" s="100">
        <v>96.814428241093196</v>
      </c>
      <c r="F2138" s="100">
        <v>-2081.0683687835435</v>
      </c>
      <c r="G2138" s="100">
        <v>-2007.7209933169229</v>
      </c>
      <c r="H2138" s="100">
        <v>-2159.1472854510698</v>
      </c>
      <c r="I2138" s="100">
        <v>-3433.7885863919696</v>
      </c>
      <c r="J2138" s="100">
        <v>-9681.7252339435054</v>
      </c>
    </row>
    <row r="2139" spans="1:10" x14ac:dyDescent="0.25">
      <c r="A2139">
        <v>2122</v>
      </c>
      <c r="B2139" s="100">
        <v>89.629432506953748</v>
      </c>
      <c r="C2139" s="100">
        <v>98.631563961389645</v>
      </c>
      <c r="D2139" s="100">
        <v>92.08731250284211</v>
      </c>
      <c r="E2139" s="100">
        <v>93.947065785641982</v>
      </c>
      <c r="F2139" s="100">
        <v>-250.11066923783858</v>
      </c>
      <c r="G2139" s="100">
        <v>-632.51168214129189</v>
      </c>
      <c r="H2139" s="100">
        <v>1457.5352052889912</v>
      </c>
      <c r="I2139" s="100">
        <v>-566.426130940755</v>
      </c>
      <c r="J2139" s="100">
        <v>8.4867229691056991</v>
      </c>
    </row>
    <row r="2140" spans="1:10" x14ac:dyDescent="0.25">
      <c r="A2140">
        <v>2123</v>
      </c>
      <c r="B2140" s="100">
        <v>90.238667751087803</v>
      </c>
      <c r="C2140" s="100">
        <v>98.319517749226961</v>
      </c>
      <c r="D2140" s="100">
        <v>92.609085527593592</v>
      </c>
      <c r="E2140" s="100">
        <v>90.191995582099651</v>
      </c>
      <c r="F2140" s="100">
        <v>-2260.5869748802206</v>
      </c>
      <c r="G2140" s="100">
        <v>-164.44236389726541</v>
      </c>
      <c r="H2140" s="100">
        <v>413.98915578602669</v>
      </c>
      <c r="I2140" s="100">
        <v>3188.6440726015762</v>
      </c>
      <c r="J2140" s="100">
        <v>1177.603889610117</v>
      </c>
    </row>
    <row r="2141" spans="1:10" x14ac:dyDescent="0.25">
      <c r="A2141">
        <v>2124</v>
      </c>
      <c r="B2141" s="100">
        <v>89.217542142289531</v>
      </c>
      <c r="C2141" s="100">
        <v>97.002486302114576</v>
      </c>
      <c r="D2141" s="100">
        <v>93.165824377515051</v>
      </c>
      <c r="E2141" s="100">
        <v>92.944736598841857</v>
      </c>
      <c r="F2141" s="100">
        <v>1109.1275341540766</v>
      </c>
      <c r="G2141" s="100">
        <v>1811.1048067713114</v>
      </c>
      <c r="H2141" s="100">
        <v>-699.48854405689076</v>
      </c>
      <c r="I2141" s="100">
        <v>435.90305585937017</v>
      </c>
      <c r="J2141" s="100">
        <v>2656.6468527278676</v>
      </c>
    </row>
    <row r="2142" spans="1:10" x14ac:dyDescent="0.25">
      <c r="A2142">
        <v>2125</v>
      </c>
      <c r="B2142" s="100">
        <v>90.402207255590525</v>
      </c>
      <c r="C2142" s="100">
        <v>96.50067363058308</v>
      </c>
      <c r="D2142" s="100">
        <v>93.366855849878192</v>
      </c>
      <c r="E2142" s="100">
        <v>94.044845837510209</v>
      </c>
      <c r="F2142" s="100">
        <v>-2800.2673397392045</v>
      </c>
      <c r="G2142" s="100">
        <v>2563.8238140685557</v>
      </c>
      <c r="H2142" s="100">
        <v>-1101.5514887831728</v>
      </c>
      <c r="I2142" s="100">
        <v>-664.20618280898225</v>
      </c>
      <c r="J2142" s="100">
        <v>-2002.2011972628038</v>
      </c>
    </row>
    <row r="2143" spans="1:10" x14ac:dyDescent="0.25">
      <c r="A2143">
        <v>2126</v>
      </c>
      <c r="B2143" s="100">
        <v>89.338858426306459</v>
      </c>
      <c r="C2143" s="100">
        <v>97.611371917386307</v>
      </c>
      <c r="D2143" s="100">
        <v>94.082372087981128</v>
      </c>
      <c r="E2143" s="100">
        <v>93.429247254788095</v>
      </c>
      <c r="F2143" s="100">
        <v>708.78379689821577</v>
      </c>
      <c r="G2143" s="100">
        <v>897.7763838637145</v>
      </c>
      <c r="H2143" s="100">
        <v>-2532.583964989044</v>
      </c>
      <c r="I2143" s="100">
        <v>-48.607600086867819</v>
      </c>
      <c r="J2143" s="100">
        <v>-974.63138431398158</v>
      </c>
    </row>
    <row r="2144" spans="1:10" x14ac:dyDescent="0.25">
      <c r="A2144">
        <v>2127</v>
      </c>
      <c r="B2144" s="100">
        <v>88.206276145946617</v>
      </c>
      <c r="C2144" s="100">
        <v>98.354258256652656</v>
      </c>
      <c r="D2144" s="100">
        <v>93.117050801652965</v>
      </c>
      <c r="E2144" s="100">
        <v>92.196377747328967</v>
      </c>
      <c r="F2144" s="100">
        <v>4446.3053220856918</v>
      </c>
      <c r="G2144" s="100">
        <v>-216.55312503580859</v>
      </c>
      <c r="H2144" s="100">
        <v>-601.94139233271926</v>
      </c>
      <c r="I2144" s="100">
        <v>1184.2619073722603</v>
      </c>
      <c r="J2144" s="100">
        <v>4812.0727120894244</v>
      </c>
    </row>
    <row r="2145" spans="1:10" x14ac:dyDescent="0.25">
      <c r="A2145">
        <v>2128</v>
      </c>
      <c r="B2145" s="100">
        <v>89.588173018609481</v>
      </c>
      <c r="C2145" s="100">
        <v>98.440932738137164</v>
      </c>
      <c r="D2145" s="100">
        <v>92.692199794412403</v>
      </c>
      <c r="E2145" s="100">
        <v>96.922607392265945</v>
      </c>
      <c r="F2145" s="100">
        <v>-113.95435770175908</v>
      </c>
      <c r="G2145" s="100">
        <v>-346.5648472625702</v>
      </c>
      <c r="H2145" s="100">
        <v>247.76062214840522</v>
      </c>
      <c r="I2145" s="100">
        <v>-3541.9677375647184</v>
      </c>
      <c r="J2145" s="100">
        <v>-3754.7263203806424</v>
      </c>
    </row>
    <row r="2146" spans="1:10" x14ac:dyDescent="0.25">
      <c r="A2146">
        <v>2129</v>
      </c>
      <c r="B2146" s="100">
        <v>89.924299405976541</v>
      </c>
      <c r="C2146" s="100">
        <v>99.499500276228346</v>
      </c>
      <c r="D2146" s="100">
        <v>93.373465899613265</v>
      </c>
      <c r="E2146" s="100">
        <v>96.426952394456109</v>
      </c>
      <c r="F2146" s="100">
        <v>-1223.1714360130554</v>
      </c>
      <c r="G2146" s="100">
        <v>-1934.4161543993437</v>
      </c>
      <c r="H2146" s="100">
        <v>-1114.7715882533191</v>
      </c>
      <c r="I2146" s="100">
        <v>-3046.3127397548815</v>
      </c>
      <c r="J2146" s="100">
        <v>-7318.6719184205995</v>
      </c>
    </row>
    <row r="2147" spans="1:10" x14ac:dyDescent="0.25">
      <c r="A2147">
        <v>2130</v>
      </c>
      <c r="B2147" s="100">
        <v>89.44513968519864</v>
      </c>
      <c r="C2147" s="100">
        <v>96.243902701778822</v>
      </c>
      <c r="D2147" s="100">
        <v>92.254871970535845</v>
      </c>
      <c r="E2147" s="100">
        <v>94.760899749474461</v>
      </c>
      <c r="F2147" s="100">
        <v>358.05564255401663</v>
      </c>
      <c r="G2147" s="100">
        <v>2948.9802072749426</v>
      </c>
      <c r="H2147" s="100">
        <v>1122.416269901521</v>
      </c>
      <c r="I2147" s="100">
        <v>-1380.2600947732344</v>
      </c>
      <c r="J2147" s="100">
        <v>3049.1920249572458</v>
      </c>
    </row>
    <row r="2148" spans="1:10" x14ac:dyDescent="0.25">
      <c r="A2148">
        <v>2131</v>
      </c>
      <c r="B2148" s="100">
        <v>89.627628524019499</v>
      </c>
      <c r="C2148" s="100">
        <v>97.036066936143172</v>
      </c>
      <c r="D2148" s="100">
        <v>89.928618927168159</v>
      </c>
      <c r="E2148" s="100">
        <v>95.317427437282589</v>
      </c>
      <c r="F2148" s="100">
        <v>-244.15752555481873</v>
      </c>
      <c r="G2148" s="100">
        <v>1760.7338557284179</v>
      </c>
      <c r="H2148" s="100">
        <v>5774.9223566368928</v>
      </c>
      <c r="I2148" s="100">
        <v>-1936.7877825813621</v>
      </c>
      <c r="J2148" s="100">
        <v>5354.7109042291295</v>
      </c>
    </row>
    <row r="2149" spans="1:10" x14ac:dyDescent="0.25">
      <c r="A2149">
        <v>2132</v>
      </c>
      <c r="B2149" s="100">
        <v>90.045225863124742</v>
      </c>
      <c r="C2149" s="100">
        <v>97.540635685419943</v>
      </c>
      <c r="D2149" s="100">
        <v>92.590619252635605</v>
      </c>
      <c r="E2149" s="100">
        <v>95.356920576705207</v>
      </c>
      <c r="F2149" s="100">
        <v>-1622.2287446021185</v>
      </c>
      <c r="G2149" s="100">
        <v>1003.8807318132613</v>
      </c>
      <c r="H2149" s="100">
        <v>450.92170570200096</v>
      </c>
      <c r="I2149" s="100">
        <v>-1976.2809220039799</v>
      </c>
      <c r="J2149" s="100">
        <v>-2143.7072290908363</v>
      </c>
    </row>
    <row r="2150" spans="1:10" x14ac:dyDescent="0.25">
      <c r="A2150">
        <v>2133</v>
      </c>
      <c r="B2150" s="100">
        <v>89.071102748177026</v>
      </c>
      <c r="C2150" s="100">
        <v>99.187318781115138</v>
      </c>
      <c r="D2150" s="100">
        <v>93.055361576650526</v>
      </c>
      <c r="E2150" s="100">
        <v>87.763022516592414</v>
      </c>
      <c r="F2150" s="100">
        <v>1592.377534725344</v>
      </c>
      <c r="G2150" s="100">
        <v>-1466.1439117295317</v>
      </c>
      <c r="H2150" s="100">
        <v>-478.5629423278408</v>
      </c>
      <c r="I2150" s="100">
        <v>5617.6171381088125</v>
      </c>
      <c r="J2150" s="100">
        <v>5265.2878187767838</v>
      </c>
    </row>
    <row r="2151" spans="1:10" x14ac:dyDescent="0.25">
      <c r="A2151">
        <v>2134</v>
      </c>
      <c r="B2151" s="100">
        <v>88.856870817039749</v>
      </c>
      <c r="C2151" s="100">
        <v>97.609113837699539</v>
      </c>
      <c r="D2151" s="100">
        <v>92.57571389304924</v>
      </c>
      <c r="E2151" s="100">
        <v>91.727538433582779</v>
      </c>
      <c r="F2151" s="100">
        <v>2299.3429074783589</v>
      </c>
      <c r="G2151" s="100">
        <v>901.16350339386736</v>
      </c>
      <c r="H2151" s="100">
        <v>480.73242487473067</v>
      </c>
      <c r="I2151" s="100">
        <v>1653.1012211184475</v>
      </c>
      <c r="J2151" s="100">
        <v>5334.3400568654051</v>
      </c>
    </row>
    <row r="2152" spans="1:10" x14ac:dyDescent="0.25">
      <c r="A2152">
        <v>2135</v>
      </c>
      <c r="B2152" s="100">
        <v>88.994209458483496</v>
      </c>
      <c r="C2152" s="100">
        <v>97.454205067537373</v>
      </c>
      <c r="D2152" s="100">
        <v>92.406574291144054</v>
      </c>
      <c r="E2152" s="100">
        <v>94.174349194528176</v>
      </c>
      <c r="F2152" s="100">
        <v>1846.1253907139919</v>
      </c>
      <c r="G2152" s="100">
        <v>1133.5266586371163</v>
      </c>
      <c r="H2152" s="100">
        <v>819.01162868510369</v>
      </c>
      <c r="I2152" s="100">
        <v>-793.70953982694914</v>
      </c>
      <c r="J2152" s="100">
        <v>3004.9541382092621</v>
      </c>
    </row>
    <row r="2153" spans="1:10" x14ac:dyDescent="0.25">
      <c r="A2153">
        <v>2136</v>
      </c>
      <c r="B2153" s="100">
        <v>88.860573057287041</v>
      </c>
      <c r="C2153" s="100">
        <v>97.662942161944699</v>
      </c>
      <c r="D2153" s="100">
        <v>91.669634645350939</v>
      </c>
      <c r="E2153" s="100">
        <v>91.953411748820955</v>
      </c>
      <c r="F2153" s="100">
        <v>2287.125514662293</v>
      </c>
      <c r="G2153" s="100">
        <v>820.42101702612763</v>
      </c>
      <c r="H2153" s="100">
        <v>2292.890920271333</v>
      </c>
      <c r="I2153" s="100">
        <v>1427.2279058802724</v>
      </c>
      <c r="J2153" s="100">
        <v>6827.6653578400255</v>
      </c>
    </row>
    <row r="2154" spans="1:10" x14ac:dyDescent="0.25">
      <c r="A2154">
        <v>2137</v>
      </c>
      <c r="B2154" s="100">
        <v>89.227312878305483</v>
      </c>
      <c r="C2154" s="100">
        <v>96.605429520520289</v>
      </c>
      <c r="D2154" s="100">
        <v>93.364612854496812</v>
      </c>
      <c r="E2154" s="100">
        <v>92.030029117117365</v>
      </c>
      <c r="F2154" s="100">
        <v>1076.8841053014355</v>
      </c>
      <c r="G2154" s="100">
        <v>2406.689979162742</v>
      </c>
      <c r="H2154" s="100">
        <v>-1097.0654980204131</v>
      </c>
      <c r="I2154" s="100">
        <v>1350.6105375838615</v>
      </c>
      <c r="J2154" s="100">
        <v>3737.1191240276262</v>
      </c>
    </row>
    <row r="2155" spans="1:10" x14ac:dyDescent="0.25">
      <c r="A2155">
        <v>2138</v>
      </c>
      <c r="B2155" s="100">
        <v>89.818949253943074</v>
      </c>
      <c r="C2155" s="100">
        <v>98.527546990921124</v>
      </c>
      <c r="D2155" s="100">
        <v>91.79600900220484</v>
      </c>
      <c r="E2155" s="100">
        <v>92.707946759094753</v>
      </c>
      <c r="F2155" s="100">
        <v>-875.51593430261642</v>
      </c>
      <c r="G2155" s="100">
        <v>-476.48622643851013</v>
      </c>
      <c r="H2155" s="100">
        <v>2040.1422065635302</v>
      </c>
      <c r="I2155" s="100">
        <v>672.69289560647394</v>
      </c>
      <c r="J2155" s="100">
        <v>1360.8329414288776</v>
      </c>
    </row>
    <row r="2156" spans="1:10" x14ac:dyDescent="0.25">
      <c r="A2156">
        <v>2139</v>
      </c>
      <c r="B2156" s="100">
        <v>89.387146070420883</v>
      </c>
      <c r="C2156" s="100">
        <v>98.642806838930525</v>
      </c>
      <c r="D2156" s="100">
        <v>93.239850216406779</v>
      </c>
      <c r="E2156" s="100">
        <v>93.703301846215368</v>
      </c>
      <c r="F2156" s="100">
        <v>549.43457132061576</v>
      </c>
      <c r="G2156" s="100">
        <v>-649.37599845261218</v>
      </c>
      <c r="H2156" s="100">
        <v>-847.54022184034739</v>
      </c>
      <c r="I2156" s="100">
        <v>-322.66219151414077</v>
      </c>
      <c r="J2156" s="100">
        <v>-1270.1438404864846</v>
      </c>
    </row>
    <row r="2157" spans="1:10" x14ac:dyDescent="0.25">
      <c r="A2157">
        <v>2140</v>
      </c>
      <c r="B2157" s="100">
        <v>89.776608900631928</v>
      </c>
      <c r="C2157" s="100">
        <v>98.786389679538274</v>
      </c>
      <c r="D2157" s="100">
        <v>91.872935199474668</v>
      </c>
      <c r="E2157" s="100">
        <v>94.145166886478677</v>
      </c>
      <c r="F2157" s="100">
        <v>-735.79276837583188</v>
      </c>
      <c r="G2157" s="100">
        <v>-864.75025936423572</v>
      </c>
      <c r="H2157" s="100">
        <v>1886.2898120238754</v>
      </c>
      <c r="I2157" s="100">
        <v>-764.52723177744986</v>
      </c>
      <c r="J2157" s="100">
        <v>-478.7804474936421</v>
      </c>
    </row>
    <row r="2158" spans="1:10" x14ac:dyDescent="0.25">
      <c r="A2158">
        <v>2141</v>
      </c>
      <c r="B2158" s="100">
        <v>89.437022628466053</v>
      </c>
      <c r="C2158" s="100">
        <v>96.180122761717897</v>
      </c>
      <c r="D2158" s="100">
        <v>92.984181796192303</v>
      </c>
      <c r="E2158" s="100">
        <v>92.45134120389227</v>
      </c>
      <c r="F2158" s="100">
        <v>384.84192977155374</v>
      </c>
      <c r="G2158" s="100">
        <v>3044.650117366331</v>
      </c>
      <c r="H2158" s="100">
        <v>-336.20338141139428</v>
      </c>
      <c r="I2158" s="100">
        <v>929.29845080895745</v>
      </c>
      <c r="J2158" s="100">
        <v>4022.5871165354479</v>
      </c>
    </row>
    <row r="2159" spans="1:10" x14ac:dyDescent="0.25">
      <c r="A2159">
        <v>2142</v>
      </c>
      <c r="B2159" s="100">
        <v>89.806346244105981</v>
      </c>
      <c r="C2159" s="100">
        <v>97.517062548946328</v>
      </c>
      <c r="D2159" s="100">
        <v>94.77196339502315</v>
      </c>
      <c r="E2159" s="100">
        <v>91.082205520369058</v>
      </c>
      <c r="F2159" s="100">
        <v>-833.92600184020864</v>
      </c>
      <c r="G2159" s="100">
        <v>1039.2404365236844</v>
      </c>
      <c r="H2159" s="100">
        <v>-3911.766579073088</v>
      </c>
      <c r="I2159" s="100">
        <v>2298.4341343321689</v>
      </c>
      <c r="J2159" s="100">
        <v>-1408.0180100574435</v>
      </c>
    </row>
    <row r="2160" spans="1:10" x14ac:dyDescent="0.25">
      <c r="A2160">
        <v>2143</v>
      </c>
      <c r="B2160" s="100">
        <v>89.074915857429389</v>
      </c>
      <c r="C2160" s="100">
        <v>97.925470018100484</v>
      </c>
      <c r="D2160" s="100">
        <v>93.250335590008163</v>
      </c>
      <c r="E2160" s="100">
        <v>92.299774689294296</v>
      </c>
      <c r="F2160" s="100">
        <v>1579.7942741925467</v>
      </c>
      <c r="G2160" s="100">
        <v>426.62923279245035</v>
      </c>
      <c r="H2160" s="100">
        <v>-868.51096904311476</v>
      </c>
      <c r="I2160" s="100">
        <v>1080.8649654069313</v>
      </c>
      <c r="J2160" s="100">
        <v>2218.7775033488133</v>
      </c>
    </row>
    <row r="2161" spans="1:10" x14ac:dyDescent="0.25">
      <c r="A2161">
        <v>2144</v>
      </c>
      <c r="B2161" s="100">
        <v>90.367576242104619</v>
      </c>
      <c r="C2161" s="100">
        <v>99.054510039470046</v>
      </c>
      <c r="D2161" s="100">
        <v>93.230660470170363</v>
      </c>
      <c r="E2161" s="100">
        <v>91.795870920667227</v>
      </c>
      <c r="F2161" s="100">
        <v>-2685.9849952357122</v>
      </c>
      <c r="G2161" s="100">
        <v>-1266.9307992618926</v>
      </c>
      <c r="H2161" s="100">
        <v>-829.16072936751561</v>
      </c>
      <c r="I2161" s="100">
        <v>1584.7687340340003</v>
      </c>
      <c r="J2161" s="100">
        <v>-3197.3077898311199</v>
      </c>
    </row>
    <row r="2162" spans="1:10" x14ac:dyDescent="0.25">
      <c r="A2162">
        <v>2145</v>
      </c>
      <c r="B2162" s="100">
        <v>89.763629684298294</v>
      </c>
      <c r="C2162" s="100">
        <v>97.024465621335892</v>
      </c>
      <c r="D2162" s="100">
        <v>93.511480847545016</v>
      </c>
      <c r="E2162" s="100">
        <v>93.042756216864774</v>
      </c>
      <c r="F2162" s="100">
        <v>-692.96135447484198</v>
      </c>
      <c r="G2162" s="100">
        <v>1778.1358279393373</v>
      </c>
      <c r="H2162" s="100">
        <v>-1390.801484116821</v>
      </c>
      <c r="I2162" s="100">
        <v>337.88343783645303</v>
      </c>
      <c r="J2162" s="100">
        <v>32.256427184127347</v>
      </c>
    </row>
    <row r="2163" spans="1:10" x14ac:dyDescent="0.25">
      <c r="A2163">
        <v>2146</v>
      </c>
      <c r="B2163" s="100">
        <v>88.850841732849048</v>
      </c>
      <c r="C2163" s="100">
        <v>98.524129196818294</v>
      </c>
      <c r="D2163" s="100">
        <v>92.140604067348121</v>
      </c>
      <c r="E2163" s="100">
        <v>90.185833334078211</v>
      </c>
      <c r="F2163" s="100">
        <v>2319.2388853076709</v>
      </c>
      <c r="G2163" s="100">
        <v>-471.35953528426455</v>
      </c>
      <c r="H2163" s="100">
        <v>1350.9520762769682</v>
      </c>
      <c r="I2163" s="100">
        <v>3194.8063206230158</v>
      </c>
      <c r="J2163" s="100">
        <v>6393.6377469233903</v>
      </c>
    </row>
    <row r="2164" spans="1:10" x14ac:dyDescent="0.25">
      <c r="A2164">
        <v>2147</v>
      </c>
      <c r="B2164" s="100">
        <v>88.686042555918462</v>
      </c>
      <c r="C2164" s="100">
        <v>97.973441494133851</v>
      </c>
      <c r="D2164" s="100">
        <v>92.722280572366913</v>
      </c>
      <c r="E2164" s="100">
        <v>88.851896513670866</v>
      </c>
      <c r="F2164" s="100">
        <v>2863.0761691786047</v>
      </c>
      <c r="G2164" s="100">
        <v>354.67201874239862</v>
      </c>
      <c r="H2164" s="100">
        <v>187.59906623938605</v>
      </c>
      <c r="I2164" s="100">
        <v>4528.7431410303616</v>
      </c>
      <c r="J2164" s="100">
        <v>7934.0903951907512</v>
      </c>
    </row>
    <row r="2165" spans="1:10" x14ac:dyDescent="0.25">
      <c r="A2165">
        <v>2148</v>
      </c>
      <c r="B2165" s="100">
        <v>89.989155732865385</v>
      </c>
      <c r="C2165" s="100">
        <v>99.291245714672854</v>
      </c>
      <c r="D2165" s="100">
        <v>93.299765631390599</v>
      </c>
      <c r="E2165" s="100">
        <v>95.68106772825459</v>
      </c>
      <c r="F2165" s="100">
        <v>-1437.19731474624</v>
      </c>
      <c r="G2165" s="100">
        <v>-1622.0343120661055</v>
      </c>
      <c r="H2165" s="100">
        <v>-967.37105180798721</v>
      </c>
      <c r="I2165" s="100">
        <v>-2300.4280735533625</v>
      </c>
      <c r="J2165" s="100">
        <v>-6327.0307521736959</v>
      </c>
    </row>
    <row r="2166" spans="1:10" x14ac:dyDescent="0.25">
      <c r="A2166">
        <v>2149</v>
      </c>
      <c r="B2166" s="100">
        <v>90.435037775282211</v>
      </c>
      <c r="C2166" s="100">
        <v>99.475128202922988</v>
      </c>
      <c r="D2166" s="100">
        <v>91.661978175114925</v>
      </c>
      <c r="E2166" s="100">
        <v>96.501038497882973</v>
      </c>
      <c r="F2166" s="100">
        <v>-2908.6080547217675</v>
      </c>
      <c r="G2166" s="100">
        <v>-1897.8580444413069</v>
      </c>
      <c r="H2166" s="100">
        <v>2308.2038607433615</v>
      </c>
      <c r="I2166" s="100">
        <v>-3120.3988431817465</v>
      </c>
      <c r="J2166" s="100">
        <v>-5618.66108160146</v>
      </c>
    </row>
    <row r="2167" spans="1:10" x14ac:dyDescent="0.25">
      <c r="A2167">
        <v>2150</v>
      </c>
      <c r="B2167" s="100">
        <v>89.678449537286809</v>
      </c>
      <c r="C2167" s="100">
        <v>96.471004222893612</v>
      </c>
      <c r="D2167" s="100">
        <v>93.107837863165528</v>
      </c>
      <c r="E2167" s="100">
        <v>93.14919095945632</v>
      </c>
      <c r="F2167" s="100">
        <v>-411.86686933694148</v>
      </c>
      <c r="G2167" s="100">
        <v>2608.3279256027581</v>
      </c>
      <c r="H2167" s="100">
        <v>-583.51551535784552</v>
      </c>
      <c r="I2167" s="100">
        <v>231.4486952449073</v>
      </c>
      <c r="J2167" s="100">
        <v>1844.3942361528784</v>
      </c>
    </row>
    <row r="2168" spans="1:10" x14ac:dyDescent="0.25">
      <c r="A2168">
        <v>2151</v>
      </c>
      <c r="B2168" s="100">
        <v>90.215622178452506</v>
      </c>
      <c r="C2168" s="100">
        <v>98.136892147754736</v>
      </c>
      <c r="D2168" s="100">
        <v>93.239740677680956</v>
      </c>
      <c r="E2168" s="100">
        <v>92.54455980105341</v>
      </c>
      <c r="F2168" s="100">
        <v>-2184.53658518374</v>
      </c>
      <c r="G2168" s="100">
        <v>109.49603831107169</v>
      </c>
      <c r="H2168" s="100">
        <v>-847.32114438870099</v>
      </c>
      <c r="I2168" s="100">
        <v>836.07985364781712</v>
      </c>
      <c r="J2168" s="100">
        <v>-2086.2818376135529</v>
      </c>
    </row>
    <row r="2169" spans="1:10" x14ac:dyDescent="0.25">
      <c r="A2169">
        <v>2152</v>
      </c>
      <c r="B2169" s="100">
        <v>90.091138779080595</v>
      </c>
      <c r="C2169" s="100">
        <v>96.870299132782606</v>
      </c>
      <c r="D2169" s="100">
        <v>93.475187892407789</v>
      </c>
      <c r="E2169" s="100">
        <v>92.059746489586985</v>
      </c>
      <c r="F2169" s="100">
        <v>-1773.741367256433</v>
      </c>
      <c r="G2169" s="100">
        <v>2009.3855607692674</v>
      </c>
      <c r="H2169" s="100">
        <v>-1318.215573842366</v>
      </c>
      <c r="I2169" s="100">
        <v>1320.893165114242</v>
      </c>
      <c r="J2169" s="100">
        <v>238.32178478471042</v>
      </c>
    </row>
    <row r="2170" spans="1:10" x14ac:dyDescent="0.25">
      <c r="A2170">
        <v>2153</v>
      </c>
      <c r="B2170" s="100">
        <v>90.054353289782341</v>
      </c>
      <c r="C2170" s="100">
        <v>98.546175427887974</v>
      </c>
      <c r="D2170" s="100">
        <v>92.026908276396668</v>
      </c>
      <c r="E2170" s="100">
        <v>91.419648998065995</v>
      </c>
      <c r="F2170" s="100">
        <v>-1652.3492525721963</v>
      </c>
      <c r="G2170" s="100">
        <v>-504.42888188878499</v>
      </c>
      <c r="H2170" s="100">
        <v>1578.3436581798753</v>
      </c>
      <c r="I2170" s="100">
        <v>1960.9906566352322</v>
      </c>
      <c r="J2170" s="100">
        <v>1382.5561803541264</v>
      </c>
    </row>
    <row r="2171" spans="1:10" x14ac:dyDescent="0.25">
      <c r="A2171">
        <v>2154</v>
      </c>
      <c r="B2171" s="100">
        <v>89.381277504507381</v>
      </c>
      <c r="C2171" s="100">
        <v>98.884727929315702</v>
      </c>
      <c r="D2171" s="100">
        <v>92.964775117563221</v>
      </c>
      <c r="E2171" s="100">
        <v>92.456197444011224</v>
      </c>
      <c r="F2171" s="100">
        <v>568.80083883517329</v>
      </c>
      <c r="G2171" s="100">
        <v>-1012.2576340303766</v>
      </c>
      <c r="H2171" s="100">
        <v>-297.39002415323057</v>
      </c>
      <c r="I2171" s="100">
        <v>924.44221069000321</v>
      </c>
      <c r="J2171" s="100">
        <v>183.59539134156933</v>
      </c>
    </row>
    <row r="2172" spans="1:10" x14ac:dyDescent="0.25">
      <c r="A2172">
        <v>2155</v>
      </c>
      <c r="B2172" s="100">
        <v>89.1037910299884</v>
      </c>
      <c r="C2172" s="100">
        <v>98.178242977768548</v>
      </c>
      <c r="D2172" s="100">
        <v>95.767052329247747</v>
      </c>
      <c r="E2172" s="100">
        <v>97.028824876362648</v>
      </c>
      <c r="F2172" s="100">
        <v>1484.5062047478082</v>
      </c>
      <c r="G2172" s="100">
        <v>47.469793290353834</v>
      </c>
      <c r="H2172" s="100">
        <v>-5901.9444475222826</v>
      </c>
      <c r="I2172" s="100">
        <v>-3648.1852216614216</v>
      </c>
      <c r="J2172" s="100">
        <v>-8018.1536711455419</v>
      </c>
    </row>
    <row r="2173" spans="1:10" x14ac:dyDescent="0.25">
      <c r="A2173">
        <v>2156</v>
      </c>
      <c r="B2173" s="100">
        <v>89.516161989382638</v>
      </c>
      <c r="C2173" s="100">
        <v>98.463819619625355</v>
      </c>
      <c r="D2173" s="100">
        <v>89.153753296134582</v>
      </c>
      <c r="E2173" s="100">
        <v>93.945123160396065</v>
      </c>
      <c r="F2173" s="100">
        <v>123.6820387468228</v>
      </c>
      <c r="G2173" s="100">
        <v>-380.89516949485613</v>
      </c>
      <c r="H2173" s="100">
        <v>7324.6536187040474</v>
      </c>
      <c r="I2173" s="100">
        <v>-564.48350569483807</v>
      </c>
      <c r="J2173" s="100">
        <v>6502.9569822611766</v>
      </c>
    </row>
    <row r="2174" spans="1:10" x14ac:dyDescent="0.25">
      <c r="A2174">
        <v>2157</v>
      </c>
      <c r="B2174" s="100">
        <v>89.160219846202025</v>
      </c>
      <c r="C2174" s="100">
        <v>97.851539537336066</v>
      </c>
      <c r="D2174" s="100">
        <v>92.199378374423517</v>
      </c>
      <c r="E2174" s="100">
        <v>95.139024822926359</v>
      </c>
      <c r="F2174" s="100">
        <v>1298.2911112428453</v>
      </c>
      <c r="G2174" s="100">
        <v>537.52495393907657</v>
      </c>
      <c r="H2174" s="100">
        <v>1233.4034621261765</v>
      </c>
      <c r="I2174" s="100">
        <v>-1758.385168225132</v>
      </c>
      <c r="J2174" s="100">
        <v>1310.8343590829663</v>
      </c>
    </row>
    <row r="2175" spans="1:10" x14ac:dyDescent="0.25">
      <c r="A2175">
        <v>2158</v>
      </c>
      <c r="B2175" s="100">
        <v>89.871795389694924</v>
      </c>
      <c r="C2175" s="100">
        <v>100.07802159826647</v>
      </c>
      <c r="D2175" s="100">
        <v>93.689955542908919</v>
      </c>
      <c r="E2175" s="100">
        <v>94.143955715947499</v>
      </c>
      <c r="F2175" s="100">
        <v>-1049.9081822837197</v>
      </c>
      <c r="G2175" s="100">
        <v>-2802.1981374565357</v>
      </c>
      <c r="H2175" s="100">
        <v>-1747.7508748446269</v>
      </c>
      <c r="I2175" s="100">
        <v>-763.31606124627172</v>
      </c>
      <c r="J2175" s="100">
        <v>-6363.1732558311542</v>
      </c>
    </row>
    <row r="2176" spans="1:10" x14ac:dyDescent="0.25">
      <c r="A2176">
        <v>2159</v>
      </c>
      <c r="B2176" s="100">
        <v>89.060502091305324</v>
      </c>
      <c r="C2176" s="100">
        <v>98.544959896418149</v>
      </c>
      <c r="D2176" s="100">
        <v>94.217498890685604</v>
      </c>
      <c r="E2176" s="100">
        <v>91.930185775279</v>
      </c>
      <c r="F2176" s="100">
        <v>1627.3597024019609</v>
      </c>
      <c r="G2176" s="100">
        <v>-502.60558468404781</v>
      </c>
      <c r="H2176" s="100">
        <v>-2802.8375703979973</v>
      </c>
      <c r="I2176" s="100">
        <v>1450.4538794222271</v>
      </c>
      <c r="J2176" s="100">
        <v>-227.62957325785692</v>
      </c>
    </row>
    <row r="2177" spans="1:10" x14ac:dyDescent="0.25">
      <c r="A2177">
        <v>2160</v>
      </c>
      <c r="B2177" s="100">
        <v>88.147137014277504</v>
      </c>
      <c r="C2177" s="100">
        <v>98.519024402113729</v>
      </c>
      <c r="D2177" s="100">
        <v>92.329041589662012</v>
      </c>
      <c r="E2177" s="100">
        <v>93.909995945664122</v>
      </c>
      <c r="F2177" s="100">
        <v>4641.4644565937651</v>
      </c>
      <c r="G2177" s="100">
        <v>-463.70234322741766</v>
      </c>
      <c r="H2177" s="100">
        <v>974.07703164918757</v>
      </c>
      <c r="I2177" s="100">
        <v>-529.3562909628946</v>
      </c>
      <c r="J2177" s="100">
        <v>4622.4828540526414</v>
      </c>
    </row>
    <row r="2178" spans="1:10" x14ac:dyDescent="0.25">
      <c r="A2178">
        <v>2161</v>
      </c>
      <c r="B2178" s="100">
        <v>89.142055213055826</v>
      </c>
      <c r="C2178" s="100">
        <v>97.13709350479121</v>
      </c>
      <c r="D2178" s="100">
        <v>93.08208617545867</v>
      </c>
      <c r="E2178" s="100">
        <v>90.65075846932092</v>
      </c>
      <c r="F2178" s="100">
        <v>1358.2344006253024</v>
      </c>
      <c r="G2178" s="100">
        <v>1609.194002756361</v>
      </c>
      <c r="H2178" s="100">
        <v>-532.0121399441291</v>
      </c>
      <c r="I2178" s="100">
        <v>2729.8811853803072</v>
      </c>
      <c r="J2178" s="100">
        <v>5165.2974488178415</v>
      </c>
    </row>
    <row r="2179" spans="1:10" x14ac:dyDescent="0.25">
      <c r="A2179">
        <v>2162</v>
      </c>
      <c r="B2179" s="100">
        <v>89.66652100131067</v>
      </c>
      <c r="C2179" s="100">
        <v>100.65327479753697</v>
      </c>
      <c r="D2179" s="100">
        <v>92.483499085440727</v>
      </c>
      <c r="E2179" s="100">
        <v>94.661346936108686</v>
      </c>
      <c r="F2179" s="100">
        <v>-372.50270061568216</v>
      </c>
      <c r="G2179" s="100">
        <v>-3665.0779363622732</v>
      </c>
      <c r="H2179" s="100">
        <v>665.16204009175794</v>
      </c>
      <c r="I2179" s="100">
        <v>-1280.7072814074586</v>
      </c>
      <c r="J2179" s="100">
        <v>-4653.1258782936566</v>
      </c>
    </row>
    <row r="2180" spans="1:10" x14ac:dyDescent="0.25">
      <c r="A2180">
        <v>2163</v>
      </c>
      <c r="B2180" s="100">
        <v>90.348098067345759</v>
      </c>
      <c r="C2180" s="100">
        <v>97.890866677872609</v>
      </c>
      <c r="D2180" s="100">
        <v>93.82439066346501</v>
      </c>
      <c r="E2180" s="100">
        <v>94.727918506936163</v>
      </c>
      <c r="F2180" s="100">
        <v>-2621.7070185314769</v>
      </c>
      <c r="G2180" s="100">
        <v>478.53424313426274</v>
      </c>
      <c r="H2180" s="100">
        <v>-2016.6211159568093</v>
      </c>
      <c r="I2180" s="100">
        <v>-1347.278852234936</v>
      </c>
      <c r="J2180" s="100">
        <v>-5507.0727435889603</v>
      </c>
    </row>
    <row r="2181" spans="1:10" x14ac:dyDescent="0.25">
      <c r="A2181">
        <v>2164</v>
      </c>
      <c r="B2181" s="100">
        <v>90.527564317501813</v>
      </c>
      <c r="C2181" s="100">
        <v>98.947099347643501</v>
      </c>
      <c r="D2181" s="100">
        <v>92.784162329434864</v>
      </c>
      <c r="E2181" s="100">
        <v>94.625652202472324</v>
      </c>
      <c r="F2181" s="100">
        <v>-3213.9456440464542</v>
      </c>
      <c r="G2181" s="100">
        <v>-1105.8147615220762</v>
      </c>
      <c r="H2181" s="100">
        <v>63.835552103483906</v>
      </c>
      <c r="I2181" s="100">
        <v>-1245.0125477710969</v>
      </c>
      <c r="J2181" s="100">
        <v>-5500.9374012361441</v>
      </c>
    </row>
    <row r="2182" spans="1:10" x14ac:dyDescent="0.25">
      <c r="A2182">
        <v>2165</v>
      </c>
      <c r="B2182" s="100">
        <v>89.640250218105081</v>
      </c>
      <c r="C2182" s="100">
        <v>100.47893210448109</v>
      </c>
      <c r="D2182" s="100">
        <v>92.925466176103129</v>
      </c>
      <c r="E2182" s="100">
        <v>94.919365810023294</v>
      </c>
      <c r="F2182" s="100">
        <v>-285.80911603723678</v>
      </c>
      <c r="G2182" s="100">
        <v>-3403.563896778458</v>
      </c>
      <c r="H2182" s="100">
        <v>-218.77214123304611</v>
      </c>
      <c r="I2182" s="100">
        <v>-1538.7261553220669</v>
      </c>
      <c r="J2182" s="100">
        <v>-5446.8713093708084</v>
      </c>
    </row>
    <row r="2183" spans="1:10" x14ac:dyDescent="0.25">
      <c r="A2183">
        <v>2166</v>
      </c>
      <c r="B2183" s="100">
        <v>89.671682899011941</v>
      </c>
      <c r="C2183" s="100">
        <v>95.994912318607859</v>
      </c>
      <c r="D2183" s="100">
        <v>91.689472772057897</v>
      </c>
      <c r="E2183" s="100">
        <v>94.815215190712962</v>
      </c>
      <c r="F2183" s="100">
        <v>-389.53696302987595</v>
      </c>
      <c r="G2183" s="100">
        <v>3322.4657820313864</v>
      </c>
      <c r="H2183" s="100">
        <v>2253.2146668574169</v>
      </c>
      <c r="I2183" s="100">
        <v>-1434.575536011735</v>
      </c>
      <c r="J2183" s="100">
        <v>3751.5679498471923</v>
      </c>
    </row>
    <row r="2184" spans="1:10" x14ac:dyDescent="0.25">
      <c r="A2184">
        <v>2167</v>
      </c>
      <c r="B2184" s="100">
        <v>89.244906450019201</v>
      </c>
      <c r="C2184" s="100">
        <v>98.566527170696631</v>
      </c>
      <c r="D2184" s="100">
        <v>92.248586875211714</v>
      </c>
      <c r="E2184" s="100">
        <v>94.03135968686189</v>
      </c>
      <c r="F2184" s="100">
        <v>1018.8253186461666</v>
      </c>
      <c r="G2184" s="100">
        <v>-534.95649610177054</v>
      </c>
      <c r="H2184" s="100">
        <v>1134.9864605497828</v>
      </c>
      <c r="I2184" s="100">
        <v>-650.72003216066321</v>
      </c>
      <c r="J2184" s="100">
        <v>968.13525093351575</v>
      </c>
    </row>
    <row r="2185" spans="1:10" x14ac:dyDescent="0.25">
      <c r="A2185">
        <v>2168</v>
      </c>
      <c r="B2185" s="100">
        <v>89.484245406063422</v>
      </c>
      <c r="C2185" s="100">
        <v>97.389625042822161</v>
      </c>
      <c r="D2185" s="100">
        <v>93.736556489200566</v>
      </c>
      <c r="E2185" s="100">
        <v>91.327126360970439</v>
      </c>
      <c r="F2185" s="100">
        <v>229.00676370023518</v>
      </c>
      <c r="G2185" s="100">
        <v>1230.3966957099349</v>
      </c>
      <c r="H2185" s="100">
        <v>-1840.9527674279218</v>
      </c>
      <c r="I2185" s="100">
        <v>2053.5132937307881</v>
      </c>
      <c r="J2185" s="100">
        <v>1671.9639857130362</v>
      </c>
    </row>
    <row r="2186" spans="1:10" x14ac:dyDescent="0.25">
      <c r="A2186">
        <v>2169</v>
      </c>
      <c r="B2186" s="100">
        <v>89.517492999909209</v>
      </c>
      <c r="C2186" s="100">
        <v>97.606107536843083</v>
      </c>
      <c r="D2186" s="100">
        <v>91.709366844917213</v>
      </c>
      <c r="E2186" s="100">
        <v>91.603373795726668</v>
      </c>
      <c r="F2186" s="100">
        <v>119.28970400914096</v>
      </c>
      <c r="G2186" s="100">
        <v>905.67295467855047</v>
      </c>
      <c r="H2186" s="100">
        <v>2213.4265211387856</v>
      </c>
      <c r="I2186" s="100">
        <v>1777.2658589745588</v>
      </c>
      <c r="J2186" s="100">
        <v>5015.6550388010355</v>
      </c>
    </row>
    <row r="2187" spans="1:10" x14ac:dyDescent="0.25">
      <c r="A2187">
        <v>2170</v>
      </c>
      <c r="B2187" s="100">
        <v>89.800181673803806</v>
      </c>
      <c r="C2187" s="100">
        <v>98.652492236933057</v>
      </c>
      <c r="D2187" s="100">
        <v>90.929127231967286</v>
      </c>
      <c r="E2187" s="100">
        <v>93.491726298609237</v>
      </c>
      <c r="F2187" s="100">
        <v>-813.58291984303014</v>
      </c>
      <c r="G2187" s="100">
        <v>-663.90409545640955</v>
      </c>
      <c r="H2187" s="100">
        <v>3773.9057470386397</v>
      </c>
      <c r="I2187" s="100">
        <v>-111.08664390800982</v>
      </c>
      <c r="J2187" s="100">
        <v>2185.3320878311897</v>
      </c>
    </row>
    <row r="2188" spans="1:10" x14ac:dyDescent="0.25">
      <c r="A2188">
        <v>2171</v>
      </c>
      <c r="B2188" s="100">
        <v>89.58497864049636</v>
      </c>
      <c r="C2188" s="100">
        <v>98.999909256827436</v>
      </c>
      <c r="D2188" s="100">
        <v>93.925696070141882</v>
      </c>
      <c r="E2188" s="100">
        <v>92.715883881918103</v>
      </c>
      <c r="F2188" s="100">
        <v>-103.412909928457</v>
      </c>
      <c r="G2188" s="100">
        <v>-1185.0296252979788</v>
      </c>
      <c r="H2188" s="100">
        <v>-2219.2319293105529</v>
      </c>
      <c r="I2188" s="100">
        <v>664.75577278312414</v>
      </c>
      <c r="J2188" s="100">
        <v>-2842.9186917538646</v>
      </c>
    </row>
    <row r="2189" spans="1:10" x14ac:dyDescent="0.25">
      <c r="A2189">
        <v>2172</v>
      </c>
      <c r="B2189" s="100">
        <v>89.428229278971386</v>
      </c>
      <c r="C2189" s="100">
        <v>98.890926775598089</v>
      </c>
      <c r="D2189" s="100">
        <v>93.371019006959727</v>
      </c>
      <c r="E2189" s="100">
        <v>95.726238570151708</v>
      </c>
      <c r="F2189" s="100">
        <v>413.85998310395422</v>
      </c>
      <c r="G2189" s="100">
        <v>-1021.5559034539581</v>
      </c>
      <c r="H2189" s="100">
        <v>-1109.8778029462437</v>
      </c>
      <c r="I2189" s="100">
        <v>-2345.5989154504805</v>
      </c>
      <c r="J2189" s="100">
        <v>-4063.1726387467279</v>
      </c>
    </row>
    <row r="2190" spans="1:10" x14ac:dyDescent="0.25">
      <c r="A2190">
        <v>2173</v>
      </c>
      <c r="B2190" s="100">
        <v>88.913849738745441</v>
      </c>
      <c r="C2190" s="100">
        <v>98.381349143941733</v>
      </c>
      <c r="D2190" s="100">
        <v>93.125119438045886</v>
      </c>
      <c r="E2190" s="100">
        <v>92.123221166094808</v>
      </c>
      <c r="F2190" s="100">
        <v>2111.3124658495749</v>
      </c>
      <c r="G2190" s="100">
        <v>-257.18945596942433</v>
      </c>
      <c r="H2190" s="100">
        <v>-618.07866511855991</v>
      </c>
      <c r="I2190" s="100">
        <v>1257.4184886064188</v>
      </c>
      <c r="J2190" s="100">
        <v>2493.4628333680093</v>
      </c>
    </row>
    <row r="2191" spans="1:10" x14ac:dyDescent="0.25">
      <c r="A2191">
        <v>2174</v>
      </c>
      <c r="B2191" s="100">
        <v>89.170984235125573</v>
      </c>
      <c r="C2191" s="100">
        <v>96.710881030904162</v>
      </c>
      <c r="D2191" s="100">
        <v>93.422800934883995</v>
      </c>
      <c r="E2191" s="100">
        <v>93.975456412739433</v>
      </c>
      <c r="F2191" s="100">
        <v>1262.7686277951384</v>
      </c>
      <c r="G2191" s="100">
        <v>2248.5127135869334</v>
      </c>
      <c r="H2191" s="100">
        <v>-1213.4416587947783</v>
      </c>
      <c r="I2191" s="100">
        <v>-594.81675803820622</v>
      </c>
      <c r="J2191" s="100">
        <v>1703.0229245490871</v>
      </c>
    </row>
    <row r="2192" spans="1:10" x14ac:dyDescent="0.25">
      <c r="A2192">
        <v>2175</v>
      </c>
      <c r="B2192" s="100">
        <v>89.455934148790035</v>
      </c>
      <c r="C2192" s="100">
        <v>98.933516736391198</v>
      </c>
      <c r="D2192" s="100">
        <v>92.036639545858733</v>
      </c>
      <c r="E2192" s="100">
        <v>93.553412299893353</v>
      </c>
      <c r="F2192" s="100">
        <v>322.43391270241233</v>
      </c>
      <c r="G2192" s="100">
        <v>-1085.4408446436209</v>
      </c>
      <c r="H2192" s="100">
        <v>1558.8811192557444</v>
      </c>
      <c r="I2192" s="100">
        <v>-172.77264519212565</v>
      </c>
      <c r="J2192" s="100">
        <v>623.10154212241002</v>
      </c>
    </row>
    <row r="2193" spans="1:10" x14ac:dyDescent="0.25">
      <c r="A2193">
        <v>2176</v>
      </c>
      <c r="B2193" s="100">
        <v>90.348118916147442</v>
      </c>
      <c r="C2193" s="100">
        <v>97.879802656252323</v>
      </c>
      <c r="D2193" s="100">
        <v>93.649231750319984</v>
      </c>
      <c r="E2193" s="100">
        <v>94.920727143480747</v>
      </c>
      <c r="F2193" s="100">
        <v>-2621.7758195770289</v>
      </c>
      <c r="G2193" s="100">
        <v>495.13027556469069</v>
      </c>
      <c r="H2193" s="100">
        <v>-1666.3032896667573</v>
      </c>
      <c r="I2193" s="100">
        <v>-1540.0874887795198</v>
      </c>
      <c r="J2193" s="100">
        <v>-5333.0363224586154</v>
      </c>
    </row>
    <row r="2194" spans="1:10" x14ac:dyDescent="0.25">
      <c r="A2194">
        <v>2177</v>
      </c>
      <c r="B2194" s="100">
        <v>89.763587402879111</v>
      </c>
      <c r="C2194" s="100">
        <v>98.172846392859597</v>
      </c>
      <c r="D2194" s="100">
        <v>92.53363566613038</v>
      </c>
      <c r="E2194" s="100">
        <v>93.335488271551512</v>
      </c>
      <c r="F2194" s="100">
        <v>-692.82182579153618</v>
      </c>
      <c r="G2194" s="100">
        <v>55.564670653780013</v>
      </c>
      <c r="H2194" s="100">
        <v>564.88887871245197</v>
      </c>
      <c r="I2194" s="100">
        <v>45.15138314971523</v>
      </c>
      <c r="J2194" s="100">
        <v>-27.216893275588973</v>
      </c>
    </row>
    <row r="2195" spans="1:10" x14ac:dyDescent="0.25">
      <c r="A2195">
        <v>2178</v>
      </c>
      <c r="B2195" s="100">
        <v>89.911183332260933</v>
      </c>
      <c r="C2195" s="100">
        <v>98.447001964852277</v>
      </c>
      <c r="D2195" s="100">
        <v>93.62103018001595</v>
      </c>
      <c r="E2195" s="100">
        <v>95.207988730902343</v>
      </c>
      <c r="F2195" s="100">
        <v>-1179.888392751549</v>
      </c>
      <c r="G2195" s="100">
        <v>-355.66868733523904</v>
      </c>
      <c r="H2195" s="100">
        <v>-1609.9001490586886</v>
      </c>
      <c r="I2195" s="100">
        <v>-1827.3490762011165</v>
      </c>
      <c r="J2195" s="100">
        <v>-4972.8063053465939</v>
      </c>
    </row>
    <row r="2196" spans="1:10" x14ac:dyDescent="0.25">
      <c r="A2196">
        <v>2179</v>
      </c>
      <c r="B2196" s="100">
        <v>89.202366276872311</v>
      </c>
      <c r="C2196" s="100">
        <v>97.830197382148214</v>
      </c>
      <c r="D2196" s="100">
        <v>93.405217535925559</v>
      </c>
      <c r="E2196" s="100">
        <v>95.095892811572654</v>
      </c>
      <c r="F2196" s="100">
        <v>1159.207890030902</v>
      </c>
      <c r="G2196" s="100">
        <v>569.53818672085526</v>
      </c>
      <c r="H2196" s="100">
        <v>-1178.2748608779059</v>
      </c>
      <c r="I2196" s="100">
        <v>-1715.2531568714267</v>
      </c>
      <c r="J2196" s="100">
        <v>-1164.7819409975752</v>
      </c>
    </row>
    <row r="2197" spans="1:10" x14ac:dyDescent="0.25">
      <c r="A2197">
        <v>2180</v>
      </c>
      <c r="B2197" s="100">
        <v>89.912989195457968</v>
      </c>
      <c r="C2197" s="100">
        <v>99.334663778563936</v>
      </c>
      <c r="D2197" s="100">
        <v>92.51148970626943</v>
      </c>
      <c r="E2197" s="100">
        <v>94.427677565271338</v>
      </c>
      <c r="F2197" s="100">
        <v>-1185.8477413017638</v>
      </c>
      <c r="G2197" s="100">
        <v>-1687.1614079027281</v>
      </c>
      <c r="H2197" s="100">
        <v>609.1807984343518</v>
      </c>
      <c r="I2197" s="100">
        <v>-1047.0379105701113</v>
      </c>
      <c r="J2197" s="100">
        <v>-3310.8662613402516</v>
      </c>
    </row>
    <row r="2198" spans="1:10" x14ac:dyDescent="0.25">
      <c r="A2198">
        <v>2181</v>
      </c>
      <c r="B2198" s="100">
        <v>90.129537795083422</v>
      </c>
      <c r="C2198" s="100">
        <v>97.513892768313326</v>
      </c>
      <c r="D2198" s="100">
        <v>94.20098527763291</v>
      </c>
      <c r="E2198" s="100">
        <v>95.08923507840835</v>
      </c>
      <c r="F2198" s="100">
        <v>-1900.458120065764</v>
      </c>
      <c r="G2198" s="100">
        <v>1043.9951074731866</v>
      </c>
      <c r="H2198" s="100">
        <v>-2769.8103442926085</v>
      </c>
      <c r="I2198" s="100">
        <v>-1708.5954237071235</v>
      </c>
      <c r="J2198" s="100">
        <v>-5334.8687805923091</v>
      </c>
    </row>
    <row r="2199" spans="1:10" x14ac:dyDescent="0.25">
      <c r="A2199">
        <v>2182</v>
      </c>
      <c r="B2199" s="100">
        <v>89.838523782565773</v>
      </c>
      <c r="C2199" s="100">
        <v>97.204808179946696</v>
      </c>
      <c r="D2199" s="100">
        <v>93.72988784441678</v>
      </c>
      <c r="E2199" s="100">
        <v>90.930210168083661</v>
      </c>
      <c r="F2199" s="100">
        <v>-940.11187875752</v>
      </c>
      <c r="G2199" s="100">
        <v>1507.6219900231322</v>
      </c>
      <c r="H2199" s="100">
        <v>-1827.6154778603484</v>
      </c>
      <c r="I2199" s="100">
        <v>2450.4294866175655</v>
      </c>
      <c r="J2199" s="100">
        <v>1190.3241200228294</v>
      </c>
    </row>
    <row r="2200" spans="1:10" x14ac:dyDescent="0.25">
      <c r="A2200">
        <v>2183</v>
      </c>
      <c r="B2200" s="100">
        <v>89.573154668882978</v>
      </c>
      <c r="C2200" s="100">
        <v>98.317117485415736</v>
      </c>
      <c r="D2200" s="100">
        <v>93.332731277292481</v>
      </c>
      <c r="E2200" s="100">
        <v>90.722449363216157</v>
      </c>
      <c r="F2200" s="100">
        <v>-64.393803604298228</v>
      </c>
      <c r="G2200" s="100">
        <v>-160.84196818042784</v>
      </c>
      <c r="H2200" s="100">
        <v>-1033.3023436117514</v>
      </c>
      <c r="I2200" s="100">
        <v>2658.1902914850702</v>
      </c>
      <c r="J2200" s="100">
        <v>1399.6521760885928</v>
      </c>
    </row>
    <row r="2201" spans="1:10" x14ac:dyDescent="0.25">
      <c r="A2201">
        <v>2184</v>
      </c>
      <c r="B2201" s="100">
        <v>89.878043752965766</v>
      </c>
      <c r="C2201" s="100">
        <v>97.084487740706393</v>
      </c>
      <c r="D2201" s="100">
        <v>90.956504991703099</v>
      </c>
      <c r="E2201" s="100">
        <v>94.394597400398595</v>
      </c>
      <c r="F2201" s="100">
        <v>-1070.5277810774987</v>
      </c>
      <c r="G2201" s="100">
        <v>1688.1026488835857</v>
      </c>
      <c r="H2201" s="100">
        <v>3719.1502275670132</v>
      </c>
      <c r="I2201" s="100">
        <v>-1013.9577456973683</v>
      </c>
      <c r="J2201" s="100">
        <v>3322.7673496757316</v>
      </c>
    </row>
    <row r="2202" spans="1:10" x14ac:dyDescent="0.25">
      <c r="A2202">
        <v>2185</v>
      </c>
      <c r="B2202" s="100">
        <v>89.617857253902642</v>
      </c>
      <c r="C2202" s="100">
        <v>97.248277771776173</v>
      </c>
      <c r="D2202" s="100">
        <v>92.509503857037643</v>
      </c>
      <c r="E2202" s="100">
        <v>95.185704544918508</v>
      </c>
      <c r="F2202" s="100">
        <v>-211.91233416918891</v>
      </c>
      <c r="G2202" s="100">
        <v>1442.4176022789154</v>
      </c>
      <c r="H2202" s="100">
        <v>613.15249689792495</v>
      </c>
      <c r="I2202" s="100">
        <v>-1805.0648902172811</v>
      </c>
      <c r="J2202" s="100">
        <v>38.592874790370388</v>
      </c>
    </row>
    <row r="2203" spans="1:10" x14ac:dyDescent="0.25">
      <c r="A2203">
        <v>2186</v>
      </c>
      <c r="B2203" s="100">
        <v>90.00736220053048</v>
      </c>
      <c r="C2203" s="100">
        <v>97.497990122422266</v>
      </c>
      <c r="D2203" s="100">
        <v>92.761222929828847</v>
      </c>
      <c r="E2203" s="100">
        <v>94.008740886574913</v>
      </c>
      <c r="F2203" s="100">
        <v>-1497.2786580410543</v>
      </c>
      <c r="G2203" s="100">
        <v>1067.849076309777</v>
      </c>
      <c r="H2203" s="100">
        <v>109.71435131551743</v>
      </c>
      <c r="I2203" s="100">
        <v>-628.10123187368561</v>
      </c>
      <c r="J2203" s="100">
        <v>-947.81646228944544</v>
      </c>
    </row>
    <row r="2204" spans="1:10" x14ac:dyDescent="0.25">
      <c r="A2204">
        <v>2187</v>
      </c>
      <c r="B2204" s="100">
        <v>89.808346853057287</v>
      </c>
      <c r="C2204" s="100">
        <v>98.649932555685837</v>
      </c>
      <c r="D2204" s="100">
        <v>92.440128857017143</v>
      </c>
      <c r="E2204" s="100">
        <v>91.294921736584016</v>
      </c>
      <c r="F2204" s="100">
        <v>-840.5280113795186</v>
      </c>
      <c r="G2204" s="100">
        <v>-660.06457358557918</v>
      </c>
      <c r="H2204" s="100">
        <v>751.90249693892497</v>
      </c>
      <c r="I2204" s="100">
        <v>2085.7179181172114</v>
      </c>
      <c r="J2204" s="100">
        <v>1337.0278300910386</v>
      </c>
    </row>
    <row r="2205" spans="1:10" x14ac:dyDescent="0.25">
      <c r="A2205">
        <v>2188</v>
      </c>
      <c r="B2205" s="100">
        <v>88.679122493124467</v>
      </c>
      <c r="C2205" s="100">
        <v>98.07195129983063</v>
      </c>
      <c r="D2205" s="100">
        <v>93.33036867089173</v>
      </c>
      <c r="E2205" s="100">
        <v>93.443230750114722</v>
      </c>
      <c r="F2205" s="100">
        <v>2885.9123763987882</v>
      </c>
      <c r="G2205" s="100">
        <v>206.90731019723074</v>
      </c>
      <c r="H2205" s="100">
        <v>-1028.5771308102483</v>
      </c>
      <c r="I2205" s="100">
        <v>-62.591095413495168</v>
      </c>
      <c r="J2205" s="100">
        <v>2001.6514603722753</v>
      </c>
    </row>
    <row r="2206" spans="1:10" x14ac:dyDescent="0.25">
      <c r="A2206">
        <v>2189</v>
      </c>
      <c r="B2206" s="100">
        <v>88.65278320254194</v>
      </c>
      <c r="C2206" s="100">
        <v>97.935315378503262</v>
      </c>
      <c r="D2206" s="100">
        <v>91.409319022056167</v>
      </c>
      <c r="E2206" s="100">
        <v>92.552697067510195</v>
      </c>
      <c r="F2206" s="100">
        <v>2972.8320353211275</v>
      </c>
      <c r="G2206" s="100">
        <v>411.8611921882831</v>
      </c>
      <c r="H2206" s="100">
        <v>2813.5221668608779</v>
      </c>
      <c r="I2206" s="100">
        <v>827.94258719103198</v>
      </c>
      <c r="J2206" s="100">
        <v>7026.1579815613204</v>
      </c>
    </row>
    <row r="2207" spans="1:10" x14ac:dyDescent="0.25">
      <c r="A2207">
        <v>2190</v>
      </c>
      <c r="B2207" s="100">
        <v>89.198934168258859</v>
      </c>
      <c r="C2207" s="100">
        <v>98.872594475762071</v>
      </c>
      <c r="D2207" s="100">
        <v>91.299217711854538</v>
      </c>
      <c r="E2207" s="100">
        <v>95.362909589527248</v>
      </c>
      <c r="F2207" s="100">
        <v>1170.5338484552954</v>
      </c>
      <c r="G2207" s="100">
        <v>-994.05745369993065</v>
      </c>
      <c r="H2207" s="100">
        <v>3033.7247872641342</v>
      </c>
      <c r="I2207" s="100">
        <v>-1982.2699348260217</v>
      </c>
      <c r="J2207" s="100">
        <v>1227.9312471934772</v>
      </c>
    </row>
    <row r="2208" spans="1:10" x14ac:dyDescent="0.25">
      <c r="A2208">
        <v>2191</v>
      </c>
      <c r="B2208" s="100">
        <v>90.822508083488728</v>
      </c>
      <c r="C2208" s="100">
        <v>97.486457246376773</v>
      </c>
      <c r="D2208" s="100">
        <v>91.953155115354136</v>
      </c>
      <c r="E2208" s="100">
        <v>93.821282931804078</v>
      </c>
      <c r="F2208" s="100">
        <v>-4187.2600718032727</v>
      </c>
      <c r="G2208" s="100">
        <v>1085.1483903780163</v>
      </c>
      <c r="H2208" s="100">
        <v>1725.8499802649396</v>
      </c>
      <c r="I2208" s="100">
        <v>-440.64327710285056</v>
      </c>
      <c r="J2208" s="100">
        <v>-1816.9049782631673</v>
      </c>
    </row>
    <row r="2209" spans="1:10" x14ac:dyDescent="0.25">
      <c r="A2209">
        <v>2192</v>
      </c>
      <c r="B2209" s="100">
        <v>89.546812767196045</v>
      </c>
      <c r="C2209" s="100">
        <v>99.858697960395986</v>
      </c>
      <c r="D2209" s="100">
        <v>92.404141770111025</v>
      </c>
      <c r="E2209" s="100">
        <v>92.62362425102657</v>
      </c>
      <c r="F2209" s="100">
        <v>22.534471962582359</v>
      </c>
      <c r="G2209" s="100">
        <v>-2473.2126806508036</v>
      </c>
      <c r="H2209" s="100">
        <v>823.87667075116156</v>
      </c>
      <c r="I2209" s="100">
        <v>757.01540367465725</v>
      </c>
      <c r="J2209" s="100">
        <v>-869.78613426240247</v>
      </c>
    </row>
    <row r="2210" spans="1:10" x14ac:dyDescent="0.25">
      <c r="A2210">
        <v>2193</v>
      </c>
      <c r="B2210" s="100">
        <v>89.15592346375044</v>
      </c>
      <c r="C2210" s="100">
        <v>97.378939693759534</v>
      </c>
      <c r="D2210" s="100">
        <v>93.912269369291025</v>
      </c>
      <c r="E2210" s="100">
        <v>92.15967832836462</v>
      </c>
      <c r="F2210" s="100">
        <v>1312.4691733330765</v>
      </c>
      <c r="G2210" s="100">
        <v>1246.4247193038746</v>
      </c>
      <c r="H2210" s="100">
        <v>-2192.3785276088383</v>
      </c>
      <c r="I2210" s="100">
        <v>1220.9613263366066</v>
      </c>
      <c r="J2210" s="100">
        <v>1587.4766913647193</v>
      </c>
    </row>
    <row r="2211" spans="1:10" x14ac:dyDescent="0.25">
      <c r="A2211">
        <v>2194</v>
      </c>
      <c r="B2211" s="100">
        <v>89.890426271401779</v>
      </c>
      <c r="C2211" s="100">
        <v>98.742255893582353</v>
      </c>
      <c r="D2211" s="100">
        <v>92.148773921112323</v>
      </c>
      <c r="E2211" s="100">
        <v>92.960182612643635</v>
      </c>
      <c r="F2211" s="100">
        <v>-1111.3900919163414</v>
      </c>
      <c r="G2211" s="100">
        <v>-798.5495804303539</v>
      </c>
      <c r="H2211" s="100">
        <v>1334.6123687485658</v>
      </c>
      <c r="I2211" s="100">
        <v>420.45704205759193</v>
      </c>
      <c r="J2211" s="100">
        <v>-154.87026154053751</v>
      </c>
    </row>
    <row r="2212" spans="1:10" x14ac:dyDescent="0.25">
      <c r="A2212">
        <v>2195</v>
      </c>
      <c r="B2212" s="100">
        <v>89.081955826815204</v>
      </c>
      <c r="C2212" s="100">
        <v>99.061356967871987</v>
      </c>
      <c r="D2212" s="100">
        <v>91.305664020420522</v>
      </c>
      <c r="E2212" s="100">
        <v>92.258279925829115</v>
      </c>
      <c r="F2212" s="100">
        <v>1556.5623752193574</v>
      </c>
      <c r="G2212" s="100">
        <v>-1277.2011918648047</v>
      </c>
      <c r="H2212" s="100">
        <v>3020.8321701321665</v>
      </c>
      <c r="I2212" s="100">
        <v>1122.3597288721123</v>
      </c>
      <c r="J2212" s="100">
        <v>4422.5530823588315</v>
      </c>
    </row>
    <row r="2213" spans="1:10" x14ac:dyDescent="0.25">
      <c r="A2213">
        <v>2196</v>
      </c>
      <c r="B2213" s="100">
        <v>89.998513752107257</v>
      </c>
      <c r="C2213" s="100">
        <v>99.059771576397708</v>
      </c>
      <c r="D2213" s="100">
        <v>92.06503070040921</v>
      </c>
      <c r="E2213" s="100">
        <v>93.657639118915213</v>
      </c>
      <c r="F2213" s="100">
        <v>-1468.0787782444199</v>
      </c>
      <c r="G2213" s="100">
        <v>-1274.8231046533861</v>
      </c>
      <c r="H2213" s="100">
        <v>1502.0988101547914</v>
      </c>
      <c r="I2213" s="100">
        <v>-276.99946421398636</v>
      </c>
      <c r="J2213" s="100">
        <v>-1517.8025369570009</v>
      </c>
    </row>
    <row r="2214" spans="1:10" x14ac:dyDescent="0.25">
      <c r="A2214">
        <v>2197</v>
      </c>
      <c r="B2214" s="100">
        <v>89.704565789492378</v>
      </c>
      <c r="C2214" s="100">
        <v>98.971062545838848</v>
      </c>
      <c r="D2214" s="100">
        <v>94.757384821479647</v>
      </c>
      <c r="E2214" s="100">
        <v>91.309270752877836</v>
      </c>
      <c r="F2214" s="100">
        <v>-498.05050161531739</v>
      </c>
      <c r="G2214" s="100">
        <v>-1141.7595588150959</v>
      </c>
      <c r="H2214" s="100">
        <v>-3882.6094319860831</v>
      </c>
      <c r="I2214" s="100">
        <v>2071.3689018233908</v>
      </c>
      <c r="J2214" s="100">
        <v>-3451.0505905931059</v>
      </c>
    </row>
    <row r="2215" spans="1:10" x14ac:dyDescent="0.25">
      <c r="A2215">
        <v>2198</v>
      </c>
      <c r="B2215" s="100">
        <v>89.632558401193634</v>
      </c>
      <c r="C2215" s="100">
        <v>98.689819080919676</v>
      </c>
      <c r="D2215" s="100">
        <v>92.452453126413474</v>
      </c>
      <c r="E2215" s="100">
        <v>96.934886186125382</v>
      </c>
      <c r="F2215" s="100">
        <v>-260.42612022946372</v>
      </c>
      <c r="G2215" s="100">
        <v>-719.89436143633861</v>
      </c>
      <c r="H2215" s="100">
        <v>727.25395814626381</v>
      </c>
      <c r="I2215" s="100">
        <v>-3554.2465314241554</v>
      </c>
      <c r="J2215" s="100">
        <v>-3807.3130549436937</v>
      </c>
    </row>
    <row r="2216" spans="1:10" x14ac:dyDescent="0.25">
      <c r="A2216">
        <v>2199</v>
      </c>
      <c r="B2216" s="100">
        <v>89.736761626008516</v>
      </c>
      <c r="C2216" s="100">
        <v>98.543014395667441</v>
      </c>
      <c r="D2216" s="100">
        <v>92.609431663563868</v>
      </c>
      <c r="E2216" s="100">
        <v>95.10263350906726</v>
      </c>
      <c r="F2216" s="100">
        <v>-604.29676211857236</v>
      </c>
      <c r="G2216" s="100">
        <v>-499.68733355798634</v>
      </c>
      <c r="H2216" s="100">
        <v>413.2968838454758</v>
      </c>
      <c r="I2216" s="100">
        <v>-1721.9938543660332</v>
      </c>
      <c r="J2216" s="100">
        <v>-2412.6810661971163</v>
      </c>
    </row>
    <row r="2217" spans="1:10" x14ac:dyDescent="0.25">
      <c r="A2217">
        <v>2200</v>
      </c>
      <c r="B2217" s="100">
        <v>88.88009261854927</v>
      </c>
      <c r="C2217" s="100">
        <v>96.424822511303574</v>
      </c>
      <c r="D2217" s="100">
        <v>93.069124667959414</v>
      </c>
      <c r="E2217" s="100">
        <v>93.661394337044655</v>
      </c>
      <c r="F2217" s="100">
        <v>2222.7109624969389</v>
      </c>
      <c r="G2217" s="100">
        <v>2677.6004929878141</v>
      </c>
      <c r="H2217" s="100">
        <v>-506.08912494561764</v>
      </c>
      <c r="I2217" s="100">
        <v>-280.75468234342793</v>
      </c>
      <c r="J2217" s="100">
        <v>4113.4676481957067</v>
      </c>
    </row>
    <row r="2218" spans="1:10" x14ac:dyDescent="0.25">
      <c r="A2218">
        <v>2201</v>
      </c>
      <c r="B2218" s="100">
        <v>90.269049667348355</v>
      </c>
      <c r="C2218" s="100">
        <v>96.705714910528869</v>
      </c>
      <c r="D2218" s="100">
        <v>92.288268371066067</v>
      </c>
      <c r="E2218" s="100">
        <v>93.429346657989385</v>
      </c>
      <c r="F2218" s="100">
        <v>-2360.8472985400426</v>
      </c>
      <c r="G2218" s="100">
        <v>2256.2618941498727</v>
      </c>
      <c r="H2218" s="100">
        <v>1055.6234688410768</v>
      </c>
      <c r="I2218" s="100">
        <v>-48.70700328815758</v>
      </c>
      <c r="J2218" s="100">
        <v>902.33106116274928</v>
      </c>
    </row>
    <row r="2219" spans="1:10" x14ac:dyDescent="0.25">
      <c r="A2219">
        <v>2202</v>
      </c>
      <c r="B2219" s="100">
        <v>89.060370884681589</v>
      </c>
      <c r="C2219" s="100">
        <v>98.062123243130188</v>
      </c>
      <c r="D2219" s="100">
        <v>93.247770585513138</v>
      </c>
      <c r="E2219" s="100">
        <v>94.058638255758268</v>
      </c>
      <c r="F2219" s="100">
        <v>1627.7926842602851</v>
      </c>
      <c r="G2219" s="100">
        <v>221.64939524789418</v>
      </c>
      <c r="H2219" s="100">
        <v>-863.38096005306397</v>
      </c>
      <c r="I2219" s="100">
        <v>-677.99860105704113</v>
      </c>
      <c r="J2219" s="100">
        <v>308.06251839807408</v>
      </c>
    </row>
    <row r="2220" spans="1:10" x14ac:dyDescent="0.25">
      <c r="A2220">
        <v>2203</v>
      </c>
      <c r="B2220" s="100">
        <v>88.555291894936673</v>
      </c>
      <c r="C2220" s="100">
        <v>98.109576740683067</v>
      </c>
      <c r="D2220" s="100">
        <v>92.89992091553367</v>
      </c>
      <c r="E2220" s="100">
        <v>91.994180612249465</v>
      </c>
      <c r="F2220" s="100">
        <v>3294.5533504185091</v>
      </c>
      <c r="G2220" s="100">
        <v>150.46914891857455</v>
      </c>
      <c r="H2220" s="100">
        <v>-167.6816200941289</v>
      </c>
      <c r="I2220" s="100">
        <v>1386.4590424517614</v>
      </c>
      <c r="J2220" s="100">
        <v>4663.7999216947164</v>
      </c>
    </row>
    <row r="2221" spans="1:10" x14ac:dyDescent="0.25">
      <c r="A2221">
        <v>2204</v>
      </c>
      <c r="B2221" s="100">
        <v>90.084158209859666</v>
      </c>
      <c r="C2221" s="100">
        <v>98.492670739053381</v>
      </c>
      <c r="D2221" s="100">
        <v>92.529441864481953</v>
      </c>
      <c r="E2221" s="100">
        <v>94.622335794273468</v>
      </c>
      <c r="F2221" s="100">
        <v>-1750.7054888273685</v>
      </c>
      <c r="G2221" s="100">
        <v>-424.17184863689528</v>
      </c>
      <c r="H2221" s="100">
        <v>573.27648200930525</v>
      </c>
      <c r="I2221" s="100">
        <v>-1241.696139572241</v>
      </c>
      <c r="J2221" s="100">
        <v>-2843.2969950271995</v>
      </c>
    </row>
    <row r="2222" spans="1:10" x14ac:dyDescent="0.25">
      <c r="A2222">
        <v>2205</v>
      </c>
      <c r="B2222" s="100">
        <v>89.657884532093846</v>
      </c>
      <c r="C2222" s="100">
        <v>95.90036100774428</v>
      </c>
      <c r="D2222" s="100">
        <v>94.051252704837623</v>
      </c>
      <c r="E2222" s="100">
        <v>91.125813688157152</v>
      </c>
      <c r="F2222" s="100">
        <v>-344.002352200161</v>
      </c>
      <c r="G2222" s="100">
        <v>3464.2927483267558</v>
      </c>
      <c r="H2222" s="100">
        <v>-2470.3451987020344</v>
      </c>
      <c r="I2222" s="100">
        <v>2254.8259665440755</v>
      </c>
      <c r="J2222" s="100">
        <v>2904.7711639686358</v>
      </c>
    </row>
    <row r="2223" spans="1:10" x14ac:dyDescent="0.25">
      <c r="A2223">
        <v>2206</v>
      </c>
      <c r="B2223" s="100">
        <v>90.200236120937291</v>
      </c>
      <c r="C2223" s="100">
        <v>99.242825725801922</v>
      </c>
      <c r="D2223" s="100">
        <v>91.590073226759642</v>
      </c>
      <c r="E2223" s="100">
        <v>93.338013416355196</v>
      </c>
      <c r="F2223" s="100">
        <v>-2133.76259538353</v>
      </c>
      <c r="G2223" s="100">
        <v>-1549.4043287597065</v>
      </c>
      <c r="H2223" s="100">
        <v>2452.0137574539262</v>
      </c>
      <c r="I2223" s="100">
        <v>42.626238346031187</v>
      </c>
      <c r="J2223" s="100">
        <v>-1188.526928343279</v>
      </c>
    </row>
    <row r="2224" spans="1:10" x14ac:dyDescent="0.25">
      <c r="A2224">
        <v>2207</v>
      </c>
      <c r="B2224" s="100">
        <v>90.06753355229587</v>
      </c>
      <c r="C2224" s="100">
        <v>98.938460820841613</v>
      </c>
      <c r="D2224" s="100">
        <v>94.612979290037359</v>
      </c>
      <c r="E2224" s="100">
        <v>93.300868680349055</v>
      </c>
      <c r="F2224" s="100">
        <v>-1695.844118866843</v>
      </c>
      <c r="G2224" s="100">
        <v>-1092.856971319243</v>
      </c>
      <c r="H2224" s="100">
        <v>-3593.7983691015061</v>
      </c>
      <c r="I2224" s="100">
        <v>79.770974352172175</v>
      </c>
      <c r="J2224" s="100">
        <v>-6302.7284849354201</v>
      </c>
    </row>
    <row r="2225" spans="1:10" x14ac:dyDescent="0.25">
      <c r="A2225">
        <v>2208</v>
      </c>
      <c r="B2225" s="100">
        <v>89.810470568172263</v>
      </c>
      <c r="C2225" s="100">
        <v>98.561674958967629</v>
      </c>
      <c r="D2225" s="100">
        <v>92.775093571629569</v>
      </c>
      <c r="E2225" s="100">
        <v>93.508733448731505</v>
      </c>
      <c r="F2225" s="100">
        <v>-847.53627125894013</v>
      </c>
      <c r="G2225" s="100">
        <v>-527.67817850826759</v>
      </c>
      <c r="H2225" s="100">
        <v>81.973067714073977</v>
      </c>
      <c r="I2225" s="100">
        <v>-128.09379403027776</v>
      </c>
      <c r="J2225" s="100">
        <v>-1421.3351760834116</v>
      </c>
    </row>
    <row r="2226" spans="1:10" x14ac:dyDescent="0.25">
      <c r="A2226">
        <v>2209</v>
      </c>
      <c r="B2226" s="100">
        <v>89.794851595881809</v>
      </c>
      <c r="C2226" s="100">
        <v>99.395740108881085</v>
      </c>
      <c r="D2226" s="100">
        <v>92.570434412756299</v>
      </c>
      <c r="E2226" s="100">
        <v>94.809923782043413</v>
      </c>
      <c r="F2226" s="100">
        <v>-795.99366270044106</v>
      </c>
      <c r="G2226" s="100">
        <v>-1778.7759033784525</v>
      </c>
      <c r="H2226" s="100">
        <v>491.29138546061313</v>
      </c>
      <c r="I2226" s="100">
        <v>-1429.2841273421857</v>
      </c>
      <c r="J2226" s="100">
        <v>-3512.7623079604664</v>
      </c>
    </row>
    <row r="2227" spans="1:10" x14ac:dyDescent="0.25">
      <c r="A2227">
        <v>2210</v>
      </c>
      <c r="B2227" s="100">
        <v>89.237760811517276</v>
      </c>
      <c r="C2227" s="100">
        <v>98.909701394373073</v>
      </c>
      <c r="D2227" s="100">
        <v>92.321574476421105</v>
      </c>
      <c r="E2227" s="100">
        <v>92.626433688576142</v>
      </c>
      <c r="F2227" s="100">
        <v>1042.4059257025178</v>
      </c>
      <c r="G2227" s="100">
        <v>-1049.7178316164336</v>
      </c>
      <c r="H2227" s="100">
        <v>989.01125813100066</v>
      </c>
      <c r="I2227" s="100">
        <v>754.20596612508461</v>
      </c>
      <c r="J2227" s="100">
        <v>1735.9053183421695</v>
      </c>
    </row>
    <row r="2228" spans="1:10" x14ac:dyDescent="0.25">
      <c r="A2228">
        <v>2211</v>
      </c>
      <c r="B2228" s="100">
        <v>89.18541817680854</v>
      </c>
      <c r="C2228" s="100">
        <v>99.010074362746678</v>
      </c>
      <c r="D2228" s="100">
        <v>91.962116656465355</v>
      </c>
      <c r="E2228" s="100">
        <v>92.332561292515834</v>
      </c>
      <c r="F2228" s="100">
        <v>1215.1366202413485</v>
      </c>
      <c r="G2228" s="100">
        <v>-1200.2772841768419</v>
      </c>
      <c r="H2228" s="100">
        <v>1707.9268980425013</v>
      </c>
      <c r="I2228" s="100">
        <v>1048.078362185393</v>
      </c>
      <c r="J2228" s="100">
        <v>2770.8645962924011</v>
      </c>
    </row>
    <row r="2229" spans="1:10" x14ac:dyDescent="0.25">
      <c r="A2229">
        <v>2212</v>
      </c>
      <c r="B2229" s="100">
        <v>88.941941483588735</v>
      </c>
      <c r="C2229" s="100">
        <v>97.724490106016901</v>
      </c>
      <c r="D2229" s="100">
        <v>90.818629336204665</v>
      </c>
      <c r="E2229" s="100">
        <v>92.459006052863884</v>
      </c>
      <c r="F2229" s="100">
        <v>2018.6097078667033</v>
      </c>
      <c r="G2229" s="100">
        <v>728.09910091782376</v>
      </c>
      <c r="H2229" s="100">
        <v>3994.9015385638804</v>
      </c>
      <c r="I2229" s="100">
        <v>921.63360183734255</v>
      </c>
      <c r="J2229" s="100">
        <v>7663.2439491857494</v>
      </c>
    </row>
    <row r="2230" spans="1:10" x14ac:dyDescent="0.25">
      <c r="A2230">
        <v>2213</v>
      </c>
      <c r="B2230" s="100">
        <v>89.484349771557291</v>
      </c>
      <c r="C2230" s="100">
        <v>97.275244645893366</v>
      </c>
      <c r="D2230" s="100">
        <v>92.90204640293328</v>
      </c>
      <c r="E2230" s="100">
        <v>94.240161601266678</v>
      </c>
      <c r="F2230" s="100">
        <v>228.66235757046951</v>
      </c>
      <c r="G2230" s="100">
        <v>1401.9672911031264</v>
      </c>
      <c r="H2230" s="100">
        <v>-171.93259489334878</v>
      </c>
      <c r="I2230" s="100">
        <v>-859.52194656545089</v>
      </c>
      <c r="J2230" s="100">
        <v>599.1751072147963</v>
      </c>
    </row>
    <row r="2231" spans="1:10" x14ac:dyDescent="0.25">
      <c r="A2231">
        <v>2214</v>
      </c>
      <c r="B2231" s="100">
        <v>89.362737960215952</v>
      </c>
      <c r="C2231" s="100">
        <v>99.526444394249339</v>
      </c>
      <c r="D2231" s="100">
        <v>93.041447495156262</v>
      </c>
      <c r="E2231" s="100">
        <v>93.29980688342188</v>
      </c>
      <c r="F2231" s="100">
        <v>629.9813349968872</v>
      </c>
      <c r="G2231" s="100">
        <v>-1974.8323314308323</v>
      </c>
      <c r="H2231" s="100">
        <v>-450.73477933931372</v>
      </c>
      <c r="I2231" s="100">
        <v>80.832771279347071</v>
      </c>
      <c r="J2231" s="100">
        <v>-1714.7530044939117</v>
      </c>
    </row>
    <row r="2232" spans="1:10" x14ac:dyDescent="0.25">
      <c r="A2232">
        <v>2215</v>
      </c>
      <c r="B2232" s="100">
        <v>89.751975811417964</v>
      </c>
      <c r="C2232" s="100">
        <v>97.664183572059699</v>
      </c>
      <c r="D2232" s="100">
        <v>93.919065729554163</v>
      </c>
      <c r="E2232" s="100">
        <v>93.430118770637719</v>
      </c>
      <c r="F2232" s="100">
        <v>-654.50357396975107</v>
      </c>
      <c r="G2232" s="100">
        <v>818.55890185362773</v>
      </c>
      <c r="H2232" s="100">
        <v>-2205.9712481351144</v>
      </c>
      <c r="I2232" s="100">
        <v>-49.479115936492235</v>
      </c>
      <c r="J2232" s="100">
        <v>-2091.3950361877301</v>
      </c>
    </row>
    <row r="2233" spans="1:10" x14ac:dyDescent="0.25">
      <c r="A2233">
        <v>2216</v>
      </c>
      <c r="B2233" s="100">
        <v>89.558422814087024</v>
      </c>
      <c r="C2233" s="100">
        <v>99.824027509428774</v>
      </c>
      <c r="D2233" s="100">
        <v>93.347083573659063</v>
      </c>
      <c r="E2233" s="100">
        <v>96.253665497868624</v>
      </c>
      <c r="F2233" s="100">
        <v>-15.778682777649067</v>
      </c>
      <c r="G2233" s="100">
        <v>-2421.207004199985</v>
      </c>
      <c r="H2233" s="100">
        <v>-1062.0069363449147</v>
      </c>
      <c r="I2233" s="100">
        <v>-2873.0258431673974</v>
      </c>
      <c r="J2233" s="100">
        <v>-6372.0184664899461</v>
      </c>
    </row>
    <row r="2234" spans="1:10" x14ac:dyDescent="0.25">
      <c r="A2234">
        <v>2217</v>
      </c>
      <c r="B2234" s="100">
        <v>88.934555379735329</v>
      </c>
      <c r="C2234" s="100">
        <v>98.579566636743735</v>
      </c>
      <c r="D2234" s="100">
        <v>93.587558246383836</v>
      </c>
      <c r="E2234" s="100">
        <v>93.295101181992351</v>
      </c>
      <c r="F2234" s="100">
        <v>2042.9838505829437</v>
      </c>
      <c r="G2234" s="100">
        <v>-554.5156951724266</v>
      </c>
      <c r="H2234" s="100">
        <v>-1542.95628179446</v>
      </c>
      <c r="I2234" s="100">
        <v>85.538472708876157</v>
      </c>
      <c r="J2234" s="100">
        <v>31.05034632493323</v>
      </c>
    </row>
    <row r="2235" spans="1:10" x14ac:dyDescent="0.25">
      <c r="A2235">
        <v>2218</v>
      </c>
      <c r="B2235" s="100">
        <v>88.73404251909426</v>
      </c>
      <c r="C2235" s="100">
        <v>98.506268591368624</v>
      </c>
      <c r="D2235" s="100">
        <v>91.798194477029753</v>
      </c>
      <c r="E2235" s="100">
        <v>94.601172870916201</v>
      </c>
      <c r="F2235" s="100">
        <v>2704.6762906984723</v>
      </c>
      <c r="G2235" s="100">
        <v>-444.56862710975997</v>
      </c>
      <c r="H2235" s="100">
        <v>2035.771256913705</v>
      </c>
      <c r="I2235" s="100">
        <v>-1220.5332162149743</v>
      </c>
      <c r="J2235" s="100">
        <v>3075.3457042874425</v>
      </c>
    </row>
    <row r="2236" spans="1:10" x14ac:dyDescent="0.25">
      <c r="A2236">
        <v>2219</v>
      </c>
      <c r="B2236" s="100">
        <v>89.718401786735868</v>
      </c>
      <c r="C2236" s="100">
        <v>98.654049000694641</v>
      </c>
      <c r="D2236" s="100">
        <v>93.849290360256816</v>
      </c>
      <c r="E2236" s="100">
        <v>94.163866771095996</v>
      </c>
      <c r="F2236" s="100">
        <v>-543.70929251883376</v>
      </c>
      <c r="G2236" s="100">
        <v>-666.23924109878635</v>
      </c>
      <c r="H2236" s="100">
        <v>-2066.4205095404213</v>
      </c>
      <c r="I2236" s="100">
        <v>-783.2271163947695</v>
      </c>
      <c r="J2236" s="100">
        <v>-4059.5961595528111</v>
      </c>
    </row>
    <row r="2237" spans="1:10" x14ac:dyDescent="0.25">
      <c r="A2237">
        <v>2220</v>
      </c>
      <c r="B2237" s="100">
        <v>89.043452199413437</v>
      </c>
      <c r="C2237" s="100">
        <v>97.791008611528596</v>
      </c>
      <c r="D2237" s="100">
        <v>90.715133398506282</v>
      </c>
      <c r="E2237" s="100">
        <v>93.174513459675495</v>
      </c>
      <c r="F2237" s="100">
        <v>1683.6243456451868</v>
      </c>
      <c r="G2237" s="100">
        <v>628.32134265028117</v>
      </c>
      <c r="H2237" s="100">
        <v>4201.8934139606472</v>
      </c>
      <c r="I2237" s="100">
        <v>206.12619502573182</v>
      </c>
      <c r="J2237" s="100">
        <v>6719.9652972818476</v>
      </c>
    </row>
    <row r="2238" spans="1:10" x14ac:dyDescent="0.25">
      <c r="A2238">
        <v>2221</v>
      </c>
      <c r="B2238" s="100">
        <v>89.538654299278704</v>
      </c>
      <c r="C2238" s="100">
        <v>98.583096462426653</v>
      </c>
      <c r="D2238" s="100">
        <v>92.74767382328001</v>
      </c>
      <c r="E2238" s="100">
        <v>94.993206438798666</v>
      </c>
      <c r="F2238" s="100">
        <v>49.457416089805406</v>
      </c>
      <c r="G2238" s="100">
        <v>-559.81043369680356</v>
      </c>
      <c r="H2238" s="100">
        <v>136.81256441319078</v>
      </c>
      <c r="I2238" s="100">
        <v>-1612.5667840974388</v>
      </c>
      <c r="J2238" s="100">
        <v>-1986.1072372912463</v>
      </c>
    </row>
    <row r="2239" spans="1:10" x14ac:dyDescent="0.25">
      <c r="A2239">
        <v>2222</v>
      </c>
      <c r="B2239" s="100">
        <v>89.209958598594639</v>
      </c>
      <c r="C2239" s="100">
        <v>97.997980040442883</v>
      </c>
      <c r="D2239" s="100">
        <v>92.920741344434177</v>
      </c>
      <c r="E2239" s="100">
        <v>93.725244247324355</v>
      </c>
      <c r="F2239" s="100">
        <v>1134.1532283472204</v>
      </c>
      <c r="G2239" s="100">
        <v>317.86419927885134</v>
      </c>
      <c r="H2239" s="100">
        <v>-209.32247789514236</v>
      </c>
      <c r="I2239" s="100">
        <v>-344.60459262312781</v>
      </c>
      <c r="J2239" s="100">
        <v>898.09035710780165</v>
      </c>
    </row>
    <row r="2240" spans="1:10" x14ac:dyDescent="0.25">
      <c r="A2240">
        <v>2223</v>
      </c>
      <c r="B2240" s="100">
        <v>90.301198244695712</v>
      </c>
      <c r="C2240" s="100">
        <v>98.120124331908457</v>
      </c>
      <c r="D2240" s="100">
        <v>91.095296044088983</v>
      </c>
      <c r="E2240" s="100">
        <v>94.039015904715072</v>
      </c>
      <c r="F2240" s="100">
        <v>-2466.9376037863203</v>
      </c>
      <c r="G2240" s="100">
        <v>134.64776208049045</v>
      </c>
      <c r="H2240" s="100">
        <v>3441.5681227952464</v>
      </c>
      <c r="I2240" s="100">
        <v>-658.37625001384481</v>
      </c>
      <c r="J2240" s="100">
        <v>450.90203107557159</v>
      </c>
    </row>
    <row r="2241" spans="1:10" x14ac:dyDescent="0.25">
      <c r="A2241">
        <v>2224</v>
      </c>
      <c r="B2241" s="100">
        <v>89.236823996286532</v>
      </c>
      <c r="C2241" s="100">
        <v>98.653129086778932</v>
      </c>
      <c r="D2241" s="100">
        <v>95.452781437637412</v>
      </c>
      <c r="E2241" s="100">
        <v>93.42218014315192</v>
      </c>
      <c r="F2241" s="100">
        <v>1045.4974159639746</v>
      </c>
      <c r="G2241" s="100">
        <v>-664.85937022522285</v>
      </c>
      <c r="H2241" s="100">
        <v>-5273.4026643016132</v>
      </c>
      <c r="I2241" s="100">
        <v>-41.540488450692692</v>
      </c>
      <c r="J2241" s="100">
        <v>-4934.3051070135543</v>
      </c>
    </row>
    <row r="2242" spans="1:10" x14ac:dyDescent="0.25">
      <c r="A2242">
        <v>2225</v>
      </c>
      <c r="B2242" s="100">
        <v>89.251882994202205</v>
      </c>
      <c r="C2242" s="100">
        <v>100.38328399519089</v>
      </c>
      <c r="D2242" s="100">
        <v>93.045910853976594</v>
      </c>
      <c r="E2242" s="100">
        <v>93.979554640723805</v>
      </c>
      <c r="F2242" s="100">
        <v>995.80272284225225</v>
      </c>
      <c r="G2242" s="100">
        <v>-3260.0917328431651</v>
      </c>
      <c r="H2242" s="100">
        <v>-459.66149697997594</v>
      </c>
      <c r="I2242" s="100">
        <v>-598.91498602257798</v>
      </c>
      <c r="J2242" s="100">
        <v>-3322.8654930034663</v>
      </c>
    </row>
    <row r="2243" spans="1:10" x14ac:dyDescent="0.25">
      <c r="A2243">
        <v>2226</v>
      </c>
      <c r="B2243" s="100">
        <v>89.505504688317046</v>
      </c>
      <c r="C2243" s="100">
        <v>96.604216856235425</v>
      </c>
      <c r="D2243" s="100">
        <v>92.229548242003986</v>
      </c>
      <c r="E2243" s="100">
        <v>96.245433503751997</v>
      </c>
      <c r="F2243" s="100">
        <v>158.8511322632769</v>
      </c>
      <c r="G2243" s="100">
        <v>2408.5089755900385</v>
      </c>
      <c r="H2243" s="100">
        <v>1173.0637269652391</v>
      </c>
      <c r="I2243" s="100">
        <v>-2864.7938490507699</v>
      </c>
      <c r="J2243" s="100">
        <v>875.62998576778455</v>
      </c>
    </row>
    <row r="2244" spans="1:10" x14ac:dyDescent="0.25">
      <c r="A2244">
        <v>2227</v>
      </c>
      <c r="B2244" s="100">
        <v>90.173291802540803</v>
      </c>
      <c r="C2244" s="100">
        <v>99.808156916003512</v>
      </c>
      <c r="D2244" s="100">
        <v>92.674940412686794</v>
      </c>
      <c r="E2244" s="100">
        <v>93.988737866669766</v>
      </c>
      <c r="F2244" s="100">
        <v>-2044.8463446751191</v>
      </c>
      <c r="G2244" s="100">
        <v>-2397.4011140620914</v>
      </c>
      <c r="H2244" s="100">
        <v>282.2793855996224</v>
      </c>
      <c r="I2244" s="100">
        <v>-608.09821196853875</v>
      </c>
      <c r="J2244" s="100">
        <v>-4768.066285106127</v>
      </c>
    </row>
    <row r="2245" spans="1:10" x14ac:dyDescent="0.25">
      <c r="A2245">
        <v>2228</v>
      </c>
      <c r="B2245" s="100">
        <v>89.466685334935846</v>
      </c>
      <c r="C2245" s="100">
        <v>98.748309238180099</v>
      </c>
      <c r="D2245" s="100">
        <v>93.763575282641938</v>
      </c>
      <c r="E2245" s="100">
        <v>94.705837445898212</v>
      </c>
      <c r="F2245" s="100">
        <v>286.95499842123695</v>
      </c>
      <c r="G2245" s="100">
        <v>-807.62959732697232</v>
      </c>
      <c r="H2245" s="100">
        <v>-1894.9903543106643</v>
      </c>
      <c r="I2245" s="100">
        <v>-1325.1977911969846</v>
      </c>
      <c r="J2245" s="100">
        <v>-3740.8627444133845</v>
      </c>
    </row>
    <row r="2246" spans="1:10" x14ac:dyDescent="0.25">
      <c r="A2246">
        <v>2229</v>
      </c>
      <c r="B2246" s="100">
        <v>89.299652448543227</v>
      </c>
      <c r="C2246" s="100">
        <v>99.223312267770282</v>
      </c>
      <c r="D2246" s="100">
        <v>92.967129358242786</v>
      </c>
      <c r="E2246" s="100">
        <v>92.223192877743401</v>
      </c>
      <c r="F2246" s="100">
        <v>838.16352351687874</v>
      </c>
      <c r="G2246" s="100">
        <v>-1520.1341417122478</v>
      </c>
      <c r="H2246" s="100">
        <v>-302.09850551236173</v>
      </c>
      <c r="I2246" s="100">
        <v>1157.4467769578264</v>
      </c>
      <c r="J2246" s="100">
        <v>173.37765325009559</v>
      </c>
    </row>
    <row r="2247" spans="1:10" x14ac:dyDescent="0.25">
      <c r="A2247">
        <v>2230</v>
      </c>
      <c r="B2247" s="100">
        <v>88.525025497449064</v>
      </c>
      <c r="C2247" s="100">
        <v>96.415191026187131</v>
      </c>
      <c r="D2247" s="100">
        <v>91.849416262701567</v>
      </c>
      <c r="E2247" s="100">
        <v>93.60016071858081</v>
      </c>
      <c r="F2247" s="100">
        <v>3394.4324621276164</v>
      </c>
      <c r="G2247" s="100">
        <v>2692.0477206624796</v>
      </c>
      <c r="H2247" s="100">
        <v>1933.3276855700774</v>
      </c>
      <c r="I2247" s="100">
        <v>-219.52106387958281</v>
      </c>
      <c r="J2247" s="100">
        <v>7800.28680448059</v>
      </c>
    </row>
    <row r="2248" spans="1:10" x14ac:dyDescent="0.25">
      <c r="A2248">
        <v>2231</v>
      </c>
      <c r="B2248" s="100">
        <v>90.620494442598115</v>
      </c>
      <c r="C2248" s="100">
        <v>99.551435696028037</v>
      </c>
      <c r="D2248" s="100">
        <v>92.685441096976319</v>
      </c>
      <c r="E2248" s="100">
        <v>96.245587647599734</v>
      </c>
      <c r="F2248" s="100">
        <v>-3520.6150568642515</v>
      </c>
      <c r="G2248" s="100">
        <v>-2012.3192840988793</v>
      </c>
      <c r="H2248" s="100">
        <v>261.27801702057241</v>
      </c>
      <c r="I2248" s="100">
        <v>-2864.9479928985074</v>
      </c>
      <c r="J2248" s="100">
        <v>-8136.6043168410661</v>
      </c>
    </row>
    <row r="2249" spans="1:10" x14ac:dyDescent="0.25">
      <c r="A2249">
        <v>2232</v>
      </c>
      <c r="B2249" s="100">
        <v>89.122534991794552</v>
      </c>
      <c r="C2249" s="100">
        <v>98.34882483562069</v>
      </c>
      <c r="D2249" s="100">
        <v>93.588557453562828</v>
      </c>
      <c r="E2249" s="100">
        <v>94.175681775146842</v>
      </c>
      <c r="F2249" s="100">
        <v>1422.6511307875071</v>
      </c>
      <c r="G2249" s="100">
        <v>-208.40299348785862</v>
      </c>
      <c r="H2249" s="100">
        <v>-1544.9546961524447</v>
      </c>
      <c r="I2249" s="100">
        <v>-795.04212044561484</v>
      </c>
      <c r="J2249" s="100">
        <v>-1125.7486792984109</v>
      </c>
    </row>
    <row r="2250" spans="1:10" x14ac:dyDescent="0.25">
      <c r="A2250">
        <v>2233</v>
      </c>
      <c r="B2250" s="100">
        <v>90.476933259393718</v>
      </c>
      <c r="C2250" s="100">
        <v>96.945629653803621</v>
      </c>
      <c r="D2250" s="100">
        <v>93.24699189117301</v>
      </c>
      <c r="E2250" s="100">
        <v>90.845439097085432</v>
      </c>
      <c r="F2250" s="100">
        <v>-3046.8631522897394</v>
      </c>
      <c r="G2250" s="100">
        <v>1896.3897792377438</v>
      </c>
      <c r="H2250" s="100">
        <v>-861.82357137280974</v>
      </c>
      <c r="I2250" s="100">
        <v>2535.2005576157949</v>
      </c>
      <c r="J2250" s="100">
        <v>522.90361319098952</v>
      </c>
    </row>
    <row r="2251" spans="1:10" x14ac:dyDescent="0.25">
      <c r="A2251">
        <v>2234</v>
      </c>
      <c r="B2251" s="100">
        <v>89.904722776659341</v>
      </c>
      <c r="C2251" s="100">
        <v>97.224920660465543</v>
      </c>
      <c r="D2251" s="100">
        <v>90.059687042919208</v>
      </c>
      <c r="E2251" s="100">
        <v>91.622786128097474</v>
      </c>
      <c r="F2251" s="100">
        <v>-1158.5685592662956</v>
      </c>
      <c r="G2251" s="100">
        <v>1477.4532692448615</v>
      </c>
      <c r="H2251" s="100">
        <v>5512.7861251347949</v>
      </c>
      <c r="I2251" s="100">
        <v>1757.8535266037534</v>
      </c>
      <c r="J2251" s="100">
        <v>7589.5243617171145</v>
      </c>
    </row>
    <row r="2252" spans="1:10" x14ac:dyDescent="0.25">
      <c r="A2252">
        <v>2235</v>
      </c>
      <c r="B2252" s="100">
        <v>89.474000339922313</v>
      </c>
      <c r="C2252" s="100">
        <v>98.092497664278454</v>
      </c>
      <c r="D2252" s="100">
        <v>93.724483622473599</v>
      </c>
      <c r="E2252" s="100">
        <v>90.081691567993104</v>
      </c>
      <c r="F2252" s="100">
        <v>262.81548196589739</v>
      </c>
      <c r="G2252" s="100">
        <v>176.08776352549427</v>
      </c>
      <c r="H2252" s="100">
        <v>-1816.807033973987</v>
      </c>
      <c r="I2252" s="100">
        <v>3298.9480867081229</v>
      </c>
      <c r="J2252" s="100">
        <v>1921.0442982255277</v>
      </c>
    </row>
    <row r="2253" spans="1:10" x14ac:dyDescent="0.25">
      <c r="A2253">
        <v>2236</v>
      </c>
      <c r="B2253" s="100">
        <v>89.80767203027068</v>
      </c>
      <c r="C2253" s="100">
        <v>97.512386963745541</v>
      </c>
      <c r="D2253" s="100">
        <v>93.022775932951447</v>
      </c>
      <c r="E2253" s="100">
        <v>93.683694610581412</v>
      </c>
      <c r="F2253" s="100">
        <v>-838.3010961837158</v>
      </c>
      <c r="G2253" s="100">
        <v>1046.2538143248637</v>
      </c>
      <c r="H2253" s="100">
        <v>-413.39165492968277</v>
      </c>
      <c r="I2253" s="100">
        <v>-303.05495588018516</v>
      </c>
      <c r="J2253" s="100">
        <v>-508.49389266872004</v>
      </c>
    </row>
    <row r="2254" spans="1:10" x14ac:dyDescent="0.25">
      <c r="A2254">
        <v>2237</v>
      </c>
      <c r="B2254" s="100">
        <v>88.410917023297927</v>
      </c>
      <c r="C2254" s="100">
        <v>98.774432283294104</v>
      </c>
      <c r="D2254" s="100">
        <v>91.866930654625961</v>
      </c>
      <c r="E2254" s="100">
        <v>94.277131817484502</v>
      </c>
      <c r="F2254" s="100">
        <v>3770.9904268263713</v>
      </c>
      <c r="G2254" s="100">
        <v>-846.8141649979799</v>
      </c>
      <c r="H2254" s="100">
        <v>1898.2989017212901</v>
      </c>
      <c r="I2254" s="100">
        <v>-896.49216278327515</v>
      </c>
      <c r="J2254" s="100">
        <v>3925.9830007664063</v>
      </c>
    </row>
    <row r="2255" spans="1:10" x14ac:dyDescent="0.25">
      <c r="A2255">
        <v>2238</v>
      </c>
      <c r="B2255" s="100">
        <v>89.413013594277473</v>
      </c>
      <c r="C2255" s="100">
        <v>96.976236668038126</v>
      </c>
      <c r="D2255" s="100">
        <v>91.849153963329954</v>
      </c>
      <c r="E2255" s="100">
        <v>95.789334332949778</v>
      </c>
      <c r="F2255" s="100">
        <v>464.07174259386892</v>
      </c>
      <c r="G2255" s="100">
        <v>1850.4792578859863</v>
      </c>
      <c r="H2255" s="100">
        <v>1933.8522843133035</v>
      </c>
      <c r="I2255" s="100">
        <v>-2408.6946782485511</v>
      </c>
      <c r="J2255" s="100">
        <v>1839.7086065446074</v>
      </c>
    </row>
    <row r="2256" spans="1:10" x14ac:dyDescent="0.25">
      <c r="A2256">
        <v>2239</v>
      </c>
      <c r="B2256" s="100">
        <v>89.357638457616915</v>
      </c>
      <c r="C2256" s="100">
        <v>98.231348418817291</v>
      </c>
      <c r="D2256" s="100">
        <v>89.973885381866737</v>
      </c>
      <c r="E2256" s="100">
        <v>92.236812211933426</v>
      </c>
      <c r="F2256" s="100">
        <v>646.80969357371077</v>
      </c>
      <c r="G2256" s="100">
        <v>-32.188368282760393</v>
      </c>
      <c r="H2256" s="100">
        <v>5684.3894472397378</v>
      </c>
      <c r="I2256" s="100">
        <v>1143.8274427678011</v>
      </c>
      <c r="J2256" s="100">
        <v>7442.8382152984886</v>
      </c>
    </row>
    <row r="2257" spans="1:10" x14ac:dyDescent="0.25">
      <c r="A2257">
        <v>2240</v>
      </c>
      <c r="B2257" s="100">
        <v>90.750778841502736</v>
      </c>
      <c r="C2257" s="100">
        <v>98.940323113988256</v>
      </c>
      <c r="D2257" s="100">
        <v>92.025727087041901</v>
      </c>
      <c r="E2257" s="100">
        <v>93.617752486174979</v>
      </c>
      <c r="F2257" s="100">
        <v>-3950.5535732495005</v>
      </c>
      <c r="G2257" s="100">
        <v>-1095.6504110392088</v>
      </c>
      <c r="H2257" s="100">
        <v>1580.7060368894099</v>
      </c>
      <c r="I2257" s="100">
        <v>-237.11283147375184</v>
      </c>
      <c r="J2257" s="100">
        <v>-3702.6107788730515</v>
      </c>
    </row>
    <row r="2258" spans="1:10" x14ac:dyDescent="0.25">
      <c r="A2258">
        <v>2241</v>
      </c>
      <c r="B2258" s="100">
        <v>89.333443230036394</v>
      </c>
      <c r="C2258" s="100">
        <v>97.986166915381091</v>
      </c>
      <c r="D2258" s="100">
        <v>93.118315970965028</v>
      </c>
      <c r="E2258" s="100">
        <v>92.278860963683428</v>
      </c>
      <c r="F2258" s="100">
        <v>726.65394458942819</v>
      </c>
      <c r="G2258" s="100">
        <v>335.58388687153951</v>
      </c>
      <c r="H2258" s="100">
        <v>-604.47173095684548</v>
      </c>
      <c r="I2258" s="100">
        <v>1101.7786910177988</v>
      </c>
      <c r="J2258" s="100">
        <v>1559.5447915219211</v>
      </c>
    </row>
    <row r="2259" spans="1:10" x14ac:dyDescent="0.25">
      <c r="A2259">
        <v>2242</v>
      </c>
      <c r="B2259" s="100">
        <v>89.302775572148747</v>
      </c>
      <c r="C2259" s="100">
        <v>97.581966476691406</v>
      </c>
      <c r="D2259" s="100">
        <v>91.669884630896107</v>
      </c>
      <c r="E2259" s="100">
        <v>93.17735059931212</v>
      </c>
      <c r="F2259" s="100">
        <v>827.85721561866558</v>
      </c>
      <c r="G2259" s="100">
        <v>941.88454490606682</v>
      </c>
      <c r="H2259" s="100">
        <v>2292.3909491809982</v>
      </c>
      <c r="I2259" s="100">
        <v>203.28905538910647</v>
      </c>
      <c r="J2259" s="100">
        <v>4265.4217650948367</v>
      </c>
    </row>
    <row r="2260" spans="1:10" x14ac:dyDescent="0.25">
      <c r="A2260">
        <v>2243</v>
      </c>
      <c r="B2260" s="100">
        <v>89.04578473455102</v>
      </c>
      <c r="C2260" s="100">
        <v>98.656688619430142</v>
      </c>
      <c r="D2260" s="100">
        <v>91.672768442976931</v>
      </c>
      <c r="E2260" s="100">
        <v>95.537703739127878</v>
      </c>
      <c r="F2260" s="100">
        <v>1675.9269796911624</v>
      </c>
      <c r="G2260" s="100">
        <v>-670.19866920203697</v>
      </c>
      <c r="H2260" s="100">
        <v>2286.6233250193491</v>
      </c>
      <c r="I2260" s="100">
        <v>-2157.0640844266509</v>
      </c>
      <c r="J2260" s="100">
        <v>1135.2875510818235</v>
      </c>
    </row>
    <row r="2261" spans="1:10" x14ac:dyDescent="0.25">
      <c r="A2261">
        <v>2244</v>
      </c>
      <c r="B2261" s="100">
        <v>90.561893441787873</v>
      </c>
      <c r="C2261" s="100">
        <v>98.9491156227202</v>
      </c>
      <c r="D2261" s="100">
        <v>92.159479253137491</v>
      </c>
      <c r="E2261" s="100">
        <v>93.893166336783409</v>
      </c>
      <c r="F2261" s="100">
        <v>-3327.2317541904526</v>
      </c>
      <c r="G2261" s="100">
        <v>-1108.839174137124</v>
      </c>
      <c r="H2261" s="100">
        <v>1313.2017046982298</v>
      </c>
      <c r="I2261" s="100">
        <v>-512.52668208218211</v>
      </c>
      <c r="J2261" s="100">
        <v>-3635.3959057115285</v>
      </c>
    </row>
    <row r="2262" spans="1:10" x14ac:dyDescent="0.25">
      <c r="A2262">
        <v>2245</v>
      </c>
      <c r="B2262" s="100">
        <v>89.856999467885501</v>
      </c>
      <c r="C2262" s="100">
        <v>98.518382995492033</v>
      </c>
      <c r="D2262" s="100">
        <v>94.068578552058696</v>
      </c>
      <c r="E2262" s="100">
        <v>92.099180094782653</v>
      </c>
      <c r="F2262" s="100">
        <v>-1001.0816403126241</v>
      </c>
      <c r="G2262" s="100">
        <v>-462.74023329487335</v>
      </c>
      <c r="H2262" s="100">
        <v>-2504.9968931441808</v>
      </c>
      <c r="I2262" s="100">
        <v>1281.4595599185736</v>
      </c>
      <c r="J2262" s="100">
        <v>-2687.359206833105</v>
      </c>
    </row>
    <row r="2263" spans="1:10" x14ac:dyDescent="0.25">
      <c r="A2263">
        <v>2246</v>
      </c>
      <c r="B2263" s="100">
        <v>90.060528976056901</v>
      </c>
      <c r="C2263" s="100">
        <v>99.453682595059533</v>
      </c>
      <c r="D2263" s="100">
        <v>92.995949766206536</v>
      </c>
      <c r="E2263" s="100">
        <v>90.260977416370849</v>
      </c>
      <c r="F2263" s="100">
        <v>-1672.7290172782432</v>
      </c>
      <c r="G2263" s="100">
        <v>-1865.6896326461238</v>
      </c>
      <c r="H2263" s="100">
        <v>-359.73932143986076</v>
      </c>
      <c r="I2263" s="100">
        <v>3119.6622383303775</v>
      </c>
      <c r="J2263" s="100">
        <v>-778.49573303385023</v>
      </c>
    </row>
    <row r="2264" spans="1:10" x14ac:dyDescent="0.25">
      <c r="A2264">
        <v>2247</v>
      </c>
      <c r="B2264" s="100">
        <v>89.905062975678049</v>
      </c>
      <c r="C2264" s="100">
        <v>98.829480308194249</v>
      </c>
      <c r="D2264" s="100">
        <v>92.194833117490859</v>
      </c>
      <c r="E2264" s="100">
        <v>92.430718329842449</v>
      </c>
      <c r="F2264" s="100">
        <v>-1159.691216028034</v>
      </c>
      <c r="G2264" s="100">
        <v>-929.3862023481978</v>
      </c>
      <c r="H2264" s="100">
        <v>1242.4939759914935</v>
      </c>
      <c r="I2264" s="100">
        <v>949.92132485877789</v>
      </c>
      <c r="J2264" s="100">
        <v>103.33788247403947</v>
      </c>
    </row>
    <row r="2265" spans="1:10" x14ac:dyDescent="0.25">
      <c r="A2265">
        <v>2248</v>
      </c>
      <c r="B2265" s="100">
        <v>89.360846179579241</v>
      </c>
      <c r="C2265" s="100">
        <v>97.557461589544729</v>
      </c>
      <c r="D2265" s="100">
        <v>92.715716235593206</v>
      </c>
      <c r="E2265" s="100">
        <v>92.612132690348645</v>
      </c>
      <c r="F2265" s="100">
        <v>636.22421109803463</v>
      </c>
      <c r="G2265" s="100">
        <v>978.64187562608151</v>
      </c>
      <c r="H2265" s="100">
        <v>200.72773978679948</v>
      </c>
      <c r="I2265" s="100">
        <v>768.50696435258214</v>
      </c>
      <c r="J2265" s="100">
        <v>2584.1007908634974</v>
      </c>
    </row>
    <row r="2266" spans="1:10" x14ac:dyDescent="0.25">
      <c r="A2266">
        <v>2249</v>
      </c>
      <c r="B2266" s="100">
        <v>90.277277468461577</v>
      </c>
      <c r="C2266" s="100">
        <v>97.071931024496322</v>
      </c>
      <c r="D2266" s="100">
        <v>92.828648503596284</v>
      </c>
      <c r="E2266" s="100">
        <v>95.00187721134148</v>
      </c>
      <c r="F2266" s="100">
        <v>-2387.9990422136743</v>
      </c>
      <c r="G2266" s="100">
        <v>1706.9377231986919</v>
      </c>
      <c r="H2266" s="100">
        <v>-25.136796219356938</v>
      </c>
      <c r="I2266" s="100">
        <v>-1621.2375566402529</v>
      </c>
      <c r="J2266" s="100">
        <v>-2327.4356718745921</v>
      </c>
    </row>
    <row r="2267" spans="1:10" x14ac:dyDescent="0.25">
      <c r="A2267">
        <v>2250</v>
      </c>
      <c r="B2267" s="100">
        <v>89.477622325371186</v>
      </c>
      <c r="C2267" s="100">
        <v>98.35501028147057</v>
      </c>
      <c r="D2267" s="100">
        <v>93.616452159846546</v>
      </c>
      <c r="E2267" s="100">
        <v>93.047892554829176</v>
      </c>
      <c r="F2267" s="100">
        <v>250.86292998461488</v>
      </c>
      <c r="G2267" s="100">
        <v>-217.68116226267864</v>
      </c>
      <c r="H2267" s="100">
        <v>-1600.7441087198799</v>
      </c>
      <c r="I2267" s="100">
        <v>332.74709987205142</v>
      </c>
      <c r="J2267" s="100">
        <v>-1234.8152411258923</v>
      </c>
    </row>
    <row r="2268" spans="1:10" x14ac:dyDescent="0.25">
      <c r="A2268">
        <v>2251</v>
      </c>
      <c r="B2268" s="100">
        <v>88.948347996647854</v>
      </c>
      <c r="C2268" s="100">
        <v>99.309624125521168</v>
      </c>
      <c r="D2268" s="100">
        <v>92.192888333902772</v>
      </c>
      <c r="E2268" s="100">
        <v>89.762113903106282</v>
      </c>
      <c r="F2268" s="100">
        <v>1997.468214771611</v>
      </c>
      <c r="G2268" s="100">
        <v>-1649.6019283385763</v>
      </c>
      <c r="H2268" s="100">
        <v>1246.3835431676671</v>
      </c>
      <c r="I2268" s="100">
        <v>3618.5257515949443</v>
      </c>
      <c r="J2268" s="100">
        <v>5212.7755811956458</v>
      </c>
    </row>
    <row r="2269" spans="1:10" x14ac:dyDescent="0.25">
      <c r="A2269">
        <v>2252</v>
      </c>
      <c r="B2269" s="100">
        <v>89.325243567465961</v>
      </c>
      <c r="C2269" s="100">
        <v>98.759808641085598</v>
      </c>
      <c r="D2269" s="100">
        <v>94.063383403767546</v>
      </c>
      <c r="E2269" s="100">
        <v>94.37158476532683</v>
      </c>
      <c r="F2269" s="100">
        <v>753.71283107185855</v>
      </c>
      <c r="G2269" s="100">
        <v>-824.87870168522193</v>
      </c>
      <c r="H2269" s="100">
        <v>-2494.60659656188</v>
      </c>
      <c r="I2269" s="100">
        <v>-990.94511062560287</v>
      </c>
      <c r="J2269" s="100">
        <v>-3556.7175778008464</v>
      </c>
    </row>
    <row r="2270" spans="1:10" x14ac:dyDescent="0.25">
      <c r="A2270">
        <v>2253</v>
      </c>
      <c r="B2270" s="100">
        <v>89.686226478951298</v>
      </c>
      <c r="C2270" s="100">
        <v>97.363191550997115</v>
      </c>
      <c r="D2270" s="100">
        <v>91.857037478625372</v>
      </c>
      <c r="E2270" s="100">
        <v>92.752536383721704</v>
      </c>
      <c r="F2270" s="100">
        <v>-437.53077682975317</v>
      </c>
      <c r="G2270" s="100">
        <v>1270.0469334475031</v>
      </c>
      <c r="H2270" s="100">
        <v>1918.0852537224666</v>
      </c>
      <c r="I2270" s="100">
        <v>628.10327097952268</v>
      </c>
      <c r="J2270" s="100">
        <v>3378.7046813197394</v>
      </c>
    </row>
    <row r="2271" spans="1:10" x14ac:dyDescent="0.25">
      <c r="A2271">
        <v>2254</v>
      </c>
      <c r="B2271" s="100">
        <v>90.227847838210735</v>
      </c>
      <c r="C2271" s="100">
        <v>98.758751211625366</v>
      </c>
      <c r="D2271" s="100">
        <v>89.880303692002286</v>
      </c>
      <c r="E2271" s="100">
        <v>93.317942632815686</v>
      </c>
      <c r="F2271" s="100">
        <v>-2224.8812623858967</v>
      </c>
      <c r="G2271" s="100">
        <v>-823.29255749487379</v>
      </c>
      <c r="H2271" s="100">
        <v>5871.5528269686383</v>
      </c>
      <c r="I2271" s="100">
        <v>62.697021885540494</v>
      </c>
      <c r="J2271" s="100">
        <v>2886.076028973408</v>
      </c>
    </row>
    <row r="2272" spans="1:10" x14ac:dyDescent="0.25">
      <c r="A2272">
        <v>2255</v>
      </c>
      <c r="B2272" s="100">
        <v>89.803582589067275</v>
      </c>
      <c r="C2272" s="100">
        <v>96.817378566010845</v>
      </c>
      <c r="D2272" s="100">
        <v>93.124621164053565</v>
      </c>
      <c r="E2272" s="100">
        <v>92.852159028117953</v>
      </c>
      <c r="F2272" s="100">
        <v>-824.80594021247953</v>
      </c>
      <c r="G2272" s="100">
        <v>2088.7664109269081</v>
      </c>
      <c r="H2272" s="100">
        <v>-617.08211713391847</v>
      </c>
      <c r="I2272" s="100">
        <v>528.48062658327422</v>
      </c>
      <c r="J2272" s="100">
        <v>1175.3589801637843</v>
      </c>
    </row>
    <row r="2273" spans="1:10" x14ac:dyDescent="0.25">
      <c r="A2273">
        <v>2256</v>
      </c>
      <c r="B2273" s="100">
        <v>89.61572752939361</v>
      </c>
      <c r="C2273" s="100">
        <v>97.8691409987904</v>
      </c>
      <c r="D2273" s="100">
        <v>91.658681517560723</v>
      </c>
      <c r="E2273" s="100">
        <v>93.364786737206231</v>
      </c>
      <c r="F2273" s="100">
        <v>-204.88424328938208</v>
      </c>
      <c r="G2273" s="100">
        <v>511.12276175757643</v>
      </c>
      <c r="H2273" s="100">
        <v>2314.7971758517656</v>
      </c>
      <c r="I2273" s="100">
        <v>15.852917494996177</v>
      </c>
      <c r="J2273" s="100">
        <v>2636.8886118149562</v>
      </c>
    </row>
    <row r="2274" spans="1:10" x14ac:dyDescent="0.25">
      <c r="A2274">
        <v>2257</v>
      </c>
      <c r="B2274" s="100">
        <v>89.372487062403295</v>
      </c>
      <c r="C2274" s="100">
        <v>97.734435085172635</v>
      </c>
      <c r="D2274" s="100">
        <v>92.04263540666004</v>
      </c>
      <c r="E2274" s="100">
        <v>93.508487511333271</v>
      </c>
      <c r="F2274" s="100">
        <v>597.80929777865731</v>
      </c>
      <c r="G2274" s="100">
        <v>713.18163218422364</v>
      </c>
      <c r="H2274" s="100">
        <v>1546.8893976531319</v>
      </c>
      <c r="I2274" s="100">
        <v>-127.84785663204445</v>
      </c>
      <c r="J2274" s="100">
        <v>2730.0324709839683</v>
      </c>
    </row>
    <row r="2275" spans="1:10" x14ac:dyDescent="0.25">
      <c r="A2275">
        <v>2258</v>
      </c>
      <c r="B2275" s="100">
        <v>89.299755023881403</v>
      </c>
      <c r="C2275" s="100">
        <v>97.958228132379503</v>
      </c>
      <c r="D2275" s="100">
        <v>94.007698580991303</v>
      </c>
      <c r="E2275" s="100">
        <v>93.84535735396129</v>
      </c>
      <c r="F2275" s="100">
        <v>837.82502490089996</v>
      </c>
      <c r="G2275" s="100">
        <v>377.49206137392122</v>
      </c>
      <c r="H2275" s="100">
        <v>-2383.236951009394</v>
      </c>
      <c r="I2275" s="100">
        <v>-464.71769926006345</v>
      </c>
      <c r="J2275" s="100">
        <v>-1632.6375639946364</v>
      </c>
    </row>
    <row r="2276" spans="1:10" x14ac:dyDescent="0.25">
      <c r="A2276">
        <v>2259</v>
      </c>
      <c r="B2276" s="100">
        <v>89.895985980479509</v>
      </c>
      <c r="C2276" s="100">
        <v>98.794991719718908</v>
      </c>
      <c r="D2276" s="100">
        <v>93.839828536302733</v>
      </c>
      <c r="E2276" s="100">
        <v>92.976021021907528</v>
      </c>
      <c r="F2276" s="100">
        <v>-1129.7371318728494</v>
      </c>
      <c r="G2276" s="100">
        <v>-877.65331963518634</v>
      </c>
      <c r="H2276" s="100">
        <v>-2047.4968616322542</v>
      </c>
      <c r="I2276" s="100">
        <v>404.61863279369936</v>
      </c>
      <c r="J2276" s="100">
        <v>-3650.2686803465904</v>
      </c>
    </row>
    <row r="2277" spans="1:10" x14ac:dyDescent="0.25">
      <c r="A2277">
        <v>2260</v>
      </c>
      <c r="B2277" s="100">
        <v>89.472072306880776</v>
      </c>
      <c r="C2277" s="100">
        <v>98.801058560881643</v>
      </c>
      <c r="D2277" s="100">
        <v>93.818304267302608</v>
      </c>
      <c r="E2277" s="100">
        <v>94.305937216163358</v>
      </c>
      <c r="F2277" s="100">
        <v>269.17799100296946</v>
      </c>
      <c r="G2277" s="100">
        <v>-886.75358137928833</v>
      </c>
      <c r="H2277" s="100">
        <v>-2004.4483236320048</v>
      </c>
      <c r="I2277" s="100">
        <v>-925.2975614621306</v>
      </c>
      <c r="J2277" s="100">
        <v>-3547.3214754704541</v>
      </c>
    </row>
    <row r="2278" spans="1:10" x14ac:dyDescent="0.25">
      <c r="A2278">
        <v>2261</v>
      </c>
      <c r="B2278" s="100">
        <v>89.175790995598376</v>
      </c>
      <c r="C2278" s="100">
        <v>97.243600658227109</v>
      </c>
      <c r="D2278" s="100">
        <v>92.427299699928938</v>
      </c>
      <c r="E2278" s="100">
        <v>94.0119843014905</v>
      </c>
      <c r="F2278" s="100">
        <v>1246.9063182348875</v>
      </c>
      <c r="G2278" s="100">
        <v>1449.433272602512</v>
      </c>
      <c r="H2278" s="100">
        <v>777.56081111533604</v>
      </c>
      <c r="I2278" s="100">
        <v>-631.34464678927316</v>
      </c>
      <c r="J2278" s="100">
        <v>2842.5557551634624</v>
      </c>
    </row>
    <row r="2279" spans="1:10" x14ac:dyDescent="0.25">
      <c r="A2279">
        <v>2262</v>
      </c>
      <c r="B2279" s="100">
        <v>90.171398033378978</v>
      </c>
      <c r="C2279" s="100">
        <v>99.008535629545477</v>
      </c>
      <c r="D2279" s="100">
        <v>92.890732130958284</v>
      </c>
      <c r="E2279" s="100">
        <v>91.62789439731624</v>
      </c>
      <c r="F2279" s="100">
        <v>-2038.5969064410972</v>
      </c>
      <c r="G2279" s="100">
        <v>-1197.9691843750402</v>
      </c>
      <c r="H2279" s="100">
        <v>-149.30405094335697</v>
      </c>
      <c r="I2279" s="100">
        <v>1752.7452573849871</v>
      </c>
      <c r="J2279" s="100">
        <v>-1633.1248843745068</v>
      </c>
    </row>
    <row r="2280" spans="1:10" x14ac:dyDescent="0.25">
      <c r="A2280">
        <v>2263</v>
      </c>
      <c r="B2280" s="100">
        <v>88.281711550150149</v>
      </c>
      <c r="C2280" s="100">
        <v>99.47225125984896</v>
      </c>
      <c r="D2280" s="100">
        <v>91.476002323412644</v>
      </c>
      <c r="E2280" s="100">
        <v>91.871149638899965</v>
      </c>
      <c r="F2280" s="100">
        <v>4197.3684882140378</v>
      </c>
      <c r="G2280" s="100">
        <v>-1893.5426298302646</v>
      </c>
      <c r="H2280" s="100">
        <v>2680.155564147924</v>
      </c>
      <c r="I2280" s="100">
        <v>1509.490015801262</v>
      </c>
      <c r="J2280" s="100">
        <v>6493.4714383329592</v>
      </c>
    </row>
    <row r="2281" spans="1:10" x14ac:dyDescent="0.25">
      <c r="A2281">
        <v>2264</v>
      </c>
      <c r="B2281" s="100">
        <v>89.489623999712293</v>
      </c>
      <c r="C2281" s="100">
        <v>98.708771533128782</v>
      </c>
      <c r="D2281" s="100">
        <v>91.285897068956999</v>
      </c>
      <c r="E2281" s="100">
        <v>94.744354184568422</v>
      </c>
      <c r="F2281" s="100">
        <v>211.25740465896143</v>
      </c>
      <c r="G2281" s="100">
        <v>-748.32303974999809</v>
      </c>
      <c r="H2281" s="100">
        <v>3060.3660730592137</v>
      </c>
      <c r="I2281" s="100">
        <v>-1363.7145298671953</v>
      </c>
      <c r="J2281" s="100">
        <v>1159.5859081009817</v>
      </c>
    </row>
    <row r="2282" spans="1:10" x14ac:dyDescent="0.25">
      <c r="A2282">
        <v>2265</v>
      </c>
      <c r="B2282" s="100">
        <v>88.346347534612718</v>
      </c>
      <c r="C2282" s="100">
        <v>98.086286251554966</v>
      </c>
      <c r="D2282" s="100">
        <v>91.312335513664152</v>
      </c>
      <c r="E2282" s="100">
        <v>92.563039818590056</v>
      </c>
      <c r="F2282" s="100">
        <v>3984.0697394875592</v>
      </c>
      <c r="G2282" s="100">
        <v>185.40488261072596</v>
      </c>
      <c r="H2282" s="100">
        <v>3007.4891836449069</v>
      </c>
      <c r="I2282" s="100">
        <v>817.59983611117093</v>
      </c>
      <c r="J2282" s="100">
        <v>7994.5636418543627</v>
      </c>
    </row>
    <row r="2283" spans="1:10" x14ac:dyDescent="0.25">
      <c r="A2283">
        <v>2266</v>
      </c>
      <c r="B2283" s="100">
        <v>89.405303209288121</v>
      </c>
      <c r="C2283" s="100">
        <v>98.234172707334452</v>
      </c>
      <c r="D2283" s="100">
        <v>91.532801318671943</v>
      </c>
      <c r="E2283" s="100">
        <v>94.481539974848943</v>
      </c>
      <c r="F2283" s="100">
        <v>489.51601305872998</v>
      </c>
      <c r="G2283" s="100">
        <v>-36.424801058501544</v>
      </c>
      <c r="H2283" s="100">
        <v>2566.5575736293249</v>
      </c>
      <c r="I2283" s="100">
        <v>-1100.9003201477158</v>
      </c>
      <c r="J2283" s="100">
        <v>1918.7484654818377</v>
      </c>
    </row>
    <row r="2284" spans="1:10" x14ac:dyDescent="0.25">
      <c r="A2284">
        <v>2267</v>
      </c>
      <c r="B2284" s="100">
        <v>89.487939075261252</v>
      </c>
      <c r="C2284" s="100">
        <v>97.271006370439707</v>
      </c>
      <c r="D2284" s="100">
        <v>93.395011743373729</v>
      </c>
      <c r="E2284" s="100">
        <v>92.640279670358822</v>
      </c>
      <c r="F2284" s="100">
        <v>216.81765534739696</v>
      </c>
      <c r="G2284" s="100">
        <v>1408.3247042836149</v>
      </c>
      <c r="H2284" s="100">
        <v>-1157.8632757742469</v>
      </c>
      <c r="I2284" s="100">
        <v>740.35998434240469</v>
      </c>
      <c r="J2284" s="100">
        <v>1207.6390681991697</v>
      </c>
    </row>
    <row r="2285" spans="1:10" x14ac:dyDescent="0.25">
      <c r="A2285">
        <v>2268</v>
      </c>
      <c r="B2285" s="100">
        <v>89.5793809236648</v>
      </c>
      <c r="C2285" s="100">
        <v>98.603392857924803</v>
      </c>
      <c r="D2285" s="100">
        <v>91.236580934286266</v>
      </c>
      <c r="E2285" s="100">
        <v>92.578722428722926</v>
      </c>
      <c r="F2285" s="100">
        <v>-84.94044438431132</v>
      </c>
      <c r="G2285" s="100">
        <v>-590.25502694402826</v>
      </c>
      <c r="H2285" s="100">
        <v>3158.9983424006787</v>
      </c>
      <c r="I2285" s="100">
        <v>801.91722597830051</v>
      </c>
      <c r="J2285" s="100">
        <v>3285.7200970506397</v>
      </c>
    </row>
    <row r="2286" spans="1:10" x14ac:dyDescent="0.25">
      <c r="A2286">
        <v>2269</v>
      </c>
      <c r="B2286" s="100">
        <v>89.564775252738301</v>
      </c>
      <c r="C2286" s="100">
        <v>98.760737719573243</v>
      </c>
      <c r="D2286" s="100">
        <v>92.316677610187639</v>
      </c>
      <c r="E2286" s="100">
        <v>93.863804860978206</v>
      </c>
      <c r="F2286" s="100">
        <v>-36.74173032686241</v>
      </c>
      <c r="G2286" s="100">
        <v>-826.27231941668811</v>
      </c>
      <c r="H2286" s="100">
        <v>998.80499059793237</v>
      </c>
      <c r="I2286" s="100">
        <v>-483.16520627697912</v>
      </c>
      <c r="J2286" s="100">
        <v>-347.3742654225972</v>
      </c>
    </row>
    <row r="2287" spans="1:10" x14ac:dyDescent="0.25">
      <c r="A2287">
        <v>2270</v>
      </c>
      <c r="B2287" s="100">
        <v>88.560938618474069</v>
      </c>
      <c r="C2287" s="100">
        <v>100.76265729099009</v>
      </c>
      <c r="D2287" s="100">
        <v>91.190980146798694</v>
      </c>
      <c r="E2287" s="100">
        <v>90.89184894303439</v>
      </c>
      <c r="F2287" s="100">
        <v>3275.9191627451032</v>
      </c>
      <c r="G2287" s="100">
        <v>-3829.1516765419615</v>
      </c>
      <c r="H2287" s="100">
        <v>3250.1999173758236</v>
      </c>
      <c r="I2287" s="100">
        <v>2488.7907116668375</v>
      </c>
      <c r="J2287" s="100">
        <v>5185.7581152458024</v>
      </c>
    </row>
    <row r="2288" spans="1:10" x14ac:dyDescent="0.25">
      <c r="A2288">
        <v>2271</v>
      </c>
      <c r="B2288" s="100">
        <v>88.379761306437103</v>
      </c>
      <c r="C2288" s="100">
        <v>98.356038554658483</v>
      </c>
      <c r="D2288" s="100">
        <v>90.436233724769195</v>
      </c>
      <c r="E2288" s="100">
        <v>94.706011869865151</v>
      </c>
      <c r="F2288" s="100">
        <v>3873.8042924670881</v>
      </c>
      <c r="G2288" s="100">
        <v>-219.22357204454812</v>
      </c>
      <c r="H2288" s="100">
        <v>4759.6927614348206</v>
      </c>
      <c r="I2288" s="100">
        <v>-1325.3722151639238</v>
      </c>
      <c r="J2288" s="100">
        <v>7088.9012666934368</v>
      </c>
    </row>
    <row r="2289" spans="1:10" x14ac:dyDescent="0.25">
      <c r="A2289">
        <v>2272</v>
      </c>
      <c r="B2289" s="100">
        <v>90.302602231779119</v>
      </c>
      <c r="C2289" s="100">
        <v>98.173669097616312</v>
      </c>
      <c r="D2289" s="100">
        <v>92.2818444288542</v>
      </c>
      <c r="E2289" s="100">
        <v>96.538896284355133</v>
      </c>
      <c r="F2289" s="100">
        <v>-2471.5707611615626</v>
      </c>
      <c r="G2289" s="100">
        <v>54.330613518708049</v>
      </c>
      <c r="H2289" s="100">
        <v>1068.4713532648118</v>
      </c>
      <c r="I2289" s="100">
        <v>-3158.2566296539057</v>
      </c>
      <c r="J2289" s="100">
        <v>-4507.0254240319482</v>
      </c>
    </row>
    <row r="2290" spans="1:10" x14ac:dyDescent="0.25">
      <c r="A2290">
        <v>2273</v>
      </c>
      <c r="B2290" s="100">
        <v>89.336236640136889</v>
      </c>
      <c r="C2290" s="100">
        <v>98.638100516942842</v>
      </c>
      <c r="D2290" s="100">
        <v>90.827181681861347</v>
      </c>
      <c r="E2290" s="100">
        <v>94.460444978441544</v>
      </c>
      <c r="F2290" s="100">
        <v>717.43569125779629</v>
      </c>
      <c r="G2290" s="100">
        <v>-642.31651547108731</v>
      </c>
      <c r="H2290" s="100">
        <v>3977.7968472505163</v>
      </c>
      <c r="I2290" s="100">
        <v>-1079.8053237403167</v>
      </c>
      <c r="J2290" s="100">
        <v>2973.1106992969089</v>
      </c>
    </row>
    <row r="2291" spans="1:10" x14ac:dyDescent="0.25">
      <c r="A2291">
        <v>2274</v>
      </c>
      <c r="B2291" s="100">
        <v>90.28944221779166</v>
      </c>
      <c r="C2291" s="100">
        <v>97.798325769980309</v>
      </c>
      <c r="D2291" s="100">
        <v>93.787861511801111</v>
      </c>
      <c r="E2291" s="100">
        <v>91.785676318675101</v>
      </c>
      <c r="F2291" s="100">
        <v>-2428.1427150029472</v>
      </c>
      <c r="G2291" s="100">
        <v>617.34560497271218</v>
      </c>
      <c r="H2291" s="100">
        <v>-1943.5628126290112</v>
      </c>
      <c r="I2291" s="100">
        <v>1594.9633360261259</v>
      </c>
      <c r="J2291" s="100">
        <v>-2159.39658663312</v>
      </c>
    </row>
    <row r="2292" spans="1:10" x14ac:dyDescent="0.25">
      <c r="A2292">
        <v>2275</v>
      </c>
      <c r="B2292" s="100">
        <v>89.037579352150814</v>
      </c>
      <c r="C2292" s="100">
        <v>99.678100590180904</v>
      </c>
      <c r="D2292" s="100">
        <v>92.06724442736477</v>
      </c>
      <c r="E2292" s="100">
        <v>91.105544439957569</v>
      </c>
      <c r="F2292" s="100">
        <v>1703.0047416118421</v>
      </c>
      <c r="G2292" s="100">
        <v>-2202.3166253281802</v>
      </c>
      <c r="H2292" s="100">
        <v>1497.6713562436714</v>
      </c>
      <c r="I2292" s="100">
        <v>2275.0952147436578</v>
      </c>
      <c r="J2292" s="100">
        <v>3273.4546872709911</v>
      </c>
    </row>
    <row r="2293" spans="1:10" x14ac:dyDescent="0.25">
      <c r="A2293">
        <v>2276</v>
      </c>
      <c r="B2293" s="100">
        <v>89.987722437656004</v>
      </c>
      <c r="C2293" s="100">
        <v>98.901551717806782</v>
      </c>
      <c r="D2293" s="100">
        <v>91.817199576525397</v>
      </c>
      <c r="E2293" s="100">
        <v>95.302476868266552</v>
      </c>
      <c r="F2293" s="100">
        <v>-1432.4674405552828</v>
      </c>
      <c r="G2293" s="100">
        <v>-1037.4933167669979</v>
      </c>
      <c r="H2293" s="100">
        <v>1997.7610579224176</v>
      </c>
      <c r="I2293" s="100">
        <v>-1921.8372135653253</v>
      </c>
      <c r="J2293" s="100">
        <v>-2394.0369129651881</v>
      </c>
    </row>
    <row r="2294" spans="1:10" x14ac:dyDescent="0.25">
      <c r="A2294">
        <v>2277</v>
      </c>
      <c r="B2294" s="100">
        <v>89.667092008817406</v>
      </c>
      <c r="C2294" s="100">
        <v>97.547820729057236</v>
      </c>
      <c r="D2294" s="100">
        <v>93.408916978956199</v>
      </c>
      <c r="E2294" s="100">
        <v>93.479014593009254</v>
      </c>
      <c r="F2294" s="100">
        <v>-374.38702538790949</v>
      </c>
      <c r="G2294" s="100">
        <v>993.10316635732215</v>
      </c>
      <c r="H2294" s="100">
        <v>-1185.6737469391874</v>
      </c>
      <c r="I2294" s="100">
        <v>-98.374938308026572</v>
      </c>
      <c r="J2294" s="100">
        <v>-665.33254427780128</v>
      </c>
    </row>
    <row r="2295" spans="1:10" x14ac:dyDescent="0.25">
      <c r="A2295">
        <v>2278</v>
      </c>
      <c r="B2295" s="100">
        <v>88.572521558010237</v>
      </c>
      <c r="C2295" s="100">
        <v>98.089337479733771</v>
      </c>
      <c r="D2295" s="100">
        <v>92.256140440724764</v>
      </c>
      <c r="E2295" s="100">
        <v>94.347093146719772</v>
      </c>
      <c r="F2295" s="100">
        <v>3237.6954622757466</v>
      </c>
      <c r="G2295" s="100">
        <v>180.82804034251865</v>
      </c>
      <c r="H2295" s="100">
        <v>1119.879329523684</v>
      </c>
      <c r="I2295" s="100">
        <v>-966.45349201854458</v>
      </c>
      <c r="J2295" s="100">
        <v>3571.9493401234045</v>
      </c>
    </row>
    <row r="2296" spans="1:10" x14ac:dyDescent="0.25">
      <c r="A2296">
        <v>2279</v>
      </c>
      <c r="B2296" s="100">
        <v>88.870335593454413</v>
      </c>
      <c r="C2296" s="100">
        <v>98.536744763514974</v>
      </c>
      <c r="D2296" s="100">
        <v>92.144763635768498</v>
      </c>
      <c r="E2296" s="100">
        <v>97.38289818382647</v>
      </c>
      <c r="F2296" s="100">
        <v>2254.909145309965</v>
      </c>
      <c r="G2296" s="100">
        <v>-490.28288532928599</v>
      </c>
      <c r="H2296" s="100">
        <v>1342.6329394362142</v>
      </c>
      <c r="I2296" s="100">
        <v>-4002.2585291252426</v>
      </c>
      <c r="J2296" s="100">
        <v>-894.99932970834925</v>
      </c>
    </row>
    <row r="2297" spans="1:10" x14ac:dyDescent="0.25">
      <c r="A2297">
        <v>2280</v>
      </c>
      <c r="B2297" s="100">
        <v>89.451051553017052</v>
      </c>
      <c r="C2297" s="100">
        <v>98.238462696717917</v>
      </c>
      <c r="D2297" s="100">
        <v>91.442284409474951</v>
      </c>
      <c r="E2297" s="100">
        <v>94.860024907098236</v>
      </c>
      <c r="F2297" s="100">
        <v>338.54647875325696</v>
      </c>
      <c r="G2297" s="100">
        <v>-42.859785133700257</v>
      </c>
      <c r="H2297" s="100">
        <v>2747.5913920233097</v>
      </c>
      <c r="I2297" s="100">
        <v>-1479.3852523970088</v>
      </c>
      <c r="J2297" s="100">
        <v>1563.8928332458574</v>
      </c>
    </row>
    <row r="2298" spans="1:10" x14ac:dyDescent="0.25">
      <c r="A2298">
        <v>2281</v>
      </c>
      <c r="B2298" s="100">
        <v>89.910696670275712</v>
      </c>
      <c r="C2298" s="100">
        <v>97.233048755472552</v>
      </c>
      <c r="D2298" s="100">
        <v>90.730992500638465</v>
      </c>
      <c r="E2298" s="100">
        <v>95.445518848780949</v>
      </c>
      <c r="F2298" s="100">
        <v>-1178.2824082003203</v>
      </c>
      <c r="G2298" s="100">
        <v>1465.2611267343473</v>
      </c>
      <c r="H2298" s="100">
        <v>4170.1752096962819</v>
      </c>
      <c r="I2298" s="100">
        <v>-2064.8791940797223</v>
      </c>
      <c r="J2298" s="100">
        <v>2392.2747341505869</v>
      </c>
    </row>
    <row r="2299" spans="1:10" x14ac:dyDescent="0.25">
      <c r="A2299">
        <v>2282</v>
      </c>
      <c r="B2299" s="100">
        <v>89.594089992355038</v>
      </c>
      <c r="C2299" s="100">
        <v>98.250063301971906</v>
      </c>
      <c r="D2299" s="100">
        <v>93.14153120833069</v>
      </c>
      <c r="E2299" s="100">
        <v>92.872137769665628</v>
      </c>
      <c r="F2299" s="100">
        <v>-133.4803710620946</v>
      </c>
      <c r="G2299" s="100">
        <v>-60.260693014683397</v>
      </c>
      <c r="H2299" s="100">
        <v>-650.90220568816903</v>
      </c>
      <c r="I2299" s="100">
        <v>508.50188503559934</v>
      </c>
      <c r="J2299" s="100">
        <v>-336.14138472934769</v>
      </c>
    </row>
    <row r="2300" spans="1:10" x14ac:dyDescent="0.25">
      <c r="A2300">
        <v>2283</v>
      </c>
      <c r="B2300" s="100">
        <v>90.057239142222755</v>
      </c>
      <c r="C2300" s="100">
        <v>96.861831568781085</v>
      </c>
      <c r="D2300" s="100">
        <v>93.692078128290575</v>
      </c>
      <c r="E2300" s="100">
        <v>94.85630489130898</v>
      </c>
      <c r="F2300" s="100">
        <v>-1661.8725656255633</v>
      </c>
      <c r="G2300" s="100">
        <v>2022.0869067715485</v>
      </c>
      <c r="H2300" s="100">
        <v>-1751.9960456079389</v>
      </c>
      <c r="I2300" s="100">
        <v>-1475.6652366077533</v>
      </c>
      <c r="J2300" s="100">
        <v>-2867.446941069707</v>
      </c>
    </row>
    <row r="2301" spans="1:10" x14ac:dyDescent="0.25">
      <c r="A2301">
        <v>2284</v>
      </c>
      <c r="B2301" s="100">
        <v>89.937428451078446</v>
      </c>
      <c r="C2301" s="100">
        <v>97.678860089885504</v>
      </c>
      <c r="D2301" s="100">
        <v>91.884007159269899</v>
      </c>
      <c r="E2301" s="100">
        <v>93.485597376743641</v>
      </c>
      <c r="F2301" s="100">
        <v>-1266.4972848493435</v>
      </c>
      <c r="G2301" s="100">
        <v>796.54412511492012</v>
      </c>
      <c r="H2301" s="100">
        <v>1864.1458924334131</v>
      </c>
      <c r="I2301" s="100">
        <v>-104.95772204241405</v>
      </c>
      <c r="J2301" s="100">
        <v>1289.2350106565759</v>
      </c>
    </row>
    <row r="2302" spans="1:10" x14ac:dyDescent="0.25">
      <c r="A2302">
        <v>2285</v>
      </c>
      <c r="B2302" s="100">
        <v>89.522897663144349</v>
      </c>
      <c r="C2302" s="100">
        <v>99.175917729268562</v>
      </c>
      <c r="D2302" s="100">
        <v>94.858967646071449</v>
      </c>
      <c r="E2302" s="100">
        <v>95.673113559274739</v>
      </c>
      <c r="F2302" s="100">
        <v>101.45431533317861</v>
      </c>
      <c r="G2302" s="100">
        <v>-1449.0423339596673</v>
      </c>
      <c r="H2302" s="100">
        <v>-4085.775081169686</v>
      </c>
      <c r="I2302" s="100">
        <v>-2292.4739045735123</v>
      </c>
      <c r="J2302" s="100">
        <v>-7725.8370043696868</v>
      </c>
    </row>
    <row r="2303" spans="1:10" x14ac:dyDescent="0.25">
      <c r="A2303">
        <v>2286</v>
      </c>
      <c r="B2303" s="100">
        <v>89.770254835547732</v>
      </c>
      <c r="C2303" s="100">
        <v>98.416405192800127</v>
      </c>
      <c r="D2303" s="100">
        <v>93.416509417727298</v>
      </c>
      <c r="E2303" s="100">
        <v>93.827803116881682</v>
      </c>
      <c r="F2303" s="100">
        <v>-714.82435359798592</v>
      </c>
      <c r="G2303" s="100">
        <v>-309.77352925701496</v>
      </c>
      <c r="H2303" s="100">
        <v>-1200.8586244813841</v>
      </c>
      <c r="I2303" s="100">
        <v>-447.16346218045544</v>
      </c>
      <c r="J2303" s="100">
        <v>-2672.6199695168407</v>
      </c>
    </row>
    <row r="2304" spans="1:10" x14ac:dyDescent="0.25">
      <c r="A2304">
        <v>2287</v>
      </c>
      <c r="B2304" s="100">
        <v>90.520284883495847</v>
      </c>
      <c r="C2304" s="100">
        <v>97.45327289981023</v>
      </c>
      <c r="D2304" s="100">
        <v>91.424839950138931</v>
      </c>
      <c r="E2304" s="100">
        <v>95.085304026771183</v>
      </c>
      <c r="F2304" s="100">
        <v>-3189.923511826767</v>
      </c>
      <c r="G2304" s="100">
        <v>1134.9249102278307</v>
      </c>
      <c r="H2304" s="100">
        <v>2782.4803106953482</v>
      </c>
      <c r="I2304" s="100">
        <v>-1704.6643720699562</v>
      </c>
      <c r="J2304" s="100">
        <v>-977.18266297354421</v>
      </c>
    </row>
    <row r="2305" spans="1:10" x14ac:dyDescent="0.25">
      <c r="A2305">
        <v>2288</v>
      </c>
      <c r="B2305" s="100">
        <v>87.946933094298899</v>
      </c>
      <c r="C2305" s="100">
        <v>97.434705320123115</v>
      </c>
      <c r="D2305" s="100">
        <v>93.179944242680207</v>
      </c>
      <c r="E2305" s="100">
        <v>90.527455063404162</v>
      </c>
      <c r="F2305" s="100">
        <v>5302.1373925231628</v>
      </c>
      <c r="G2305" s="100">
        <v>1162.7762797585035</v>
      </c>
      <c r="H2305" s="100">
        <v>-727.72827438720356</v>
      </c>
      <c r="I2305" s="100">
        <v>2853.1845912970653</v>
      </c>
      <c r="J2305" s="100">
        <v>8590.3699891915276</v>
      </c>
    </row>
    <row r="2306" spans="1:10" x14ac:dyDescent="0.25">
      <c r="A2306">
        <v>2289</v>
      </c>
      <c r="B2306" s="100">
        <v>89.456048448587467</v>
      </c>
      <c r="C2306" s="100">
        <v>98.438271085058602</v>
      </c>
      <c r="D2306" s="100">
        <v>92.628049553026415</v>
      </c>
      <c r="E2306" s="100">
        <v>92.757439158677556</v>
      </c>
      <c r="F2306" s="100">
        <v>322.05672337088913</v>
      </c>
      <c r="G2306" s="100">
        <v>-342.57236764472765</v>
      </c>
      <c r="H2306" s="100">
        <v>376.06110492038169</v>
      </c>
      <c r="I2306" s="100">
        <v>623.20049602367078</v>
      </c>
      <c r="J2306" s="100">
        <v>978.7459566702139</v>
      </c>
    </row>
    <row r="2307" spans="1:10" x14ac:dyDescent="0.25">
      <c r="A2307">
        <v>2290</v>
      </c>
      <c r="B2307" s="100">
        <v>89.527871453554994</v>
      </c>
      <c r="C2307" s="100">
        <v>99.3118105894293</v>
      </c>
      <c r="D2307" s="100">
        <v>93.884049243595399</v>
      </c>
      <c r="E2307" s="100">
        <v>95.341023015014031</v>
      </c>
      <c r="F2307" s="100">
        <v>85.040806978049943</v>
      </c>
      <c r="G2307" s="100">
        <v>-1652.8816242007736</v>
      </c>
      <c r="H2307" s="100">
        <v>-2135.9382762175869</v>
      </c>
      <c r="I2307" s="100">
        <v>-1960.3833603128037</v>
      </c>
      <c r="J2307" s="100">
        <v>-5664.1624537531143</v>
      </c>
    </row>
    <row r="2308" spans="1:10" x14ac:dyDescent="0.25">
      <c r="A2308">
        <v>2291</v>
      </c>
      <c r="B2308" s="100">
        <v>88.734279598643809</v>
      </c>
      <c r="C2308" s="100">
        <v>97.415202384584404</v>
      </c>
      <c r="D2308" s="100">
        <v>93.908582990056885</v>
      </c>
      <c r="E2308" s="100">
        <v>93.8840700889197</v>
      </c>
      <c r="F2308" s="100">
        <v>2703.8939281849593</v>
      </c>
      <c r="G2308" s="100">
        <v>1192.0306830665695</v>
      </c>
      <c r="H2308" s="100">
        <v>-2185.0057691405596</v>
      </c>
      <c r="I2308" s="100">
        <v>-503.43043421847256</v>
      </c>
      <c r="J2308" s="100">
        <v>1207.4884078924968</v>
      </c>
    </row>
    <row r="2309" spans="1:10" x14ac:dyDescent="0.25">
      <c r="A2309">
        <v>2292</v>
      </c>
      <c r="B2309" s="100">
        <v>90.495548372427251</v>
      </c>
      <c r="C2309" s="100">
        <v>98.968182791216393</v>
      </c>
      <c r="D2309" s="100">
        <v>94.547200088211923</v>
      </c>
      <c r="E2309" s="100">
        <v>92.939106190658777</v>
      </c>
      <c r="F2309" s="100">
        <v>-3108.2930253003992</v>
      </c>
      <c r="G2309" s="100">
        <v>-1137.4399268814132</v>
      </c>
      <c r="H2309" s="100">
        <v>-3462.2399654506353</v>
      </c>
      <c r="I2309" s="100">
        <v>441.53346404245042</v>
      </c>
      <c r="J2309" s="100">
        <v>-7266.4394535899964</v>
      </c>
    </row>
    <row r="2310" spans="1:10" x14ac:dyDescent="0.25">
      <c r="A2310">
        <v>2293</v>
      </c>
      <c r="B2310" s="100">
        <v>89.594392146998402</v>
      </c>
      <c r="C2310" s="100">
        <v>99.391210473124488</v>
      </c>
      <c r="D2310" s="100">
        <v>92.616671035580708</v>
      </c>
      <c r="E2310" s="100">
        <v>91.295730886896834</v>
      </c>
      <c r="F2310" s="100">
        <v>-134.477481385197</v>
      </c>
      <c r="G2310" s="100">
        <v>-1771.9814497435564</v>
      </c>
      <c r="H2310" s="100">
        <v>398.81813981179448</v>
      </c>
      <c r="I2310" s="100">
        <v>2084.9087678043929</v>
      </c>
      <c r="J2310" s="100">
        <v>577.267976487434</v>
      </c>
    </row>
    <row r="2311" spans="1:10" x14ac:dyDescent="0.25">
      <c r="A2311">
        <v>2294</v>
      </c>
      <c r="B2311" s="100">
        <v>90.061353442998126</v>
      </c>
      <c r="C2311" s="100">
        <v>98.46839414448192</v>
      </c>
      <c r="D2311" s="100">
        <v>93.239492557705844</v>
      </c>
      <c r="E2311" s="100">
        <v>91.235293674801724</v>
      </c>
      <c r="F2311" s="100">
        <v>-1675.4497581842857</v>
      </c>
      <c r="G2311" s="100">
        <v>-387.7569567797039</v>
      </c>
      <c r="H2311" s="100">
        <v>-846.82490443847769</v>
      </c>
      <c r="I2311" s="100">
        <v>2145.3459798995027</v>
      </c>
      <c r="J2311" s="100">
        <v>-764.68563950296448</v>
      </c>
    </row>
    <row r="2312" spans="1:10" x14ac:dyDescent="0.25">
      <c r="A2312">
        <v>2295</v>
      </c>
      <c r="B2312" s="100">
        <v>90.197394395171798</v>
      </c>
      <c r="C2312" s="100">
        <v>96.852955655404187</v>
      </c>
      <c r="D2312" s="100">
        <v>94.346781747512466</v>
      </c>
      <c r="E2312" s="100">
        <v>91.720834290498317</v>
      </c>
      <c r="F2312" s="100">
        <v>-2124.3849003574055</v>
      </c>
      <c r="G2312" s="100">
        <v>2035.4007768368945</v>
      </c>
      <c r="H2312" s="100">
        <v>-3061.4032840517211</v>
      </c>
      <c r="I2312" s="100">
        <v>1659.8053642029099</v>
      </c>
      <c r="J2312" s="100">
        <v>-1490.5820433693225</v>
      </c>
    </row>
    <row r="2313" spans="1:10" x14ac:dyDescent="0.25">
      <c r="A2313">
        <v>2296</v>
      </c>
      <c r="B2313" s="100">
        <v>89.690316862389636</v>
      </c>
      <c r="C2313" s="100">
        <v>98.721211110427561</v>
      </c>
      <c r="D2313" s="100">
        <v>92.482290445448172</v>
      </c>
      <c r="E2313" s="100">
        <v>92.552508153321796</v>
      </c>
      <c r="F2313" s="100">
        <v>-451.02904217627042</v>
      </c>
      <c r="G2313" s="100">
        <v>-766.98240569816539</v>
      </c>
      <c r="H2313" s="100">
        <v>667.57932007686804</v>
      </c>
      <c r="I2313" s="100">
        <v>828.13150137943126</v>
      </c>
      <c r="J2313" s="100">
        <v>277.69937358186348</v>
      </c>
    </row>
    <row r="2314" spans="1:10" x14ac:dyDescent="0.25">
      <c r="A2314">
        <v>2297</v>
      </c>
      <c r="B2314" s="100">
        <v>90.227830201415941</v>
      </c>
      <c r="C2314" s="100">
        <v>99.31443212342522</v>
      </c>
      <c r="D2314" s="100">
        <v>92.397044673627093</v>
      </c>
      <c r="E2314" s="100">
        <v>93.250973879877378</v>
      </c>
      <c r="F2314" s="100">
        <v>-2224.8230609630755</v>
      </c>
      <c r="G2314" s="100">
        <v>-1656.8139251946548</v>
      </c>
      <c r="H2314" s="100">
        <v>838.07086371902528</v>
      </c>
      <c r="I2314" s="100">
        <v>129.66577482384878</v>
      </c>
      <c r="J2314" s="100">
        <v>-2913.9003476148564</v>
      </c>
    </row>
    <row r="2315" spans="1:10" x14ac:dyDescent="0.25">
      <c r="A2315">
        <v>2298</v>
      </c>
      <c r="B2315" s="100">
        <v>89.878500701757517</v>
      </c>
      <c r="C2315" s="100">
        <v>96.082728837055797</v>
      </c>
      <c r="D2315" s="100">
        <v>91.95331335659435</v>
      </c>
      <c r="E2315" s="100">
        <v>94.025134343777026</v>
      </c>
      <c r="F2315" s="100">
        <v>-1072.0357120902761</v>
      </c>
      <c r="G2315" s="100">
        <v>3190.7410043594809</v>
      </c>
      <c r="H2315" s="100">
        <v>1725.5334977845109</v>
      </c>
      <c r="I2315" s="100">
        <v>-644.49468907579899</v>
      </c>
      <c r="J2315" s="100">
        <v>3199.7441009779168</v>
      </c>
    </row>
    <row r="2316" spans="1:10" x14ac:dyDescent="0.25">
      <c r="A2316">
        <v>2299</v>
      </c>
      <c r="B2316" s="100">
        <v>90.467192557427239</v>
      </c>
      <c r="C2316" s="100">
        <v>97.914440960517922</v>
      </c>
      <c r="D2316" s="100">
        <v>93.608219427622686</v>
      </c>
      <c r="E2316" s="100">
        <v>95.107183052004203</v>
      </c>
      <c r="F2316" s="100">
        <v>-3014.7188358003605</v>
      </c>
      <c r="G2316" s="100">
        <v>443.1728191662927</v>
      </c>
      <c r="H2316" s="100">
        <v>-1584.2786442721604</v>
      </c>
      <c r="I2316" s="100">
        <v>-1726.5433973029758</v>
      </c>
      <c r="J2316" s="100">
        <v>-5882.3680582092038</v>
      </c>
    </row>
    <row r="2317" spans="1:10" x14ac:dyDescent="0.25">
      <c r="A2317">
        <v>2300</v>
      </c>
      <c r="B2317" s="100">
        <v>88.892699094428224</v>
      </c>
      <c r="C2317" s="100">
        <v>98.284393639029119</v>
      </c>
      <c r="D2317" s="100">
        <v>93.843583532485738</v>
      </c>
      <c r="E2317" s="100">
        <v>91.085059543880291</v>
      </c>
      <c r="F2317" s="100">
        <v>2181.1095920963908</v>
      </c>
      <c r="G2317" s="100">
        <v>-111.7561986005029</v>
      </c>
      <c r="H2317" s="100">
        <v>-2055.0068539982649</v>
      </c>
      <c r="I2317" s="100">
        <v>2295.5801108209357</v>
      </c>
      <c r="J2317" s="100">
        <v>2309.9266503185586</v>
      </c>
    </row>
    <row r="2318" spans="1:10" x14ac:dyDescent="0.25">
      <c r="A2318">
        <v>2301</v>
      </c>
      <c r="B2318" s="100">
        <v>89.722722197140314</v>
      </c>
      <c r="C2318" s="100">
        <v>100.01721251677374</v>
      </c>
      <c r="D2318" s="100">
        <v>92.068309369398577</v>
      </c>
      <c r="E2318" s="100">
        <v>91.086651770637602</v>
      </c>
      <c r="F2318" s="100">
        <v>-557.96664685350663</v>
      </c>
      <c r="G2318" s="100">
        <v>-2710.984515217433</v>
      </c>
      <c r="H2318" s="100">
        <v>1495.5414721760576</v>
      </c>
      <c r="I2318" s="100">
        <v>2293.9878840636256</v>
      </c>
      <c r="J2318" s="100">
        <v>520.57819416874372</v>
      </c>
    </row>
    <row r="2319" spans="1:10" x14ac:dyDescent="0.25">
      <c r="A2319">
        <v>2302</v>
      </c>
      <c r="B2319" s="100">
        <v>90.076202596879483</v>
      </c>
      <c r="C2319" s="100">
        <v>96.861950898657597</v>
      </c>
      <c r="D2319" s="100">
        <v>93.423499174050789</v>
      </c>
      <c r="E2319" s="100">
        <v>92.65187584516211</v>
      </c>
      <c r="F2319" s="100">
        <v>-1724.4519659927646</v>
      </c>
      <c r="G2319" s="100">
        <v>2021.9079119567809</v>
      </c>
      <c r="H2319" s="100">
        <v>-1214.8381371283676</v>
      </c>
      <c r="I2319" s="100">
        <v>728.76380953911735</v>
      </c>
      <c r="J2319" s="100">
        <v>-188.61838162523395</v>
      </c>
    </row>
    <row r="2320" spans="1:10" x14ac:dyDescent="0.25">
      <c r="A2320">
        <v>2303</v>
      </c>
      <c r="B2320" s="100">
        <v>90.086174641978474</v>
      </c>
      <c r="C2320" s="100">
        <v>98.472571929587559</v>
      </c>
      <c r="D2320" s="100">
        <v>91.64244045667472</v>
      </c>
      <c r="E2320" s="100">
        <v>96.505821442610397</v>
      </c>
      <c r="F2320" s="100">
        <v>-1757.3597148194337</v>
      </c>
      <c r="G2320" s="100">
        <v>-394.02363443816313</v>
      </c>
      <c r="H2320" s="100">
        <v>2347.2792976237715</v>
      </c>
      <c r="I2320" s="100">
        <v>-3125.1817879091705</v>
      </c>
      <c r="J2320" s="100">
        <v>-2929.2858395429957</v>
      </c>
    </row>
    <row r="2321" spans="1:10" x14ac:dyDescent="0.25">
      <c r="A2321">
        <v>2304</v>
      </c>
      <c r="B2321" s="100">
        <v>89.576813040327721</v>
      </c>
      <c r="C2321" s="100">
        <v>97.43481289724842</v>
      </c>
      <c r="D2321" s="100">
        <v>92.773827123191481</v>
      </c>
      <c r="E2321" s="100">
        <v>93.722231206293529</v>
      </c>
      <c r="F2321" s="100">
        <v>-76.466429371950539</v>
      </c>
      <c r="G2321" s="100">
        <v>1162.6149140705452</v>
      </c>
      <c r="H2321" s="100">
        <v>84.505964590249505</v>
      </c>
      <c r="I2321" s="100">
        <v>-341.59155159230181</v>
      </c>
      <c r="J2321" s="100">
        <v>829.06289769654222</v>
      </c>
    </row>
    <row r="2322" spans="1:10" x14ac:dyDescent="0.25">
      <c r="A2322">
        <v>2305</v>
      </c>
      <c r="B2322" s="100">
        <v>89.2445070466392</v>
      </c>
      <c r="C2322" s="100">
        <v>97.671112551964768</v>
      </c>
      <c r="D2322" s="100">
        <v>90.672302524701067</v>
      </c>
      <c r="E2322" s="100">
        <v>91.529309209604151</v>
      </c>
      <c r="F2322" s="100">
        <v>1020.1433498001705</v>
      </c>
      <c r="G2322" s="100">
        <v>808.1654319960237</v>
      </c>
      <c r="H2322" s="100">
        <v>4287.5551615710774</v>
      </c>
      <c r="I2322" s="100">
        <v>1851.3304450970763</v>
      </c>
      <c r="J2322" s="100">
        <v>7967.1943884643479</v>
      </c>
    </row>
    <row r="2323" spans="1:10" x14ac:dyDescent="0.25">
      <c r="A2323">
        <v>2306</v>
      </c>
      <c r="B2323" s="100">
        <v>89.273643369407694</v>
      </c>
      <c r="C2323" s="100">
        <v>98.473161339890282</v>
      </c>
      <c r="D2323" s="100">
        <v>95.376190430059893</v>
      </c>
      <c r="E2323" s="100">
        <v>90.501690380794003</v>
      </c>
      <c r="F2323" s="100">
        <v>923.9934846641404</v>
      </c>
      <c r="G2323" s="100">
        <v>-394.90774989224775</v>
      </c>
      <c r="H2323" s="100">
        <v>-5120.2206491465749</v>
      </c>
      <c r="I2323" s="100">
        <v>2878.9492739072243</v>
      </c>
      <c r="J2323" s="100">
        <v>-1712.1856404674577</v>
      </c>
    </row>
    <row r="2324" spans="1:10" x14ac:dyDescent="0.25">
      <c r="A2324">
        <v>2307</v>
      </c>
      <c r="B2324" s="100">
        <v>90.650753439954215</v>
      </c>
      <c r="C2324" s="100">
        <v>98.039921477265139</v>
      </c>
      <c r="D2324" s="100">
        <v>93.219669487451611</v>
      </c>
      <c r="E2324" s="100">
        <v>92.955549138749305</v>
      </c>
      <c r="F2324" s="100">
        <v>-3620.469748139381</v>
      </c>
      <c r="G2324" s="100">
        <v>254.95204404546712</v>
      </c>
      <c r="H2324" s="100">
        <v>-807.1787639300112</v>
      </c>
      <c r="I2324" s="100">
        <v>425.09051595192204</v>
      </c>
      <c r="J2324" s="100">
        <v>-3747.6059520720032</v>
      </c>
    </row>
    <row r="2325" spans="1:10" x14ac:dyDescent="0.25">
      <c r="A2325">
        <v>2308</v>
      </c>
      <c r="B2325" s="100">
        <v>88.644372368183411</v>
      </c>
      <c r="C2325" s="100">
        <v>97.905708673363804</v>
      </c>
      <c r="D2325" s="100">
        <v>92.554692148515713</v>
      </c>
      <c r="E2325" s="100">
        <v>92.198422960501148</v>
      </c>
      <c r="F2325" s="100">
        <v>3000.5877887042716</v>
      </c>
      <c r="G2325" s="100">
        <v>456.27124989746903</v>
      </c>
      <c r="H2325" s="100">
        <v>522.77591394178557</v>
      </c>
      <c r="I2325" s="100">
        <v>1182.216694200079</v>
      </c>
      <c r="J2325" s="100">
        <v>5161.8516467436057</v>
      </c>
    </row>
    <row r="2326" spans="1:10" x14ac:dyDescent="0.25">
      <c r="A2326">
        <v>2309</v>
      </c>
      <c r="B2326" s="100">
        <v>89.642978115710847</v>
      </c>
      <c r="C2326" s="100">
        <v>97.060304761025321</v>
      </c>
      <c r="D2326" s="100">
        <v>93.748218200316771</v>
      </c>
      <c r="E2326" s="100">
        <v>93.896753904374435</v>
      </c>
      <c r="F2326" s="100">
        <v>-294.81117813626412</v>
      </c>
      <c r="G2326" s="100">
        <v>1724.3771184051936</v>
      </c>
      <c r="H2326" s="100">
        <v>-1864.2761896603304</v>
      </c>
      <c r="I2326" s="100">
        <v>-516.11424967320829</v>
      </c>
      <c r="J2326" s="100">
        <v>-950.82449906460909</v>
      </c>
    </row>
    <row r="2327" spans="1:10" x14ac:dyDescent="0.25">
      <c r="A2327">
        <v>2310</v>
      </c>
      <c r="B2327" s="100">
        <v>89.164113018530841</v>
      </c>
      <c r="C2327" s="100">
        <v>97.609793833227926</v>
      </c>
      <c r="D2327" s="100">
        <v>93.082103418912666</v>
      </c>
      <c r="E2327" s="100">
        <v>92.992905511884814</v>
      </c>
      <c r="F2327" s="100">
        <v>1285.4436425577533</v>
      </c>
      <c r="G2327" s="100">
        <v>900.14351010128735</v>
      </c>
      <c r="H2327" s="100">
        <v>-532.04662685212156</v>
      </c>
      <c r="I2327" s="100">
        <v>387.73414281641294</v>
      </c>
      <c r="J2327" s="100">
        <v>2041.2746686233322</v>
      </c>
    </row>
    <row r="2328" spans="1:10" x14ac:dyDescent="0.25">
      <c r="A2328">
        <v>2311</v>
      </c>
      <c r="B2328" s="100">
        <v>88.859660117383612</v>
      </c>
      <c r="C2328" s="100">
        <v>98.05312855827701</v>
      </c>
      <c r="D2328" s="100">
        <v>94.481453275407844</v>
      </c>
      <c r="E2328" s="100">
        <v>95.484892294774909</v>
      </c>
      <c r="F2328" s="100">
        <v>2290.1382163436097</v>
      </c>
      <c r="G2328" s="100">
        <v>235.14142252766135</v>
      </c>
      <c r="H2328" s="100">
        <v>-3330.746339842477</v>
      </c>
      <c r="I2328" s="100">
        <v>-2104.252640073682</v>
      </c>
      <c r="J2328" s="100">
        <v>-2909.7193410448881</v>
      </c>
    </row>
    <row r="2329" spans="1:10" x14ac:dyDescent="0.25">
      <c r="A2329">
        <v>2312</v>
      </c>
      <c r="B2329" s="100">
        <v>90.515222285082956</v>
      </c>
      <c r="C2329" s="100">
        <v>99.53169285870618</v>
      </c>
      <c r="D2329" s="100">
        <v>93.581348049609204</v>
      </c>
      <c r="E2329" s="100">
        <v>95.44491097699202</v>
      </c>
      <c r="F2329" s="100">
        <v>-3173.2169370642255</v>
      </c>
      <c r="G2329" s="100">
        <v>-1982.7050281160937</v>
      </c>
      <c r="H2329" s="100">
        <v>-1530.5358882451969</v>
      </c>
      <c r="I2329" s="100">
        <v>-2064.2713222907928</v>
      </c>
      <c r="J2329" s="100">
        <v>-8750.7291757163093</v>
      </c>
    </row>
    <row r="2330" spans="1:10" x14ac:dyDescent="0.25">
      <c r="A2330">
        <v>2313</v>
      </c>
      <c r="B2330" s="100">
        <v>89.215579241319702</v>
      </c>
      <c r="C2330" s="100">
        <v>98.998385413269645</v>
      </c>
      <c r="D2330" s="100">
        <v>91.739223396320767</v>
      </c>
      <c r="E2330" s="100">
        <v>94.883466881062361</v>
      </c>
      <c r="F2330" s="100">
        <v>1115.6051073545129</v>
      </c>
      <c r="G2330" s="100">
        <v>-1182.7438599612919</v>
      </c>
      <c r="H2330" s="100">
        <v>2153.7134183316766</v>
      </c>
      <c r="I2330" s="100">
        <v>-1502.8272263611343</v>
      </c>
      <c r="J2330" s="100">
        <v>583.74743936376308</v>
      </c>
    </row>
    <row r="2331" spans="1:10" x14ac:dyDescent="0.25">
      <c r="A2331">
        <v>2314</v>
      </c>
      <c r="B2331" s="100">
        <v>89.490144473017708</v>
      </c>
      <c r="C2331" s="100">
        <v>97.819251524605562</v>
      </c>
      <c r="D2331" s="100">
        <v>94.934312571108507</v>
      </c>
      <c r="E2331" s="100">
        <v>93.57828914932054</v>
      </c>
      <c r="F2331" s="100">
        <v>209.53984275109434</v>
      </c>
      <c r="G2331" s="100">
        <v>585.95697303483257</v>
      </c>
      <c r="H2331" s="100">
        <v>-4236.4649312438014</v>
      </c>
      <c r="I2331" s="100">
        <v>-197.6494946193128</v>
      </c>
      <c r="J2331" s="100">
        <v>-3638.6176100771877</v>
      </c>
    </row>
    <row r="2332" spans="1:10" x14ac:dyDescent="0.25">
      <c r="A2332">
        <v>2315</v>
      </c>
      <c r="B2332" s="100">
        <v>88.785383680774686</v>
      </c>
      <c r="C2332" s="100">
        <v>97.011126335896677</v>
      </c>
      <c r="D2332" s="100">
        <v>92.4334257704202</v>
      </c>
      <c r="E2332" s="100">
        <v>91.994221125145387</v>
      </c>
      <c r="F2332" s="100">
        <v>2535.2504571530658</v>
      </c>
      <c r="G2332" s="100">
        <v>1798.1447560981608</v>
      </c>
      <c r="H2332" s="100">
        <v>765.30867013281068</v>
      </c>
      <c r="I2332" s="100">
        <v>1386.41852955584</v>
      </c>
      <c r="J2332" s="100">
        <v>6485.1224129398779</v>
      </c>
    </row>
    <row r="2333" spans="1:10" x14ac:dyDescent="0.25">
      <c r="A2333">
        <v>2316</v>
      </c>
      <c r="B2333" s="100">
        <v>89.720103952535212</v>
      </c>
      <c r="C2333" s="100">
        <v>99.479769541004742</v>
      </c>
      <c r="D2333" s="100">
        <v>92.791504612342891</v>
      </c>
      <c r="E2333" s="100">
        <v>91.240540213707064</v>
      </c>
      <c r="F2333" s="100">
        <v>-549.32643965666875</v>
      </c>
      <c r="G2333" s="100">
        <v>-1904.820051563938</v>
      </c>
      <c r="H2333" s="100">
        <v>49.150986287429532</v>
      </c>
      <c r="I2333" s="100">
        <v>2140.0994409941632</v>
      </c>
      <c r="J2333" s="100">
        <v>-264.89606393901386</v>
      </c>
    </row>
    <row r="2334" spans="1:10" x14ac:dyDescent="0.25">
      <c r="A2334">
        <v>2317</v>
      </c>
      <c r="B2334" s="100">
        <v>89.891197221277238</v>
      </c>
      <c r="C2334" s="100">
        <v>98.690637583547328</v>
      </c>
      <c r="D2334" s="100">
        <v>91.68346492475942</v>
      </c>
      <c r="E2334" s="100">
        <v>94.226481227908749</v>
      </c>
      <c r="F2334" s="100">
        <v>-1113.9342265053572</v>
      </c>
      <c r="G2334" s="100">
        <v>-721.12211537781695</v>
      </c>
      <c r="H2334" s="100">
        <v>2265.2303614543712</v>
      </c>
      <c r="I2334" s="100">
        <v>-845.8415732075224</v>
      </c>
      <c r="J2334" s="100">
        <v>-415.66755363632535</v>
      </c>
    </row>
    <row r="2335" spans="1:10" x14ac:dyDescent="0.25">
      <c r="A2335">
        <v>2318</v>
      </c>
      <c r="B2335" s="100">
        <v>90.384714109428387</v>
      </c>
      <c r="C2335" s="100">
        <v>98.525122001698648</v>
      </c>
      <c r="D2335" s="100">
        <v>91.426652709758571</v>
      </c>
      <c r="E2335" s="100">
        <v>92.440980734618108</v>
      </c>
      <c r="F2335" s="100">
        <v>-2742.5399574041476</v>
      </c>
      <c r="G2335" s="100">
        <v>-472.84874260479626</v>
      </c>
      <c r="H2335" s="100">
        <v>2778.8547914560695</v>
      </c>
      <c r="I2335" s="100">
        <v>939.65892008311869</v>
      </c>
      <c r="J2335" s="100">
        <v>503.12501153024425</v>
      </c>
    </row>
    <row r="2336" spans="1:10" x14ac:dyDescent="0.25">
      <c r="A2336">
        <v>2319</v>
      </c>
      <c r="B2336" s="100">
        <v>89.782305887727446</v>
      </c>
      <c r="C2336" s="100">
        <v>98.918214933784867</v>
      </c>
      <c r="D2336" s="100">
        <v>93.303285324023037</v>
      </c>
      <c r="E2336" s="100">
        <v>91.760733546739687</v>
      </c>
      <c r="F2336" s="100">
        <v>-754.5928257910432</v>
      </c>
      <c r="G2336" s="100">
        <v>-1062.488140734125</v>
      </c>
      <c r="H2336" s="100">
        <v>-974.41043707286212</v>
      </c>
      <c r="I2336" s="100">
        <v>1619.9061079615403</v>
      </c>
      <c r="J2336" s="100">
        <v>-1171.5852956364897</v>
      </c>
    </row>
    <row r="2337" spans="1:10" x14ac:dyDescent="0.25">
      <c r="A2337">
        <v>2320</v>
      </c>
      <c r="B2337" s="100">
        <v>89.291151420162194</v>
      </c>
      <c r="C2337" s="100">
        <v>98.578191499386904</v>
      </c>
      <c r="D2337" s="100">
        <v>92.241610917660893</v>
      </c>
      <c r="E2337" s="100">
        <v>92.879419245946451</v>
      </c>
      <c r="F2337" s="100">
        <v>866.21691717428894</v>
      </c>
      <c r="G2337" s="100">
        <v>-552.45298913717988</v>
      </c>
      <c r="H2337" s="100">
        <v>1148.9383756514258</v>
      </c>
      <c r="I2337" s="100">
        <v>501.2204087547758</v>
      </c>
      <c r="J2337" s="100">
        <v>1963.9227124433105</v>
      </c>
    </row>
    <row r="2338" spans="1:10" x14ac:dyDescent="0.25">
      <c r="A2338">
        <v>2321</v>
      </c>
      <c r="B2338" s="100">
        <v>89.987574403389544</v>
      </c>
      <c r="C2338" s="100">
        <v>96.913939851547326</v>
      </c>
      <c r="D2338" s="100">
        <v>92.208286870279863</v>
      </c>
      <c r="E2338" s="100">
        <v>92.685027830954596</v>
      </c>
      <c r="F2338" s="100">
        <v>-1431.9789274759671</v>
      </c>
      <c r="G2338" s="100">
        <v>1943.9244826221866</v>
      </c>
      <c r="H2338" s="100">
        <v>1215.5864704134842</v>
      </c>
      <c r="I2338" s="100">
        <v>695.61182374663133</v>
      </c>
      <c r="J2338" s="100">
        <v>2423.1438493063351</v>
      </c>
    </row>
    <row r="2339" spans="1:10" x14ac:dyDescent="0.25">
      <c r="A2339">
        <v>2322</v>
      </c>
      <c r="B2339" s="100">
        <v>89.523411795590121</v>
      </c>
      <c r="C2339" s="100">
        <v>97.243713667017502</v>
      </c>
      <c r="D2339" s="100">
        <v>93.22398105392638</v>
      </c>
      <c r="E2339" s="100">
        <v>97.373705272937642</v>
      </c>
      <c r="F2339" s="100">
        <v>99.757678262129446</v>
      </c>
      <c r="G2339" s="100">
        <v>1449.2637594169223</v>
      </c>
      <c r="H2339" s="100">
        <v>-815.80189687954885</v>
      </c>
      <c r="I2339" s="100">
        <v>-3993.0656182364146</v>
      </c>
      <c r="J2339" s="100">
        <v>-3259.8460774369114</v>
      </c>
    </row>
    <row r="2340" spans="1:10" x14ac:dyDescent="0.25">
      <c r="A2340">
        <v>2323</v>
      </c>
      <c r="B2340" s="100">
        <v>89.600598654715697</v>
      </c>
      <c r="C2340" s="100">
        <v>98.886647541171726</v>
      </c>
      <c r="D2340" s="100">
        <v>91.866338231221235</v>
      </c>
      <c r="E2340" s="100">
        <v>94.852866718296085</v>
      </c>
      <c r="F2340" s="100">
        <v>-154.95895685226913</v>
      </c>
      <c r="G2340" s="100">
        <v>-1015.1370518144133</v>
      </c>
      <c r="H2340" s="100">
        <v>1899.4837485307414</v>
      </c>
      <c r="I2340" s="100">
        <v>-1472.2270635948576</v>
      </c>
      <c r="J2340" s="100">
        <v>-742.83932373079847</v>
      </c>
    </row>
    <row r="2341" spans="1:10" x14ac:dyDescent="0.25">
      <c r="A2341">
        <v>2324</v>
      </c>
      <c r="B2341" s="100">
        <v>89.774302687566134</v>
      </c>
      <c r="C2341" s="100">
        <v>97.027773698444491</v>
      </c>
      <c r="D2341" s="100">
        <v>93.375404201185432</v>
      </c>
      <c r="E2341" s="100">
        <v>92.760009821935085</v>
      </c>
      <c r="F2341" s="100">
        <v>-728.18226525871387</v>
      </c>
      <c r="G2341" s="100">
        <v>1773.1737122764387</v>
      </c>
      <c r="H2341" s="100">
        <v>-1118.6481913976536</v>
      </c>
      <c r="I2341" s="100">
        <v>620.62983276614148</v>
      </c>
      <c r="J2341" s="100">
        <v>546.97308838621268</v>
      </c>
    </row>
    <row r="2342" spans="1:10" x14ac:dyDescent="0.25">
      <c r="A2342">
        <v>2325</v>
      </c>
      <c r="B2342" s="100">
        <v>89.420258410626062</v>
      </c>
      <c r="C2342" s="100">
        <v>100.49046881940625</v>
      </c>
      <c r="D2342" s="100">
        <v>91.80519048856668</v>
      </c>
      <c r="E2342" s="100">
        <v>93.696045249301136</v>
      </c>
      <c r="F2342" s="100">
        <v>440.16384864352602</v>
      </c>
      <c r="G2342" s="100">
        <v>-3420.868969166193</v>
      </c>
      <c r="H2342" s="100">
        <v>2021.779233839851</v>
      </c>
      <c r="I2342" s="100">
        <v>-315.40559459990902</v>
      </c>
      <c r="J2342" s="100">
        <v>-1274.3314812827252</v>
      </c>
    </row>
    <row r="2343" spans="1:10" x14ac:dyDescent="0.25">
      <c r="A2343">
        <v>2326</v>
      </c>
      <c r="B2343" s="100">
        <v>89.199619115984092</v>
      </c>
      <c r="C2343" s="100">
        <v>99.063952231419449</v>
      </c>
      <c r="D2343" s="100">
        <v>91.97716142654464</v>
      </c>
      <c r="E2343" s="100">
        <v>94.758303950039192</v>
      </c>
      <c r="F2343" s="100">
        <v>1168.2735209620262</v>
      </c>
      <c r="G2343" s="100">
        <v>-1281.0940871859984</v>
      </c>
      <c r="H2343" s="100">
        <v>1677.8373578839307</v>
      </c>
      <c r="I2343" s="100">
        <v>-1377.6642953379651</v>
      </c>
      <c r="J2343" s="100">
        <v>187.35249632199339</v>
      </c>
    </row>
    <row r="2344" spans="1:10" x14ac:dyDescent="0.25">
      <c r="A2344">
        <v>2327</v>
      </c>
      <c r="B2344" s="100">
        <v>90.20158356775363</v>
      </c>
      <c r="C2344" s="100">
        <v>97.725564241792171</v>
      </c>
      <c r="D2344" s="100">
        <v>93.238671177662766</v>
      </c>
      <c r="E2344" s="100">
        <v>94.426240510842007</v>
      </c>
      <c r="F2344" s="100">
        <v>-2138.2091698774502</v>
      </c>
      <c r="G2344" s="100">
        <v>726.48789725491974</v>
      </c>
      <c r="H2344" s="100">
        <v>-845.18214435232153</v>
      </c>
      <c r="I2344" s="100">
        <v>-1045.6008561407798</v>
      </c>
      <c r="J2344" s="100">
        <v>-3302.5042731156318</v>
      </c>
    </row>
    <row r="2345" spans="1:10" x14ac:dyDescent="0.25">
      <c r="A2345">
        <v>2328</v>
      </c>
      <c r="B2345" s="100">
        <v>89.733946022953205</v>
      </c>
      <c r="C2345" s="100">
        <v>97.018476887660512</v>
      </c>
      <c r="D2345" s="100">
        <v>91.469992074111019</v>
      </c>
      <c r="E2345" s="100">
        <v>94.797072562443176</v>
      </c>
      <c r="F2345" s="100">
        <v>-595.00527203604747</v>
      </c>
      <c r="G2345" s="100">
        <v>1787.1189284524078</v>
      </c>
      <c r="H2345" s="100">
        <v>2692.176062751173</v>
      </c>
      <c r="I2345" s="100">
        <v>-1416.4329077419495</v>
      </c>
      <c r="J2345" s="100">
        <v>2467.8568114255841</v>
      </c>
    </row>
    <row r="2346" spans="1:10" x14ac:dyDescent="0.25">
      <c r="A2346">
        <v>2329</v>
      </c>
      <c r="B2346" s="100">
        <v>88.891202708172486</v>
      </c>
      <c r="C2346" s="100">
        <v>97.4661531104734</v>
      </c>
      <c r="D2346" s="100">
        <v>92.823024038829431</v>
      </c>
      <c r="E2346" s="100">
        <v>94.764899328103098</v>
      </c>
      <c r="F2346" s="100">
        <v>2186.0476667403263</v>
      </c>
      <c r="G2346" s="100">
        <v>1115.6045942330763</v>
      </c>
      <c r="H2346" s="100">
        <v>-13.887866685649897</v>
      </c>
      <c r="I2346" s="100">
        <v>-1384.2596734018712</v>
      </c>
      <c r="J2346" s="100">
        <v>1903.5047208858819</v>
      </c>
    </row>
    <row r="2347" spans="1:10" x14ac:dyDescent="0.25">
      <c r="A2347">
        <v>2330</v>
      </c>
      <c r="B2347" s="100">
        <v>89.586416424130533</v>
      </c>
      <c r="C2347" s="100">
        <v>98.098641852976669</v>
      </c>
      <c r="D2347" s="100">
        <v>92.352839698644345</v>
      </c>
      <c r="E2347" s="100">
        <v>95.689452044228204</v>
      </c>
      <c r="F2347" s="100">
        <v>-108.15759592123015</v>
      </c>
      <c r="G2347" s="100">
        <v>166.87148047817146</v>
      </c>
      <c r="H2347" s="100">
        <v>926.4808136845204</v>
      </c>
      <c r="I2347" s="100">
        <v>-2308.8123895269773</v>
      </c>
      <c r="J2347" s="100">
        <v>-1323.6176912855155</v>
      </c>
    </row>
    <row r="2348" spans="1:10" x14ac:dyDescent="0.25">
      <c r="A2348">
        <v>2331</v>
      </c>
      <c r="B2348" s="100">
        <v>89.427951285749685</v>
      </c>
      <c r="C2348" s="100">
        <v>98.490879154575538</v>
      </c>
      <c r="D2348" s="100">
        <v>93.309003265174965</v>
      </c>
      <c r="E2348" s="100">
        <v>93.485453844713263</v>
      </c>
      <c r="F2348" s="100">
        <v>414.77736073556741</v>
      </c>
      <c r="G2348" s="100">
        <v>-421.48447192013094</v>
      </c>
      <c r="H2348" s="100">
        <v>-985.84631937671929</v>
      </c>
      <c r="I2348" s="100">
        <v>-104.81419001203562</v>
      </c>
      <c r="J2348" s="100">
        <v>-1097.3676205733184</v>
      </c>
    </row>
    <row r="2349" spans="1:10" x14ac:dyDescent="0.25">
      <c r="A2349">
        <v>2332</v>
      </c>
      <c r="B2349" s="100">
        <v>89.266643412085955</v>
      </c>
      <c r="C2349" s="100">
        <v>97.479566397485812</v>
      </c>
      <c r="D2349" s="100">
        <v>93.089997642422105</v>
      </c>
      <c r="E2349" s="100">
        <v>93.623005882271258</v>
      </c>
      <c r="F2349" s="100">
        <v>947.09334382587826</v>
      </c>
      <c r="G2349" s="100">
        <v>1095.4846637144583</v>
      </c>
      <c r="H2349" s="100">
        <v>-547.83507387099917</v>
      </c>
      <c r="I2349" s="100">
        <v>-242.3662275700309</v>
      </c>
      <c r="J2349" s="100">
        <v>1252.3767060993064</v>
      </c>
    </row>
    <row r="2350" spans="1:10" x14ac:dyDescent="0.25">
      <c r="A2350">
        <v>2333</v>
      </c>
      <c r="B2350" s="100">
        <v>90.072412981089755</v>
      </c>
      <c r="C2350" s="100">
        <v>98.993265190602116</v>
      </c>
      <c r="D2350" s="100">
        <v>94.031520454666719</v>
      </c>
      <c r="E2350" s="100">
        <v>93.777161359249448</v>
      </c>
      <c r="F2350" s="100">
        <v>-1711.9462338866626</v>
      </c>
      <c r="G2350" s="100">
        <v>-1175.063525959999</v>
      </c>
      <c r="H2350" s="100">
        <v>-2430.8806983602267</v>
      </c>
      <c r="I2350" s="100">
        <v>-396.52170454822055</v>
      </c>
      <c r="J2350" s="100">
        <v>-5714.4121627551085</v>
      </c>
    </row>
    <row r="2351" spans="1:10" x14ac:dyDescent="0.25">
      <c r="A2351">
        <v>2334</v>
      </c>
      <c r="B2351" s="100">
        <v>90.261813152326098</v>
      </c>
      <c r="C2351" s="100">
        <v>99.329613103511846</v>
      </c>
      <c r="D2351" s="100">
        <v>92.52220122847072</v>
      </c>
      <c r="E2351" s="100">
        <v>90.905428809585018</v>
      </c>
      <c r="F2351" s="100">
        <v>-2336.9667989665954</v>
      </c>
      <c r="G2351" s="100">
        <v>-1679.5853953245937</v>
      </c>
      <c r="H2351" s="100">
        <v>587.75775403177022</v>
      </c>
      <c r="I2351" s="100">
        <v>2475.2108451162085</v>
      </c>
      <c r="J2351" s="100">
        <v>-953.58359514321046</v>
      </c>
    </row>
    <row r="2352" spans="1:10" x14ac:dyDescent="0.25">
      <c r="A2352">
        <v>2335</v>
      </c>
      <c r="B2352" s="100">
        <v>89.359058994108608</v>
      </c>
      <c r="C2352" s="100">
        <v>98.1674045744533</v>
      </c>
      <c r="D2352" s="100">
        <v>93.859642192923332</v>
      </c>
      <c r="E2352" s="100">
        <v>89.543637598725041</v>
      </c>
      <c r="F2352" s="100">
        <v>642.12192315112304</v>
      </c>
      <c r="G2352" s="100">
        <v>63.727398263225155</v>
      </c>
      <c r="H2352" s="100">
        <v>-2087.1241748734519</v>
      </c>
      <c r="I2352" s="100">
        <v>3837.0020559761856</v>
      </c>
      <c r="J2352" s="100">
        <v>2455.7272025170819</v>
      </c>
    </row>
    <row r="2353" spans="1:10" x14ac:dyDescent="0.25">
      <c r="A2353">
        <v>2336</v>
      </c>
      <c r="B2353" s="100">
        <v>89.421592650867893</v>
      </c>
      <c r="C2353" s="100">
        <v>98.671000428718173</v>
      </c>
      <c r="D2353" s="100">
        <v>92.690191370370385</v>
      </c>
      <c r="E2353" s="100">
        <v>93.590437995129307</v>
      </c>
      <c r="F2353" s="100">
        <v>435.76085584548139</v>
      </c>
      <c r="G2353" s="100">
        <v>-691.66638313408407</v>
      </c>
      <c r="H2353" s="100">
        <v>251.77747023244024</v>
      </c>
      <c r="I2353" s="100">
        <v>-209.79834042807965</v>
      </c>
      <c r="J2353" s="100">
        <v>-213.9263974842421</v>
      </c>
    </row>
    <row r="2354" spans="1:10" x14ac:dyDescent="0.25">
      <c r="A2354">
        <v>2337</v>
      </c>
      <c r="B2354" s="100">
        <v>89.033977837078339</v>
      </c>
      <c r="C2354" s="100">
        <v>99.545205671813193</v>
      </c>
      <c r="D2354" s="100">
        <v>92.066599066466267</v>
      </c>
      <c r="E2354" s="100">
        <v>93.348783202801513</v>
      </c>
      <c r="F2354" s="100">
        <v>1714.8897413510099</v>
      </c>
      <c r="G2354" s="100">
        <v>-2002.9742477766135</v>
      </c>
      <c r="H2354" s="100">
        <v>1498.9620780406767</v>
      </c>
      <c r="I2354" s="100">
        <v>31.856451899713534</v>
      </c>
      <c r="J2354" s="100">
        <v>1242.7340235147867</v>
      </c>
    </row>
    <row r="2355" spans="1:10" x14ac:dyDescent="0.25">
      <c r="A2355">
        <v>2338</v>
      </c>
      <c r="B2355" s="100">
        <v>90.056214186550761</v>
      </c>
      <c r="C2355" s="100">
        <v>99.168910804216438</v>
      </c>
      <c r="D2355" s="100">
        <v>93.541355812365609</v>
      </c>
      <c r="E2355" s="100">
        <v>89.394272051145705</v>
      </c>
      <c r="F2355" s="100">
        <v>-1658.4902119079829</v>
      </c>
      <c r="G2355" s="100">
        <v>-1438.531946381481</v>
      </c>
      <c r="H2355" s="100">
        <v>-1450.5514137580064</v>
      </c>
      <c r="I2355" s="100">
        <v>3986.3676035555218</v>
      </c>
      <c r="J2355" s="100">
        <v>-561.20596849194862</v>
      </c>
    </row>
    <row r="2356" spans="1:10" x14ac:dyDescent="0.25">
      <c r="A2356">
        <v>2339</v>
      </c>
      <c r="B2356" s="100">
        <v>89.899046658525322</v>
      </c>
      <c r="C2356" s="100">
        <v>99.187446145812217</v>
      </c>
      <c r="D2356" s="100">
        <v>91.39194986379637</v>
      </c>
      <c r="E2356" s="100">
        <v>94.662696736943161</v>
      </c>
      <c r="F2356" s="100">
        <v>-1139.837369424032</v>
      </c>
      <c r="G2356" s="100">
        <v>-1466.3349587751497</v>
      </c>
      <c r="H2356" s="100">
        <v>2848.2604833804717</v>
      </c>
      <c r="I2356" s="100">
        <v>-1282.057082241934</v>
      </c>
      <c r="J2356" s="100">
        <v>-1039.9689270606441</v>
      </c>
    </row>
    <row r="2357" spans="1:10" x14ac:dyDescent="0.25">
      <c r="A2357">
        <v>2340</v>
      </c>
      <c r="B2357" s="100">
        <v>89.115989492029243</v>
      </c>
      <c r="C2357" s="100">
        <v>98.170415847026831</v>
      </c>
      <c r="D2357" s="100">
        <v>93.682918369647751</v>
      </c>
      <c r="E2357" s="100">
        <v>93.318282180801646</v>
      </c>
      <c r="F2357" s="100">
        <v>1444.2512800130273</v>
      </c>
      <c r="G2357" s="100">
        <v>59.210489402929056</v>
      </c>
      <c r="H2357" s="100">
        <v>-1733.6765283222917</v>
      </c>
      <c r="I2357" s="100">
        <v>62.35747389958135</v>
      </c>
      <c r="J2357" s="100">
        <v>-167.85728500675384</v>
      </c>
    </row>
    <row r="2358" spans="1:10" x14ac:dyDescent="0.25">
      <c r="A2358">
        <v>2341</v>
      </c>
      <c r="B2358" s="100">
        <v>88.589870865675124</v>
      </c>
      <c r="C2358" s="100">
        <v>96.58263571001109</v>
      </c>
      <c r="D2358" s="100">
        <v>93.402664817581339</v>
      </c>
      <c r="E2358" s="100">
        <v>95.839376714450182</v>
      </c>
      <c r="F2358" s="100">
        <v>3180.4427469816205</v>
      </c>
      <c r="G2358" s="100">
        <v>2440.8806949265413</v>
      </c>
      <c r="H2358" s="100">
        <v>-1173.1694241894672</v>
      </c>
      <c r="I2358" s="100">
        <v>-2458.7370597489553</v>
      </c>
      <c r="J2358" s="100">
        <v>1989.4169579697391</v>
      </c>
    </row>
    <row r="2359" spans="1:10" x14ac:dyDescent="0.25">
      <c r="A2359">
        <v>2342</v>
      </c>
      <c r="B2359" s="100">
        <v>89.582821396916628</v>
      </c>
      <c r="C2359" s="100">
        <v>96.233339396316126</v>
      </c>
      <c r="D2359" s="100">
        <v>90.671900394529231</v>
      </c>
      <c r="E2359" s="100">
        <v>92.977347609885754</v>
      </c>
      <c r="F2359" s="100">
        <v>-96.294006115344644</v>
      </c>
      <c r="G2359" s="100">
        <v>2964.8251654689871</v>
      </c>
      <c r="H2359" s="100">
        <v>4288.3594219147481</v>
      </c>
      <c r="I2359" s="100">
        <v>403.29204481547265</v>
      </c>
      <c r="J2359" s="100">
        <v>7560.1826260838634</v>
      </c>
    </row>
    <row r="2360" spans="1:10" x14ac:dyDescent="0.25">
      <c r="A2360">
        <v>2343</v>
      </c>
      <c r="B2360" s="100">
        <v>89.761554867318708</v>
      </c>
      <c r="C2360" s="100">
        <v>98.435317810397962</v>
      </c>
      <c r="D2360" s="100">
        <v>92.968063344922868</v>
      </c>
      <c r="E2360" s="100">
        <v>92.155211118828817</v>
      </c>
      <c r="F2360" s="100">
        <v>-686.11445844220634</v>
      </c>
      <c r="G2360" s="100">
        <v>-338.14245565376666</v>
      </c>
      <c r="H2360" s="100">
        <v>-303.9664788725247</v>
      </c>
      <c r="I2360" s="100">
        <v>1225.4285358724105</v>
      </c>
      <c r="J2360" s="100">
        <v>-102.7948570960873</v>
      </c>
    </row>
    <row r="2361" spans="1:10" x14ac:dyDescent="0.25">
      <c r="A2361">
        <v>2344</v>
      </c>
      <c r="B2361" s="100">
        <v>89.455550848420799</v>
      </c>
      <c r="C2361" s="100">
        <v>98.521062805850377</v>
      </c>
      <c r="D2361" s="100">
        <v>93.915272058459848</v>
      </c>
      <c r="E2361" s="100">
        <v>95.284659944635365</v>
      </c>
      <c r="F2361" s="100">
        <v>323.69880392089243</v>
      </c>
      <c r="G2361" s="100">
        <v>-466.75994883239014</v>
      </c>
      <c r="H2361" s="100">
        <v>-2198.3839059464854</v>
      </c>
      <c r="I2361" s="100">
        <v>-1904.020289934138</v>
      </c>
      <c r="J2361" s="100">
        <v>-4245.4653407921214</v>
      </c>
    </row>
    <row r="2362" spans="1:10" x14ac:dyDescent="0.25">
      <c r="A2362">
        <v>2345</v>
      </c>
      <c r="B2362" s="100">
        <v>89.439614492037592</v>
      </c>
      <c r="C2362" s="100">
        <v>95.611326857239234</v>
      </c>
      <c r="D2362" s="100">
        <v>92.574420291994258</v>
      </c>
      <c r="E2362" s="100">
        <v>94.685933572548038</v>
      </c>
      <c r="F2362" s="100">
        <v>376.28877998547665</v>
      </c>
      <c r="G2362" s="100">
        <v>3897.8439740843241</v>
      </c>
      <c r="H2362" s="100">
        <v>483.31962698469511</v>
      </c>
      <c r="I2362" s="100">
        <v>-1305.2939178468109</v>
      </c>
      <c r="J2362" s="100">
        <v>3452.1584632076851</v>
      </c>
    </row>
    <row r="2363" spans="1:10" x14ac:dyDescent="0.25">
      <c r="A2363">
        <v>2346</v>
      </c>
      <c r="B2363" s="100">
        <v>89.87842059400279</v>
      </c>
      <c r="C2363" s="100">
        <v>96.88740999173622</v>
      </c>
      <c r="D2363" s="100">
        <v>92.68744689658206</v>
      </c>
      <c r="E2363" s="100">
        <v>92.730108579931098</v>
      </c>
      <c r="F2363" s="100">
        <v>-1071.7713564996784</v>
      </c>
      <c r="G2363" s="100">
        <v>1983.7192723388455</v>
      </c>
      <c r="H2363" s="100">
        <v>257.26641780909176</v>
      </c>
      <c r="I2363" s="100">
        <v>650.53107477012873</v>
      </c>
      <c r="J2363" s="100">
        <v>1819.7454084183876</v>
      </c>
    </row>
    <row r="2364" spans="1:10" x14ac:dyDescent="0.25">
      <c r="A2364">
        <v>2347</v>
      </c>
      <c r="B2364" s="100">
        <v>89.335904857115722</v>
      </c>
      <c r="C2364" s="100">
        <v>97.392714454536858</v>
      </c>
      <c r="D2364" s="100">
        <v>92.774836840033913</v>
      </c>
      <c r="E2364" s="100">
        <v>91.991820867460135</v>
      </c>
      <c r="F2364" s="100">
        <v>718.53057522764766</v>
      </c>
      <c r="G2364" s="100">
        <v>1225.7625781378892</v>
      </c>
      <c r="H2364" s="100">
        <v>82.486530905384825</v>
      </c>
      <c r="I2364" s="100">
        <v>1388.8187872410924</v>
      </c>
      <c r="J2364" s="100">
        <v>3415.5984715120139</v>
      </c>
    </row>
    <row r="2365" spans="1:10" x14ac:dyDescent="0.25">
      <c r="A2365">
        <v>2348</v>
      </c>
      <c r="B2365" s="100">
        <v>89.095760244908249</v>
      </c>
      <c r="C2365" s="100">
        <v>98.01561700774333</v>
      </c>
      <c r="D2365" s="100">
        <v>94.171328233494492</v>
      </c>
      <c r="E2365" s="100">
        <v>94.047079095026476</v>
      </c>
      <c r="F2365" s="100">
        <v>1511.0077955123088</v>
      </c>
      <c r="G2365" s="100">
        <v>291.40874832818042</v>
      </c>
      <c r="H2365" s="100">
        <v>-2710.4962560157728</v>
      </c>
      <c r="I2365" s="100">
        <v>-666.43944032524871</v>
      </c>
      <c r="J2365" s="100">
        <v>-1574.5191525005321</v>
      </c>
    </row>
    <row r="2366" spans="1:10" x14ac:dyDescent="0.25">
      <c r="A2366">
        <v>2349</v>
      </c>
      <c r="B2366" s="100">
        <v>89.597083240465921</v>
      </c>
      <c r="C2366" s="100">
        <v>99.139745303804347</v>
      </c>
      <c r="D2366" s="100">
        <v>92.987804934652146</v>
      </c>
      <c r="E2366" s="100">
        <v>91.605775934451074</v>
      </c>
      <c r="F2366" s="100">
        <v>-143.35808982800842</v>
      </c>
      <c r="G2366" s="100">
        <v>-1394.7836957633442</v>
      </c>
      <c r="H2366" s="100">
        <v>-343.44965833108176</v>
      </c>
      <c r="I2366" s="100">
        <v>1774.8637202501527</v>
      </c>
      <c r="J2366" s="100">
        <v>-106.72772367228163</v>
      </c>
    </row>
    <row r="2367" spans="1:10" x14ac:dyDescent="0.25">
      <c r="A2367">
        <v>2350</v>
      </c>
      <c r="B2367" s="100">
        <v>90.440619278702314</v>
      </c>
      <c r="C2367" s="100">
        <v>97.084565531563314</v>
      </c>
      <c r="D2367" s="100">
        <v>91.097417434514</v>
      </c>
      <c r="E2367" s="100">
        <v>98.134996928514383</v>
      </c>
      <c r="F2367" s="100">
        <v>-2927.0270160081081</v>
      </c>
      <c r="G2367" s="100">
        <v>1687.9859625982049</v>
      </c>
      <c r="H2367" s="100">
        <v>3437.3253419452112</v>
      </c>
      <c r="I2367" s="100">
        <v>-4754.3572738131561</v>
      </c>
      <c r="J2367" s="100">
        <v>-2556.0729852778481</v>
      </c>
    </row>
    <row r="2368" spans="1:10" x14ac:dyDescent="0.25">
      <c r="A2368">
        <v>2351</v>
      </c>
      <c r="B2368" s="100">
        <v>89.14902204140374</v>
      </c>
      <c r="C2368" s="100">
        <v>97.927460892113757</v>
      </c>
      <c r="D2368" s="100">
        <v>92.144779523274622</v>
      </c>
      <c r="E2368" s="100">
        <v>94.351468058276325</v>
      </c>
      <c r="F2368" s="100">
        <v>1335.243867077189</v>
      </c>
      <c r="G2368" s="100">
        <v>423.64292177254015</v>
      </c>
      <c r="H2368" s="100">
        <v>1342.6011644239679</v>
      </c>
      <c r="I2368" s="100">
        <v>-970.82840357509781</v>
      </c>
      <c r="J2368" s="100">
        <v>2130.6595496985992</v>
      </c>
    </row>
    <row r="2369" spans="1:10" x14ac:dyDescent="0.25">
      <c r="A2369">
        <v>2352</v>
      </c>
      <c r="B2369" s="100">
        <v>89.0143941764278</v>
      </c>
      <c r="C2369" s="100">
        <v>98.346588838871654</v>
      </c>
      <c r="D2369" s="100">
        <v>92.60001246918705</v>
      </c>
      <c r="E2369" s="100">
        <v>95.038160840647862</v>
      </c>
      <c r="F2369" s="100">
        <v>1779.5158214977903</v>
      </c>
      <c r="G2369" s="100">
        <v>-205.04899836430468</v>
      </c>
      <c r="H2369" s="100">
        <v>432.13527259911189</v>
      </c>
      <c r="I2369" s="100">
        <v>-1657.5211859466349</v>
      </c>
      <c r="J2369" s="100">
        <v>349.0809097859626</v>
      </c>
    </row>
    <row r="2370" spans="1:10" x14ac:dyDescent="0.25">
      <c r="A2370">
        <v>2353</v>
      </c>
      <c r="B2370" s="100">
        <v>89.611227489952896</v>
      </c>
      <c r="C2370" s="100">
        <v>97.204528567123106</v>
      </c>
      <c r="D2370" s="100">
        <v>91.396073121434057</v>
      </c>
      <c r="E2370" s="100">
        <v>96.034175370940702</v>
      </c>
      <c r="F2370" s="100">
        <v>-190.03411313502596</v>
      </c>
      <c r="G2370" s="100">
        <v>1508.0414092585172</v>
      </c>
      <c r="H2370" s="100">
        <v>2840.0139681050973</v>
      </c>
      <c r="I2370" s="100">
        <v>-2653.5357162394748</v>
      </c>
      <c r="J2370" s="100">
        <v>1504.4855479891139</v>
      </c>
    </row>
    <row r="2371" spans="1:10" x14ac:dyDescent="0.25">
      <c r="A2371">
        <v>2354</v>
      </c>
      <c r="B2371" s="100">
        <v>88.859684963397726</v>
      </c>
      <c r="C2371" s="100">
        <v>98.110352742658193</v>
      </c>
      <c r="D2371" s="100">
        <v>92.796158265486753</v>
      </c>
      <c r="E2371" s="100">
        <v>91.975667769441174</v>
      </c>
      <c r="F2371" s="100">
        <v>2290.0562244970347</v>
      </c>
      <c r="G2371" s="100">
        <v>149.30514595588562</v>
      </c>
      <c r="H2371" s="100">
        <v>39.843679999705728</v>
      </c>
      <c r="I2371" s="100">
        <v>1404.9718852600536</v>
      </c>
      <c r="J2371" s="100">
        <v>3884.1769357126796</v>
      </c>
    </row>
    <row r="2372" spans="1:10" x14ac:dyDescent="0.25">
      <c r="A2372">
        <v>2355</v>
      </c>
      <c r="B2372" s="100">
        <v>88.24932111723038</v>
      </c>
      <c r="C2372" s="100">
        <v>97.652791024568273</v>
      </c>
      <c r="D2372" s="100">
        <v>94.112284041753185</v>
      </c>
      <c r="E2372" s="100">
        <v>91.606420281380565</v>
      </c>
      <c r="F2372" s="100">
        <v>4304.2569168492746</v>
      </c>
      <c r="G2372" s="100">
        <v>835.64772309076579</v>
      </c>
      <c r="H2372" s="100">
        <v>-2592.4078725331583</v>
      </c>
      <c r="I2372" s="100">
        <v>1774.2193733206618</v>
      </c>
      <c r="J2372" s="100">
        <v>4321.7161407275435</v>
      </c>
    </row>
    <row r="2373" spans="1:10" x14ac:dyDescent="0.25">
      <c r="A2373">
        <v>2356</v>
      </c>
      <c r="B2373" s="100">
        <v>89.097173273779674</v>
      </c>
      <c r="C2373" s="100">
        <v>98.083251417228453</v>
      </c>
      <c r="D2373" s="100">
        <v>92.010193056840052</v>
      </c>
      <c r="E2373" s="100">
        <v>93.459645672106177</v>
      </c>
      <c r="F2373" s="100">
        <v>1506.3448002366044</v>
      </c>
      <c r="G2373" s="100">
        <v>189.95713410049575</v>
      </c>
      <c r="H2373" s="100">
        <v>1611.7740972931074</v>
      </c>
      <c r="I2373" s="100">
        <v>-79.006017404950057</v>
      </c>
      <c r="J2373" s="100">
        <v>3229.0700142252576</v>
      </c>
    </row>
    <row r="2374" spans="1:10" x14ac:dyDescent="0.25">
      <c r="A2374">
        <v>2357</v>
      </c>
      <c r="B2374" s="100">
        <v>89.981214674031264</v>
      </c>
      <c r="C2374" s="100">
        <v>98.047530880480153</v>
      </c>
      <c r="D2374" s="100">
        <v>92.020320575997872</v>
      </c>
      <c r="E2374" s="100">
        <v>93.77912015852948</v>
      </c>
      <c r="F2374" s="100">
        <v>-1410.9918205936424</v>
      </c>
      <c r="G2374" s="100">
        <v>243.53793922294642</v>
      </c>
      <c r="H2374" s="100">
        <v>1591.5190589774681</v>
      </c>
      <c r="I2374" s="100">
        <v>-398.48050382825306</v>
      </c>
      <c r="J2374" s="100">
        <v>25.584673778519232</v>
      </c>
    </row>
    <row r="2375" spans="1:10" x14ac:dyDescent="0.25">
      <c r="A2375">
        <v>2358</v>
      </c>
      <c r="B2375" s="100">
        <v>89.50552819620188</v>
      </c>
      <c r="C2375" s="100">
        <v>96.612669037968743</v>
      </c>
      <c r="D2375" s="100">
        <v>91.95760091432912</v>
      </c>
      <c r="E2375" s="100">
        <v>92.774175906940116</v>
      </c>
      <c r="F2375" s="100">
        <v>158.77355624332665</v>
      </c>
      <c r="G2375" s="100">
        <v>2395.8307029900611</v>
      </c>
      <c r="H2375" s="100">
        <v>1716.9583823149708</v>
      </c>
      <c r="I2375" s="100">
        <v>606.46374776111145</v>
      </c>
      <c r="J2375" s="100">
        <v>4878.0263893094698</v>
      </c>
    </row>
    <row r="2376" spans="1:10" x14ac:dyDescent="0.25">
      <c r="A2376">
        <v>2359</v>
      </c>
      <c r="B2376" s="100">
        <v>90.453430180505762</v>
      </c>
      <c r="C2376" s="100">
        <v>97.830757618854165</v>
      </c>
      <c r="D2376" s="100">
        <v>92.238606504588844</v>
      </c>
      <c r="E2376" s="100">
        <v>92.465271376337</v>
      </c>
      <c r="F2376" s="100">
        <v>-2969.3029919594865</v>
      </c>
      <c r="G2376" s="100">
        <v>568.69783166192883</v>
      </c>
      <c r="H2376" s="100">
        <v>1154.9472017955225</v>
      </c>
      <c r="I2376" s="100">
        <v>915.36827836422674</v>
      </c>
      <c r="J2376" s="100">
        <v>-330.28968013780843</v>
      </c>
    </row>
    <row r="2377" spans="1:10" x14ac:dyDescent="0.25">
      <c r="A2377">
        <v>2360</v>
      </c>
      <c r="B2377" s="100">
        <v>89.975266549869403</v>
      </c>
      <c r="C2377" s="100">
        <v>98.794486488262521</v>
      </c>
      <c r="D2377" s="100">
        <v>91.842355462732485</v>
      </c>
      <c r="E2377" s="100">
        <v>92.287038640866911</v>
      </c>
      <c r="F2377" s="100">
        <v>-1391.3630108595</v>
      </c>
      <c r="G2377" s="100">
        <v>-876.89547245060589</v>
      </c>
      <c r="H2377" s="100">
        <v>1947.4492855082417</v>
      </c>
      <c r="I2377" s="100">
        <v>1093.6010138343163</v>
      </c>
      <c r="J2377" s="100">
        <v>772.79181603245206</v>
      </c>
    </row>
    <row r="2378" spans="1:10" x14ac:dyDescent="0.25">
      <c r="A2378">
        <v>2361</v>
      </c>
      <c r="B2378" s="100">
        <v>89.168596781222689</v>
      </c>
      <c r="C2378" s="100">
        <v>97.763237573027197</v>
      </c>
      <c r="D2378" s="100">
        <v>91.651312379804864</v>
      </c>
      <c r="E2378" s="100">
        <v>94.215484280759142</v>
      </c>
      <c r="F2378" s="100">
        <v>1270.6472256746551</v>
      </c>
      <c r="G2378" s="100">
        <v>669.97790040237965</v>
      </c>
      <c r="H2378" s="100">
        <v>2329.5354513634834</v>
      </c>
      <c r="I2378" s="100">
        <v>-834.84462605791521</v>
      </c>
      <c r="J2378" s="100">
        <v>3435.3159513826026</v>
      </c>
    </row>
    <row r="2379" spans="1:10" x14ac:dyDescent="0.25">
      <c r="A2379">
        <v>2362</v>
      </c>
      <c r="B2379" s="100">
        <v>89.385176102503493</v>
      </c>
      <c r="C2379" s="100">
        <v>99.249463681881863</v>
      </c>
      <c r="D2379" s="100">
        <v>91.630773638849803</v>
      </c>
      <c r="E2379" s="100">
        <v>89.744903567608418</v>
      </c>
      <c r="F2379" s="100">
        <v>555.93546544800176</v>
      </c>
      <c r="G2379" s="100">
        <v>-1559.3612628796195</v>
      </c>
      <c r="H2379" s="100">
        <v>2370.6129332736054</v>
      </c>
      <c r="I2379" s="100">
        <v>3635.7360870928092</v>
      </c>
      <c r="J2379" s="100">
        <v>5002.9232229347963</v>
      </c>
    </row>
    <row r="2380" spans="1:10" x14ac:dyDescent="0.25">
      <c r="A2380">
        <v>2363</v>
      </c>
      <c r="B2380" s="100">
        <v>89.69646995085148</v>
      </c>
      <c r="C2380" s="100">
        <v>97.002726949943323</v>
      </c>
      <c r="D2380" s="100">
        <v>91.525307122573039</v>
      </c>
      <c r="E2380" s="100">
        <v>92.746649761991037</v>
      </c>
      <c r="F2380" s="100">
        <v>-471.33423410035391</v>
      </c>
      <c r="G2380" s="100">
        <v>1810.7438350281909</v>
      </c>
      <c r="H2380" s="100">
        <v>2581.545965827132</v>
      </c>
      <c r="I2380" s="100">
        <v>633.98989271018991</v>
      </c>
      <c r="J2380" s="100">
        <v>4554.9454594651588</v>
      </c>
    </row>
    <row r="2381" spans="1:10" x14ac:dyDescent="0.25">
      <c r="A2381">
        <v>2364</v>
      </c>
      <c r="B2381" s="100">
        <v>89.309112669530705</v>
      </c>
      <c r="C2381" s="100">
        <v>97.863247136394904</v>
      </c>
      <c r="D2381" s="100">
        <v>91.070341511048156</v>
      </c>
      <c r="E2381" s="100">
        <v>92.526749689916329</v>
      </c>
      <c r="F2381" s="100">
        <v>806.94479425820168</v>
      </c>
      <c r="G2381" s="100">
        <v>519.96355535082012</v>
      </c>
      <c r="H2381" s="100">
        <v>3491.4771888768996</v>
      </c>
      <c r="I2381" s="100">
        <v>853.88996478489787</v>
      </c>
      <c r="J2381" s="100">
        <v>5672.2755032708192</v>
      </c>
    </row>
    <row r="2382" spans="1:10" x14ac:dyDescent="0.25">
      <c r="A2382">
        <v>2365</v>
      </c>
      <c r="B2382" s="100">
        <v>90.448393359768062</v>
      </c>
      <c r="C2382" s="100">
        <v>98.165234062888103</v>
      </c>
      <c r="D2382" s="100">
        <v>92.578694093284085</v>
      </c>
      <c r="E2382" s="100">
        <v>93.261834561778613</v>
      </c>
      <c r="F2382" s="100">
        <v>-2952.6814835250748</v>
      </c>
      <c r="G2382" s="100">
        <v>66.983165611020468</v>
      </c>
      <c r="H2382" s="100">
        <v>474.77202440504129</v>
      </c>
      <c r="I2382" s="100">
        <v>118.80509292261365</v>
      </c>
      <c r="J2382" s="100">
        <v>-2292.121200586399</v>
      </c>
    </row>
    <row r="2383" spans="1:10" x14ac:dyDescent="0.25">
      <c r="A2383">
        <v>2366</v>
      </c>
      <c r="B2383" s="100">
        <v>88.705926596222767</v>
      </c>
      <c r="C2383" s="100">
        <v>98.976601000628889</v>
      </c>
      <c r="D2383" s="100">
        <v>91.914037379110638</v>
      </c>
      <c r="E2383" s="100">
        <v>89.946526409122782</v>
      </c>
      <c r="F2383" s="100">
        <v>2797.4588361743981</v>
      </c>
      <c r="G2383" s="100">
        <v>-1150.0672410001584</v>
      </c>
      <c r="H2383" s="100">
        <v>1804.0854527519343</v>
      </c>
      <c r="I2383" s="100">
        <v>3434.1132455784445</v>
      </c>
      <c r="J2383" s="100">
        <v>6885.5902935046188</v>
      </c>
    </row>
    <row r="2384" spans="1:10" x14ac:dyDescent="0.25">
      <c r="A2384">
        <v>2367</v>
      </c>
      <c r="B2384" s="100">
        <v>89.289690204258136</v>
      </c>
      <c r="C2384" s="100">
        <v>98.636129285443758</v>
      </c>
      <c r="D2384" s="100">
        <v>91.366989915926098</v>
      </c>
      <c r="E2384" s="100">
        <v>93.464246937182153</v>
      </c>
      <c r="F2384" s="100">
        <v>871.03892965768068</v>
      </c>
      <c r="G2384" s="100">
        <v>-639.3596682224611</v>
      </c>
      <c r="H2384" s="100">
        <v>2898.1803791210154</v>
      </c>
      <c r="I2384" s="100">
        <v>-83.607282480926415</v>
      </c>
      <c r="J2384" s="100">
        <v>3046.2523580753086</v>
      </c>
    </row>
    <row r="2385" spans="1:10" x14ac:dyDescent="0.25">
      <c r="A2385">
        <v>2368</v>
      </c>
      <c r="B2385" s="100">
        <v>88.531384333621943</v>
      </c>
      <c r="C2385" s="100">
        <v>97.744116647996975</v>
      </c>
      <c r="D2385" s="100">
        <v>92.788327197569672</v>
      </c>
      <c r="E2385" s="100">
        <v>93.479629418115678</v>
      </c>
      <c r="F2385" s="100">
        <v>3373.4483027571159</v>
      </c>
      <c r="G2385" s="100">
        <v>698.65928794771298</v>
      </c>
      <c r="H2385" s="100">
        <v>55.505815833868155</v>
      </c>
      <c r="I2385" s="100">
        <v>-98.989763414451204</v>
      </c>
      <c r="J2385" s="100">
        <v>4028.6236431242455</v>
      </c>
    </row>
    <row r="2386" spans="1:10" x14ac:dyDescent="0.25">
      <c r="A2386">
        <v>2369</v>
      </c>
      <c r="B2386" s="100">
        <v>89.277166328563126</v>
      </c>
      <c r="C2386" s="100">
        <v>97.729217027716984</v>
      </c>
      <c r="D2386" s="100">
        <v>92.77989612965915</v>
      </c>
      <c r="E2386" s="100">
        <v>94.409166957029683</v>
      </c>
      <c r="F2386" s="100">
        <v>912.36771945121268</v>
      </c>
      <c r="G2386" s="100">
        <v>721.00871836769898</v>
      </c>
      <c r="H2386" s="100">
        <v>72.367951654911167</v>
      </c>
      <c r="I2386" s="100">
        <v>-1028.527302328456</v>
      </c>
      <c r="J2386" s="100">
        <v>677.2170871453668</v>
      </c>
    </row>
    <row r="2387" spans="1:10" x14ac:dyDescent="0.25">
      <c r="A2387">
        <v>2370</v>
      </c>
      <c r="B2387" s="100">
        <v>89.886374929074634</v>
      </c>
      <c r="C2387" s="100">
        <v>96.949498604738949</v>
      </c>
      <c r="D2387" s="100">
        <v>94.324683450976906</v>
      </c>
      <c r="E2387" s="100">
        <v>92.585078557654668</v>
      </c>
      <c r="F2387" s="100">
        <v>-1098.0206622367632</v>
      </c>
      <c r="G2387" s="100">
        <v>1890.5863528347525</v>
      </c>
      <c r="H2387" s="100">
        <v>-3017.2066909806008</v>
      </c>
      <c r="I2387" s="100">
        <v>795.56109704655853</v>
      </c>
      <c r="J2387" s="100">
        <v>-1429.0799033360527</v>
      </c>
    </row>
    <row r="2388" spans="1:10" x14ac:dyDescent="0.25">
      <c r="A2388">
        <v>2371</v>
      </c>
      <c r="B2388" s="100">
        <v>89.365020335054481</v>
      </c>
      <c r="C2388" s="100">
        <v>98.954168810560873</v>
      </c>
      <c r="D2388" s="100">
        <v>93.528600711664353</v>
      </c>
      <c r="E2388" s="100">
        <v>92.942325723560444</v>
      </c>
      <c r="F2388" s="100">
        <v>622.44949802974077</v>
      </c>
      <c r="G2388" s="100">
        <v>-1116.4189558981334</v>
      </c>
      <c r="H2388" s="100">
        <v>-1425.0412123554952</v>
      </c>
      <c r="I2388" s="100">
        <v>438.3139311407831</v>
      </c>
      <c r="J2388" s="100">
        <v>-1480.6967390831046</v>
      </c>
    </row>
    <row r="2389" spans="1:10" x14ac:dyDescent="0.25">
      <c r="A2389">
        <v>2372</v>
      </c>
      <c r="B2389" s="100">
        <v>89.976237917597516</v>
      </c>
      <c r="C2389" s="100">
        <v>98.58446227372265</v>
      </c>
      <c r="D2389" s="100">
        <v>94.161596569477524</v>
      </c>
      <c r="E2389" s="100">
        <v>94.413884313439183</v>
      </c>
      <c r="F2389" s="100">
        <v>-1394.568524362272</v>
      </c>
      <c r="G2389" s="100">
        <v>-561.8591506407995</v>
      </c>
      <c r="H2389" s="100">
        <v>-2691.032927981837</v>
      </c>
      <c r="I2389" s="100">
        <v>-1033.2446587379563</v>
      </c>
      <c r="J2389" s="100">
        <v>-5680.7052617228646</v>
      </c>
    </row>
    <row r="2390" spans="1:10" x14ac:dyDescent="0.25">
      <c r="A2390">
        <v>2373</v>
      </c>
      <c r="B2390" s="100">
        <v>89.857066811398468</v>
      </c>
      <c r="C2390" s="100">
        <v>98.984885058776655</v>
      </c>
      <c r="D2390" s="100">
        <v>90.532147460457111</v>
      </c>
      <c r="E2390" s="100">
        <v>93.290610825761974</v>
      </c>
      <c r="F2390" s="100">
        <v>-1001.3038739054152</v>
      </c>
      <c r="G2390" s="100">
        <v>-1162.4933282218067</v>
      </c>
      <c r="H2390" s="100">
        <v>4567.8652900589896</v>
      </c>
      <c r="I2390" s="100">
        <v>90.028828939253458</v>
      </c>
      <c r="J2390" s="100">
        <v>2494.0969168710212</v>
      </c>
    </row>
    <row r="2391" spans="1:10" x14ac:dyDescent="0.25">
      <c r="A2391">
        <v>2374</v>
      </c>
      <c r="B2391" s="100">
        <v>90.224995449807466</v>
      </c>
      <c r="C2391" s="100">
        <v>98.203297479971226</v>
      </c>
      <c r="D2391" s="100">
        <v>94.287319930818626</v>
      </c>
      <c r="E2391" s="100">
        <v>92.488164930721169</v>
      </c>
      <c r="F2391" s="100">
        <v>-2215.4683806551075</v>
      </c>
      <c r="G2391" s="100">
        <v>9.888039986336139</v>
      </c>
      <c r="H2391" s="100">
        <v>-2942.4796506640405</v>
      </c>
      <c r="I2391" s="100">
        <v>892.47472398005812</v>
      </c>
      <c r="J2391" s="100">
        <v>-4255.5852673527534</v>
      </c>
    </row>
    <row r="2392" spans="1:10" x14ac:dyDescent="0.25">
      <c r="A2392">
        <v>2375</v>
      </c>
      <c r="B2392" s="100">
        <v>89.8287396387461</v>
      </c>
      <c r="C2392" s="100">
        <v>98.361886520531954</v>
      </c>
      <c r="D2392" s="100">
        <v>92.343959615691887</v>
      </c>
      <c r="E2392" s="100">
        <v>93.467299340733533</v>
      </c>
      <c r="F2392" s="100">
        <v>-907.82420415260106</v>
      </c>
      <c r="G2392" s="100">
        <v>-227.99552085475483</v>
      </c>
      <c r="H2392" s="100">
        <v>944.24097958943776</v>
      </c>
      <c r="I2392" s="100">
        <v>-86.659686032305672</v>
      </c>
      <c r="J2392" s="100">
        <v>-278.23843145022374</v>
      </c>
    </row>
    <row r="2393" spans="1:10" x14ac:dyDescent="0.25">
      <c r="A2393">
        <v>2376</v>
      </c>
      <c r="B2393" s="100">
        <v>88.391034515381961</v>
      </c>
      <c r="C2393" s="100">
        <v>98.667015064793645</v>
      </c>
      <c r="D2393" s="100">
        <v>91.784875791322321</v>
      </c>
      <c r="E2393" s="100">
        <v>94.600939869651043</v>
      </c>
      <c r="F2393" s="100">
        <v>3836.6027029490597</v>
      </c>
      <c r="G2393" s="100">
        <v>-685.68833724729211</v>
      </c>
      <c r="H2393" s="100">
        <v>2062.4086283285692</v>
      </c>
      <c r="I2393" s="100">
        <v>-1220.3002149498161</v>
      </c>
      <c r="J2393" s="100">
        <v>3993.0227790805211</v>
      </c>
    </row>
    <row r="2394" spans="1:10" x14ac:dyDescent="0.25">
      <c r="A2394">
        <v>2377</v>
      </c>
      <c r="B2394" s="100">
        <v>90.207510518715083</v>
      </c>
      <c r="C2394" s="100">
        <v>98.645330015124244</v>
      </c>
      <c r="D2394" s="100">
        <v>94.67182513777469</v>
      </c>
      <c r="E2394" s="100">
        <v>92.62056798309807</v>
      </c>
      <c r="F2394" s="100">
        <v>-2157.768108050243</v>
      </c>
      <c r="G2394" s="100">
        <v>-653.16076274319107</v>
      </c>
      <c r="H2394" s="100">
        <v>-3711.4900645761682</v>
      </c>
      <c r="I2394" s="100">
        <v>760.07167160315703</v>
      </c>
      <c r="J2394" s="100">
        <v>-5762.3472637664454</v>
      </c>
    </row>
    <row r="2395" spans="1:10" x14ac:dyDescent="0.25">
      <c r="A2395">
        <v>2378</v>
      </c>
      <c r="B2395" s="100">
        <v>90.188457012409387</v>
      </c>
      <c r="C2395" s="100">
        <v>99.814130425355799</v>
      </c>
      <c r="D2395" s="100">
        <v>92.907833746322723</v>
      </c>
      <c r="E2395" s="100">
        <v>93.552294466809343</v>
      </c>
      <c r="F2395" s="100">
        <v>-2094.8915372414476</v>
      </c>
      <c r="G2395" s="100">
        <v>-2406.361378090523</v>
      </c>
      <c r="H2395" s="100">
        <v>-183.50728167223451</v>
      </c>
      <c r="I2395" s="100">
        <v>-171.65481210811606</v>
      </c>
      <c r="J2395" s="100">
        <v>-4856.4150091123211</v>
      </c>
    </row>
    <row r="2396" spans="1:10" x14ac:dyDescent="0.25">
      <c r="A2396">
        <v>2379</v>
      </c>
      <c r="B2396" s="100">
        <v>89.734479396942547</v>
      </c>
      <c r="C2396" s="100">
        <v>99.153795331518054</v>
      </c>
      <c r="D2396" s="100">
        <v>93.41148522494322</v>
      </c>
      <c r="E2396" s="100">
        <v>91.996718651822462</v>
      </c>
      <c r="F2396" s="100">
        <v>-596.76540620087485</v>
      </c>
      <c r="G2396" s="100">
        <v>-1415.858737333906</v>
      </c>
      <c r="H2396" s="100">
        <v>-1190.8102389132296</v>
      </c>
      <c r="I2396" s="100">
        <v>1383.9210028787647</v>
      </c>
      <c r="J2396" s="100">
        <v>-1819.5133795692454</v>
      </c>
    </row>
    <row r="2397" spans="1:10" x14ac:dyDescent="0.25">
      <c r="A2397">
        <v>2380</v>
      </c>
      <c r="B2397" s="100">
        <v>88.228393508809972</v>
      </c>
      <c r="C2397" s="100">
        <v>98.802992917051796</v>
      </c>
      <c r="D2397" s="100">
        <v>93.608795735373917</v>
      </c>
      <c r="E2397" s="100">
        <v>95.269145425675774</v>
      </c>
      <c r="F2397" s="100">
        <v>4373.3180246366201</v>
      </c>
      <c r="G2397" s="100">
        <v>-889.65511563451832</v>
      </c>
      <c r="H2397" s="100">
        <v>-1585.431259774623</v>
      </c>
      <c r="I2397" s="100">
        <v>-1888.5057709745467</v>
      </c>
      <c r="J2397" s="100">
        <v>9.7258782529318069</v>
      </c>
    </row>
    <row r="2398" spans="1:10" x14ac:dyDescent="0.25">
      <c r="A2398">
        <v>2381</v>
      </c>
      <c r="B2398" s="100">
        <v>89.495645199655286</v>
      </c>
      <c r="C2398" s="100">
        <v>97.7666695186266</v>
      </c>
      <c r="D2398" s="100">
        <v>92.173518995060277</v>
      </c>
      <c r="E2398" s="100">
        <v>90.782967186663001</v>
      </c>
      <c r="F2398" s="100">
        <v>191.38744484708639</v>
      </c>
      <c r="G2398" s="100">
        <v>664.8299820032762</v>
      </c>
      <c r="H2398" s="100">
        <v>1285.1222208526565</v>
      </c>
      <c r="I2398" s="100">
        <v>2597.6724680382263</v>
      </c>
      <c r="J2398" s="100">
        <v>4739.012115741245</v>
      </c>
    </row>
    <row r="2399" spans="1:10" x14ac:dyDescent="0.25">
      <c r="A2399">
        <v>2382</v>
      </c>
      <c r="B2399" s="100">
        <v>89.260121373638043</v>
      </c>
      <c r="C2399" s="100">
        <v>97.783711444775889</v>
      </c>
      <c r="D2399" s="100">
        <v>90.656249074024615</v>
      </c>
      <c r="E2399" s="100">
        <v>90.730560925698072</v>
      </c>
      <c r="F2399" s="100">
        <v>968.61607070398748</v>
      </c>
      <c r="G2399" s="100">
        <v>639.26709277934174</v>
      </c>
      <c r="H2399" s="100">
        <v>4319.6620629239815</v>
      </c>
      <c r="I2399" s="100">
        <v>2650.0787290031553</v>
      </c>
      <c r="J2399" s="100">
        <v>8577.623955410465</v>
      </c>
    </row>
    <row r="2400" spans="1:10" x14ac:dyDescent="0.25">
      <c r="A2400">
        <v>2383</v>
      </c>
      <c r="B2400" s="100">
        <v>89.318921085799047</v>
      </c>
      <c r="C2400" s="100">
        <v>98.604859276782832</v>
      </c>
      <c r="D2400" s="100">
        <v>93.757787283836919</v>
      </c>
      <c r="E2400" s="100">
        <v>93.404387838714186</v>
      </c>
      <c r="F2400" s="100">
        <v>774.57702057267284</v>
      </c>
      <c r="G2400" s="100">
        <v>-592.45465523107305</v>
      </c>
      <c r="H2400" s="100">
        <v>-1883.4143567006265</v>
      </c>
      <c r="I2400" s="100">
        <v>-23.748184012958973</v>
      </c>
      <c r="J2400" s="100">
        <v>-1725.0401753719857</v>
      </c>
    </row>
    <row r="2401" spans="1:10" x14ac:dyDescent="0.25">
      <c r="A2401">
        <v>2384</v>
      </c>
      <c r="B2401" s="100">
        <v>88.169476556936587</v>
      </c>
      <c r="C2401" s="100">
        <v>99.138014810924133</v>
      </c>
      <c r="D2401" s="100">
        <v>93.024565465257822</v>
      </c>
      <c r="E2401" s="100">
        <v>93.562597518486953</v>
      </c>
      <c r="F2401" s="100">
        <v>4567.7439658187923</v>
      </c>
      <c r="G2401" s="100">
        <v>-1392.1879564430242</v>
      </c>
      <c r="H2401" s="100">
        <v>-416.9707195424337</v>
      </c>
      <c r="I2401" s="100">
        <v>-181.9578637857262</v>
      </c>
      <c r="J2401" s="100">
        <v>2576.627426047608</v>
      </c>
    </row>
    <row r="2402" spans="1:10" x14ac:dyDescent="0.25">
      <c r="A2402">
        <v>2385</v>
      </c>
      <c r="B2402" s="100">
        <v>89.183570359621442</v>
      </c>
      <c r="C2402" s="100">
        <v>98.145311401117681</v>
      </c>
      <c r="D2402" s="100">
        <v>92.476402578066811</v>
      </c>
      <c r="E2402" s="100">
        <v>96.070838365970531</v>
      </c>
      <c r="F2402" s="100">
        <v>1221.2344169587723</v>
      </c>
      <c r="G2402" s="100">
        <v>96.867158266654485</v>
      </c>
      <c r="H2402" s="100">
        <v>679.35505483958991</v>
      </c>
      <c r="I2402" s="100">
        <v>-2690.1987112693037</v>
      </c>
      <c r="J2402" s="100">
        <v>-692.74208120428693</v>
      </c>
    </row>
    <row r="2403" spans="1:10" x14ac:dyDescent="0.25">
      <c r="A2403">
        <v>2386</v>
      </c>
      <c r="B2403" s="100">
        <v>89.045345639845365</v>
      </c>
      <c r="C2403" s="100">
        <v>97.682473175936806</v>
      </c>
      <c r="D2403" s="100">
        <v>93.240404277275246</v>
      </c>
      <c r="E2403" s="100">
        <v>93.675827731768081</v>
      </c>
      <c r="F2403" s="100">
        <v>1677.3759922198237</v>
      </c>
      <c r="G2403" s="100">
        <v>791.1244960379662</v>
      </c>
      <c r="H2403" s="100">
        <v>-848.64834357728114</v>
      </c>
      <c r="I2403" s="100">
        <v>-295.18807706685379</v>
      </c>
      <c r="J2403" s="100">
        <v>1324.6640676136551</v>
      </c>
    </row>
    <row r="2404" spans="1:10" x14ac:dyDescent="0.25">
      <c r="A2404">
        <v>2387</v>
      </c>
      <c r="B2404" s="100">
        <v>88.544660093885497</v>
      </c>
      <c r="C2404" s="100">
        <v>97.3966461395582</v>
      </c>
      <c r="D2404" s="100">
        <v>92.014953118311638</v>
      </c>
      <c r="E2404" s="100">
        <v>91.454401301625353</v>
      </c>
      <c r="F2404" s="100">
        <v>3329.638293887389</v>
      </c>
      <c r="G2404" s="100">
        <v>1219.8650506058755</v>
      </c>
      <c r="H2404" s="100">
        <v>1602.2539743499351</v>
      </c>
      <c r="I2404" s="100">
        <v>1926.2383530758739</v>
      </c>
      <c r="J2404" s="100">
        <v>8077.9956719190741</v>
      </c>
    </row>
    <row r="2405" spans="1:10" x14ac:dyDescent="0.25">
      <c r="A2405">
        <v>2388</v>
      </c>
      <c r="B2405" s="100">
        <v>90.270493155874291</v>
      </c>
      <c r="C2405" s="100">
        <v>98.188647397018613</v>
      </c>
      <c r="D2405" s="100">
        <v>90.73960832888352</v>
      </c>
      <c r="E2405" s="100">
        <v>92.276929046648675</v>
      </c>
      <c r="F2405" s="100">
        <v>-2365.6108106756319</v>
      </c>
      <c r="G2405" s="100">
        <v>31.863164415256051</v>
      </c>
      <c r="H2405" s="100">
        <v>4152.9435532061707</v>
      </c>
      <c r="I2405" s="100">
        <v>1103.7106080525518</v>
      </c>
      <c r="J2405" s="100">
        <v>2922.9065149983467</v>
      </c>
    </row>
    <row r="2406" spans="1:10" x14ac:dyDescent="0.25">
      <c r="A2406">
        <v>2389</v>
      </c>
      <c r="B2406" s="100">
        <v>89.007827447568843</v>
      </c>
      <c r="C2406" s="100">
        <v>97.859084033147454</v>
      </c>
      <c r="D2406" s="100">
        <v>91.3995325705406</v>
      </c>
      <c r="E2406" s="100">
        <v>93.76004647856449</v>
      </c>
      <c r="F2406" s="100">
        <v>1801.186026732347</v>
      </c>
      <c r="G2406" s="100">
        <v>526.20821022199493</v>
      </c>
      <c r="H2406" s="100">
        <v>2833.0950698920105</v>
      </c>
      <c r="I2406" s="100">
        <v>-379.4068238632633</v>
      </c>
      <c r="J2406" s="100">
        <v>4781.082482983089</v>
      </c>
    </row>
    <row r="2407" spans="1:10" x14ac:dyDescent="0.25">
      <c r="A2407">
        <v>2390</v>
      </c>
      <c r="B2407" s="100">
        <v>90.032106688080304</v>
      </c>
      <c r="C2407" s="100">
        <v>98.667487515742295</v>
      </c>
      <c r="D2407" s="100">
        <v>90.613365215931125</v>
      </c>
      <c r="E2407" s="100">
        <v>92.292371153074242</v>
      </c>
      <c r="F2407" s="100">
        <v>-1578.9354669554755</v>
      </c>
      <c r="G2407" s="100">
        <v>-686.39701367026623</v>
      </c>
      <c r="H2407" s="100">
        <v>4405.4297791109602</v>
      </c>
      <c r="I2407" s="100">
        <v>1088.2685016269847</v>
      </c>
      <c r="J2407" s="100">
        <v>3228.3658001122035</v>
      </c>
    </row>
    <row r="2408" spans="1:10" x14ac:dyDescent="0.25">
      <c r="A2408">
        <v>2391</v>
      </c>
      <c r="B2408" s="100">
        <v>89.336331726498685</v>
      </c>
      <c r="C2408" s="100">
        <v>99.038356212287425</v>
      </c>
      <c r="D2408" s="100">
        <v>93.040698471935301</v>
      </c>
      <c r="E2408" s="100">
        <v>90.196155674678664</v>
      </c>
      <c r="F2408" s="100">
        <v>717.12190626386985</v>
      </c>
      <c r="G2408" s="100">
        <v>-1242.7000584879622</v>
      </c>
      <c r="H2408" s="100">
        <v>-449.23673289738986</v>
      </c>
      <c r="I2408" s="100">
        <v>3184.4839800225627</v>
      </c>
      <c r="J2408" s="100">
        <v>2209.6690949010804</v>
      </c>
    </row>
    <row r="2409" spans="1:10" x14ac:dyDescent="0.25">
      <c r="A2409">
        <v>2392</v>
      </c>
      <c r="B2409" s="100">
        <v>89.274759237549191</v>
      </c>
      <c r="C2409" s="100">
        <v>97.712311428360195</v>
      </c>
      <c r="D2409" s="100">
        <v>92.963734482795132</v>
      </c>
      <c r="E2409" s="100">
        <v>91.718513603637788</v>
      </c>
      <c r="F2409" s="100">
        <v>920.31111979720072</v>
      </c>
      <c r="G2409" s="100">
        <v>746.3671174028832</v>
      </c>
      <c r="H2409" s="100">
        <v>-295.30875461705364</v>
      </c>
      <c r="I2409" s="100">
        <v>1662.1260510634386</v>
      </c>
      <c r="J2409" s="100">
        <v>3033.4955336464691</v>
      </c>
    </row>
    <row r="2410" spans="1:10" x14ac:dyDescent="0.25">
      <c r="A2410">
        <v>2393</v>
      </c>
      <c r="B2410" s="100">
        <v>90.024339544045304</v>
      </c>
      <c r="C2410" s="100">
        <v>99.052630839004109</v>
      </c>
      <c r="D2410" s="100">
        <v>94.404462685953604</v>
      </c>
      <c r="E2410" s="100">
        <v>94.320397232339218</v>
      </c>
      <c r="F2410" s="100">
        <v>-1553.3038916399746</v>
      </c>
      <c r="G2410" s="100">
        <v>-1264.1119985629884</v>
      </c>
      <c r="H2410" s="100">
        <v>-3176.7651609339964</v>
      </c>
      <c r="I2410" s="100">
        <v>-939.75757763799095</v>
      </c>
      <c r="J2410" s="100">
        <v>-6933.9386287749503</v>
      </c>
    </row>
    <row r="2411" spans="1:10" x14ac:dyDescent="0.25">
      <c r="A2411">
        <v>2394</v>
      </c>
      <c r="B2411" s="100">
        <v>89.78548249285798</v>
      </c>
      <c r="C2411" s="100">
        <v>98.096808215285805</v>
      </c>
      <c r="D2411" s="100">
        <v>93.554088686089599</v>
      </c>
      <c r="E2411" s="100">
        <v>92.907828715852176</v>
      </c>
      <c r="F2411" s="100">
        <v>-765.0756227218053</v>
      </c>
      <c r="G2411" s="100">
        <v>169.62193701446893</v>
      </c>
      <c r="H2411" s="100">
        <v>-1476.0171612059878</v>
      </c>
      <c r="I2411" s="100">
        <v>472.8109388490509</v>
      </c>
      <c r="J2411" s="100">
        <v>-1598.6599080642734</v>
      </c>
    </row>
    <row r="2412" spans="1:10" x14ac:dyDescent="0.25">
      <c r="A2412">
        <v>2395</v>
      </c>
      <c r="B2412" s="100">
        <v>89.34209367764258</v>
      </c>
      <c r="C2412" s="100">
        <v>97.860163449485839</v>
      </c>
      <c r="D2412" s="100">
        <v>93.10177943378558</v>
      </c>
      <c r="E2412" s="100">
        <v>92.852755766865073</v>
      </c>
      <c r="F2412" s="100">
        <v>698.10746748901374</v>
      </c>
      <c r="G2412" s="100">
        <v>524.58908571441748</v>
      </c>
      <c r="H2412" s="100">
        <v>-571.39865659794964</v>
      </c>
      <c r="I2412" s="100">
        <v>527.88388783615403</v>
      </c>
      <c r="J2412" s="100">
        <v>1179.1817844416355</v>
      </c>
    </row>
    <row r="2413" spans="1:10" x14ac:dyDescent="0.25">
      <c r="A2413">
        <v>2396</v>
      </c>
      <c r="B2413" s="100">
        <v>89.768863479266415</v>
      </c>
      <c r="C2413" s="100">
        <v>97.497088290207415</v>
      </c>
      <c r="D2413" s="100">
        <v>92.514800197913374</v>
      </c>
      <c r="E2413" s="100">
        <v>95.725738280176884</v>
      </c>
      <c r="F2413" s="100">
        <v>-710.23287786963897</v>
      </c>
      <c r="G2413" s="100">
        <v>1069.2018246320529</v>
      </c>
      <c r="H2413" s="100">
        <v>602.55981514646351</v>
      </c>
      <c r="I2413" s="100">
        <v>-2345.0986254756572</v>
      </c>
      <c r="J2413" s="100">
        <v>-1383.5698635667798</v>
      </c>
    </row>
    <row r="2414" spans="1:10" x14ac:dyDescent="0.25">
      <c r="A2414">
        <v>2397</v>
      </c>
      <c r="B2414" s="100">
        <v>89.469800377251303</v>
      </c>
      <c r="C2414" s="100">
        <v>96.309254625375502</v>
      </c>
      <c r="D2414" s="100">
        <v>94.560271034416147</v>
      </c>
      <c r="E2414" s="100">
        <v>93.245330468811005</v>
      </c>
      <c r="F2414" s="100">
        <v>276.67535878022846</v>
      </c>
      <c r="G2414" s="100">
        <v>2850.9523218799231</v>
      </c>
      <c r="H2414" s="100">
        <v>-3488.3818578590817</v>
      </c>
      <c r="I2414" s="100">
        <v>135.30918589022178</v>
      </c>
      <c r="J2414" s="100">
        <v>-225.44499130870815</v>
      </c>
    </row>
    <row r="2415" spans="1:10" x14ac:dyDescent="0.25">
      <c r="A2415">
        <v>2398</v>
      </c>
      <c r="B2415" s="100">
        <v>89.3992223048608</v>
      </c>
      <c r="C2415" s="100">
        <v>98.284003147707367</v>
      </c>
      <c r="D2415" s="100">
        <v>91.679868232870305</v>
      </c>
      <c r="E2415" s="100">
        <v>91.887198220515714</v>
      </c>
      <c r="F2415" s="100">
        <v>509.58299766889041</v>
      </c>
      <c r="G2415" s="100">
        <v>-111.17046161787414</v>
      </c>
      <c r="H2415" s="100">
        <v>2272.4237452326006</v>
      </c>
      <c r="I2415" s="100">
        <v>1493.4414341855131</v>
      </c>
      <c r="J2415" s="100">
        <v>4164.2777154691303</v>
      </c>
    </row>
    <row r="2416" spans="1:10" x14ac:dyDescent="0.25">
      <c r="A2416">
        <v>2399</v>
      </c>
      <c r="B2416" s="100">
        <v>90.057952201448344</v>
      </c>
      <c r="C2416" s="100">
        <v>98.651458016805478</v>
      </c>
      <c r="D2416" s="100">
        <v>90.846102638784615</v>
      </c>
      <c r="E2416" s="100">
        <v>90.060799776272987</v>
      </c>
      <c r="F2416" s="100">
        <v>-1664.2256610700074</v>
      </c>
      <c r="G2416" s="100">
        <v>-662.35276526504094</v>
      </c>
      <c r="H2416" s="100">
        <v>3939.9549334039821</v>
      </c>
      <c r="I2416" s="100">
        <v>3319.8398784282404</v>
      </c>
      <c r="J2416" s="100">
        <v>4933.2163854971741</v>
      </c>
    </row>
    <row r="2417" spans="1:10" x14ac:dyDescent="0.25">
      <c r="A2417">
        <v>2400</v>
      </c>
      <c r="B2417" s="100">
        <v>89.082327690647162</v>
      </c>
      <c r="C2417" s="100">
        <v>99.06861377910252</v>
      </c>
      <c r="D2417" s="100">
        <v>91.522423414077537</v>
      </c>
      <c r="E2417" s="100">
        <v>93.628887594399913</v>
      </c>
      <c r="F2417" s="100">
        <v>1555.3352245738949</v>
      </c>
      <c r="G2417" s="100">
        <v>-1288.0864087106047</v>
      </c>
      <c r="H2417" s="100">
        <v>2587.3133828181381</v>
      </c>
      <c r="I2417" s="100">
        <v>-248.24793969868608</v>
      </c>
      <c r="J2417" s="100">
        <v>2606.3142589827426</v>
      </c>
    </row>
    <row r="2418" spans="1:10" x14ac:dyDescent="0.25">
      <c r="A2418">
        <v>2401</v>
      </c>
      <c r="B2418" s="100">
        <v>88.938527593803059</v>
      </c>
      <c r="C2418" s="100">
        <v>99.009954057043487</v>
      </c>
      <c r="D2418" s="100">
        <v>92.954896900595941</v>
      </c>
      <c r="E2418" s="100">
        <v>94.719226828993598</v>
      </c>
      <c r="F2418" s="100">
        <v>2029.8755441594353</v>
      </c>
      <c r="G2418" s="100">
        <v>-1200.0968256220544</v>
      </c>
      <c r="H2418" s="100">
        <v>-277.63359021867018</v>
      </c>
      <c r="I2418" s="100">
        <v>-1338.5871742923712</v>
      </c>
      <c r="J2418" s="100">
        <v>-786.44204597366047</v>
      </c>
    </row>
    <row r="2419" spans="1:10" x14ac:dyDescent="0.25">
      <c r="A2419">
        <v>2402</v>
      </c>
      <c r="B2419" s="100">
        <v>90.425783927202119</v>
      </c>
      <c r="C2419" s="100">
        <v>98.119713379437883</v>
      </c>
      <c r="D2419" s="100">
        <v>91.807115354587339</v>
      </c>
      <c r="E2419" s="100">
        <v>92.164099959640453</v>
      </c>
      <c r="F2419" s="100">
        <v>-2878.070356057462</v>
      </c>
      <c r="G2419" s="100">
        <v>135.26419078635143</v>
      </c>
      <c r="H2419" s="100">
        <v>2017.9295017985339</v>
      </c>
      <c r="I2419" s="100">
        <v>1216.5396950607742</v>
      </c>
      <c r="J2419" s="100">
        <v>491.66303158819733</v>
      </c>
    </row>
    <row r="2420" spans="1:10" x14ac:dyDescent="0.25">
      <c r="A2420">
        <v>2403</v>
      </c>
      <c r="B2420" s="100">
        <v>89.033243003060605</v>
      </c>
      <c r="C2420" s="100">
        <v>98.61679475359395</v>
      </c>
      <c r="D2420" s="100">
        <v>92.927939493431268</v>
      </c>
      <c r="E2420" s="100">
        <v>92.67348525908406</v>
      </c>
      <c r="F2420" s="100">
        <v>1717.3146936095336</v>
      </c>
      <c r="G2420" s="100">
        <v>-610.35787044774997</v>
      </c>
      <c r="H2420" s="100">
        <v>-223.71877588932421</v>
      </c>
      <c r="I2420" s="100">
        <v>707.15439561716664</v>
      </c>
      <c r="J2420" s="100">
        <v>1590.3924428896262</v>
      </c>
    </row>
    <row r="2421" spans="1:10" x14ac:dyDescent="0.25">
      <c r="A2421">
        <v>2404</v>
      </c>
      <c r="B2421" s="100">
        <v>90.883188579788111</v>
      </c>
      <c r="C2421" s="100">
        <v>98.034918898743285</v>
      </c>
      <c r="D2421" s="100">
        <v>93.643060427295012</v>
      </c>
      <c r="E2421" s="100">
        <v>91.826942484619678</v>
      </c>
      <c r="F2421" s="100">
        <v>-4387.505709591238</v>
      </c>
      <c r="G2421" s="100">
        <v>262.45591182824768</v>
      </c>
      <c r="H2421" s="100">
        <v>-1653.9606436168128</v>
      </c>
      <c r="I2421" s="100">
        <v>1553.6971700815484</v>
      </c>
      <c r="J2421" s="100">
        <v>-4225.3132712982551</v>
      </c>
    </row>
    <row r="2422" spans="1:10" x14ac:dyDescent="0.25">
      <c r="A2422">
        <v>2405</v>
      </c>
      <c r="B2422" s="100">
        <v>90.184504346191417</v>
      </c>
      <c r="C2422" s="100">
        <v>99.62961143999263</v>
      </c>
      <c r="D2422" s="100">
        <v>93.568468976616657</v>
      </c>
      <c r="E2422" s="100">
        <v>91.56943251537011</v>
      </c>
      <c r="F2422" s="100">
        <v>-2081.8477387221478</v>
      </c>
      <c r="G2422" s="100">
        <v>-2129.5829000457688</v>
      </c>
      <c r="H2422" s="100">
        <v>-1504.777742260103</v>
      </c>
      <c r="I2422" s="100">
        <v>1811.2071393311169</v>
      </c>
      <c r="J2422" s="100">
        <v>-3905.001241696903</v>
      </c>
    </row>
    <row r="2423" spans="1:10" x14ac:dyDescent="0.25">
      <c r="A2423">
        <v>2406</v>
      </c>
      <c r="B2423" s="100">
        <v>90.199866212176175</v>
      </c>
      <c r="C2423" s="100">
        <v>97.623136151596981</v>
      </c>
      <c r="D2423" s="100">
        <v>94.196764048871458</v>
      </c>
      <c r="E2423" s="100">
        <v>93.78097190004209</v>
      </c>
      <c r="F2423" s="100">
        <v>-2132.5418964718492</v>
      </c>
      <c r="G2423" s="100">
        <v>880.13003254770433</v>
      </c>
      <c r="H2423" s="100">
        <v>-2761.3678867697045</v>
      </c>
      <c r="I2423" s="100">
        <v>-400.33224534086287</v>
      </c>
      <c r="J2423" s="100">
        <v>-4414.1119960347123</v>
      </c>
    </row>
    <row r="2424" spans="1:10" x14ac:dyDescent="0.25">
      <c r="A2424">
        <v>2407</v>
      </c>
      <c r="B2424" s="100">
        <v>89.141022153012955</v>
      </c>
      <c r="C2424" s="100">
        <v>99.429721104991202</v>
      </c>
      <c r="D2424" s="100">
        <v>94.245386387242505</v>
      </c>
      <c r="E2424" s="100">
        <v>92.234500822170631</v>
      </c>
      <c r="F2424" s="100">
        <v>1361.6434987667787</v>
      </c>
      <c r="G2424" s="100">
        <v>-1829.7473975436276</v>
      </c>
      <c r="H2424" s="100">
        <v>-2858.6125635117978</v>
      </c>
      <c r="I2424" s="100">
        <v>1146.1388325305961</v>
      </c>
      <c r="J2424" s="100">
        <v>-2180.5776297580505</v>
      </c>
    </row>
    <row r="2425" spans="1:10" x14ac:dyDescent="0.25">
      <c r="A2425">
        <v>2408</v>
      </c>
      <c r="B2425" s="100">
        <v>89.664293294349008</v>
      </c>
      <c r="C2425" s="100">
        <v>97.710821595116187</v>
      </c>
      <c r="D2425" s="100">
        <v>92.506915372070409</v>
      </c>
      <c r="E2425" s="100">
        <v>94.994604187760615</v>
      </c>
      <c r="F2425" s="100">
        <v>-365.1512676421973</v>
      </c>
      <c r="G2425" s="100">
        <v>748.6018672688956</v>
      </c>
      <c r="H2425" s="100">
        <v>618.32946683239243</v>
      </c>
      <c r="I2425" s="100">
        <v>-1613.964533059388</v>
      </c>
      <c r="J2425" s="100">
        <v>-612.18446660029736</v>
      </c>
    </row>
    <row r="2426" spans="1:10" x14ac:dyDescent="0.25">
      <c r="A2426">
        <v>2409</v>
      </c>
      <c r="B2426" s="100">
        <v>89.612270633113837</v>
      </c>
      <c r="C2426" s="100">
        <v>97.368051735227283</v>
      </c>
      <c r="D2426" s="100">
        <v>91.259408405998656</v>
      </c>
      <c r="E2426" s="100">
        <v>92.327563591975775</v>
      </c>
      <c r="F2426" s="100">
        <v>-193.47648556613422</v>
      </c>
      <c r="G2426" s="100">
        <v>1262.7566571022512</v>
      </c>
      <c r="H2426" s="100">
        <v>3113.3433989758996</v>
      </c>
      <c r="I2426" s="100">
        <v>1053.0760627254522</v>
      </c>
      <c r="J2426" s="100">
        <v>5235.6996332374683</v>
      </c>
    </row>
    <row r="2427" spans="1:10" x14ac:dyDescent="0.25">
      <c r="A2427">
        <v>2410</v>
      </c>
      <c r="B2427" s="100">
        <v>88.889312784733363</v>
      </c>
      <c r="C2427" s="100">
        <v>97.527505251735334</v>
      </c>
      <c r="D2427" s="100">
        <v>93.828340135596889</v>
      </c>
      <c r="E2427" s="100">
        <v>94.070486420473543</v>
      </c>
      <c r="F2427" s="100">
        <v>2192.2844140894313</v>
      </c>
      <c r="G2427" s="100">
        <v>1023.576382340174</v>
      </c>
      <c r="H2427" s="100">
        <v>-2024.5200602205671</v>
      </c>
      <c r="I2427" s="100">
        <v>-689.84676577231596</v>
      </c>
      <c r="J2427" s="100">
        <v>501.49397043672218</v>
      </c>
    </row>
    <row r="2428" spans="1:10" x14ac:dyDescent="0.25">
      <c r="A2428">
        <v>2411</v>
      </c>
      <c r="B2428" s="100">
        <v>89.691332331744135</v>
      </c>
      <c r="C2428" s="100">
        <v>99.716426207901847</v>
      </c>
      <c r="D2428" s="100">
        <v>93.190625981576162</v>
      </c>
      <c r="E2428" s="100">
        <v>89.868542404131105</v>
      </c>
      <c r="F2428" s="100">
        <v>-454.38009104611723</v>
      </c>
      <c r="G2428" s="100">
        <v>-2259.805051909595</v>
      </c>
      <c r="H2428" s="100">
        <v>-749.09175217911184</v>
      </c>
      <c r="I2428" s="100">
        <v>3512.097250570122</v>
      </c>
      <c r="J2428" s="100">
        <v>48.820355435297643</v>
      </c>
    </row>
    <row r="2429" spans="1:10" x14ac:dyDescent="0.25">
      <c r="A2429">
        <v>2412</v>
      </c>
      <c r="B2429" s="100">
        <v>88.700429713631451</v>
      </c>
      <c r="C2429" s="100">
        <v>98.838028893645145</v>
      </c>
      <c r="D2429" s="100">
        <v>94.685500019690139</v>
      </c>
      <c r="E2429" s="100">
        <v>94.345094633771652</v>
      </c>
      <c r="F2429" s="100">
        <v>2815.5985487257426</v>
      </c>
      <c r="G2429" s="100">
        <v>-942.20908052454183</v>
      </c>
      <c r="H2429" s="100">
        <v>-3738.8398284070663</v>
      </c>
      <c r="I2429" s="100">
        <v>-964.45497907042466</v>
      </c>
      <c r="J2429" s="100">
        <v>-2829.9053392762903</v>
      </c>
    </row>
    <row r="2430" spans="1:10" x14ac:dyDescent="0.25">
      <c r="A2430">
        <v>2413</v>
      </c>
      <c r="B2430" s="100">
        <v>89.655233151562385</v>
      </c>
      <c r="C2430" s="100">
        <v>97.456068376599845</v>
      </c>
      <c r="D2430" s="100">
        <v>92.714240834012941</v>
      </c>
      <c r="E2430" s="100">
        <v>94.127576632931635</v>
      </c>
      <c r="F2430" s="100">
        <v>-335.25279644634054</v>
      </c>
      <c r="G2430" s="100">
        <v>1130.7316950434085</v>
      </c>
      <c r="H2430" s="100">
        <v>203.67854294732979</v>
      </c>
      <c r="I2430" s="100">
        <v>-746.9369782304085</v>
      </c>
      <c r="J2430" s="100">
        <v>252.22046331398928</v>
      </c>
    </row>
    <row r="2431" spans="1:10" x14ac:dyDescent="0.25">
      <c r="A2431">
        <v>2414</v>
      </c>
      <c r="B2431" s="100">
        <v>89.480269690343832</v>
      </c>
      <c r="C2431" s="100">
        <v>97.114754226951376</v>
      </c>
      <c r="D2431" s="100">
        <v>91.847002625125327</v>
      </c>
      <c r="E2431" s="100">
        <v>93.997297838018881</v>
      </c>
      <c r="F2431" s="100">
        <v>242.12662557488471</v>
      </c>
      <c r="G2431" s="100">
        <v>1642.7029195161113</v>
      </c>
      <c r="H2431" s="100">
        <v>1938.1549607225566</v>
      </c>
      <c r="I2431" s="100">
        <v>-616.65818331765365</v>
      </c>
      <c r="J2431" s="100">
        <v>3206.3263224958987</v>
      </c>
    </row>
    <row r="2432" spans="1:10" x14ac:dyDescent="0.25">
      <c r="A2432">
        <v>2415</v>
      </c>
      <c r="B2432" s="100">
        <v>89.289926173007558</v>
      </c>
      <c r="C2432" s="100">
        <v>99.046621091282418</v>
      </c>
      <c r="D2432" s="100">
        <v>93.646129764660671</v>
      </c>
      <c r="E2432" s="100">
        <v>93.382602043409605</v>
      </c>
      <c r="F2432" s="100">
        <v>870.26023278458808</v>
      </c>
      <c r="G2432" s="100">
        <v>-1255.0973769804514</v>
      </c>
      <c r="H2432" s="100">
        <v>-1660.0993183481307</v>
      </c>
      <c r="I2432" s="100">
        <v>-1.962388708378171</v>
      </c>
      <c r="J2432" s="100">
        <v>-2046.898851252372</v>
      </c>
    </row>
    <row r="2433" spans="1:10" x14ac:dyDescent="0.25">
      <c r="A2433">
        <v>2416</v>
      </c>
      <c r="B2433" s="100">
        <v>89.30587055533357</v>
      </c>
      <c r="C2433" s="100">
        <v>97.617174980353738</v>
      </c>
      <c r="D2433" s="100">
        <v>91.807208628077888</v>
      </c>
      <c r="E2433" s="100">
        <v>95.989058903464468</v>
      </c>
      <c r="F2433" s="100">
        <v>817.64377110874875</v>
      </c>
      <c r="G2433" s="100">
        <v>889.07178941256859</v>
      </c>
      <c r="H2433" s="100">
        <v>2017.7429548174359</v>
      </c>
      <c r="I2433" s="100">
        <v>-2608.4192487632408</v>
      </c>
      <c r="J2433" s="100">
        <v>1116.0392665755126</v>
      </c>
    </row>
    <row r="2434" spans="1:10" x14ac:dyDescent="0.25">
      <c r="A2434">
        <v>2417</v>
      </c>
      <c r="B2434" s="100">
        <v>88.858960348995566</v>
      </c>
      <c r="C2434" s="100">
        <v>99.132646538482533</v>
      </c>
      <c r="D2434" s="100">
        <v>92.725382096013774</v>
      </c>
      <c r="E2434" s="100">
        <v>92.545054120895088</v>
      </c>
      <c r="F2434" s="100">
        <v>2292.4474520241602</v>
      </c>
      <c r="G2434" s="100">
        <v>-1384.1355477806233</v>
      </c>
      <c r="H2434" s="100">
        <v>181.39601894566226</v>
      </c>
      <c r="I2434" s="100">
        <v>835.58553380613887</v>
      </c>
      <c r="J2434" s="100">
        <v>1925.2934569953381</v>
      </c>
    </row>
    <row r="2435" spans="1:10" x14ac:dyDescent="0.25">
      <c r="A2435">
        <v>2418</v>
      </c>
      <c r="B2435" s="100">
        <v>89.88115893776542</v>
      </c>
      <c r="C2435" s="100">
        <v>98.457306289092941</v>
      </c>
      <c r="D2435" s="100">
        <v>91.68447300789515</v>
      </c>
      <c r="E2435" s="100">
        <v>94.630327815976671</v>
      </c>
      <c r="F2435" s="100">
        <v>-1080.8078909163569</v>
      </c>
      <c r="G2435" s="100">
        <v>-371.12517369623532</v>
      </c>
      <c r="H2435" s="100">
        <v>2263.2141951829112</v>
      </c>
      <c r="I2435" s="100">
        <v>-1249.6881612754437</v>
      </c>
      <c r="J2435" s="100">
        <v>-438.40703070512473</v>
      </c>
    </row>
    <row r="2436" spans="1:10" x14ac:dyDescent="0.25">
      <c r="A2436">
        <v>2419</v>
      </c>
      <c r="B2436" s="100">
        <v>89.688714108012718</v>
      </c>
      <c r="C2436" s="100">
        <v>98.346921750168775</v>
      </c>
      <c r="D2436" s="100">
        <v>93.035256156970078</v>
      </c>
      <c r="E2436" s="100">
        <v>93.434528696143715</v>
      </c>
      <c r="F2436" s="100">
        <v>-445.7399527324398</v>
      </c>
      <c r="G2436" s="100">
        <v>-205.54836530998699</v>
      </c>
      <c r="H2436" s="100">
        <v>-438.35210296694527</v>
      </c>
      <c r="I2436" s="100">
        <v>-53.889041442488406</v>
      </c>
      <c r="J2436" s="100">
        <v>-1143.5294624518604</v>
      </c>
    </row>
    <row r="2437" spans="1:10" x14ac:dyDescent="0.25">
      <c r="A2437">
        <v>2420</v>
      </c>
      <c r="B2437" s="100">
        <v>89.100552663276503</v>
      </c>
      <c r="C2437" s="100">
        <v>97.150415063370033</v>
      </c>
      <c r="D2437" s="100">
        <v>91.611613407660869</v>
      </c>
      <c r="E2437" s="100">
        <v>94.465983024585</v>
      </c>
      <c r="F2437" s="100">
        <v>1495.1928148970708</v>
      </c>
      <c r="G2437" s="100">
        <v>1589.2116648881256</v>
      </c>
      <c r="H2437" s="100">
        <v>2408.9333956514738</v>
      </c>
      <c r="I2437" s="100">
        <v>-1085.3433698837734</v>
      </c>
      <c r="J2437" s="100">
        <v>4407.994505552897</v>
      </c>
    </row>
    <row r="2438" spans="1:10" x14ac:dyDescent="0.25">
      <c r="A2438">
        <v>2421</v>
      </c>
      <c r="B2438" s="100">
        <v>89.7351702725922</v>
      </c>
      <c r="C2438" s="100">
        <v>98.468971143860855</v>
      </c>
      <c r="D2438" s="100">
        <v>93.37129973063999</v>
      </c>
      <c r="E2438" s="100">
        <v>91.334031416304455</v>
      </c>
      <c r="F2438" s="100">
        <v>-599.04529584472925</v>
      </c>
      <c r="G2438" s="100">
        <v>-388.62245584810751</v>
      </c>
      <c r="H2438" s="100">
        <v>-1110.4392503067686</v>
      </c>
      <c r="I2438" s="100">
        <v>2046.6082383967716</v>
      </c>
      <c r="J2438" s="100">
        <v>-51.498763602833833</v>
      </c>
    </row>
    <row r="2439" spans="1:10" x14ac:dyDescent="0.25">
      <c r="A2439">
        <v>2422</v>
      </c>
      <c r="B2439" s="100">
        <v>90.003800905333094</v>
      </c>
      <c r="C2439" s="100">
        <v>98.789355465051983</v>
      </c>
      <c r="D2439" s="100">
        <v>92.717260821923034</v>
      </c>
      <c r="E2439" s="100">
        <v>95.449109746016504</v>
      </c>
      <c r="F2439" s="100">
        <v>-1485.5263838896803</v>
      </c>
      <c r="G2439" s="100">
        <v>-869.19893763479899</v>
      </c>
      <c r="H2439" s="100">
        <v>197.63856712714301</v>
      </c>
      <c r="I2439" s="100">
        <v>-2068.4700913152765</v>
      </c>
      <c r="J2439" s="100">
        <v>-4225.5568457126128</v>
      </c>
    </row>
    <row r="2440" spans="1:10" x14ac:dyDescent="0.25">
      <c r="A2440">
        <v>2423</v>
      </c>
      <c r="B2440" s="100">
        <v>89.367307164996447</v>
      </c>
      <c r="C2440" s="100">
        <v>98.456785296289084</v>
      </c>
      <c r="D2440" s="100">
        <v>92.190085433113225</v>
      </c>
      <c r="E2440" s="100">
        <v>92.679862582441714</v>
      </c>
      <c r="F2440" s="100">
        <v>614.90295922125426</v>
      </c>
      <c r="G2440" s="100">
        <v>-370.34368449045019</v>
      </c>
      <c r="H2440" s="100">
        <v>1251.9893447467609</v>
      </c>
      <c r="I2440" s="100">
        <v>700.77707225951258</v>
      </c>
      <c r="J2440" s="100">
        <v>2197.3256917370772</v>
      </c>
    </row>
    <row r="2441" spans="1:10" x14ac:dyDescent="0.25">
      <c r="A2441">
        <v>2424</v>
      </c>
      <c r="B2441" s="100">
        <v>90.156451270940764</v>
      </c>
      <c r="C2441" s="100">
        <v>98.127268615938945</v>
      </c>
      <c r="D2441" s="100">
        <v>92.238856217530056</v>
      </c>
      <c r="E2441" s="100">
        <v>93.408467206331991</v>
      </c>
      <c r="F2441" s="100">
        <v>-1989.2725903949909</v>
      </c>
      <c r="G2441" s="100">
        <v>123.93133603475803</v>
      </c>
      <c r="H2441" s="100">
        <v>1154.4477759130984</v>
      </c>
      <c r="I2441" s="100">
        <v>-27.827551630764447</v>
      </c>
      <c r="J2441" s="100">
        <v>-738.72103007789883</v>
      </c>
    </row>
    <row r="2442" spans="1:10" x14ac:dyDescent="0.25">
      <c r="A2442">
        <v>2425</v>
      </c>
      <c r="B2442" s="100">
        <v>89.717720135600118</v>
      </c>
      <c r="C2442" s="100">
        <v>97.907532773934093</v>
      </c>
      <c r="D2442" s="100">
        <v>94.163324303160238</v>
      </c>
      <c r="E2442" s="100">
        <v>92.768120829533927</v>
      </c>
      <c r="F2442" s="100">
        <v>-541.45984377085915</v>
      </c>
      <c r="G2442" s="100">
        <v>453.53509904203548</v>
      </c>
      <c r="H2442" s="100">
        <v>-2694.488395347264</v>
      </c>
      <c r="I2442" s="100">
        <v>612.5188251672995</v>
      </c>
      <c r="J2442" s="100">
        <v>-2169.8943149087881</v>
      </c>
    </row>
    <row r="2443" spans="1:10" x14ac:dyDescent="0.25">
      <c r="A2443">
        <v>2426</v>
      </c>
      <c r="B2443" s="100">
        <v>88.971220333575147</v>
      </c>
      <c r="C2443" s="100">
        <v>98.930601484545321</v>
      </c>
      <c r="D2443" s="100">
        <v>91.316656559222594</v>
      </c>
      <c r="E2443" s="100">
        <v>94.018389867092665</v>
      </c>
      <c r="F2443" s="100">
        <v>1921.9895029115448</v>
      </c>
      <c r="G2443" s="100">
        <v>-1081.0679668748051</v>
      </c>
      <c r="H2443" s="100">
        <v>2998.8470925280239</v>
      </c>
      <c r="I2443" s="100">
        <v>-637.75021239143825</v>
      </c>
      <c r="J2443" s="100">
        <v>3202.0184161733255</v>
      </c>
    </row>
    <row r="2444" spans="1:10" x14ac:dyDescent="0.25">
      <c r="A2444">
        <v>2427</v>
      </c>
      <c r="B2444" s="100">
        <v>89.177372582854971</v>
      </c>
      <c r="C2444" s="100">
        <v>98.210342032172335</v>
      </c>
      <c r="D2444" s="100">
        <v>92.942137925958448</v>
      </c>
      <c r="E2444" s="100">
        <v>95.49965003716963</v>
      </c>
      <c r="F2444" s="100">
        <v>1241.6870802881235</v>
      </c>
      <c r="G2444" s="100">
        <v>-0.67878831532652839</v>
      </c>
      <c r="H2444" s="100">
        <v>-252.11564094368555</v>
      </c>
      <c r="I2444" s="100">
        <v>-2119.0103824684029</v>
      </c>
      <c r="J2444" s="100">
        <v>-1130.1177314392914</v>
      </c>
    </row>
    <row r="2445" spans="1:10" x14ac:dyDescent="0.25">
      <c r="A2445">
        <v>2428</v>
      </c>
      <c r="B2445" s="100">
        <v>90.100413544611783</v>
      </c>
      <c r="C2445" s="100">
        <v>99.649463867559206</v>
      </c>
      <c r="D2445" s="100">
        <v>92.361574761992358</v>
      </c>
      <c r="E2445" s="100">
        <v>95.387202831116753</v>
      </c>
      <c r="F2445" s="100">
        <v>-1804.3480935093542</v>
      </c>
      <c r="G2445" s="100">
        <v>-2159.3615413956327</v>
      </c>
      <c r="H2445" s="100">
        <v>909.01068698849485</v>
      </c>
      <c r="I2445" s="100">
        <v>-2006.5631764155255</v>
      </c>
      <c r="J2445" s="100">
        <v>-5061.2621243320173</v>
      </c>
    </row>
    <row r="2446" spans="1:10" x14ac:dyDescent="0.25">
      <c r="A2446">
        <v>2429</v>
      </c>
      <c r="B2446" s="100">
        <v>89.67163605265543</v>
      </c>
      <c r="C2446" s="100">
        <v>98.875014880607765</v>
      </c>
      <c r="D2446" s="100">
        <v>93.216742919470136</v>
      </c>
      <c r="E2446" s="100">
        <v>94.279281236704591</v>
      </c>
      <c r="F2446" s="100">
        <v>-389.38237005338863</v>
      </c>
      <c r="G2446" s="100">
        <v>-997.68806096847129</v>
      </c>
      <c r="H2446" s="100">
        <v>-801.32562796705997</v>
      </c>
      <c r="I2446" s="100">
        <v>-898.64158200336419</v>
      </c>
      <c r="J2446" s="100">
        <v>-3087.0376409922837</v>
      </c>
    </row>
    <row r="2447" spans="1:10" x14ac:dyDescent="0.25">
      <c r="A2447">
        <v>2430</v>
      </c>
      <c r="B2447" s="100">
        <v>89.229559991679153</v>
      </c>
      <c r="C2447" s="100">
        <v>99.039703117123807</v>
      </c>
      <c r="D2447" s="100">
        <v>92.170943539468396</v>
      </c>
      <c r="E2447" s="100">
        <v>93.556936215900635</v>
      </c>
      <c r="F2447" s="100">
        <v>1069.4686311683242</v>
      </c>
      <c r="G2447" s="100">
        <v>-1244.7204157425347</v>
      </c>
      <c r="H2447" s="100">
        <v>1290.2731320364182</v>
      </c>
      <c r="I2447" s="100">
        <v>-176.29656119940762</v>
      </c>
      <c r="J2447" s="100">
        <v>938.72478626280019</v>
      </c>
    </row>
    <row r="2448" spans="1:10" x14ac:dyDescent="0.25">
      <c r="A2448">
        <v>2431</v>
      </c>
      <c r="B2448" s="100">
        <v>89.409617556044864</v>
      </c>
      <c r="C2448" s="100">
        <v>97.737050964924805</v>
      </c>
      <c r="D2448" s="100">
        <v>92.950412496539045</v>
      </c>
      <c r="E2448" s="100">
        <v>94.87665117301357</v>
      </c>
      <c r="F2448" s="100">
        <v>475.27866876147726</v>
      </c>
      <c r="G2448" s="100">
        <v>709.25781255596826</v>
      </c>
      <c r="H2448" s="100">
        <v>-268.66478210487799</v>
      </c>
      <c r="I2448" s="100">
        <v>-1496.0115183123435</v>
      </c>
      <c r="J2448" s="100">
        <v>-580.13981909977588</v>
      </c>
    </row>
    <row r="2449" spans="1:10" x14ac:dyDescent="0.25">
      <c r="A2449">
        <v>2432</v>
      </c>
      <c r="B2449" s="100">
        <v>89.386681722326301</v>
      </c>
      <c r="C2449" s="100">
        <v>96.928748856358439</v>
      </c>
      <c r="D2449" s="100">
        <v>92.16078261731073</v>
      </c>
      <c r="E2449" s="100">
        <v>94.123159562036463</v>
      </c>
      <c r="F2449" s="100">
        <v>550.96692003273517</v>
      </c>
      <c r="G2449" s="100">
        <v>1921.7109754055173</v>
      </c>
      <c r="H2449" s="100">
        <v>1310.5949763517515</v>
      </c>
      <c r="I2449" s="100">
        <v>-742.51990733523598</v>
      </c>
      <c r="J2449" s="100">
        <v>3040.7529644547681</v>
      </c>
    </row>
    <row r="2450" spans="1:10" x14ac:dyDescent="0.25">
      <c r="A2450">
        <v>2433</v>
      </c>
      <c r="B2450" s="100">
        <v>90.634033784245929</v>
      </c>
      <c r="C2450" s="100">
        <v>98.235470312980979</v>
      </c>
      <c r="D2450" s="100">
        <v>92.69465597170101</v>
      </c>
      <c r="E2450" s="100">
        <v>92.566560013723304</v>
      </c>
      <c r="F2450" s="100">
        <v>-3565.2948843020367</v>
      </c>
      <c r="G2450" s="100">
        <v>-38.371209528293093</v>
      </c>
      <c r="H2450" s="100">
        <v>242.84826757119049</v>
      </c>
      <c r="I2450" s="100">
        <v>814.07964097792274</v>
      </c>
      <c r="J2450" s="100">
        <v>-2546.7381852812164</v>
      </c>
    </row>
    <row r="2451" spans="1:10" x14ac:dyDescent="0.25">
      <c r="A2451">
        <v>2434</v>
      </c>
      <c r="B2451" s="100">
        <v>90.559470653758936</v>
      </c>
      <c r="C2451" s="100">
        <v>97.270286165570994</v>
      </c>
      <c r="D2451" s="100">
        <v>92.225959458266843</v>
      </c>
      <c r="E2451" s="100">
        <v>93.415704435827053</v>
      </c>
      <c r="F2451" s="100">
        <v>-3319.2365536949596</v>
      </c>
      <c r="G2451" s="100">
        <v>1409.4050115866849</v>
      </c>
      <c r="H2451" s="100">
        <v>1180.2412944395257</v>
      </c>
      <c r="I2451" s="100">
        <v>-35.064781125825562</v>
      </c>
      <c r="J2451" s="100">
        <v>-764.6550287945746</v>
      </c>
    </row>
    <row r="2452" spans="1:10" x14ac:dyDescent="0.25">
      <c r="A2452">
        <v>2435</v>
      </c>
      <c r="B2452" s="100">
        <v>90.087172435267888</v>
      </c>
      <c r="C2452" s="100">
        <v>97.976613620865905</v>
      </c>
      <c r="D2452" s="100">
        <v>90.926432202406957</v>
      </c>
      <c r="E2452" s="100">
        <v>94.163846271743495</v>
      </c>
      <c r="F2452" s="100">
        <v>-1760.6524326745016</v>
      </c>
      <c r="G2452" s="100">
        <v>349.91382864431841</v>
      </c>
      <c r="H2452" s="100">
        <v>3779.2958061592972</v>
      </c>
      <c r="I2452" s="100">
        <v>-783.20661704226779</v>
      </c>
      <c r="J2452" s="100">
        <v>1585.3505850868464</v>
      </c>
    </row>
    <row r="2453" spans="1:10" x14ac:dyDescent="0.25">
      <c r="A2453">
        <v>2436</v>
      </c>
      <c r="B2453" s="100">
        <v>88.92556015419477</v>
      </c>
      <c r="C2453" s="100">
        <v>97.977211282795921</v>
      </c>
      <c r="D2453" s="100">
        <v>91.311499365929123</v>
      </c>
      <c r="E2453" s="100">
        <v>94.284214105109456</v>
      </c>
      <c r="F2453" s="100">
        <v>2072.668094866789</v>
      </c>
      <c r="G2453" s="100">
        <v>349.01733574929494</v>
      </c>
      <c r="H2453" s="100">
        <v>3009.161479114965</v>
      </c>
      <c r="I2453" s="100">
        <v>-903.57445040822881</v>
      </c>
      <c r="J2453" s="100">
        <v>4527.2724593228204</v>
      </c>
    </row>
    <row r="2454" spans="1:10" x14ac:dyDescent="0.25">
      <c r="A2454">
        <v>2437</v>
      </c>
      <c r="B2454" s="100">
        <v>89.182648852483439</v>
      </c>
      <c r="C2454" s="100">
        <v>98.114097706840866</v>
      </c>
      <c r="D2454" s="100">
        <v>92.480836386519798</v>
      </c>
      <c r="E2454" s="100">
        <v>90.553729909717575</v>
      </c>
      <c r="F2454" s="100">
        <v>1224.275390514181</v>
      </c>
      <c r="G2454" s="100">
        <v>143.68769968187678</v>
      </c>
      <c r="H2454" s="100">
        <v>670.48743793361609</v>
      </c>
      <c r="I2454" s="100">
        <v>2826.9097449836522</v>
      </c>
      <c r="J2454" s="100">
        <v>4865.360273113326</v>
      </c>
    </row>
    <row r="2455" spans="1:10" x14ac:dyDescent="0.25">
      <c r="A2455">
        <v>2438</v>
      </c>
      <c r="B2455" s="100">
        <v>89.249585882515689</v>
      </c>
      <c r="C2455" s="100">
        <v>97.248613411353688</v>
      </c>
      <c r="D2455" s="100">
        <v>93.189448047485783</v>
      </c>
      <c r="E2455" s="100">
        <v>94.437432884131852</v>
      </c>
      <c r="F2455" s="100">
        <v>1003.3831914077566</v>
      </c>
      <c r="G2455" s="100">
        <v>1441.9141429126441</v>
      </c>
      <c r="H2455" s="100">
        <v>-746.73588399835467</v>
      </c>
      <c r="I2455" s="100">
        <v>-1056.7932294306247</v>
      </c>
      <c r="J2455" s="100">
        <v>641.76822089142138</v>
      </c>
    </row>
    <row r="2456" spans="1:10" x14ac:dyDescent="0.25">
      <c r="A2456">
        <v>2439</v>
      </c>
      <c r="B2456" s="100">
        <v>89.444726891469159</v>
      </c>
      <c r="C2456" s="100">
        <v>99.123337991665579</v>
      </c>
      <c r="D2456" s="100">
        <v>91.254756207409841</v>
      </c>
      <c r="E2456" s="100">
        <v>93.796006086736796</v>
      </c>
      <c r="F2456" s="100">
        <v>359.41786186130429</v>
      </c>
      <c r="G2456" s="100">
        <v>-1370.1727275551932</v>
      </c>
      <c r="H2456" s="100">
        <v>3122.6477961535293</v>
      </c>
      <c r="I2456" s="100">
        <v>-415.36643203556878</v>
      </c>
      <c r="J2456" s="100">
        <v>1696.5264984240716</v>
      </c>
    </row>
    <row r="2457" spans="1:10" x14ac:dyDescent="0.25">
      <c r="A2457">
        <v>2440</v>
      </c>
      <c r="B2457" s="100">
        <v>89.572362594070853</v>
      </c>
      <c r="C2457" s="100">
        <v>97.623728678096072</v>
      </c>
      <c r="D2457" s="100">
        <v>91.467238839511211</v>
      </c>
      <c r="E2457" s="100">
        <v>94.685544353783627</v>
      </c>
      <c r="F2457" s="100">
        <v>-61.779956724285512</v>
      </c>
      <c r="G2457" s="100">
        <v>879.24124279906835</v>
      </c>
      <c r="H2457" s="100">
        <v>2697.6825319507898</v>
      </c>
      <c r="I2457" s="100">
        <v>-1304.9046990823995</v>
      </c>
      <c r="J2457" s="100">
        <v>2210.2391189431733</v>
      </c>
    </row>
    <row r="2458" spans="1:10" x14ac:dyDescent="0.25">
      <c r="A2458">
        <v>2441</v>
      </c>
      <c r="B2458" s="100">
        <v>89.84162728629903</v>
      </c>
      <c r="C2458" s="100">
        <v>97.032646063700852</v>
      </c>
      <c r="D2458" s="100">
        <v>91.422704017612531</v>
      </c>
      <c r="E2458" s="100">
        <v>91.803450565647097</v>
      </c>
      <c r="F2458" s="100">
        <v>-950.35344107726871</v>
      </c>
      <c r="G2458" s="100">
        <v>1765.8651643918972</v>
      </c>
      <c r="H2458" s="100">
        <v>2786.7521757481481</v>
      </c>
      <c r="I2458" s="100">
        <v>1577.1890890541299</v>
      </c>
      <c r="J2458" s="100">
        <v>5179.4529881169065</v>
      </c>
    </row>
    <row r="2459" spans="1:10" x14ac:dyDescent="0.25">
      <c r="A2459">
        <v>2442</v>
      </c>
      <c r="B2459" s="100">
        <v>89.572009122980106</v>
      </c>
      <c r="C2459" s="100">
        <v>97.741787153584951</v>
      </c>
      <c r="D2459" s="100">
        <v>92.353029861900254</v>
      </c>
      <c r="E2459" s="100">
        <v>92.964217247249181</v>
      </c>
      <c r="F2459" s="100">
        <v>-60.613502124819263</v>
      </c>
      <c r="G2459" s="100">
        <v>702.15352956574861</v>
      </c>
      <c r="H2459" s="100">
        <v>926.10048717270388</v>
      </c>
      <c r="I2459" s="100">
        <v>416.42240745204617</v>
      </c>
      <c r="J2459" s="100">
        <v>1984.0629220656795</v>
      </c>
    </row>
    <row r="2460" spans="1:10" x14ac:dyDescent="0.25">
      <c r="A2460">
        <v>2443</v>
      </c>
      <c r="B2460" s="100">
        <v>89.509638952218864</v>
      </c>
      <c r="C2460" s="100">
        <v>97.17756869411221</v>
      </c>
      <c r="D2460" s="100">
        <v>92.032621286943581</v>
      </c>
      <c r="E2460" s="100">
        <v>93.730363699316271</v>
      </c>
      <c r="F2460" s="100">
        <v>145.20806138727664</v>
      </c>
      <c r="G2460" s="100">
        <v>1548.4812187748603</v>
      </c>
      <c r="H2460" s="100">
        <v>1566.9176370860498</v>
      </c>
      <c r="I2460" s="100">
        <v>-349.72404461504425</v>
      </c>
      <c r="J2460" s="100">
        <v>2910.8828726331421</v>
      </c>
    </row>
    <row r="2461" spans="1:10" x14ac:dyDescent="0.25">
      <c r="A2461">
        <v>2444</v>
      </c>
      <c r="B2461" s="100">
        <v>89.300521721662633</v>
      </c>
      <c r="C2461" s="100">
        <v>98.276673955502659</v>
      </c>
      <c r="D2461" s="100">
        <v>92.820464611971914</v>
      </c>
      <c r="E2461" s="100">
        <v>91.483932986536331</v>
      </c>
      <c r="F2461" s="100">
        <v>835.29492222283898</v>
      </c>
      <c r="G2461" s="100">
        <v>-100.1766733108127</v>
      </c>
      <c r="H2461" s="100">
        <v>-8.7690129706174957</v>
      </c>
      <c r="I2461" s="100">
        <v>1896.7066681648957</v>
      </c>
      <c r="J2461" s="100">
        <v>2623.0559041063043</v>
      </c>
    </row>
    <row r="2462" spans="1:10" x14ac:dyDescent="0.25">
      <c r="A2462">
        <v>2445</v>
      </c>
      <c r="B2462" s="100">
        <v>90.101569225138377</v>
      </c>
      <c r="C2462" s="100">
        <v>98.233854282300769</v>
      </c>
      <c r="D2462" s="100">
        <v>93.196728931896246</v>
      </c>
      <c r="E2462" s="100">
        <v>96.211055951639523</v>
      </c>
      <c r="F2462" s="100">
        <v>-1808.1618392471141</v>
      </c>
      <c r="G2462" s="100">
        <v>-35.947163507977109</v>
      </c>
      <c r="H2462" s="100">
        <v>-761.2976528192803</v>
      </c>
      <c r="I2462" s="100">
        <v>-2830.416296938296</v>
      </c>
      <c r="J2462" s="100">
        <v>-5435.8229525126681</v>
      </c>
    </row>
    <row r="2463" spans="1:10" x14ac:dyDescent="0.25">
      <c r="A2463">
        <v>2446</v>
      </c>
      <c r="B2463" s="100">
        <v>89.757052455634863</v>
      </c>
      <c r="C2463" s="100">
        <v>98.846375191248313</v>
      </c>
      <c r="D2463" s="100">
        <v>93.277694923895766</v>
      </c>
      <c r="E2463" s="100">
        <v>94.063911900803106</v>
      </c>
      <c r="F2463" s="100">
        <v>-671.25649988551856</v>
      </c>
      <c r="G2463" s="100">
        <v>-954.72852692929428</v>
      </c>
      <c r="H2463" s="100">
        <v>-923.22963681831993</v>
      </c>
      <c r="I2463" s="100">
        <v>-683.27224610187898</v>
      </c>
      <c r="J2463" s="100">
        <v>-3232.4869097350115</v>
      </c>
    </row>
    <row r="2464" spans="1:10" x14ac:dyDescent="0.25">
      <c r="A2464">
        <v>2447</v>
      </c>
      <c r="B2464" s="100">
        <v>89.774448589423045</v>
      </c>
      <c r="C2464" s="100">
        <v>99.684475060536514</v>
      </c>
      <c r="D2464" s="100">
        <v>91.478306797980409</v>
      </c>
      <c r="E2464" s="100">
        <v>93.718123842705623</v>
      </c>
      <c r="F2464" s="100">
        <v>-728.6637413865194</v>
      </c>
      <c r="G2464" s="100">
        <v>-2211.8783308615948</v>
      </c>
      <c r="H2464" s="100">
        <v>2675.5466150123939</v>
      </c>
      <c r="I2464" s="100">
        <v>-337.48418800439595</v>
      </c>
      <c r="J2464" s="100">
        <v>-602.47964524011604</v>
      </c>
    </row>
    <row r="2465" spans="1:10" x14ac:dyDescent="0.25">
      <c r="A2465">
        <v>2448</v>
      </c>
      <c r="B2465" s="100">
        <v>89.324715663522468</v>
      </c>
      <c r="C2465" s="100">
        <v>99.425971246290246</v>
      </c>
      <c r="D2465" s="100">
        <v>92.322814090117831</v>
      </c>
      <c r="E2465" s="100">
        <v>91.37495373922026</v>
      </c>
      <c r="F2465" s="100">
        <v>755.45491408538373</v>
      </c>
      <c r="G2465" s="100">
        <v>-1824.1226094921926</v>
      </c>
      <c r="H2465" s="100">
        <v>986.5320307375498</v>
      </c>
      <c r="I2465" s="100">
        <v>2005.6859154809672</v>
      </c>
      <c r="J2465" s="100">
        <v>1923.5502508117081</v>
      </c>
    </row>
    <row r="2466" spans="1:10" x14ac:dyDescent="0.25">
      <c r="A2466">
        <v>2449</v>
      </c>
      <c r="B2466" s="100">
        <v>90.101810894202742</v>
      </c>
      <c r="C2466" s="100">
        <v>98.580279140428416</v>
      </c>
      <c r="D2466" s="100">
        <v>92.391172063642088</v>
      </c>
      <c r="E2466" s="100">
        <v>92.894468856521925</v>
      </c>
      <c r="F2466" s="100">
        <v>-1808.9593471595208</v>
      </c>
      <c r="G2466" s="100">
        <v>-555.58445069944901</v>
      </c>
      <c r="H2466" s="100">
        <v>849.81608368903494</v>
      </c>
      <c r="I2466" s="100">
        <v>486.17079817930176</v>
      </c>
      <c r="J2466" s="100">
        <v>-1028.5569159906331</v>
      </c>
    </row>
    <row r="2467" spans="1:10" x14ac:dyDescent="0.25">
      <c r="A2467">
        <v>2450</v>
      </c>
      <c r="B2467" s="100">
        <v>89.0868943171658</v>
      </c>
      <c r="C2467" s="100">
        <v>100.4066621305701</v>
      </c>
      <c r="D2467" s="100">
        <v>92.966197555056723</v>
      </c>
      <c r="E2467" s="100">
        <v>92.394493491266545</v>
      </c>
      <c r="F2467" s="100">
        <v>1540.2653570623884</v>
      </c>
      <c r="G2467" s="100">
        <v>-3295.1589359119707</v>
      </c>
      <c r="H2467" s="100">
        <v>-300.23489914023571</v>
      </c>
      <c r="I2467" s="100">
        <v>986.14616343468242</v>
      </c>
      <c r="J2467" s="100">
        <v>-1068.9823145551354</v>
      </c>
    </row>
    <row r="2468" spans="1:10" x14ac:dyDescent="0.25">
      <c r="A2468">
        <v>2451</v>
      </c>
      <c r="B2468" s="100">
        <v>89.607531299167434</v>
      </c>
      <c r="C2468" s="100">
        <v>97.991733661237035</v>
      </c>
      <c r="D2468" s="100">
        <v>93.257562131563745</v>
      </c>
      <c r="E2468" s="100">
        <v>91.236497258033438</v>
      </c>
      <c r="F2468" s="100">
        <v>-177.83668354300204</v>
      </c>
      <c r="G2468" s="100">
        <v>327.23376808762339</v>
      </c>
      <c r="H2468" s="100">
        <v>-882.96405215427853</v>
      </c>
      <c r="I2468" s="100">
        <v>2144.1423966677889</v>
      </c>
      <c r="J2468" s="100">
        <v>1410.5754290581317</v>
      </c>
    </row>
    <row r="2469" spans="1:10" x14ac:dyDescent="0.25">
      <c r="A2469">
        <v>2452</v>
      </c>
      <c r="B2469" s="100">
        <v>88.931295989431248</v>
      </c>
      <c r="C2469" s="100">
        <v>98.398590729001711</v>
      </c>
      <c r="D2469" s="100">
        <v>94.571208698063586</v>
      </c>
      <c r="E2469" s="100">
        <v>93.4001710060205</v>
      </c>
      <c r="F2469" s="100">
        <v>2053.7398385864094</v>
      </c>
      <c r="G2469" s="100">
        <v>-283.05183355939079</v>
      </c>
      <c r="H2469" s="100">
        <v>-3510.2571851539606</v>
      </c>
      <c r="I2469" s="100">
        <v>-19.531351319272972</v>
      </c>
      <c r="J2469" s="100">
        <v>-1759.100531446215</v>
      </c>
    </row>
    <row r="2470" spans="1:10" x14ac:dyDescent="0.25">
      <c r="A2470">
        <v>2453</v>
      </c>
      <c r="B2470" s="100">
        <v>89.248274771594524</v>
      </c>
      <c r="C2470" s="100">
        <v>97.963151764996567</v>
      </c>
      <c r="D2470" s="100">
        <v>93.109430016802818</v>
      </c>
      <c r="E2470" s="100">
        <v>95.214381510467561</v>
      </c>
      <c r="F2470" s="100">
        <v>1007.7098574476011</v>
      </c>
      <c r="G2470" s="100">
        <v>370.10661244832477</v>
      </c>
      <c r="H2470" s="100">
        <v>-586.69982263242559</v>
      </c>
      <c r="I2470" s="100">
        <v>-1833.7418557663341</v>
      </c>
      <c r="J2470" s="100">
        <v>-1042.6252085028339</v>
      </c>
    </row>
    <row r="2471" spans="1:10" x14ac:dyDescent="0.25">
      <c r="A2471">
        <v>2454</v>
      </c>
      <c r="B2471" s="100">
        <v>88.981539159418304</v>
      </c>
      <c r="C2471" s="100">
        <v>98.178044366148299</v>
      </c>
      <c r="D2471" s="100">
        <v>92.443944866443957</v>
      </c>
      <c r="E2471" s="100">
        <v>90.091517901651997</v>
      </c>
      <c r="F2471" s="100">
        <v>1887.9373776291259</v>
      </c>
      <c r="G2471" s="100">
        <v>47.767710720727052</v>
      </c>
      <c r="H2471" s="100">
        <v>744.27047808529778</v>
      </c>
      <c r="I2471" s="100">
        <v>3289.1217530492299</v>
      </c>
      <c r="J2471" s="100">
        <v>5969.0973194843809</v>
      </c>
    </row>
    <row r="2472" spans="1:10" x14ac:dyDescent="0.25">
      <c r="A2472">
        <v>2455</v>
      </c>
      <c r="B2472" s="100">
        <v>88.891056342495745</v>
      </c>
      <c r="C2472" s="100">
        <v>100.01195587621626</v>
      </c>
      <c r="D2472" s="100">
        <v>93.110979049722076</v>
      </c>
      <c r="E2472" s="100">
        <v>95.45504434312231</v>
      </c>
      <c r="F2472" s="100">
        <v>2186.5306734735723</v>
      </c>
      <c r="G2472" s="100">
        <v>-2703.0995543812182</v>
      </c>
      <c r="H2472" s="100">
        <v>-589.79788847094028</v>
      </c>
      <c r="I2472" s="100">
        <v>-2074.4046884210829</v>
      </c>
      <c r="J2472" s="100">
        <v>-3180.7714577996694</v>
      </c>
    </row>
    <row r="2473" spans="1:10" x14ac:dyDescent="0.25">
      <c r="A2473">
        <v>2456</v>
      </c>
      <c r="B2473" s="100">
        <v>89.275960341992729</v>
      </c>
      <c r="C2473" s="100">
        <v>98.114106388841506</v>
      </c>
      <c r="D2473" s="100">
        <v>90.200048926768901</v>
      </c>
      <c r="E2473" s="100">
        <v>92.142890826087083</v>
      </c>
      <c r="F2473" s="100">
        <v>916.34747513352431</v>
      </c>
      <c r="G2473" s="100">
        <v>143.67467668091649</v>
      </c>
      <c r="H2473" s="100">
        <v>5232.0623574354104</v>
      </c>
      <c r="I2473" s="100">
        <v>1237.7488286141443</v>
      </c>
      <c r="J2473" s="100">
        <v>7529.8333378639954</v>
      </c>
    </row>
    <row r="2474" spans="1:10" x14ac:dyDescent="0.25">
      <c r="A2474">
        <v>2457</v>
      </c>
      <c r="B2474" s="100">
        <v>89.225787055672072</v>
      </c>
      <c r="C2474" s="100">
        <v>98.316434796967997</v>
      </c>
      <c r="D2474" s="100">
        <v>93.233747395416003</v>
      </c>
      <c r="E2474" s="100">
        <v>94.558135379533923</v>
      </c>
      <c r="F2474" s="100">
        <v>1081.9193199916924</v>
      </c>
      <c r="G2474" s="100">
        <v>-159.81793550881918</v>
      </c>
      <c r="H2474" s="100">
        <v>-835.33457985879522</v>
      </c>
      <c r="I2474" s="100">
        <v>-1177.4957248326955</v>
      </c>
      <c r="J2474" s="100">
        <v>-1090.7289202086174</v>
      </c>
    </row>
    <row r="2475" spans="1:10" x14ac:dyDescent="0.25">
      <c r="A2475">
        <v>2458</v>
      </c>
      <c r="B2475" s="100">
        <v>89.539183033606008</v>
      </c>
      <c r="C2475" s="100">
        <v>98.261936754728225</v>
      </c>
      <c r="D2475" s="100">
        <v>91.533626862580476</v>
      </c>
      <c r="E2475" s="100">
        <v>92.413221838665464</v>
      </c>
      <c r="F2475" s="100">
        <v>47.712592809702414</v>
      </c>
      <c r="G2475" s="100">
        <v>-78.070872149162085</v>
      </c>
      <c r="H2475" s="100">
        <v>2564.9064858122583</v>
      </c>
      <c r="I2475" s="100">
        <v>967.41781603576271</v>
      </c>
      <c r="J2475" s="100">
        <v>3501.9660225085613</v>
      </c>
    </row>
    <row r="2476" spans="1:10" x14ac:dyDescent="0.25">
      <c r="A2476">
        <v>2459</v>
      </c>
      <c r="B2476" s="100">
        <v>89.689386167868477</v>
      </c>
      <c r="C2476" s="100">
        <v>98.057457989202092</v>
      </c>
      <c r="D2476" s="100">
        <v>92.020087589204252</v>
      </c>
      <c r="E2476" s="100">
        <v>94.807018055105459</v>
      </c>
      <c r="F2476" s="100">
        <v>-447.95775025644531</v>
      </c>
      <c r="G2476" s="100">
        <v>228.64727614003755</v>
      </c>
      <c r="H2476" s="100">
        <v>1591.9850325647076</v>
      </c>
      <c r="I2476" s="100">
        <v>-1426.3784004042323</v>
      </c>
      <c r="J2476" s="100">
        <v>-53.703841955932376</v>
      </c>
    </row>
    <row r="2477" spans="1:10" x14ac:dyDescent="0.25">
      <c r="A2477">
        <v>2460</v>
      </c>
      <c r="B2477" s="100">
        <v>88.759046592987929</v>
      </c>
      <c r="C2477" s="100">
        <v>98.829961193811585</v>
      </c>
      <c r="D2477" s="100">
        <v>93.099323749117403</v>
      </c>
      <c r="E2477" s="100">
        <v>96.907385546782066</v>
      </c>
      <c r="F2477" s="100">
        <v>2622.162846849365</v>
      </c>
      <c r="G2477" s="100">
        <v>-930.107530774201</v>
      </c>
      <c r="H2477" s="100">
        <v>-566.48728726159447</v>
      </c>
      <c r="I2477" s="100">
        <v>-3526.7458920808394</v>
      </c>
      <c r="J2477" s="100">
        <v>-2401.1778632672699</v>
      </c>
    </row>
    <row r="2478" spans="1:10" x14ac:dyDescent="0.25">
      <c r="A2478">
        <v>2461</v>
      </c>
      <c r="B2478" s="100">
        <v>89.019406840122883</v>
      </c>
      <c r="C2478" s="100">
        <v>97.444587496475449</v>
      </c>
      <c r="D2478" s="100">
        <v>93.116968433584418</v>
      </c>
      <c r="E2478" s="100">
        <v>94.760563111771617</v>
      </c>
      <c r="F2478" s="100">
        <v>1762.9740313040145</v>
      </c>
      <c r="G2478" s="100">
        <v>1147.9530152300015</v>
      </c>
      <c r="H2478" s="100">
        <v>-601.77665619562504</v>
      </c>
      <c r="I2478" s="100">
        <v>-1379.9234570703902</v>
      </c>
      <c r="J2478" s="100">
        <v>929.22693326800072</v>
      </c>
    </row>
    <row r="2479" spans="1:10" x14ac:dyDescent="0.25">
      <c r="A2479">
        <v>2462</v>
      </c>
      <c r="B2479" s="100">
        <v>89.335702561900348</v>
      </c>
      <c r="C2479" s="100">
        <v>98.26260861048776</v>
      </c>
      <c r="D2479" s="100">
        <v>91.562034012706945</v>
      </c>
      <c r="E2479" s="100">
        <v>92.524713666099586</v>
      </c>
      <c r="F2479" s="100">
        <v>719.19814943838105</v>
      </c>
      <c r="G2479" s="100">
        <v>-79.078655788464403</v>
      </c>
      <c r="H2479" s="100">
        <v>2508.0921855593206</v>
      </c>
      <c r="I2479" s="100">
        <v>855.9259886016406</v>
      </c>
      <c r="J2479" s="100">
        <v>4004.1376678108782</v>
      </c>
    </row>
    <row r="2480" spans="1:10" x14ac:dyDescent="0.25">
      <c r="A2480">
        <v>2463</v>
      </c>
      <c r="B2480" s="100">
        <v>89.207832819594287</v>
      </c>
      <c r="C2480" s="100">
        <v>99.637241984002799</v>
      </c>
      <c r="D2480" s="100">
        <v>92.214245956772459</v>
      </c>
      <c r="E2480" s="100">
        <v>91.751076147484667</v>
      </c>
      <c r="F2480" s="100">
        <v>1141.1682990483812</v>
      </c>
      <c r="G2480" s="100">
        <v>-2141.0287160610224</v>
      </c>
      <c r="H2480" s="100">
        <v>1203.668297428294</v>
      </c>
      <c r="I2480" s="100">
        <v>1629.5635072165596</v>
      </c>
      <c r="J2480" s="100">
        <v>1833.3713876322124</v>
      </c>
    </row>
    <row r="2481" spans="1:10" x14ac:dyDescent="0.25">
      <c r="A2481">
        <v>2464</v>
      </c>
      <c r="B2481" s="100">
        <v>89.530307472829008</v>
      </c>
      <c r="C2481" s="100">
        <v>97.893473782298116</v>
      </c>
      <c r="D2481" s="100">
        <v>92.298479084898347</v>
      </c>
      <c r="E2481" s="100">
        <v>94.173867200713559</v>
      </c>
      <c r="F2481" s="100">
        <v>77.001943373801396</v>
      </c>
      <c r="G2481" s="100">
        <v>474.62358649600134</v>
      </c>
      <c r="H2481" s="100">
        <v>1035.2020411765182</v>
      </c>
      <c r="I2481" s="100">
        <v>-793.22754601233214</v>
      </c>
      <c r="J2481" s="100">
        <v>793.60002503398869</v>
      </c>
    </row>
    <row r="2482" spans="1:10" x14ac:dyDescent="0.25">
      <c r="A2482">
        <v>2465</v>
      </c>
      <c r="B2482" s="100">
        <v>89.240503822931601</v>
      </c>
      <c r="C2482" s="100">
        <v>98.452651194418152</v>
      </c>
      <c r="D2482" s="100">
        <v>93.776555082729359</v>
      </c>
      <c r="E2482" s="100">
        <v>90.421453072345685</v>
      </c>
      <c r="F2482" s="100">
        <v>1033.3539880352475</v>
      </c>
      <c r="G2482" s="100">
        <v>-364.14253168405253</v>
      </c>
      <c r="H2482" s="100">
        <v>-1920.9499544855078</v>
      </c>
      <c r="I2482" s="100">
        <v>2959.1865823555422</v>
      </c>
      <c r="J2482" s="100">
        <v>1707.4480842212295</v>
      </c>
    </row>
    <row r="2483" spans="1:10" x14ac:dyDescent="0.25">
      <c r="A2483">
        <v>2466</v>
      </c>
      <c r="B2483" s="100">
        <v>89.646621749384195</v>
      </c>
      <c r="C2483" s="100">
        <v>97.182576631942354</v>
      </c>
      <c r="D2483" s="100">
        <v>91.80473239736429</v>
      </c>
      <c r="E2483" s="100">
        <v>93.37098202832037</v>
      </c>
      <c r="F2483" s="100">
        <v>-306.83516925831498</v>
      </c>
      <c r="G2483" s="100">
        <v>1540.9693120296452</v>
      </c>
      <c r="H2483" s="100">
        <v>2022.6954162446305</v>
      </c>
      <c r="I2483" s="100">
        <v>9.6576263808572094</v>
      </c>
      <c r="J2483" s="100">
        <v>3266.4871853968179</v>
      </c>
    </row>
    <row r="2484" spans="1:10" x14ac:dyDescent="0.25">
      <c r="A2484">
        <v>2467</v>
      </c>
      <c r="B2484" s="100">
        <v>90.714037526491722</v>
      </c>
      <c r="C2484" s="100">
        <v>98.793196979402069</v>
      </c>
      <c r="D2484" s="100">
        <v>91.404013964314984</v>
      </c>
      <c r="E2484" s="100">
        <v>93.273529168939532</v>
      </c>
      <c r="F2484" s="100">
        <v>-3829.3072337131548</v>
      </c>
      <c r="G2484" s="100">
        <v>-874.96120915992742</v>
      </c>
      <c r="H2484" s="100">
        <v>2824.1322823432429</v>
      </c>
      <c r="I2484" s="100">
        <v>107.11048576169446</v>
      </c>
      <c r="J2484" s="100">
        <v>-1773.0256747681453</v>
      </c>
    </row>
    <row r="2485" spans="1:10" x14ac:dyDescent="0.25">
      <c r="A2485">
        <v>2468</v>
      </c>
      <c r="B2485" s="100">
        <v>89.583982790245457</v>
      </c>
      <c r="C2485" s="100">
        <v>99.1012461674717</v>
      </c>
      <c r="D2485" s="100">
        <v>94.899892701123093</v>
      </c>
      <c r="E2485" s="100">
        <v>93.040646266869999</v>
      </c>
      <c r="F2485" s="100">
        <v>-100.12660410047971</v>
      </c>
      <c r="G2485" s="100">
        <v>-1337.0349912643746</v>
      </c>
      <c r="H2485" s="100">
        <v>-4167.6251912729749</v>
      </c>
      <c r="I2485" s="100">
        <v>339.99338783122823</v>
      </c>
      <c r="J2485" s="100">
        <v>-5264.7933988066006</v>
      </c>
    </row>
    <row r="2486" spans="1:10" x14ac:dyDescent="0.25">
      <c r="A2486">
        <v>2469</v>
      </c>
      <c r="B2486" s="100">
        <v>90.037537128485994</v>
      </c>
      <c r="C2486" s="100">
        <v>97.783489394188209</v>
      </c>
      <c r="D2486" s="100">
        <v>92.725006016148939</v>
      </c>
      <c r="E2486" s="100">
        <v>94.572168266101386</v>
      </c>
      <c r="F2486" s="100">
        <v>-1596.8559202942502</v>
      </c>
      <c r="G2486" s="100">
        <v>639.60016866086278</v>
      </c>
      <c r="H2486" s="100">
        <v>182.14817867533384</v>
      </c>
      <c r="I2486" s="100">
        <v>-1191.5286114001588</v>
      </c>
      <c r="J2486" s="100">
        <v>-1966.6361843582122</v>
      </c>
    </row>
    <row r="2487" spans="1:10" x14ac:dyDescent="0.25">
      <c r="A2487">
        <v>2470</v>
      </c>
      <c r="B2487" s="100">
        <v>89.257690956583801</v>
      </c>
      <c r="C2487" s="100">
        <v>97.413104482549315</v>
      </c>
      <c r="D2487" s="100">
        <v>93.810522873254797</v>
      </c>
      <c r="E2487" s="100">
        <v>92.988100141522196</v>
      </c>
      <c r="F2487" s="100">
        <v>976.63644698298663</v>
      </c>
      <c r="G2487" s="100">
        <v>1195.1775361192035</v>
      </c>
      <c r="H2487" s="100">
        <v>-1988.885535536383</v>
      </c>
      <c r="I2487" s="100">
        <v>392.53951317903102</v>
      </c>
      <c r="J2487" s="100">
        <v>575.46796074483791</v>
      </c>
    </row>
    <row r="2488" spans="1:10" x14ac:dyDescent="0.25">
      <c r="A2488">
        <v>2471</v>
      </c>
      <c r="B2488" s="100">
        <v>88.657454771349293</v>
      </c>
      <c r="C2488" s="100">
        <v>97.489575658936332</v>
      </c>
      <c r="D2488" s="100">
        <v>94.324936112172679</v>
      </c>
      <c r="E2488" s="100">
        <v>92.574333312785313</v>
      </c>
      <c r="F2488" s="100">
        <v>2957.4158582568616</v>
      </c>
      <c r="G2488" s="100">
        <v>1080.4707715386783</v>
      </c>
      <c r="H2488" s="100">
        <v>-3017.7120133721473</v>
      </c>
      <c r="I2488" s="100">
        <v>806.30634191591355</v>
      </c>
      <c r="J2488" s="100">
        <v>1826.4809583393062</v>
      </c>
    </row>
    <row r="2489" spans="1:10" x14ac:dyDescent="0.25">
      <c r="A2489">
        <v>2472</v>
      </c>
      <c r="B2489" s="100">
        <v>90.488300180314653</v>
      </c>
      <c r="C2489" s="100">
        <v>97.31570631646639</v>
      </c>
      <c r="D2489" s="100">
        <v>94.921206967956152</v>
      </c>
      <c r="E2489" s="100">
        <v>94.865402325093697</v>
      </c>
      <c r="F2489" s="100">
        <v>-3084.3739913288246</v>
      </c>
      <c r="G2489" s="100">
        <v>1341.2747852435914</v>
      </c>
      <c r="H2489" s="100">
        <v>-4210.2537249390934</v>
      </c>
      <c r="I2489" s="100">
        <v>-1484.7626703924702</v>
      </c>
      <c r="J2489" s="100">
        <v>-7438.1156014167973</v>
      </c>
    </row>
    <row r="2490" spans="1:10" x14ac:dyDescent="0.25">
      <c r="A2490">
        <v>2473</v>
      </c>
      <c r="B2490" s="100">
        <v>89.414110874161253</v>
      </c>
      <c r="C2490" s="100">
        <v>99.031344250384663</v>
      </c>
      <c r="D2490" s="100">
        <v>93.194500160671296</v>
      </c>
      <c r="E2490" s="100">
        <v>92.905125247571519</v>
      </c>
      <c r="F2490" s="100">
        <v>460.45071897739547</v>
      </c>
      <c r="G2490" s="100">
        <v>-1232.1821156338187</v>
      </c>
      <c r="H2490" s="100">
        <v>-756.84011036938159</v>
      </c>
      <c r="I2490" s="100">
        <v>475.51440712970816</v>
      </c>
      <c r="J2490" s="100">
        <v>-1053.0570998960966</v>
      </c>
    </row>
    <row r="2491" spans="1:10" x14ac:dyDescent="0.25">
      <c r="A2491">
        <v>2474</v>
      </c>
      <c r="B2491" s="100">
        <v>89.384603261723228</v>
      </c>
      <c r="C2491" s="100">
        <v>96.916171696575958</v>
      </c>
      <c r="D2491" s="100">
        <v>94.868278156296157</v>
      </c>
      <c r="E2491" s="100">
        <v>92.756705205930885</v>
      </c>
      <c r="F2491" s="100">
        <v>557.82584002287626</v>
      </c>
      <c r="G2491" s="100">
        <v>1940.5767150792385</v>
      </c>
      <c r="H2491" s="100">
        <v>-4104.3961016191024</v>
      </c>
      <c r="I2491" s="100">
        <v>623.93444877034199</v>
      </c>
      <c r="J2491" s="100">
        <v>-982.05909774664542</v>
      </c>
    </row>
    <row r="2492" spans="1:10" x14ac:dyDescent="0.25">
      <c r="A2492">
        <v>2475</v>
      </c>
      <c r="B2492" s="100">
        <v>89.236553402948402</v>
      </c>
      <c r="C2492" s="100">
        <v>96.717860322234941</v>
      </c>
      <c r="D2492" s="100">
        <v>95.973900657824615</v>
      </c>
      <c r="E2492" s="100">
        <v>91.756432669804681</v>
      </c>
      <c r="F2492" s="100">
        <v>1046.3903739798013</v>
      </c>
      <c r="G2492" s="100">
        <v>2238.0437765907645</v>
      </c>
      <c r="H2492" s="100">
        <v>-6315.6411046760186</v>
      </c>
      <c r="I2492" s="100">
        <v>1624.2069848965457</v>
      </c>
      <c r="J2492" s="100">
        <v>-1406.9999692089068</v>
      </c>
    </row>
    <row r="2493" spans="1:10" x14ac:dyDescent="0.25">
      <c r="A2493">
        <v>2476</v>
      </c>
      <c r="B2493" s="100">
        <v>89.163430458838988</v>
      </c>
      <c r="C2493" s="100">
        <v>99.368158940428785</v>
      </c>
      <c r="D2493" s="100">
        <v>93.106154337398678</v>
      </c>
      <c r="E2493" s="100">
        <v>95.57906468460628</v>
      </c>
      <c r="F2493" s="100">
        <v>1287.6960895408686</v>
      </c>
      <c r="G2493" s="100">
        <v>-1737.4041507000015</v>
      </c>
      <c r="H2493" s="100">
        <v>-580.14846382414476</v>
      </c>
      <c r="I2493" s="100">
        <v>-2198.4250299050527</v>
      </c>
      <c r="J2493" s="100">
        <v>-3228.2815548883304</v>
      </c>
    </row>
    <row r="2494" spans="1:10" x14ac:dyDescent="0.25">
      <c r="A2494">
        <v>2477</v>
      </c>
      <c r="B2494" s="100">
        <v>88.875439174058627</v>
      </c>
      <c r="C2494" s="100">
        <v>98.169079268074228</v>
      </c>
      <c r="D2494" s="100">
        <v>93.158792985074598</v>
      </c>
      <c r="E2494" s="100">
        <v>92.006406384325615</v>
      </c>
      <c r="F2494" s="100">
        <v>2238.0673293160598</v>
      </c>
      <c r="G2494" s="100">
        <v>61.215357831834183</v>
      </c>
      <c r="H2494" s="100">
        <v>-685.42575917598469</v>
      </c>
      <c r="I2494" s="100">
        <v>1374.2332703756119</v>
      </c>
      <c r="J2494" s="100">
        <v>2988.0901983475214</v>
      </c>
    </row>
    <row r="2495" spans="1:10" x14ac:dyDescent="0.25">
      <c r="A2495">
        <v>2478</v>
      </c>
      <c r="B2495" s="100">
        <v>89.634066846662705</v>
      </c>
      <c r="C2495" s="100">
        <v>98.150983868313105</v>
      </c>
      <c r="D2495" s="100">
        <v>93.898570274513972</v>
      </c>
      <c r="E2495" s="100">
        <v>89.796260387271474</v>
      </c>
      <c r="F2495" s="100">
        <v>-265.40399027739738</v>
      </c>
      <c r="G2495" s="100">
        <v>88.358457473518115</v>
      </c>
      <c r="H2495" s="100">
        <v>-2164.9803380547328</v>
      </c>
      <c r="I2495" s="100">
        <v>3584.3792674297533</v>
      </c>
      <c r="J2495" s="100">
        <v>1242.3533965711413</v>
      </c>
    </row>
    <row r="2496" spans="1:10" x14ac:dyDescent="0.25">
      <c r="A2496">
        <v>2479</v>
      </c>
      <c r="B2496" s="100">
        <v>90.318083043029503</v>
      </c>
      <c r="C2496" s="100">
        <v>97.627075912097013</v>
      </c>
      <c r="D2496" s="100">
        <v>92.211304759348138</v>
      </c>
      <c r="E2496" s="100">
        <v>92.672031278488888</v>
      </c>
      <c r="F2496" s="100">
        <v>-2522.6574382878312</v>
      </c>
      <c r="G2496" s="100">
        <v>874.2203917976567</v>
      </c>
      <c r="H2496" s="100">
        <v>1209.5506922769346</v>
      </c>
      <c r="I2496" s="100">
        <v>708.60837621233941</v>
      </c>
      <c r="J2496" s="100">
        <v>269.72202199909952</v>
      </c>
    </row>
    <row r="2497" spans="1:10" x14ac:dyDescent="0.25">
      <c r="A2497">
        <v>2480</v>
      </c>
      <c r="B2497" s="100">
        <v>89.575423412523037</v>
      </c>
      <c r="C2497" s="100">
        <v>99.204145916655563</v>
      </c>
      <c r="D2497" s="100">
        <v>91.99914049691904</v>
      </c>
      <c r="E2497" s="100">
        <v>94.501936488623656</v>
      </c>
      <c r="F2497" s="100">
        <v>-71.880657616492272</v>
      </c>
      <c r="G2497" s="100">
        <v>-1491.3846150401682</v>
      </c>
      <c r="H2497" s="100">
        <v>1633.8792171351315</v>
      </c>
      <c r="I2497" s="100">
        <v>-1121.296833922429</v>
      </c>
      <c r="J2497" s="100">
        <v>-1050.6828894439579</v>
      </c>
    </row>
    <row r="2498" spans="1:10" x14ac:dyDescent="0.25">
      <c r="A2498">
        <v>2481</v>
      </c>
      <c r="B2498" s="100">
        <v>89.997196238515954</v>
      </c>
      <c r="C2498" s="100">
        <v>98.849832827258098</v>
      </c>
      <c r="D2498" s="100">
        <v>92.913614997765578</v>
      </c>
      <c r="E2498" s="100">
        <v>94.546059818665441</v>
      </c>
      <c r="F2498" s="100">
        <v>-1463.7309833931199</v>
      </c>
      <c r="G2498" s="100">
        <v>-959.91498094397093</v>
      </c>
      <c r="H2498" s="100">
        <v>-195.0697845579441</v>
      </c>
      <c r="I2498" s="100">
        <v>-1165.4201639642138</v>
      </c>
      <c r="J2498" s="100">
        <v>-3784.1359128592489</v>
      </c>
    </row>
    <row r="2499" spans="1:10" x14ac:dyDescent="0.25">
      <c r="A2499">
        <v>2482</v>
      </c>
      <c r="B2499" s="100">
        <v>88.176860253443323</v>
      </c>
      <c r="C2499" s="100">
        <v>98.426859081056065</v>
      </c>
      <c r="D2499" s="100">
        <v>94.432910480406392</v>
      </c>
      <c r="E2499" s="100">
        <v>90.132916171604649</v>
      </c>
      <c r="F2499" s="100">
        <v>4543.3777673465638</v>
      </c>
      <c r="G2499" s="100">
        <v>-325.45436164092223</v>
      </c>
      <c r="H2499" s="100">
        <v>-3233.6607498395724</v>
      </c>
      <c r="I2499" s="100">
        <v>3247.7234830965785</v>
      </c>
      <c r="J2499" s="100">
        <v>4231.9861389626476</v>
      </c>
    </row>
    <row r="2500" spans="1:10" x14ac:dyDescent="0.25">
      <c r="A2500">
        <v>2483</v>
      </c>
      <c r="B2500" s="100">
        <v>89.055518680568269</v>
      </c>
      <c r="C2500" s="100">
        <v>97.784393498472326</v>
      </c>
      <c r="D2500" s="100">
        <v>93.29221747645191</v>
      </c>
      <c r="E2500" s="100">
        <v>92.835642938822289</v>
      </c>
      <c r="F2500" s="100">
        <v>1643.8049578342402</v>
      </c>
      <c r="G2500" s="100">
        <v>638.24401223468635</v>
      </c>
      <c r="H2500" s="100">
        <v>-952.27474193060857</v>
      </c>
      <c r="I2500" s="100">
        <v>544.99671587893772</v>
      </c>
      <c r="J2500" s="100">
        <v>1874.7709440172559</v>
      </c>
    </row>
    <row r="2501" spans="1:10" x14ac:dyDescent="0.25">
      <c r="A2501">
        <v>2484</v>
      </c>
      <c r="B2501" s="100">
        <v>90.37244752012694</v>
      </c>
      <c r="C2501" s="100">
        <v>98.802383665498169</v>
      </c>
      <c r="D2501" s="100">
        <v>92.84115142957522</v>
      </c>
      <c r="E2501" s="100">
        <v>93.842441890967464</v>
      </c>
      <c r="F2501" s="100">
        <v>-2702.0602127093725</v>
      </c>
      <c r="G2501" s="100">
        <v>-888.74123830407825</v>
      </c>
      <c r="H2501" s="100">
        <v>-50.142648177228466</v>
      </c>
      <c r="I2501" s="100">
        <v>-461.80223626623729</v>
      </c>
      <c r="J2501" s="100">
        <v>-4102.7463354569172</v>
      </c>
    </row>
    <row r="2502" spans="1:10" x14ac:dyDescent="0.25">
      <c r="A2502">
        <v>2485</v>
      </c>
      <c r="B2502" s="100">
        <v>89.899527142581917</v>
      </c>
      <c r="C2502" s="100">
        <v>97.268972466565415</v>
      </c>
      <c r="D2502" s="100">
        <v>90.857246861364729</v>
      </c>
      <c r="E2502" s="100">
        <v>90.941309919496888</v>
      </c>
      <c r="F2502" s="100">
        <v>-1141.4229668107964</v>
      </c>
      <c r="G2502" s="100">
        <v>1411.3755600950526</v>
      </c>
      <c r="H2502" s="100">
        <v>3917.6664882437535</v>
      </c>
      <c r="I2502" s="100">
        <v>2439.3297352043392</v>
      </c>
      <c r="J2502" s="100">
        <v>6626.9488167323489</v>
      </c>
    </row>
    <row r="2503" spans="1:10" x14ac:dyDescent="0.25">
      <c r="A2503">
        <v>2486</v>
      </c>
      <c r="B2503" s="100">
        <v>89.855087587259575</v>
      </c>
      <c r="C2503" s="100">
        <v>97.267297928593919</v>
      </c>
      <c r="D2503" s="100">
        <v>91.414705720152369</v>
      </c>
      <c r="E2503" s="100">
        <v>93.981594125058933</v>
      </c>
      <c r="F2503" s="100">
        <v>-994.77243424706921</v>
      </c>
      <c r="G2503" s="100">
        <v>1413.8873670522969</v>
      </c>
      <c r="H2503" s="100">
        <v>2802.7487706684724</v>
      </c>
      <c r="I2503" s="100">
        <v>-600.95447035770633</v>
      </c>
      <c r="J2503" s="100">
        <v>2620.9092331159941</v>
      </c>
    </row>
    <row r="2504" spans="1:10" x14ac:dyDescent="0.25">
      <c r="A2504">
        <v>2487</v>
      </c>
      <c r="B2504" s="100">
        <v>90.033567230977525</v>
      </c>
      <c r="C2504" s="100">
        <v>96.681003346081027</v>
      </c>
      <c r="D2504" s="100">
        <v>95.057400687533828</v>
      </c>
      <c r="E2504" s="100">
        <v>91.929898193818076</v>
      </c>
      <c r="F2504" s="100">
        <v>-1583.7552585163025</v>
      </c>
      <c r="G2504" s="100">
        <v>2293.3292408216348</v>
      </c>
      <c r="H2504" s="100">
        <v>-4482.6411640944461</v>
      </c>
      <c r="I2504" s="100">
        <v>1450.7414608831509</v>
      </c>
      <c r="J2504" s="100">
        <v>-2322.325720905963</v>
      </c>
    </row>
    <row r="2505" spans="1:10" x14ac:dyDescent="0.25">
      <c r="A2505">
        <v>2488</v>
      </c>
      <c r="B2505" s="100">
        <v>89.466339901572425</v>
      </c>
      <c r="C2505" s="100">
        <v>97.682978158991503</v>
      </c>
      <c r="D2505" s="100">
        <v>93.976447762555935</v>
      </c>
      <c r="E2505" s="100">
        <v>94.731801179463005</v>
      </c>
      <c r="F2505" s="100">
        <v>288.09492852052614</v>
      </c>
      <c r="G2505" s="100">
        <v>790.3670214559213</v>
      </c>
      <c r="H2505" s="100">
        <v>-2320.7353141386593</v>
      </c>
      <c r="I2505" s="100">
        <v>-1351.1615247617783</v>
      </c>
      <c r="J2505" s="100">
        <v>-2593.43488892399</v>
      </c>
    </row>
    <row r="2506" spans="1:10" x14ac:dyDescent="0.25">
      <c r="A2506">
        <v>2489</v>
      </c>
      <c r="B2506" s="100">
        <v>89.717528254317102</v>
      </c>
      <c r="C2506" s="100">
        <v>98.340117078933986</v>
      </c>
      <c r="D2506" s="100">
        <v>92.103746497246121</v>
      </c>
      <c r="E2506" s="100">
        <v>93.068043529076746</v>
      </c>
      <c r="F2506" s="100">
        <v>-540.82663553690793</v>
      </c>
      <c r="G2506" s="100">
        <v>-195.34135845780298</v>
      </c>
      <c r="H2506" s="100">
        <v>1424.6672164809695</v>
      </c>
      <c r="I2506" s="100">
        <v>312.59612562448069</v>
      </c>
      <c r="J2506" s="100">
        <v>1001.0953481107392</v>
      </c>
    </row>
    <row r="2507" spans="1:10" x14ac:dyDescent="0.25">
      <c r="A2507">
        <v>2490</v>
      </c>
      <c r="B2507" s="100">
        <v>89.557344899976584</v>
      </c>
      <c r="C2507" s="100">
        <v>98.264766273940921</v>
      </c>
      <c r="D2507" s="100">
        <v>91.79882067705519</v>
      </c>
      <c r="E2507" s="100">
        <v>95.118840890793905</v>
      </c>
      <c r="F2507" s="100">
        <v>-12.221566213199253</v>
      </c>
      <c r="G2507" s="100">
        <v>-82.315150968206297</v>
      </c>
      <c r="H2507" s="100">
        <v>2034.5188568628316</v>
      </c>
      <c r="I2507" s="100">
        <v>-1738.2012360926778</v>
      </c>
      <c r="J2507" s="100">
        <v>201.78090358874829</v>
      </c>
    </row>
    <row r="2508" spans="1:10" x14ac:dyDescent="0.25">
      <c r="A2508">
        <v>2491</v>
      </c>
      <c r="B2508" s="100">
        <v>89.147725938293931</v>
      </c>
      <c r="C2508" s="100">
        <v>98.402666502218906</v>
      </c>
      <c r="D2508" s="100">
        <v>94.205379649646275</v>
      </c>
      <c r="E2508" s="100">
        <v>91.742818030083839</v>
      </c>
      <c r="F2508" s="100">
        <v>1339.5210073395574</v>
      </c>
      <c r="G2508" s="100">
        <v>-289.16549338518394</v>
      </c>
      <c r="H2508" s="100">
        <v>-2778.599088319339</v>
      </c>
      <c r="I2508" s="100">
        <v>1637.8216246173879</v>
      </c>
      <c r="J2508" s="100">
        <v>-90.421949747577628</v>
      </c>
    </row>
    <row r="2509" spans="1:10" x14ac:dyDescent="0.25">
      <c r="A2509">
        <v>2492</v>
      </c>
      <c r="B2509" s="100">
        <v>88.419598507566533</v>
      </c>
      <c r="C2509" s="100">
        <v>97.746403863811864</v>
      </c>
      <c r="D2509" s="100">
        <v>90.675852650247094</v>
      </c>
      <c r="E2509" s="100">
        <v>93.170651503472783</v>
      </c>
      <c r="F2509" s="100">
        <v>3742.3415287399694</v>
      </c>
      <c r="G2509" s="100">
        <v>695.22846422538009</v>
      </c>
      <c r="H2509" s="100">
        <v>4280.4549104790221</v>
      </c>
      <c r="I2509" s="100">
        <v>209.98815122844405</v>
      </c>
      <c r="J2509" s="100">
        <v>8928.013054672816</v>
      </c>
    </row>
    <row r="2510" spans="1:10" x14ac:dyDescent="0.25">
      <c r="A2510">
        <v>2493</v>
      </c>
      <c r="B2510" s="100">
        <v>89.755931421624851</v>
      </c>
      <c r="C2510" s="100">
        <v>98.468460249675175</v>
      </c>
      <c r="D2510" s="100">
        <v>94.740899219360273</v>
      </c>
      <c r="E2510" s="100">
        <v>92.813959544461312</v>
      </c>
      <c r="F2510" s="100">
        <v>-667.55708765247869</v>
      </c>
      <c r="G2510" s="100">
        <v>-387.85611456958691</v>
      </c>
      <c r="H2510" s="100">
        <v>-3849.6382277473344</v>
      </c>
      <c r="I2510" s="100">
        <v>566.68011023991482</v>
      </c>
      <c r="J2510" s="100">
        <v>-4338.3713197294855</v>
      </c>
    </row>
    <row r="2511" spans="1:10" x14ac:dyDescent="0.25">
      <c r="A2511">
        <v>2494</v>
      </c>
      <c r="B2511" s="100">
        <v>90.863677320341949</v>
      </c>
      <c r="C2511" s="100">
        <v>97.460577343564864</v>
      </c>
      <c r="D2511" s="100">
        <v>93.208730289496927</v>
      </c>
      <c r="E2511" s="100">
        <v>92.490578201194467</v>
      </c>
      <c r="F2511" s="100">
        <v>-4323.1185534189035</v>
      </c>
      <c r="G2511" s="100">
        <v>1123.9682445958792</v>
      </c>
      <c r="H2511" s="100">
        <v>-785.30036802064274</v>
      </c>
      <c r="I2511" s="100">
        <v>890.06145350676036</v>
      </c>
      <c r="J2511" s="100">
        <v>-3094.3892233369065</v>
      </c>
    </row>
    <row r="2512" spans="1:10" x14ac:dyDescent="0.25">
      <c r="A2512">
        <v>2495</v>
      </c>
      <c r="B2512" s="100">
        <v>90.437837289133299</v>
      </c>
      <c r="C2512" s="100">
        <v>97.182708181148897</v>
      </c>
      <c r="D2512" s="100">
        <v>90.861064926089981</v>
      </c>
      <c r="E2512" s="100">
        <v>96.211914081102904</v>
      </c>
      <c r="F2512" s="100">
        <v>-2917.8464504303561</v>
      </c>
      <c r="G2512" s="100">
        <v>1540.7719882198307</v>
      </c>
      <c r="H2512" s="100">
        <v>3910.0303587932503</v>
      </c>
      <c r="I2512" s="100">
        <v>-2831.2744264016774</v>
      </c>
      <c r="J2512" s="100">
        <v>-298.31852981895236</v>
      </c>
    </row>
    <row r="2513" spans="1:10" x14ac:dyDescent="0.25">
      <c r="A2513">
        <v>2496</v>
      </c>
      <c r="B2513" s="100">
        <v>89.766242682514644</v>
      </c>
      <c r="C2513" s="100">
        <v>98.058358950669799</v>
      </c>
      <c r="D2513" s="100">
        <v>91.289866392168733</v>
      </c>
      <c r="E2513" s="100">
        <v>94.882156455264138</v>
      </c>
      <c r="F2513" s="100">
        <v>-701.58424858879584</v>
      </c>
      <c r="G2513" s="100">
        <v>227.29583393847719</v>
      </c>
      <c r="H2513" s="100">
        <v>3052.4274266357452</v>
      </c>
      <c r="I2513" s="100">
        <v>-1501.5168005629107</v>
      </c>
      <c r="J2513" s="100">
        <v>1076.6222114225156</v>
      </c>
    </row>
    <row r="2514" spans="1:10" x14ac:dyDescent="0.25">
      <c r="A2514">
        <v>2497</v>
      </c>
      <c r="B2514" s="100">
        <v>89.697586591317076</v>
      </c>
      <c r="C2514" s="100">
        <v>98.567864313218422</v>
      </c>
      <c r="D2514" s="100">
        <v>93.616934555814169</v>
      </c>
      <c r="E2514" s="100">
        <v>93.034059192760338</v>
      </c>
      <c r="F2514" s="100">
        <v>-475.01914763682294</v>
      </c>
      <c r="G2514" s="100">
        <v>-536.96220988445725</v>
      </c>
      <c r="H2514" s="100">
        <v>-1601.7089006551259</v>
      </c>
      <c r="I2514" s="100">
        <v>346.58046194088854</v>
      </c>
      <c r="J2514" s="100">
        <v>-2267.1097962355175</v>
      </c>
    </row>
    <row r="2515" spans="1:10" x14ac:dyDescent="0.25">
      <c r="A2515">
        <v>2498</v>
      </c>
      <c r="B2515" s="100">
        <v>89.725670787140487</v>
      </c>
      <c r="C2515" s="100">
        <v>97.772511487191537</v>
      </c>
      <c r="D2515" s="100">
        <v>92.870652922934681</v>
      </c>
      <c r="E2515" s="100">
        <v>92.492695432880637</v>
      </c>
      <c r="F2515" s="100">
        <v>-567.69699385407785</v>
      </c>
      <c r="G2515" s="100">
        <v>656.06702915587084</v>
      </c>
      <c r="H2515" s="100">
        <v>-109.14563489615148</v>
      </c>
      <c r="I2515" s="100">
        <v>887.94422182058952</v>
      </c>
      <c r="J2515" s="100">
        <v>867.16862222623104</v>
      </c>
    </row>
    <row r="2516" spans="1:10" x14ac:dyDescent="0.25">
      <c r="A2516">
        <v>2499</v>
      </c>
      <c r="B2516" s="100">
        <v>89.68701302777157</v>
      </c>
      <c r="C2516" s="100">
        <v>96.55999525538104</v>
      </c>
      <c r="D2516" s="100">
        <v>91.247233122153872</v>
      </c>
      <c r="E2516" s="100">
        <v>92.743234864611779</v>
      </c>
      <c r="F2516" s="100">
        <v>-440.12638793665246</v>
      </c>
      <c r="G2516" s="100">
        <v>2474.8413768716164</v>
      </c>
      <c r="H2516" s="100">
        <v>3137.6939666654662</v>
      </c>
      <c r="I2516" s="100">
        <v>637.40479008944817</v>
      </c>
      <c r="J2516" s="100">
        <v>5809.8137456898785</v>
      </c>
    </row>
    <row r="2517" spans="1:10" x14ac:dyDescent="0.25">
      <c r="A2517">
        <v>2500</v>
      </c>
      <c r="B2517" s="100">
        <v>88.444822893205441</v>
      </c>
      <c r="C2517" s="100">
        <v>97.429048329827552</v>
      </c>
      <c r="D2517" s="100">
        <v>93.116019485510364</v>
      </c>
      <c r="E2517" s="100">
        <v>93.723882111851566</v>
      </c>
      <c r="F2517" s="100">
        <v>3659.1010561315757</v>
      </c>
      <c r="G2517" s="100">
        <v>1171.261765201848</v>
      </c>
      <c r="H2517" s="100">
        <v>-599.87876004751683</v>
      </c>
      <c r="I2517" s="100">
        <v>-343.24245715033896</v>
      </c>
      <c r="J2517" s="100">
        <v>3887.2416041355673</v>
      </c>
    </row>
    <row r="2518" spans="1:10" x14ac:dyDescent="0.25">
      <c r="A2518">
        <v>2501</v>
      </c>
      <c r="B2518" s="100">
        <v>89.43265426466202</v>
      </c>
      <c r="C2518" s="100">
        <v>99.621641729553076</v>
      </c>
      <c r="D2518" s="100">
        <v>93.539381301633938</v>
      </c>
      <c r="E2518" s="100">
        <v>92.921993996573363</v>
      </c>
      <c r="F2518" s="100">
        <v>399.25753032486426</v>
      </c>
      <c r="G2518" s="100">
        <v>-2117.6283343864384</v>
      </c>
      <c r="H2518" s="100">
        <v>-1446.6023922946647</v>
      </c>
      <c r="I2518" s="100">
        <v>458.64565812786395</v>
      </c>
      <c r="J2518" s="100">
        <v>-2706.327538228375</v>
      </c>
    </row>
    <row r="2519" spans="1:10" x14ac:dyDescent="0.25">
      <c r="A2519">
        <v>2502</v>
      </c>
      <c r="B2519" s="100">
        <v>89.846365443947604</v>
      </c>
      <c r="C2519" s="100">
        <v>98.473763420688741</v>
      </c>
      <c r="D2519" s="100">
        <v>93.890233674100699</v>
      </c>
      <c r="E2519" s="100">
        <v>96.711650058142638</v>
      </c>
      <c r="F2519" s="100">
        <v>-965.98936131756545</v>
      </c>
      <c r="G2519" s="100">
        <v>-395.81087108993529</v>
      </c>
      <c r="H2519" s="100">
        <v>-2148.307137228187</v>
      </c>
      <c r="I2519" s="100">
        <v>-3331.0104034414107</v>
      </c>
      <c r="J2519" s="100">
        <v>-6841.1177730770987</v>
      </c>
    </row>
    <row r="2520" spans="1:10" x14ac:dyDescent="0.25">
      <c r="A2520">
        <v>2503</v>
      </c>
      <c r="B2520" s="100">
        <v>88.986383782195858</v>
      </c>
      <c r="C2520" s="100">
        <v>97.577858240342067</v>
      </c>
      <c r="D2520" s="100">
        <v>94.228005830496826</v>
      </c>
      <c r="E2520" s="100">
        <v>93.182941026306011</v>
      </c>
      <c r="F2520" s="100">
        <v>1871.950122463197</v>
      </c>
      <c r="G2520" s="100">
        <v>948.04689943007497</v>
      </c>
      <c r="H2520" s="100">
        <v>-2823.8514500204419</v>
      </c>
      <c r="I2520" s="100">
        <v>197.69862839521579</v>
      </c>
      <c r="J2520" s="100">
        <v>193.84420026804605</v>
      </c>
    </row>
    <row r="2521" spans="1:10" x14ac:dyDescent="0.25">
      <c r="A2521">
        <v>2504</v>
      </c>
      <c r="B2521" s="100">
        <v>88.454325127819715</v>
      </c>
      <c r="C2521" s="100">
        <v>97.175913647416266</v>
      </c>
      <c r="D2521" s="100">
        <v>94.005037025246722</v>
      </c>
      <c r="E2521" s="100">
        <v>95.959448375418148</v>
      </c>
      <c r="F2521" s="100">
        <v>3627.743681904471</v>
      </c>
      <c r="G2521" s="100">
        <v>1550.9637888187767</v>
      </c>
      <c r="H2521" s="100">
        <v>-2377.9138395202326</v>
      </c>
      <c r="I2521" s="100">
        <v>-2578.808720716921</v>
      </c>
      <c r="J2521" s="100">
        <v>221.98491048609412</v>
      </c>
    </row>
    <row r="2522" spans="1:10" x14ac:dyDescent="0.25">
      <c r="A2522">
        <v>2505</v>
      </c>
      <c r="B2522" s="100">
        <v>89.488395373156138</v>
      </c>
      <c r="C2522" s="100">
        <v>98.28786796054753</v>
      </c>
      <c r="D2522" s="100">
        <v>92.982062475003701</v>
      </c>
      <c r="E2522" s="100">
        <v>88.683811034852994</v>
      </c>
      <c r="F2522" s="100">
        <v>215.31187229427502</v>
      </c>
      <c r="G2522" s="100">
        <v>-116.96768087811904</v>
      </c>
      <c r="H2522" s="100">
        <v>-331.96473903419133</v>
      </c>
      <c r="I2522" s="100">
        <v>4696.8286198482328</v>
      </c>
      <c r="J2522" s="100">
        <v>4463.2080722301971</v>
      </c>
    </row>
    <row r="2523" spans="1:10" x14ac:dyDescent="0.25">
      <c r="A2523">
        <v>2506</v>
      </c>
      <c r="B2523" s="100">
        <v>89.58446298649902</v>
      </c>
      <c r="C2523" s="100">
        <v>99.294267919170039</v>
      </c>
      <c r="D2523" s="100">
        <v>93.330254555222709</v>
      </c>
      <c r="E2523" s="100">
        <v>93.185849153942442</v>
      </c>
      <c r="F2523" s="100">
        <v>-101.71125173723539</v>
      </c>
      <c r="G2523" s="100">
        <v>-1626.5676188118832</v>
      </c>
      <c r="H2523" s="100">
        <v>-1028.3488994722063</v>
      </c>
      <c r="I2523" s="100">
        <v>194.7905007587849</v>
      </c>
      <c r="J2523" s="100">
        <v>-2561.8372692625398</v>
      </c>
    </row>
    <row r="2524" spans="1:10" x14ac:dyDescent="0.25">
      <c r="A2524">
        <v>2507</v>
      </c>
      <c r="B2524" s="100">
        <v>88.537707598828206</v>
      </c>
      <c r="C2524" s="100">
        <v>98.5334163368166</v>
      </c>
      <c r="D2524" s="100">
        <v>93.176921749675401</v>
      </c>
      <c r="E2524" s="100">
        <v>93.496963720264731</v>
      </c>
      <c r="F2524" s="100">
        <v>3352.5815275764498</v>
      </c>
      <c r="G2524" s="100">
        <v>-485.29024528172471</v>
      </c>
      <c r="H2524" s="100">
        <v>-721.68328837759077</v>
      </c>
      <c r="I2524" s="100">
        <v>-116.32406556350361</v>
      </c>
      <c r="J2524" s="100">
        <v>2029.2839283536305</v>
      </c>
    </row>
    <row r="2525" spans="1:10" x14ac:dyDescent="0.25">
      <c r="A2525">
        <v>2508</v>
      </c>
      <c r="B2525" s="100">
        <v>89.103981916001487</v>
      </c>
      <c r="C2525" s="100">
        <v>97.381630057224385</v>
      </c>
      <c r="D2525" s="100">
        <v>91.754767731653416</v>
      </c>
      <c r="E2525" s="100">
        <v>93.75524734860808</v>
      </c>
      <c r="F2525" s="100">
        <v>1483.8762809046216</v>
      </c>
      <c r="G2525" s="100">
        <v>1242.3891741065986</v>
      </c>
      <c r="H2525" s="100">
        <v>2122.6247476663784</v>
      </c>
      <c r="I2525" s="100">
        <v>-374.607693906853</v>
      </c>
      <c r="J2525" s="100">
        <v>4474.2825087707461</v>
      </c>
    </row>
    <row r="2526" spans="1:10" x14ac:dyDescent="0.25">
      <c r="A2526">
        <v>2509</v>
      </c>
      <c r="B2526" s="100">
        <v>88.999170236706064</v>
      </c>
      <c r="C2526" s="100">
        <v>98.284999394625714</v>
      </c>
      <c r="D2526" s="100">
        <v>93.092246568255618</v>
      </c>
      <c r="E2526" s="100">
        <v>91.95417429144409</v>
      </c>
      <c r="F2526" s="100">
        <v>1829.7548225795183</v>
      </c>
      <c r="G2526" s="100">
        <v>-112.66483199539579</v>
      </c>
      <c r="H2526" s="100">
        <v>-552.33292553802471</v>
      </c>
      <c r="I2526" s="100">
        <v>1426.4653632571367</v>
      </c>
      <c r="J2526" s="100">
        <v>2591.2224283032347</v>
      </c>
    </row>
    <row r="2527" spans="1:10" x14ac:dyDescent="0.25">
      <c r="A2527">
        <v>2510</v>
      </c>
      <c r="B2527" s="100">
        <v>89.72227696717421</v>
      </c>
      <c r="C2527" s="100">
        <v>98.473868956342557</v>
      </c>
      <c r="D2527" s="100">
        <v>93.640332824733264</v>
      </c>
      <c r="E2527" s="100">
        <v>95.246972195439554</v>
      </c>
      <c r="F2527" s="100">
        <v>-556.49738796536349</v>
      </c>
      <c r="G2527" s="100">
        <v>-395.96917457065928</v>
      </c>
      <c r="H2527" s="100">
        <v>-1648.5054384933164</v>
      </c>
      <c r="I2527" s="100">
        <v>-1866.3325407383268</v>
      </c>
      <c r="J2527" s="100">
        <v>-4467.3045417676658</v>
      </c>
    </row>
    <row r="2528" spans="1:10" x14ac:dyDescent="0.25">
      <c r="A2528">
        <v>2511</v>
      </c>
      <c r="B2528" s="100">
        <v>88.943438755827302</v>
      </c>
      <c r="C2528" s="100">
        <v>98.849162982580566</v>
      </c>
      <c r="D2528" s="100">
        <v>92.049944915061715</v>
      </c>
      <c r="E2528" s="100">
        <v>90.560996150905282</v>
      </c>
      <c r="F2528" s="100">
        <v>2013.668709479434</v>
      </c>
      <c r="G2528" s="100">
        <v>-958.91021392767334</v>
      </c>
      <c r="H2528" s="100">
        <v>1532.2703808497806</v>
      </c>
      <c r="I2528" s="100">
        <v>2819.6435037959445</v>
      </c>
      <c r="J2528" s="100">
        <v>5406.6723801974858</v>
      </c>
    </row>
    <row r="2529" spans="1:10" x14ac:dyDescent="0.25">
      <c r="A2529">
        <v>2512</v>
      </c>
      <c r="B2529" s="100">
        <v>89.343977812564049</v>
      </c>
      <c r="C2529" s="100">
        <v>98.685078844402497</v>
      </c>
      <c r="D2529" s="100">
        <v>91.359873090270028</v>
      </c>
      <c r="E2529" s="100">
        <v>94.047084607601136</v>
      </c>
      <c r="F2529" s="100">
        <v>691.88982224816868</v>
      </c>
      <c r="G2529" s="100">
        <v>-712.78400666056996</v>
      </c>
      <c r="H2529" s="100">
        <v>2912.4140304331549</v>
      </c>
      <c r="I2529" s="100">
        <v>-666.44495289990857</v>
      </c>
      <c r="J2529" s="100">
        <v>2225.0748931208454</v>
      </c>
    </row>
    <row r="2530" spans="1:10" x14ac:dyDescent="0.25">
      <c r="A2530">
        <v>2513</v>
      </c>
      <c r="B2530" s="100">
        <v>89.991456033633071</v>
      </c>
      <c r="C2530" s="100">
        <v>97.253184096732852</v>
      </c>
      <c r="D2530" s="100">
        <v>94.568042068676164</v>
      </c>
      <c r="E2530" s="100">
        <v>92.927475072560156</v>
      </c>
      <c r="F2530" s="100">
        <v>-1444.7883072796046</v>
      </c>
      <c r="G2530" s="100">
        <v>1435.0581148438978</v>
      </c>
      <c r="H2530" s="100">
        <v>-3503.923926379116</v>
      </c>
      <c r="I2530" s="100">
        <v>453.16458214107058</v>
      </c>
      <c r="J2530" s="100">
        <v>-3060.4895366737524</v>
      </c>
    </row>
    <row r="2531" spans="1:10" x14ac:dyDescent="0.25">
      <c r="A2531">
        <v>2514</v>
      </c>
      <c r="B2531" s="100">
        <v>89.412724828675749</v>
      </c>
      <c r="C2531" s="100">
        <v>100.27645395724329</v>
      </c>
      <c r="D2531" s="100">
        <v>91.780063856538234</v>
      </c>
      <c r="E2531" s="100">
        <v>93.352410475407666</v>
      </c>
      <c r="F2531" s="100">
        <v>465.02466907955693</v>
      </c>
      <c r="G2531" s="100">
        <v>-3099.8466759217608</v>
      </c>
      <c r="H2531" s="100">
        <v>2072.0324978967428</v>
      </c>
      <c r="I2531" s="100">
        <v>28.229179293560946</v>
      </c>
      <c r="J2531" s="100">
        <v>-534.56032965190002</v>
      </c>
    </row>
    <row r="2532" spans="1:10" x14ac:dyDescent="0.25">
      <c r="A2532">
        <v>2515</v>
      </c>
      <c r="B2532" s="100">
        <v>88.910405520429407</v>
      </c>
      <c r="C2532" s="100">
        <v>97.905844983661694</v>
      </c>
      <c r="D2532" s="100">
        <v>93.20305981806024</v>
      </c>
      <c r="E2532" s="100">
        <v>93.932145309338011</v>
      </c>
      <c r="F2532" s="100">
        <v>2122.6783862924863</v>
      </c>
      <c r="G2532" s="100">
        <v>456.06678445063409</v>
      </c>
      <c r="H2532" s="100">
        <v>-773.95942514726812</v>
      </c>
      <c r="I2532" s="100">
        <v>-551.50565463678447</v>
      </c>
      <c r="J2532" s="100">
        <v>1253.2800909590678</v>
      </c>
    </row>
    <row r="2533" spans="1:10" x14ac:dyDescent="0.25">
      <c r="A2533">
        <v>2516</v>
      </c>
      <c r="B2533" s="100">
        <v>89.34502669247405</v>
      </c>
      <c r="C2533" s="100">
        <v>97.071420771166601</v>
      </c>
      <c r="D2533" s="100">
        <v>94.727017067725626</v>
      </c>
      <c r="E2533" s="100">
        <v>93.121716826849877</v>
      </c>
      <c r="F2533" s="100">
        <v>688.42851854516312</v>
      </c>
      <c r="G2533" s="100">
        <v>1707.7031031932747</v>
      </c>
      <c r="H2533" s="100">
        <v>-3821.8739244780409</v>
      </c>
      <c r="I2533" s="100">
        <v>258.92282785135023</v>
      </c>
      <c r="J2533" s="100">
        <v>-1166.8194748882529</v>
      </c>
    </row>
    <row r="2534" spans="1:10" x14ac:dyDescent="0.25">
      <c r="A2534">
        <v>2517</v>
      </c>
      <c r="B2534" s="100">
        <v>89.811799668760941</v>
      </c>
      <c r="C2534" s="100">
        <v>98.398636358739353</v>
      </c>
      <c r="D2534" s="100">
        <v>91.170632497422673</v>
      </c>
      <c r="E2534" s="100">
        <v>92.313450434738598</v>
      </c>
      <c r="F2534" s="100">
        <v>-851.92230320157455</v>
      </c>
      <c r="G2534" s="100">
        <v>-283.12027816585328</v>
      </c>
      <c r="H2534" s="100">
        <v>3290.8952161278648</v>
      </c>
      <c r="I2534" s="100">
        <v>1067.1892199626286</v>
      </c>
      <c r="J2534" s="100">
        <v>3223.0418547230656</v>
      </c>
    </row>
    <row r="2535" spans="1:10" x14ac:dyDescent="0.25">
      <c r="A2535">
        <v>2518</v>
      </c>
      <c r="B2535" s="100">
        <v>88.732242219354674</v>
      </c>
      <c r="C2535" s="100">
        <v>97.563922078030828</v>
      </c>
      <c r="D2535" s="100">
        <v>93.141516097619288</v>
      </c>
      <c r="E2535" s="100">
        <v>93.081763818249527</v>
      </c>
      <c r="F2535" s="100">
        <v>2710.6172798391044</v>
      </c>
      <c r="G2535" s="100">
        <v>968.95114289693402</v>
      </c>
      <c r="H2535" s="100">
        <v>-650.87198426536474</v>
      </c>
      <c r="I2535" s="100">
        <v>298.87583645169968</v>
      </c>
      <c r="J2535" s="100">
        <v>3327.5722749223733</v>
      </c>
    </row>
    <row r="2536" spans="1:10" x14ac:dyDescent="0.25">
      <c r="A2536">
        <v>2519</v>
      </c>
      <c r="B2536" s="100">
        <v>90.186947622441281</v>
      </c>
      <c r="C2536" s="100">
        <v>98.849856646002166</v>
      </c>
      <c r="D2536" s="100">
        <v>93.18846334789572</v>
      </c>
      <c r="E2536" s="100">
        <v>91.753171876341142</v>
      </c>
      <c r="F2536" s="100">
        <v>-2089.9105503466972</v>
      </c>
      <c r="G2536" s="100">
        <v>-959.9507090600739</v>
      </c>
      <c r="H2536" s="100">
        <v>-744.76648481822849</v>
      </c>
      <c r="I2536" s="100">
        <v>1627.467778360085</v>
      </c>
      <c r="J2536" s="100">
        <v>-2167.1599658649143</v>
      </c>
    </row>
    <row r="2537" spans="1:10" x14ac:dyDescent="0.25">
      <c r="A2537">
        <v>2520</v>
      </c>
      <c r="B2537" s="100">
        <v>89.761458910018149</v>
      </c>
      <c r="C2537" s="100">
        <v>99.337997671789907</v>
      </c>
      <c r="D2537" s="100">
        <v>92.993332461451843</v>
      </c>
      <c r="E2537" s="100">
        <v>94.323059463763755</v>
      </c>
      <c r="F2537" s="100">
        <v>-685.79779935036242</v>
      </c>
      <c r="G2537" s="100">
        <v>-1692.1622477416847</v>
      </c>
      <c r="H2537" s="100">
        <v>-354.50471193047406</v>
      </c>
      <c r="I2537" s="100">
        <v>-942.4198090625282</v>
      </c>
      <c r="J2537" s="100">
        <v>-3674.8845680850495</v>
      </c>
    </row>
    <row r="2538" spans="1:10" x14ac:dyDescent="0.25">
      <c r="A2538">
        <v>2521</v>
      </c>
      <c r="B2538" s="100">
        <v>90.285437741343912</v>
      </c>
      <c r="C2538" s="100">
        <v>100.10063013965242</v>
      </c>
      <c r="D2538" s="100">
        <v>93.032562997699628</v>
      </c>
      <c r="E2538" s="100">
        <v>93.267985125503955</v>
      </c>
      <c r="F2538" s="100">
        <v>-2414.9279427253814</v>
      </c>
      <c r="G2538" s="100">
        <v>-2836.1109495354599</v>
      </c>
      <c r="H2538" s="100">
        <v>-432.96578442604527</v>
      </c>
      <c r="I2538" s="100">
        <v>112.65452919727181</v>
      </c>
      <c r="J2538" s="100">
        <v>-5571.3501474896157</v>
      </c>
    </row>
    <row r="2539" spans="1:10" x14ac:dyDescent="0.25">
      <c r="A2539">
        <v>2522</v>
      </c>
      <c r="B2539" s="100">
        <v>89.797618652957951</v>
      </c>
      <c r="C2539" s="100">
        <v>99.014111062679888</v>
      </c>
      <c r="D2539" s="100">
        <v>93.553113333200642</v>
      </c>
      <c r="E2539" s="100">
        <v>93.648484278482499</v>
      </c>
      <c r="F2539" s="100">
        <v>-805.12495105170819</v>
      </c>
      <c r="G2539" s="100">
        <v>-1206.3323340766558</v>
      </c>
      <c r="H2539" s="100">
        <v>-1474.0664554280727</v>
      </c>
      <c r="I2539" s="100">
        <v>-267.84462378127216</v>
      </c>
      <c r="J2539" s="100">
        <v>-3753.368364337709</v>
      </c>
    </row>
    <row r="2540" spans="1:10" x14ac:dyDescent="0.25">
      <c r="A2540">
        <v>2523</v>
      </c>
      <c r="B2540" s="100">
        <v>90.007549798502865</v>
      </c>
      <c r="C2540" s="100">
        <v>99.374207214872612</v>
      </c>
      <c r="D2540" s="100">
        <v>93.977556153225436</v>
      </c>
      <c r="E2540" s="100">
        <v>94.626370959531187</v>
      </c>
      <c r="F2540" s="100">
        <v>-1497.8977313499242</v>
      </c>
      <c r="G2540" s="100">
        <v>-1746.4765623657427</v>
      </c>
      <c r="H2540" s="100">
        <v>-2322.9520954776604</v>
      </c>
      <c r="I2540" s="100">
        <v>-1245.7313048299598</v>
      </c>
      <c r="J2540" s="100">
        <v>-6813.0576940232877</v>
      </c>
    </row>
    <row r="2541" spans="1:10" x14ac:dyDescent="0.25">
      <c r="A2541">
        <v>2524</v>
      </c>
      <c r="B2541" s="100">
        <v>90.065611344788167</v>
      </c>
      <c r="C2541" s="100">
        <v>97.091387593103605</v>
      </c>
      <c r="D2541" s="100">
        <v>93.019885570518042</v>
      </c>
      <c r="E2541" s="100">
        <v>94.979221198962847</v>
      </c>
      <c r="F2541" s="100">
        <v>-1689.5008340914203</v>
      </c>
      <c r="G2541" s="100">
        <v>1677.7528702877689</v>
      </c>
      <c r="H2541" s="100">
        <v>-407.61093006287297</v>
      </c>
      <c r="I2541" s="100">
        <v>-1598.5815442616199</v>
      </c>
      <c r="J2541" s="100">
        <v>-2017.9404381281443</v>
      </c>
    </row>
    <row r="2542" spans="1:10" x14ac:dyDescent="0.25">
      <c r="A2542">
        <v>2525</v>
      </c>
      <c r="B2542" s="100">
        <v>90.328785140754519</v>
      </c>
      <c r="C2542" s="100">
        <v>97.206501583137239</v>
      </c>
      <c r="D2542" s="100">
        <v>93.280175294672318</v>
      </c>
      <c r="E2542" s="100">
        <v>91.301667556578906</v>
      </c>
      <c r="F2542" s="100">
        <v>-2557.9743607803834</v>
      </c>
      <c r="G2542" s="100">
        <v>1505.0818852373168</v>
      </c>
      <c r="H2542" s="100">
        <v>-928.1903783714256</v>
      </c>
      <c r="I2542" s="100">
        <v>2078.9720981223213</v>
      </c>
      <c r="J2542" s="100">
        <v>97.889244207829051</v>
      </c>
    </row>
    <row r="2543" spans="1:10" x14ac:dyDescent="0.25">
      <c r="A2543">
        <v>2526</v>
      </c>
      <c r="B2543" s="100">
        <v>89.959336441386654</v>
      </c>
      <c r="C2543" s="100">
        <v>99.092255693090678</v>
      </c>
      <c r="D2543" s="100">
        <v>92.180454911500462</v>
      </c>
      <c r="E2543" s="100">
        <v>92.622970485915374</v>
      </c>
      <c r="F2543" s="100">
        <v>-1338.7936528664284</v>
      </c>
      <c r="G2543" s="100">
        <v>-1323.5492796928411</v>
      </c>
      <c r="H2543" s="100">
        <v>1271.2503879722874</v>
      </c>
      <c r="I2543" s="100">
        <v>757.66916878585278</v>
      </c>
      <c r="J2543" s="100">
        <v>-633.42337580112951</v>
      </c>
    </row>
    <row r="2544" spans="1:10" x14ac:dyDescent="0.25">
      <c r="A2544">
        <v>2527</v>
      </c>
      <c r="B2544" s="100">
        <v>89.52362441434471</v>
      </c>
      <c r="C2544" s="100">
        <v>99.330744442315478</v>
      </c>
      <c r="D2544" s="100">
        <v>92.662319356411416</v>
      </c>
      <c r="E2544" s="100">
        <v>91.719425648258209</v>
      </c>
      <c r="F2544" s="100">
        <v>99.056036371987943</v>
      </c>
      <c r="G2544" s="100">
        <v>-1681.2824035300409</v>
      </c>
      <c r="H2544" s="100">
        <v>307.5214981503791</v>
      </c>
      <c r="I2544" s="100">
        <v>1661.2140064430178</v>
      </c>
      <c r="J2544" s="100">
        <v>386.50913743534375</v>
      </c>
    </row>
    <row r="2545" spans="1:10" x14ac:dyDescent="0.25">
      <c r="A2545">
        <v>2528</v>
      </c>
      <c r="B2545" s="100">
        <v>88.779892799887293</v>
      </c>
      <c r="C2545" s="100">
        <v>97.261513725718189</v>
      </c>
      <c r="D2545" s="100">
        <v>93.299618115755209</v>
      </c>
      <c r="E2545" s="100">
        <v>92.737998690255111</v>
      </c>
      <c r="F2545" s="100">
        <v>2553.3703640814638</v>
      </c>
      <c r="G2545" s="100">
        <v>1422.5636713658928</v>
      </c>
      <c r="H2545" s="100">
        <v>-967.0760205372062</v>
      </c>
      <c r="I2545" s="100">
        <v>642.64096444611596</v>
      </c>
      <c r="J2545" s="100">
        <v>3651.4989793562663</v>
      </c>
    </row>
    <row r="2546" spans="1:10" x14ac:dyDescent="0.25">
      <c r="A2546">
        <v>2529</v>
      </c>
      <c r="B2546" s="100">
        <v>89.95387656885363</v>
      </c>
      <c r="C2546" s="100">
        <v>98.220681385721178</v>
      </c>
      <c r="D2546" s="100">
        <v>94.421856224394247</v>
      </c>
      <c r="E2546" s="100">
        <v>94.879891348910121</v>
      </c>
      <c r="F2546" s="100">
        <v>-1320.7760735074501</v>
      </c>
      <c r="G2546" s="100">
        <v>-16.187818638591978</v>
      </c>
      <c r="H2546" s="100">
        <v>-3211.5522378152832</v>
      </c>
      <c r="I2546" s="100">
        <v>-1499.2516942088942</v>
      </c>
      <c r="J2546" s="100">
        <v>-6047.7678241702197</v>
      </c>
    </row>
    <row r="2547" spans="1:10" x14ac:dyDescent="0.25">
      <c r="A2547">
        <v>2530</v>
      </c>
      <c r="B2547" s="100">
        <v>89.430512845807812</v>
      </c>
      <c r="C2547" s="100">
        <v>97.902142062337077</v>
      </c>
      <c r="D2547" s="100">
        <v>91.940395100938744</v>
      </c>
      <c r="E2547" s="100">
        <v>91.22574567378993</v>
      </c>
      <c r="F2547" s="100">
        <v>406.32421254375117</v>
      </c>
      <c r="G2547" s="100">
        <v>461.62116643755979</v>
      </c>
      <c r="H2547" s="100">
        <v>1751.3700090957229</v>
      </c>
      <c r="I2547" s="100">
        <v>2154.8939809112967</v>
      </c>
      <c r="J2547" s="100">
        <v>4774.2093689883313</v>
      </c>
    </row>
    <row r="2548" spans="1:10" x14ac:dyDescent="0.25">
      <c r="A2548">
        <v>2531</v>
      </c>
      <c r="B2548" s="100">
        <v>89.605183123861451</v>
      </c>
      <c r="C2548" s="100">
        <v>98.949719263226427</v>
      </c>
      <c r="D2548" s="100">
        <v>93.980039654211467</v>
      </c>
      <c r="E2548" s="100">
        <v>92.303599204093771</v>
      </c>
      <c r="F2548" s="100">
        <v>-170.08770503325934</v>
      </c>
      <c r="G2548" s="100">
        <v>-1109.7446348964652</v>
      </c>
      <c r="H2548" s="100">
        <v>-2327.9190974497224</v>
      </c>
      <c r="I2548" s="100">
        <v>1077.0404506074556</v>
      </c>
      <c r="J2548" s="100">
        <v>-2530.7109867719914</v>
      </c>
    </row>
    <row r="2549" spans="1:10" x14ac:dyDescent="0.25">
      <c r="A2549">
        <v>2532</v>
      </c>
      <c r="B2549" s="100">
        <v>89.672687360584675</v>
      </c>
      <c r="C2549" s="100">
        <v>97.60448845106346</v>
      </c>
      <c r="D2549" s="100">
        <v>92.897357552174256</v>
      </c>
      <c r="E2549" s="100">
        <v>96.096667120537816</v>
      </c>
      <c r="F2549" s="100">
        <v>-392.85168621989754</v>
      </c>
      <c r="G2549" s="100">
        <v>908.1015833479853</v>
      </c>
      <c r="H2549" s="100">
        <v>-162.55489337530094</v>
      </c>
      <c r="I2549" s="100">
        <v>-2716.0274658365893</v>
      </c>
      <c r="J2549" s="100">
        <v>-2363.3324620838025</v>
      </c>
    </row>
    <row r="2550" spans="1:10" x14ac:dyDescent="0.25">
      <c r="A2550">
        <v>2533</v>
      </c>
      <c r="B2550" s="100">
        <v>90.116620553183438</v>
      </c>
      <c r="C2550" s="100">
        <v>99.163138623487413</v>
      </c>
      <c r="D2550" s="100">
        <v>92.085376766761271</v>
      </c>
      <c r="E2550" s="100">
        <v>92.229232755944892</v>
      </c>
      <c r="F2550" s="100">
        <v>-1857.8312217958157</v>
      </c>
      <c r="G2550" s="100">
        <v>-1429.8736752879436</v>
      </c>
      <c r="H2550" s="100">
        <v>1461.4066774506682</v>
      </c>
      <c r="I2550" s="100">
        <v>1151.4068987563348</v>
      </c>
      <c r="J2550" s="100">
        <v>-674.89132087675648</v>
      </c>
    </row>
    <row r="2551" spans="1:10" x14ac:dyDescent="0.25">
      <c r="A2551">
        <v>2534</v>
      </c>
      <c r="B2551" s="100">
        <v>89.959974497328702</v>
      </c>
      <c r="C2551" s="100">
        <v>98.816158948109745</v>
      </c>
      <c r="D2551" s="100">
        <v>94.313544681626126</v>
      </c>
      <c r="E2551" s="100">
        <v>90.751895917470591</v>
      </c>
      <c r="F2551" s="100">
        <v>-1340.8992374751861</v>
      </c>
      <c r="G2551" s="100">
        <v>-909.40416222144199</v>
      </c>
      <c r="H2551" s="100">
        <v>-2994.9291522790418</v>
      </c>
      <c r="I2551" s="100">
        <v>2628.7437372306358</v>
      </c>
      <c r="J2551" s="100">
        <v>-2616.4888147450338</v>
      </c>
    </row>
    <row r="2552" spans="1:10" x14ac:dyDescent="0.25">
      <c r="A2552">
        <v>2535</v>
      </c>
      <c r="B2552" s="100">
        <v>90.385901374384474</v>
      </c>
      <c r="C2552" s="100">
        <v>97.162683495726782</v>
      </c>
      <c r="D2552" s="100">
        <v>93.47272308249228</v>
      </c>
      <c r="E2552" s="100">
        <v>92.806175408342725</v>
      </c>
      <c r="F2552" s="100">
        <v>-2746.4579317592352</v>
      </c>
      <c r="G2552" s="100">
        <v>1570.809016353003</v>
      </c>
      <c r="H2552" s="100">
        <v>-1313.2859540113486</v>
      </c>
      <c r="I2552" s="100">
        <v>574.46424635850235</v>
      </c>
      <c r="J2552" s="100">
        <v>-1914.4706230590782</v>
      </c>
    </row>
    <row r="2553" spans="1:10" x14ac:dyDescent="0.25">
      <c r="A2553">
        <v>2536</v>
      </c>
      <c r="B2553" s="100">
        <v>89.063239201435792</v>
      </c>
      <c r="C2553" s="100">
        <v>98.160542974016664</v>
      </c>
      <c r="D2553" s="100">
        <v>92.916740150446856</v>
      </c>
      <c r="E2553" s="100">
        <v>93.254561612310383</v>
      </c>
      <c r="F2553" s="100">
        <v>1618.3272389714161</v>
      </c>
      <c r="G2553" s="100">
        <v>74.019798918179447</v>
      </c>
      <c r="H2553" s="100">
        <v>-201.32008992050032</v>
      </c>
      <c r="I2553" s="100">
        <v>126.0780423908443</v>
      </c>
      <c r="J2553" s="100">
        <v>1617.1049903599396</v>
      </c>
    </row>
    <row r="2554" spans="1:10" x14ac:dyDescent="0.25">
      <c r="A2554">
        <v>2537</v>
      </c>
      <c r="B2554" s="100">
        <v>89.792456965708411</v>
      </c>
      <c r="C2554" s="100">
        <v>97.143474031768477</v>
      </c>
      <c r="D2554" s="100">
        <v>92.7898949667875</v>
      </c>
      <c r="E2554" s="100">
        <v>95.187086510418041</v>
      </c>
      <c r="F2554" s="100">
        <v>-788.09138312822574</v>
      </c>
      <c r="G2554" s="100">
        <v>1599.6232122904601</v>
      </c>
      <c r="H2554" s="100">
        <v>52.370277398210874</v>
      </c>
      <c r="I2554" s="100">
        <v>-1806.4468557168141</v>
      </c>
      <c r="J2554" s="100">
        <v>-942.54474915636888</v>
      </c>
    </row>
    <row r="2555" spans="1:10" x14ac:dyDescent="0.25">
      <c r="A2555">
        <v>2538</v>
      </c>
      <c r="B2555" s="100">
        <v>90.106108444574474</v>
      </c>
      <c r="C2555" s="100">
        <v>98.025359281128019</v>
      </c>
      <c r="D2555" s="100">
        <v>92.956489798565514</v>
      </c>
      <c r="E2555" s="100">
        <v>92.054977911820927</v>
      </c>
      <c r="F2555" s="100">
        <v>-1823.1412633862349</v>
      </c>
      <c r="G2555" s="100">
        <v>276.79533825114788</v>
      </c>
      <c r="H2555" s="100">
        <v>-280.8193861578161</v>
      </c>
      <c r="I2555" s="100">
        <v>1325.6617428802997</v>
      </c>
      <c r="J2555" s="100">
        <v>-501.50356841260327</v>
      </c>
    </row>
    <row r="2556" spans="1:10" x14ac:dyDescent="0.25">
      <c r="A2556">
        <v>2539</v>
      </c>
      <c r="B2556" s="100">
        <v>89.451363962758236</v>
      </c>
      <c r="C2556" s="100">
        <v>98.319426459593373</v>
      </c>
      <c r="D2556" s="100">
        <v>94.508150398755745</v>
      </c>
      <c r="E2556" s="100">
        <v>91.911827968703662</v>
      </c>
      <c r="F2556" s="100">
        <v>337.51552660734916</v>
      </c>
      <c r="G2556" s="100">
        <v>-164.30542944688398</v>
      </c>
      <c r="H2556" s="100">
        <v>-3384.1405865382794</v>
      </c>
      <c r="I2556" s="100">
        <v>1468.8116859975651</v>
      </c>
      <c r="J2556" s="100">
        <v>-1742.1188033802493</v>
      </c>
    </row>
    <row r="2557" spans="1:10" x14ac:dyDescent="0.25">
      <c r="A2557">
        <v>2540</v>
      </c>
      <c r="B2557" s="100">
        <v>89.537807996677145</v>
      </c>
      <c r="C2557" s="100">
        <v>97.430818982587212</v>
      </c>
      <c r="D2557" s="100">
        <v>91.490556766952622</v>
      </c>
      <c r="E2557" s="100">
        <v>95.171432373129875</v>
      </c>
      <c r="F2557" s="100">
        <v>52.250214674950257</v>
      </c>
      <c r="G2557" s="100">
        <v>1168.6057860623578</v>
      </c>
      <c r="H2557" s="100">
        <v>2651.0466770679668</v>
      </c>
      <c r="I2557" s="100">
        <v>-1790.7927184286477</v>
      </c>
      <c r="J2557" s="100">
        <v>2081.1099593766271</v>
      </c>
    </row>
    <row r="2558" spans="1:10" x14ac:dyDescent="0.25">
      <c r="A2558">
        <v>2541</v>
      </c>
      <c r="B2558" s="100">
        <v>89.548799999215007</v>
      </c>
      <c r="C2558" s="100">
        <v>98.858123035463663</v>
      </c>
      <c r="D2558" s="100">
        <v>91.182155236770512</v>
      </c>
      <c r="E2558" s="100">
        <v>93.195755990241878</v>
      </c>
      <c r="F2558" s="100">
        <v>15.976606300007745</v>
      </c>
      <c r="G2558" s="100">
        <v>-972.35029325231892</v>
      </c>
      <c r="H2558" s="100">
        <v>3267.8497374321864</v>
      </c>
      <c r="I2558" s="100">
        <v>184.88366445934901</v>
      </c>
      <c r="J2558" s="100">
        <v>2496.359714939224</v>
      </c>
    </row>
    <row r="2559" spans="1:10" x14ac:dyDescent="0.25">
      <c r="A2559">
        <v>2542</v>
      </c>
      <c r="B2559" s="100">
        <v>89.915968080532537</v>
      </c>
      <c r="C2559" s="100">
        <v>98.967261423489759</v>
      </c>
      <c r="D2559" s="100">
        <v>93.801178589681541</v>
      </c>
      <c r="E2559" s="100">
        <v>93.884803381851427</v>
      </c>
      <c r="F2559" s="100">
        <v>-1195.6780620478412</v>
      </c>
      <c r="G2559" s="100">
        <v>-1136.0578752914635</v>
      </c>
      <c r="H2559" s="100">
        <v>-1970.196968389871</v>
      </c>
      <c r="I2559" s="100">
        <v>-504.16372715019975</v>
      </c>
      <c r="J2559" s="100">
        <v>-4806.0966328793756</v>
      </c>
    </row>
    <row r="2560" spans="1:10" x14ac:dyDescent="0.25">
      <c r="A2560">
        <v>2543</v>
      </c>
      <c r="B2560" s="100">
        <v>90.280753931070507</v>
      </c>
      <c r="C2560" s="100">
        <v>98.495793560892466</v>
      </c>
      <c r="D2560" s="100">
        <v>93.406504822227319</v>
      </c>
      <c r="E2560" s="100">
        <v>91.831080301144169</v>
      </c>
      <c r="F2560" s="100">
        <v>-2399.4713688231427</v>
      </c>
      <c r="G2560" s="100">
        <v>-428.85608139552289</v>
      </c>
      <c r="H2560" s="100">
        <v>-1180.849433481427</v>
      </c>
      <c r="I2560" s="100">
        <v>1549.5593535570579</v>
      </c>
      <c r="J2560" s="100">
        <v>-2459.6175301430349</v>
      </c>
    </row>
    <row r="2561" spans="1:10" x14ac:dyDescent="0.25">
      <c r="A2561">
        <v>2544</v>
      </c>
      <c r="B2561" s="100">
        <v>89.786299115854845</v>
      </c>
      <c r="C2561" s="100">
        <v>98.104090297982182</v>
      </c>
      <c r="D2561" s="100">
        <v>93.752974935498443</v>
      </c>
      <c r="E2561" s="100">
        <v>90.004989974700138</v>
      </c>
      <c r="F2561" s="100">
        <v>-767.77047861146025</v>
      </c>
      <c r="G2561" s="100">
        <v>158.69881296990229</v>
      </c>
      <c r="H2561" s="100">
        <v>-1873.7896600236752</v>
      </c>
      <c r="I2561" s="100">
        <v>3375.6496800010891</v>
      </c>
      <c r="J2561" s="100">
        <v>892.78835433585573</v>
      </c>
    </row>
    <row r="2562" spans="1:10" x14ac:dyDescent="0.25">
      <c r="A2562">
        <v>2545</v>
      </c>
      <c r="B2562" s="100">
        <v>89.855381619028449</v>
      </c>
      <c r="C2562" s="100">
        <v>98.561448641523427</v>
      </c>
      <c r="D2562" s="100">
        <v>92.795424194502175</v>
      </c>
      <c r="E2562" s="100">
        <v>92.356435699731591</v>
      </c>
      <c r="F2562" s="100">
        <v>-995.74273908435339</v>
      </c>
      <c r="G2562" s="100">
        <v>-527.33870234196445</v>
      </c>
      <c r="H2562" s="100">
        <v>41.311821968861295</v>
      </c>
      <c r="I2562" s="100">
        <v>1024.2039549696358</v>
      </c>
      <c r="J2562" s="100">
        <v>-457.56566448782064</v>
      </c>
    </row>
    <row r="2563" spans="1:10" x14ac:dyDescent="0.25">
      <c r="A2563">
        <v>2546</v>
      </c>
      <c r="B2563" s="100">
        <v>89.829695112938637</v>
      </c>
      <c r="C2563" s="100">
        <v>96.971788608340233</v>
      </c>
      <c r="D2563" s="100">
        <v>93.355744652989017</v>
      </c>
      <c r="E2563" s="100">
        <v>92.950997988036619</v>
      </c>
      <c r="F2563" s="100">
        <v>-910.97726898797328</v>
      </c>
      <c r="G2563" s="100">
        <v>1857.1513474328256</v>
      </c>
      <c r="H2563" s="100">
        <v>-1079.3290950048231</v>
      </c>
      <c r="I2563" s="100">
        <v>429.64166666460812</v>
      </c>
      <c r="J2563" s="100">
        <v>296.48665010463731</v>
      </c>
    </row>
    <row r="2564" spans="1:10" x14ac:dyDescent="0.25">
      <c r="A2564">
        <v>2547</v>
      </c>
      <c r="B2564" s="100">
        <v>89.287277188940621</v>
      </c>
      <c r="C2564" s="100">
        <v>97.506243074136776</v>
      </c>
      <c r="D2564" s="100">
        <v>93.323910937051409</v>
      </c>
      <c r="E2564" s="100">
        <v>94.821131753774054</v>
      </c>
      <c r="F2564" s="100">
        <v>879.00188020548035</v>
      </c>
      <c r="G2564" s="100">
        <v>1055.4696487380113</v>
      </c>
      <c r="H2564" s="100">
        <v>-1015.661663129606</v>
      </c>
      <c r="I2564" s="100">
        <v>-1440.4920990728272</v>
      </c>
      <c r="J2564" s="100">
        <v>-521.68223325894155</v>
      </c>
    </row>
    <row r="2565" spans="1:10" x14ac:dyDescent="0.25">
      <c r="A2565">
        <v>2548</v>
      </c>
      <c r="B2565" s="100">
        <v>89.678796034047409</v>
      </c>
      <c r="C2565" s="100">
        <v>98.192777005487528</v>
      </c>
      <c r="D2565" s="100">
        <v>92.158163921787192</v>
      </c>
      <c r="E2565" s="100">
        <v>96.206943731711689</v>
      </c>
      <c r="F2565" s="100">
        <v>-413.0103086469191</v>
      </c>
      <c r="G2565" s="100">
        <v>25.668751711883431</v>
      </c>
      <c r="H2565" s="100">
        <v>1315.8323673988264</v>
      </c>
      <c r="I2565" s="100">
        <v>-2826.3040770104626</v>
      </c>
      <c r="J2565" s="100">
        <v>-1897.8132665466719</v>
      </c>
    </row>
    <row r="2566" spans="1:10" x14ac:dyDescent="0.25">
      <c r="A2566">
        <v>2549</v>
      </c>
      <c r="B2566" s="100">
        <v>90.808397646215113</v>
      </c>
      <c r="C2566" s="100">
        <v>97.503041287946402</v>
      </c>
      <c r="D2566" s="100">
        <v>92.803587145020288</v>
      </c>
      <c r="E2566" s="100">
        <v>92.120391350041515</v>
      </c>
      <c r="F2566" s="100">
        <v>-4140.695628800343</v>
      </c>
      <c r="G2566" s="100">
        <v>1060.2723280235723</v>
      </c>
      <c r="H2566" s="100">
        <v>24.985920932635963</v>
      </c>
      <c r="I2566" s="100">
        <v>1260.2483046597115</v>
      </c>
      <c r="J2566" s="100">
        <v>-1795.1890751844232</v>
      </c>
    </row>
    <row r="2567" spans="1:10" x14ac:dyDescent="0.25">
      <c r="A2567">
        <v>2550</v>
      </c>
      <c r="B2567" s="100">
        <v>89.590102966041755</v>
      </c>
      <c r="C2567" s="100">
        <v>99.779313184226254</v>
      </c>
      <c r="D2567" s="100">
        <v>91.463025521869525</v>
      </c>
      <c r="E2567" s="100">
        <v>94.925960978922177</v>
      </c>
      <c r="F2567" s="100">
        <v>-120.32318422826194</v>
      </c>
      <c r="G2567" s="100">
        <v>-2354.1355163962053</v>
      </c>
      <c r="H2567" s="100">
        <v>2706.1091672341604</v>
      </c>
      <c r="I2567" s="100">
        <v>-1545.3213242209499</v>
      </c>
      <c r="J2567" s="100">
        <v>-1313.6708576112569</v>
      </c>
    </row>
    <row r="2568" spans="1:10" x14ac:dyDescent="0.25">
      <c r="A2568">
        <v>2551</v>
      </c>
      <c r="B2568" s="100">
        <v>89.44311479616421</v>
      </c>
      <c r="C2568" s="100">
        <v>97.674532009550518</v>
      </c>
      <c r="D2568" s="100">
        <v>92.629143746810684</v>
      </c>
      <c r="E2568" s="100">
        <v>91.820008066055607</v>
      </c>
      <c r="F2568" s="100">
        <v>364.73777636763742</v>
      </c>
      <c r="G2568" s="100">
        <v>803.03624561739889</v>
      </c>
      <c r="H2568" s="100">
        <v>373.87271735184413</v>
      </c>
      <c r="I2568" s="100">
        <v>1560.63158864562</v>
      </c>
      <c r="J2568" s="100">
        <v>3102.2783279825007</v>
      </c>
    </row>
    <row r="2569" spans="1:10" x14ac:dyDescent="0.25">
      <c r="A2569">
        <v>2552</v>
      </c>
      <c r="B2569" s="100">
        <v>89.751047046144663</v>
      </c>
      <c r="C2569" s="100">
        <v>98.756101490630556</v>
      </c>
      <c r="D2569" s="100">
        <v>93.502473384922084</v>
      </c>
      <c r="E2569" s="100">
        <v>92.824747674247362</v>
      </c>
      <c r="F2569" s="100">
        <v>-651.43864856785854</v>
      </c>
      <c r="G2569" s="100">
        <v>-819.31797600265804</v>
      </c>
      <c r="H2569" s="100">
        <v>-1372.7865588709562</v>
      </c>
      <c r="I2569" s="100">
        <v>555.89198045386468</v>
      </c>
      <c r="J2569" s="100">
        <v>-2287.6512029876085</v>
      </c>
    </row>
    <row r="2570" spans="1:10" x14ac:dyDescent="0.25">
      <c r="A2570">
        <v>2553</v>
      </c>
      <c r="B2570" s="100">
        <v>88.851501087139582</v>
      </c>
      <c r="C2570" s="100">
        <v>98.665260088671886</v>
      </c>
      <c r="D2570" s="100">
        <v>92.922944736729036</v>
      </c>
      <c r="E2570" s="100">
        <v>93.52044946731462</v>
      </c>
      <c r="F2570" s="100">
        <v>2317.0630161489098</v>
      </c>
      <c r="G2570" s="100">
        <v>-683.05587306465304</v>
      </c>
      <c r="H2570" s="100">
        <v>-213.72926248486124</v>
      </c>
      <c r="I2570" s="100">
        <v>-139.80981261339309</v>
      </c>
      <c r="J2570" s="100">
        <v>1280.4680679860026</v>
      </c>
    </row>
    <row r="2571" spans="1:10" x14ac:dyDescent="0.25">
      <c r="A2571">
        <v>2554</v>
      </c>
      <c r="B2571" s="100">
        <v>89.83546546991542</v>
      </c>
      <c r="C2571" s="100">
        <v>97.492113066363444</v>
      </c>
      <c r="D2571" s="100">
        <v>93.874122049642381</v>
      </c>
      <c r="E2571" s="100">
        <v>91.104911722922793</v>
      </c>
      <c r="F2571" s="100">
        <v>-930.01944701135528</v>
      </c>
      <c r="G2571" s="100">
        <v>1076.6646603980093</v>
      </c>
      <c r="H2571" s="100">
        <v>-2116.0838883115503</v>
      </c>
      <c r="I2571" s="100">
        <v>2275.7279317784337</v>
      </c>
      <c r="J2571" s="100">
        <v>306.28925685353761</v>
      </c>
    </row>
    <row r="2572" spans="1:10" x14ac:dyDescent="0.25">
      <c r="A2572">
        <v>2555</v>
      </c>
      <c r="B2572" s="100">
        <v>89.585495331207866</v>
      </c>
      <c r="C2572" s="100">
        <v>97.028897580309476</v>
      </c>
      <c r="D2572" s="100">
        <v>93.454709337327117</v>
      </c>
      <c r="E2572" s="100">
        <v>95.510783438815025</v>
      </c>
      <c r="F2572" s="100">
        <v>-105.11798927642957</v>
      </c>
      <c r="G2572" s="100">
        <v>1771.4878894789622</v>
      </c>
      <c r="H2572" s="100">
        <v>-1277.2584636810222</v>
      </c>
      <c r="I2572" s="100">
        <v>-2130.1437841137981</v>
      </c>
      <c r="J2572" s="100">
        <v>-1741.0323475922878</v>
      </c>
    </row>
    <row r="2573" spans="1:10" x14ac:dyDescent="0.25">
      <c r="A2573">
        <v>2556</v>
      </c>
      <c r="B2573" s="100">
        <v>89.58592593584774</v>
      </c>
      <c r="C2573" s="100">
        <v>98.184891662896646</v>
      </c>
      <c r="D2573" s="100">
        <v>92.940369556105509</v>
      </c>
      <c r="E2573" s="100">
        <v>94.825015883624772</v>
      </c>
      <c r="F2573" s="100">
        <v>-106.53898458801336</v>
      </c>
      <c r="G2573" s="100">
        <v>37.496765598206139</v>
      </c>
      <c r="H2573" s="100">
        <v>-248.57890123780635</v>
      </c>
      <c r="I2573" s="100">
        <v>-1444.3762289235451</v>
      </c>
      <c r="J2573" s="100">
        <v>-1761.9973491511587</v>
      </c>
    </row>
    <row r="2574" spans="1:10" x14ac:dyDescent="0.25">
      <c r="A2574">
        <v>2557</v>
      </c>
      <c r="B2574" s="100">
        <v>88.470640262413383</v>
      </c>
      <c r="C2574" s="100">
        <v>97.207315999544349</v>
      </c>
      <c r="D2574" s="100">
        <v>90.749360891659208</v>
      </c>
      <c r="E2574" s="100">
        <v>95.324421856122328</v>
      </c>
      <c r="F2574" s="100">
        <v>3573.9037377453656</v>
      </c>
      <c r="G2574" s="100">
        <v>1503.8602606266522</v>
      </c>
      <c r="H2574" s="100">
        <v>4133.4384276547953</v>
      </c>
      <c r="I2574" s="100">
        <v>-1943.7822014211008</v>
      </c>
      <c r="J2574" s="100">
        <v>7267.420224605713</v>
      </c>
    </row>
    <row r="2575" spans="1:10" x14ac:dyDescent="0.25">
      <c r="A2575">
        <v>2558</v>
      </c>
      <c r="B2575" s="100">
        <v>90.397822353091101</v>
      </c>
      <c r="C2575" s="100">
        <v>98.207379873379224</v>
      </c>
      <c r="D2575" s="100">
        <v>92.368683817954974</v>
      </c>
      <c r="E2575" s="100">
        <v>91.515328122394294</v>
      </c>
      <c r="F2575" s="100">
        <v>-2785.7971614911039</v>
      </c>
      <c r="G2575" s="100">
        <v>3.7644498743389931</v>
      </c>
      <c r="H2575" s="100">
        <v>894.79257506326348</v>
      </c>
      <c r="I2575" s="100">
        <v>1865.3115323069328</v>
      </c>
      <c r="J2575" s="100">
        <v>-21.928604246568739</v>
      </c>
    </row>
    <row r="2576" spans="1:10" x14ac:dyDescent="0.25">
      <c r="A2576">
        <v>2559</v>
      </c>
      <c r="B2576" s="100">
        <v>89.995351201809825</v>
      </c>
      <c r="C2576" s="100">
        <v>97.515735287233937</v>
      </c>
      <c r="D2576" s="100">
        <v>93.159125498129299</v>
      </c>
      <c r="E2576" s="100">
        <v>92.835433864616675</v>
      </c>
      <c r="F2576" s="100">
        <v>-1457.6423622628936</v>
      </c>
      <c r="G2576" s="100">
        <v>1041.2313290922698</v>
      </c>
      <c r="H2576" s="100">
        <v>-686.09078528538703</v>
      </c>
      <c r="I2576" s="100">
        <v>545.20579008455172</v>
      </c>
      <c r="J2576" s="100">
        <v>-557.2960283714591</v>
      </c>
    </row>
    <row r="2577" spans="1:10" x14ac:dyDescent="0.25">
      <c r="A2577">
        <v>2560</v>
      </c>
      <c r="B2577" s="100">
        <v>90.262206062470838</v>
      </c>
      <c r="C2577" s="100">
        <v>97.678112196366968</v>
      </c>
      <c r="D2577" s="100">
        <v>94.236479742894872</v>
      </c>
      <c r="E2577" s="100">
        <v>93.76343107608254</v>
      </c>
      <c r="F2577" s="100">
        <v>-2338.2634024442368</v>
      </c>
      <c r="G2577" s="100">
        <v>797.66596539272427</v>
      </c>
      <c r="H2577" s="100">
        <v>-2840.7992748165325</v>
      </c>
      <c r="I2577" s="100">
        <v>-382.79142138131306</v>
      </c>
      <c r="J2577" s="100">
        <v>-4764.1881332493576</v>
      </c>
    </row>
    <row r="2578" spans="1:10" x14ac:dyDescent="0.25">
      <c r="A2578">
        <v>2561</v>
      </c>
      <c r="B2578" s="100">
        <v>89.328340080150724</v>
      </c>
      <c r="C2578" s="100">
        <v>98.061301608952149</v>
      </c>
      <c r="D2578" s="100">
        <v>91.550416527743891</v>
      </c>
      <c r="E2578" s="100">
        <v>93.363819252862442</v>
      </c>
      <c r="F2578" s="100">
        <v>743.49433921213972</v>
      </c>
      <c r="G2578" s="100">
        <v>222.88184651495158</v>
      </c>
      <c r="H2578" s="100">
        <v>2531.3271554854282</v>
      </c>
      <c r="I2578" s="100">
        <v>16.820401838785415</v>
      </c>
      <c r="J2578" s="100">
        <v>3514.5237430513048</v>
      </c>
    </row>
    <row r="2579" spans="1:10" x14ac:dyDescent="0.25">
      <c r="A2579">
        <v>2562</v>
      </c>
      <c r="B2579" s="100">
        <v>89.127647712935797</v>
      </c>
      <c r="C2579" s="100">
        <v>99.571324393608435</v>
      </c>
      <c r="D2579" s="100">
        <v>93.968204815146876</v>
      </c>
      <c r="E2579" s="100">
        <v>92.45763280623251</v>
      </c>
      <c r="F2579" s="100">
        <v>1405.7791510213988</v>
      </c>
      <c r="G2579" s="100">
        <v>-2042.1523304694774</v>
      </c>
      <c r="H2579" s="100">
        <v>-2304.2494193205412</v>
      </c>
      <c r="I2579" s="100">
        <v>923.00684846871661</v>
      </c>
      <c r="J2579" s="100">
        <v>-2017.6157502999031</v>
      </c>
    </row>
    <row r="2580" spans="1:10" x14ac:dyDescent="0.25">
      <c r="A2580">
        <v>2563</v>
      </c>
      <c r="B2580" s="100">
        <v>89.377102583787874</v>
      </c>
      <c r="C2580" s="100">
        <v>98.815578841613231</v>
      </c>
      <c r="D2580" s="100">
        <v>94.337874019375121</v>
      </c>
      <c r="E2580" s="100">
        <v>91.756323903105795</v>
      </c>
      <c r="F2580" s="100">
        <v>582.57807720954565</v>
      </c>
      <c r="G2580" s="100">
        <v>-908.53400247667082</v>
      </c>
      <c r="H2580" s="100">
        <v>-3043.5878277770316</v>
      </c>
      <c r="I2580" s="100">
        <v>1624.3157515954322</v>
      </c>
      <c r="J2580" s="100">
        <v>-1745.2280014487246</v>
      </c>
    </row>
    <row r="2581" spans="1:10" x14ac:dyDescent="0.25">
      <c r="A2581">
        <v>2564</v>
      </c>
      <c r="B2581" s="100">
        <v>90.253171088365448</v>
      </c>
      <c r="C2581" s="100">
        <v>99.176628629487013</v>
      </c>
      <c r="D2581" s="100">
        <v>92.871799131564046</v>
      </c>
      <c r="E2581" s="100">
        <v>94.415048755973444</v>
      </c>
      <c r="F2581" s="100">
        <v>-2308.4479878964503</v>
      </c>
      <c r="G2581" s="100">
        <v>-1450.1086842873433</v>
      </c>
      <c r="H2581" s="100">
        <v>-111.43805215488101</v>
      </c>
      <c r="I2581" s="100">
        <v>-1034.4091012722174</v>
      </c>
      <c r="J2581" s="100">
        <v>-4904.4038256108925</v>
      </c>
    </row>
    <row r="2582" spans="1:10" x14ac:dyDescent="0.25">
      <c r="A2582">
        <v>2565</v>
      </c>
      <c r="B2582" s="100">
        <v>88.640897582585964</v>
      </c>
      <c r="C2582" s="100">
        <v>99.837311984228009</v>
      </c>
      <c r="D2582" s="100">
        <v>95.801257170078216</v>
      </c>
      <c r="E2582" s="100">
        <v>92.742601408637626</v>
      </c>
      <c r="F2582" s="100">
        <v>3012.0545811758475</v>
      </c>
      <c r="G2582" s="100">
        <v>-2441.1337163988378</v>
      </c>
      <c r="H2582" s="100">
        <v>-5970.3541291832207</v>
      </c>
      <c r="I2582" s="100">
        <v>638.03824606360138</v>
      </c>
      <c r="J2582" s="100">
        <v>-4761.3950183426095</v>
      </c>
    </row>
    <row r="2583" spans="1:10" x14ac:dyDescent="0.25">
      <c r="A2583">
        <v>2566</v>
      </c>
      <c r="B2583" s="100">
        <v>89.273999219854588</v>
      </c>
      <c r="C2583" s="100">
        <v>100.04618416635228</v>
      </c>
      <c r="D2583" s="100">
        <v>93.577630932790427</v>
      </c>
      <c r="E2583" s="100">
        <v>93.481625222674779</v>
      </c>
      <c r="F2583" s="100">
        <v>922.81917818938973</v>
      </c>
      <c r="G2583" s="100">
        <v>-2754.4419895852384</v>
      </c>
      <c r="H2583" s="100">
        <v>-1523.1016546076432</v>
      </c>
      <c r="I2583" s="100">
        <v>-100.98556797355229</v>
      </c>
      <c r="J2583" s="100">
        <v>-3455.7100339770445</v>
      </c>
    </row>
    <row r="2584" spans="1:10" x14ac:dyDescent="0.25">
      <c r="A2584">
        <v>2567</v>
      </c>
      <c r="B2584" s="100">
        <v>89.158160521206469</v>
      </c>
      <c r="C2584" s="100">
        <v>98.075465092221151</v>
      </c>
      <c r="D2584" s="100">
        <v>89.676045628151655</v>
      </c>
      <c r="E2584" s="100">
        <v>92.772324276505984</v>
      </c>
      <c r="F2584" s="100">
        <v>1305.0868837281826</v>
      </c>
      <c r="G2584" s="100">
        <v>201.63662161144913</v>
      </c>
      <c r="H2584" s="100">
        <v>6280.0689546699004</v>
      </c>
      <c r="I2584" s="100">
        <v>608.31537819524328</v>
      </c>
      <c r="J2584" s="100">
        <v>8395.1078382047745</v>
      </c>
    </row>
    <row r="2585" spans="1:10" x14ac:dyDescent="0.25">
      <c r="A2585">
        <v>2568</v>
      </c>
      <c r="B2585" s="100">
        <v>89.157656367269638</v>
      </c>
      <c r="C2585" s="100">
        <v>97.815204517171381</v>
      </c>
      <c r="D2585" s="100">
        <v>94.346826754277359</v>
      </c>
      <c r="E2585" s="100">
        <v>92.258041545656781</v>
      </c>
      <c r="F2585" s="100">
        <v>1306.7505917197238</v>
      </c>
      <c r="G2585" s="100">
        <v>592.0274841861044</v>
      </c>
      <c r="H2585" s="100">
        <v>-3061.4932975815063</v>
      </c>
      <c r="I2585" s="100">
        <v>1122.5981090444463</v>
      </c>
      <c r="J2585" s="100">
        <v>-40.117112631231748</v>
      </c>
    </row>
    <row r="2586" spans="1:10" x14ac:dyDescent="0.25">
      <c r="A2586">
        <v>2569</v>
      </c>
      <c r="B2586" s="100">
        <v>89.409123411743636</v>
      </c>
      <c r="C2586" s="100">
        <v>97.443484979059946</v>
      </c>
      <c r="D2586" s="100">
        <v>92.948966419506675</v>
      </c>
      <c r="E2586" s="100">
        <v>91.655989538024514</v>
      </c>
      <c r="F2586" s="100">
        <v>476.90934495553137</v>
      </c>
      <c r="G2586" s="100">
        <v>1149.606791353257</v>
      </c>
      <c r="H2586" s="100">
        <v>-265.77262804013913</v>
      </c>
      <c r="I2586" s="100">
        <v>1724.6501166767132</v>
      </c>
      <c r="J2586" s="100">
        <v>3085.3936249453627</v>
      </c>
    </row>
    <row r="2587" spans="1:10" x14ac:dyDescent="0.25">
      <c r="A2587">
        <v>2570</v>
      </c>
      <c r="B2587" s="100">
        <v>89.316718707472248</v>
      </c>
      <c r="C2587" s="100">
        <v>98.246453701222123</v>
      </c>
      <c r="D2587" s="100">
        <v>93.274135155076365</v>
      </c>
      <c r="E2587" s="100">
        <v>91.954809714626492</v>
      </c>
      <c r="F2587" s="100">
        <v>781.8448690511118</v>
      </c>
      <c r="G2587" s="100">
        <v>-54.846291890008558</v>
      </c>
      <c r="H2587" s="100">
        <v>-916.11009917951947</v>
      </c>
      <c r="I2587" s="100">
        <v>1425.8299400747346</v>
      </c>
      <c r="J2587" s="100">
        <v>1236.7184180563183</v>
      </c>
    </row>
    <row r="2588" spans="1:10" x14ac:dyDescent="0.25">
      <c r="A2588">
        <v>2571</v>
      </c>
      <c r="B2588" s="100">
        <v>89.367829141220525</v>
      </c>
      <c r="C2588" s="100">
        <v>98.119800451638966</v>
      </c>
      <c r="D2588" s="100">
        <v>92.120508984496567</v>
      </c>
      <c r="E2588" s="100">
        <v>95.961293154675573</v>
      </c>
      <c r="F2588" s="100">
        <v>613.18043768179541</v>
      </c>
      <c r="G2588" s="100">
        <v>135.13358248472684</v>
      </c>
      <c r="H2588" s="100">
        <v>1391.1422419800772</v>
      </c>
      <c r="I2588" s="100">
        <v>-2580.6534999743462</v>
      </c>
      <c r="J2588" s="100">
        <v>-441.1972378277469</v>
      </c>
    </row>
    <row r="2589" spans="1:10" x14ac:dyDescent="0.25">
      <c r="A2589">
        <v>2572</v>
      </c>
      <c r="B2589" s="100">
        <v>89.485336012573796</v>
      </c>
      <c r="C2589" s="100">
        <v>98.381189980153309</v>
      </c>
      <c r="D2589" s="100">
        <v>94.260675968582191</v>
      </c>
      <c r="E2589" s="100">
        <v>90.169999954270835</v>
      </c>
      <c r="F2589" s="100">
        <v>225.40776221600112</v>
      </c>
      <c r="G2589" s="100">
        <v>-256.9507102867874</v>
      </c>
      <c r="H2589" s="100">
        <v>-2889.1917261911713</v>
      </c>
      <c r="I2589" s="100">
        <v>3210.6397004303917</v>
      </c>
      <c r="J2589" s="100">
        <v>289.90502616843423</v>
      </c>
    </row>
    <row r="2590" spans="1:10" x14ac:dyDescent="0.25">
      <c r="A2590">
        <v>2573</v>
      </c>
      <c r="B2590" s="100">
        <v>90.154311183080665</v>
      </c>
      <c r="C2590" s="100">
        <v>98.208703445900952</v>
      </c>
      <c r="D2590" s="100">
        <v>93.048810101262987</v>
      </c>
      <c r="E2590" s="100">
        <v>93.865284935666608</v>
      </c>
      <c r="F2590" s="100">
        <v>-1982.2103004566657</v>
      </c>
      <c r="G2590" s="100">
        <v>1.7790910917483416</v>
      </c>
      <c r="H2590" s="100">
        <v>-465.45999155276263</v>
      </c>
      <c r="I2590" s="100">
        <v>-484.64528096538118</v>
      </c>
      <c r="J2590" s="100">
        <v>-2930.5364818830612</v>
      </c>
    </row>
    <row r="2591" spans="1:10" x14ac:dyDescent="0.25">
      <c r="A2591">
        <v>2574</v>
      </c>
      <c r="B2591" s="100">
        <v>90.519176939236488</v>
      </c>
      <c r="C2591" s="100">
        <v>97.31410655457249</v>
      </c>
      <c r="D2591" s="100">
        <v>93.053985617771374</v>
      </c>
      <c r="E2591" s="100">
        <v>92.337655369737718</v>
      </c>
      <c r="F2591" s="100">
        <v>-3186.2672957708796</v>
      </c>
      <c r="G2591" s="100">
        <v>1343.6744280844409</v>
      </c>
      <c r="H2591" s="100">
        <v>-475.81102456953772</v>
      </c>
      <c r="I2591" s="100">
        <v>1042.9842849635093</v>
      </c>
      <c r="J2591" s="100">
        <v>-1275.4196072924674</v>
      </c>
    </row>
    <row r="2592" spans="1:10" x14ac:dyDescent="0.25">
      <c r="A2592">
        <v>2575</v>
      </c>
      <c r="B2592" s="100">
        <v>90.559611477730286</v>
      </c>
      <c r="C2592" s="100">
        <v>97.238980906213996</v>
      </c>
      <c r="D2592" s="100">
        <v>92.105140295666629</v>
      </c>
      <c r="E2592" s="100">
        <v>91.467523523742827</v>
      </c>
      <c r="F2592" s="100">
        <v>-3319.7012728004138</v>
      </c>
      <c r="G2592" s="100">
        <v>1456.3629006221818</v>
      </c>
      <c r="H2592" s="100">
        <v>1421.8796196399524</v>
      </c>
      <c r="I2592" s="100">
        <v>1913.1161309584002</v>
      </c>
      <c r="J2592" s="100">
        <v>1471.6573784201205</v>
      </c>
    </row>
    <row r="2593" spans="1:10" x14ac:dyDescent="0.25">
      <c r="A2593">
        <v>2576</v>
      </c>
      <c r="B2593" s="100">
        <v>89.6987930718672</v>
      </c>
      <c r="C2593" s="100">
        <v>98.789041231724823</v>
      </c>
      <c r="D2593" s="100">
        <v>91.959322116307689</v>
      </c>
      <c r="E2593" s="100">
        <v>93.041555310389754</v>
      </c>
      <c r="F2593" s="100">
        <v>-479.00053345223199</v>
      </c>
      <c r="G2593" s="100">
        <v>-868.72758764405944</v>
      </c>
      <c r="H2593" s="100">
        <v>1713.5159783578331</v>
      </c>
      <c r="I2593" s="100">
        <v>339.08434431147327</v>
      </c>
      <c r="J2593" s="100">
        <v>704.87220157301488</v>
      </c>
    </row>
    <row r="2594" spans="1:10" x14ac:dyDescent="0.25">
      <c r="A2594">
        <v>2577</v>
      </c>
      <c r="B2594" s="100">
        <v>89.991986384907804</v>
      </c>
      <c r="C2594" s="100">
        <v>97.955255238417422</v>
      </c>
      <c r="D2594" s="100">
        <v>93.38291036468479</v>
      </c>
      <c r="E2594" s="100">
        <v>93.376700759610898</v>
      </c>
      <c r="F2594" s="100">
        <v>-1446.5384664862243</v>
      </c>
      <c r="G2594" s="100">
        <v>381.95140231704272</v>
      </c>
      <c r="H2594" s="100">
        <v>-1133.6605183963684</v>
      </c>
      <c r="I2594" s="100">
        <v>3.9388950903287423</v>
      </c>
      <c r="J2594" s="100">
        <v>-2194.3086874752216</v>
      </c>
    </row>
    <row r="2595" spans="1:10" x14ac:dyDescent="0.25">
      <c r="A2595">
        <v>2578</v>
      </c>
      <c r="B2595" s="100">
        <v>89.820192041110332</v>
      </c>
      <c r="C2595" s="100">
        <v>100.1688079730578</v>
      </c>
      <c r="D2595" s="100">
        <v>92.913253355167015</v>
      </c>
      <c r="E2595" s="100">
        <v>93.149209249213399</v>
      </c>
      <c r="F2595" s="100">
        <v>-879.61713195456491</v>
      </c>
      <c r="G2595" s="100">
        <v>-2938.3776996435172</v>
      </c>
      <c r="H2595" s="100">
        <v>-194.34649936081883</v>
      </c>
      <c r="I2595" s="100">
        <v>231.43040548782778</v>
      </c>
      <c r="J2595" s="100">
        <v>-3780.9109254710729</v>
      </c>
    </row>
    <row r="2596" spans="1:10" x14ac:dyDescent="0.25">
      <c r="A2596">
        <v>2579</v>
      </c>
      <c r="B2596" s="100">
        <v>90.586748623837479</v>
      </c>
      <c r="C2596" s="100">
        <v>98.202955205856753</v>
      </c>
      <c r="D2596" s="100">
        <v>94.606679627049303</v>
      </c>
      <c r="E2596" s="100">
        <v>95.234519841720427</v>
      </c>
      <c r="F2596" s="100">
        <v>-3409.2538549541532</v>
      </c>
      <c r="G2596" s="100">
        <v>10.401451158045916</v>
      </c>
      <c r="H2596" s="100">
        <v>-3581.1990431253944</v>
      </c>
      <c r="I2596" s="100">
        <v>-1853.8801870192003</v>
      </c>
      <c r="J2596" s="100">
        <v>-8833.9316339407014</v>
      </c>
    </row>
    <row r="2597" spans="1:10" x14ac:dyDescent="0.25">
      <c r="A2597">
        <v>2580</v>
      </c>
      <c r="B2597" s="100">
        <v>89.651251404799069</v>
      </c>
      <c r="C2597" s="100">
        <v>96.862773669080767</v>
      </c>
      <c r="D2597" s="100">
        <v>92.391272985005259</v>
      </c>
      <c r="E2597" s="100">
        <v>95.619034255348552</v>
      </c>
      <c r="F2597" s="100">
        <v>-322.11303212739892</v>
      </c>
      <c r="G2597" s="100">
        <v>2020.6737563220258</v>
      </c>
      <c r="H2597" s="100">
        <v>849.61424096269411</v>
      </c>
      <c r="I2597" s="100">
        <v>-2238.3946006473252</v>
      </c>
      <c r="J2597" s="100">
        <v>309.78036450999571</v>
      </c>
    </row>
    <row r="2598" spans="1:10" x14ac:dyDescent="0.25">
      <c r="A2598">
        <v>2581</v>
      </c>
      <c r="B2598" s="100">
        <v>91.142536481002125</v>
      </c>
      <c r="C2598" s="100">
        <v>97.07207671413218</v>
      </c>
      <c r="D2598" s="100">
        <v>92.61230559720137</v>
      </c>
      <c r="E2598" s="100">
        <v>94.449887457766977</v>
      </c>
      <c r="F2598" s="100">
        <v>-5243.353783597483</v>
      </c>
      <c r="G2598" s="100">
        <v>1706.7191887449055</v>
      </c>
      <c r="H2598" s="100">
        <v>407.54901657047071</v>
      </c>
      <c r="I2598" s="100">
        <v>-1069.2478030657498</v>
      </c>
      <c r="J2598" s="100">
        <v>-4198.3333813478566</v>
      </c>
    </row>
    <row r="2599" spans="1:10" x14ac:dyDescent="0.25">
      <c r="A2599">
        <v>2582</v>
      </c>
      <c r="B2599" s="100">
        <v>89.703454882969908</v>
      </c>
      <c r="C2599" s="100">
        <v>98.509459707776628</v>
      </c>
      <c r="D2599" s="100">
        <v>91.497490016540823</v>
      </c>
      <c r="E2599" s="100">
        <v>95.998029402958352</v>
      </c>
      <c r="F2599" s="100">
        <v>-494.38451009116591</v>
      </c>
      <c r="G2599" s="100">
        <v>-449.35530172176641</v>
      </c>
      <c r="H2599" s="100">
        <v>2637.1801778915651</v>
      </c>
      <c r="I2599" s="100">
        <v>-2617.3897482571247</v>
      </c>
      <c r="J2599" s="100">
        <v>-923.94938217849176</v>
      </c>
    </row>
    <row r="2600" spans="1:10" x14ac:dyDescent="0.25">
      <c r="A2600">
        <v>2583</v>
      </c>
      <c r="B2600" s="100">
        <v>89.018193322436403</v>
      </c>
      <c r="C2600" s="100">
        <v>97.77445906354852</v>
      </c>
      <c r="D2600" s="100">
        <v>92.777356541703156</v>
      </c>
      <c r="E2600" s="100">
        <v>93.001661877595069</v>
      </c>
      <c r="F2600" s="100">
        <v>1766.9786396693994</v>
      </c>
      <c r="G2600" s="100">
        <v>653.14566462039636</v>
      </c>
      <c r="H2600" s="100">
        <v>77.447127566898644</v>
      </c>
      <c r="I2600" s="100">
        <v>378.97777710615799</v>
      </c>
      <c r="J2600" s="100">
        <v>2876.5492089628524</v>
      </c>
    </row>
    <row r="2601" spans="1:10" x14ac:dyDescent="0.25">
      <c r="A2601">
        <v>2584</v>
      </c>
      <c r="B2601" s="100">
        <v>90.261124372177761</v>
      </c>
      <c r="C2601" s="100">
        <v>97.118833551495385</v>
      </c>
      <c r="D2601" s="100">
        <v>93.441155479008927</v>
      </c>
      <c r="E2601" s="100">
        <v>94.078662196484672</v>
      </c>
      <c r="F2601" s="100">
        <v>-2334.6938244770827</v>
      </c>
      <c r="G2601" s="100">
        <v>1636.5839327000983</v>
      </c>
      <c r="H2601" s="100">
        <v>-1250.1507470446427</v>
      </c>
      <c r="I2601" s="100">
        <v>-698.02254178344469</v>
      </c>
      <c r="J2601" s="100">
        <v>-2646.2831806050717</v>
      </c>
    </row>
    <row r="2602" spans="1:10" x14ac:dyDescent="0.25">
      <c r="A2602">
        <v>2585</v>
      </c>
      <c r="B2602" s="100">
        <v>90.228006696304632</v>
      </c>
      <c r="C2602" s="100">
        <v>98.933533967169637</v>
      </c>
      <c r="D2602" s="100">
        <v>91.441492242478446</v>
      </c>
      <c r="E2602" s="100">
        <v>90.329989826140263</v>
      </c>
      <c r="F2602" s="100">
        <v>-2225.4054940957571</v>
      </c>
      <c r="G2602" s="100">
        <v>-1085.4666908112804</v>
      </c>
      <c r="H2602" s="100">
        <v>2749.1757260163185</v>
      </c>
      <c r="I2602" s="100">
        <v>3050.6498285609637</v>
      </c>
      <c r="J2602" s="100">
        <v>2488.9533696702447</v>
      </c>
    </row>
    <row r="2603" spans="1:10" x14ac:dyDescent="0.25">
      <c r="A2603">
        <v>2586</v>
      </c>
      <c r="B2603" s="100">
        <v>89.337077486477639</v>
      </c>
      <c r="C2603" s="100">
        <v>99.978739177273496</v>
      </c>
      <c r="D2603" s="100">
        <v>92.606643831922568</v>
      </c>
      <c r="E2603" s="100">
        <v>95.019128757179089</v>
      </c>
      <c r="F2603" s="100">
        <v>714.66089833331944</v>
      </c>
      <c r="G2603" s="100">
        <v>-2653.2745059670688</v>
      </c>
      <c r="H2603" s="100">
        <v>418.87254712807476</v>
      </c>
      <c r="I2603" s="100">
        <v>-1638.4891024778626</v>
      </c>
      <c r="J2603" s="100">
        <v>-3158.2301629835374</v>
      </c>
    </row>
    <row r="2604" spans="1:10" x14ac:dyDescent="0.25">
      <c r="A2604">
        <v>2587</v>
      </c>
      <c r="B2604" s="100">
        <v>89.366325114949575</v>
      </c>
      <c r="C2604" s="100">
        <v>97.845584271469491</v>
      </c>
      <c r="D2604" s="100">
        <v>93.643478450543171</v>
      </c>
      <c r="E2604" s="100">
        <v>92.331230396271366</v>
      </c>
      <c r="F2604" s="100">
        <v>618.14372437593192</v>
      </c>
      <c r="G2604" s="100">
        <v>546.45785273893921</v>
      </c>
      <c r="H2604" s="100">
        <v>-1654.7966901131304</v>
      </c>
      <c r="I2604" s="100">
        <v>1049.4092584298614</v>
      </c>
      <c r="J2604" s="100">
        <v>559.21414543160222</v>
      </c>
    </row>
    <row r="2605" spans="1:10" x14ac:dyDescent="0.25">
      <c r="A2605">
        <v>2588</v>
      </c>
      <c r="B2605" s="100">
        <v>88.958164360718499</v>
      </c>
      <c r="C2605" s="100">
        <v>96.646087647405778</v>
      </c>
      <c r="D2605" s="100">
        <v>92.070014958738412</v>
      </c>
      <c r="E2605" s="100">
        <v>94.104455815528993</v>
      </c>
      <c r="F2605" s="100">
        <v>1965.0742133384838</v>
      </c>
      <c r="G2605" s="100">
        <v>2345.7027888345083</v>
      </c>
      <c r="H2605" s="100">
        <v>1492.1302934963876</v>
      </c>
      <c r="I2605" s="100">
        <v>-723.81616082776645</v>
      </c>
      <c r="J2605" s="100">
        <v>5079.0911348416139</v>
      </c>
    </row>
    <row r="2606" spans="1:10" x14ac:dyDescent="0.25">
      <c r="A2606">
        <v>2589</v>
      </c>
      <c r="B2606" s="100">
        <v>88.806132004135335</v>
      </c>
      <c r="C2606" s="100">
        <v>96.804221897780039</v>
      </c>
      <c r="D2606" s="100">
        <v>91.701217043860737</v>
      </c>
      <c r="E2606" s="100">
        <v>95.566608467644102</v>
      </c>
      <c r="F2606" s="100">
        <v>2466.7809900629222</v>
      </c>
      <c r="G2606" s="100">
        <v>2108.5014132731176</v>
      </c>
      <c r="H2606" s="100">
        <v>2229.7261232517371</v>
      </c>
      <c r="I2606" s="100">
        <v>-2185.9688129428746</v>
      </c>
      <c r="J2606" s="100">
        <v>4619.0397136449028</v>
      </c>
    </row>
    <row r="2607" spans="1:10" x14ac:dyDescent="0.25">
      <c r="A2607">
        <v>2590</v>
      </c>
      <c r="B2607" s="100">
        <v>89.734419999222411</v>
      </c>
      <c r="C2607" s="100">
        <v>98.818330390234834</v>
      </c>
      <c r="D2607" s="100">
        <v>94.269632008413907</v>
      </c>
      <c r="E2607" s="100">
        <v>92.038842194176283</v>
      </c>
      <c r="F2607" s="100">
        <v>-596.56939372442537</v>
      </c>
      <c r="G2607" s="100">
        <v>-912.66132540907563</v>
      </c>
      <c r="H2607" s="100">
        <v>-2907.1038058546037</v>
      </c>
      <c r="I2607" s="100">
        <v>1341.7974605249442</v>
      </c>
      <c r="J2607" s="100">
        <v>-3074.5370644631607</v>
      </c>
    </row>
    <row r="2608" spans="1:10" x14ac:dyDescent="0.25">
      <c r="A2608">
        <v>2591</v>
      </c>
      <c r="B2608" s="100">
        <v>89.950148903847023</v>
      </c>
      <c r="C2608" s="100">
        <v>98.40915464676911</v>
      </c>
      <c r="D2608" s="100">
        <v>93.476088543346137</v>
      </c>
      <c r="E2608" s="100">
        <v>94.812075939541756</v>
      </c>
      <c r="F2608" s="100">
        <v>-1308.4747789856451</v>
      </c>
      <c r="G2608" s="100">
        <v>-298.89771021048972</v>
      </c>
      <c r="H2608" s="100">
        <v>-1320.0168757190625</v>
      </c>
      <c r="I2608" s="100">
        <v>-1431.4362848405294</v>
      </c>
      <c r="J2608" s="100">
        <v>-4358.8256497557268</v>
      </c>
    </row>
    <row r="2609" spans="1:10" x14ac:dyDescent="0.25">
      <c r="A2609">
        <v>2592</v>
      </c>
      <c r="B2609" s="100">
        <v>88.761099536319279</v>
      </c>
      <c r="C2609" s="100">
        <v>98.766386727450055</v>
      </c>
      <c r="D2609" s="100">
        <v>92.229084557697206</v>
      </c>
      <c r="E2609" s="100">
        <v>94.947223347199369</v>
      </c>
      <c r="F2609" s="100">
        <v>2615.3881338559104</v>
      </c>
      <c r="G2609" s="100">
        <v>-834.74583123190632</v>
      </c>
      <c r="H2609" s="100">
        <v>1173.9910955787991</v>
      </c>
      <c r="I2609" s="100">
        <v>-1566.583692498142</v>
      </c>
      <c r="J2609" s="100">
        <v>1388.0497057046612</v>
      </c>
    </row>
    <row r="2610" spans="1:10" x14ac:dyDescent="0.25">
      <c r="A2610">
        <v>2593</v>
      </c>
      <c r="B2610" s="100">
        <v>90.561412684259665</v>
      </c>
      <c r="C2610" s="100">
        <v>99.011248364780201</v>
      </c>
      <c r="D2610" s="100">
        <v>93.593262934921555</v>
      </c>
      <c r="E2610" s="100">
        <v>95.474793840603695</v>
      </c>
      <c r="F2610" s="100">
        <v>-3325.6452543473642</v>
      </c>
      <c r="G2610" s="100">
        <v>-1202.0382872271257</v>
      </c>
      <c r="H2610" s="100">
        <v>-1554.365658869898</v>
      </c>
      <c r="I2610" s="100">
        <v>-2094.1541859024683</v>
      </c>
      <c r="J2610" s="100">
        <v>-8176.203386346856</v>
      </c>
    </row>
    <row r="2611" spans="1:10" x14ac:dyDescent="0.25">
      <c r="A2611">
        <v>2594</v>
      </c>
      <c r="B2611" s="100">
        <v>90.141848489627918</v>
      </c>
      <c r="C2611" s="100">
        <v>99.392349253316169</v>
      </c>
      <c r="D2611" s="100">
        <v>94.266398292748008</v>
      </c>
      <c r="E2611" s="100">
        <v>97.606799143069736</v>
      </c>
      <c r="F2611" s="100">
        <v>-1941.0834120626007</v>
      </c>
      <c r="G2611" s="100">
        <v>-1773.689620031078</v>
      </c>
      <c r="H2611" s="100">
        <v>-2900.6363745228045</v>
      </c>
      <c r="I2611" s="100">
        <v>-4226.1594883685093</v>
      </c>
      <c r="J2611" s="100">
        <v>-10841.568894984994</v>
      </c>
    </row>
    <row r="2612" spans="1:10" x14ac:dyDescent="0.25">
      <c r="A2612">
        <v>2595</v>
      </c>
      <c r="B2612" s="100">
        <v>89.682575006021253</v>
      </c>
      <c r="C2612" s="100">
        <v>97.203454152791608</v>
      </c>
      <c r="D2612" s="100">
        <v>91.414178673840198</v>
      </c>
      <c r="E2612" s="100">
        <v>93.33717866190338</v>
      </c>
      <c r="F2612" s="100">
        <v>-425.48091616060475</v>
      </c>
      <c r="G2612" s="100">
        <v>1509.6530307557643</v>
      </c>
      <c r="H2612" s="100">
        <v>2803.8028632928163</v>
      </c>
      <c r="I2612" s="100">
        <v>43.460992797847098</v>
      </c>
      <c r="J2612" s="100">
        <v>3931.4359706858231</v>
      </c>
    </row>
    <row r="2613" spans="1:10" x14ac:dyDescent="0.25">
      <c r="A2613">
        <v>2596</v>
      </c>
      <c r="B2613" s="100">
        <v>89.660050118045902</v>
      </c>
      <c r="C2613" s="100">
        <v>98.911443451608775</v>
      </c>
      <c r="D2613" s="100">
        <v>92.952468026380032</v>
      </c>
      <c r="E2613" s="100">
        <v>91.360830860397456</v>
      </c>
      <c r="F2613" s="100">
        <v>-351.14878584194713</v>
      </c>
      <c r="G2613" s="100">
        <v>-1052.3309174699875</v>
      </c>
      <c r="H2613" s="100">
        <v>-272.77584178685288</v>
      </c>
      <c r="I2613" s="100">
        <v>2019.8087943037706</v>
      </c>
      <c r="J2613" s="100">
        <v>343.5532492049831</v>
      </c>
    </row>
    <row r="2614" spans="1:10" x14ac:dyDescent="0.25">
      <c r="A2614">
        <v>2597</v>
      </c>
      <c r="B2614" s="100">
        <v>90.743419154754605</v>
      </c>
      <c r="C2614" s="100">
        <v>97.908485689574988</v>
      </c>
      <c r="D2614" s="100">
        <v>91.826282791732353</v>
      </c>
      <c r="E2614" s="100">
        <v>95.947212598299089</v>
      </c>
      <c r="F2614" s="100">
        <v>-3926.2666069806669</v>
      </c>
      <c r="G2614" s="100">
        <v>452.10572558069373</v>
      </c>
      <c r="H2614" s="100">
        <v>1979.5946275085043</v>
      </c>
      <c r="I2614" s="100">
        <v>-2566.5729435978619</v>
      </c>
      <c r="J2614" s="100">
        <v>-4061.1391974893309</v>
      </c>
    </row>
    <row r="2615" spans="1:10" x14ac:dyDescent="0.25">
      <c r="A2615">
        <v>2598</v>
      </c>
      <c r="B2615" s="100">
        <v>89.091382438519574</v>
      </c>
      <c r="C2615" s="100">
        <v>98.304961236624038</v>
      </c>
      <c r="D2615" s="100">
        <v>92.141323200920837</v>
      </c>
      <c r="E2615" s="100">
        <v>91.853437659529376</v>
      </c>
      <c r="F2615" s="100">
        <v>1525.4545565949356</v>
      </c>
      <c r="G2615" s="100">
        <v>-142.60759499288156</v>
      </c>
      <c r="H2615" s="100">
        <v>1349.5138091315368</v>
      </c>
      <c r="I2615" s="100">
        <v>1527.2019951718505</v>
      </c>
      <c r="J2615" s="100">
        <v>4259.5627659054417</v>
      </c>
    </row>
    <row r="2616" spans="1:10" x14ac:dyDescent="0.25">
      <c r="A2616">
        <v>2599</v>
      </c>
      <c r="B2616" s="100">
        <v>89.16495561405938</v>
      </c>
      <c r="C2616" s="100">
        <v>98.320271840803827</v>
      </c>
      <c r="D2616" s="100">
        <v>93.020535131913135</v>
      </c>
      <c r="E2616" s="100">
        <v>93.626204017458022</v>
      </c>
      <c r="F2616" s="100">
        <v>1282.6630773135748</v>
      </c>
      <c r="G2616" s="100">
        <v>-165.57350126256409</v>
      </c>
      <c r="H2616" s="100">
        <v>-408.91005285305937</v>
      </c>
      <c r="I2616" s="100">
        <v>-245.56436275679516</v>
      </c>
      <c r="J2616" s="100">
        <v>462.61516044115615</v>
      </c>
    </row>
    <row r="2617" spans="1:10" x14ac:dyDescent="0.25">
      <c r="A2617">
        <v>2600</v>
      </c>
      <c r="B2617" s="100">
        <v>90.201770022147585</v>
      </c>
      <c r="C2617" s="100">
        <v>97.555194818526218</v>
      </c>
      <c r="D2617" s="100">
        <v>92.484348436339886</v>
      </c>
      <c r="E2617" s="100">
        <v>94.373800302791864</v>
      </c>
      <c r="F2617" s="100">
        <v>-2138.8244693775009</v>
      </c>
      <c r="G2617" s="100">
        <v>982.04203215384928</v>
      </c>
      <c r="H2617" s="100">
        <v>663.46333829343962</v>
      </c>
      <c r="I2617" s="100">
        <v>-993.16064809063676</v>
      </c>
      <c r="J2617" s="100">
        <v>-1486.4797470208487</v>
      </c>
    </row>
    <row r="2618" spans="1:10" x14ac:dyDescent="0.25">
      <c r="A2618">
        <v>2601</v>
      </c>
      <c r="B2618" s="100">
        <v>89.182502493408748</v>
      </c>
      <c r="C2618" s="100">
        <v>99.067550387532023</v>
      </c>
      <c r="D2618" s="100">
        <v>93.654036897000864</v>
      </c>
      <c r="E2618" s="100">
        <v>91.591946188767125</v>
      </c>
      <c r="F2618" s="100">
        <v>1224.7583754606608</v>
      </c>
      <c r="G2618" s="100">
        <v>-1286.4913213548589</v>
      </c>
      <c r="H2618" s="100">
        <v>-1675.9135830285175</v>
      </c>
      <c r="I2618" s="100">
        <v>1788.6934659341023</v>
      </c>
      <c r="J2618" s="100">
        <v>51.046937011386717</v>
      </c>
    </row>
    <row r="2619" spans="1:10" x14ac:dyDescent="0.25">
      <c r="A2619">
        <v>2602</v>
      </c>
      <c r="B2619" s="100">
        <v>89.041516478874073</v>
      </c>
      <c r="C2619" s="100">
        <v>97.643875916585714</v>
      </c>
      <c r="D2619" s="100">
        <v>89.61559224970712</v>
      </c>
      <c r="E2619" s="100">
        <v>94.401564526232306</v>
      </c>
      <c r="F2619" s="100">
        <v>1690.01222342509</v>
      </c>
      <c r="G2619" s="100">
        <v>849.02038506460542</v>
      </c>
      <c r="H2619" s="100">
        <v>6400.9757115589709</v>
      </c>
      <c r="I2619" s="100">
        <v>-1020.9248715310792</v>
      </c>
      <c r="J2619" s="100">
        <v>7919.0834485175865</v>
      </c>
    </row>
    <row r="2620" spans="1:10" x14ac:dyDescent="0.25">
      <c r="A2620">
        <v>2603</v>
      </c>
      <c r="B2620" s="100">
        <v>89.349658540248555</v>
      </c>
      <c r="C2620" s="100">
        <v>96.553718311682161</v>
      </c>
      <c r="D2620" s="100">
        <v>93.347797456596538</v>
      </c>
      <c r="E2620" s="100">
        <v>93.199567230950237</v>
      </c>
      <c r="F2620" s="100">
        <v>673.14342088929777</v>
      </c>
      <c r="G2620" s="100">
        <v>2484.2567924199343</v>
      </c>
      <c r="H2620" s="100">
        <v>-1063.4347022198654</v>
      </c>
      <c r="I2620" s="100">
        <v>181.0724237509902</v>
      </c>
      <c r="J2620" s="100">
        <v>2275.0379348403571</v>
      </c>
    </row>
    <row r="2621" spans="1:10" x14ac:dyDescent="0.25">
      <c r="A2621">
        <v>2604</v>
      </c>
      <c r="B2621" s="100">
        <v>89.072998107473822</v>
      </c>
      <c r="C2621" s="100">
        <v>98.634967120467223</v>
      </c>
      <c r="D2621" s="100">
        <v>93.247098951027155</v>
      </c>
      <c r="E2621" s="100">
        <v>91.978426510637149</v>
      </c>
      <c r="F2621" s="100">
        <v>1586.1228490459168</v>
      </c>
      <c r="G2621" s="100">
        <v>-637.6164207576594</v>
      </c>
      <c r="H2621" s="100">
        <v>-862.03769108109896</v>
      </c>
      <c r="I2621" s="100">
        <v>1402.2131440640778</v>
      </c>
      <c r="J2621" s="100">
        <v>1488.6818812712363</v>
      </c>
    </row>
    <row r="2622" spans="1:10" x14ac:dyDescent="0.25">
      <c r="A2622">
        <v>2605</v>
      </c>
      <c r="B2622" s="100">
        <v>88.833852765671054</v>
      </c>
      <c r="C2622" s="100">
        <v>97.359048606990669</v>
      </c>
      <c r="D2622" s="100">
        <v>92.362799572500975</v>
      </c>
      <c r="E2622" s="100">
        <v>93.825044511645899</v>
      </c>
      <c r="F2622" s="100">
        <v>2375.3024769950516</v>
      </c>
      <c r="G2622" s="100">
        <v>1276.2613494571724</v>
      </c>
      <c r="H2622" s="100">
        <v>906.5610659712604</v>
      </c>
      <c r="I2622" s="100">
        <v>-444.40485694467213</v>
      </c>
      <c r="J2622" s="100">
        <v>4113.720035478812</v>
      </c>
    </row>
    <row r="2623" spans="1:10" x14ac:dyDescent="0.25">
      <c r="A2623">
        <v>2606</v>
      </c>
      <c r="B2623" s="100">
        <v>89.744477612816169</v>
      </c>
      <c r="C2623" s="100">
        <v>99.788200194825464</v>
      </c>
      <c r="D2623" s="100">
        <v>92.381582144812668</v>
      </c>
      <c r="E2623" s="100">
        <v>94.534374741808875</v>
      </c>
      <c r="F2623" s="100">
        <v>-629.75951858382905</v>
      </c>
      <c r="G2623" s="100">
        <v>-2367.4660322950203</v>
      </c>
      <c r="H2623" s="100">
        <v>868.9959213478744</v>
      </c>
      <c r="I2623" s="100">
        <v>-1153.7350871076483</v>
      </c>
      <c r="J2623" s="100">
        <v>-3281.9647166386235</v>
      </c>
    </row>
    <row r="2624" spans="1:10" x14ac:dyDescent="0.25">
      <c r="A2624">
        <v>2607</v>
      </c>
      <c r="B2624" s="100">
        <v>90.912810803262786</v>
      </c>
      <c r="C2624" s="100">
        <v>99.53685043671824</v>
      </c>
      <c r="D2624" s="100">
        <v>92.046736765353728</v>
      </c>
      <c r="E2624" s="100">
        <v>91.76789492906417</v>
      </c>
      <c r="F2624" s="100">
        <v>-4485.2590470576661</v>
      </c>
      <c r="G2624" s="100">
        <v>-1990.4413951341837</v>
      </c>
      <c r="H2624" s="100">
        <v>1538.6866802657551</v>
      </c>
      <c r="I2624" s="100">
        <v>1612.7447256370574</v>
      </c>
      <c r="J2624" s="100">
        <v>-3324.2690362890376</v>
      </c>
    </row>
    <row r="2625" spans="1:10" x14ac:dyDescent="0.25">
      <c r="A2625">
        <v>2608</v>
      </c>
      <c r="B2625" s="100">
        <v>89.598993527252077</v>
      </c>
      <c r="C2625" s="100">
        <v>98.315247184636178</v>
      </c>
      <c r="D2625" s="100">
        <v>91.832187754641254</v>
      </c>
      <c r="E2625" s="100">
        <v>93.062199500864608</v>
      </c>
      <c r="F2625" s="100">
        <v>-149.66203622232399</v>
      </c>
      <c r="G2625" s="100">
        <v>-158.03651701109089</v>
      </c>
      <c r="H2625" s="100">
        <v>1967.7847016907037</v>
      </c>
      <c r="I2625" s="100">
        <v>318.44015383661883</v>
      </c>
      <c r="J2625" s="100">
        <v>1978.5263022939075</v>
      </c>
    </row>
    <row r="2626" spans="1:10" x14ac:dyDescent="0.25">
      <c r="A2626">
        <v>2609</v>
      </c>
      <c r="B2626" s="100">
        <v>89.280523363748486</v>
      </c>
      <c r="C2626" s="100">
        <v>97.363440893663437</v>
      </c>
      <c r="D2626" s="100">
        <v>94.007423458094294</v>
      </c>
      <c r="E2626" s="100">
        <v>93.638731448522961</v>
      </c>
      <c r="F2626" s="100">
        <v>901.28950333952525</v>
      </c>
      <c r="G2626" s="100">
        <v>1269.6729194480199</v>
      </c>
      <c r="H2626" s="100">
        <v>-2382.6867052153775</v>
      </c>
      <c r="I2626" s="100">
        <v>-258.09179382173397</v>
      </c>
      <c r="J2626" s="100">
        <v>-469.81607624956632</v>
      </c>
    </row>
    <row r="2627" spans="1:10" x14ac:dyDescent="0.25">
      <c r="A2627">
        <v>2610</v>
      </c>
      <c r="B2627" s="100">
        <v>89.236542600569052</v>
      </c>
      <c r="C2627" s="100">
        <v>98.094443097440859</v>
      </c>
      <c r="D2627" s="100">
        <v>93.022428462313115</v>
      </c>
      <c r="E2627" s="100">
        <v>93.060495978315245</v>
      </c>
      <c r="F2627" s="100">
        <v>1046.4260218316567</v>
      </c>
      <c r="G2627" s="100">
        <v>173.16961378188722</v>
      </c>
      <c r="H2627" s="100">
        <v>-412.69671365301974</v>
      </c>
      <c r="I2627" s="100">
        <v>320.14367638598173</v>
      </c>
      <c r="J2627" s="100">
        <v>1127.0425983465059</v>
      </c>
    </row>
    <row r="2628" spans="1:10" x14ac:dyDescent="0.25">
      <c r="A2628">
        <v>2611</v>
      </c>
      <c r="B2628" s="100">
        <v>89.45652208154182</v>
      </c>
      <c r="C2628" s="100">
        <v>97.639973146282344</v>
      </c>
      <c r="D2628" s="100">
        <v>91.276621122944022</v>
      </c>
      <c r="E2628" s="100">
        <v>94.164323920968613</v>
      </c>
      <c r="F2628" s="100">
        <v>320.49373462152317</v>
      </c>
      <c r="G2628" s="100">
        <v>854.87454051965983</v>
      </c>
      <c r="H2628" s="100">
        <v>3078.9179650851679</v>
      </c>
      <c r="I2628" s="100">
        <v>-783.68426626738596</v>
      </c>
      <c r="J2628" s="100">
        <v>3470.6019739589647</v>
      </c>
    </row>
    <row r="2629" spans="1:10" x14ac:dyDescent="0.25">
      <c r="A2629">
        <v>2612</v>
      </c>
      <c r="B2629" s="100">
        <v>89.742699874802227</v>
      </c>
      <c r="C2629" s="100">
        <v>98.233130954234937</v>
      </c>
      <c r="D2629" s="100">
        <v>92.110848778175168</v>
      </c>
      <c r="E2629" s="100">
        <v>92.411872731445214</v>
      </c>
      <c r="F2629" s="100">
        <v>-623.89298313782001</v>
      </c>
      <c r="G2629" s="100">
        <v>-34.862171409230314</v>
      </c>
      <c r="H2629" s="100">
        <v>1410.4626546228758</v>
      </c>
      <c r="I2629" s="100">
        <v>968.76692325601255</v>
      </c>
      <c r="J2629" s="100">
        <v>1720.4744233318379</v>
      </c>
    </row>
    <row r="2630" spans="1:10" x14ac:dyDescent="0.25">
      <c r="A2630">
        <v>2613</v>
      </c>
      <c r="B2630" s="100">
        <v>90.650440173713747</v>
      </c>
      <c r="C2630" s="100">
        <v>97.108259161618832</v>
      </c>
      <c r="D2630" s="100">
        <v>92.024349354928617</v>
      </c>
      <c r="E2630" s="100">
        <v>93.148426939141203</v>
      </c>
      <c r="F2630" s="100">
        <v>-3619.4359695458361</v>
      </c>
      <c r="G2630" s="100">
        <v>1652.4455175149271</v>
      </c>
      <c r="H2630" s="100">
        <v>1583.4615011159769</v>
      </c>
      <c r="I2630" s="100">
        <v>232.21271556002421</v>
      </c>
      <c r="J2630" s="100">
        <v>-151.3162353549078</v>
      </c>
    </row>
    <row r="2631" spans="1:10" x14ac:dyDescent="0.25">
      <c r="A2631">
        <v>2614</v>
      </c>
      <c r="B2631" s="100">
        <v>90.465389643948313</v>
      </c>
      <c r="C2631" s="100">
        <v>98.172909053643835</v>
      </c>
      <c r="D2631" s="100">
        <v>91.160861449471355</v>
      </c>
      <c r="E2631" s="100">
        <v>93.89047215447188</v>
      </c>
      <c r="F2631" s="100">
        <v>-3008.7692213199048</v>
      </c>
      <c r="G2631" s="100">
        <v>55.470679477423346</v>
      </c>
      <c r="H2631" s="100">
        <v>3310.4373120305013</v>
      </c>
      <c r="I2631" s="100">
        <v>-509.8324997706527</v>
      </c>
      <c r="J2631" s="100">
        <v>-152.69372958263284</v>
      </c>
    </row>
    <row r="2632" spans="1:10" x14ac:dyDescent="0.25">
      <c r="A2632">
        <v>2615</v>
      </c>
      <c r="B2632" s="100">
        <v>89.191239433180428</v>
      </c>
      <c r="C2632" s="100">
        <v>97.793874668752395</v>
      </c>
      <c r="D2632" s="100">
        <v>90.889472515125206</v>
      </c>
      <c r="E2632" s="100">
        <v>93.209828176223382</v>
      </c>
      <c r="F2632" s="100">
        <v>1195.9264742141172</v>
      </c>
      <c r="G2632" s="100">
        <v>624.0222568145839</v>
      </c>
      <c r="H2632" s="100">
        <v>3853.2151807227992</v>
      </c>
      <c r="I2632" s="100">
        <v>170.8114784778445</v>
      </c>
      <c r="J2632" s="100">
        <v>5843.9753902293451</v>
      </c>
    </row>
    <row r="2633" spans="1:10" x14ac:dyDescent="0.25">
      <c r="A2633">
        <v>2616</v>
      </c>
      <c r="B2633" s="100">
        <v>89.11241282627482</v>
      </c>
      <c r="C2633" s="100">
        <v>97.552628560127374</v>
      </c>
      <c r="D2633" s="100">
        <v>92.722129144279393</v>
      </c>
      <c r="E2633" s="100">
        <v>95.148800399379468</v>
      </c>
      <c r="F2633" s="100">
        <v>1456.0542770026232</v>
      </c>
      <c r="G2633" s="100">
        <v>985.89141975211442</v>
      </c>
      <c r="H2633" s="100">
        <v>187.90192241442583</v>
      </c>
      <c r="I2633" s="100">
        <v>-1768.1607446782409</v>
      </c>
      <c r="J2633" s="100">
        <v>861.68687449092249</v>
      </c>
    </row>
    <row r="2634" spans="1:10" x14ac:dyDescent="0.25">
      <c r="A2634">
        <v>2617</v>
      </c>
      <c r="B2634" s="100">
        <v>89.395484183592743</v>
      </c>
      <c r="C2634" s="100">
        <v>98.556925145240299</v>
      </c>
      <c r="D2634" s="100">
        <v>93.391894881360855</v>
      </c>
      <c r="E2634" s="100">
        <v>94.882704237873511</v>
      </c>
      <c r="F2634" s="100">
        <v>521.91879785347908</v>
      </c>
      <c r="G2634" s="100">
        <v>-520.55345791727348</v>
      </c>
      <c r="H2634" s="100">
        <v>-1151.6295517484991</v>
      </c>
      <c r="I2634" s="100">
        <v>-1502.0645831722845</v>
      </c>
      <c r="J2634" s="100">
        <v>-2652.3287949845781</v>
      </c>
    </row>
    <row r="2635" spans="1:10" x14ac:dyDescent="0.25">
      <c r="A2635">
        <v>2618</v>
      </c>
      <c r="B2635" s="100">
        <v>89.749216728218158</v>
      </c>
      <c r="C2635" s="100">
        <v>97.855144326229535</v>
      </c>
      <c r="D2635" s="100">
        <v>92.053536628426016</v>
      </c>
      <c r="E2635" s="100">
        <v>94.069678981918287</v>
      </c>
      <c r="F2635" s="100">
        <v>-645.3985994103931</v>
      </c>
      <c r="G2635" s="100">
        <v>532.11777059887311</v>
      </c>
      <c r="H2635" s="100">
        <v>1525.0869541211785</v>
      </c>
      <c r="I2635" s="100">
        <v>-689.03932721705985</v>
      </c>
      <c r="J2635" s="100">
        <v>722.76679809259861</v>
      </c>
    </row>
    <row r="2636" spans="1:10" x14ac:dyDescent="0.25">
      <c r="A2636">
        <v>2619</v>
      </c>
      <c r="B2636" s="100">
        <v>90.028948970999394</v>
      </c>
      <c r="C2636" s="100">
        <v>96.660466004179966</v>
      </c>
      <c r="D2636" s="100">
        <v>91.823598476299424</v>
      </c>
      <c r="E2636" s="100">
        <v>94.97145138053699</v>
      </c>
      <c r="F2636" s="100">
        <v>-1568.5150005884723</v>
      </c>
      <c r="G2636" s="100">
        <v>2324.1352536732265</v>
      </c>
      <c r="H2636" s="100">
        <v>1984.9632583743642</v>
      </c>
      <c r="I2636" s="100">
        <v>-1590.8117258357634</v>
      </c>
      <c r="J2636" s="100">
        <v>1149.7717856233548</v>
      </c>
    </row>
    <row r="2637" spans="1:10" x14ac:dyDescent="0.25">
      <c r="A2637">
        <v>2620</v>
      </c>
      <c r="B2637" s="100">
        <v>89.167507243061493</v>
      </c>
      <c r="C2637" s="100">
        <v>97.701797065433354</v>
      </c>
      <c r="D2637" s="100">
        <v>91.900940832823693</v>
      </c>
      <c r="E2637" s="100">
        <v>94.492550411139476</v>
      </c>
      <c r="F2637" s="100">
        <v>1274.2427016066017</v>
      </c>
      <c r="G2637" s="100">
        <v>762.13866179314493</v>
      </c>
      <c r="H2637" s="100">
        <v>1830.2785453258252</v>
      </c>
      <c r="I2637" s="100">
        <v>-1111.9107564382489</v>
      </c>
      <c r="J2637" s="100">
        <v>2754.7491522873229</v>
      </c>
    </row>
    <row r="2638" spans="1:10" x14ac:dyDescent="0.25">
      <c r="A2638">
        <v>2621</v>
      </c>
      <c r="B2638" s="100">
        <v>88.229898631853459</v>
      </c>
      <c r="C2638" s="100">
        <v>96.852926196680059</v>
      </c>
      <c r="D2638" s="100">
        <v>92.446561067482747</v>
      </c>
      <c r="E2638" s="100">
        <v>95.391003785787518</v>
      </c>
      <c r="F2638" s="100">
        <v>4368.3511185931156</v>
      </c>
      <c r="G2638" s="100">
        <v>2035.4449649230874</v>
      </c>
      <c r="H2638" s="100">
        <v>739.03807600771643</v>
      </c>
      <c r="I2638" s="100">
        <v>-2010.3641310862913</v>
      </c>
      <c r="J2638" s="100">
        <v>5132.4700284376286</v>
      </c>
    </row>
    <row r="2639" spans="1:10" x14ac:dyDescent="0.25">
      <c r="A2639">
        <v>2622</v>
      </c>
      <c r="B2639" s="100">
        <v>89.018033283915457</v>
      </c>
      <c r="C2639" s="100">
        <v>98.462822053298254</v>
      </c>
      <c r="D2639" s="100">
        <v>92.566713305323674</v>
      </c>
      <c r="E2639" s="100">
        <v>92.55320011574608</v>
      </c>
      <c r="F2639" s="100">
        <v>1767.5067667885201</v>
      </c>
      <c r="G2639" s="100">
        <v>-379.39882000420511</v>
      </c>
      <c r="H2639" s="100">
        <v>498.73360032586334</v>
      </c>
      <c r="I2639" s="100">
        <v>827.43953895514721</v>
      </c>
      <c r="J2639" s="100">
        <v>2714.2810860653253</v>
      </c>
    </row>
    <row r="2640" spans="1:10" x14ac:dyDescent="0.25">
      <c r="A2640">
        <v>2623</v>
      </c>
      <c r="B2640" s="100">
        <v>89.512004577711238</v>
      </c>
      <c r="C2640" s="100">
        <v>98.343922472731052</v>
      </c>
      <c r="D2640" s="100">
        <v>94.603196134029034</v>
      </c>
      <c r="E2640" s="100">
        <v>92.667585196795699</v>
      </c>
      <c r="F2640" s="100">
        <v>137.40149726244368</v>
      </c>
      <c r="G2640" s="100">
        <v>-201.04944915340184</v>
      </c>
      <c r="H2640" s="100">
        <v>-3574.232057084856</v>
      </c>
      <c r="I2640" s="100">
        <v>713.05445790552824</v>
      </c>
      <c r="J2640" s="100">
        <v>-2924.8255510702861</v>
      </c>
    </row>
    <row r="2641" spans="1:10" x14ac:dyDescent="0.25">
      <c r="A2641">
        <v>2624</v>
      </c>
      <c r="B2641" s="100">
        <v>90.311800935973153</v>
      </c>
      <c r="C2641" s="100">
        <v>98.570548674514711</v>
      </c>
      <c r="D2641" s="100">
        <v>90.439083850375241</v>
      </c>
      <c r="E2641" s="100">
        <v>96.252721893029431</v>
      </c>
      <c r="F2641" s="100">
        <v>-2501.9264850018758</v>
      </c>
      <c r="G2641" s="100">
        <v>-540.98875182889117</v>
      </c>
      <c r="H2641" s="100">
        <v>4753.9925102227298</v>
      </c>
      <c r="I2641" s="100">
        <v>-2872.0822383282039</v>
      </c>
      <c r="J2641" s="100">
        <v>-1161.0049649362409</v>
      </c>
    </row>
    <row r="2642" spans="1:10" x14ac:dyDescent="0.25">
      <c r="A2642">
        <v>2625</v>
      </c>
      <c r="B2642" s="100">
        <v>90.197908819533765</v>
      </c>
      <c r="C2642" s="100">
        <v>98.548858317421093</v>
      </c>
      <c r="D2642" s="100">
        <v>93.613141457938582</v>
      </c>
      <c r="E2642" s="100">
        <v>96.000722501716965</v>
      </c>
      <c r="F2642" s="100">
        <v>-2126.0825007518961</v>
      </c>
      <c r="G2642" s="100">
        <v>-508.45321618846384</v>
      </c>
      <c r="H2642" s="100">
        <v>-1594.1227049039526</v>
      </c>
      <c r="I2642" s="100">
        <v>-2620.0828470157376</v>
      </c>
      <c r="J2642" s="100">
        <v>-6848.7412688600507</v>
      </c>
    </row>
    <row r="2643" spans="1:10" x14ac:dyDescent="0.25">
      <c r="A2643">
        <v>2626</v>
      </c>
      <c r="B2643" s="100">
        <v>89.424436188664558</v>
      </c>
      <c r="C2643" s="100">
        <v>99.610791275913087</v>
      </c>
      <c r="D2643" s="100">
        <v>93.210816031998604</v>
      </c>
      <c r="E2643" s="100">
        <v>91.754868921538645</v>
      </c>
      <c r="F2643" s="100">
        <v>426.37718111648866</v>
      </c>
      <c r="G2643" s="100">
        <v>-2101.3526539264549</v>
      </c>
      <c r="H2643" s="100">
        <v>-789.47185302399703</v>
      </c>
      <c r="I2643" s="100">
        <v>1625.7707331625825</v>
      </c>
      <c r="J2643" s="100">
        <v>-838.6765926713806</v>
      </c>
    </row>
    <row r="2644" spans="1:10" x14ac:dyDescent="0.25">
      <c r="A2644">
        <v>2627</v>
      </c>
      <c r="B2644" s="100">
        <v>89.230798965601608</v>
      </c>
      <c r="C2644" s="100">
        <v>97.020624599658319</v>
      </c>
      <c r="D2644" s="100">
        <v>91.391056970670419</v>
      </c>
      <c r="E2644" s="100">
        <v>92.614899137783453</v>
      </c>
      <c r="F2644" s="100">
        <v>1065.3800172242243</v>
      </c>
      <c r="G2644" s="100">
        <v>1783.8973604556968</v>
      </c>
      <c r="H2644" s="100">
        <v>2850.0462696323721</v>
      </c>
      <c r="I2644" s="100">
        <v>765.74051691777356</v>
      </c>
      <c r="J2644" s="100">
        <v>6465.064164230067</v>
      </c>
    </row>
    <row r="2645" spans="1:10" x14ac:dyDescent="0.25">
      <c r="A2645">
        <v>2628</v>
      </c>
      <c r="B2645" s="100">
        <v>88.90714413072557</v>
      </c>
      <c r="C2645" s="100">
        <v>96.65180053612491</v>
      </c>
      <c r="D2645" s="100">
        <v>93.054052668645113</v>
      </c>
      <c r="E2645" s="100">
        <v>94.322286265794844</v>
      </c>
      <c r="F2645" s="100">
        <v>2133.4409723151493</v>
      </c>
      <c r="G2645" s="100">
        <v>2337.1334557558116</v>
      </c>
      <c r="H2645" s="100">
        <v>-475.94512631701491</v>
      </c>
      <c r="I2645" s="100">
        <v>-941.64661109361703</v>
      </c>
      <c r="J2645" s="100">
        <v>3052.9826906603284</v>
      </c>
    </row>
    <row r="2646" spans="1:10" x14ac:dyDescent="0.25">
      <c r="A2646">
        <v>2629</v>
      </c>
      <c r="B2646" s="100">
        <v>89.368554534038651</v>
      </c>
      <c r="C2646" s="100">
        <v>97.631498745317998</v>
      </c>
      <c r="D2646" s="100">
        <v>92.729285343767089</v>
      </c>
      <c r="E2646" s="100">
        <v>93.128388967260122</v>
      </c>
      <c r="F2646" s="100">
        <v>610.78664138198064</v>
      </c>
      <c r="G2646" s="100">
        <v>867.5861419661785</v>
      </c>
      <c r="H2646" s="100">
        <v>173.58952343903411</v>
      </c>
      <c r="I2646" s="100">
        <v>252.25068744110501</v>
      </c>
      <c r="J2646" s="100">
        <v>1904.2129942282982</v>
      </c>
    </row>
    <row r="2647" spans="1:10" x14ac:dyDescent="0.25">
      <c r="A2647">
        <v>2630</v>
      </c>
      <c r="B2647" s="100">
        <v>89.483207935394717</v>
      </c>
      <c r="C2647" s="100">
        <v>100.012438866965</v>
      </c>
      <c r="D2647" s="100">
        <v>93.553796862970472</v>
      </c>
      <c r="E2647" s="100">
        <v>94.201207753619272</v>
      </c>
      <c r="F2647" s="100">
        <v>232.43041690696487</v>
      </c>
      <c r="G2647" s="100">
        <v>-2703.8240405043225</v>
      </c>
      <c r="H2647" s="100">
        <v>-1475.4335149677331</v>
      </c>
      <c r="I2647" s="100">
        <v>-820.56809891804505</v>
      </c>
      <c r="J2647" s="100">
        <v>-4767.395237483136</v>
      </c>
    </row>
    <row r="2648" spans="1:10" x14ac:dyDescent="0.25">
      <c r="A2648">
        <v>2631</v>
      </c>
      <c r="B2648" s="100">
        <v>89.180263257208921</v>
      </c>
      <c r="C2648" s="100">
        <v>97.964066864219177</v>
      </c>
      <c r="D2648" s="100">
        <v>93.089357904250576</v>
      </c>
      <c r="E2648" s="100">
        <v>92.35589108558284</v>
      </c>
      <c r="F2648" s="100">
        <v>1232.1478549200904</v>
      </c>
      <c r="G2648" s="100">
        <v>368.73396361441024</v>
      </c>
      <c r="H2648" s="100">
        <v>-546.55559752794147</v>
      </c>
      <c r="I2648" s="100">
        <v>1024.748569118387</v>
      </c>
      <c r="J2648" s="100">
        <v>2079.074790124946</v>
      </c>
    </row>
    <row r="2649" spans="1:10" x14ac:dyDescent="0.25">
      <c r="A2649">
        <v>2632</v>
      </c>
      <c r="B2649" s="100">
        <v>89.346433424168097</v>
      </c>
      <c r="C2649" s="100">
        <v>99.69265033020946</v>
      </c>
      <c r="D2649" s="100">
        <v>92.08553349450159</v>
      </c>
      <c r="E2649" s="100">
        <v>91.212397086433114</v>
      </c>
      <c r="F2649" s="100">
        <v>683.78630395480832</v>
      </c>
      <c r="G2649" s="100">
        <v>-2224.1412353710148</v>
      </c>
      <c r="H2649" s="100">
        <v>1461.0932219700317</v>
      </c>
      <c r="I2649" s="100">
        <v>2168.2425682681128</v>
      </c>
      <c r="J2649" s="100">
        <v>2088.980858821938</v>
      </c>
    </row>
    <row r="2650" spans="1:10" x14ac:dyDescent="0.25">
      <c r="A2650">
        <v>2633</v>
      </c>
      <c r="B2650" s="100">
        <v>89.936348171890685</v>
      </c>
      <c r="C2650" s="100">
        <v>96.984488053424784</v>
      </c>
      <c r="D2650" s="100">
        <v>93.137020088555644</v>
      </c>
      <c r="E2650" s="100">
        <v>93.768629463273896</v>
      </c>
      <c r="F2650" s="100">
        <v>-1262.9323635297326</v>
      </c>
      <c r="G2650" s="100">
        <v>1838.1021798060005</v>
      </c>
      <c r="H2650" s="100">
        <v>-641.87996613807741</v>
      </c>
      <c r="I2650" s="100">
        <v>-387.9898085726694</v>
      </c>
      <c r="J2650" s="100">
        <v>-454.69995843447884</v>
      </c>
    </row>
    <row r="2651" spans="1:10" x14ac:dyDescent="0.25">
      <c r="A2651">
        <v>2634</v>
      </c>
      <c r="B2651" s="100">
        <v>89.37806072332647</v>
      </c>
      <c r="C2651" s="100">
        <v>97.648884670669915</v>
      </c>
      <c r="D2651" s="100">
        <v>92.012175471386527</v>
      </c>
      <c r="E2651" s="100">
        <v>93.664152689733825</v>
      </c>
      <c r="F2651" s="100">
        <v>579.41621673217719</v>
      </c>
      <c r="G2651" s="100">
        <v>841.50725393830328</v>
      </c>
      <c r="H2651" s="100">
        <v>1607.8092682001568</v>
      </c>
      <c r="I2651" s="100">
        <v>-283.51303503259828</v>
      </c>
      <c r="J2651" s="100">
        <v>2745.2197038380391</v>
      </c>
    </row>
    <row r="2652" spans="1:10" x14ac:dyDescent="0.25">
      <c r="A2652">
        <v>2635</v>
      </c>
      <c r="B2652" s="100">
        <v>90.021209769477295</v>
      </c>
      <c r="C2652" s="100">
        <v>98.221858143947927</v>
      </c>
      <c r="D2652" s="100">
        <v>92.31971051883599</v>
      </c>
      <c r="E2652" s="100">
        <v>93.924872464201627</v>
      </c>
      <c r="F2652" s="100">
        <v>-1542.9756355655443</v>
      </c>
      <c r="G2652" s="100">
        <v>-17.952955978714158</v>
      </c>
      <c r="H2652" s="100">
        <v>992.7391733012314</v>
      </c>
      <c r="I2652" s="100">
        <v>-544.23280950040009</v>
      </c>
      <c r="J2652" s="100">
        <v>-1112.4222277434269</v>
      </c>
    </row>
    <row r="2653" spans="1:10" x14ac:dyDescent="0.25">
      <c r="A2653">
        <v>2636</v>
      </c>
      <c r="B2653" s="100">
        <v>89.38585854845158</v>
      </c>
      <c r="C2653" s="100">
        <v>98.661024700856643</v>
      </c>
      <c r="D2653" s="100">
        <v>94.534100106610353</v>
      </c>
      <c r="E2653" s="100">
        <v>93.392786385190092</v>
      </c>
      <c r="F2653" s="100">
        <v>553.68339381931548</v>
      </c>
      <c r="G2653" s="100">
        <v>-676.70279134178918</v>
      </c>
      <c r="H2653" s="100">
        <v>-3436.0400022474951</v>
      </c>
      <c r="I2653" s="100">
        <v>-12.146730488865387</v>
      </c>
      <c r="J2653" s="100">
        <v>-3571.2061302588345</v>
      </c>
    </row>
    <row r="2654" spans="1:10" x14ac:dyDescent="0.25">
      <c r="A2654">
        <v>2637</v>
      </c>
      <c r="B2654" s="100">
        <v>88.983906396422384</v>
      </c>
      <c r="C2654" s="100">
        <v>98.309171020423619</v>
      </c>
      <c r="D2654" s="100">
        <v>93.104555787261305</v>
      </c>
      <c r="E2654" s="100">
        <v>92.931966112314072</v>
      </c>
      <c r="F2654" s="100">
        <v>1880.1254955156624</v>
      </c>
      <c r="G2654" s="100">
        <v>-148.92227069225328</v>
      </c>
      <c r="H2654" s="100">
        <v>-576.95136354939791</v>
      </c>
      <c r="I2654" s="100">
        <v>448.67354238715507</v>
      </c>
      <c r="J2654" s="100">
        <v>1602.9254036611662</v>
      </c>
    </row>
    <row r="2655" spans="1:10" x14ac:dyDescent="0.25">
      <c r="A2655">
        <v>2638</v>
      </c>
      <c r="B2655" s="100">
        <v>89.832102310828091</v>
      </c>
      <c r="C2655" s="100">
        <v>98.339245559090841</v>
      </c>
      <c r="D2655" s="100">
        <v>93.423826825000631</v>
      </c>
      <c r="E2655" s="100">
        <v>92.208990593004955</v>
      </c>
      <c r="F2655" s="100">
        <v>-918.92102202317142</v>
      </c>
      <c r="G2655" s="100">
        <v>-194.03407869308609</v>
      </c>
      <c r="H2655" s="100">
        <v>-1215.4934390280516</v>
      </c>
      <c r="I2655" s="100">
        <v>1171.6490616962715</v>
      </c>
      <c r="J2655" s="100">
        <v>-1156.7994780480376</v>
      </c>
    </row>
    <row r="2656" spans="1:10" x14ac:dyDescent="0.25">
      <c r="A2656">
        <v>2639</v>
      </c>
      <c r="B2656" s="100">
        <v>88.585470376241048</v>
      </c>
      <c r="C2656" s="100">
        <v>98.019086623176435</v>
      </c>
      <c r="D2656" s="100">
        <v>92.456152054762157</v>
      </c>
      <c r="E2656" s="100">
        <v>93.672503851747479</v>
      </c>
      <c r="F2656" s="100">
        <v>3194.9643621140708</v>
      </c>
      <c r="G2656" s="100">
        <v>286.20432517852379</v>
      </c>
      <c r="H2656" s="100">
        <v>719.85610144889733</v>
      </c>
      <c r="I2656" s="100">
        <v>-291.86419704625166</v>
      </c>
      <c r="J2656" s="100">
        <v>3909.1605916952399</v>
      </c>
    </row>
    <row r="2657" spans="1:10" x14ac:dyDescent="0.25">
      <c r="A2657">
        <v>2640</v>
      </c>
      <c r="B2657" s="100">
        <v>89.385202428327034</v>
      </c>
      <c r="C2657" s="100">
        <v>98.908682129362674</v>
      </c>
      <c r="D2657" s="100">
        <v>91.599989374846885</v>
      </c>
      <c r="E2657" s="100">
        <v>95.067948528452362</v>
      </c>
      <c r="F2657" s="100">
        <v>555.84859023031754</v>
      </c>
      <c r="G2657" s="100">
        <v>-1048.1889341008355</v>
      </c>
      <c r="H2657" s="100">
        <v>2432.1814612794415</v>
      </c>
      <c r="I2657" s="100">
        <v>-1687.3088737511353</v>
      </c>
      <c r="J2657" s="100">
        <v>252.53224365778829</v>
      </c>
    </row>
    <row r="2658" spans="1:10" x14ac:dyDescent="0.25">
      <c r="A2658">
        <v>2641</v>
      </c>
      <c r="B2658" s="100">
        <v>88.933513230287502</v>
      </c>
      <c r="C2658" s="100">
        <v>97.65515321804159</v>
      </c>
      <c r="D2658" s="100">
        <v>94.521422163134929</v>
      </c>
      <c r="E2658" s="100">
        <v>91.826497780314739</v>
      </c>
      <c r="F2658" s="100">
        <v>2046.4229437607714</v>
      </c>
      <c r="G2658" s="100">
        <v>832.10443288079</v>
      </c>
      <c r="H2658" s="100">
        <v>-3410.6841152966467</v>
      </c>
      <c r="I2658" s="100">
        <v>1554.1418743864881</v>
      </c>
      <c r="J2658" s="100">
        <v>1021.9851357314026</v>
      </c>
    </row>
    <row r="2659" spans="1:10" x14ac:dyDescent="0.25">
      <c r="A2659">
        <v>2642</v>
      </c>
      <c r="B2659" s="100">
        <v>89.357002815164108</v>
      </c>
      <c r="C2659" s="100">
        <v>99.221435995914362</v>
      </c>
      <c r="D2659" s="100">
        <v>93.139124895899258</v>
      </c>
      <c r="E2659" s="100">
        <v>90.519490235669139</v>
      </c>
      <c r="F2659" s="100">
        <v>648.90731366797218</v>
      </c>
      <c r="G2659" s="100">
        <v>-1517.3197339283674</v>
      </c>
      <c r="H2659" s="100">
        <v>-646.08958082530421</v>
      </c>
      <c r="I2659" s="100">
        <v>2861.1494190320882</v>
      </c>
      <c r="J2659" s="100">
        <v>1346.6474179463887</v>
      </c>
    </row>
    <row r="2660" spans="1:10" x14ac:dyDescent="0.25">
      <c r="A2660">
        <v>2643</v>
      </c>
      <c r="B2660" s="100">
        <v>89.332766113923086</v>
      </c>
      <c r="C2660" s="100">
        <v>98.196469819921617</v>
      </c>
      <c r="D2660" s="100">
        <v>92.470824853573902</v>
      </c>
      <c r="E2660" s="100">
        <v>92.004533522439601</v>
      </c>
      <c r="F2660" s="100">
        <v>728.88842776334718</v>
      </c>
      <c r="G2660" s="100">
        <v>20.129530060749801</v>
      </c>
      <c r="H2660" s="100">
        <v>690.5105038254078</v>
      </c>
      <c r="I2660" s="100">
        <v>1376.1061322616256</v>
      </c>
      <c r="J2660" s="100">
        <v>2815.6345939111307</v>
      </c>
    </row>
    <row r="2661" spans="1:10" x14ac:dyDescent="0.25">
      <c r="A2661">
        <v>2644</v>
      </c>
      <c r="B2661" s="100">
        <v>89.707710028375587</v>
      </c>
      <c r="C2661" s="100">
        <v>97.783730635569384</v>
      </c>
      <c r="D2661" s="100">
        <v>91.7761672511391</v>
      </c>
      <c r="E2661" s="100">
        <v>94.888901334594735</v>
      </c>
      <c r="F2661" s="100">
        <v>-508.42648992990718</v>
      </c>
      <c r="G2661" s="100">
        <v>639.23830658909969</v>
      </c>
      <c r="H2661" s="100">
        <v>2079.8257086950116</v>
      </c>
      <c r="I2661" s="100">
        <v>-1508.2616798935078</v>
      </c>
      <c r="J2661" s="100">
        <v>702.37584546069638</v>
      </c>
    </row>
    <row r="2662" spans="1:10" x14ac:dyDescent="0.25">
      <c r="A2662">
        <v>2645</v>
      </c>
      <c r="B2662" s="100">
        <v>89.510863006152206</v>
      </c>
      <c r="C2662" s="100">
        <v>98.068736148174665</v>
      </c>
      <c r="D2662" s="100">
        <v>93.541308205448317</v>
      </c>
      <c r="E2662" s="100">
        <v>95.078162478600859</v>
      </c>
      <c r="F2662" s="100">
        <v>141.16868340724835</v>
      </c>
      <c r="G2662" s="100">
        <v>211.73003768117837</v>
      </c>
      <c r="H2662" s="100">
        <v>-1450.4561999234227</v>
      </c>
      <c r="I2662" s="100">
        <v>-1697.5228238996324</v>
      </c>
      <c r="J2662" s="100">
        <v>-2795.0803027346283</v>
      </c>
    </row>
    <row r="2663" spans="1:10" x14ac:dyDescent="0.25">
      <c r="A2663">
        <v>2646</v>
      </c>
      <c r="B2663" s="100">
        <v>89.534247264787126</v>
      </c>
      <c r="C2663" s="100">
        <v>96.630149218462009</v>
      </c>
      <c r="D2663" s="100">
        <v>92.18892431622011</v>
      </c>
      <c r="E2663" s="100">
        <v>93.565208434524592</v>
      </c>
      <c r="F2663" s="100">
        <v>64.000629912013096</v>
      </c>
      <c r="G2663" s="100">
        <v>2369.6104322501624</v>
      </c>
      <c r="H2663" s="100">
        <v>1254.3115785329917</v>
      </c>
      <c r="I2663" s="100">
        <v>-184.5687798233655</v>
      </c>
      <c r="J2663" s="100">
        <v>3503.3538608718018</v>
      </c>
    </row>
    <row r="2664" spans="1:10" x14ac:dyDescent="0.25">
      <c r="A2664">
        <v>2647</v>
      </c>
      <c r="B2664" s="100">
        <v>89.545423441783626</v>
      </c>
      <c r="C2664" s="100">
        <v>98.51137467151888</v>
      </c>
      <c r="D2664" s="100">
        <v>90.364920930803322</v>
      </c>
      <c r="E2664" s="100">
        <v>94.43867584221951</v>
      </c>
      <c r="F2664" s="100">
        <v>27.119245823563176</v>
      </c>
      <c r="G2664" s="100">
        <v>-452.2277473351437</v>
      </c>
      <c r="H2664" s="100">
        <v>4902.3183493665674</v>
      </c>
      <c r="I2664" s="100">
        <v>-1058.036187518283</v>
      </c>
      <c r="J2664" s="100">
        <v>3419.173660336704</v>
      </c>
    </row>
    <row r="2665" spans="1:10" x14ac:dyDescent="0.25">
      <c r="A2665">
        <v>2648</v>
      </c>
      <c r="B2665" s="100">
        <v>89.485378208115677</v>
      </c>
      <c r="C2665" s="100">
        <v>97.437671564417784</v>
      </c>
      <c r="D2665" s="100">
        <v>91.644605317258353</v>
      </c>
      <c r="E2665" s="100">
        <v>92.582163446208071</v>
      </c>
      <c r="F2665" s="100">
        <v>225.26851692779672</v>
      </c>
      <c r="G2665" s="100">
        <v>1158.3269133165004</v>
      </c>
      <c r="H2665" s="100">
        <v>2342.9495764565045</v>
      </c>
      <c r="I2665" s="100">
        <v>798.47620849315604</v>
      </c>
      <c r="J2665" s="100">
        <v>4525.0212151939577</v>
      </c>
    </row>
    <row r="2666" spans="1:10" x14ac:dyDescent="0.25">
      <c r="A2666">
        <v>2649</v>
      </c>
      <c r="B2666" s="100">
        <v>88.731938126834208</v>
      </c>
      <c r="C2666" s="100">
        <v>97.776412666381589</v>
      </c>
      <c r="D2666" s="100">
        <v>93.674506474036278</v>
      </c>
      <c r="E2666" s="100">
        <v>90.627058550088137</v>
      </c>
      <c r="F2666" s="100">
        <v>2711.6207851566414</v>
      </c>
      <c r="G2666" s="100">
        <v>650.21526037079275</v>
      </c>
      <c r="H2666" s="100">
        <v>-1716.8527370993445</v>
      </c>
      <c r="I2666" s="100">
        <v>2753.5811046130902</v>
      </c>
      <c r="J2666" s="100">
        <v>4398.5644130411802</v>
      </c>
    </row>
    <row r="2667" spans="1:10" x14ac:dyDescent="0.25">
      <c r="A2667">
        <v>2650</v>
      </c>
      <c r="B2667" s="100">
        <v>89.79624016729052</v>
      </c>
      <c r="C2667" s="100">
        <v>96.943929728841297</v>
      </c>
      <c r="D2667" s="100">
        <v>92.869521940924528</v>
      </c>
      <c r="E2667" s="100">
        <v>93.617910888966662</v>
      </c>
      <c r="F2667" s="100">
        <v>-800.57594834918723</v>
      </c>
      <c r="G2667" s="100">
        <v>1898.9396666812297</v>
      </c>
      <c r="H2667" s="100">
        <v>-106.88367087584538</v>
      </c>
      <c r="I2667" s="100">
        <v>-237.27123426543528</v>
      </c>
      <c r="J2667" s="100">
        <v>754.20881319076182</v>
      </c>
    </row>
    <row r="2668" spans="1:10" x14ac:dyDescent="0.25">
      <c r="A2668">
        <v>2651</v>
      </c>
      <c r="B2668" s="100">
        <v>89.4912159668567</v>
      </c>
      <c r="C2668" s="100">
        <v>100.35717341047979</v>
      </c>
      <c r="D2668" s="100">
        <v>92.62733605009079</v>
      </c>
      <c r="E2668" s="100">
        <v>94.098536453892009</v>
      </c>
      <c r="F2668" s="100">
        <v>206.00391308241939</v>
      </c>
      <c r="G2668" s="100">
        <v>-3220.925855776507</v>
      </c>
      <c r="H2668" s="100">
        <v>377.48811079163147</v>
      </c>
      <c r="I2668" s="100">
        <v>-717.89679919078253</v>
      </c>
      <c r="J2668" s="100">
        <v>-3355.3306310932389</v>
      </c>
    </row>
    <row r="2669" spans="1:10" x14ac:dyDescent="0.25">
      <c r="A2669">
        <v>2652</v>
      </c>
      <c r="B2669" s="100">
        <v>89.136943753285919</v>
      </c>
      <c r="C2669" s="100">
        <v>98.727895140823165</v>
      </c>
      <c r="D2669" s="100">
        <v>95.010839664999963</v>
      </c>
      <c r="E2669" s="100">
        <v>96.328074329906045</v>
      </c>
      <c r="F2669" s="100">
        <v>1375.102217865995</v>
      </c>
      <c r="G2669" s="100">
        <v>-777.00845129157165</v>
      </c>
      <c r="H2669" s="100">
        <v>-4389.519119026716</v>
      </c>
      <c r="I2669" s="100">
        <v>-2947.4346752048177</v>
      </c>
      <c r="J2669" s="100">
        <v>-6738.8600276571105</v>
      </c>
    </row>
    <row r="2670" spans="1:10" x14ac:dyDescent="0.25">
      <c r="A2670">
        <v>2653</v>
      </c>
      <c r="B2670" s="100">
        <v>90.875470381241371</v>
      </c>
      <c r="C2670" s="100">
        <v>98.803660949897647</v>
      </c>
      <c r="D2670" s="100">
        <v>90.712336350166623</v>
      </c>
      <c r="E2670" s="100">
        <v>93.521714575321454</v>
      </c>
      <c r="F2670" s="100">
        <v>-4362.0356543869948</v>
      </c>
      <c r="G2670" s="100">
        <v>-890.65716490329555</v>
      </c>
      <c r="H2670" s="100">
        <v>4207.487510639965</v>
      </c>
      <c r="I2670" s="100">
        <v>-141.07492062022686</v>
      </c>
      <c r="J2670" s="100">
        <v>-1186.2802292705524</v>
      </c>
    </row>
    <row r="2671" spans="1:10" x14ac:dyDescent="0.25">
      <c r="A2671">
        <v>2654</v>
      </c>
      <c r="B2671" s="100">
        <v>89.318240939134157</v>
      </c>
      <c r="C2671" s="100">
        <v>97.674574318970826</v>
      </c>
      <c r="D2671" s="100">
        <v>92.318660056169563</v>
      </c>
      <c r="E2671" s="100">
        <v>95.227621236002079</v>
      </c>
      <c r="F2671" s="100">
        <v>776.82150456681279</v>
      </c>
      <c r="G2671" s="100">
        <v>802.97278148693613</v>
      </c>
      <c r="H2671" s="100">
        <v>994.84009863408573</v>
      </c>
      <c r="I2671" s="100">
        <v>-1846.9815813008522</v>
      </c>
      <c r="J2671" s="100">
        <v>727.65280338698221</v>
      </c>
    </row>
    <row r="2672" spans="1:10" x14ac:dyDescent="0.25">
      <c r="A2672">
        <v>2655</v>
      </c>
      <c r="B2672" s="100">
        <v>89.933384043806143</v>
      </c>
      <c r="C2672" s="100">
        <v>99.469854459298347</v>
      </c>
      <c r="D2672" s="100">
        <v>91.982061145890185</v>
      </c>
      <c r="E2672" s="100">
        <v>91.583308535308774</v>
      </c>
      <c r="F2672" s="100">
        <v>-1253.1507408507423</v>
      </c>
      <c r="G2672" s="100">
        <v>-1889.9474290043443</v>
      </c>
      <c r="H2672" s="100">
        <v>1668.0379191928409</v>
      </c>
      <c r="I2672" s="100">
        <v>1797.331119392453</v>
      </c>
      <c r="J2672" s="100">
        <v>322.27086873020721</v>
      </c>
    </row>
    <row r="2673" spans="1:10" x14ac:dyDescent="0.25">
      <c r="A2673">
        <v>2656</v>
      </c>
      <c r="B2673" s="100">
        <v>89.560457745898233</v>
      </c>
      <c r="C2673" s="100">
        <v>99.490881819184835</v>
      </c>
      <c r="D2673" s="100">
        <v>91.794751551679013</v>
      </c>
      <c r="E2673" s="100">
        <v>94.697111169329688</v>
      </c>
      <c r="F2673" s="100">
        <v>-22.493957754640803</v>
      </c>
      <c r="G2673" s="100">
        <v>-1921.4884688340774</v>
      </c>
      <c r="H2673" s="100">
        <v>2042.6571076151845</v>
      </c>
      <c r="I2673" s="100">
        <v>-1316.4715146284607</v>
      </c>
      <c r="J2673" s="100">
        <v>-1217.7968336019944</v>
      </c>
    </row>
    <row r="2674" spans="1:10" x14ac:dyDescent="0.25">
      <c r="A2674">
        <v>2657</v>
      </c>
      <c r="B2674" s="100">
        <v>90.363249804322606</v>
      </c>
      <c r="C2674" s="100">
        <v>98.360099331775558</v>
      </c>
      <c r="D2674" s="100">
        <v>93.169908307943516</v>
      </c>
      <c r="E2674" s="100">
        <v>93.258391349101842</v>
      </c>
      <c r="F2674" s="100">
        <v>-2671.7077505550719</v>
      </c>
      <c r="G2674" s="100">
        <v>-225.31473772016142</v>
      </c>
      <c r="H2674" s="100">
        <v>-707.65640491381987</v>
      </c>
      <c r="I2674" s="100">
        <v>122.24830559938482</v>
      </c>
      <c r="J2674" s="100">
        <v>-3482.4305875896684</v>
      </c>
    </row>
    <row r="2675" spans="1:10" x14ac:dyDescent="0.25">
      <c r="A2675">
        <v>2658</v>
      </c>
      <c r="B2675" s="100">
        <v>90.178346441090241</v>
      </c>
      <c r="C2675" s="100">
        <v>98.948975244877573</v>
      </c>
      <c r="D2675" s="100">
        <v>92.418960274981245</v>
      </c>
      <c r="E2675" s="100">
        <v>91.986172384255838</v>
      </c>
      <c r="F2675" s="100">
        <v>-2061.5266518882663</v>
      </c>
      <c r="G2675" s="100">
        <v>-1108.6286073731842</v>
      </c>
      <c r="H2675" s="100">
        <v>794.23966101072097</v>
      </c>
      <c r="I2675" s="100">
        <v>1394.4672704453892</v>
      </c>
      <c r="J2675" s="100">
        <v>-981.4483278053408</v>
      </c>
    </row>
    <row r="2676" spans="1:10" x14ac:dyDescent="0.25">
      <c r="A2676">
        <v>2659</v>
      </c>
      <c r="B2676" s="100">
        <v>90.379036515768007</v>
      </c>
      <c r="C2676" s="100">
        <v>99.61846615894855</v>
      </c>
      <c r="D2676" s="100">
        <v>93.13102562734791</v>
      </c>
      <c r="E2676" s="100">
        <v>92.877623951559769</v>
      </c>
      <c r="F2676" s="100">
        <v>-2723.8038983248944</v>
      </c>
      <c r="G2676" s="100">
        <v>-2112.8649784796494</v>
      </c>
      <c r="H2676" s="100">
        <v>-629.8910437226084</v>
      </c>
      <c r="I2676" s="100">
        <v>503.01570314145749</v>
      </c>
      <c r="J2676" s="100">
        <v>-4963.5442173856954</v>
      </c>
    </row>
    <row r="2677" spans="1:10" x14ac:dyDescent="0.25">
      <c r="A2677">
        <v>2660</v>
      </c>
      <c r="B2677" s="100">
        <v>89.666500686388503</v>
      </c>
      <c r="C2677" s="100">
        <v>97.511086995808796</v>
      </c>
      <c r="D2677" s="100">
        <v>92.815537183825157</v>
      </c>
      <c r="E2677" s="100">
        <v>97.636531762126467</v>
      </c>
      <c r="F2677" s="100">
        <v>-372.43566137252913</v>
      </c>
      <c r="G2677" s="100">
        <v>1048.2037662299817</v>
      </c>
      <c r="H2677" s="100">
        <v>1.0858433228975173</v>
      </c>
      <c r="I2677" s="100">
        <v>-4255.8921074252394</v>
      </c>
      <c r="J2677" s="100">
        <v>-3579.0381592448894</v>
      </c>
    </row>
    <row r="2678" spans="1:10" x14ac:dyDescent="0.25">
      <c r="A2678">
        <v>2661</v>
      </c>
      <c r="B2678" s="100">
        <v>89.392110704380642</v>
      </c>
      <c r="C2678" s="100">
        <v>99.389082380159891</v>
      </c>
      <c r="D2678" s="100">
        <v>92.288307947528722</v>
      </c>
      <c r="E2678" s="100">
        <v>93.954049703361392</v>
      </c>
      <c r="F2678" s="100">
        <v>533.0512792534123</v>
      </c>
      <c r="G2678" s="100">
        <v>-1768.7893102966611</v>
      </c>
      <c r="H2678" s="100">
        <v>1055.5443159157676</v>
      </c>
      <c r="I2678" s="100">
        <v>-573.41004866016476</v>
      </c>
      <c r="J2678" s="100">
        <v>-753.60376378764602</v>
      </c>
    </row>
    <row r="2679" spans="1:10" x14ac:dyDescent="0.25">
      <c r="A2679">
        <v>2662</v>
      </c>
      <c r="B2679" s="100">
        <v>89.176121341832115</v>
      </c>
      <c r="C2679" s="100">
        <v>98.049429337786307</v>
      </c>
      <c r="D2679" s="100">
        <v>93.680980429481423</v>
      </c>
      <c r="E2679" s="100">
        <v>92.906855133677738</v>
      </c>
      <c r="F2679" s="100">
        <v>1245.8161756635504</v>
      </c>
      <c r="G2679" s="100">
        <v>240.69025326371474</v>
      </c>
      <c r="H2679" s="100">
        <v>-1729.8006479896344</v>
      </c>
      <c r="I2679" s="100">
        <v>473.78452102348945</v>
      </c>
      <c r="J2679" s="100">
        <v>230.49030196112028</v>
      </c>
    </row>
    <row r="2680" spans="1:10" x14ac:dyDescent="0.25">
      <c r="A2680">
        <v>2663</v>
      </c>
      <c r="B2680" s="100">
        <v>89.822810578861578</v>
      </c>
      <c r="C2680" s="100">
        <v>97.964175526074442</v>
      </c>
      <c r="D2680" s="100">
        <v>93.402062211684267</v>
      </c>
      <c r="E2680" s="100">
        <v>91.815220322630651</v>
      </c>
      <c r="F2680" s="100">
        <v>-888.25830653367746</v>
      </c>
      <c r="G2680" s="100">
        <v>368.57097083151302</v>
      </c>
      <c r="H2680" s="100">
        <v>-1171.9642123953236</v>
      </c>
      <c r="I2680" s="100">
        <v>1565.4193320705758</v>
      </c>
      <c r="J2680" s="100">
        <v>-126.23221602691228</v>
      </c>
    </row>
    <row r="2681" spans="1:10" x14ac:dyDescent="0.25">
      <c r="A2681">
        <v>2664</v>
      </c>
      <c r="B2681" s="100">
        <v>89.333666918258317</v>
      </c>
      <c r="C2681" s="100">
        <v>97.132678145882451</v>
      </c>
      <c r="D2681" s="100">
        <v>92.033326337723906</v>
      </c>
      <c r="E2681" s="100">
        <v>92.051449486199701</v>
      </c>
      <c r="F2681" s="100">
        <v>725.91577345708492</v>
      </c>
      <c r="G2681" s="100">
        <v>1615.8170411194988</v>
      </c>
      <c r="H2681" s="100">
        <v>1565.5075355253985</v>
      </c>
      <c r="I2681" s="100">
        <v>1329.1901685015262</v>
      </c>
      <c r="J2681" s="100">
        <v>5236.4305186035081</v>
      </c>
    </row>
    <row r="2682" spans="1:10" x14ac:dyDescent="0.25">
      <c r="A2682">
        <v>2665</v>
      </c>
      <c r="B2682" s="100">
        <v>89.26859796828181</v>
      </c>
      <c r="C2682" s="100">
        <v>98.233097597550795</v>
      </c>
      <c r="D2682" s="100">
        <v>94.089299105629806</v>
      </c>
      <c r="E2682" s="100">
        <v>91.129829400172554</v>
      </c>
      <c r="F2682" s="100">
        <v>940.64330837955617</v>
      </c>
      <c r="G2682" s="100">
        <v>-34.812136383017389</v>
      </c>
      <c r="H2682" s="100">
        <v>-2546.4380002864004</v>
      </c>
      <c r="I2682" s="100">
        <v>2250.8102545286733</v>
      </c>
      <c r="J2682" s="100">
        <v>610.20342623881174</v>
      </c>
    </row>
    <row r="2683" spans="1:10" x14ac:dyDescent="0.25">
      <c r="A2683">
        <v>2666</v>
      </c>
      <c r="B2683" s="100">
        <v>90.904464692232665</v>
      </c>
      <c r="C2683" s="100">
        <v>99.167593889236088</v>
      </c>
      <c r="D2683" s="100">
        <v>93.214744725574931</v>
      </c>
      <c r="E2683" s="100">
        <v>94.173034185522241</v>
      </c>
      <c r="F2683" s="100">
        <v>-4457.7168806582649</v>
      </c>
      <c r="G2683" s="100">
        <v>-1436.5565739109556</v>
      </c>
      <c r="H2683" s="100">
        <v>-797.32924017665141</v>
      </c>
      <c r="I2683" s="100">
        <v>-792.39453082101363</v>
      </c>
      <c r="J2683" s="100">
        <v>-7483.9972255668854</v>
      </c>
    </row>
    <row r="2684" spans="1:10" x14ac:dyDescent="0.25">
      <c r="A2684">
        <v>2667</v>
      </c>
      <c r="B2684" s="100">
        <v>89.269638594243531</v>
      </c>
      <c r="C2684" s="100">
        <v>97.982831893565802</v>
      </c>
      <c r="D2684" s="100">
        <v>94.200614299759224</v>
      </c>
      <c r="E2684" s="100">
        <v>92.967138451822592</v>
      </c>
      <c r="F2684" s="100">
        <v>937.20924270587602</v>
      </c>
      <c r="G2684" s="100">
        <v>340.586419594473</v>
      </c>
      <c r="H2684" s="100">
        <v>-2769.0683885452358</v>
      </c>
      <c r="I2684" s="100">
        <v>413.5012028786349</v>
      </c>
      <c r="J2684" s="100">
        <v>-1077.771523366252</v>
      </c>
    </row>
    <row r="2685" spans="1:10" x14ac:dyDescent="0.25">
      <c r="A2685">
        <v>2668</v>
      </c>
      <c r="B2685" s="100">
        <v>89.888092034420751</v>
      </c>
      <c r="C2685" s="100">
        <v>97.61548327478566</v>
      </c>
      <c r="D2685" s="100">
        <v>91.85762932824916</v>
      </c>
      <c r="E2685" s="100">
        <v>91.454831986468349</v>
      </c>
      <c r="F2685" s="100">
        <v>-1103.6871098789491</v>
      </c>
      <c r="G2685" s="100">
        <v>891.60934776468537</v>
      </c>
      <c r="H2685" s="100">
        <v>1916.9015544748902</v>
      </c>
      <c r="I2685" s="100">
        <v>1925.8076682328779</v>
      </c>
      <c r="J2685" s="100">
        <v>3630.6314605935045</v>
      </c>
    </row>
    <row r="2686" spans="1:10" x14ac:dyDescent="0.25">
      <c r="A2686">
        <v>2669</v>
      </c>
      <c r="B2686" s="100">
        <v>89.117836993309908</v>
      </c>
      <c r="C2686" s="100">
        <v>96.2222741940395</v>
      </c>
      <c r="D2686" s="100">
        <v>93.527643283441947</v>
      </c>
      <c r="E2686" s="100">
        <v>92.291673090782041</v>
      </c>
      <c r="F2686" s="100">
        <v>1438.1545257868338</v>
      </c>
      <c r="G2686" s="100">
        <v>2981.4229688839264</v>
      </c>
      <c r="H2686" s="100">
        <v>-1423.1263559106822</v>
      </c>
      <c r="I2686" s="100">
        <v>1088.9665639191862</v>
      </c>
      <c r="J2686" s="100">
        <v>4085.4177026792649</v>
      </c>
    </row>
    <row r="2687" spans="1:10" x14ac:dyDescent="0.25">
      <c r="A2687">
        <v>2670</v>
      </c>
      <c r="B2687" s="100">
        <v>90.159308499803586</v>
      </c>
      <c r="C2687" s="100">
        <v>98.408200114614019</v>
      </c>
      <c r="D2687" s="100">
        <v>93.189347048529257</v>
      </c>
      <c r="E2687" s="100">
        <v>92.504781915116553</v>
      </c>
      <c r="F2687" s="100">
        <v>-1998.7014456423053</v>
      </c>
      <c r="G2687" s="100">
        <v>-297.46591197785222</v>
      </c>
      <c r="H2687" s="100">
        <v>-746.53388608530236</v>
      </c>
      <c r="I2687" s="100">
        <v>875.85773958467428</v>
      </c>
      <c r="J2687" s="100">
        <v>-2166.8435041207858</v>
      </c>
    </row>
    <row r="2688" spans="1:10" x14ac:dyDescent="0.25">
      <c r="A2688">
        <v>2671</v>
      </c>
      <c r="B2688" s="100">
        <v>89.883258265456462</v>
      </c>
      <c r="C2688" s="100">
        <v>98.268582454858773</v>
      </c>
      <c r="D2688" s="100">
        <v>92.272990625600272</v>
      </c>
      <c r="E2688" s="100">
        <v>94.565083470669663</v>
      </c>
      <c r="F2688" s="100">
        <v>-1087.7356722967945</v>
      </c>
      <c r="G2688" s="100">
        <v>-88.039422344984075</v>
      </c>
      <c r="H2688" s="100">
        <v>1086.178959772667</v>
      </c>
      <c r="I2688" s="100">
        <v>-1184.443815968436</v>
      </c>
      <c r="J2688" s="100">
        <v>-1274.0399508375476</v>
      </c>
    </row>
    <row r="2689" spans="1:10" x14ac:dyDescent="0.25">
      <c r="A2689">
        <v>2672</v>
      </c>
      <c r="B2689" s="100">
        <v>89.871918788161622</v>
      </c>
      <c r="C2689" s="100">
        <v>97.587981282167959</v>
      </c>
      <c r="D2689" s="100">
        <v>93.508245611874642</v>
      </c>
      <c r="E2689" s="100">
        <v>94.703212183254848</v>
      </c>
      <c r="F2689" s="100">
        <v>-1050.3153972238238</v>
      </c>
      <c r="G2689" s="100">
        <v>932.86233669123681</v>
      </c>
      <c r="H2689" s="100">
        <v>-1384.3310127760731</v>
      </c>
      <c r="I2689" s="100">
        <v>-1322.5725285536214</v>
      </c>
      <c r="J2689" s="100">
        <v>-2824.3566018622814</v>
      </c>
    </row>
    <row r="2690" spans="1:10" x14ac:dyDescent="0.25">
      <c r="A2690">
        <v>2673</v>
      </c>
      <c r="B2690" s="100">
        <v>88.84185736768049</v>
      </c>
      <c r="C2690" s="100">
        <v>97.688525017830017</v>
      </c>
      <c r="D2690" s="100">
        <v>93.325384979250089</v>
      </c>
      <c r="E2690" s="100">
        <v>94.152547074951684</v>
      </c>
      <c r="F2690" s="100">
        <v>2348.8872903639135</v>
      </c>
      <c r="G2690" s="100">
        <v>782.04673319815038</v>
      </c>
      <c r="H2690" s="100">
        <v>-1018.6097475269662</v>
      </c>
      <c r="I2690" s="100">
        <v>-771.90742025045722</v>
      </c>
      <c r="J2690" s="100">
        <v>1340.4168557846406</v>
      </c>
    </row>
    <row r="2691" spans="1:10" x14ac:dyDescent="0.25">
      <c r="A2691">
        <v>2674</v>
      </c>
      <c r="B2691" s="100">
        <v>88.996588475486689</v>
      </c>
      <c r="C2691" s="100">
        <v>98.279365934567565</v>
      </c>
      <c r="D2691" s="100">
        <v>91.644207873482998</v>
      </c>
      <c r="E2691" s="100">
        <v>93.161165369596219</v>
      </c>
      <c r="F2691" s="100">
        <v>1838.2746346034551</v>
      </c>
      <c r="G2691" s="100">
        <v>-104.21464190817176</v>
      </c>
      <c r="H2691" s="100">
        <v>2343.7444640072158</v>
      </c>
      <c r="I2691" s="100">
        <v>219.47428510500799</v>
      </c>
      <c r="J2691" s="100">
        <v>4297.2787418075068</v>
      </c>
    </row>
    <row r="2692" spans="1:10" x14ac:dyDescent="0.25">
      <c r="A2692">
        <v>2675</v>
      </c>
      <c r="B2692" s="100">
        <v>89.476080053984106</v>
      </c>
      <c r="C2692" s="100">
        <v>96.750836172289226</v>
      </c>
      <c r="D2692" s="100">
        <v>92.254502750553584</v>
      </c>
      <c r="E2692" s="100">
        <v>93.201506445534392</v>
      </c>
      <c r="F2692" s="100">
        <v>255.95242556198059</v>
      </c>
      <c r="G2692" s="100">
        <v>2188.5800015093364</v>
      </c>
      <c r="H2692" s="100">
        <v>1123.1547098660428</v>
      </c>
      <c r="I2692" s="100">
        <v>179.13320916683517</v>
      </c>
      <c r="J2692" s="100">
        <v>3746.8203461041953</v>
      </c>
    </row>
    <row r="2693" spans="1:10" x14ac:dyDescent="0.25">
      <c r="A2693">
        <v>2676</v>
      </c>
      <c r="B2693" s="100">
        <v>90.03281968155963</v>
      </c>
      <c r="C2693" s="100">
        <v>97.608338324737957</v>
      </c>
      <c r="D2693" s="100">
        <v>93.247014735128232</v>
      </c>
      <c r="E2693" s="100">
        <v>92.936811661778208</v>
      </c>
      <c r="F2693" s="100">
        <v>-1581.2883454372495</v>
      </c>
      <c r="G2693" s="100">
        <v>902.3267728362398</v>
      </c>
      <c r="H2693" s="100">
        <v>-861.86925928325309</v>
      </c>
      <c r="I2693" s="100">
        <v>443.82799292301911</v>
      </c>
      <c r="J2693" s="100">
        <v>-1097.0028389612437</v>
      </c>
    </row>
    <row r="2694" spans="1:10" x14ac:dyDescent="0.25">
      <c r="A2694">
        <v>2677</v>
      </c>
      <c r="B2694" s="100">
        <v>89.430627990607306</v>
      </c>
      <c r="C2694" s="100">
        <v>97.285377834177368</v>
      </c>
      <c r="D2694" s="100">
        <v>92.18470935455872</v>
      </c>
      <c r="E2694" s="100">
        <v>93.106853584355022</v>
      </c>
      <c r="F2694" s="100">
        <v>405.94423470542012</v>
      </c>
      <c r="G2694" s="100">
        <v>1386.7675086771242</v>
      </c>
      <c r="H2694" s="100">
        <v>1262.7415018557713</v>
      </c>
      <c r="I2694" s="100">
        <v>273.78607034620472</v>
      </c>
      <c r="J2694" s="100">
        <v>3329.2393155845202</v>
      </c>
    </row>
    <row r="2695" spans="1:10" x14ac:dyDescent="0.25">
      <c r="A2695">
        <v>2678</v>
      </c>
      <c r="B2695" s="100">
        <v>89.278754918680775</v>
      </c>
      <c r="C2695" s="100">
        <v>98.569137866639792</v>
      </c>
      <c r="D2695" s="100">
        <v>92.080104795885745</v>
      </c>
      <c r="E2695" s="100">
        <v>93.224715215502755</v>
      </c>
      <c r="F2695" s="100">
        <v>907.12537206297134</v>
      </c>
      <c r="G2695" s="100">
        <v>-538.87254001651286</v>
      </c>
      <c r="H2695" s="100">
        <v>1471.9506192017207</v>
      </c>
      <c r="I2695" s="100">
        <v>155.92443919847199</v>
      </c>
      <c r="J2695" s="100">
        <v>1996.1278904466512</v>
      </c>
    </row>
    <row r="2696" spans="1:10" x14ac:dyDescent="0.25">
      <c r="A2696">
        <v>2679</v>
      </c>
      <c r="B2696" s="100">
        <v>89.801656305104657</v>
      </c>
      <c r="C2696" s="100">
        <v>97.698730251456325</v>
      </c>
      <c r="D2696" s="100">
        <v>94.019876491690667</v>
      </c>
      <c r="E2696" s="100">
        <v>93.490420710486802</v>
      </c>
      <c r="F2696" s="100">
        <v>-818.44920313584021</v>
      </c>
      <c r="G2696" s="100">
        <v>766.73888275868762</v>
      </c>
      <c r="H2696" s="100">
        <v>-2407.5927724081225</v>
      </c>
      <c r="I2696" s="100">
        <v>-109.78105578557518</v>
      </c>
      <c r="J2696" s="100">
        <v>-2569.0841485708502</v>
      </c>
    </row>
    <row r="2697" spans="1:10" x14ac:dyDescent="0.25">
      <c r="A2697">
        <v>2680</v>
      </c>
      <c r="B2697" s="100">
        <v>89.849564418380396</v>
      </c>
      <c r="C2697" s="100">
        <v>97.20445236676764</v>
      </c>
      <c r="D2697" s="100">
        <v>92.646207991175885</v>
      </c>
      <c r="E2697" s="100">
        <v>91.637618905497973</v>
      </c>
      <c r="F2697" s="100">
        <v>-976.54597694577774</v>
      </c>
      <c r="G2697" s="100">
        <v>1508.1557097917155</v>
      </c>
      <c r="H2697" s="100">
        <v>339.74422862144138</v>
      </c>
      <c r="I2697" s="100">
        <v>1743.0207492032537</v>
      </c>
      <c r="J2697" s="100">
        <v>2614.3747106706328</v>
      </c>
    </row>
    <row r="2698" spans="1:10" x14ac:dyDescent="0.25">
      <c r="A2698">
        <v>2681</v>
      </c>
      <c r="B2698" s="100">
        <v>89.833265775739264</v>
      </c>
      <c r="C2698" s="100">
        <v>97.845622444096961</v>
      </c>
      <c r="D2698" s="100">
        <v>92.838163046238563</v>
      </c>
      <c r="E2698" s="100">
        <v>91.409146457267582</v>
      </c>
      <c r="F2698" s="100">
        <v>-922.76045623004143</v>
      </c>
      <c r="G2698" s="100">
        <v>546.4005937977347</v>
      </c>
      <c r="H2698" s="100">
        <v>-44.165881503914761</v>
      </c>
      <c r="I2698" s="100">
        <v>1971.493197433645</v>
      </c>
      <c r="J2698" s="100">
        <v>1550.9674534974235</v>
      </c>
    </row>
    <row r="2699" spans="1:10" x14ac:dyDescent="0.25">
      <c r="A2699">
        <v>2682</v>
      </c>
      <c r="B2699" s="100">
        <v>89.57965733820005</v>
      </c>
      <c r="C2699" s="100">
        <v>98.370049870940846</v>
      </c>
      <c r="D2699" s="100">
        <v>92.570823069192599</v>
      </c>
      <c r="E2699" s="100">
        <v>93.973781693223572</v>
      </c>
      <c r="F2699" s="100">
        <v>-85.852612350636548</v>
      </c>
      <c r="G2699" s="100">
        <v>-240.2405464680939</v>
      </c>
      <c r="H2699" s="100">
        <v>490.51407258801305</v>
      </c>
      <c r="I2699" s="100">
        <v>-593.14203852234471</v>
      </c>
      <c r="J2699" s="100">
        <v>-428.7211247530621</v>
      </c>
    </row>
    <row r="2700" spans="1:10" x14ac:dyDescent="0.25">
      <c r="A2700">
        <v>2683</v>
      </c>
      <c r="B2700" s="100">
        <v>89.58464168349802</v>
      </c>
      <c r="C2700" s="100">
        <v>98.472707942409059</v>
      </c>
      <c r="D2700" s="100">
        <v>93.908451526621008</v>
      </c>
      <c r="E2700" s="100">
        <v>93.702779978032368</v>
      </c>
      <c r="F2700" s="100">
        <v>-102.30095183393786</v>
      </c>
      <c r="G2700" s="100">
        <v>-394.22765367041279</v>
      </c>
      <c r="H2700" s="100">
        <v>-2184.742842268804</v>
      </c>
      <c r="I2700" s="100">
        <v>-322.14032333114062</v>
      </c>
      <c r="J2700" s="100">
        <v>-3003.4117711042954</v>
      </c>
    </row>
    <row r="2701" spans="1:10" x14ac:dyDescent="0.25">
      <c r="A2701">
        <v>2684</v>
      </c>
      <c r="B2701" s="100">
        <v>89.91091516309119</v>
      </c>
      <c r="C2701" s="100">
        <v>99.323948183651282</v>
      </c>
      <c r="D2701" s="100">
        <v>91.277661091214711</v>
      </c>
      <c r="E2701" s="100">
        <v>91.382436040415342</v>
      </c>
      <c r="F2701" s="100">
        <v>-1179.0034344913963</v>
      </c>
      <c r="G2701" s="100">
        <v>-1671.0880155337477</v>
      </c>
      <c r="H2701" s="100">
        <v>3076.8380285437897</v>
      </c>
      <c r="I2701" s="100">
        <v>1998.2036142858847</v>
      </c>
      <c r="J2701" s="100">
        <v>2224.9501928045306</v>
      </c>
    </row>
    <row r="2702" spans="1:10" x14ac:dyDescent="0.25">
      <c r="A2702">
        <v>2685</v>
      </c>
      <c r="B2702" s="100">
        <v>90.38076429318015</v>
      </c>
      <c r="C2702" s="100">
        <v>99.695600554379695</v>
      </c>
      <c r="D2702" s="100">
        <v>92.042196399222718</v>
      </c>
      <c r="E2702" s="100">
        <v>94.923171066238922</v>
      </c>
      <c r="F2702" s="100">
        <v>-2729.5055637849641</v>
      </c>
      <c r="G2702" s="100">
        <v>-2228.5665716263666</v>
      </c>
      <c r="H2702" s="100">
        <v>1547.7674125277758</v>
      </c>
      <c r="I2702" s="100">
        <v>-1542.531411537695</v>
      </c>
      <c r="J2702" s="100">
        <v>-4952.8361344212499</v>
      </c>
    </row>
    <row r="2703" spans="1:10" x14ac:dyDescent="0.25">
      <c r="A2703">
        <v>2686</v>
      </c>
      <c r="B2703" s="100">
        <v>89.424597527184957</v>
      </c>
      <c r="C2703" s="100">
        <v>97.890742949038255</v>
      </c>
      <c r="D2703" s="100">
        <v>92.985124997260712</v>
      </c>
      <c r="E2703" s="100">
        <v>94.346663161479015</v>
      </c>
      <c r="F2703" s="100">
        <v>425.84476399917008</v>
      </c>
      <c r="G2703" s="100">
        <v>478.71983638579252</v>
      </c>
      <c r="H2703" s="100">
        <v>-338.08978354821306</v>
      </c>
      <c r="I2703" s="100">
        <v>-966.02350677778759</v>
      </c>
      <c r="J2703" s="100">
        <v>-399.54868994103799</v>
      </c>
    </row>
    <row r="2704" spans="1:10" x14ac:dyDescent="0.25">
      <c r="A2704">
        <v>2687</v>
      </c>
      <c r="B2704" s="100">
        <v>89.150336639807449</v>
      </c>
      <c r="C2704" s="100">
        <v>97.321505463932326</v>
      </c>
      <c r="D2704" s="100">
        <v>93.167744778449006</v>
      </c>
      <c r="E2704" s="100">
        <v>96.385063376707265</v>
      </c>
      <c r="F2704" s="100">
        <v>1330.9056923449475</v>
      </c>
      <c r="G2704" s="100">
        <v>1332.5760640446874</v>
      </c>
      <c r="H2704" s="100">
        <v>-703.32934592480001</v>
      </c>
      <c r="I2704" s="100">
        <v>-3004.4237220060381</v>
      </c>
      <c r="J2704" s="100">
        <v>-1044.2713115412032</v>
      </c>
    </row>
    <row r="2705" spans="1:10" x14ac:dyDescent="0.25">
      <c r="A2705">
        <v>2688</v>
      </c>
      <c r="B2705" s="100">
        <v>89.33005242833022</v>
      </c>
      <c r="C2705" s="100">
        <v>98.018001475915767</v>
      </c>
      <c r="D2705" s="100">
        <v>91.006474937863842</v>
      </c>
      <c r="E2705" s="100">
        <v>93.262614975418913</v>
      </c>
      <c r="F2705" s="100">
        <v>737.84359021980492</v>
      </c>
      <c r="G2705" s="100">
        <v>287.83204606952495</v>
      </c>
      <c r="H2705" s="100">
        <v>3619.210335245526</v>
      </c>
      <c r="I2705" s="100">
        <v>118.02467928231408</v>
      </c>
      <c r="J2705" s="100">
        <v>4762.9106508171699</v>
      </c>
    </row>
    <row r="2706" spans="1:10" x14ac:dyDescent="0.25">
      <c r="A2706">
        <v>2689</v>
      </c>
      <c r="B2706" s="100">
        <v>89.469598065834205</v>
      </c>
      <c r="C2706" s="100">
        <v>98.464088577216785</v>
      </c>
      <c r="D2706" s="100">
        <v>91.843924401520354</v>
      </c>
      <c r="E2706" s="100">
        <v>88.954796603885995</v>
      </c>
      <c r="F2706" s="100">
        <v>277.34298645665234</v>
      </c>
      <c r="G2706" s="100">
        <v>-381.2986058820016</v>
      </c>
      <c r="H2706" s="100">
        <v>1944.3114079325028</v>
      </c>
      <c r="I2706" s="100">
        <v>4425.8430508152314</v>
      </c>
      <c r="J2706" s="100">
        <v>6266.1988393223855</v>
      </c>
    </row>
    <row r="2707" spans="1:10" x14ac:dyDescent="0.25">
      <c r="A2707">
        <v>2690</v>
      </c>
      <c r="B2707" s="100">
        <v>90.088856125447492</v>
      </c>
      <c r="C2707" s="100">
        <v>98.111865508562346</v>
      </c>
      <c r="D2707" s="100">
        <v>94.266806798801952</v>
      </c>
      <c r="E2707" s="100">
        <v>95.371921953994061</v>
      </c>
      <c r="F2707" s="100">
        <v>-1766.2086102671949</v>
      </c>
      <c r="G2707" s="100">
        <v>147.03599709965687</v>
      </c>
      <c r="H2707" s="100">
        <v>-2901.453386630692</v>
      </c>
      <c r="I2707" s="100">
        <v>-1991.2822992928341</v>
      </c>
      <c r="J2707" s="100">
        <v>-6511.9082990910638</v>
      </c>
    </row>
    <row r="2708" spans="1:10" x14ac:dyDescent="0.25">
      <c r="A2708">
        <v>2691</v>
      </c>
      <c r="B2708" s="100">
        <v>89.903014735765922</v>
      </c>
      <c r="C2708" s="100">
        <v>97.9812307518267</v>
      </c>
      <c r="D2708" s="100">
        <v>93.444599363980359</v>
      </c>
      <c r="E2708" s="100">
        <v>92.828605482326282</v>
      </c>
      <c r="F2708" s="100">
        <v>-1152.9320243180123</v>
      </c>
      <c r="G2708" s="100">
        <v>342.98813220312496</v>
      </c>
      <c r="H2708" s="100">
        <v>-1257.0385169875067</v>
      </c>
      <c r="I2708" s="100">
        <v>552.03417237494534</v>
      </c>
      <c r="J2708" s="100">
        <v>-1514.9482367274486</v>
      </c>
    </row>
    <row r="2709" spans="1:10" x14ac:dyDescent="0.25">
      <c r="A2709">
        <v>2692</v>
      </c>
      <c r="B2709" s="100">
        <v>90.248061042608896</v>
      </c>
      <c r="C2709" s="100">
        <v>99.413098138302203</v>
      </c>
      <c r="D2709" s="100">
        <v>93.362515609609403</v>
      </c>
      <c r="E2709" s="100">
        <v>93.326142862991929</v>
      </c>
      <c r="F2709" s="100">
        <v>-2291.5848368998268</v>
      </c>
      <c r="G2709" s="100">
        <v>-1804.8129475101291</v>
      </c>
      <c r="H2709" s="100">
        <v>-1092.871008245595</v>
      </c>
      <c r="I2709" s="100">
        <v>54.496791709297554</v>
      </c>
      <c r="J2709" s="100">
        <v>-5134.7720009462528</v>
      </c>
    </row>
    <row r="2710" spans="1:10" x14ac:dyDescent="0.25">
      <c r="A2710">
        <v>2693</v>
      </c>
      <c r="B2710" s="100">
        <v>88.942752599913433</v>
      </c>
      <c r="C2710" s="100">
        <v>98.288750999810787</v>
      </c>
      <c r="D2710" s="100">
        <v>95.516974910350555</v>
      </c>
      <c r="E2710" s="100">
        <v>96.328021067826711</v>
      </c>
      <c r="F2710" s="100">
        <v>2015.9330239951998</v>
      </c>
      <c r="G2710" s="100">
        <v>-118.29223977300529</v>
      </c>
      <c r="H2710" s="100">
        <v>-5401.789609727899</v>
      </c>
      <c r="I2710" s="100">
        <v>-2947.381413125484</v>
      </c>
      <c r="J2710" s="100">
        <v>-6451.5302386311887</v>
      </c>
    </row>
    <row r="2711" spans="1:10" x14ac:dyDescent="0.25">
      <c r="A2711">
        <v>2694</v>
      </c>
      <c r="B2711" s="100">
        <v>89.115505116683622</v>
      </c>
      <c r="C2711" s="100">
        <v>97.516526098656385</v>
      </c>
      <c r="D2711" s="100">
        <v>94.350082377745579</v>
      </c>
      <c r="E2711" s="100">
        <v>93.189376970026785</v>
      </c>
      <c r="F2711" s="100">
        <v>1445.8497186535781</v>
      </c>
      <c r="G2711" s="100">
        <v>1040.045111958598</v>
      </c>
      <c r="H2711" s="100">
        <v>-3068.0045445179476</v>
      </c>
      <c r="I2711" s="100">
        <v>191.26268467444163</v>
      </c>
      <c r="J2711" s="100">
        <v>-390.84702923132988</v>
      </c>
    </row>
    <row r="2712" spans="1:10" x14ac:dyDescent="0.25">
      <c r="A2712">
        <v>2695</v>
      </c>
      <c r="B2712" s="100">
        <v>89.652319785984517</v>
      </c>
      <c r="C2712" s="100">
        <v>97.630932311334107</v>
      </c>
      <c r="D2712" s="100">
        <v>92.017196614894146</v>
      </c>
      <c r="E2712" s="100">
        <v>90.990177286902366</v>
      </c>
      <c r="F2712" s="100">
        <v>-325.6386900393764</v>
      </c>
      <c r="G2712" s="100">
        <v>868.43579294201595</v>
      </c>
      <c r="H2712" s="100">
        <v>1597.7669811849182</v>
      </c>
      <c r="I2712" s="100">
        <v>2390.4623677988611</v>
      </c>
      <c r="J2712" s="100">
        <v>4531.0264518864187</v>
      </c>
    </row>
    <row r="2713" spans="1:10" x14ac:dyDescent="0.25">
      <c r="A2713">
        <v>2696</v>
      </c>
      <c r="B2713" s="100">
        <v>89.201881387378776</v>
      </c>
      <c r="C2713" s="100">
        <v>97.55871167221035</v>
      </c>
      <c r="D2713" s="100">
        <v>92.75280471089043</v>
      </c>
      <c r="E2713" s="100">
        <v>92.802967513249229</v>
      </c>
      <c r="F2713" s="100">
        <v>1160.8080253595674</v>
      </c>
      <c r="G2713" s="100">
        <v>976.76675162765036</v>
      </c>
      <c r="H2713" s="100">
        <v>126.55078919235052</v>
      </c>
      <c r="I2713" s="100">
        <v>577.6721414519983</v>
      </c>
      <c r="J2713" s="100">
        <v>2841.7977076315669</v>
      </c>
    </row>
    <row r="2714" spans="1:10" x14ac:dyDescent="0.25">
      <c r="A2714">
        <v>2697</v>
      </c>
      <c r="B2714" s="100">
        <v>89.219504269593486</v>
      </c>
      <c r="C2714" s="100">
        <v>98.031050743590214</v>
      </c>
      <c r="D2714" s="100">
        <v>92.597249204669168</v>
      </c>
      <c r="E2714" s="100">
        <v>93.411354144759898</v>
      </c>
      <c r="F2714" s="100">
        <v>1102.6525140510259</v>
      </c>
      <c r="G2714" s="100">
        <v>268.25814455785491</v>
      </c>
      <c r="H2714" s="100">
        <v>437.66180163487434</v>
      </c>
      <c r="I2714" s="100">
        <v>-30.714490058670663</v>
      </c>
      <c r="J2714" s="100">
        <v>1777.8579701850845</v>
      </c>
    </row>
    <row r="2715" spans="1:10" x14ac:dyDescent="0.25">
      <c r="A2715">
        <v>2698</v>
      </c>
      <c r="B2715" s="100">
        <v>89.574183591470401</v>
      </c>
      <c r="C2715" s="100">
        <v>97.303340254455264</v>
      </c>
      <c r="D2715" s="100">
        <v>93.872342553470432</v>
      </c>
      <c r="E2715" s="100">
        <v>93.694154798176839</v>
      </c>
      <c r="F2715" s="100">
        <v>-67.789248142794634</v>
      </c>
      <c r="G2715" s="100">
        <v>1359.8238782602791</v>
      </c>
      <c r="H2715" s="100">
        <v>-2112.5248959676528</v>
      </c>
      <c r="I2715" s="100">
        <v>-313.51514347561249</v>
      </c>
      <c r="J2715" s="100">
        <v>-1134.0054093257809</v>
      </c>
    </row>
    <row r="2716" spans="1:10" x14ac:dyDescent="0.25">
      <c r="A2716">
        <v>2699</v>
      </c>
      <c r="B2716" s="100">
        <v>90.200057812178841</v>
      </c>
      <c r="C2716" s="100">
        <v>98.753380971703564</v>
      </c>
      <c r="D2716" s="100">
        <v>93.879041831720798</v>
      </c>
      <c r="E2716" s="100">
        <v>93.835989064326327</v>
      </c>
      <c r="F2716" s="100">
        <v>-2133.1741764806452</v>
      </c>
      <c r="G2716" s="100">
        <v>-815.23719761216989</v>
      </c>
      <c r="H2716" s="100">
        <v>-2125.9234524683848</v>
      </c>
      <c r="I2716" s="100">
        <v>-455.34940962510007</v>
      </c>
      <c r="J2716" s="100">
        <v>-5529.6842361863</v>
      </c>
    </row>
    <row r="2717" spans="1:10" x14ac:dyDescent="0.25">
      <c r="A2717">
        <v>2700</v>
      </c>
      <c r="B2717" s="100">
        <v>89.458403103402929</v>
      </c>
      <c r="C2717" s="100">
        <v>97.394665111070267</v>
      </c>
      <c r="D2717" s="100">
        <v>92.634861019924045</v>
      </c>
      <c r="E2717" s="100">
        <v>93.003384719829398</v>
      </c>
      <c r="F2717" s="100">
        <v>314.28636247986219</v>
      </c>
      <c r="G2717" s="100">
        <v>1222.8365933377745</v>
      </c>
      <c r="H2717" s="100">
        <v>362.43817112512033</v>
      </c>
      <c r="I2717" s="100">
        <v>377.2549348718286</v>
      </c>
      <c r="J2717" s="100">
        <v>2276.8160618145857</v>
      </c>
    </row>
    <row r="2718" spans="1:10" x14ac:dyDescent="0.25">
      <c r="A2718">
        <v>2701</v>
      </c>
      <c r="B2718" s="100">
        <v>89.323096981404049</v>
      </c>
      <c r="C2718" s="100">
        <v>97.273548137560269</v>
      </c>
      <c r="D2718" s="100">
        <v>91.871672902842278</v>
      </c>
      <c r="E2718" s="100">
        <v>93.761635512500135</v>
      </c>
      <c r="F2718" s="100">
        <v>760.7965650761671</v>
      </c>
      <c r="G2718" s="100">
        <v>1404.5120536027725</v>
      </c>
      <c r="H2718" s="100">
        <v>1888.814405288656</v>
      </c>
      <c r="I2718" s="100">
        <v>-380.99585779890788</v>
      </c>
      <c r="J2718" s="100">
        <v>3673.1271661686878</v>
      </c>
    </row>
    <row r="2719" spans="1:10" x14ac:dyDescent="0.25">
      <c r="A2719">
        <v>2702</v>
      </c>
      <c r="B2719" s="100">
        <v>89.548847048995555</v>
      </c>
      <c r="C2719" s="100">
        <v>97.258053936350777</v>
      </c>
      <c r="D2719" s="100">
        <v>92.110731398804532</v>
      </c>
      <c r="E2719" s="100">
        <v>95.247325677603868</v>
      </c>
      <c r="F2719" s="100">
        <v>15.821342024199225</v>
      </c>
      <c r="G2719" s="100">
        <v>1427.7533554170104</v>
      </c>
      <c r="H2719" s="100">
        <v>1410.6974133641472</v>
      </c>
      <c r="I2719" s="100">
        <v>-1866.6860229026411</v>
      </c>
      <c r="J2719" s="100">
        <v>987.58608790271546</v>
      </c>
    </row>
    <row r="2720" spans="1:10" x14ac:dyDescent="0.25">
      <c r="A2720">
        <v>2703</v>
      </c>
      <c r="B2720" s="100">
        <v>89.38993068783833</v>
      </c>
      <c r="C2720" s="100">
        <v>98.936001387505229</v>
      </c>
      <c r="D2720" s="100">
        <v>94.023046102056398</v>
      </c>
      <c r="E2720" s="100">
        <v>93.778802984245331</v>
      </c>
      <c r="F2720" s="100">
        <v>540.2453338430405</v>
      </c>
      <c r="G2720" s="100">
        <v>-1089.1678213146677</v>
      </c>
      <c r="H2720" s="100">
        <v>-2413.9319931395848</v>
      </c>
      <c r="I2720" s="100">
        <v>-398.16332954410427</v>
      </c>
      <c r="J2720" s="100">
        <v>-3361.0178101553165</v>
      </c>
    </row>
    <row r="2721" spans="1:10" x14ac:dyDescent="0.25">
      <c r="A2721">
        <v>2704</v>
      </c>
      <c r="B2721" s="100">
        <v>89.914766100991585</v>
      </c>
      <c r="C2721" s="100">
        <v>98.120802591983718</v>
      </c>
      <c r="D2721" s="100">
        <v>93.935254170936275</v>
      </c>
      <c r="E2721" s="100">
        <v>92.017302972888714</v>
      </c>
      <c r="F2721" s="100">
        <v>-1191.7115295627013</v>
      </c>
      <c r="G2721" s="100">
        <v>133.63037196759819</v>
      </c>
      <c r="H2721" s="100">
        <v>-2238.3481308993396</v>
      </c>
      <c r="I2721" s="100">
        <v>1363.3366818125126</v>
      </c>
      <c r="J2721" s="100">
        <v>-1933.09260668193</v>
      </c>
    </row>
    <row r="2722" spans="1:10" x14ac:dyDescent="0.25">
      <c r="A2722">
        <v>2705</v>
      </c>
      <c r="B2722" s="100">
        <v>88.977099584629357</v>
      </c>
      <c r="C2722" s="100">
        <v>98.129502450736084</v>
      </c>
      <c r="D2722" s="100">
        <v>93.313217321520781</v>
      </c>
      <c r="E2722" s="100">
        <v>91.82609547513843</v>
      </c>
      <c r="F2722" s="100">
        <v>1902.5879744326503</v>
      </c>
      <c r="G2722" s="100">
        <v>120.58058383905035</v>
      </c>
      <c r="H2722" s="100">
        <v>-994.27443206835164</v>
      </c>
      <c r="I2722" s="100">
        <v>1554.5441795627967</v>
      </c>
      <c r="J2722" s="100">
        <v>2583.4383057661457</v>
      </c>
    </row>
    <row r="2723" spans="1:10" x14ac:dyDescent="0.25">
      <c r="A2723">
        <v>2706</v>
      </c>
      <c r="B2723" s="100">
        <v>89.202729751203506</v>
      </c>
      <c r="C2723" s="100">
        <v>96.851111392944986</v>
      </c>
      <c r="D2723" s="100">
        <v>93.721439600306169</v>
      </c>
      <c r="E2723" s="100">
        <v>93.306254268512419</v>
      </c>
      <c r="F2723" s="100">
        <v>1158.0084247379589</v>
      </c>
      <c r="G2723" s="100">
        <v>2038.1671705256963</v>
      </c>
      <c r="H2723" s="100">
        <v>-1810.7189896391276</v>
      </c>
      <c r="I2723" s="100">
        <v>74.385386188808411</v>
      </c>
      <c r="J2723" s="100">
        <v>1459.8419918133359</v>
      </c>
    </row>
    <row r="2724" spans="1:10" x14ac:dyDescent="0.25">
      <c r="A2724">
        <v>2707</v>
      </c>
      <c r="B2724" s="100">
        <v>89.80589079029788</v>
      </c>
      <c r="C2724" s="100">
        <v>99.334080457035896</v>
      </c>
      <c r="D2724" s="100">
        <v>92.285487414253538</v>
      </c>
      <c r="E2724" s="100">
        <v>93.738416999617911</v>
      </c>
      <c r="F2724" s="100">
        <v>-832.4230042734755</v>
      </c>
      <c r="G2724" s="100">
        <v>-1686.2864256106675</v>
      </c>
      <c r="H2724" s="100">
        <v>1061.1853824661353</v>
      </c>
      <c r="I2724" s="100">
        <v>-357.77734491668411</v>
      </c>
      <c r="J2724" s="100">
        <v>-1815.3013923346919</v>
      </c>
    </row>
    <row r="2725" spans="1:10" x14ac:dyDescent="0.25">
      <c r="A2725">
        <v>2708</v>
      </c>
      <c r="B2725" s="100">
        <v>89.514387615258855</v>
      </c>
      <c r="C2725" s="100">
        <v>97.879987495591635</v>
      </c>
      <c r="D2725" s="100">
        <v>91.781762187447697</v>
      </c>
      <c r="E2725" s="100">
        <v>92.947788344392222</v>
      </c>
      <c r="F2725" s="100">
        <v>129.53747335530892</v>
      </c>
      <c r="G2725" s="100">
        <v>494.853016555723</v>
      </c>
      <c r="H2725" s="100">
        <v>2068.6358360778172</v>
      </c>
      <c r="I2725" s="100">
        <v>432.85131030900459</v>
      </c>
      <c r="J2725" s="100">
        <v>3125.8776362978533</v>
      </c>
    </row>
    <row r="2726" spans="1:10" x14ac:dyDescent="0.25">
      <c r="A2726">
        <v>2709</v>
      </c>
      <c r="B2726" s="100">
        <v>89.439960349284803</v>
      </c>
      <c r="C2726" s="100">
        <v>99.152854635946952</v>
      </c>
      <c r="D2726" s="100">
        <v>93.381924337125639</v>
      </c>
      <c r="E2726" s="100">
        <v>92.677842248639294</v>
      </c>
      <c r="F2726" s="100">
        <v>375.14745106967951</v>
      </c>
      <c r="G2726" s="100">
        <v>-1414.4476939772517</v>
      </c>
      <c r="H2726" s="100">
        <v>-1131.688463278067</v>
      </c>
      <c r="I2726" s="100">
        <v>702.79740606193286</v>
      </c>
      <c r="J2726" s="100">
        <v>-1468.1913001237065</v>
      </c>
    </row>
    <row r="2727" spans="1:10" x14ac:dyDescent="0.25">
      <c r="A2727">
        <v>2710</v>
      </c>
      <c r="B2727" s="100">
        <v>88.923383991597291</v>
      </c>
      <c r="C2727" s="100">
        <v>97.39743904122578</v>
      </c>
      <c r="D2727" s="100">
        <v>94.794690861691592</v>
      </c>
      <c r="E2727" s="100">
        <v>96.694854650446018</v>
      </c>
      <c r="F2727" s="100">
        <v>2079.8494314384698</v>
      </c>
      <c r="G2727" s="100">
        <v>1218.675698104505</v>
      </c>
      <c r="H2727" s="100">
        <v>-3957.221512409973</v>
      </c>
      <c r="I2727" s="100">
        <v>-3314.2149957447914</v>
      </c>
      <c r="J2727" s="100">
        <v>-3972.9113786117896</v>
      </c>
    </row>
    <row r="2728" spans="1:10" x14ac:dyDescent="0.25">
      <c r="A2728">
        <v>2711</v>
      </c>
      <c r="B2728" s="100">
        <v>89.482604710973476</v>
      </c>
      <c r="C2728" s="100">
        <v>98.495005104012577</v>
      </c>
      <c r="D2728" s="100">
        <v>92.737281508174391</v>
      </c>
      <c r="E2728" s="100">
        <v>91.3481537564859</v>
      </c>
      <c r="F2728" s="100">
        <v>234.42105749705888</v>
      </c>
      <c r="G2728" s="100">
        <v>-427.67339607568999</v>
      </c>
      <c r="H2728" s="100">
        <v>157.59719462442945</v>
      </c>
      <c r="I2728" s="100">
        <v>2032.4858982153273</v>
      </c>
      <c r="J2728" s="100">
        <v>1996.8307542611255</v>
      </c>
    </row>
    <row r="2729" spans="1:10" x14ac:dyDescent="0.25">
      <c r="A2729">
        <v>2712</v>
      </c>
      <c r="B2729" s="100">
        <v>89.601241097857525</v>
      </c>
      <c r="C2729" s="100">
        <v>96.777105852464942</v>
      </c>
      <c r="D2729" s="100">
        <v>93.544590339369563</v>
      </c>
      <c r="E2729" s="100">
        <v>95.217831369276183</v>
      </c>
      <c r="F2729" s="100">
        <v>-157.07901922030203</v>
      </c>
      <c r="G2729" s="100">
        <v>2149.175481245763</v>
      </c>
      <c r="H2729" s="100">
        <v>-1457.0204677659149</v>
      </c>
      <c r="I2729" s="100">
        <v>-1837.1917145749562</v>
      </c>
      <c r="J2729" s="100">
        <v>-1302.1157203154103</v>
      </c>
    </row>
    <row r="2730" spans="1:10" x14ac:dyDescent="0.25">
      <c r="A2730">
        <v>2713</v>
      </c>
      <c r="B2730" s="100">
        <v>89.961821284771077</v>
      </c>
      <c r="C2730" s="100">
        <v>99.75358939855056</v>
      </c>
      <c r="D2730" s="100">
        <v>93.323114630635189</v>
      </c>
      <c r="E2730" s="100">
        <v>93.377097438040707</v>
      </c>
      <c r="F2730" s="100">
        <v>-1346.9936360350232</v>
      </c>
      <c r="G2730" s="100">
        <v>-2315.5498378826637</v>
      </c>
      <c r="H2730" s="100">
        <v>-1014.0690502971665</v>
      </c>
      <c r="I2730" s="100">
        <v>3.5422166605201255</v>
      </c>
      <c r="J2730" s="100">
        <v>-4673.0703075543333</v>
      </c>
    </row>
    <row r="2731" spans="1:10" x14ac:dyDescent="0.25">
      <c r="A2731">
        <v>2714</v>
      </c>
      <c r="B2731" s="100">
        <v>88.648128834144089</v>
      </c>
      <c r="C2731" s="100">
        <v>95.966298371119535</v>
      </c>
      <c r="D2731" s="100">
        <v>92.518347916404338</v>
      </c>
      <c r="E2731" s="100">
        <v>91.81841662784835</v>
      </c>
      <c r="F2731" s="100">
        <v>2988.1914510340366</v>
      </c>
      <c r="G2731" s="100">
        <v>3365.3867032638727</v>
      </c>
      <c r="H2731" s="100">
        <v>595.4643781645359</v>
      </c>
      <c r="I2731" s="100">
        <v>1562.2230268528767</v>
      </c>
      <c r="J2731" s="100">
        <v>8511.2655593153213</v>
      </c>
    </row>
    <row r="2732" spans="1:10" x14ac:dyDescent="0.25">
      <c r="A2732">
        <v>2715</v>
      </c>
      <c r="B2732" s="100">
        <v>88.867389494202214</v>
      </c>
      <c r="C2732" s="100">
        <v>98.359581442576001</v>
      </c>
      <c r="D2732" s="100">
        <v>91.576862608962458</v>
      </c>
      <c r="E2732" s="100">
        <v>93.41390477340714</v>
      </c>
      <c r="F2732" s="100">
        <v>2264.6312728422217</v>
      </c>
      <c r="G2732" s="100">
        <v>-224.53790392082595</v>
      </c>
      <c r="H2732" s="100">
        <v>2478.4349930482958</v>
      </c>
      <c r="I2732" s="100">
        <v>-33.265118705912755</v>
      </c>
      <c r="J2732" s="100">
        <v>4485.2632432637783</v>
      </c>
    </row>
    <row r="2733" spans="1:10" x14ac:dyDescent="0.25">
      <c r="A2733">
        <v>2716</v>
      </c>
      <c r="B2733" s="100">
        <v>89.743928853849937</v>
      </c>
      <c r="C2733" s="100">
        <v>98.317441253036662</v>
      </c>
      <c r="D2733" s="100">
        <v>93.578849610367058</v>
      </c>
      <c r="E2733" s="100">
        <v>93.282894449406427</v>
      </c>
      <c r="F2733" s="100">
        <v>-627.94861399526235</v>
      </c>
      <c r="G2733" s="100">
        <v>-161.32761961181785</v>
      </c>
      <c r="H2733" s="100">
        <v>-1525.5390097609052</v>
      </c>
      <c r="I2733" s="100">
        <v>97.745205294799575</v>
      </c>
      <c r="J2733" s="100">
        <v>-2217.0700380731855</v>
      </c>
    </row>
    <row r="2734" spans="1:10" x14ac:dyDescent="0.25">
      <c r="A2734">
        <v>2717</v>
      </c>
      <c r="B2734" s="100">
        <v>89.855755578377256</v>
      </c>
      <c r="C2734" s="100">
        <v>98.639093649223426</v>
      </c>
      <c r="D2734" s="100">
        <v>92.320077241431605</v>
      </c>
      <c r="E2734" s="100">
        <v>93.767135291751501</v>
      </c>
      <c r="F2734" s="100">
        <v>-996.97680493541441</v>
      </c>
      <c r="G2734" s="100">
        <v>-643.80621389196335</v>
      </c>
      <c r="H2734" s="100">
        <v>992.00572811000143</v>
      </c>
      <c r="I2734" s="100">
        <v>-386.4956370502739</v>
      </c>
      <c r="J2734" s="100">
        <v>-1035.2729277676503</v>
      </c>
    </row>
    <row r="2735" spans="1:10" x14ac:dyDescent="0.25">
      <c r="A2735">
        <v>2718</v>
      </c>
      <c r="B2735" s="100">
        <v>89.156490259026114</v>
      </c>
      <c r="C2735" s="100">
        <v>98.179486784764592</v>
      </c>
      <c r="D2735" s="100">
        <v>92.096749448181896</v>
      </c>
      <c r="E2735" s="100">
        <v>91.035342287085484</v>
      </c>
      <c r="F2735" s="100">
        <v>1310.5987489233528</v>
      </c>
      <c r="G2735" s="100">
        <v>45.604082796288026</v>
      </c>
      <c r="H2735" s="100">
        <v>1438.6613146094192</v>
      </c>
      <c r="I2735" s="100">
        <v>2345.2973676157426</v>
      </c>
      <c r="J2735" s="100">
        <v>5140.1615139448022</v>
      </c>
    </row>
    <row r="2736" spans="1:10" x14ac:dyDescent="0.25">
      <c r="A2736">
        <v>2719</v>
      </c>
      <c r="B2736" s="100">
        <v>88.635501450960419</v>
      </c>
      <c r="C2736" s="100">
        <v>99.17179166453387</v>
      </c>
      <c r="D2736" s="100">
        <v>93.280055751629149</v>
      </c>
      <c r="E2736" s="100">
        <v>92.319282492360259</v>
      </c>
      <c r="F2736" s="100">
        <v>3029.8618155401473</v>
      </c>
      <c r="G2736" s="100">
        <v>-1442.8532368576298</v>
      </c>
      <c r="H2736" s="100">
        <v>-927.95129228508699</v>
      </c>
      <c r="I2736" s="100">
        <v>1061.3571623409684</v>
      </c>
      <c r="J2736" s="100">
        <v>1720.414448738399</v>
      </c>
    </row>
    <row r="2737" spans="1:10" x14ac:dyDescent="0.25">
      <c r="A2737">
        <v>2720</v>
      </c>
      <c r="B2737" s="100">
        <v>89.388491239245326</v>
      </c>
      <c r="C2737" s="100">
        <v>97.805876901145496</v>
      </c>
      <c r="D2737" s="100">
        <v>91.516067567161002</v>
      </c>
      <c r="E2737" s="100">
        <v>92.533283173647462</v>
      </c>
      <c r="F2737" s="100">
        <v>544.99551419995385</v>
      </c>
      <c r="G2737" s="100">
        <v>606.01890822493237</v>
      </c>
      <c r="H2737" s="100">
        <v>2600.0250766512067</v>
      </c>
      <c r="I2737" s="100">
        <v>847.35648105376526</v>
      </c>
      <c r="J2737" s="100">
        <v>4598.3959801298579</v>
      </c>
    </row>
    <row r="2738" spans="1:10" x14ac:dyDescent="0.25">
      <c r="A2738">
        <v>2721</v>
      </c>
      <c r="B2738" s="100">
        <v>89.477319835748048</v>
      </c>
      <c r="C2738" s="100">
        <v>98.55735994102713</v>
      </c>
      <c r="D2738" s="100">
        <v>92.571449087885938</v>
      </c>
      <c r="E2738" s="100">
        <v>93.696766936803641</v>
      </c>
      <c r="F2738" s="100">
        <v>251.86114574097047</v>
      </c>
      <c r="G2738" s="100">
        <v>-521.20565159751914</v>
      </c>
      <c r="H2738" s="100">
        <v>489.26203520133527</v>
      </c>
      <c r="I2738" s="100">
        <v>-316.12728210241414</v>
      </c>
      <c r="J2738" s="100">
        <v>-96.209752757627541</v>
      </c>
    </row>
    <row r="2739" spans="1:10" x14ac:dyDescent="0.25">
      <c r="A2739">
        <v>2722</v>
      </c>
      <c r="B2739" s="100">
        <v>90.542733210327484</v>
      </c>
      <c r="C2739" s="100">
        <v>99.222065461829899</v>
      </c>
      <c r="D2739" s="100">
        <v>94.602952922477911</v>
      </c>
      <c r="E2739" s="100">
        <v>91.604361331651958</v>
      </c>
      <c r="F2739" s="100">
        <v>-3264.0029903711666</v>
      </c>
      <c r="G2739" s="100">
        <v>-1518.2639328016735</v>
      </c>
      <c r="H2739" s="100">
        <v>-3573.7456339826113</v>
      </c>
      <c r="I2739" s="100">
        <v>1776.2783230492687</v>
      </c>
      <c r="J2739" s="100">
        <v>-6579.7342341061822</v>
      </c>
    </row>
    <row r="2740" spans="1:10" x14ac:dyDescent="0.25">
      <c r="A2740">
        <v>2723</v>
      </c>
      <c r="B2740" s="100">
        <v>90.007589188047604</v>
      </c>
      <c r="C2740" s="100">
        <v>97.985717230739141</v>
      </c>
      <c r="D2740" s="100">
        <v>93.511591160541698</v>
      </c>
      <c r="E2740" s="100">
        <v>95.592524385589059</v>
      </c>
      <c r="F2740" s="100">
        <v>-1498.0277168475623</v>
      </c>
      <c r="G2740" s="100">
        <v>336.25841383446442</v>
      </c>
      <c r="H2740" s="100">
        <v>-1391.0221101101854</v>
      </c>
      <c r="I2740" s="100">
        <v>-2211.8847308878317</v>
      </c>
      <c r="J2740" s="100">
        <v>-4764.676144011115</v>
      </c>
    </row>
    <row r="2741" spans="1:10" x14ac:dyDescent="0.25">
      <c r="A2741">
        <v>2724</v>
      </c>
      <c r="B2741" s="100">
        <v>90.403256424599945</v>
      </c>
      <c r="C2741" s="100">
        <v>96.776368507204467</v>
      </c>
      <c r="D2741" s="100">
        <v>91.50829376376376</v>
      </c>
      <c r="E2741" s="100">
        <v>95.518181797060265</v>
      </c>
      <c r="F2741" s="100">
        <v>-2803.7295974702902</v>
      </c>
      <c r="G2741" s="100">
        <v>2150.2814991364758</v>
      </c>
      <c r="H2741" s="100">
        <v>2615.5726834456914</v>
      </c>
      <c r="I2741" s="100">
        <v>-2137.5421423590383</v>
      </c>
      <c r="J2741" s="100">
        <v>-175.41755724716131</v>
      </c>
    </row>
    <row r="2742" spans="1:10" x14ac:dyDescent="0.25">
      <c r="A2742">
        <v>2725</v>
      </c>
      <c r="B2742" s="100">
        <v>89.164969344629796</v>
      </c>
      <c r="C2742" s="100">
        <v>100.38144756763103</v>
      </c>
      <c r="D2742" s="100">
        <v>92.971691944747121</v>
      </c>
      <c r="E2742" s="100">
        <v>94.426931667907652</v>
      </c>
      <c r="F2742" s="100">
        <v>1282.6177664312027</v>
      </c>
      <c r="G2742" s="100">
        <v>-3257.3370915033665</v>
      </c>
      <c r="H2742" s="100">
        <v>-311.22367852103139</v>
      </c>
      <c r="I2742" s="100">
        <v>-1046.2920132064255</v>
      </c>
      <c r="J2742" s="100">
        <v>-3332.235016799621</v>
      </c>
    </row>
    <row r="2743" spans="1:10" x14ac:dyDescent="0.25">
      <c r="A2743">
        <v>2726</v>
      </c>
      <c r="B2743" s="100">
        <v>89.332017688911435</v>
      </c>
      <c r="C2743" s="100">
        <v>97.518370451424843</v>
      </c>
      <c r="D2743" s="100">
        <v>92.1592455234114</v>
      </c>
      <c r="E2743" s="100">
        <v>92.216365316089778</v>
      </c>
      <c r="F2743" s="100">
        <v>731.35823030179381</v>
      </c>
      <c r="G2743" s="100">
        <v>1037.2785828059109</v>
      </c>
      <c r="H2743" s="100">
        <v>1313.6691641504115</v>
      </c>
      <c r="I2743" s="100">
        <v>1164.2743386114489</v>
      </c>
      <c r="J2743" s="100">
        <v>4246.5803158695653</v>
      </c>
    </row>
    <row r="2744" spans="1:10" x14ac:dyDescent="0.25">
      <c r="A2744">
        <v>2727</v>
      </c>
      <c r="B2744" s="100">
        <v>89.707415947202477</v>
      </c>
      <c r="C2744" s="100">
        <v>97.759241759504462</v>
      </c>
      <c r="D2744" s="100">
        <v>92.157820086377455</v>
      </c>
      <c r="E2744" s="100">
        <v>96.903931674691208</v>
      </c>
      <c r="F2744" s="100">
        <v>-507.45602205864628</v>
      </c>
      <c r="G2744" s="100">
        <v>675.97162068648231</v>
      </c>
      <c r="H2744" s="100">
        <v>1316.5200382183002</v>
      </c>
      <c r="I2744" s="100">
        <v>-3523.2920199899809</v>
      </c>
      <c r="J2744" s="100">
        <v>-2038.2563831438447</v>
      </c>
    </row>
    <row r="2745" spans="1:10" x14ac:dyDescent="0.25">
      <c r="A2745">
        <v>2728</v>
      </c>
      <c r="B2745" s="100">
        <v>89.241684110727078</v>
      </c>
      <c r="C2745" s="100">
        <v>98.016190836846746</v>
      </c>
      <c r="D2745" s="100">
        <v>94.507882932888535</v>
      </c>
      <c r="E2745" s="100">
        <v>93.086583728295693</v>
      </c>
      <c r="F2745" s="100">
        <v>1029.4590383101706</v>
      </c>
      <c r="G2745" s="100">
        <v>290.54800467305597</v>
      </c>
      <c r="H2745" s="100">
        <v>-3383.6056548038587</v>
      </c>
      <c r="I2745" s="100">
        <v>294.0559264055338</v>
      </c>
      <c r="J2745" s="100">
        <v>-1769.5426854150983</v>
      </c>
    </row>
    <row r="2746" spans="1:10" x14ac:dyDescent="0.25">
      <c r="A2746">
        <v>2729</v>
      </c>
      <c r="B2746" s="100">
        <v>89.225966805165882</v>
      </c>
      <c r="C2746" s="100">
        <v>98.286797750333562</v>
      </c>
      <c r="D2746" s="100">
        <v>92.531573539107356</v>
      </c>
      <c r="E2746" s="100">
        <v>93.574925025165101</v>
      </c>
      <c r="F2746" s="100">
        <v>1081.3261466621184</v>
      </c>
      <c r="G2746" s="100">
        <v>-115.36236555716783</v>
      </c>
      <c r="H2746" s="100">
        <v>569.0131327584993</v>
      </c>
      <c r="I2746" s="100">
        <v>-194.28537046387362</v>
      </c>
      <c r="J2746" s="100">
        <v>1340.6915433995764</v>
      </c>
    </row>
    <row r="2747" spans="1:10" x14ac:dyDescent="0.25">
      <c r="A2747">
        <v>2730</v>
      </c>
      <c r="B2747" s="100">
        <v>90.108330694366884</v>
      </c>
      <c r="C2747" s="100">
        <v>97.705302198226647</v>
      </c>
      <c r="D2747" s="100">
        <v>93.913179218781423</v>
      </c>
      <c r="E2747" s="100">
        <v>95.836332395290768</v>
      </c>
      <c r="F2747" s="100">
        <v>-1830.4746877011894</v>
      </c>
      <c r="G2747" s="100">
        <v>756.88096260320492</v>
      </c>
      <c r="H2747" s="100">
        <v>-2194.198226589634</v>
      </c>
      <c r="I2747" s="100">
        <v>-2455.6927405895408</v>
      </c>
      <c r="J2747" s="100">
        <v>-5723.4846922771594</v>
      </c>
    </row>
    <row r="2748" spans="1:10" x14ac:dyDescent="0.25">
      <c r="A2748">
        <v>2731</v>
      </c>
      <c r="B2748" s="100">
        <v>89.772691478500889</v>
      </c>
      <c r="C2748" s="100">
        <v>98.127491051783565</v>
      </c>
      <c r="D2748" s="100">
        <v>92.153775014275595</v>
      </c>
      <c r="E2748" s="100">
        <v>93.063124694356176</v>
      </c>
      <c r="F2748" s="100">
        <v>-722.86527534340337</v>
      </c>
      <c r="G2748" s="100">
        <v>123.59768226782819</v>
      </c>
      <c r="H2748" s="100">
        <v>1324.6101824220204</v>
      </c>
      <c r="I2748" s="100">
        <v>317.51496034505067</v>
      </c>
      <c r="J2748" s="100">
        <v>1042.8575496914959</v>
      </c>
    </row>
    <row r="2749" spans="1:10" x14ac:dyDescent="0.25">
      <c r="A2749">
        <v>2732</v>
      </c>
      <c r="B2749" s="100">
        <v>89.030905445367452</v>
      </c>
      <c r="C2749" s="100">
        <v>97.622772306064022</v>
      </c>
      <c r="D2749" s="100">
        <v>92.660978274304924</v>
      </c>
      <c r="E2749" s="100">
        <v>93.231500346960317</v>
      </c>
      <c r="F2749" s="100">
        <v>1725.0286339969377</v>
      </c>
      <c r="G2749" s="100">
        <v>880.67580084714336</v>
      </c>
      <c r="H2749" s="100">
        <v>310.20366236336372</v>
      </c>
      <c r="I2749" s="100">
        <v>149.13930774091</v>
      </c>
      <c r="J2749" s="100">
        <v>3065.0474049483555</v>
      </c>
    </row>
    <row r="2750" spans="1:10" x14ac:dyDescent="0.25">
      <c r="A2750">
        <v>2733</v>
      </c>
      <c r="B2750" s="100">
        <v>90.155196868044442</v>
      </c>
      <c r="C2750" s="100">
        <v>98.716747759618841</v>
      </c>
      <c r="D2750" s="100">
        <v>94.873201016710951</v>
      </c>
      <c r="E2750" s="100">
        <v>94.662352415798395</v>
      </c>
      <c r="F2750" s="100">
        <v>-1985.1330608371286</v>
      </c>
      <c r="G2750" s="100">
        <v>-760.28737948508501</v>
      </c>
      <c r="H2750" s="100">
        <v>-4114.2418224486901</v>
      </c>
      <c r="I2750" s="100">
        <v>-1281.7127610971681</v>
      </c>
      <c r="J2750" s="100">
        <v>-8141.3750238680723</v>
      </c>
    </row>
    <row r="2751" spans="1:10" x14ac:dyDescent="0.25">
      <c r="A2751">
        <v>2734</v>
      </c>
      <c r="B2751" s="100">
        <v>90.738078714591637</v>
      </c>
      <c r="C2751" s="100">
        <v>97.525798979857342</v>
      </c>
      <c r="D2751" s="100">
        <v>93.215476764136682</v>
      </c>
      <c r="E2751" s="100">
        <v>89.623076241638799</v>
      </c>
      <c r="F2751" s="100">
        <v>-3908.6431544428733</v>
      </c>
      <c r="G2751" s="100">
        <v>1026.1357901571628</v>
      </c>
      <c r="H2751" s="100">
        <v>-798.79331730015224</v>
      </c>
      <c r="I2751" s="100">
        <v>3757.563413062428</v>
      </c>
      <c r="J2751" s="100">
        <v>76.262731476565477</v>
      </c>
    </row>
    <row r="2752" spans="1:10" x14ac:dyDescent="0.25">
      <c r="A2752">
        <v>2735</v>
      </c>
      <c r="B2752" s="100">
        <v>89.212156608650915</v>
      </c>
      <c r="C2752" s="100">
        <v>97.344235157109409</v>
      </c>
      <c r="D2752" s="100">
        <v>91.426686491819382</v>
      </c>
      <c r="E2752" s="100">
        <v>93.211617276960894</v>
      </c>
      <c r="F2752" s="100">
        <v>1126.8997951615106</v>
      </c>
      <c r="G2752" s="100">
        <v>1298.4815242790617</v>
      </c>
      <c r="H2752" s="100">
        <v>2778.7872273344474</v>
      </c>
      <c r="I2752" s="100">
        <v>169.02237774033324</v>
      </c>
      <c r="J2752" s="100">
        <v>5373.1909245153529</v>
      </c>
    </row>
    <row r="2753" spans="1:10" x14ac:dyDescent="0.25">
      <c r="A2753">
        <v>2736</v>
      </c>
      <c r="B2753" s="100">
        <v>89.079072939577017</v>
      </c>
      <c r="C2753" s="100">
        <v>98.385447699972701</v>
      </c>
      <c r="D2753" s="100">
        <v>92.497858453562827</v>
      </c>
      <c r="E2753" s="100">
        <v>90.207691535492884</v>
      </c>
      <c r="F2753" s="100">
        <v>1566.0759031053728</v>
      </c>
      <c r="G2753" s="100">
        <v>-263.33729001587614</v>
      </c>
      <c r="H2753" s="100">
        <v>636.44330384755676</v>
      </c>
      <c r="I2753" s="100">
        <v>3172.9481192083426</v>
      </c>
      <c r="J2753" s="100">
        <v>5112.1300361453959</v>
      </c>
    </row>
    <row r="2754" spans="1:10" x14ac:dyDescent="0.25">
      <c r="A2754">
        <v>2737</v>
      </c>
      <c r="B2754" s="100">
        <v>89.458134199923151</v>
      </c>
      <c r="C2754" s="100">
        <v>99.485981896447825</v>
      </c>
      <c r="D2754" s="100">
        <v>94.615770747124856</v>
      </c>
      <c r="E2754" s="100">
        <v>94.300941480185514</v>
      </c>
      <c r="F2754" s="100">
        <v>315.17374396313045</v>
      </c>
      <c r="G2754" s="100">
        <v>-1914.1385847285619</v>
      </c>
      <c r="H2754" s="100">
        <v>-3599.3812832765002</v>
      </c>
      <c r="I2754" s="100">
        <v>-920.30182548428741</v>
      </c>
      <c r="J2754" s="100">
        <v>-6118.6479495262192</v>
      </c>
    </row>
    <row r="2755" spans="1:10" x14ac:dyDescent="0.25">
      <c r="A2755">
        <v>2738</v>
      </c>
      <c r="B2755" s="100">
        <v>90.177915501344955</v>
      </c>
      <c r="C2755" s="100">
        <v>97.391142511052152</v>
      </c>
      <c r="D2755" s="100">
        <v>90.8388822756135</v>
      </c>
      <c r="E2755" s="100">
        <v>94.021732276148214</v>
      </c>
      <c r="F2755" s="100">
        <v>-2060.1045507288236</v>
      </c>
      <c r="G2755" s="100">
        <v>1228.1204933649476</v>
      </c>
      <c r="H2755" s="100">
        <v>3954.3956597462111</v>
      </c>
      <c r="I2755" s="100">
        <v>-641.09262144698675</v>
      </c>
      <c r="J2755" s="100">
        <v>2481.3189809353485</v>
      </c>
    </row>
    <row r="2756" spans="1:10" x14ac:dyDescent="0.25">
      <c r="A2756">
        <v>2739</v>
      </c>
      <c r="B2756" s="100">
        <v>88.730668522845008</v>
      </c>
      <c r="C2756" s="100">
        <v>99.869148782366551</v>
      </c>
      <c r="D2756" s="100">
        <v>91.750782761517712</v>
      </c>
      <c r="E2756" s="100">
        <v>96.819644736293739</v>
      </c>
      <c r="F2756" s="100">
        <v>2715.8104783210038</v>
      </c>
      <c r="G2756" s="100">
        <v>-2488.8889136066509</v>
      </c>
      <c r="H2756" s="100">
        <v>2130.5946879377871</v>
      </c>
      <c r="I2756" s="100">
        <v>-3439.0050815925124</v>
      </c>
      <c r="J2756" s="100">
        <v>-1081.4888289403725</v>
      </c>
    </row>
    <row r="2757" spans="1:10" x14ac:dyDescent="0.25">
      <c r="A2757">
        <v>2740</v>
      </c>
      <c r="B2757" s="100">
        <v>89.417674388764084</v>
      </c>
      <c r="C2757" s="100">
        <v>97.837971366137822</v>
      </c>
      <c r="D2757" s="100">
        <v>92.219044000398554</v>
      </c>
      <c r="E2757" s="100">
        <v>91.392412909237777</v>
      </c>
      <c r="F2757" s="100">
        <v>448.69112078805244</v>
      </c>
      <c r="G2757" s="100">
        <v>557.87721073644298</v>
      </c>
      <c r="H2757" s="100">
        <v>1194.0722101761025</v>
      </c>
      <c r="I2757" s="100">
        <v>1988.2267454634502</v>
      </c>
      <c r="J2757" s="100">
        <v>4188.8672871640483</v>
      </c>
    </row>
    <row r="2758" spans="1:10" x14ac:dyDescent="0.25">
      <c r="A2758">
        <v>2741</v>
      </c>
      <c r="B2758" s="100">
        <v>89.939762331012403</v>
      </c>
      <c r="C2758" s="100">
        <v>97.592669033861952</v>
      </c>
      <c r="D2758" s="100">
        <v>94.96422195931045</v>
      </c>
      <c r="E2758" s="100">
        <v>92.581155530866923</v>
      </c>
      <c r="F2758" s="100">
        <v>-1274.1990886314013</v>
      </c>
      <c r="G2758" s="100">
        <v>925.83070915024734</v>
      </c>
      <c r="H2758" s="100">
        <v>-4296.283707647689</v>
      </c>
      <c r="I2758" s="100">
        <v>799.48412383430423</v>
      </c>
      <c r="J2758" s="100">
        <v>-3845.1679632945388</v>
      </c>
    </row>
    <row r="2759" spans="1:10" x14ac:dyDescent="0.25">
      <c r="A2759">
        <v>2742</v>
      </c>
      <c r="B2759" s="100">
        <v>89.483480287351512</v>
      </c>
      <c r="C2759" s="100">
        <v>98.83900727266797</v>
      </c>
      <c r="D2759" s="100">
        <v>90.605474835148186</v>
      </c>
      <c r="E2759" s="100">
        <v>93.899194695390861</v>
      </c>
      <c r="F2759" s="100">
        <v>231.53165544954106</v>
      </c>
      <c r="G2759" s="100">
        <v>-943.67664905877996</v>
      </c>
      <c r="H2759" s="100">
        <v>4421.2105406768387</v>
      </c>
      <c r="I2759" s="100">
        <v>-518.55504068963398</v>
      </c>
      <c r="J2759" s="100">
        <v>3190.5105063779656</v>
      </c>
    </row>
    <row r="2760" spans="1:10" x14ac:dyDescent="0.25">
      <c r="A2760">
        <v>2743</v>
      </c>
      <c r="B2760" s="100">
        <v>89.825725574570683</v>
      </c>
      <c r="C2760" s="100">
        <v>97.415137148056132</v>
      </c>
      <c r="D2760" s="100">
        <v>92.827490209408651</v>
      </c>
      <c r="E2760" s="100">
        <v>93.16576840149726</v>
      </c>
      <c r="F2760" s="100">
        <v>-897.87779237372411</v>
      </c>
      <c r="G2760" s="100">
        <v>1192.1285378589773</v>
      </c>
      <c r="H2760" s="100">
        <v>-22.820207844091556</v>
      </c>
      <c r="I2760" s="100">
        <v>214.87125320396672</v>
      </c>
      <c r="J2760" s="100">
        <v>486.30179084512838</v>
      </c>
    </row>
    <row r="2761" spans="1:10" x14ac:dyDescent="0.25">
      <c r="A2761">
        <v>2744</v>
      </c>
      <c r="B2761" s="100">
        <v>89.705046677189571</v>
      </c>
      <c r="C2761" s="100">
        <v>96.884318155259038</v>
      </c>
      <c r="D2761" s="100">
        <v>92.797982231129993</v>
      </c>
      <c r="E2761" s="100">
        <v>94.097759592539362</v>
      </c>
      <c r="F2761" s="100">
        <v>-499.63743101605615</v>
      </c>
      <c r="G2761" s="100">
        <v>1988.3570270546188</v>
      </c>
      <c r="H2761" s="100">
        <v>36.195748713225839</v>
      </c>
      <c r="I2761" s="100">
        <v>-717.11993783813455</v>
      </c>
      <c r="J2761" s="100">
        <v>807.79540691365401</v>
      </c>
    </row>
    <row r="2762" spans="1:10" x14ac:dyDescent="0.25">
      <c r="A2762">
        <v>2745</v>
      </c>
      <c r="B2762" s="100">
        <v>89.200117776359747</v>
      </c>
      <c r="C2762" s="100">
        <v>98.033970999970791</v>
      </c>
      <c r="D2762" s="100">
        <v>92.882705116356007</v>
      </c>
      <c r="E2762" s="100">
        <v>94.91534099656424</v>
      </c>
      <c r="F2762" s="100">
        <v>1166.627941722365</v>
      </c>
      <c r="G2762" s="100">
        <v>263.8777599869897</v>
      </c>
      <c r="H2762" s="100">
        <v>-133.25002173880307</v>
      </c>
      <c r="I2762" s="100">
        <v>-1534.7013418630127</v>
      </c>
      <c r="J2762" s="100">
        <v>-237.44566189246098</v>
      </c>
    </row>
    <row r="2763" spans="1:10" x14ac:dyDescent="0.25">
      <c r="A2763">
        <v>2746</v>
      </c>
      <c r="B2763" s="100">
        <v>89.085287606351841</v>
      </c>
      <c r="C2763" s="100">
        <v>95.950244676688186</v>
      </c>
      <c r="D2763" s="100">
        <v>93.579310808832602</v>
      </c>
      <c r="E2763" s="100">
        <v>95.850317814695629</v>
      </c>
      <c r="F2763" s="100">
        <v>1545.5675027484544</v>
      </c>
      <c r="G2763" s="100">
        <v>3389.4672449108966</v>
      </c>
      <c r="H2763" s="100">
        <v>-1526.4614066919933</v>
      </c>
      <c r="I2763" s="100">
        <v>-2469.6781599944015</v>
      </c>
      <c r="J2763" s="100">
        <v>938.89518097295604</v>
      </c>
    </row>
    <row r="2764" spans="1:10" x14ac:dyDescent="0.25">
      <c r="A2764">
        <v>2747</v>
      </c>
      <c r="B2764" s="100">
        <v>88.672803661525549</v>
      </c>
      <c r="C2764" s="100">
        <v>98.105669471913501</v>
      </c>
      <c r="D2764" s="100">
        <v>94.373824348941966</v>
      </c>
      <c r="E2764" s="100">
        <v>91.887921738183124</v>
      </c>
      <c r="F2764" s="100">
        <v>2906.7645206752177</v>
      </c>
      <c r="G2764" s="100">
        <v>156.33005207292427</v>
      </c>
      <c r="H2764" s="100">
        <v>-3115.4884869107209</v>
      </c>
      <c r="I2764" s="100">
        <v>1492.717916518103</v>
      </c>
      <c r="J2764" s="100">
        <v>1440.3240023555243</v>
      </c>
    </row>
    <row r="2765" spans="1:10" x14ac:dyDescent="0.25">
      <c r="A2765">
        <v>2748</v>
      </c>
      <c r="B2765" s="100">
        <v>90.060040618090511</v>
      </c>
      <c r="C2765" s="100">
        <v>96.951675010653759</v>
      </c>
      <c r="D2765" s="100">
        <v>92.569230585240106</v>
      </c>
      <c r="E2765" s="100">
        <v>94.725949892249133</v>
      </c>
      <c r="F2765" s="100">
        <v>-1671.1174359891572</v>
      </c>
      <c r="G2765" s="100">
        <v>1887.3217439625378</v>
      </c>
      <c r="H2765" s="100">
        <v>493.69904049299862</v>
      </c>
      <c r="I2765" s="100">
        <v>-1345.3102375479061</v>
      </c>
      <c r="J2765" s="100">
        <v>-635.40688908152697</v>
      </c>
    </row>
    <row r="2766" spans="1:10" x14ac:dyDescent="0.25">
      <c r="A2766">
        <v>2749</v>
      </c>
      <c r="B2766" s="100">
        <v>90.746113328494999</v>
      </c>
      <c r="C2766" s="100">
        <v>98.226876927127023</v>
      </c>
      <c r="D2766" s="100">
        <v>92.462500072103808</v>
      </c>
      <c r="E2766" s="100">
        <v>92.607659980207671</v>
      </c>
      <c r="F2766" s="100">
        <v>-3935.1573803239689</v>
      </c>
      <c r="G2766" s="100">
        <v>-25.481130747358804</v>
      </c>
      <c r="H2766" s="100">
        <v>707.16006676559573</v>
      </c>
      <c r="I2766" s="100">
        <v>772.97967449355554</v>
      </c>
      <c r="J2766" s="100">
        <v>-2480.4987698121763</v>
      </c>
    </row>
    <row r="2767" spans="1:10" x14ac:dyDescent="0.25">
      <c r="A2767">
        <v>2750</v>
      </c>
      <c r="B2767" s="100">
        <v>88.509539769183021</v>
      </c>
      <c r="C2767" s="100">
        <v>99.156726722788491</v>
      </c>
      <c r="D2767" s="100">
        <v>93.079549054410563</v>
      </c>
      <c r="E2767" s="100">
        <v>92.947099383035123</v>
      </c>
      <c r="F2767" s="100">
        <v>3445.5353654055584</v>
      </c>
      <c r="G2767" s="100">
        <v>-1420.2558242395612</v>
      </c>
      <c r="H2767" s="100">
        <v>-526.93789784791534</v>
      </c>
      <c r="I2767" s="100">
        <v>433.54027166610365</v>
      </c>
      <c r="J2767" s="100">
        <v>1931.8819149841856</v>
      </c>
    </row>
    <row r="2768" spans="1:10" x14ac:dyDescent="0.25">
      <c r="A2768">
        <v>2751</v>
      </c>
      <c r="B2768" s="100">
        <v>89.125570352471357</v>
      </c>
      <c r="C2768" s="100">
        <v>98.389145911138499</v>
      </c>
      <c r="D2768" s="100">
        <v>92.847208699661834</v>
      </c>
      <c r="E2768" s="100">
        <v>93.728787950404097</v>
      </c>
      <c r="F2768" s="100">
        <v>1412.6344405540522</v>
      </c>
      <c r="G2768" s="100">
        <v>-268.88460676457271</v>
      </c>
      <c r="H2768" s="100">
        <v>-62.257188350457682</v>
      </c>
      <c r="I2768" s="100">
        <v>-348.14829570287031</v>
      </c>
      <c r="J2768" s="100">
        <v>733.34434973615146</v>
      </c>
    </row>
    <row r="2769" spans="1:10" x14ac:dyDescent="0.25">
      <c r="A2769">
        <v>2752</v>
      </c>
      <c r="B2769" s="100">
        <v>89.981463873000465</v>
      </c>
      <c r="C2769" s="100">
        <v>98.014325068624416</v>
      </c>
      <c r="D2769" s="100">
        <v>94.562837109826887</v>
      </c>
      <c r="E2769" s="100">
        <v>90.198392993380111</v>
      </c>
      <c r="F2769" s="100">
        <v>-1411.8141771920036</v>
      </c>
      <c r="G2769" s="100">
        <v>293.34665700655194</v>
      </c>
      <c r="H2769" s="100">
        <v>-3493.5140086805632</v>
      </c>
      <c r="I2769" s="100">
        <v>3182.2466613211163</v>
      </c>
      <c r="J2769" s="100">
        <v>-1429.7348675448984</v>
      </c>
    </row>
    <row r="2770" spans="1:10" x14ac:dyDescent="0.25">
      <c r="A2770">
        <v>2753</v>
      </c>
      <c r="B2770" s="100">
        <v>90.018727175589547</v>
      </c>
      <c r="C2770" s="100">
        <v>98.113285600441785</v>
      </c>
      <c r="D2770" s="100">
        <v>91.083021654440017</v>
      </c>
      <c r="E2770" s="100">
        <v>92.013810514986787</v>
      </c>
      <c r="F2770" s="100">
        <v>-1534.7830757359745</v>
      </c>
      <c r="G2770" s="100">
        <v>144.90585928049882</v>
      </c>
      <c r="H2770" s="100">
        <v>3466.1169020931766</v>
      </c>
      <c r="I2770" s="100">
        <v>1366.8291397144401</v>
      </c>
      <c r="J2770" s="100">
        <v>3443.0688253521412</v>
      </c>
    </row>
    <row r="2771" spans="1:10" x14ac:dyDescent="0.25">
      <c r="A2771">
        <v>2754</v>
      </c>
      <c r="B2771" s="100">
        <v>88.891882031881252</v>
      </c>
      <c r="C2771" s="100">
        <v>97.36197266337102</v>
      </c>
      <c r="D2771" s="100">
        <v>93.535739370443395</v>
      </c>
      <c r="E2771" s="100">
        <v>92.846374137259829</v>
      </c>
      <c r="F2771" s="100">
        <v>2183.8058985013972</v>
      </c>
      <c r="G2771" s="100">
        <v>1271.8752648866457</v>
      </c>
      <c r="H2771" s="100">
        <v>-1439.318529913578</v>
      </c>
      <c r="I2771" s="100">
        <v>534.26551744139772</v>
      </c>
      <c r="J2771" s="100">
        <v>2550.6281509158625</v>
      </c>
    </row>
    <row r="2772" spans="1:10" x14ac:dyDescent="0.25">
      <c r="A2772">
        <v>2755</v>
      </c>
      <c r="B2772" s="100">
        <v>90.152066807598914</v>
      </c>
      <c r="C2772" s="100">
        <v>97.859650925403301</v>
      </c>
      <c r="D2772" s="100">
        <v>93.263112245346363</v>
      </c>
      <c r="E2772" s="100">
        <v>95.059057420510115</v>
      </c>
      <c r="F2772" s="100">
        <v>-1974.8038613668855</v>
      </c>
      <c r="G2772" s="100">
        <v>525.35787183822436</v>
      </c>
      <c r="H2772" s="100">
        <v>-894.0642797195153</v>
      </c>
      <c r="I2772" s="100">
        <v>-1678.4177658088879</v>
      </c>
      <c r="J2772" s="100">
        <v>-4021.9280350570643</v>
      </c>
    </row>
    <row r="2773" spans="1:10" x14ac:dyDescent="0.25">
      <c r="A2773">
        <v>2756</v>
      </c>
      <c r="B2773" s="100">
        <v>89.711292346237769</v>
      </c>
      <c r="C2773" s="100">
        <v>99.133985495547833</v>
      </c>
      <c r="D2773" s="100">
        <v>93.825700679107101</v>
      </c>
      <c r="E2773" s="100">
        <v>95.108220772886369</v>
      </c>
      <c r="F2773" s="100">
        <v>-520.24813887510959</v>
      </c>
      <c r="G2773" s="100">
        <v>-1386.1439833785739</v>
      </c>
      <c r="H2773" s="100">
        <v>-2019.2411472409901</v>
      </c>
      <c r="I2773" s="100">
        <v>-1727.5811181851423</v>
      </c>
      <c r="J2773" s="100">
        <v>-5653.2143876798164</v>
      </c>
    </row>
    <row r="2774" spans="1:10" x14ac:dyDescent="0.25">
      <c r="A2774">
        <v>2757</v>
      </c>
      <c r="B2774" s="100">
        <v>89.96715966881419</v>
      </c>
      <c r="C2774" s="100">
        <v>98.729359220292039</v>
      </c>
      <c r="D2774" s="100">
        <v>92.786915088606634</v>
      </c>
      <c r="E2774" s="100">
        <v>94.527368512855617</v>
      </c>
      <c r="F2774" s="100">
        <v>-1364.6103033772988</v>
      </c>
      <c r="G2774" s="100">
        <v>-779.20457049488334</v>
      </c>
      <c r="H2774" s="100">
        <v>58.330033759943944</v>
      </c>
      <c r="I2774" s="100">
        <v>-1146.7288581543899</v>
      </c>
      <c r="J2774" s="100">
        <v>-3232.2136982666279</v>
      </c>
    </row>
    <row r="2775" spans="1:10" x14ac:dyDescent="0.25">
      <c r="A2775">
        <v>2758</v>
      </c>
      <c r="B2775" s="100">
        <v>89.322207423584729</v>
      </c>
      <c r="C2775" s="100">
        <v>96.688787440891815</v>
      </c>
      <c r="D2775" s="100">
        <v>92.532374411401207</v>
      </c>
      <c r="E2775" s="100">
        <v>90.303628315316473</v>
      </c>
      <c r="F2775" s="100">
        <v>763.73210587992446</v>
      </c>
      <c r="G2775" s="100">
        <v>2281.6530986054531</v>
      </c>
      <c r="H2775" s="100">
        <v>567.41138817079673</v>
      </c>
      <c r="I2775" s="100">
        <v>3077.0113393847537</v>
      </c>
      <c r="J2775" s="100">
        <v>6689.8079320409279</v>
      </c>
    </row>
    <row r="2776" spans="1:10" x14ac:dyDescent="0.25">
      <c r="A2776">
        <v>2759</v>
      </c>
      <c r="B2776" s="100">
        <v>87.98739379159413</v>
      </c>
      <c r="C2776" s="100">
        <v>99.460625138791045</v>
      </c>
      <c r="D2776" s="100">
        <v>93.126194821131733</v>
      </c>
      <c r="E2776" s="100">
        <v>92.744461878453819</v>
      </c>
      <c r="F2776" s="100">
        <v>5168.6170914489012</v>
      </c>
      <c r="G2776" s="100">
        <v>-1876.1034482433913</v>
      </c>
      <c r="H2776" s="100">
        <v>-620.22943129025521</v>
      </c>
      <c r="I2776" s="100">
        <v>636.17777624740768</v>
      </c>
      <c r="J2776" s="100">
        <v>3308.4619881626622</v>
      </c>
    </row>
    <row r="2777" spans="1:10" x14ac:dyDescent="0.25">
      <c r="A2777">
        <v>2760</v>
      </c>
      <c r="B2777" s="100">
        <v>89.481172450745291</v>
      </c>
      <c r="C2777" s="100">
        <v>98.442911150573764</v>
      </c>
      <c r="D2777" s="100">
        <v>91.004110157455997</v>
      </c>
      <c r="E2777" s="100">
        <v>93.397845269947936</v>
      </c>
      <c r="F2777" s="100">
        <v>239.14751625006971</v>
      </c>
      <c r="G2777" s="100">
        <v>-349.53246591746989</v>
      </c>
      <c r="H2777" s="100">
        <v>3623.9398960612161</v>
      </c>
      <c r="I2777" s="100">
        <v>-17.205615246709272</v>
      </c>
      <c r="J2777" s="100">
        <v>3496.3493311471066</v>
      </c>
    </row>
    <row r="2778" spans="1:10" x14ac:dyDescent="0.25">
      <c r="A2778">
        <v>2761</v>
      </c>
      <c r="B2778" s="100">
        <v>88.974308478727067</v>
      </c>
      <c r="C2778" s="100">
        <v>98.409485323792865</v>
      </c>
      <c r="D2778" s="100">
        <v>93.280832186537239</v>
      </c>
      <c r="E2778" s="100">
        <v>93.397647216507352</v>
      </c>
      <c r="F2778" s="100">
        <v>1911.7986239102065</v>
      </c>
      <c r="G2778" s="100">
        <v>-299.39372574612122</v>
      </c>
      <c r="H2778" s="100">
        <v>-929.50416210126718</v>
      </c>
      <c r="I2778" s="100">
        <v>-17.007561806124727</v>
      </c>
      <c r="J2778" s="100">
        <v>665.89317425669344</v>
      </c>
    </row>
    <row r="2779" spans="1:10" x14ac:dyDescent="0.25">
      <c r="A2779">
        <v>2762</v>
      </c>
      <c r="B2779" s="100">
        <v>89.147975435066229</v>
      </c>
      <c r="C2779" s="100">
        <v>98.837482145028517</v>
      </c>
      <c r="D2779" s="100">
        <v>92.183497207702189</v>
      </c>
      <c r="E2779" s="100">
        <v>94.697273207432275</v>
      </c>
      <c r="F2779" s="100">
        <v>1338.6976679909735</v>
      </c>
      <c r="G2779" s="100">
        <v>-941.38895759959951</v>
      </c>
      <c r="H2779" s="100">
        <v>1265.1657955688336</v>
      </c>
      <c r="I2779" s="100">
        <v>-1316.633552731048</v>
      </c>
      <c r="J2779" s="100">
        <v>345.8409532291596</v>
      </c>
    </row>
    <row r="2780" spans="1:10" x14ac:dyDescent="0.25">
      <c r="A2780">
        <v>2763</v>
      </c>
      <c r="B2780" s="100">
        <v>89.959152201407761</v>
      </c>
      <c r="C2780" s="100">
        <v>97.117272616515734</v>
      </c>
      <c r="D2780" s="100">
        <v>92.030535922580142</v>
      </c>
      <c r="E2780" s="100">
        <v>93.702271670426455</v>
      </c>
      <c r="F2780" s="100">
        <v>-1338.1856609360825</v>
      </c>
      <c r="G2780" s="100">
        <v>1638.9253351695743</v>
      </c>
      <c r="H2780" s="100">
        <v>1571.0883658129262</v>
      </c>
      <c r="I2780" s="100">
        <v>-321.63201572522837</v>
      </c>
      <c r="J2780" s="100">
        <v>1550.1960243211897</v>
      </c>
    </row>
    <row r="2781" spans="1:10" x14ac:dyDescent="0.25">
      <c r="A2781">
        <v>2764</v>
      </c>
      <c r="B2781" s="100">
        <v>89.276961258611138</v>
      </c>
      <c r="C2781" s="100">
        <v>99.237273233731557</v>
      </c>
      <c r="D2781" s="100">
        <v>92.124578452137243</v>
      </c>
      <c r="E2781" s="100">
        <v>90.772566599568918</v>
      </c>
      <c r="F2781" s="100">
        <v>913.0444502927744</v>
      </c>
      <c r="G2781" s="100">
        <v>-1541.0755906541594</v>
      </c>
      <c r="H2781" s="100">
        <v>1383.0033066987255</v>
      </c>
      <c r="I2781" s="100">
        <v>2608.0730551323086</v>
      </c>
      <c r="J2781" s="100">
        <v>3363.0452214696488</v>
      </c>
    </row>
    <row r="2782" spans="1:10" x14ac:dyDescent="0.25">
      <c r="A2782">
        <v>2765</v>
      </c>
      <c r="B2782" s="100">
        <v>89.259764005894141</v>
      </c>
      <c r="C2782" s="100">
        <v>97.79451269483971</v>
      </c>
      <c r="D2782" s="100">
        <v>91.958585275176503</v>
      </c>
      <c r="E2782" s="100">
        <v>91.785448094949629</v>
      </c>
      <c r="F2782" s="100">
        <v>969.7953842588646</v>
      </c>
      <c r="G2782" s="100">
        <v>623.06521768361017</v>
      </c>
      <c r="H2782" s="100">
        <v>1714.9896606202049</v>
      </c>
      <c r="I2782" s="100">
        <v>1595.1915597515977</v>
      </c>
      <c r="J2782" s="100">
        <v>4903.0418223142769</v>
      </c>
    </row>
    <row r="2783" spans="1:10" x14ac:dyDescent="0.25">
      <c r="A2783">
        <v>2766</v>
      </c>
      <c r="B2783" s="100">
        <v>89.190548968903613</v>
      </c>
      <c r="C2783" s="100">
        <v>98.329083783718247</v>
      </c>
      <c r="D2783" s="100">
        <v>91.678900428184249</v>
      </c>
      <c r="E2783" s="100">
        <v>91.315908419132654</v>
      </c>
      <c r="F2783" s="100">
        <v>1198.2050063276063</v>
      </c>
      <c r="G2783" s="100">
        <v>-178.7914156341941</v>
      </c>
      <c r="H2783" s="100">
        <v>2274.3593546047123</v>
      </c>
      <c r="I2783" s="100">
        <v>2064.7312355685726</v>
      </c>
      <c r="J2783" s="100">
        <v>5358.5041808666974</v>
      </c>
    </row>
    <row r="2784" spans="1:10" x14ac:dyDescent="0.25">
      <c r="A2784">
        <v>2767</v>
      </c>
      <c r="B2784" s="100">
        <v>88.956014465660402</v>
      </c>
      <c r="C2784" s="100">
        <v>98.174867788632341</v>
      </c>
      <c r="D2784" s="100">
        <v>94.050165174866208</v>
      </c>
      <c r="E2784" s="100">
        <v>89.810434960124255</v>
      </c>
      <c r="F2784" s="100">
        <v>1972.1688670302015</v>
      </c>
      <c r="G2784" s="100">
        <v>52.532576994664737</v>
      </c>
      <c r="H2784" s="100">
        <v>-2468.1701387592057</v>
      </c>
      <c r="I2784" s="100">
        <v>3570.2046945769725</v>
      </c>
      <c r="J2784" s="100">
        <v>3126.7359998426332</v>
      </c>
    </row>
    <row r="2785" spans="1:10" x14ac:dyDescent="0.25">
      <c r="A2785">
        <v>2768</v>
      </c>
      <c r="B2785" s="100">
        <v>88.761677058020695</v>
      </c>
      <c r="C2785" s="100">
        <v>97.412718940176759</v>
      </c>
      <c r="D2785" s="100">
        <v>94.157018665320663</v>
      </c>
      <c r="E2785" s="100">
        <v>93.345794193850438</v>
      </c>
      <c r="F2785" s="100">
        <v>2613.4823122412372</v>
      </c>
      <c r="G2785" s="100">
        <v>1195.7558496780366</v>
      </c>
      <c r="H2785" s="100">
        <v>-2681.8771196681155</v>
      </c>
      <c r="I2785" s="100">
        <v>34.845460850789323</v>
      </c>
      <c r="J2785" s="100">
        <v>1162.2065031019476</v>
      </c>
    </row>
    <row r="2786" spans="1:10" x14ac:dyDescent="0.25">
      <c r="A2786">
        <v>2769</v>
      </c>
      <c r="B2786" s="100">
        <v>89.212201465505743</v>
      </c>
      <c r="C2786" s="100">
        <v>98.204402246761646</v>
      </c>
      <c r="D2786" s="100">
        <v>92.141427783501811</v>
      </c>
      <c r="E2786" s="100">
        <v>92.121955372218807</v>
      </c>
      <c r="F2786" s="100">
        <v>1126.7517675405784</v>
      </c>
      <c r="G2786" s="100">
        <v>8.2308898007070752</v>
      </c>
      <c r="H2786" s="100">
        <v>1349.3046439695888</v>
      </c>
      <c r="I2786" s="100">
        <v>1258.6842824824203</v>
      </c>
      <c r="J2786" s="100">
        <v>3742.9715837932945</v>
      </c>
    </row>
    <row r="2787" spans="1:10" x14ac:dyDescent="0.25">
      <c r="A2787">
        <v>2770</v>
      </c>
      <c r="B2787" s="100">
        <v>89.667725508767077</v>
      </c>
      <c r="C2787" s="100">
        <v>98.110515662527575</v>
      </c>
      <c r="D2787" s="100">
        <v>90.933062086151836</v>
      </c>
      <c r="E2787" s="100">
        <v>93.282536345808907</v>
      </c>
      <c r="F2787" s="100">
        <v>-376.47757522182559</v>
      </c>
      <c r="G2787" s="100">
        <v>149.06076615181263</v>
      </c>
      <c r="H2787" s="100">
        <v>3766.0360386695402</v>
      </c>
      <c r="I2787" s="100">
        <v>98.103308892319774</v>
      </c>
      <c r="J2787" s="100">
        <v>3636.7225384918465</v>
      </c>
    </row>
    <row r="2788" spans="1:10" x14ac:dyDescent="0.25">
      <c r="A2788">
        <v>2771</v>
      </c>
      <c r="B2788" s="100">
        <v>90.211961101426951</v>
      </c>
      <c r="C2788" s="100">
        <v>96.826732144109727</v>
      </c>
      <c r="D2788" s="100">
        <v>93.777534728099042</v>
      </c>
      <c r="E2788" s="100">
        <v>93.817351925999304</v>
      </c>
      <c r="F2788" s="100">
        <v>-2172.4550309994088</v>
      </c>
      <c r="G2788" s="100">
        <v>2074.7360437785856</v>
      </c>
      <c r="H2788" s="100">
        <v>-1922.9092452248722</v>
      </c>
      <c r="I2788" s="100">
        <v>-436.71227129807733</v>
      </c>
      <c r="J2788" s="100">
        <v>-2457.3405037437728</v>
      </c>
    </row>
    <row r="2789" spans="1:10" x14ac:dyDescent="0.25">
      <c r="A2789">
        <v>2772</v>
      </c>
      <c r="B2789" s="100">
        <v>89.421987385880101</v>
      </c>
      <c r="C2789" s="100">
        <v>96.882690273268651</v>
      </c>
      <c r="D2789" s="100">
        <v>93.976459012838191</v>
      </c>
      <c r="E2789" s="100">
        <v>92.960169267386945</v>
      </c>
      <c r="F2789" s="100">
        <v>434.45823030519648</v>
      </c>
      <c r="G2789" s="100">
        <v>1990.7988500401998</v>
      </c>
      <c r="H2789" s="100">
        <v>-2320.7578147031709</v>
      </c>
      <c r="I2789" s="100">
        <v>420.47038731428188</v>
      </c>
      <c r="J2789" s="100">
        <v>524.96965295650739</v>
      </c>
    </row>
    <row r="2790" spans="1:10" x14ac:dyDescent="0.25">
      <c r="A2790">
        <v>2773</v>
      </c>
      <c r="B2790" s="100">
        <v>89.435375670092057</v>
      </c>
      <c r="C2790" s="100">
        <v>99.075731414158895</v>
      </c>
      <c r="D2790" s="100">
        <v>94.593960747709275</v>
      </c>
      <c r="E2790" s="100">
        <v>93.771329990631244</v>
      </c>
      <c r="F2790" s="100">
        <v>390.27689240574119</v>
      </c>
      <c r="G2790" s="100">
        <v>-1298.7628612951667</v>
      </c>
      <c r="H2790" s="100">
        <v>-3555.7612844453388</v>
      </c>
      <c r="I2790" s="100">
        <v>-390.69033593001734</v>
      </c>
      <c r="J2790" s="100">
        <v>-4854.9375892647822</v>
      </c>
    </row>
    <row r="2791" spans="1:10" x14ac:dyDescent="0.25">
      <c r="A2791">
        <v>2774</v>
      </c>
      <c r="B2791" s="100">
        <v>89.079561650492266</v>
      </c>
      <c r="C2791" s="100">
        <v>99.645955602636263</v>
      </c>
      <c r="D2791" s="100">
        <v>91.880818714335192</v>
      </c>
      <c r="E2791" s="100">
        <v>96.883603529803935</v>
      </c>
      <c r="F2791" s="100">
        <v>1564.4631570850506</v>
      </c>
      <c r="G2791" s="100">
        <v>-2154.0991440112193</v>
      </c>
      <c r="H2791" s="100">
        <v>1870.5227823028281</v>
      </c>
      <c r="I2791" s="100">
        <v>-3502.9638751027078</v>
      </c>
      <c r="J2791" s="100">
        <v>-2222.0770797260484</v>
      </c>
    </row>
    <row r="2792" spans="1:10" x14ac:dyDescent="0.25">
      <c r="A2792">
        <v>2775</v>
      </c>
      <c r="B2792" s="100">
        <v>89.24865238895552</v>
      </c>
      <c r="C2792" s="100">
        <v>98.816293054329492</v>
      </c>
      <c r="D2792" s="100">
        <v>91.431261805513969</v>
      </c>
      <c r="E2792" s="100">
        <v>94.703108207001989</v>
      </c>
      <c r="F2792" s="100">
        <v>1006.463720156313</v>
      </c>
      <c r="G2792" s="100">
        <v>-909.60532155106216</v>
      </c>
      <c r="H2792" s="100">
        <v>2769.6365999452723</v>
      </c>
      <c r="I2792" s="100">
        <v>-1322.4685523007622</v>
      </c>
      <c r="J2792" s="100">
        <v>1544.026446249761</v>
      </c>
    </row>
    <row r="2793" spans="1:10" x14ac:dyDescent="0.25">
      <c r="A2793">
        <v>2776</v>
      </c>
      <c r="B2793" s="100">
        <v>88.998328122478853</v>
      </c>
      <c r="C2793" s="100">
        <v>97.367630198991307</v>
      </c>
      <c r="D2793" s="100">
        <v>91.956576252990104</v>
      </c>
      <c r="E2793" s="100">
        <v>93.596997305668708</v>
      </c>
      <c r="F2793" s="100">
        <v>1832.5337995293153</v>
      </c>
      <c r="G2793" s="100">
        <v>1263.3889614562149</v>
      </c>
      <c r="H2793" s="100">
        <v>1719.0077049930039</v>
      </c>
      <c r="I2793" s="100">
        <v>-216.35765096748116</v>
      </c>
      <c r="J2793" s="100">
        <v>4598.5728150110526</v>
      </c>
    </row>
    <row r="2794" spans="1:10" x14ac:dyDescent="0.25">
      <c r="A2794">
        <v>2777</v>
      </c>
      <c r="B2794" s="100">
        <v>89.396365253785447</v>
      </c>
      <c r="C2794" s="100">
        <v>99.081760363209199</v>
      </c>
      <c r="D2794" s="100">
        <v>90.557955441798498</v>
      </c>
      <c r="E2794" s="100">
        <v>91.631349324220807</v>
      </c>
      <c r="F2794" s="100">
        <v>519.01126621755361</v>
      </c>
      <c r="G2794" s="100">
        <v>-1307.8062848706224</v>
      </c>
      <c r="H2794" s="100">
        <v>4516.2493273762157</v>
      </c>
      <c r="I2794" s="100">
        <v>1749.2903304804202</v>
      </c>
      <c r="J2794" s="100">
        <v>5476.7446392035672</v>
      </c>
    </row>
    <row r="2795" spans="1:10" x14ac:dyDescent="0.25">
      <c r="A2795">
        <v>2778</v>
      </c>
      <c r="B2795" s="100">
        <v>90.274456544905348</v>
      </c>
      <c r="C2795" s="100">
        <v>97.399002068077706</v>
      </c>
      <c r="D2795" s="100">
        <v>92.851855170747996</v>
      </c>
      <c r="E2795" s="100">
        <v>93.75022576590365</v>
      </c>
      <c r="F2795" s="100">
        <v>-2378.6899944781198</v>
      </c>
      <c r="G2795" s="100">
        <v>1216.3311578266162</v>
      </c>
      <c r="H2795" s="100">
        <v>-71.550130522780364</v>
      </c>
      <c r="I2795" s="100">
        <v>-369.58611120242324</v>
      </c>
      <c r="J2795" s="100">
        <v>-1603.4950783767072</v>
      </c>
    </row>
    <row r="2796" spans="1:10" x14ac:dyDescent="0.25">
      <c r="A2796">
        <v>2779</v>
      </c>
      <c r="B2796" s="100">
        <v>89.800905745603757</v>
      </c>
      <c r="C2796" s="100">
        <v>99.035768505942016</v>
      </c>
      <c r="D2796" s="100">
        <v>91.963343960570867</v>
      </c>
      <c r="E2796" s="100">
        <v>91.441961698228511</v>
      </c>
      <c r="F2796" s="100">
        <v>-815.97235678286779</v>
      </c>
      <c r="G2796" s="100">
        <v>-1238.8184989698489</v>
      </c>
      <c r="H2796" s="100">
        <v>1705.4722898314765</v>
      </c>
      <c r="I2796" s="100">
        <v>1938.6779564727162</v>
      </c>
      <c r="J2796" s="100">
        <v>1589.3593905514761</v>
      </c>
    </row>
    <row r="2797" spans="1:10" x14ac:dyDescent="0.25">
      <c r="A2797">
        <v>2780</v>
      </c>
      <c r="B2797" s="100">
        <v>89.884879735083373</v>
      </c>
      <c r="C2797" s="100">
        <v>99.41064436742333</v>
      </c>
      <c r="D2797" s="100">
        <v>92.351550795896429</v>
      </c>
      <c r="E2797" s="100">
        <v>93.544338889470438</v>
      </c>
      <c r="F2797" s="100">
        <v>-1093.086522065603</v>
      </c>
      <c r="G2797" s="100">
        <v>-1801.1322911918201</v>
      </c>
      <c r="H2797" s="100">
        <v>929.05861918035271</v>
      </c>
      <c r="I2797" s="100">
        <v>-163.69923476921144</v>
      </c>
      <c r="J2797" s="100">
        <v>-2128.8594288462818</v>
      </c>
    </row>
    <row r="2798" spans="1:10" x14ac:dyDescent="0.25">
      <c r="A2798">
        <v>2781</v>
      </c>
      <c r="B2798" s="100">
        <v>89.093429043940333</v>
      </c>
      <c r="C2798" s="100">
        <v>99.957463369747046</v>
      </c>
      <c r="D2798" s="100">
        <v>94.505955974316663</v>
      </c>
      <c r="E2798" s="100">
        <v>94.394550373906867</v>
      </c>
      <c r="F2798" s="100">
        <v>1518.7007587064315</v>
      </c>
      <c r="G2798" s="100">
        <v>-2621.3607946773932</v>
      </c>
      <c r="H2798" s="100">
        <v>-3379.7517376601149</v>
      </c>
      <c r="I2798" s="100">
        <v>-1013.91071920564</v>
      </c>
      <c r="J2798" s="100">
        <v>-5496.3224928367163</v>
      </c>
    </row>
    <row r="2799" spans="1:10" x14ac:dyDescent="0.25">
      <c r="A2799">
        <v>2782</v>
      </c>
      <c r="B2799" s="100">
        <v>90.155064300239857</v>
      </c>
      <c r="C2799" s="100">
        <v>98.238358332698198</v>
      </c>
      <c r="D2799" s="100">
        <v>92.335637936457005</v>
      </c>
      <c r="E2799" s="100">
        <v>88.388722672309243</v>
      </c>
      <c r="F2799" s="100">
        <v>-1984.6955870819997</v>
      </c>
      <c r="G2799" s="100">
        <v>-42.703239104120883</v>
      </c>
      <c r="H2799" s="100">
        <v>960.88433805920204</v>
      </c>
      <c r="I2799" s="100">
        <v>4991.9169823919847</v>
      </c>
      <c r="J2799" s="100">
        <v>3925.4024942650658</v>
      </c>
    </row>
    <row r="2800" spans="1:10" x14ac:dyDescent="0.25">
      <c r="A2800">
        <v>2783</v>
      </c>
      <c r="B2800" s="100">
        <v>89.335219445023526</v>
      </c>
      <c r="C2800" s="100">
        <v>99.458333845879352</v>
      </c>
      <c r="D2800" s="100">
        <v>92.387611918681529</v>
      </c>
      <c r="E2800" s="100">
        <v>94.913458429013858</v>
      </c>
      <c r="F2800" s="100">
        <v>720.79243513189363</v>
      </c>
      <c r="G2800" s="100">
        <v>-1872.6665088758523</v>
      </c>
      <c r="H2800" s="100">
        <v>856.93637361015362</v>
      </c>
      <c r="I2800" s="100">
        <v>-1532.8187743126307</v>
      </c>
      <c r="J2800" s="100">
        <v>-1827.7564744464357</v>
      </c>
    </row>
    <row r="2801" spans="1:10" x14ac:dyDescent="0.25">
      <c r="A2801">
        <v>2784</v>
      </c>
      <c r="B2801" s="100">
        <v>89.232987649836559</v>
      </c>
      <c r="C2801" s="100">
        <v>97.04247860124562</v>
      </c>
      <c r="D2801" s="100">
        <v>92.346379702679897</v>
      </c>
      <c r="E2801" s="100">
        <v>93.449091792415345</v>
      </c>
      <c r="F2801" s="100">
        <v>1058.1573592488837</v>
      </c>
      <c r="G2801" s="100">
        <v>1751.1163580747464</v>
      </c>
      <c r="H2801" s="100">
        <v>939.40080561341688</v>
      </c>
      <c r="I2801" s="100">
        <v>-68.452137714118066</v>
      </c>
      <c r="J2801" s="100">
        <v>3680.222385222929</v>
      </c>
    </row>
    <row r="2802" spans="1:10" x14ac:dyDescent="0.25">
      <c r="A2802">
        <v>2785</v>
      </c>
      <c r="B2802" s="100">
        <v>89.815248166875051</v>
      </c>
      <c r="C2802" s="100">
        <v>97.925190507690601</v>
      </c>
      <c r="D2802" s="100">
        <v>92.026437209601539</v>
      </c>
      <c r="E2802" s="100">
        <v>92.366288896904109</v>
      </c>
      <c r="F2802" s="100">
        <v>-863.30234697813921</v>
      </c>
      <c r="G2802" s="100">
        <v>427.04849840727377</v>
      </c>
      <c r="H2802" s="100">
        <v>1579.2857917701326</v>
      </c>
      <c r="I2802" s="100">
        <v>1014.3507577971178</v>
      </c>
      <c r="J2802" s="100">
        <v>2157.3827009963848</v>
      </c>
    </row>
    <row r="2803" spans="1:10" x14ac:dyDescent="0.25">
      <c r="A2803">
        <v>2786</v>
      </c>
      <c r="B2803" s="100">
        <v>88.888135135908257</v>
      </c>
      <c r="C2803" s="100">
        <v>98.595950589274352</v>
      </c>
      <c r="D2803" s="100">
        <v>92.069988020974762</v>
      </c>
      <c r="E2803" s="100">
        <v>93.027285580072657</v>
      </c>
      <c r="F2803" s="100">
        <v>2196.1706552122805</v>
      </c>
      <c r="G2803" s="100">
        <v>-579.09162396835256</v>
      </c>
      <c r="H2803" s="100">
        <v>1492.1841690236874</v>
      </c>
      <c r="I2803" s="100">
        <v>353.35407462856949</v>
      </c>
      <c r="J2803" s="100">
        <v>3462.6172748961849</v>
      </c>
    </row>
    <row r="2804" spans="1:10" x14ac:dyDescent="0.25">
      <c r="A2804">
        <v>2787</v>
      </c>
      <c r="B2804" s="100">
        <v>89.640013798106907</v>
      </c>
      <c r="C2804" s="100">
        <v>98.730223913593491</v>
      </c>
      <c r="D2804" s="100">
        <v>92.885500960995188</v>
      </c>
      <c r="E2804" s="100">
        <v>90.091571980925025</v>
      </c>
      <c r="F2804" s="100">
        <v>-285.02893004326211</v>
      </c>
      <c r="G2804" s="100">
        <v>-780.50161044706101</v>
      </c>
      <c r="H2804" s="100">
        <v>-138.84171101716447</v>
      </c>
      <c r="I2804" s="100">
        <v>3289.0676737762024</v>
      </c>
      <c r="J2804" s="100">
        <v>2084.6954222687145</v>
      </c>
    </row>
    <row r="2805" spans="1:10" x14ac:dyDescent="0.25">
      <c r="A2805">
        <v>2788</v>
      </c>
      <c r="B2805" s="100">
        <v>89.354843862086966</v>
      </c>
      <c r="C2805" s="100">
        <v>98.352326376817416</v>
      </c>
      <c r="D2805" s="100">
        <v>93.085677634844231</v>
      </c>
      <c r="E2805" s="100">
        <v>92.089595780690871</v>
      </c>
      <c r="F2805" s="100">
        <v>656.03185882254138</v>
      </c>
      <c r="G2805" s="100">
        <v>-213.6553052829484</v>
      </c>
      <c r="H2805" s="100">
        <v>-539.19505871525075</v>
      </c>
      <c r="I2805" s="100">
        <v>1291.0438740103559</v>
      </c>
      <c r="J2805" s="100">
        <v>1194.2253688346982</v>
      </c>
    </row>
    <row r="2806" spans="1:10" x14ac:dyDescent="0.25">
      <c r="A2806">
        <v>2789</v>
      </c>
      <c r="B2806" s="100">
        <v>90.278846337860912</v>
      </c>
      <c r="C2806" s="100">
        <v>96.771870231395027</v>
      </c>
      <c r="D2806" s="100">
        <v>93.168368948354484</v>
      </c>
      <c r="E2806" s="100">
        <v>94.750035830445043</v>
      </c>
      <c r="F2806" s="100">
        <v>-2393.1763112314811</v>
      </c>
      <c r="G2806" s="100">
        <v>2157.0289128506347</v>
      </c>
      <c r="H2806" s="100">
        <v>-704.57768573575663</v>
      </c>
      <c r="I2806" s="100">
        <v>-1369.396175743816</v>
      </c>
      <c r="J2806" s="100">
        <v>-2310.1212598604188</v>
      </c>
    </row>
    <row r="2807" spans="1:10" x14ac:dyDescent="0.25">
      <c r="A2807">
        <v>2790</v>
      </c>
      <c r="B2807" s="100">
        <v>88.912069936979691</v>
      </c>
      <c r="C2807" s="100">
        <v>97.043728492063977</v>
      </c>
      <c r="D2807" s="100">
        <v>94.295364631401895</v>
      </c>
      <c r="E2807" s="100">
        <v>94.244460762660566</v>
      </c>
      <c r="F2807" s="100">
        <v>2117.1858116765493</v>
      </c>
      <c r="G2807" s="100">
        <v>1749.2415218472104</v>
      </c>
      <c r="H2807" s="100">
        <v>-2958.5690518305796</v>
      </c>
      <c r="I2807" s="100">
        <v>-863.82110795933897</v>
      </c>
      <c r="J2807" s="100">
        <v>44.037173733840859</v>
      </c>
    </row>
    <row r="2808" spans="1:10" x14ac:dyDescent="0.25">
      <c r="A2808">
        <v>2791</v>
      </c>
      <c r="B2808" s="100">
        <v>89.1609289997144</v>
      </c>
      <c r="C2808" s="100">
        <v>96.798716300077913</v>
      </c>
      <c r="D2808" s="100">
        <v>92.360054171403334</v>
      </c>
      <c r="E2808" s="100">
        <v>93.14934951455102</v>
      </c>
      <c r="F2808" s="100">
        <v>1295.9509046520084</v>
      </c>
      <c r="G2808" s="100">
        <v>2116.7598098263056</v>
      </c>
      <c r="H2808" s="100">
        <v>912.05186816654304</v>
      </c>
      <c r="I2808" s="100">
        <v>231.29014015020743</v>
      </c>
      <c r="J2808" s="100">
        <v>4556.0527227950643</v>
      </c>
    </row>
    <row r="2809" spans="1:10" x14ac:dyDescent="0.25">
      <c r="A2809">
        <v>2792</v>
      </c>
      <c r="B2809" s="100">
        <v>89.914603901598724</v>
      </c>
      <c r="C2809" s="100">
        <v>97.536535059123082</v>
      </c>
      <c r="D2809" s="100">
        <v>92.939840881769456</v>
      </c>
      <c r="E2809" s="100">
        <v>93.237643913618427</v>
      </c>
      <c r="F2809" s="100">
        <v>-1191.1762715662603</v>
      </c>
      <c r="G2809" s="100">
        <v>1010.0316712585525</v>
      </c>
      <c r="H2809" s="100">
        <v>-247.52155256570063</v>
      </c>
      <c r="I2809" s="100">
        <v>142.99574108279955</v>
      </c>
      <c r="J2809" s="100">
        <v>-285.67041179060891</v>
      </c>
    </row>
    <row r="2810" spans="1:10" x14ac:dyDescent="0.25">
      <c r="A2810">
        <v>2793</v>
      </c>
      <c r="B2810" s="100">
        <v>89.625349480825022</v>
      </c>
      <c r="C2810" s="100">
        <v>98.262446559786667</v>
      </c>
      <c r="D2810" s="100">
        <v>92.865539529751615</v>
      </c>
      <c r="E2810" s="100">
        <v>94.925067428689601</v>
      </c>
      <c r="F2810" s="100">
        <v>-236.63668301304455</v>
      </c>
      <c r="G2810" s="100">
        <v>-78.835579736825423</v>
      </c>
      <c r="H2810" s="100">
        <v>-98.918848530018977</v>
      </c>
      <c r="I2810" s="100">
        <v>-1544.4277739883746</v>
      </c>
      <c r="J2810" s="100">
        <v>-1958.8188852682636</v>
      </c>
    </row>
    <row r="2811" spans="1:10" x14ac:dyDescent="0.25">
      <c r="A2811">
        <v>2794</v>
      </c>
      <c r="B2811" s="100">
        <v>89.58252717253994</v>
      </c>
      <c r="C2811" s="100">
        <v>97.420529940045355</v>
      </c>
      <c r="D2811" s="100">
        <v>91.729724562917227</v>
      </c>
      <c r="E2811" s="100">
        <v>93.781387667248183</v>
      </c>
      <c r="F2811" s="100">
        <v>-95.323065672273799</v>
      </c>
      <c r="G2811" s="100">
        <v>1184.0393498751425</v>
      </c>
      <c r="H2811" s="100">
        <v>2172.7110851387579</v>
      </c>
      <c r="I2811" s="100">
        <v>-400.74801254695558</v>
      </c>
      <c r="J2811" s="100">
        <v>2860.6793567946711</v>
      </c>
    </row>
    <row r="2812" spans="1:10" x14ac:dyDescent="0.25">
      <c r="A2812">
        <v>2795</v>
      </c>
      <c r="B2812" s="100">
        <v>89.418706396801937</v>
      </c>
      <c r="C2812" s="100">
        <v>98.647416018356978</v>
      </c>
      <c r="D2812" s="100">
        <v>92.823134957896087</v>
      </c>
      <c r="E2812" s="100">
        <v>91.372359665849586</v>
      </c>
      <c r="F2812" s="100">
        <v>445.28549426313617</v>
      </c>
      <c r="G2812" s="100">
        <v>-656.28976759229113</v>
      </c>
      <c r="H2812" s="100">
        <v>-14.109704818963564</v>
      </c>
      <c r="I2812" s="100">
        <v>2008.2799888516406</v>
      </c>
      <c r="J2812" s="100">
        <v>1783.166010703522</v>
      </c>
    </row>
    <row r="2813" spans="1:10" x14ac:dyDescent="0.25">
      <c r="A2813">
        <v>2796</v>
      </c>
      <c r="B2813" s="100">
        <v>90.255534364785589</v>
      </c>
      <c r="C2813" s="100">
        <v>97.232473599635114</v>
      </c>
      <c r="D2813" s="100">
        <v>93.768314920602293</v>
      </c>
      <c r="E2813" s="100">
        <v>92.955834060707261</v>
      </c>
      <c r="F2813" s="100">
        <v>-2316.2468000829149</v>
      </c>
      <c r="G2813" s="100">
        <v>1466.1238604905052</v>
      </c>
      <c r="H2813" s="100">
        <v>-1904.4696302313753</v>
      </c>
      <c r="I2813" s="100">
        <v>424.80559399396611</v>
      </c>
      <c r="J2813" s="100">
        <v>-2329.7869758298193</v>
      </c>
    </row>
    <row r="2814" spans="1:10" x14ac:dyDescent="0.25">
      <c r="A2814">
        <v>2797</v>
      </c>
      <c r="B2814" s="100">
        <v>89.74027166020322</v>
      </c>
      <c r="C2814" s="100">
        <v>97.330642466244953</v>
      </c>
      <c r="D2814" s="100">
        <v>92.61130970867049</v>
      </c>
      <c r="E2814" s="100">
        <v>97.095157407192588</v>
      </c>
      <c r="F2814" s="100">
        <v>-615.87987496109668</v>
      </c>
      <c r="G2814" s="100">
        <v>1318.8705605757464</v>
      </c>
      <c r="H2814" s="100">
        <v>409.54079363223173</v>
      </c>
      <c r="I2814" s="100">
        <v>-3714.5177524913606</v>
      </c>
      <c r="J2814" s="100">
        <v>-2601.986273244479</v>
      </c>
    </row>
    <row r="2815" spans="1:10" x14ac:dyDescent="0.25">
      <c r="A2815">
        <v>2798</v>
      </c>
      <c r="B2815" s="100">
        <v>89.98196174261453</v>
      </c>
      <c r="C2815" s="100">
        <v>95.912027357939678</v>
      </c>
      <c r="D2815" s="100">
        <v>91.136071572528863</v>
      </c>
      <c r="E2815" s="100">
        <v>93.992771455044306</v>
      </c>
      <c r="F2815" s="100">
        <v>-1413.4571469184195</v>
      </c>
      <c r="G2815" s="100">
        <v>3446.7932230336587</v>
      </c>
      <c r="H2815" s="100">
        <v>3360.0170659154855</v>
      </c>
      <c r="I2815" s="100">
        <v>-612.13180034307868</v>
      </c>
      <c r="J2815" s="100">
        <v>4781.2213416876457</v>
      </c>
    </row>
    <row r="2816" spans="1:10" x14ac:dyDescent="0.25">
      <c r="A2816">
        <v>2799</v>
      </c>
      <c r="B2816" s="100">
        <v>89.738665940971885</v>
      </c>
      <c r="C2816" s="100">
        <v>96.82663274634298</v>
      </c>
      <c r="D2816" s="100">
        <v>92.306791397501243</v>
      </c>
      <c r="E2816" s="100">
        <v>92.22323712039038</v>
      </c>
      <c r="F2816" s="100">
        <v>-610.58100149768961</v>
      </c>
      <c r="G2816" s="100">
        <v>2074.8851404287052</v>
      </c>
      <c r="H2816" s="100">
        <v>1018.577415970725</v>
      </c>
      <c r="I2816" s="100">
        <v>1157.4025343108474</v>
      </c>
      <c r="J2816" s="100">
        <v>3640.2840892125882</v>
      </c>
    </row>
    <row r="2817" spans="1:10" x14ac:dyDescent="0.25">
      <c r="A2817">
        <v>2800</v>
      </c>
      <c r="B2817" s="100">
        <v>89.269982642354734</v>
      </c>
      <c r="C2817" s="100">
        <v>99.969603536127394</v>
      </c>
      <c r="D2817" s="100">
        <v>92.999985203745638</v>
      </c>
      <c r="E2817" s="100">
        <v>92.478376904571547</v>
      </c>
      <c r="F2817" s="100">
        <v>936.07388393890858</v>
      </c>
      <c r="G2817" s="100">
        <v>-2639.5710442479158</v>
      </c>
      <c r="H2817" s="100">
        <v>-367.81019651806446</v>
      </c>
      <c r="I2817" s="100">
        <v>902.2627501296796</v>
      </c>
      <c r="J2817" s="100">
        <v>-1169.0446066973918</v>
      </c>
    </row>
    <row r="2818" spans="1:10" x14ac:dyDescent="0.25">
      <c r="A2818">
        <v>2801</v>
      </c>
      <c r="B2818" s="100">
        <v>89.863592795904026</v>
      </c>
      <c r="C2818" s="100">
        <v>100.25881507136909</v>
      </c>
      <c r="D2818" s="100">
        <v>91.530993519064481</v>
      </c>
      <c r="E2818" s="100">
        <v>92.691098035233949</v>
      </c>
      <c r="F2818" s="100">
        <v>-1022.8396227737562</v>
      </c>
      <c r="G2818" s="100">
        <v>-3073.3883471104518</v>
      </c>
      <c r="H2818" s="100">
        <v>2570.1731728442496</v>
      </c>
      <c r="I2818" s="100">
        <v>689.54161946727766</v>
      </c>
      <c r="J2818" s="100">
        <v>-836.51317757268123</v>
      </c>
    </row>
    <row r="2819" spans="1:10" x14ac:dyDescent="0.25">
      <c r="A2819">
        <v>2802</v>
      </c>
      <c r="B2819" s="100">
        <v>89.316969490716971</v>
      </c>
      <c r="C2819" s="100">
        <v>99.312789659539149</v>
      </c>
      <c r="D2819" s="100">
        <v>93.379002152532195</v>
      </c>
      <c r="E2819" s="100">
        <v>93.24111148965018</v>
      </c>
      <c r="F2819" s="100">
        <v>781.0172843435239</v>
      </c>
      <c r="G2819" s="100">
        <v>-1654.3502293655479</v>
      </c>
      <c r="H2819" s="100">
        <v>-1125.8440940911782</v>
      </c>
      <c r="I2819" s="100">
        <v>139.52816505104693</v>
      </c>
      <c r="J2819" s="100">
        <v>-1859.6488740621553</v>
      </c>
    </row>
    <row r="2820" spans="1:10" x14ac:dyDescent="0.25">
      <c r="A2820">
        <v>2803</v>
      </c>
      <c r="B2820" s="100">
        <v>88.92310211191689</v>
      </c>
      <c r="C2820" s="100">
        <v>98.582859773746165</v>
      </c>
      <c r="D2820" s="100">
        <v>92.154366389217529</v>
      </c>
      <c r="E2820" s="100">
        <v>94.015095775266829</v>
      </c>
      <c r="F2820" s="100">
        <v>2080.7796343837922</v>
      </c>
      <c r="G2820" s="100">
        <v>-559.45540067607169</v>
      </c>
      <c r="H2820" s="100">
        <v>1323.4274325381534</v>
      </c>
      <c r="I2820" s="100">
        <v>-634.45612056560208</v>
      </c>
      <c r="J2820" s="100">
        <v>2210.295545680272</v>
      </c>
    </row>
    <row r="2821" spans="1:10" x14ac:dyDescent="0.25">
      <c r="A2821">
        <v>2804</v>
      </c>
      <c r="B2821" s="100">
        <v>90.741681403647874</v>
      </c>
      <c r="C2821" s="100">
        <v>98.082877701163838</v>
      </c>
      <c r="D2821" s="100">
        <v>93.388177362778109</v>
      </c>
      <c r="E2821" s="100">
        <v>90.788009657738499</v>
      </c>
      <c r="F2821" s="100">
        <v>-3920.532028328455</v>
      </c>
      <c r="G2821" s="100">
        <v>190.51770819741876</v>
      </c>
      <c r="H2821" s="100">
        <v>-1144.1945145830061</v>
      </c>
      <c r="I2821" s="100">
        <v>2592.629996962728</v>
      </c>
      <c r="J2821" s="100">
        <v>-2281.5788377513145</v>
      </c>
    </row>
    <row r="2822" spans="1:10" x14ac:dyDescent="0.25">
      <c r="A2822">
        <v>2805</v>
      </c>
      <c r="B2822" s="100">
        <v>89.84861864062961</v>
      </c>
      <c r="C2822" s="100">
        <v>97.869498002484207</v>
      </c>
      <c r="D2822" s="100">
        <v>92.012025538895998</v>
      </c>
      <c r="E2822" s="100">
        <v>94.521818302766221</v>
      </c>
      <c r="F2822" s="100">
        <v>-973.4249103681833</v>
      </c>
      <c r="G2822" s="100">
        <v>510.58725621686563</v>
      </c>
      <c r="H2822" s="100">
        <v>1608.1091331812161</v>
      </c>
      <c r="I2822" s="100">
        <v>-1141.1786480649937</v>
      </c>
      <c r="J2822" s="100">
        <v>4.0928309649045787</v>
      </c>
    </row>
    <row r="2823" spans="1:10" x14ac:dyDescent="0.25">
      <c r="A2823">
        <v>2806</v>
      </c>
      <c r="B2823" s="100">
        <v>91.294219806400108</v>
      </c>
      <c r="C2823" s="100">
        <v>98.092554591535404</v>
      </c>
      <c r="D2823" s="100">
        <v>91.869506278810192</v>
      </c>
      <c r="E2823" s="100">
        <v>93.676901203849781</v>
      </c>
      <c r="F2823" s="100">
        <v>-5743.9087574108253</v>
      </c>
      <c r="G2823" s="100">
        <v>176.00237264007035</v>
      </c>
      <c r="H2823" s="100">
        <v>1893.1476533528269</v>
      </c>
      <c r="I2823" s="100">
        <v>-296.26154914855363</v>
      </c>
      <c r="J2823" s="100">
        <v>-3971.0202805664817</v>
      </c>
    </row>
    <row r="2824" spans="1:10" x14ac:dyDescent="0.25">
      <c r="A2824">
        <v>2807</v>
      </c>
      <c r="B2824" s="100">
        <v>89.222527488620386</v>
      </c>
      <c r="C2824" s="100">
        <v>99.243007847219047</v>
      </c>
      <c r="D2824" s="100">
        <v>92.619427694372305</v>
      </c>
      <c r="E2824" s="100">
        <v>94.171614377690403</v>
      </c>
      <c r="F2824" s="100">
        <v>1092.6758912622545</v>
      </c>
      <c r="G2824" s="100">
        <v>-1549.6775108853953</v>
      </c>
      <c r="H2824" s="100">
        <v>393.30482222860041</v>
      </c>
      <c r="I2824" s="100">
        <v>-790.97472298917637</v>
      </c>
      <c r="J2824" s="100">
        <v>-854.67152038371682</v>
      </c>
    </row>
    <row r="2825" spans="1:10" x14ac:dyDescent="0.25">
      <c r="A2825">
        <v>2808</v>
      </c>
      <c r="B2825" s="100">
        <v>88.118434418717726</v>
      </c>
      <c r="C2825" s="100">
        <v>97.173550493399432</v>
      </c>
      <c r="D2825" s="100">
        <v>92.344092681799509</v>
      </c>
      <c r="E2825" s="100">
        <v>94.055685813275815</v>
      </c>
      <c r="F2825" s="100">
        <v>4736.183021941034</v>
      </c>
      <c r="G2825" s="100">
        <v>1554.5085198440277</v>
      </c>
      <c r="H2825" s="100">
        <v>943.9748473741929</v>
      </c>
      <c r="I2825" s="100">
        <v>-675.04615857458816</v>
      </c>
      <c r="J2825" s="100">
        <v>6559.6202305846664</v>
      </c>
    </row>
    <row r="2826" spans="1:10" x14ac:dyDescent="0.25">
      <c r="A2826">
        <v>2809</v>
      </c>
      <c r="B2826" s="100">
        <v>88.424143085261804</v>
      </c>
      <c r="C2826" s="100">
        <v>99.155734315343906</v>
      </c>
      <c r="D2826" s="100">
        <v>91.133609524414624</v>
      </c>
      <c r="E2826" s="100">
        <v>89.985691881641344</v>
      </c>
      <c r="F2826" s="100">
        <v>3727.3444223455767</v>
      </c>
      <c r="G2826" s="100">
        <v>-1418.7672130726837</v>
      </c>
      <c r="H2826" s="100">
        <v>3364.941162143964</v>
      </c>
      <c r="I2826" s="100">
        <v>3394.9477730598828</v>
      </c>
      <c r="J2826" s="100">
        <v>9068.4661444767407</v>
      </c>
    </row>
    <row r="2827" spans="1:10" x14ac:dyDescent="0.25">
      <c r="A2827">
        <v>2810</v>
      </c>
      <c r="B2827" s="100">
        <v>89.470306609762915</v>
      </c>
      <c r="C2827" s="100">
        <v>98.592519476122661</v>
      </c>
      <c r="D2827" s="100">
        <v>92.919623734169591</v>
      </c>
      <c r="E2827" s="100">
        <v>94.581382523346605</v>
      </c>
      <c r="F2827" s="100">
        <v>275.00479149191079</v>
      </c>
      <c r="G2827" s="100">
        <v>-573.94495424081526</v>
      </c>
      <c r="H2827" s="100">
        <v>-207.08725736596989</v>
      </c>
      <c r="I2827" s="100">
        <v>-1200.7428686453777</v>
      </c>
      <c r="J2827" s="100">
        <v>-1706.770288760252</v>
      </c>
    </row>
    <row r="2828" spans="1:10" x14ac:dyDescent="0.25">
      <c r="A2828">
        <v>2811</v>
      </c>
      <c r="B2828" s="100">
        <v>89.41129709616385</v>
      </c>
      <c r="C2828" s="100">
        <v>97.169119262875213</v>
      </c>
      <c r="D2828" s="100">
        <v>92.827342454141217</v>
      </c>
      <c r="E2828" s="100">
        <v>94.016143694573984</v>
      </c>
      <c r="F2828" s="100">
        <v>469.73618636882577</v>
      </c>
      <c r="G2828" s="100">
        <v>1561.1553656303556</v>
      </c>
      <c r="H2828" s="100">
        <v>-22.524697309222574</v>
      </c>
      <c r="I2828" s="100">
        <v>-635.50403987275672</v>
      </c>
      <c r="J2828" s="100">
        <v>1372.8628148172022</v>
      </c>
    </row>
    <row r="2829" spans="1:10" x14ac:dyDescent="0.25">
      <c r="A2829">
        <v>2812</v>
      </c>
      <c r="B2829" s="100">
        <v>89.243880933329066</v>
      </c>
      <c r="C2829" s="100">
        <v>99.174761468886189</v>
      </c>
      <c r="D2829" s="100">
        <v>95.267756934258102</v>
      </c>
      <c r="E2829" s="100">
        <v>94.457608832827447</v>
      </c>
      <c r="F2829" s="100">
        <v>1022.2095237236103</v>
      </c>
      <c r="G2829" s="100">
        <v>-1447.3079433861074</v>
      </c>
      <c r="H2829" s="100">
        <v>-4903.3536575429935</v>
      </c>
      <c r="I2829" s="100">
        <v>-1076.9691781262195</v>
      </c>
      <c r="J2829" s="100">
        <v>-6405.4212553317102</v>
      </c>
    </row>
    <row r="2830" spans="1:10" x14ac:dyDescent="0.25">
      <c r="A2830">
        <v>2813</v>
      </c>
      <c r="B2830" s="100">
        <v>88.979640359186888</v>
      </c>
      <c r="C2830" s="100">
        <v>97.268997512987994</v>
      </c>
      <c r="D2830" s="100">
        <v>92.115562144883924</v>
      </c>
      <c r="E2830" s="100">
        <v>92.630350593059219</v>
      </c>
      <c r="F2830" s="100">
        <v>1894.2034183927988</v>
      </c>
      <c r="G2830" s="100">
        <v>1411.3379904611847</v>
      </c>
      <c r="H2830" s="100">
        <v>1401.0359212053629</v>
      </c>
      <c r="I2830" s="100">
        <v>750.28906164200748</v>
      </c>
      <c r="J2830" s="100">
        <v>5456.8663917013537</v>
      </c>
    </row>
    <row r="2831" spans="1:10" x14ac:dyDescent="0.25">
      <c r="A2831">
        <v>2814</v>
      </c>
      <c r="B2831" s="100">
        <v>89.398455160204264</v>
      </c>
      <c r="C2831" s="100">
        <v>97.891524449225386</v>
      </c>
      <c r="D2831" s="100">
        <v>92.06227828926086</v>
      </c>
      <c r="E2831" s="100">
        <v>92.157174344912022</v>
      </c>
      <c r="F2831" s="100">
        <v>512.11457503545716</v>
      </c>
      <c r="G2831" s="100">
        <v>477.5475861050964</v>
      </c>
      <c r="H2831" s="100">
        <v>1507.6036324514916</v>
      </c>
      <c r="I2831" s="100">
        <v>1223.4653097892051</v>
      </c>
      <c r="J2831" s="100">
        <v>3720.7311033812503</v>
      </c>
    </row>
    <row r="2832" spans="1:10" x14ac:dyDescent="0.25">
      <c r="A2832">
        <v>2815</v>
      </c>
      <c r="B2832" s="100">
        <v>90.443003426163301</v>
      </c>
      <c r="C2832" s="100">
        <v>96.703557820183761</v>
      </c>
      <c r="D2832" s="100">
        <v>91.273408955648748</v>
      </c>
      <c r="E2832" s="100">
        <v>94.873536345546768</v>
      </c>
      <c r="F2832" s="100">
        <v>-2934.8947026293645</v>
      </c>
      <c r="G2832" s="100">
        <v>2259.4975296675343</v>
      </c>
      <c r="H2832" s="100">
        <v>3085.3422996757163</v>
      </c>
      <c r="I2832" s="100">
        <v>-1492.8966908455409</v>
      </c>
      <c r="J2832" s="100">
        <v>917.04843586834522</v>
      </c>
    </row>
    <row r="2833" spans="1:10" x14ac:dyDescent="0.25">
      <c r="A2833">
        <v>2816</v>
      </c>
      <c r="B2833" s="100">
        <v>88.86915138943327</v>
      </c>
      <c r="C2833" s="100">
        <v>98.384033821128995</v>
      </c>
      <c r="D2833" s="100">
        <v>92.836641699232842</v>
      </c>
      <c r="E2833" s="100">
        <v>91.527507813877349</v>
      </c>
      <c r="F2833" s="100">
        <v>2258.817018579738</v>
      </c>
      <c r="G2833" s="100">
        <v>-261.21647175031626</v>
      </c>
      <c r="H2833" s="100">
        <v>-41.123187492473789</v>
      </c>
      <c r="I2833" s="100">
        <v>1853.1318408238776</v>
      </c>
      <c r="J2833" s="100">
        <v>3809.6092001608258</v>
      </c>
    </row>
    <row r="2834" spans="1:10" x14ac:dyDescent="0.25">
      <c r="A2834">
        <v>2817</v>
      </c>
      <c r="B2834" s="100">
        <v>89.842553352839289</v>
      </c>
      <c r="C2834" s="100">
        <v>98.55777417940088</v>
      </c>
      <c r="D2834" s="100">
        <v>92.258681250379951</v>
      </c>
      <c r="E2834" s="100">
        <v>91.163945756908078</v>
      </c>
      <c r="F2834" s="100">
        <v>-953.4094606601243</v>
      </c>
      <c r="G2834" s="100">
        <v>-521.82700915814451</v>
      </c>
      <c r="H2834" s="100">
        <v>1114.7977102133098</v>
      </c>
      <c r="I2834" s="100">
        <v>2216.6938977931495</v>
      </c>
      <c r="J2834" s="100">
        <v>1856.2551381881906</v>
      </c>
    </row>
    <row r="2835" spans="1:10" x14ac:dyDescent="0.25">
      <c r="A2835">
        <v>2818</v>
      </c>
      <c r="B2835" s="100">
        <v>89.42263869207342</v>
      </c>
      <c r="C2835" s="100">
        <v>97.30947122611984</v>
      </c>
      <c r="D2835" s="100">
        <v>92.382054027369165</v>
      </c>
      <c r="E2835" s="100">
        <v>92.781281115696686</v>
      </c>
      <c r="F2835" s="100">
        <v>432.30891986724345</v>
      </c>
      <c r="G2835" s="100">
        <v>1350.6274207634165</v>
      </c>
      <c r="H2835" s="100">
        <v>868.05215623488152</v>
      </c>
      <c r="I2835" s="100">
        <v>599.35853900454106</v>
      </c>
      <c r="J2835" s="100">
        <v>3250.3470358700824</v>
      </c>
    </row>
    <row r="2836" spans="1:10" x14ac:dyDescent="0.25">
      <c r="A2836">
        <v>2819</v>
      </c>
      <c r="B2836" s="100">
        <v>88.496628801607443</v>
      </c>
      <c r="C2836" s="100">
        <v>98.781755162388393</v>
      </c>
      <c r="D2836" s="100">
        <v>94.529533016852369</v>
      </c>
      <c r="E2836" s="100">
        <v>90.260838893103937</v>
      </c>
      <c r="F2836" s="100">
        <v>3488.1415584049678</v>
      </c>
      <c r="G2836" s="100">
        <v>-857.79848363941369</v>
      </c>
      <c r="H2836" s="100">
        <v>-3426.9058227315272</v>
      </c>
      <c r="I2836" s="100">
        <v>3119.8007615972897</v>
      </c>
      <c r="J2836" s="100">
        <v>2323.2380136313163</v>
      </c>
    </row>
    <row r="2837" spans="1:10" x14ac:dyDescent="0.25">
      <c r="A2837">
        <v>2820</v>
      </c>
      <c r="B2837" s="100">
        <v>89.429157016930048</v>
      </c>
      <c r="C2837" s="100">
        <v>98.114727109050534</v>
      </c>
      <c r="D2837" s="100">
        <v>91.969598701928575</v>
      </c>
      <c r="E2837" s="100">
        <v>94.391477425937254</v>
      </c>
      <c r="F2837" s="100">
        <v>410.79844784036936</v>
      </c>
      <c r="G2837" s="100">
        <v>142.74359636737444</v>
      </c>
      <c r="H2837" s="100">
        <v>1692.9628071160607</v>
      </c>
      <c r="I2837" s="100">
        <v>-1010.8377712360266</v>
      </c>
      <c r="J2837" s="100">
        <v>1235.6670800877778</v>
      </c>
    </row>
    <row r="2838" spans="1:10" x14ac:dyDescent="0.25">
      <c r="A2838">
        <v>2821</v>
      </c>
      <c r="B2838" s="100">
        <v>89.647819015407038</v>
      </c>
      <c r="C2838" s="100">
        <v>97.754387899844701</v>
      </c>
      <c r="D2838" s="100">
        <v>92.294916115666496</v>
      </c>
      <c r="E2838" s="100">
        <v>93.925843689540784</v>
      </c>
      <c r="F2838" s="100">
        <v>-310.78614713369461</v>
      </c>
      <c r="G2838" s="100">
        <v>683.2524101761237</v>
      </c>
      <c r="H2838" s="100">
        <v>1042.3279796402198</v>
      </c>
      <c r="I2838" s="100">
        <v>-545.20403483955704</v>
      </c>
      <c r="J2838" s="100">
        <v>869.59020784309189</v>
      </c>
    </row>
    <row r="2839" spans="1:10" x14ac:dyDescent="0.25">
      <c r="A2839">
        <v>2822</v>
      </c>
      <c r="B2839" s="100">
        <v>88.520930225746199</v>
      </c>
      <c r="C2839" s="100">
        <v>97.616926925404343</v>
      </c>
      <c r="D2839" s="100">
        <v>92.843025910528951</v>
      </c>
      <c r="E2839" s="100">
        <v>93.358871995688091</v>
      </c>
      <c r="F2839" s="100">
        <v>3407.9468587470742</v>
      </c>
      <c r="G2839" s="100">
        <v>889.44387183666151</v>
      </c>
      <c r="H2839" s="100">
        <v>-53.891610084690456</v>
      </c>
      <c r="I2839" s="100">
        <v>21.767659013136154</v>
      </c>
      <c r="J2839" s="100">
        <v>4265.2667795121815</v>
      </c>
    </row>
    <row r="2840" spans="1:10" x14ac:dyDescent="0.25">
      <c r="A2840">
        <v>2823</v>
      </c>
      <c r="B2840" s="100">
        <v>90.017657421169645</v>
      </c>
      <c r="C2840" s="100">
        <v>98.001837281716561</v>
      </c>
      <c r="D2840" s="100">
        <v>93.713438561136059</v>
      </c>
      <c r="E2840" s="100">
        <v>93.987895663385601</v>
      </c>
      <c r="F2840" s="100">
        <v>-1531.2528861502983</v>
      </c>
      <c r="G2840" s="100">
        <v>312.07833736833379</v>
      </c>
      <c r="H2840" s="100">
        <v>-1794.7169112989059</v>
      </c>
      <c r="I2840" s="100">
        <v>-607.25600868437368</v>
      </c>
      <c r="J2840" s="100">
        <v>-3621.147468765244</v>
      </c>
    </row>
    <row r="2841" spans="1:10" x14ac:dyDescent="0.25">
      <c r="A2841">
        <v>2824</v>
      </c>
      <c r="B2841" s="100">
        <v>89.493308624304987</v>
      </c>
      <c r="C2841" s="100">
        <v>97.378019805577708</v>
      </c>
      <c r="D2841" s="100">
        <v>91.750399202646989</v>
      </c>
      <c r="E2841" s="100">
        <v>91.368222835334777</v>
      </c>
      <c r="F2841" s="100">
        <v>199.09814350307187</v>
      </c>
      <c r="G2841" s="100">
        <v>1247.8045515766141</v>
      </c>
      <c r="H2841" s="100">
        <v>2131.3618056792338</v>
      </c>
      <c r="I2841" s="100">
        <v>2012.4168193664502</v>
      </c>
      <c r="J2841" s="100">
        <v>5590.6813201253699</v>
      </c>
    </row>
    <row r="2842" spans="1:10" x14ac:dyDescent="0.25">
      <c r="A2842">
        <v>2825</v>
      </c>
      <c r="B2842" s="100">
        <v>89.116694444236913</v>
      </c>
      <c r="C2842" s="100">
        <v>98.161723955799246</v>
      </c>
      <c r="D2842" s="100">
        <v>93.080171808841442</v>
      </c>
      <c r="E2842" s="100">
        <v>91.592416142684144</v>
      </c>
      <c r="F2842" s="100">
        <v>1441.924937727717</v>
      </c>
      <c r="G2842" s="100">
        <v>72.248326244306327</v>
      </c>
      <c r="H2842" s="100">
        <v>-528.18340670967245</v>
      </c>
      <c r="I2842" s="100">
        <v>1788.2235120170833</v>
      </c>
      <c r="J2842" s="100">
        <v>2774.2133692794341</v>
      </c>
    </row>
    <row r="2843" spans="1:10" x14ac:dyDescent="0.25">
      <c r="A2843">
        <v>2826</v>
      </c>
      <c r="B2843" s="100">
        <v>89.564976674207813</v>
      </c>
      <c r="C2843" s="100">
        <v>100.37757786097194</v>
      </c>
      <c r="D2843" s="100">
        <v>91.544087783332216</v>
      </c>
      <c r="E2843" s="100">
        <v>94.643520271842533</v>
      </c>
      <c r="F2843" s="100">
        <v>-37.406421176252991</v>
      </c>
      <c r="G2843" s="100">
        <v>-3251.5325315147338</v>
      </c>
      <c r="H2843" s="100">
        <v>2543.984644308779</v>
      </c>
      <c r="I2843" s="100">
        <v>-1262.8806171413062</v>
      </c>
      <c r="J2843" s="100">
        <v>-2007.8349255235139</v>
      </c>
    </row>
    <row r="2844" spans="1:10" x14ac:dyDescent="0.25">
      <c r="A2844">
        <v>2827</v>
      </c>
      <c r="B2844" s="100">
        <v>90.207454015821696</v>
      </c>
      <c r="C2844" s="100">
        <v>99.54419867976965</v>
      </c>
      <c r="D2844" s="100">
        <v>91.740673280060719</v>
      </c>
      <c r="E2844" s="100">
        <v>95.613836982415108</v>
      </c>
      <c r="F2844" s="100">
        <v>-2157.5816485020682</v>
      </c>
      <c r="G2844" s="100">
        <v>-2001.4637597112994</v>
      </c>
      <c r="H2844" s="100">
        <v>2150.8136508517737</v>
      </c>
      <c r="I2844" s="100">
        <v>-2233.1973277138814</v>
      </c>
      <c r="J2844" s="100">
        <v>-4241.4290850754751</v>
      </c>
    </row>
    <row r="2845" spans="1:10" x14ac:dyDescent="0.25">
      <c r="A2845">
        <v>2828</v>
      </c>
      <c r="B2845" s="100">
        <v>89.459092560298103</v>
      </c>
      <c r="C2845" s="100">
        <v>99.009473357973746</v>
      </c>
      <c r="D2845" s="100">
        <v>93.060854638389287</v>
      </c>
      <c r="E2845" s="100">
        <v>91.418516575212848</v>
      </c>
      <c r="F2845" s="100">
        <v>312.0111547257892</v>
      </c>
      <c r="G2845" s="100">
        <v>-1199.3757770174441</v>
      </c>
      <c r="H2845" s="100">
        <v>-489.54906580536317</v>
      </c>
      <c r="I2845" s="100">
        <v>1962.1230794883786</v>
      </c>
      <c r="J2845" s="100">
        <v>585.20939139136044</v>
      </c>
    </row>
    <row r="2846" spans="1:10" x14ac:dyDescent="0.25">
      <c r="A2846">
        <v>2829</v>
      </c>
      <c r="B2846" s="100">
        <v>89.664771565299588</v>
      </c>
      <c r="C2846" s="100">
        <v>98.424510383468728</v>
      </c>
      <c r="D2846" s="100">
        <v>91.913742164981684</v>
      </c>
      <c r="E2846" s="100">
        <v>93.715671081626581</v>
      </c>
      <c r="F2846" s="100">
        <v>-366.7295617791126</v>
      </c>
      <c r="G2846" s="100">
        <v>-321.93131525991703</v>
      </c>
      <c r="H2846" s="100">
        <v>1804.6758810098424</v>
      </c>
      <c r="I2846" s="100">
        <v>-335.03142692535448</v>
      </c>
      <c r="J2846" s="100">
        <v>780.98357704545833</v>
      </c>
    </row>
    <row r="2847" spans="1:10" x14ac:dyDescent="0.25">
      <c r="A2847">
        <v>2830</v>
      </c>
      <c r="B2847" s="100">
        <v>89.622779306097186</v>
      </c>
      <c r="C2847" s="100">
        <v>97.935971102589448</v>
      </c>
      <c r="D2847" s="100">
        <v>92.417919698393717</v>
      </c>
      <c r="E2847" s="100">
        <v>95.724753473050498</v>
      </c>
      <c r="F2847" s="100">
        <v>-228.15510641118522</v>
      </c>
      <c r="G2847" s="100">
        <v>410.87760605900314</v>
      </c>
      <c r="H2847" s="100">
        <v>796.32081418577627</v>
      </c>
      <c r="I2847" s="100">
        <v>-2344.1138183492712</v>
      </c>
      <c r="J2847" s="100">
        <v>-1365.0705045156769</v>
      </c>
    </row>
    <row r="2848" spans="1:10" x14ac:dyDescent="0.25">
      <c r="A2848">
        <v>2831</v>
      </c>
      <c r="B2848" s="100">
        <v>89.590131444148668</v>
      </c>
      <c r="C2848" s="100">
        <v>98.407323938216962</v>
      </c>
      <c r="D2848" s="100">
        <v>93.988167320182512</v>
      </c>
      <c r="E2848" s="100">
        <v>89.755278889706346</v>
      </c>
      <c r="F2848" s="100">
        <v>-120.41716198107366</v>
      </c>
      <c r="G2848" s="100">
        <v>-296.15164738226696</v>
      </c>
      <c r="H2848" s="100">
        <v>-2344.1744293918136</v>
      </c>
      <c r="I2848" s="100">
        <v>3625.3607649948804</v>
      </c>
      <c r="J2848" s="100">
        <v>864.61752623972598</v>
      </c>
    </row>
    <row r="2849" spans="1:10" x14ac:dyDescent="0.25">
      <c r="A2849">
        <v>2832</v>
      </c>
      <c r="B2849" s="100">
        <v>89.065243323368136</v>
      </c>
      <c r="C2849" s="100">
        <v>97.783293595025938</v>
      </c>
      <c r="D2849" s="100">
        <v>92.74976433138292</v>
      </c>
      <c r="E2849" s="100">
        <v>91.217238504968464</v>
      </c>
      <c r="F2849" s="100">
        <v>1611.7136365946792</v>
      </c>
      <c r="G2849" s="100">
        <v>639.89386740426824</v>
      </c>
      <c r="H2849" s="100">
        <v>132.631548207371</v>
      </c>
      <c r="I2849" s="100">
        <v>2163.4011497327633</v>
      </c>
      <c r="J2849" s="100">
        <v>4547.6402019390816</v>
      </c>
    </row>
    <row r="2850" spans="1:10" x14ac:dyDescent="0.25">
      <c r="A2850">
        <v>2833</v>
      </c>
      <c r="B2850" s="100">
        <v>89.284202010463659</v>
      </c>
      <c r="C2850" s="100">
        <v>97.754158659092838</v>
      </c>
      <c r="D2850" s="100">
        <v>94.040591786169131</v>
      </c>
      <c r="E2850" s="100">
        <v>94.595693149467849</v>
      </c>
      <c r="F2850" s="100">
        <v>889.14996917945496</v>
      </c>
      <c r="G2850" s="100">
        <v>683.59627130391937</v>
      </c>
      <c r="H2850" s="100">
        <v>-2449.0233613650503</v>
      </c>
      <c r="I2850" s="100">
        <v>-1215.0534947666215</v>
      </c>
      <c r="J2850" s="100">
        <v>-2091.3306156482977</v>
      </c>
    </row>
    <row r="2851" spans="1:10" x14ac:dyDescent="0.25">
      <c r="A2851">
        <v>2834</v>
      </c>
      <c r="B2851" s="100">
        <v>89.785961580127079</v>
      </c>
      <c r="C2851" s="100">
        <v>97.659494406414254</v>
      </c>
      <c r="D2851" s="100">
        <v>91.308919990470784</v>
      </c>
      <c r="E2851" s="100">
        <v>92.838267975319212</v>
      </c>
      <c r="F2851" s="100">
        <v>-766.65661070983197</v>
      </c>
      <c r="G2851" s="100">
        <v>825.59265032179496</v>
      </c>
      <c r="H2851" s="100">
        <v>3014.3202300316434</v>
      </c>
      <c r="I2851" s="100">
        <v>542.3716793820148</v>
      </c>
      <c r="J2851" s="100">
        <v>3615.6279490256211</v>
      </c>
    </row>
    <row r="2852" spans="1:10" x14ac:dyDescent="0.25">
      <c r="A2852">
        <v>2835</v>
      </c>
      <c r="B2852" s="100">
        <v>89.301047243668251</v>
      </c>
      <c r="C2852" s="100">
        <v>99.728869496256792</v>
      </c>
      <c r="D2852" s="100">
        <v>91.816658712231529</v>
      </c>
      <c r="E2852" s="100">
        <v>92.672516231592354</v>
      </c>
      <c r="F2852" s="100">
        <v>833.56069960430261</v>
      </c>
      <c r="G2852" s="100">
        <v>-2278.469984442012</v>
      </c>
      <c r="H2852" s="100">
        <v>1998.8427865101528</v>
      </c>
      <c r="I2852" s="100">
        <v>708.12342310887288</v>
      </c>
      <c r="J2852" s="100">
        <v>1262.0569247813162</v>
      </c>
    </row>
    <row r="2853" spans="1:10" x14ac:dyDescent="0.25">
      <c r="A2853">
        <v>2836</v>
      </c>
      <c r="B2853" s="100">
        <v>89.251681606201885</v>
      </c>
      <c r="C2853" s="100">
        <v>98.146353705217393</v>
      </c>
      <c r="D2853" s="100">
        <v>94.289213254929862</v>
      </c>
      <c r="E2853" s="100">
        <v>92.100602127858764</v>
      </c>
      <c r="F2853" s="100">
        <v>996.46730324330974</v>
      </c>
      <c r="G2853" s="100">
        <v>95.30370211708572</v>
      </c>
      <c r="H2853" s="100">
        <v>-2946.2662988865131</v>
      </c>
      <c r="I2853" s="100">
        <v>1280.0375268424632</v>
      </c>
      <c r="J2853" s="100">
        <v>-574.45776668365443</v>
      </c>
    </row>
    <row r="2854" spans="1:10" x14ac:dyDescent="0.25">
      <c r="A2854">
        <v>2837</v>
      </c>
      <c r="B2854" s="100">
        <v>89.648645819613833</v>
      </c>
      <c r="C2854" s="100">
        <v>98.39829507683308</v>
      </c>
      <c r="D2854" s="100">
        <v>92.72522007630964</v>
      </c>
      <c r="E2854" s="100">
        <v>94.262088414305538</v>
      </c>
      <c r="F2854" s="100">
        <v>-313.51460101611934</v>
      </c>
      <c r="G2854" s="100">
        <v>-282.60835530644357</v>
      </c>
      <c r="H2854" s="100">
        <v>181.72005835393179</v>
      </c>
      <c r="I2854" s="100">
        <v>-881.44875960431079</v>
      </c>
      <c r="J2854" s="100">
        <v>-1295.8516575729418</v>
      </c>
    </row>
    <row r="2855" spans="1:10" x14ac:dyDescent="0.25">
      <c r="A2855">
        <v>2838</v>
      </c>
      <c r="B2855" s="100">
        <v>89.203776070807436</v>
      </c>
      <c r="C2855" s="100">
        <v>97.684983766197789</v>
      </c>
      <c r="D2855" s="100">
        <v>93.06697858641401</v>
      </c>
      <c r="E2855" s="100">
        <v>94.163761892013312</v>
      </c>
      <c r="F2855" s="100">
        <v>1154.5555700449909</v>
      </c>
      <c r="G2855" s="100">
        <v>787.35861064649271</v>
      </c>
      <c r="H2855" s="100">
        <v>-501.79696185480793</v>
      </c>
      <c r="I2855" s="100">
        <v>-783.12223731208519</v>
      </c>
      <c r="J2855" s="100">
        <v>656.99498152459046</v>
      </c>
    </row>
    <row r="2856" spans="1:10" x14ac:dyDescent="0.25">
      <c r="A2856">
        <v>2839</v>
      </c>
      <c r="B2856" s="100">
        <v>89.536658084328707</v>
      </c>
      <c r="C2856" s="100">
        <v>98.092205096729614</v>
      </c>
      <c r="D2856" s="100">
        <v>92.935632969155478</v>
      </c>
      <c r="E2856" s="100">
        <v>95.344908448683668</v>
      </c>
      <c r="F2856" s="100">
        <v>56.044925424797043</v>
      </c>
      <c r="G2856" s="100">
        <v>176.52661484875409</v>
      </c>
      <c r="H2856" s="100">
        <v>-239.10572733774416</v>
      </c>
      <c r="I2856" s="100">
        <v>-1964.2687939824414</v>
      </c>
      <c r="J2856" s="100">
        <v>-1970.8029810466344</v>
      </c>
    </row>
    <row r="2857" spans="1:10" x14ac:dyDescent="0.25">
      <c r="A2857">
        <v>2840</v>
      </c>
      <c r="B2857" s="100">
        <v>89.09113202455373</v>
      </c>
      <c r="C2857" s="100">
        <v>99.039448381142719</v>
      </c>
      <c r="D2857" s="100">
        <v>92.313323437996402</v>
      </c>
      <c r="E2857" s="100">
        <v>94.496337826032189</v>
      </c>
      <c r="F2857" s="100">
        <v>1526.2809226822214</v>
      </c>
      <c r="G2857" s="100">
        <v>-1244.3383117709031</v>
      </c>
      <c r="H2857" s="100">
        <v>1005.5133349804066</v>
      </c>
      <c r="I2857" s="100">
        <v>-1115.6981713309619</v>
      </c>
      <c r="J2857" s="100">
        <v>171.75777456076298</v>
      </c>
    </row>
    <row r="2858" spans="1:10" x14ac:dyDescent="0.25">
      <c r="A2858">
        <v>2841</v>
      </c>
      <c r="B2858" s="100">
        <v>90.390036418954381</v>
      </c>
      <c r="C2858" s="100">
        <v>98.831486380700923</v>
      </c>
      <c r="D2858" s="100">
        <v>93.666496301420764</v>
      </c>
      <c r="E2858" s="100">
        <v>95.417135387622423</v>
      </c>
      <c r="F2858" s="100">
        <v>-2760.1035788399272</v>
      </c>
      <c r="G2858" s="100">
        <v>-932.39531110820906</v>
      </c>
      <c r="H2858" s="100">
        <v>-1700.8323918683175</v>
      </c>
      <c r="I2858" s="100">
        <v>-2036.4957329211961</v>
      </c>
      <c r="J2858" s="100">
        <v>-7429.8270147376497</v>
      </c>
    </row>
    <row r="2859" spans="1:10" x14ac:dyDescent="0.25">
      <c r="A2859">
        <v>2842</v>
      </c>
      <c r="B2859" s="100">
        <v>90.242720458273908</v>
      </c>
      <c r="C2859" s="100">
        <v>98.434816146132746</v>
      </c>
      <c r="D2859" s="100">
        <v>92.763368878124453</v>
      </c>
      <c r="E2859" s="100">
        <v>91.476768206281704</v>
      </c>
      <c r="F2859" s="100">
        <v>-2273.9609085943671</v>
      </c>
      <c r="G2859" s="100">
        <v>-337.38995925594395</v>
      </c>
      <c r="H2859" s="100">
        <v>105.42245472430523</v>
      </c>
      <c r="I2859" s="100">
        <v>1903.8714484195225</v>
      </c>
      <c r="J2859" s="100">
        <v>-602.05696470648354</v>
      </c>
    </row>
    <row r="2860" spans="1:10" x14ac:dyDescent="0.25">
      <c r="A2860">
        <v>2843</v>
      </c>
      <c r="B2860" s="100">
        <v>91.128840481659537</v>
      </c>
      <c r="C2860" s="100">
        <v>96.428022945820842</v>
      </c>
      <c r="D2860" s="100">
        <v>94.748745867745257</v>
      </c>
      <c r="E2860" s="100">
        <v>92.547685355241967</v>
      </c>
      <c r="F2860" s="100">
        <v>-5198.1569857669438</v>
      </c>
      <c r="G2860" s="100">
        <v>2672.7998412119123</v>
      </c>
      <c r="H2860" s="100">
        <v>-3865.3315245173017</v>
      </c>
      <c r="I2860" s="100">
        <v>832.95429945926003</v>
      </c>
      <c r="J2860" s="100">
        <v>-5557.7343696130729</v>
      </c>
    </row>
    <row r="2861" spans="1:10" x14ac:dyDescent="0.25">
      <c r="A2861">
        <v>2844</v>
      </c>
      <c r="B2861" s="100">
        <v>90.03051831650707</v>
      </c>
      <c r="C2861" s="100">
        <v>98.829792662937308</v>
      </c>
      <c r="D2861" s="100">
        <v>93.016624875583716</v>
      </c>
      <c r="E2861" s="100">
        <v>93.635800064485395</v>
      </c>
      <c r="F2861" s="100">
        <v>-1573.6938407638022</v>
      </c>
      <c r="G2861" s="100">
        <v>-929.85473446278638</v>
      </c>
      <c r="H2861" s="100">
        <v>-401.08954019422072</v>
      </c>
      <c r="I2861" s="100">
        <v>-255.16040978416754</v>
      </c>
      <c r="J2861" s="100">
        <v>-3159.7985252049766</v>
      </c>
    </row>
    <row r="2862" spans="1:10" x14ac:dyDescent="0.25">
      <c r="A2862">
        <v>2845</v>
      </c>
      <c r="B2862" s="100">
        <v>89.471097945107928</v>
      </c>
      <c r="C2862" s="100">
        <v>98.58861619257415</v>
      </c>
      <c r="D2862" s="100">
        <v>92.720267191672932</v>
      </c>
      <c r="E2862" s="100">
        <v>92.220112908835162</v>
      </c>
      <c r="F2862" s="100">
        <v>272.39338485336617</v>
      </c>
      <c r="G2862" s="100">
        <v>-568.09002891804994</v>
      </c>
      <c r="H2862" s="100">
        <v>191.62582762734814</v>
      </c>
      <c r="I2862" s="100">
        <v>1160.5267458660649</v>
      </c>
      <c r="J2862" s="100">
        <v>1056.4559294287292</v>
      </c>
    </row>
    <row r="2863" spans="1:10" x14ac:dyDescent="0.25">
      <c r="A2863">
        <v>2846</v>
      </c>
      <c r="B2863" s="100">
        <v>88.892695285150907</v>
      </c>
      <c r="C2863" s="100">
        <v>98.879977799507571</v>
      </c>
      <c r="D2863" s="100">
        <v>92.572886317929104</v>
      </c>
      <c r="E2863" s="100">
        <v>93.344843781194086</v>
      </c>
      <c r="F2863" s="100">
        <v>2181.122162711536</v>
      </c>
      <c r="G2863" s="100">
        <v>-1005.1324393181815</v>
      </c>
      <c r="H2863" s="100">
        <v>486.3875751150033</v>
      </c>
      <c r="I2863" s="100">
        <v>35.795873507140641</v>
      </c>
      <c r="J2863" s="100">
        <v>1698.1731720154985</v>
      </c>
    </row>
    <row r="2864" spans="1:10" x14ac:dyDescent="0.25">
      <c r="A2864">
        <v>2847</v>
      </c>
      <c r="B2864" s="100">
        <v>89.251357935875376</v>
      </c>
      <c r="C2864" s="100">
        <v>98.554408649332785</v>
      </c>
      <c r="D2864" s="100">
        <v>92.569482843888252</v>
      </c>
      <c r="E2864" s="100">
        <v>94.651942126883156</v>
      </c>
      <c r="F2864" s="100">
        <v>997.53541532078884</v>
      </c>
      <c r="G2864" s="100">
        <v>-516.77871405600229</v>
      </c>
      <c r="H2864" s="100">
        <v>493.19452319670631</v>
      </c>
      <c r="I2864" s="100">
        <v>-1271.3024721819295</v>
      </c>
      <c r="J2864" s="100">
        <v>-297.35124772043662</v>
      </c>
    </row>
    <row r="2865" spans="1:10" x14ac:dyDescent="0.25">
      <c r="A2865">
        <v>2848</v>
      </c>
      <c r="B2865" s="100">
        <v>89.235995139955151</v>
      </c>
      <c r="C2865" s="100">
        <v>99.416496667546809</v>
      </c>
      <c r="D2865" s="100">
        <v>93.055081881399119</v>
      </c>
      <c r="E2865" s="100">
        <v>91.641687298034824</v>
      </c>
      <c r="F2865" s="100">
        <v>1048.2326418575326</v>
      </c>
      <c r="G2865" s="100">
        <v>-1809.9107413770384</v>
      </c>
      <c r="H2865" s="100">
        <v>-478.00355182502585</v>
      </c>
      <c r="I2865" s="100">
        <v>1738.9523566664025</v>
      </c>
      <c r="J2865" s="100">
        <v>499.27070532187076</v>
      </c>
    </row>
    <row r="2866" spans="1:10" x14ac:dyDescent="0.25">
      <c r="A2866">
        <v>2849</v>
      </c>
      <c r="B2866" s="100">
        <v>90.813097702407859</v>
      </c>
      <c r="C2866" s="100">
        <v>99.761825095827518</v>
      </c>
      <c r="D2866" s="100">
        <v>93.666859416236491</v>
      </c>
      <c r="E2866" s="100">
        <v>92.938251952620789</v>
      </c>
      <c r="F2866" s="100">
        <v>-4156.2058142364049</v>
      </c>
      <c r="G2866" s="100">
        <v>-2327.9033837981019</v>
      </c>
      <c r="H2866" s="100">
        <v>-1701.5586214997711</v>
      </c>
      <c r="I2866" s="100">
        <v>442.38770208043832</v>
      </c>
      <c r="J2866" s="100">
        <v>-7743.280117453839</v>
      </c>
    </row>
    <row r="2867" spans="1:10" x14ac:dyDescent="0.25">
      <c r="A2867">
        <v>2850</v>
      </c>
      <c r="B2867" s="100">
        <v>89.496613558681517</v>
      </c>
      <c r="C2867" s="100">
        <v>97.250714122103403</v>
      </c>
      <c r="D2867" s="100">
        <v>94.385702503681898</v>
      </c>
      <c r="E2867" s="100">
        <v>94.520414082785209</v>
      </c>
      <c r="F2867" s="100">
        <v>188.1918600605232</v>
      </c>
      <c r="G2867" s="100">
        <v>1438.7630767880707</v>
      </c>
      <c r="H2867" s="100">
        <v>-3139.2447963905852</v>
      </c>
      <c r="I2867" s="100">
        <v>-1139.7744280839815</v>
      </c>
      <c r="J2867" s="100">
        <v>-2652.0642876259726</v>
      </c>
    </row>
    <row r="2868" spans="1:10" x14ac:dyDescent="0.25">
      <c r="A2868">
        <v>2851</v>
      </c>
      <c r="B2868" s="100">
        <v>89.698172554043225</v>
      </c>
      <c r="C2868" s="100">
        <v>99.403759667692256</v>
      </c>
      <c r="D2868" s="100">
        <v>92.530049096819383</v>
      </c>
      <c r="E2868" s="100">
        <v>95.09582075126653</v>
      </c>
      <c r="F2868" s="100">
        <v>-476.95282463311344</v>
      </c>
      <c r="G2868" s="100">
        <v>-1790.8052415952084</v>
      </c>
      <c r="H2868" s="100">
        <v>572.06201733444573</v>
      </c>
      <c r="I2868" s="100">
        <v>-1715.1810965653026</v>
      </c>
      <c r="J2868" s="100">
        <v>-3410.8771454591788</v>
      </c>
    </row>
    <row r="2869" spans="1:10" x14ac:dyDescent="0.25">
      <c r="A2869">
        <v>2852</v>
      </c>
      <c r="B2869" s="100">
        <v>89.926441968763484</v>
      </c>
      <c r="C2869" s="100">
        <v>99.550805164048896</v>
      </c>
      <c r="D2869" s="100">
        <v>93.052757053539111</v>
      </c>
      <c r="E2869" s="100">
        <v>90.198346487986967</v>
      </c>
      <c r="F2869" s="100">
        <v>-1230.2418932099683</v>
      </c>
      <c r="G2869" s="100">
        <v>-2011.373486130168</v>
      </c>
      <c r="H2869" s="100">
        <v>-473.35389610501011</v>
      </c>
      <c r="I2869" s="100">
        <v>3182.2931667142598</v>
      </c>
      <c r="J2869" s="100">
        <v>-532.67610873088643</v>
      </c>
    </row>
    <row r="2870" spans="1:10" x14ac:dyDescent="0.25">
      <c r="A2870">
        <v>2853</v>
      </c>
      <c r="B2870" s="100">
        <v>89.903268125083102</v>
      </c>
      <c r="C2870" s="100">
        <v>98.336302022380266</v>
      </c>
      <c r="D2870" s="100">
        <v>93.556154044610238</v>
      </c>
      <c r="E2870" s="100">
        <v>94.706098233771812</v>
      </c>
      <c r="F2870" s="100">
        <v>-1153.7682090647068</v>
      </c>
      <c r="G2870" s="100">
        <v>-189.6187736272239</v>
      </c>
      <c r="H2870" s="100">
        <v>-1480.1478782472657</v>
      </c>
      <c r="I2870" s="100">
        <v>-1325.4585790705846</v>
      </c>
      <c r="J2870" s="100">
        <v>-4148.9934400097809</v>
      </c>
    </row>
    <row r="2871" spans="1:10" x14ac:dyDescent="0.25">
      <c r="A2871">
        <v>2854</v>
      </c>
      <c r="B2871" s="100">
        <v>88.998923525145244</v>
      </c>
      <c r="C2871" s="100">
        <v>98.617025357658704</v>
      </c>
      <c r="D2871" s="100">
        <v>91.759044349690626</v>
      </c>
      <c r="E2871" s="100">
        <v>89.926429108945626</v>
      </c>
      <c r="F2871" s="100">
        <v>1830.5689707302236</v>
      </c>
      <c r="G2871" s="100">
        <v>-610.70377654488084</v>
      </c>
      <c r="H2871" s="100">
        <v>2114.0715115919593</v>
      </c>
      <c r="I2871" s="100">
        <v>3454.2105457556004</v>
      </c>
      <c r="J2871" s="100">
        <v>6788.1472515329024</v>
      </c>
    </row>
    <row r="2872" spans="1:10" x14ac:dyDescent="0.25">
      <c r="A2872">
        <v>2855</v>
      </c>
      <c r="B2872" s="100">
        <v>89.866569078408702</v>
      </c>
      <c r="C2872" s="100">
        <v>98.852742311880888</v>
      </c>
      <c r="D2872" s="100">
        <v>92.43798417285204</v>
      </c>
      <c r="E2872" s="100">
        <v>92.187980975987017</v>
      </c>
      <c r="F2872" s="100">
        <v>-1032.6613550391869</v>
      </c>
      <c r="G2872" s="100">
        <v>-964.27920787815674</v>
      </c>
      <c r="H2872" s="100">
        <v>756.1918652691304</v>
      </c>
      <c r="I2872" s="100">
        <v>1192.6586787142101</v>
      </c>
      <c r="J2872" s="100">
        <v>-48.090018934003183</v>
      </c>
    </row>
    <row r="2873" spans="1:10" x14ac:dyDescent="0.25">
      <c r="A2873">
        <v>2856</v>
      </c>
      <c r="B2873" s="100">
        <v>88.946331260715439</v>
      </c>
      <c r="C2873" s="100">
        <v>98.152905052843238</v>
      </c>
      <c r="D2873" s="100">
        <v>92.709164623206078</v>
      </c>
      <c r="E2873" s="100">
        <v>91.540638322302698</v>
      </c>
      <c r="F2873" s="100">
        <v>2004.1234433485797</v>
      </c>
      <c r="G2873" s="100">
        <v>85.476680678318928</v>
      </c>
      <c r="H2873" s="100">
        <v>213.83096456105477</v>
      </c>
      <c r="I2873" s="100">
        <v>1840.001332398529</v>
      </c>
      <c r="J2873" s="100">
        <v>4143.4324209864826</v>
      </c>
    </row>
    <row r="2874" spans="1:10" x14ac:dyDescent="0.25">
      <c r="A2874">
        <v>2857</v>
      </c>
      <c r="B2874" s="100">
        <v>89.475808511133152</v>
      </c>
      <c r="C2874" s="100">
        <v>96.841396235813164</v>
      </c>
      <c r="D2874" s="100">
        <v>92.637505682618723</v>
      </c>
      <c r="E2874" s="100">
        <v>94.871709018660368</v>
      </c>
      <c r="F2874" s="100">
        <v>256.84851697012618</v>
      </c>
      <c r="G2874" s="100">
        <v>2052.7399062234294</v>
      </c>
      <c r="H2874" s="100">
        <v>357.14884573576455</v>
      </c>
      <c r="I2874" s="100">
        <v>-1491.0693639591414</v>
      </c>
      <c r="J2874" s="100">
        <v>1175.6679049701788</v>
      </c>
    </row>
    <row r="2875" spans="1:10" x14ac:dyDescent="0.25">
      <c r="A2875">
        <v>2858</v>
      </c>
      <c r="B2875" s="100">
        <v>89.319805073166293</v>
      </c>
      <c r="C2875" s="100">
        <v>98.655034148713227</v>
      </c>
      <c r="D2875" s="100">
        <v>92.134577668703258</v>
      </c>
      <c r="E2875" s="100">
        <v>94.582101920120408</v>
      </c>
      <c r="F2875" s="100">
        <v>771.659862260762</v>
      </c>
      <c r="G2875" s="100">
        <v>-667.71696312666506</v>
      </c>
      <c r="H2875" s="100">
        <v>1363.0048735666946</v>
      </c>
      <c r="I2875" s="100">
        <v>-1201.4622654191812</v>
      </c>
      <c r="J2875" s="100">
        <v>265.48550728161035</v>
      </c>
    </row>
    <row r="2876" spans="1:10" x14ac:dyDescent="0.25">
      <c r="A2876">
        <v>2859</v>
      </c>
      <c r="B2876" s="100">
        <v>90.186987323539469</v>
      </c>
      <c r="C2876" s="100">
        <v>98.725907362966836</v>
      </c>
      <c r="D2876" s="100">
        <v>92.144549680778184</v>
      </c>
      <c r="E2876" s="100">
        <v>95.492614455370656</v>
      </c>
      <c r="F2876" s="100">
        <v>-2090.0415639707189</v>
      </c>
      <c r="G2876" s="100">
        <v>-774.0267845070789</v>
      </c>
      <c r="H2876" s="100">
        <v>1343.0608494168439</v>
      </c>
      <c r="I2876" s="100">
        <v>-2111.9748006694294</v>
      </c>
      <c r="J2876" s="100">
        <v>-3632.9822997303836</v>
      </c>
    </row>
    <row r="2877" spans="1:10" x14ac:dyDescent="0.25">
      <c r="A2877">
        <v>2860</v>
      </c>
      <c r="B2877" s="100">
        <v>89.638269197945277</v>
      </c>
      <c r="C2877" s="100">
        <v>100.25288264939751</v>
      </c>
      <c r="D2877" s="100">
        <v>95.228944084942356</v>
      </c>
      <c r="E2877" s="100">
        <v>90.863240954708147</v>
      </c>
      <c r="F2877" s="100">
        <v>-279.27174950988558</v>
      </c>
      <c r="G2877" s="100">
        <v>-3064.4897141530832</v>
      </c>
      <c r="H2877" s="100">
        <v>-4825.7279589115005</v>
      </c>
      <c r="I2877" s="100">
        <v>2517.3986999930803</v>
      </c>
      <c r="J2877" s="100">
        <v>-5652.0907225813889</v>
      </c>
    </row>
    <row r="2878" spans="1:10" x14ac:dyDescent="0.25">
      <c r="A2878">
        <v>2861</v>
      </c>
      <c r="B2878" s="100">
        <v>89.131223459688258</v>
      </c>
      <c r="C2878" s="100">
        <v>98.225166187429025</v>
      </c>
      <c r="D2878" s="100">
        <v>91.568183557725845</v>
      </c>
      <c r="E2878" s="100">
        <v>93.093995569992046</v>
      </c>
      <c r="F2878" s="100">
        <v>1393.9791867382794</v>
      </c>
      <c r="G2878" s="100">
        <v>-22.915021200361707</v>
      </c>
      <c r="H2878" s="100">
        <v>2495.7930955215206</v>
      </c>
      <c r="I2878" s="100">
        <v>286.6440847091809</v>
      </c>
      <c r="J2878" s="100">
        <v>4153.5013457686191</v>
      </c>
    </row>
    <row r="2879" spans="1:10" x14ac:dyDescent="0.25">
      <c r="A2879">
        <v>2862</v>
      </c>
      <c r="B2879" s="100">
        <v>89.106595125608067</v>
      </c>
      <c r="C2879" s="100">
        <v>99.216942645648942</v>
      </c>
      <c r="D2879" s="100">
        <v>93.393967565598629</v>
      </c>
      <c r="E2879" s="100">
        <v>93.321199658369309</v>
      </c>
      <c r="F2879" s="100">
        <v>1475.2526892029096</v>
      </c>
      <c r="G2879" s="100">
        <v>-1510.579708530237</v>
      </c>
      <c r="H2879" s="100">
        <v>-1155.7749202240473</v>
      </c>
      <c r="I2879" s="100">
        <v>59.439996331917655</v>
      </c>
      <c r="J2879" s="100">
        <v>-1131.661943219457</v>
      </c>
    </row>
    <row r="2880" spans="1:10" x14ac:dyDescent="0.25">
      <c r="A2880">
        <v>2863</v>
      </c>
      <c r="B2880" s="100">
        <v>89.887546215968882</v>
      </c>
      <c r="C2880" s="100">
        <v>97.682027064203055</v>
      </c>
      <c r="D2880" s="100">
        <v>92.154983170397728</v>
      </c>
      <c r="E2880" s="100">
        <v>95.664155597920129</v>
      </c>
      <c r="F2880" s="100">
        <v>-1101.8859089877822</v>
      </c>
      <c r="G2880" s="100">
        <v>791.79366363859322</v>
      </c>
      <c r="H2880" s="100">
        <v>1322.193870177756</v>
      </c>
      <c r="I2880" s="100">
        <v>-2283.5159432189016</v>
      </c>
      <c r="J2880" s="100">
        <v>-1271.4143183903345</v>
      </c>
    </row>
    <row r="2881" spans="1:10" x14ac:dyDescent="0.25">
      <c r="A2881">
        <v>2864</v>
      </c>
      <c r="B2881" s="100">
        <v>89.427213652283285</v>
      </c>
      <c r="C2881" s="100">
        <v>96.975600551052793</v>
      </c>
      <c r="D2881" s="100">
        <v>94.193964021909053</v>
      </c>
      <c r="E2881" s="100">
        <v>92.981881313400677</v>
      </c>
      <c r="F2881" s="100">
        <v>417.21155117468811</v>
      </c>
      <c r="G2881" s="100">
        <v>1851.4334333639865</v>
      </c>
      <c r="H2881" s="100">
        <v>-2755.7678328448956</v>
      </c>
      <c r="I2881" s="100">
        <v>398.75834130054955</v>
      </c>
      <c r="J2881" s="100">
        <v>-88.364507005671385</v>
      </c>
    </row>
    <row r="2882" spans="1:10" x14ac:dyDescent="0.25">
      <c r="A2882">
        <v>2865</v>
      </c>
      <c r="B2882" s="100">
        <v>89.377897353410532</v>
      </c>
      <c r="C2882" s="100">
        <v>98.336731569352906</v>
      </c>
      <c r="D2882" s="100">
        <v>92.835150330341747</v>
      </c>
      <c r="E2882" s="100">
        <v>91.565533922061093</v>
      </c>
      <c r="F2882" s="100">
        <v>579.95533745477417</v>
      </c>
      <c r="G2882" s="100">
        <v>-190.26309408618403</v>
      </c>
      <c r="H2882" s="100">
        <v>-38.140449710283519</v>
      </c>
      <c r="I2882" s="100">
        <v>1815.1057326401342</v>
      </c>
      <c r="J2882" s="100">
        <v>2166.6575262984406</v>
      </c>
    </row>
    <row r="2883" spans="1:10" x14ac:dyDescent="0.25">
      <c r="A2883">
        <v>2866</v>
      </c>
      <c r="B2883" s="100">
        <v>88.777056810642549</v>
      </c>
      <c r="C2883" s="100">
        <v>99.213108592204492</v>
      </c>
      <c r="D2883" s="100">
        <v>92.276631861484702</v>
      </c>
      <c r="E2883" s="100">
        <v>93.294233982128048</v>
      </c>
      <c r="F2883" s="100">
        <v>2562.7291285891188</v>
      </c>
      <c r="G2883" s="100">
        <v>-1504.8286283635618</v>
      </c>
      <c r="H2883" s="100">
        <v>1078.8964880038066</v>
      </c>
      <c r="I2883" s="100">
        <v>86.405672573178549</v>
      </c>
      <c r="J2883" s="100">
        <v>2223.2026608025421</v>
      </c>
    </row>
    <row r="2884" spans="1:10" x14ac:dyDescent="0.25">
      <c r="A2884">
        <v>2867</v>
      </c>
      <c r="B2884" s="100">
        <v>90.387941332019082</v>
      </c>
      <c r="C2884" s="100">
        <v>98.311198187069593</v>
      </c>
      <c r="D2884" s="100">
        <v>93.805573674868555</v>
      </c>
      <c r="E2884" s="100">
        <v>92.438711907278972</v>
      </c>
      <c r="F2884" s="100">
        <v>-2753.1897919534417</v>
      </c>
      <c r="G2884" s="100">
        <v>-151.96302066121348</v>
      </c>
      <c r="H2884" s="100">
        <v>-1978.9871387638982</v>
      </c>
      <c r="I2884" s="100">
        <v>941.92774742225538</v>
      </c>
      <c r="J2884" s="100">
        <v>-3942.2122039562973</v>
      </c>
    </row>
    <row r="2885" spans="1:10" x14ac:dyDescent="0.25">
      <c r="A2885">
        <v>2868</v>
      </c>
      <c r="B2885" s="100">
        <v>89.175060400352351</v>
      </c>
      <c r="C2885" s="100">
        <v>97.473786493357679</v>
      </c>
      <c r="D2885" s="100">
        <v>93.134060509096045</v>
      </c>
      <c r="E2885" s="100">
        <v>93.027054138155052</v>
      </c>
      <c r="F2885" s="100">
        <v>1249.3172825467723</v>
      </c>
      <c r="G2885" s="100">
        <v>1104.1545199066577</v>
      </c>
      <c r="H2885" s="100">
        <v>-635.96080721887915</v>
      </c>
      <c r="I2885" s="100">
        <v>353.58551654617543</v>
      </c>
      <c r="J2885" s="100">
        <v>2071.0965117807264</v>
      </c>
    </row>
    <row r="2886" spans="1:10" x14ac:dyDescent="0.25">
      <c r="A2886">
        <v>2869</v>
      </c>
      <c r="B2886" s="100">
        <v>89.455308663734399</v>
      </c>
      <c r="C2886" s="100">
        <v>98.300725145797358</v>
      </c>
      <c r="D2886" s="100">
        <v>93.390373826679692</v>
      </c>
      <c r="E2886" s="100">
        <v>93.352812032998401</v>
      </c>
      <c r="F2886" s="100">
        <v>324.49801338601105</v>
      </c>
      <c r="G2886" s="100">
        <v>-136.25345875286143</v>
      </c>
      <c r="H2886" s="100">
        <v>-1148.5874423861731</v>
      </c>
      <c r="I2886" s="100">
        <v>27.827621702826377</v>
      </c>
      <c r="J2886" s="100">
        <v>-932.51526605019706</v>
      </c>
    </row>
    <row r="2887" spans="1:10" x14ac:dyDescent="0.25">
      <c r="A2887">
        <v>2870</v>
      </c>
      <c r="B2887" s="100">
        <v>89.28655140683648</v>
      </c>
      <c r="C2887" s="100">
        <v>98.857193561763367</v>
      </c>
      <c r="D2887" s="100">
        <v>94.069260069129967</v>
      </c>
      <c r="E2887" s="100">
        <v>93.164818526872537</v>
      </c>
      <c r="F2887" s="100">
        <v>881.39696114914443</v>
      </c>
      <c r="G2887" s="100">
        <v>-970.95608270187483</v>
      </c>
      <c r="H2887" s="100">
        <v>-2506.3599272867236</v>
      </c>
      <c r="I2887" s="100">
        <v>215.8211278286899</v>
      </c>
      <c r="J2887" s="100">
        <v>-2380.0979210107644</v>
      </c>
    </row>
    <row r="2888" spans="1:10" x14ac:dyDescent="0.25">
      <c r="A2888">
        <v>2871</v>
      </c>
      <c r="B2888" s="100">
        <v>89.419098890840232</v>
      </c>
      <c r="C2888" s="100">
        <v>97.637059696913468</v>
      </c>
      <c r="D2888" s="100">
        <v>91.614980307764441</v>
      </c>
      <c r="E2888" s="100">
        <v>91.622036046626221</v>
      </c>
      <c r="F2888" s="100">
        <v>443.99026393676451</v>
      </c>
      <c r="G2888" s="100">
        <v>859.24471457297363</v>
      </c>
      <c r="H2888" s="100">
        <v>2402.19959544433</v>
      </c>
      <c r="I2888" s="100">
        <v>1758.6036080750064</v>
      </c>
      <c r="J2888" s="100">
        <v>5464.038182029075</v>
      </c>
    </row>
    <row r="2889" spans="1:10" x14ac:dyDescent="0.25">
      <c r="A2889">
        <v>2872</v>
      </c>
      <c r="B2889" s="100">
        <v>90.099358519222292</v>
      </c>
      <c r="C2889" s="100">
        <v>97.965226199596728</v>
      </c>
      <c r="D2889" s="100">
        <v>93.397277274818478</v>
      </c>
      <c r="E2889" s="100">
        <v>93.73142631175628</v>
      </c>
      <c r="F2889" s="100">
        <v>-1800.8665097240353</v>
      </c>
      <c r="G2889" s="100">
        <v>366.99496054808378</v>
      </c>
      <c r="H2889" s="100">
        <v>-1162.394338663745</v>
      </c>
      <c r="I2889" s="100">
        <v>-350.7866570550533</v>
      </c>
      <c r="J2889" s="100">
        <v>-2947.0525448947496</v>
      </c>
    </row>
    <row r="2890" spans="1:10" x14ac:dyDescent="0.25">
      <c r="A2890">
        <v>2873</v>
      </c>
      <c r="B2890" s="100">
        <v>89.753771422806025</v>
      </c>
      <c r="C2890" s="100">
        <v>97.616651246548926</v>
      </c>
      <c r="D2890" s="100">
        <v>92.971904650108456</v>
      </c>
      <c r="E2890" s="100">
        <v>91.223333376670027</v>
      </c>
      <c r="F2890" s="100">
        <v>-660.42909155035409</v>
      </c>
      <c r="G2890" s="100">
        <v>889.85739011978637</v>
      </c>
      <c r="H2890" s="100">
        <v>-311.64908924370138</v>
      </c>
      <c r="I2890" s="100">
        <v>2157.3062780312002</v>
      </c>
      <c r="J2890" s="100">
        <v>2075.085487356931</v>
      </c>
    </row>
    <row r="2891" spans="1:10" x14ac:dyDescent="0.25">
      <c r="A2891">
        <v>2874</v>
      </c>
      <c r="B2891" s="100">
        <v>89.314494033978349</v>
      </c>
      <c r="C2891" s="100">
        <v>97.411300277231916</v>
      </c>
      <c r="D2891" s="100">
        <v>92.117285661904646</v>
      </c>
      <c r="E2891" s="100">
        <v>92.60477489467543</v>
      </c>
      <c r="F2891" s="100">
        <v>789.18629158097815</v>
      </c>
      <c r="G2891" s="100">
        <v>1197.8838440953014</v>
      </c>
      <c r="H2891" s="100">
        <v>1397.5888871639199</v>
      </c>
      <c r="I2891" s="100">
        <v>775.8647600257973</v>
      </c>
      <c r="J2891" s="100">
        <v>4160.5237828659965</v>
      </c>
    </row>
    <row r="2892" spans="1:10" x14ac:dyDescent="0.25">
      <c r="A2892">
        <v>2875</v>
      </c>
      <c r="B2892" s="100">
        <v>89.29646808454811</v>
      </c>
      <c r="C2892" s="100">
        <v>97.29912816836331</v>
      </c>
      <c r="D2892" s="100">
        <v>93.620114065705977</v>
      </c>
      <c r="E2892" s="100">
        <v>92.109149856883434</v>
      </c>
      <c r="F2892" s="100">
        <v>848.67192470076702</v>
      </c>
      <c r="G2892" s="100">
        <v>1366.1420073982099</v>
      </c>
      <c r="H2892" s="100">
        <v>-1608.0679204387422</v>
      </c>
      <c r="I2892" s="100">
        <v>1271.489797817793</v>
      </c>
      <c r="J2892" s="100">
        <v>1878.2358094780275</v>
      </c>
    </row>
    <row r="2893" spans="1:10" x14ac:dyDescent="0.25">
      <c r="A2893">
        <v>2876</v>
      </c>
      <c r="B2893" s="100">
        <v>91.07996401983084</v>
      </c>
      <c r="C2893" s="100">
        <v>98.999219664311212</v>
      </c>
      <c r="D2893" s="100">
        <v>92.330360071805913</v>
      </c>
      <c r="E2893" s="100">
        <v>94.647612351505785</v>
      </c>
      <c r="F2893" s="100">
        <v>-5036.8646617322411</v>
      </c>
      <c r="G2893" s="100">
        <v>-1183.9952365236427</v>
      </c>
      <c r="H2893" s="100">
        <v>971.44006736138522</v>
      </c>
      <c r="I2893" s="100">
        <v>-1266.9726968045579</v>
      </c>
      <c r="J2893" s="100">
        <v>-6516.3925276990558</v>
      </c>
    </row>
    <row r="2894" spans="1:10" x14ac:dyDescent="0.25">
      <c r="A2894">
        <v>2877</v>
      </c>
      <c r="B2894" s="100">
        <v>90.205877571909042</v>
      </c>
      <c r="C2894" s="100">
        <v>98.950836447780418</v>
      </c>
      <c r="D2894" s="100">
        <v>90.989424937929272</v>
      </c>
      <c r="E2894" s="100">
        <v>90.929642853234583</v>
      </c>
      <c r="F2894" s="100">
        <v>-2152.3793835903093</v>
      </c>
      <c r="G2894" s="100">
        <v>-1111.4204117274512</v>
      </c>
      <c r="H2894" s="100">
        <v>3653.3103351146679</v>
      </c>
      <c r="I2894" s="100">
        <v>2450.9968014666442</v>
      </c>
      <c r="J2894" s="100">
        <v>2840.5073412635516</v>
      </c>
    </row>
    <row r="2895" spans="1:10" x14ac:dyDescent="0.25">
      <c r="A2895">
        <v>2878</v>
      </c>
      <c r="B2895" s="100">
        <v>91.438752363630002</v>
      </c>
      <c r="C2895" s="100">
        <v>99.046758391688044</v>
      </c>
      <c r="D2895" s="100">
        <v>93.66869054071401</v>
      </c>
      <c r="E2895" s="100">
        <v>91.910610132709976</v>
      </c>
      <c r="F2895" s="100">
        <v>-6220.8661962694759</v>
      </c>
      <c r="G2895" s="100">
        <v>-1255.3033275888906</v>
      </c>
      <c r="H2895" s="100">
        <v>-1705.2208704548093</v>
      </c>
      <c r="I2895" s="100">
        <v>1470.0295219912505</v>
      </c>
      <c r="J2895" s="100">
        <v>-7711.3608723219268</v>
      </c>
    </row>
    <row r="2896" spans="1:10" x14ac:dyDescent="0.25">
      <c r="A2896">
        <v>2879</v>
      </c>
      <c r="B2896" s="100">
        <v>89.223708609080603</v>
      </c>
      <c r="C2896" s="100">
        <v>97.524733050513731</v>
      </c>
      <c r="D2896" s="100">
        <v>92.961273309813407</v>
      </c>
      <c r="E2896" s="100">
        <v>88.155122467832499</v>
      </c>
      <c r="F2896" s="100">
        <v>1088.7781937435393</v>
      </c>
      <c r="G2896" s="100">
        <v>1027.7346841725787</v>
      </c>
      <c r="H2896" s="100">
        <v>-290.38640865360321</v>
      </c>
      <c r="I2896" s="100">
        <v>5225.5171868687285</v>
      </c>
      <c r="J2896" s="100">
        <v>7051.643656131243</v>
      </c>
    </row>
    <row r="2897" spans="1:10" x14ac:dyDescent="0.25">
      <c r="A2897">
        <v>2880</v>
      </c>
      <c r="B2897" s="100">
        <v>89.841142489095745</v>
      </c>
      <c r="C2897" s="100">
        <v>97.790560578581292</v>
      </c>
      <c r="D2897" s="100">
        <v>92.065704304103278</v>
      </c>
      <c r="E2897" s="100">
        <v>92.803991567045244</v>
      </c>
      <c r="F2897" s="100">
        <v>-948.75361030642864</v>
      </c>
      <c r="G2897" s="100">
        <v>628.99339207123717</v>
      </c>
      <c r="H2897" s="100">
        <v>1500.7516027666554</v>
      </c>
      <c r="I2897" s="100">
        <v>576.64808765598252</v>
      </c>
      <c r="J2897" s="100">
        <v>1757.6394721874467</v>
      </c>
    </row>
    <row r="2898" spans="1:10" x14ac:dyDescent="0.25">
      <c r="A2898">
        <v>2881</v>
      </c>
      <c r="B2898" s="100">
        <v>89.664169563031052</v>
      </c>
      <c r="C2898" s="100">
        <v>97.95462175588375</v>
      </c>
      <c r="D2898" s="100">
        <v>94.153222448881138</v>
      </c>
      <c r="E2898" s="100">
        <v>91.810782049599339</v>
      </c>
      <c r="F2898" s="100">
        <v>-364.74295429294301</v>
      </c>
      <c r="G2898" s="100">
        <v>382.90162611755107</v>
      </c>
      <c r="H2898" s="100">
        <v>-2674.2846867890648</v>
      </c>
      <c r="I2898" s="100">
        <v>1569.8576051018877</v>
      </c>
      <c r="J2898" s="100">
        <v>-1086.2684098625691</v>
      </c>
    </row>
    <row r="2899" spans="1:10" x14ac:dyDescent="0.25">
      <c r="A2899">
        <v>2882</v>
      </c>
      <c r="B2899" s="100">
        <v>88.916691585960876</v>
      </c>
      <c r="C2899" s="100">
        <v>98.306637775225923</v>
      </c>
      <c r="D2899" s="100">
        <v>93.76875588558984</v>
      </c>
      <c r="E2899" s="100">
        <v>91.691918677360206</v>
      </c>
      <c r="F2899" s="100">
        <v>2101.9343700386371</v>
      </c>
      <c r="G2899" s="100">
        <v>-145.12240289570855</v>
      </c>
      <c r="H2899" s="100">
        <v>-1905.3515602064692</v>
      </c>
      <c r="I2899" s="100">
        <v>1688.7209773410204</v>
      </c>
      <c r="J2899" s="100">
        <v>1740.1813842774798</v>
      </c>
    </row>
    <row r="2900" spans="1:10" x14ac:dyDescent="0.25">
      <c r="A2900">
        <v>2883</v>
      </c>
      <c r="B2900" s="100">
        <v>89.972591824876162</v>
      </c>
      <c r="C2900" s="100">
        <v>97.114921193523983</v>
      </c>
      <c r="D2900" s="100">
        <v>92.306819186764898</v>
      </c>
      <c r="E2900" s="100">
        <v>93.168793176393066</v>
      </c>
      <c r="F2900" s="100">
        <v>-1382.5364183818037</v>
      </c>
      <c r="G2900" s="100">
        <v>1642.4524696572007</v>
      </c>
      <c r="H2900" s="100">
        <v>1018.5218374434157</v>
      </c>
      <c r="I2900" s="100">
        <v>211.84647830816061</v>
      </c>
      <c r="J2900" s="100">
        <v>1490.2843670269733</v>
      </c>
    </row>
    <row r="2901" spans="1:10" x14ac:dyDescent="0.25">
      <c r="A2901">
        <v>2884</v>
      </c>
      <c r="B2901" s="100">
        <v>89.06605761872369</v>
      </c>
      <c r="C2901" s="100">
        <v>97.877400854528872</v>
      </c>
      <c r="D2901" s="100">
        <v>92.440564102405148</v>
      </c>
      <c r="E2901" s="100">
        <v>91.790839598642478</v>
      </c>
      <c r="F2901" s="100">
        <v>1609.0264619213528</v>
      </c>
      <c r="G2901" s="100">
        <v>498.73297814986728</v>
      </c>
      <c r="H2901" s="100">
        <v>751.03200616291588</v>
      </c>
      <c r="I2901" s="100">
        <v>1589.8000560587491</v>
      </c>
      <c r="J2901" s="100">
        <v>4448.5915022928848</v>
      </c>
    </row>
    <row r="2902" spans="1:10" x14ac:dyDescent="0.25">
      <c r="A2902">
        <v>2885</v>
      </c>
      <c r="B2902" s="100">
        <v>88.336079911360201</v>
      </c>
      <c r="C2902" s="100">
        <v>97.264742024975348</v>
      </c>
      <c r="D2902" s="100">
        <v>90.360161687888819</v>
      </c>
      <c r="E2902" s="100">
        <v>93.650972973652998</v>
      </c>
      <c r="F2902" s="100">
        <v>4017.9528962208651</v>
      </c>
      <c r="G2902" s="100">
        <v>1417.7212224801538</v>
      </c>
      <c r="H2902" s="100">
        <v>4911.8368351955723</v>
      </c>
      <c r="I2902" s="100">
        <v>-270.33331895177071</v>
      </c>
      <c r="J2902" s="100">
        <v>10077.177634944821</v>
      </c>
    </row>
    <row r="2903" spans="1:10" x14ac:dyDescent="0.25">
      <c r="A2903">
        <v>2886</v>
      </c>
      <c r="B2903" s="100">
        <v>90.581302688621079</v>
      </c>
      <c r="C2903" s="100">
        <v>97.906512538999692</v>
      </c>
      <c r="D2903" s="100">
        <v>91.52103823657508</v>
      </c>
      <c r="E2903" s="100">
        <v>92.634476504238108</v>
      </c>
      <c r="F2903" s="100">
        <v>-3391.2822687400321</v>
      </c>
      <c r="G2903" s="100">
        <v>455.06545144363741</v>
      </c>
      <c r="H2903" s="100">
        <v>2590.0837378230508</v>
      </c>
      <c r="I2903" s="100">
        <v>746.16315046311854</v>
      </c>
      <c r="J2903" s="100">
        <v>400.03007098977457</v>
      </c>
    </row>
    <row r="2904" spans="1:10" x14ac:dyDescent="0.25">
      <c r="A2904">
        <v>2887</v>
      </c>
      <c r="B2904" s="100">
        <v>89.451837445425667</v>
      </c>
      <c r="C2904" s="100">
        <v>98.812823340750541</v>
      </c>
      <c r="D2904" s="100">
        <v>93.874970150893304</v>
      </c>
      <c r="E2904" s="100">
        <v>92.203939970693654</v>
      </c>
      <c r="F2904" s="100">
        <v>335.95303380482733</v>
      </c>
      <c r="G2904" s="100">
        <v>-904.40075118263508</v>
      </c>
      <c r="H2904" s="100">
        <v>-2117.7800908133977</v>
      </c>
      <c r="I2904" s="100">
        <v>1176.6996840075735</v>
      </c>
      <c r="J2904" s="100">
        <v>-1509.5281241836319</v>
      </c>
    </row>
    <row r="2905" spans="1:10" x14ac:dyDescent="0.25">
      <c r="A2905">
        <v>2888</v>
      </c>
      <c r="B2905" s="100">
        <v>89.587996892931727</v>
      </c>
      <c r="C2905" s="100">
        <v>97.912497890656553</v>
      </c>
      <c r="D2905" s="100">
        <v>92.910816821546575</v>
      </c>
      <c r="E2905" s="100">
        <v>89.725767973904738</v>
      </c>
      <c r="F2905" s="100">
        <v>-113.37314296517036</v>
      </c>
      <c r="G2905" s="100">
        <v>446.08742395834611</v>
      </c>
      <c r="H2905" s="100">
        <v>-189.47343211993939</v>
      </c>
      <c r="I2905" s="100">
        <v>3654.8716807964893</v>
      </c>
      <c r="J2905" s="100">
        <v>3798.1125296697255</v>
      </c>
    </row>
    <row r="2906" spans="1:10" x14ac:dyDescent="0.25">
      <c r="A2906">
        <v>2889</v>
      </c>
      <c r="B2906" s="100">
        <v>89.477774129049948</v>
      </c>
      <c r="C2906" s="100">
        <v>98.661175168193495</v>
      </c>
      <c r="D2906" s="100">
        <v>92.766595583026472</v>
      </c>
      <c r="E2906" s="100">
        <v>95.758342266048956</v>
      </c>
      <c r="F2906" s="100">
        <v>250.36197784470176</v>
      </c>
      <c r="G2906" s="100">
        <v>-676.92849234706637</v>
      </c>
      <c r="H2906" s="100">
        <v>98.969044920266924</v>
      </c>
      <c r="I2906" s="100">
        <v>-2377.7026113477291</v>
      </c>
      <c r="J2906" s="100">
        <v>-2705.3000809298269</v>
      </c>
    </row>
    <row r="2907" spans="1:10" x14ac:dyDescent="0.25">
      <c r="A2907">
        <v>2890</v>
      </c>
      <c r="B2907" s="100">
        <v>89.587583150385868</v>
      </c>
      <c r="C2907" s="100">
        <v>98.699597398623766</v>
      </c>
      <c r="D2907" s="100">
        <v>92.883638924826897</v>
      </c>
      <c r="E2907" s="100">
        <v>92.480235849047347</v>
      </c>
      <c r="F2907" s="100">
        <v>-112.00779256383413</v>
      </c>
      <c r="G2907" s="100">
        <v>-734.56183799247299</v>
      </c>
      <c r="H2907" s="100">
        <v>-135.11763868058324</v>
      </c>
      <c r="I2907" s="100">
        <v>900.40380565388034</v>
      </c>
      <c r="J2907" s="100">
        <v>-81.283463583010075</v>
      </c>
    </row>
    <row r="2908" spans="1:10" x14ac:dyDescent="0.25">
      <c r="A2908">
        <v>2891</v>
      </c>
      <c r="B2908" s="100">
        <v>88.546222508315594</v>
      </c>
      <c r="C2908" s="100">
        <v>98.331221965546419</v>
      </c>
      <c r="D2908" s="100">
        <v>92.898754239106552</v>
      </c>
      <c r="E2908" s="100">
        <v>92.767184017665855</v>
      </c>
      <c r="F2908" s="100">
        <v>3324.4823262680684</v>
      </c>
      <c r="G2908" s="100">
        <v>-181.99868837645283</v>
      </c>
      <c r="H2908" s="100">
        <v>-165.34826723989227</v>
      </c>
      <c r="I2908" s="100">
        <v>613.45563703537209</v>
      </c>
      <c r="J2908" s="100">
        <v>3590.5910076870955</v>
      </c>
    </row>
    <row r="2909" spans="1:10" x14ac:dyDescent="0.25">
      <c r="A2909">
        <v>2892</v>
      </c>
      <c r="B2909" s="100">
        <v>89.921905979384448</v>
      </c>
      <c r="C2909" s="100">
        <v>98.936057635088758</v>
      </c>
      <c r="D2909" s="100">
        <v>91.972991154962216</v>
      </c>
      <c r="E2909" s="100">
        <v>93.404501659101044</v>
      </c>
      <c r="F2909" s="100">
        <v>-1215.273128259149</v>
      </c>
      <c r="G2909" s="100">
        <v>-1089.2521926899619</v>
      </c>
      <c r="H2909" s="100">
        <v>1686.1779010487794</v>
      </c>
      <c r="I2909" s="100">
        <v>-23.862004399816783</v>
      </c>
      <c r="J2909" s="100">
        <v>-642.2094243001485</v>
      </c>
    </row>
    <row r="2910" spans="1:10" x14ac:dyDescent="0.25">
      <c r="A2910">
        <v>2893</v>
      </c>
      <c r="B2910" s="100">
        <v>90.473419245088607</v>
      </c>
      <c r="C2910" s="100">
        <v>98.76328694380129</v>
      </c>
      <c r="D2910" s="100">
        <v>91.853114825382377</v>
      </c>
      <c r="E2910" s="100">
        <v>93.519957663127997</v>
      </c>
      <c r="F2910" s="100">
        <v>-3035.2669050828736</v>
      </c>
      <c r="G2910" s="100">
        <v>-830.09615575875978</v>
      </c>
      <c r="H2910" s="100">
        <v>1925.9305602084567</v>
      </c>
      <c r="I2910" s="100">
        <v>-139.31800842676978</v>
      </c>
      <c r="J2910" s="100">
        <v>-2078.7505090599466</v>
      </c>
    </row>
    <row r="2911" spans="1:10" x14ac:dyDescent="0.25">
      <c r="A2911">
        <v>2894</v>
      </c>
      <c r="B2911" s="100">
        <v>90.160794812425834</v>
      </c>
      <c r="C2911" s="100">
        <v>98.721411263728271</v>
      </c>
      <c r="D2911" s="100">
        <v>92.066910162354404</v>
      </c>
      <c r="E2911" s="100">
        <v>93.977050653838461</v>
      </c>
      <c r="F2911" s="100">
        <v>-2003.6062772957237</v>
      </c>
      <c r="G2911" s="100">
        <v>-767.28263564923077</v>
      </c>
      <c r="H2911" s="100">
        <v>1498.3398862644037</v>
      </c>
      <c r="I2911" s="100">
        <v>-596.41099913723394</v>
      </c>
      <c r="J2911" s="100">
        <v>-1868.9600258177848</v>
      </c>
    </row>
    <row r="2912" spans="1:10" x14ac:dyDescent="0.25">
      <c r="A2912">
        <v>2895</v>
      </c>
      <c r="B2912" s="100">
        <v>90.119905495407778</v>
      </c>
      <c r="C2912" s="100">
        <v>97.24666743298917</v>
      </c>
      <c r="D2912" s="100">
        <v>94.028055055385806</v>
      </c>
      <c r="E2912" s="100">
        <v>93.013447125165015</v>
      </c>
      <c r="F2912" s="100">
        <v>-1868.6715311361381</v>
      </c>
      <c r="G2912" s="100">
        <v>1444.8331104594204</v>
      </c>
      <c r="H2912" s="100">
        <v>-2423.9498997984015</v>
      </c>
      <c r="I2912" s="100">
        <v>367.19252953621151</v>
      </c>
      <c r="J2912" s="100">
        <v>-2480.5957909389076</v>
      </c>
    </row>
    <row r="2913" spans="1:10" x14ac:dyDescent="0.25">
      <c r="A2913">
        <v>2896</v>
      </c>
      <c r="B2913" s="100">
        <v>89.202976818352909</v>
      </c>
      <c r="C2913" s="100">
        <v>98.370386904029445</v>
      </c>
      <c r="D2913" s="100">
        <v>92.42720278573465</v>
      </c>
      <c r="E2913" s="100">
        <v>94.47574141050039</v>
      </c>
      <c r="F2913" s="100">
        <v>1157.193103144931</v>
      </c>
      <c r="G2913" s="100">
        <v>-240.74609610099174</v>
      </c>
      <c r="H2913" s="100">
        <v>777.75463950391099</v>
      </c>
      <c r="I2913" s="100">
        <v>-1095.1017557991634</v>
      </c>
      <c r="J2913" s="100">
        <v>599.0998907486869</v>
      </c>
    </row>
    <row r="2914" spans="1:10" x14ac:dyDescent="0.25">
      <c r="A2914">
        <v>2897</v>
      </c>
      <c r="B2914" s="100">
        <v>89.298905621812224</v>
      </c>
      <c r="C2914" s="100">
        <v>97.737712476588712</v>
      </c>
      <c r="D2914" s="100">
        <v>93.198775098509614</v>
      </c>
      <c r="E2914" s="100">
        <v>94.46552973733391</v>
      </c>
      <c r="F2914" s="100">
        <v>840.628051729189</v>
      </c>
      <c r="G2914" s="100">
        <v>708.26554506010802</v>
      </c>
      <c r="H2914" s="100">
        <v>-765.38998604601716</v>
      </c>
      <c r="I2914" s="100">
        <v>-1084.8900826326826</v>
      </c>
      <c r="J2914" s="100">
        <v>-301.38647188940263</v>
      </c>
    </row>
    <row r="2915" spans="1:10" x14ac:dyDescent="0.25">
      <c r="A2915">
        <v>2898</v>
      </c>
      <c r="B2915" s="100">
        <v>89.191637229527942</v>
      </c>
      <c r="C2915" s="100">
        <v>97.742653552298833</v>
      </c>
      <c r="D2915" s="100">
        <v>92.560200246431904</v>
      </c>
      <c r="E2915" s="100">
        <v>93.559774379297721</v>
      </c>
      <c r="F2915" s="100">
        <v>1194.6137462673221</v>
      </c>
      <c r="G2915" s="100">
        <v>700.85393149492597</v>
      </c>
      <c r="H2915" s="100">
        <v>511.75971810940268</v>
      </c>
      <c r="I2915" s="100">
        <v>-179.13472459649427</v>
      </c>
      <c r="J2915" s="100">
        <v>2228.0926712751561</v>
      </c>
    </row>
    <row r="2916" spans="1:10" x14ac:dyDescent="0.25">
      <c r="A2916">
        <v>2899</v>
      </c>
      <c r="B2916" s="100">
        <v>89.65128317799676</v>
      </c>
      <c r="C2916" s="100">
        <v>97.077149920666741</v>
      </c>
      <c r="D2916" s="100">
        <v>91.528874406662837</v>
      </c>
      <c r="E2916" s="100">
        <v>91.193619846518047</v>
      </c>
      <c r="F2916" s="100">
        <v>-322.21788367977808</v>
      </c>
      <c r="G2916" s="100">
        <v>1699.1093789430636</v>
      </c>
      <c r="H2916" s="100">
        <v>2574.4113976475373</v>
      </c>
      <c r="I2916" s="100">
        <v>2187.0198081831804</v>
      </c>
      <c r="J2916" s="100">
        <v>6138.3227010940027</v>
      </c>
    </row>
    <row r="2917" spans="1:10" x14ac:dyDescent="0.25">
      <c r="A2917">
        <v>2900</v>
      </c>
      <c r="B2917" s="100">
        <v>90.710309504064327</v>
      </c>
      <c r="C2917" s="100">
        <v>100.37104988334347</v>
      </c>
      <c r="D2917" s="100">
        <v>92.50755382976179</v>
      </c>
      <c r="E2917" s="100">
        <v>93.66219064096623</v>
      </c>
      <c r="F2917" s="100">
        <v>-3817.0047597027492</v>
      </c>
      <c r="G2917" s="100">
        <v>-3241.7405650720357</v>
      </c>
      <c r="H2917" s="100">
        <v>617.05255144963189</v>
      </c>
      <c r="I2917" s="100">
        <v>-281.55098626500319</v>
      </c>
      <c r="J2917" s="100">
        <v>-6723.2437595901565</v>
      </c>
    </row>
    <row r="2918" spans="1:10" x14ac:dyDescent="0.25">
      <c r="A2918">
        <v>2901</v>
      </c>
      <c r="B2918" s="100">
        <v>89.798126958069801</v>
      </c>
      <c r="C2918" s="100">
        <v>98.963469956713041</v>
      </c>
      <c r="D2918" s="100">
        <v>92.161790876105812</v>
      </c>
      <c r="E2918" s="100">
        <v>94.284100052890281</v>
      </c>
      <c r="F2918" s="100">
        <v>-806.80235792081453</v>
      </c>
      <c r="G2918" s="100">
        <v>-1130.370675126386</v>
      </c>
      <c r="H2918" s="100">
        <v>1308.5784587615876</v>
      </c>
      <c r="I2918" s="100">
        <v>-903.4603981890541</v>
      </c>
      <c r="J2918" s="100">
        <v>-1532.054972474667</v>
      </c>
    </row>
    <row r="2919" spans="1:10" x14ac:dyDescent="0.25">
      <c r="A2919">
        <v>2902</v>
      </c>
      <c r="B2919" s="100">
        <v>90.538200538268271</v>
      </c>
      <c r="C2919" s="100">
        <v>98.604863994173058</v>
      </c>
      <c r="D2919" s="100">
        <v>92.490223255931625</v>
      </c>
      <c r="E2919" s="100">
        <v>95.448525168346734</v>
      </c>
      <c r="F2919" s="100">
        <v>-3249.0451725757639</v>
      </c>
      <c r="G2919" s="100">
        <v>-592.46173131641194</v>
      </c>
      <c r="H2919" s="100">
        <v>651.71369910996191</v>
      </c>
      <c r="I2919" s="100">
        <v>-2067.8855136455068</v>
      </c>
      <c r="J2919" s="100">
        <v>-5257.67871842772</v>
      </c>
    </row>
    <row r="2920" spans="1:10" x14ac:dyDescent="0.25">
      <c r="A2920">
        <v>2903</v>
      </c>
      <c r="B2920" s="100">
        <v>89.783075462187028</v>
      </c>
      <c r="C2920" s="100">
        <v>98.101138237665864</v>
      </c>
      <c r="D2920" s="100">
        <v>93.367700411202151</v>
      </c>
      <c r="E2920" s="100">
        <v>93.965006918581238</v>
      </c>
      <c r="F2920" s="100">
        <v>-757.13242150766428</v>
      </c>
      <c r="G2920" s="100">
        <v>163.12690344437897</v>
      </c>
      <c r="H2920" s="100">
        <v>-1103.2406114310902</v>
      </c>
      <c r="I2920" s="100">
        <v>-584.36726388001148</v>
      </c>
      <c r="J2920" s="100">
        <v>-2281.6133933743868</v>
      </c>
    </row>
    <row r="2921" spans="1:10" x14ac:dyDescent="0.25">
      <c r="A2921">
        <v>2904</v>
      </c>
      <c r="B2921" s="100">
        <v>89.354369145687897</v>
      </c>
      <c r="C2921" s="100">
        <v>98.613444997485558</v>
      </c>
      <c r="D2921" s="100">
        <v>93.367481055538079</v>
      </c>
      <c r="E2921" s="100">
        <v>91.514067983085795</v>
      </c>
      <c r="F2921" s="100">
        <v>657.59842293946781</v>
      </c>
      <c r="G2921" s="100">
        <v>-605.333236285162</v>
      </c>
      <c r="H2921" s="100">
        <v>-1102.8019001029463</v>
      </c>
      <c r="I2921" s="100">
        <v>1866.571671615432</v>
      </c>
      <c r="J2921" s="100">
        <v>816.03495816679151</v>
      </c>
    </row>
    <row r="2922" spans="1:10" x14ac:dyDescent="0.25">
      <c r="A2922">
        <v>2905</v>
      </c>
      <c r="B2922" s="100">
        <v>89.10411020026045</v>
      </c>
      <c r="C2922" s="100">
        <v>97.183640744957344</v>
      </c>
      <c r="D2922" s="100">
        <v>92.603844772410469</v>
      </c>
      <c r="E2922" s="100">
        <v>93.384527411327127</v>
      </c>
      <c r="F2922" s="100">
        <v>1483.4529428500432</v>
      </c>
      <c r="G2922" s="100">
        <v>1539.3731425071592</v>
      </c>
      <c r="H2922" s="100">
        <v>424.47066615227413</v>
      </c>
      <c r="I2922" s="100">
        <v>-3.8877566259003515</v>
      </c>
      <c r="J2922" s="100">
        <v>3443.4089948835763</v>
      </c>
    </row>
    <row r="2923" spans="1:10" x14ac:dyDescent="0.25">
      <c r="A2923">
        <v>2906</v>
      </c>
      <c r="B2923" s="100">
        <v>89.438301864444725</v>
      </c>
      <c r="C2923" s="100">
        <v>97.261858981969127</v>
      </c>
      <c r="D2923" s="100">
        <v>92.500465310273555</v>
      </c>
      <c r="E2923" s="100">
        <v>94.037399209624866</v>
      </c>
      <c r="F2923" s="100">
        <v>380.62045104193771</v>
      </c>
      <c r="G2923" s="100">
        <v>1422.0457869894858</v>
      </c>
      <c r="H2923" s="100">
        <v>631.22959042610205</v>
      </c>
      <c r="I2923" s="100">
        <v>-656.75955492363869</v>
      </c>
      <c r="J2923" s="100">
        <v>1777.1362735338869</v>
      </c>
    </row>
    <row r="2924" spans="1:10" x14ac:dyDescent="0.25">
      <c r="A2924">
        <v>2907</v>
      </c>
      <c r="B2924" s="100">
        <v>89.039111880263619</v>
      </c>
      <c r="C2924" s="100">
        <v>98.285759240358601</v>
      </c>
      <c r="D2924" s="100">
        <v>94.709604346027803</v>
      </c>
      <c r="E2924" s="100">
        <v>95.501966601298648</v>
      </c>
      <c r="F2924" s="100">
        <v>1697.947398839588</v>
      </c>
      <c r="G2924" s="100">
        <v>-113.80460059472597</v>
      </c>
      <c r="H2924" s="100">
        <v>-3787.0484810823937</v>
      </c>
      <c r="I2924" s="100">
        <v>-2121.3269465974208</v>
      </c>
      <c r="J2924" s="100">
        <v>-4324.2326294349523</v>
      </c>
    </row>
    <row r="2925" spans="1:10" x14ac:dyDescent="0.25">
      <c r="A2925">
        <v>2908</v>
      </c>
      <c r="B2925" s="100">
        <v>89.917923574347185</v>
      </c>
      <c r="C2925" s="100">
        <v>98.784690071412541</v>
      </c>
      <c r="D2925" s="100">
        <v>92.521086580915565</v>
      </c>
      <c r="E2925" s="100">
        <v>92.920366421296876</v>
      </c>
      <c r="F2925" s="100">
        <v>-1202.131191636181</v>
      </c>
      <c r="G2925" s="100">
        <v>-862.200847175636</v>
      </c>
      <c r="H2925" s="100">
        <v>589.98704914208133</v>
      </c>
      <c r="I2925" s="100">
        <v>460.27323340435089</v>
      </c>
      <c r="J2925" s="100">
        <v>-1014.071756265385</v>
      </c>
    </row>
    <row r="2926" spans="1:10" x14ac:dyDescent="0.25">
      <c r="A2926">
        <v>2909</v>
      </c>
      <c r="B2926" s="100">
        <v>89.706199661854072</v>
      </c>
      <c r="C2926" s="100">
        <v>98.128226374913041</v>
      </c>
      <c r="D2926" s="100">
        <v>94.404807090521189</v>
      </c>
      <c r="E2926" s="100">
        <v>93.661098969745098</v>
      </c>
      <c r="F2926" s="100">
        <v>-503.44228040890755</v>
      </c>
      <c r="G2926" s="100">
        <v>122.49469757361453</v>
      </c>
      <c r="H2926" s="100">
        <v>-3177.4539700691662</v>
      </c>
      <c r="I2926" s="100">
        <v>-280.45931504387056</v>
      </c>
      <c r="J2926" s="100">
        <v>-3838.8608679483295</v>
      </c>
    </row>
    <row r="2927" spans="1:10" x14ac:dyDescent="0.25">
      <c r="A2927">
        <v>2910</v>
      </c>
      <c r="B2927" s="100">
        <v>90.559169520065367</v>
      </c>
      <c r="C2927" s="100">
        <v>97.514748661578238</v>
      </c>
      <c r="D2927" s="100">
        <v>94.240619006184545</v>
      </c>
      <c r="E2927" s="100">
        <v>94.113882290137155</v>
      </c>
      <c r="F2927" s="100">
        <v>-3318.2428125061833</v>
      </c>
      <c r="G2927" s="100">
        <v>1042.7112675758181</v>
      </c>
      <c r="H2927" s="100">
        <v>-2849.0778013958789</v>
      </c>
      <c r="I2927" s="100">
        <v>-733.24263543592849</v>
      </c>
      <c r="J2927" s="100">
        <v>-5857.8519817621727</v>
      </c>
    </row>
    <row r="2928" spans="1:10" x14ac:dyDescent="0.25">
      <c r="A2928">
        <v>2911</v>
      </c>
      <c r="B2928" s="100">
        <v>89.308250616299333</v>
      </c>
      <c r="C2928" s="100">
        <v>98.905328029161026</v>
      </c>
      <c r="D2928" s="100">
        <v>92.306731994981575</v>
      </c>
      <c r="E2928" s="100">
        <v>91.444383987047345</v>
      </c>
      <c r="F2928" s="100">
        <v>809.78956992173175</v>
      </c>
      <c r="G2928" s="100">
        <v>-1043.1577837983639</v>
      </c>
      <c r="H2928" s="100">
        <v>1018.6962210100603</v>
      </c>
      <c r="I2928" s="100">
        <v>1936.2556676538816</v>
      </c>
      <c r="J2928" s="100">
        <v>2721.58367478731</v>
      </c>
    </row>
    <row r="2929" spans="1:10" x14ac:dyDescent="0.25">
      <c r="A2929">
        <v>2912</v>
      </c>
      <c r="B2929" s="100">
        <v>88.759232186460821</v>
      </c>
      <c r="C2929" s="100">
        <v>99.270783355106758</v>
      </c>
      <c r="D2929" s="100">
        <v>97.111924053297059</v>
      </c>
      <c r="E2929" s="100">
        <v>95.020142707384025</v>
      </c>
      <c r="F2929" s="100">
        <v>2621.5503883888205</v>
      </c>
      <c r="G2929" s="100">
        <v>-1591.3407727169613</v>
      </c>
      <c r="H2929" s="100">
        <v>-8591.6878956209075</v>
      </c>
      <c r="I2929" s="100">
        <v>-1639.5030526827982</v>
      </c>
      <c r="J2929" s="100">
        <v>-9200.9813326318472</v>
      </c>
    </row>
    <row r="2930" spans="1:10" x14ac:dyDescent="0.25">
      <c r="A2930">
        <v>2913</v>
      </c>
      <c r="B2930" s="100">
        <v>90.170614858336336</v>
      </c>
      <c r="C2930" s="100">
        <v>98.821106487886553</v>
      </c>
      <c r="D2930" s="100">
        <v>93.500375033704032</v>
      </c>
      <c r="E2930" s="100">
        <v>92.940866030977276</v>
      </c>
      <c r="F2930" s="100">
        <v>-2036.012428800379</v>
      </c>
      <c r="G2930" s="100">
        <v>-916.82547188665353</v>
      </c>
      <c r="H2930" s="100">
        <v>-1368.589856434852</v>
      </c>
      <c r="I2930" s="100">
        <v>439.77362372395135</v>
      </c>
      <c r="J2930" s="100">
        <v>-3881.654133397933</v>
      </c>
    </row>
    <row r="2931" spans="1:10" x14ac:dyDescent="0.25">
      <c r="A2931">
        <v>2914</v>
      </c>
      <c r="B2931" s="100">
        <v>89.816652341742383</v>
      </c>
      <c r="C2931" s="100">
        <v>99.060450131425881</v>
      </c>
      <c r="D2931" s="100">
        <v>94.086371155171165</v>
      </c>
      <c r="E2931" s="100">
        <v>94.902900553892778</v>
      </c>
      <c r="F2931" s="100">
        <v>-867.93612404033524</v>
      </c>
      <c r="G2931" s="100">
        <v>-1275.8409371956461</v>
      </c>
      <c r="H2931" s="100">
        <v>-2540.5820993691177</v>
      </c>
      <c r="I2931" s="100">
        <v>-1522.2608991915508</v>
      </c>
      <c r="J2931" s="100">
        <v>-6206.6200597966508</v>
      </c>
    </row>
    <row r="2932" spans="1:10" x14ac:dyDescent="0.25">
      <c r="A2932">
        <v>2915</v>
      </c>
      <c r="B2932" s="100">
        <v>89.345293903425201</v>
      </c>
      <c r="C2932" s="100">
        <v>98.243465661849385</v>
      </c>
      <c r="D2932" s="100">
        <v>91.942416273268208</v>
      </c>
      <c r="E2932" s="100">
        <v>94.298327697623435</v>
      </c>
      <c r="F2932" s="100">
        <v>687.54672240636546</v>
      </c>
      <c r="G2932" s="100">
        <v>-50.364232830901301</v>
      </c>
      <c r="H2932" s="100">
        <v>1747.3276644367957</v>
      </c>
      <c r="I2932" s="100">
        <v>-917.68804292220807</v>
      </c>
      <c r="J2932" s="100">
        <v>1466.8221110900515</v>
      </c>
    </row>
    <row r="2933" spans="1:10" x14ac:dyDescent="0.25">
      <c r="A2933">
        <v>2916</v>
      </c>
      <c r="B2933" s="100">
        <v>89.472086118813081</v>
      </c>
      <c r="C2933" s="100">
        <v>99.366669216630086</v>
      </c>
      <c r="D2933" s="100">
        <v>92.070520686617698</v>
      </c>
      <c r="E2933" s="100">
        <v>95.417301148208495</v>
      </c>
      <c r="F2933" s="100">
        <v>269.13241162636155</v>
      </c>
      <c r="G2933" s="100">
        <v>-1735.1695650019537</v>
      </c>
      <c r="H2933" s="100">
        <v>1491.1188377378153</v>
      </c>
      <c r="I2933" s="100">
        <v>-2036.6614935072676</v>
      </c>
      <c r="J2933" s="100">
        <v>-2011.5798091450445</v>
      </c>
    </row>
    <row r="2934" spans="1:10" x14ac:dyDescent="0.25">
      <c r="A2934">
        <v>2917</v>
      </c>
      <c r="B2934" s="100">
        <v>89.425904692146091</v>
      </c>
      <c r="C2934" s="100">
        <v>99.091811897970501</v>
      </c>
      <c r="D2934" s="100">
        <v>94.084045061452514</v>
      </c>
      <c r="E2934" s="100">
        <v>92.980776316932463</v>
      </c>
      <c r="F2934" s="100">
        <v>421.53111962742997</v>
      </c>
      <c r="G2934" s="100">
        <v>-1322.8835870125763</v>
      </c>
      <c r="H2934" s="100">
        <v>-2535.9299119318166</v>
      </c>
      <c r="I2934" s="100">
        <v>399.86333776876393</v>
      </c>
      <c r="J2934" s="100">
        <v>-3037.4190415481989</v>
      </c>
    </row>
    <row r="2935" spans="1:10" x14ac:dyDescent="0.25">
      <c r="A2935">
        <v>2918</v>
      </c>
      <c r="B2935" s="100">
        <v>89.18402750161728</v>
      </c>
      <c r="C2935" s="100">
        <v>98.052804558120926</v>
      </c>
      <c r="D2935" s="100">
        <v>92.409665468487802</v>
      </c>
      <c r="E2935" s="100">
        <v>95.839103626242277</v>
      </c>
      <c r="F2935" s="100">
        <v>1219.7258483725066</v>
      </c>
      <c r="G2935" s="100">
        <v>235.62742276178739</v>
      </c>
      <c r="H2935" s="100">
        <v>812.82927399760752</v>
      </c>
      <c r="I2935" s="100">
        <v>-2458.4639715410503</v>
      </c>
      <c r="J2935" s="100">
        <v>-190.28142640914893</v>
      </c>
    </row>
    <row r="2936" spans="1:10" x14ac:dyDescent="0.25">
      <c r="A2936">
        <v>2919</v>
      </c>
      <c r="B2936" s="100">
        <v>89.095542547647426</v>
      </c>
      <c r="C2936" s="100">
        <v>98.806583554720604</v>
      </c>
      <c r="D2936" s="100">
        <v>93.288058111972362</v>
      </c>
      <c r="E2936" s="100">
        <v>91.726517687958349</v>
      </c>
      <c r="F2936" s="100">
        <v>1511.7261964730233</v>
      </c>
      <c r="G2936" s="100">
        <v>-895.04107213772954</v>
      </c>
      <c r="H2936" s="100">
        <v>-943.95601297151188</v>
      </c>
      <c r="I2936" s="100">
        <v>1654.1219667428777</v>
      </c>
      <c r="J2936" s="100">
        <v>1326.8510781066595</v>
      </c>
    </row>
    <row r="2937" spans="1:10" x14ac:dyDescent="0.25">
      <c r="A2937">
        <v>2920</v>
      </c>
      <c r="B2937" s="100">
        <v>89.907569609302413</v>
      </c>
      <c r="C2937" s="100">
        <v>98.480944717614065</v>
      </c>
      <c r="D2937" s="100">
        <v>91.783445232975595</v>
      </c>
      <c r="E2937" s="100">
        <v>93.849931416082399</v>
      </c>
      <c r="F2937" s="100">
        <v>-1167.9631069884351</v>
      </c>
      <c r="G2937" s="100">
        <v>-406.58281647792194</v>
      </c>
      <c r="H2937" s="100">
        <v>2065.2697450220217</v>
      </c>
      <c r="I2937" s="100">
        <v>-469.29176138117157</v>
      </c>
      <c r="J2937" s="100">
        <v>21.432060174492904</v>
      </c>
    </row>
    <row r="2938" spans="1:10" x14ac:dyDescent="0.25">
      <c r="A2938">
        <v>2921</v>
      </c>
      <c r="B2938" s="100">
        <v>88.860423829911852</v>
      </c>
      <c r="C2938" s="100">
        <v>98.594693815673779</v>
      </c>
      <c r="D2938" s="100">
        <v>91.73173396854186</v>
      </c>
      <c r="E2938" s="100">
        <v>92.263407175878186</v>
      </c>
      <c r="F2938" s="100">
        <v>2287.6179650004174</v>
      </c>
      <c r="G2938" s="100">
        <v>-577.20646356749228</v>
      </c>
      <c r="H2938" s="100">
        <v>2168.6922738894909</v>
      </c>
      <c r="I2938" s="100">
        <v>1117.2324788230412</v>
      </c>
      <c r="J2938" s="100">
        <v>4996.3362541454571</v>
      </c>
    </row>
    <row r="2939" spans="1:10" x14ac:dyDescent="0.25">
      <c r="A2939">
        <v>2922</v>
      </c>
      <c r="B2939" s="100">
        <v>89.526388306794274</v>
      </c>
      <c r="C2939" s="100">
        <v>98.426516442915172</v>
      </c>
      <c r="D2939" s="100">
        <v>93.639985836604538</v>
      </c>
      <c r="E2939" s="100">
        <v>90.686698990682672</v>
      </c>
      <c r="F2939" s="100">
        <v>89.935191288424221</v>
      </c>
      <c r="G2939" s="100">
        <v>-324.94040442958294</v>
      </c>
      <c r="H2939" s="100">
        <v>-1647.8114622358646</v>
      </c>
      <c r="I2939" s="100">
        <v>2693.9406640185553</v>
      </c>
      <c r="J2939" s="100">
        <v>811.12398864153192</v>
      </c>
    </row>
    <row r="2940" spans="1:10" x14ac:dyDescent="0.25">
      <c r="A2940">
        <v>2923</v>
      </c>
      <c r="B2940" s="100">
        <v>89.307412810814597</v>
      </c>
      <c r="C2940" s="100">
        <v>98.5565596851728</v>
      </c>
      <c r="D2940" s="100">
        <v>94.330159688067198</v>
      </c>
      <c r="E2940" s="100">
        <v>94.262264630900333</v>
      </c>
      <c r="F2940" s="100">
        <v>812.5543280213592</v>
      </c>
      <c r="G2940" s="100">
        <v>-520.0052678160248</v>
      </c>
      <c r="H2940" s="100">
        <v>-3028.1591651611848</v>
      </c>
      <c r="I2940" s="100">
        <v>-881.62497619910596</v>
      </c>
      <c r="J2940" s="100">
        <v>-3617.2350811549559</v>
      </c>
    </row>
    <row r="2941" spans="1:10" x14ac:dyDescent="0.25">
      <c r="A2941">
        <v>2924</v>
      </c>
      <c r="B2941" s="100">
        <v>90.842373777113608</v>
      </c>
      <c r="C2941" s="100">
        <v>98.706255402835424</v>
      </c>
      <c r="D2941" s="100">
        <v>91.974097031140403</v>
      </c>
      <c r="E2941" s="100">
        <v>90.905491813571402</v>
      </c>
      <c r="F2941" s="100">
        <v>-4252.8168607653752</v>
      </c>
      <c r="G2941" s="100">
        <v>-744.5488443099606</v>
      </c>
      <c r="H2941" s="100">
        <v>1683.9661486924058</v>
      </c>
      <c r="I2941" s="100">
        <v>2475.1478411298249</v>
      </c>
      <c r="J2941" s="100">
        <v>-838.25171525310452</v>
      </c>
    </row>
    <row r="2942" spans="1:10" x14ac:dyDescent="0.25">
      <c r="A2942">
        <v>2925</v>
      </c>
      <c r="B2942" s="100">
        <v>89.577777970288253</v>
      </c>
      <c r="C2942" s="100">
        <v>98.316858857151729</v>
      </c>
      <c r="D2942" s="100">
        <v>92.360476750420702</v>
      </c>
      <c r="E2942" s="100">
        <v>89.869122431714715</v>
      </c>
      <c r="F2942" s="100">
        <v>-79.650698241704276</v>
      </c>
      <c r="G2942" s="100">
        <v>-160.45402578441781</v>
      </c>
      <c r="H2942" s="100">
        <v>911.20671013180754</v>
      </c>
      <c r="I2942" s="100">
        <v>3511.5172229865125</v>
      </c>
      <c r="J2942" s="100">
        <v>4182.6192090921977</v>
      </c>
    </row>
    <row r="2943" spans="1:10" x14ac:dyDescent="0.25">
      <c r="A2943">
        <v>2926</v>
      </c>
      <c r="B2943" s="100">
        <v>89.15621012840073</v>
      </c>
      <c r="C2943" s="100">
        <v>96.917956088500773</v>
      </c>
      <c r="D2943" s="100">
        <v>93.25530247775913</v>
      </c>
      <c r="E2943" s="100">
        <v>92.026668916216735</v>
      </c>
      <c r="F2943" s="100">
        <v>1311.523179987121</v>
      </c>
      <c r="G2943" s="100">
        <v>1937.900127192016</v>
      </c>
      <c r="H2943" s="100">
        <v>-878.44474454504962</v>
      </c>
      <c r="I2943" s="100">
        <v>1353.9707384844917</v>
      </c>
      <c r="J2943" s="100">
        <v>3724.9493011185787</v>
      </c>
    </row>
    <row r="2944" spans="1:10" x14ac:dyDescent="0.25">
      <c r="A2944">
        <v>2927</v>
      </c>
      <c r="B2944" s="100">
        <v>89.679989399331618</v>
      </c>
      <c r="C2944" s="100">
        <v>98.016780303774254</v>
      </c>
      <c r="D2944" s="100">
        <v>90.728636049420317</v>
      </c>
      <c r="E2944" s="100">
        <v>95.037653442657884</v>
      </c>
      <c r="F2944" s="100">
        <v>-416.94841408480841</v>
      </c>
      <c r="G2944" s="100">
        <v>289.66380428179406</v>
      </c>
      <c r="H2944" s="100">
        <v>4174.8881121325776</v>
      </c>
      <c r="I2944" s="100">
        <v>-1657.0137879566573</v>
      </c>
      <c r="J2944" s="100">
        <v>2390.5897143729057</v>
      </c>
    </row>
    <row r="2945" spans="1:10" x14ac:dyDescent="0.25">
      <c r="A2945">
        <v>2928</v>
      </c>
      <c r="B2945" s="100">
        <v>89.956693446214402</v>
      </c>
      <c r="C2945" s="100">
        <v>97.48377069544506</v>
      </c>
      <c r="D2945" s="100">
        <v>93.905154738697107</v>
      </c>
      <c r="E2945" s="100">
        <v>94.522508593369992</v>
      </c>
      <c r="F2945" s="100">
        <v>-1330.0717687979968</v>
      </c>
      <c r="G2945" s="100">
        <v>1089.1782167755864</v>
      </c>
      <c r="H2945" s="100">
        <v>-2178.1492664210018</v>
      </c>
      <c r="I2945" s="100">
        <v>-1141.8689386687647</v>
      </c>
      <c r="J2945" s="100">
        <v>-3560.9117571121769</v>
      </c>
    </row>
    <row r="2946" spans="1:10" x14ac:dyDescent="0.25">
      <c r="A2946">
        <v>2929</v>
      </c>
      <c r="B2946" s="100">
        <v>90.287201869048943</v>
      </c>
      <c r="C2946" s="100">
        <v>97.895874170910275</v>
      </c>
      <c r="D2946" s="100">
        <v>93.576233767847356</v>
      </c>
      <c r="E2946" s="100">
        <v>93.233740116871999</v>
      </c>
      <c r="F2946" s="100">
        <v>-2420.7495641519813</v>
      </c>
      <c r="G2946" s="100">
        <v>471.02300357776272</v>
      </c>
      <c r="H2946" s="100">
        <v>-1520.3073247215002</v>
      </c>
      <c r="I2946" s="100">
        <v>146.89953782922771</v>
      </c>
      <c r="J2946" s="100">
        <v>-3323.1343474664909</v>
      </c>
    </row>
    <row r="2947" spans="1:10" x14ac:dyDescent="0.25">
      <c r="A2947">
        <v>2930</v>
      </c>
      <c r="B2947" s="100">
        <v>89.482812311252388</v>
      </c>
      <c r="C2947" s="100">
        <v>97.950813640860503</v>
      </c>
      <c r="D2947" s="100">
        <v>93.355469838982259</v>
      </c>
      <c r="E2947" s="100">
        <v>94.157422814811468</v>
      </c>
      <c r="F2947" s="100">
        <v>233.73597657664789</v>
      </c>
      <c r="G2947" s="100">
        <v>388.61379865242185</v>
      </c>
      <c r="H2947" s="100">
        <v>-1078.7794669913069</v>
      </c>
      <c r="I2947" s="100">
        <v>-776.78316011024151</v>
      </c>
      <c r="J2947" s="100">
        <v>-1233.2128518724785</v>
      </c>
    </row>
    <row r="2948" spans="1:10" x14ac:dyDescent="0.25">
      <c r="A2948">
        <v>2931</v>
      </c>
      <c r="B2948" s="100">
        <v>88.34050862625601</v>
      </c>
      <c r="C2948" s="100">
        <v>97.955802486689223</v>
      </c>
      <c r="D2948" s="100">
        <v>93.44612799199615</v>
      </c>
      <c r="E2948" s="100">
        <v>88.881555688200109</v>
      </c>
      <c r="F2948" s="100">
        <v>4003.3381370646948</v>
      </c>
      <c r="G2948" s="100">
        <v>381.13052990934193</v>
      </c>
      <c r="H2948" s="100">
        <v>-1260.0957730190885</v>
      </c>
      <c r="I2948" s="100">
        <v>4499.0839665011181</v>
      </c>
      <c r="J2948" s="100">
        <v>7623.4568604560664</v>
      </c>
    </row>
    <row r="2949" spans="1:10" x14ac:dyDescent="0.25">
      <c r="A2949">
        <v>2932</v>
      </c>
      <c r="B2949" s="100">
        <v>88.820493803966357</v>
      </c>
      <c r="C2949" s="100">
        <v>97.695363746908612</v>
      </c>
      <c r="D2949" s="100">
        <v>91.670597698932696</v>
      </c>
      <c r="E2949" s="100">
        <v>94.255213054666456</v>
      </c>
      <c r="F2949" s="100">
        <v>2419.3870506205499</v>
      </c>
      <c r="G2949" s="100">
        <v>771.78863958025795</v>
      </c>
      <c r="H2949" s="100">
        <v>2290.9648131078202</v>
      </c>
      <c r="I2949" s="100">
        <v>-874.57339996522876</v>
      </c>
      <c r="J2949" s="100">
        <v>4607.5671033434</v>
      </c>
    </row>
    <row r="2950" spans="1:10" x14ac:dyDescent="0.25">
      <c r="A2950">
        <v>2933</v>
      </c>
      <c r="B2950" s="100">
        <v>89.167715564478669</v>
      </c>
      <c r="C2950" s="100">
        <v>97.409921375129372</v>
      </c>
      <c r="D2950" s="100">
        <v>92.806192726003744</v>
      </c>
      <c r="E2950" s="100">
        <v>93.305527287255757</v>
      </c>
      <c r="F2950" s="100">
        <v>1273.5552409299203</v>
      </c>
      <c r="G2950" s="100">
        <v>1199.9521972491179</v>
      </c>
      <c r="H2950" s="100">
        <v>19.774758965724004</v>
      </c>
      <c r="I2950" s="100">
        <v>75.11236744547034</v>
      </c>
      <c r="J2950" s="100">
        <v>2568.3945645902322</v>
      </c>
    </row>
    <row r="2951" spans="1:10" x14ac:dyDescent="0.25">
      <c r="A2951">
        <v>2934</v>
      </c>
      <c r="B2951" s="100">
        <v>89.152497205479207</v>
      </c>
      <c r="C2951" s="100">
        <v>97.136661969404059</v>
      </c>
      <c r="D2951" s="100">
        <v>92.670054351368293</v>
      </c>
      <c r="E2951" s="100">
        <v>92.268048702745403</v>
      </c>
      <c r="F2951" s="100">
        <v>1323.7758256281452</v>
      </c>
      <c r="G2951" s="100">
        <v>1609.8413058370866</v>
      </c>
      <c r="H2951" s="100">
        <v>292.05150823662507</v>
      </c>
      <c r="I2951" s="100">
        <v>1112.5909519558236</v>
      </c>
      <c r="J2951" s="100">
        <v>4338.2595916576811</v>
      </c>
    </row>
    <row r="2952" spans="1:10" x14ac:dyDescent="0.25">
      <c r="A2952">
        <v>2935</v>
      </c>
      <c r="B2952" s="100">
        <v>89.972592864345941</v>
      </c>
      <c r="C2952" s="100">
        <v>100.11732654198205</v>
      </c>
      <c r="D2952" s="100">
        <v>92.472458198116868</v>
      </c>
      <c r="E2952" s="100">
        <v>91.547449111943436</v>
      </c>
      <c r="F2952" s="100">
        <v>-1382.5398486320764</v>
      </c>
      <c r="G2952" s="100">
        <v>-2861.1555530299029</v>
      </c>
      <c r="H2952" s="100">
        <v>687.2438147394746</v>
      </c>
      <c r="I2952" s="100">
        <v>1833.1905427577908</v>
      </c>
      <c r="J2952" s="100">
        <v>-1723.2610441647139</v>
      </c>
    </row>
    <row r="2953" spans="1:10" x14ac:dyDescent="0.25">
      <c r="A2953">
        <v>2936</v>
      </c>
      <c r="B2953" s="100">
        <v>89.714520539309817</v>
      </c>
      <c r="C2953" s="100">
        <v>97.855610413188245</v>
      </c>
      <c r="D2953" s="100">
        <v>92.990970185048013</v>
      </c>
      <c r="E2953" s="100">
        <v>91.885952609465562</v>
      </c>
      <c r="F2953" s="100">
        <v>-530.90117601286556</v>
      </c>
      <c r="G2953" s="100">
        <v>531.41864016080831</v>
      </c>
      <c r="H2953" s="100">
        <v>-349.78015912281535</v>
      </c>
      <c r="I2953" s="100">
        <v>1494.6870452356648</v>
      </c>
      <c r="J2953" s="100">
        <v>1145.4243502607922</v>
      </c>
    </row>
    <row r="2954" spans="1:10" x14ac:dyDescent="0.25">
      <c r="A2954">
        <v>2937</v>
      </c>
      <c r="B2954" s="100">
        <v>89.588753838483456</v>
      </c>
      <c r="C2954" s="100">
        <v>98.181972212497612</v>
      </c>
      <c r="D2954" s="100">
        <v>91.947668556166704</v>
      </c>
      <c r="E2954" s="100">
        <v>93.19473607586535</v>
      </c>
      <c r="F2954" s="100">
        <v>-115.87106328587424</v>
      </c>
      <c r="G2954" s="100">
        <v>41.875941196757083</v>
      </c>
      <c r="H2954" s="100">
        <v>1736.8230986398032</v>
      </c>
      <c r="I2954" s="100">
        <v>185.90357883587671</v>
      </c>
      <c r="J2954" s="100">
        <v>1848.7315553865628</v>
      </c>
    </row>
    <row r="2955" spans="1:10" x14ac:dyDescent="0.25">
      <c r="A2955">
        <v>2938</v>
      </c>
      <c r="B2955" s="100">
        <v>89.543198890492434</v>
      </c>
      <c r="C2955" s="100">
        <v>97.020963994521864</v>
      </c>
      <c r="D2955" s="100">
        <v>93.598684947119025</v>
      </c>
      <c r="E2955" s="100">
        <v>90.847223516150052</v>
      </c>
      <c r="F2955" s="100">
        <v>34.460265084497621</v>
      </c>
      <c r="G2955" s="100">
        <v>1783.3882681603795</v>
      </c>
      <c r="H2955" s="100">
        <v>-1565.2096832648397</v>
      </c>
      <c r="I2955" s="100">
        <v>2533.4161385511748</v>
      </c>
      <c r="J2955" s="100">
        <v>2786.0549885312121</v>
      </c>
    </row>
    <row r="2956" spans="1:10" x14ac:dyDescent="0.25">
      <c r="A2956">
        <v>2939</v>
      </c>
      <c r="B2956" s="100">
        <v>88.254778451438824</v>
      </c>
      <c r="C2956" s="100">
        <v>98.406029424894953</v>
      </c>
      <c r="D2956" s="100">
        <v>92.990274365798427</v>
      </c>
      <c r="E2956" s="100">
        <v>93.15663956723246</v>
      </c>
      <c r="F2956" s="100">
        <v>4286.2477139614102</v>
      </c>
      <c r="G2956" s="100">
        <v>-294.20987739925408</v>
      </c>
      <c r="H2956" s="100">
        <v>-348.38852062364367</v>
      </c>
      <c r="I2956" s="100">
        <v>224.00008746876665</v>
      </c>
      <c r="J2956" s="100">
        <v>3867.6494034072794</v>
      </c>
    </row>
    <row r="2957" spans="1:10" x14ac:dyDescent="0.25">
      <c r="A2957">
        <v>2940</v>
      </c>
      <c r="B2957" s="100">
        <v>89.925174801458127</v>
      </c>
      <c r="C2957" s="100">
        <v>98.201589304345021</v>
      </c>
      <c r="D2957" s="100">
        <v>94.233931430901663</v>
      </c>
      <c r="E2957" s="100">
        <v>96.733091759657313</v>
      </c>
      <c r="F2957" s="100">
        <v>-1226.0602411022887</v>
      </c>
      <c r="G2957" s="100">
        <v>12.450303425644904</v>
      </c>
      <c r="H2957" s="100">
        <v>-2835.7026508301146</v>
      </c>
      <c r="I2957" s="100">
        <v>-3352.4521049560863</v>
      </c>
      <c r="J2957" s="100">
        <v>-7401.7646934628447</v>
      </c>
    </row>
    <row r="2958" spans="1:10" x14ac:dyDescent="0.25">
      <c r="A2958">
        <v>2941</v>
      </c>
      <c r="B2958" s="100">
        <v>89.873369042046491</v>
      </c>
      <c r="C2958" s="100">
        <v>98.219214710802646</v>
      </c>
      <c r="D2958" s="100">
        <v>93.564054412974968</v>
      </c>
      <c r="E2958" s="100">
        <v>92.293070785403174</v>
      </c>
      <c r="F2958" s="100">
        <v>-1055.1012350438909</v>
      </c>
      <c r="G2958" s="100">
        <v>-13.987806260793434</v>
      </c>
      <c r="H2958" s="100">
        <v>-1495.9486149767258</v>
      </c>
      <c r="I2958" s="100">
        <v>1087.5688692980532</v>
      </c>
      <c r="J2958" s="100">
        <v>-1477.4687869833567</v>
      </c>
    </row>
    <row r="2959" spans="1:10" x14ac:dyDescent="0.25">
      <c r="A2959">
        <v>2942</v>
      </c>
      <c r="B2959" s="100">
        <v>89.782981731638756</v>
      </c>
      <c r="C2959" s="100">
        <v>99.252145569278724</v>
      </c>
      <c r="D2959" s="100">
        <v>92.985168566156389</v>
      </c>
      <c r="E2959" s="100">
        <v>92.591988647453462</v>
      </c>
      <c r="F2959" s="100">
        <v>-756.82311069836601</v>
      </c>
      <c r="G2959" s="100">
        <v>-1563.3840939749107</v>
      </c>
      <c r="H2959" s="100">
        <v>-338.17692133956712</v>
      </c>
      <c r="I2959" s="100">
        <v>788.65100724776482</v>
      </c>
      <c r="J2959" s="100">
        <v>-1869.7331187650789</v>
      </c>
    </row>
    <row r="2960" spans="1:10" x14ac:dyDescent="0.25">
      <c r="A2960">
        <v>2943</v>
      </c>
      <c r="B2960" s="100">
        <v>89.998391256294767</v>
      </c>
      <c r="C2960" s="100">
        <v>97.253179384088853</v>
      </c>
      <c r="D2960" s="100">
        <v>92.328721945856813</v>
      </c>
      <c r="E2960" s="100">
        <v>95.523333597339445</v>
      </c>
      <c r="F2960" s="100">
        <v>-1467.6745420632003</v>
      </c>
      <c r="G2960" s="100">
        <v>1435.065183809897</v>
      </c>
      <c r="H2960" s="100">
        <v>974.71631925958491</v>
      </c>
      <c r="I2960" s="100">
        <v>-2142.6939426382178</v>
      </c>
      <c r="J2960" s="100">
        <v>-1200.5869816319362</v>
      </c>
    </row>
    <row r="2961" spans="1:10" x14ac:dyDescent="0.25">
      <c r="A2961">
        <v>2944</v>
      </c>
      <c r="B2961" s="100">
        <v>89.892971589731275</v>
      </c>
      <c r="C2961" s="100">
        <v>98.518547345931481</v>
      </c>
      <c r="D2961" s="100">
        <v>93.409024717935253</v>
      </c>
      <c r="E2961" s="100">
        <v>93.275530142039912</v>
      </c>
      <c r="F2961" s="100">
        <v>-1119.7896424036771</v>
      </c>
      <c r="G2961" s="100">
        <v>-462.98675895404529</v>
      </c>
      <c r="H2961" s="100">
        <v>-1185.889224897295</v>
      </c>
      <c r="I2961" s="100">
        <v>105.10951266131485</v>
      </c>
      <c r="J2961" s="100">
        <v>-2663.5561135937028</v>
      </c>
    </row>
    <row r="2962" spans="1:10" x14ac:dyDescent="0.25">
      <c r="A2962">
        <v>2945</v>
      </c>
      <c r="B2962" s="100">
        <v>89.098038854131318</v>
      </c>
      <c r="C2962" s="100">
        <v>99.299286573187473</v>
      </c>
      <c r="D2962" s="100">
        <v>93.007359151448725</v>
      </c>
      <c r="E2962" s="100">
        <v>94.005666910908417</v>
      </c>
      <c r="F2962" s="100">
        <v>1503.4883850761817</v>
      </c>
      <c r="G2962" s="100">
        <v>-1634.0955998380336</v>
      </c>
      <c r="H2962" s="100">
        <v>-382.5580919242384</v>
      </c>
      <c r="I2962" s="100">
        <v>-625.02725620718991</v>
      </c>
      <c r="J2962" s="100">
        <v>-1138.1925628932804</v>
      </c>
    </row>
    <row r="2963" spans="1:10" x14ac:dyDescent="0.25">
      <c r="A2963">
        <v>2946</v>
      </c>
      <c r="B2963" s="100">
        <v>89.03353891008328</v>
      </c>
      <c r="C2963" s="100">
        <v>96.637397838330614</v>
      </c>
      <c r="D2963" s="100">
        <v>93.162541050567398</v>
      </c>
      <c r="E2963" s="100">
        <v>93.702223776256758</v>
      </c>
      <c r="F2963" s="100">
        <v>1716.3382004347056</v>
      </c>
      <c r="G2963" s="100">
        <v>2358.7375024472549</v>
      </c>
      <c r="H2963" s="100">
        <v>-692.92189016158545</v>
      </c>
      <c r="I2963" s="100">
        <v>-321.58412155553151</v>
      </c>
      <c r="J2963" s="100">
        <v>3060.5696911648438</v>
      </c>
    </row>
    <row r="2964" spans="1:10" x14ac:dyDescent="0.25">
      <c r="A2964">
        <v>2947</v>
      </c>
      <c r="B2964" s="100">
        <v>89.395587838280804</v>
      </c>
      <c r="C2964" s="100">
        <v>98.153510271439146</v>
      </c>
      <c r="D2964" s="100">
        <v>92.067421555034628</v>
      </c>
      <c r="E2964" s="100">
        <v>94.231243005052576</v>
      </c>
      <c r="F2964" s="100">
        <v>521.5767373828769</v>
      </c>
      <c r="G2964" s="100">
        <v>84.568852784457249</v>
      </c>
      <c r="H2964" s="100">
        <v>1497.3171009039561</v>
      </c>
      <c r="I2964" s="100">
        <v>-850.60335035134926</v>
      </c>
      <c r="J2964" s="100">
        <v>1252.8593407199412</v>
      </c>
    </row>
    <row r="2965" spans="1:10" x14ac:dyDescent="0.25">
      <c r="A2965">
        <v>2948</v>
      </c>
      <c r="B2965" s="100">
        <v>89.904338421431049</v>
      </c>
      <c r="C2965" s="100">
        <v>98.943565883821037</v>
      </c>
      <c r="D2965" s="100">
        <v>93.04663961213592</v>
      </c>
      <c r="E2965" s="100">
        <v>97.596111908951926</v>
      </c>
      <c r="F2965" s="100">
        <v>-1157.3001870129333</v>
      </c>
      <c r="G2965" s="100">
        <v>-1100.5145657883802</v>
      </c>
      <c r="H2965" s="100">
        <v>-461.11901329862803</v>
      </c>
      <c r="I2965" s="100">
        <v>-4215.4722542506988</v>
      </c>
      <c r="J2965" s="100">
        <v>-6934.4060203506397</v>
      </c>
    </row>
    <row r="2966" spans="1:10" x14ac:dyDescent="0.25">
      <c r="A2966">
        <v>2949</v>
      </c>
      <c r="B2966" s="100">
        <v>90.098886862290783</v>
      </c>
      <c r="C2966" s="100">
        <v>98.216908938382616</v>
      </c>
      <c r="D2966" s="100">
        <v>92.762206071827734</v>
      </c>
      <c r="E2966" s="100">
        <v>90.529628687990339</v>
      </c>
      <c r="F2966" s="100">
        <v>-1799.3100418500546</v>
      </c>
      <c r="G2966" s="100">
        <v>-10.529147630748525</v>
      </c>
      <c r="H2966" s="100">
        <v>107.74806731774333</v>
      </c>
      <c r="I2966" s="100">
        <v>2851.0109667108877</v>
      </c>
      <c r="J2966" s="100">
        <v>1148.9198445478278</v>
      </c>
    </row>
    <row r="2967" spans="1:10" x14ac:dyDescent="0.25">
      <c r="A2967">
        <v>2950</v>
      </c>
      <c r="B2967" s="100">
        <v>89.703370576814876</v>
      </c>
      <c r="C2967" s="100">
        <v>97.871181566749939</v>
      </c>
      <c r="D2967" s="100">
        <v>93.796708944038713</v>
      </c>
      <c r="E2967" s="100">
        <v>93.527133469743546</v>
      </c>
      <c r="F2967" s="100">
        <v>-494.10629977956262</v>
      </c>
      <c r="G2967" s="100">
        <v>508.0619098182666</v>
      </c>
      <c r="H2967" s="100">
        <v>-1961.2576771042143</v>
      </c>
      <c r="I2967" s="100">
        <v>-146.4938150423194</v>
      </c>
      <c r="J2967" s="100">
        <v>-2093.7958821078296</v>
      </c>
    </row>
    <row r="2968" spans="1:10" x14ac:dyDescent="0.25">
      <c r="A2968">
        <v>2951</v>
      </c>
      <c r="B2968" s="100">
        <v>89.920119198369321</v>
      </c>
      <c r="C2968" s="100">
        <v>98.517442482834454</v>
      </c>
      <c r="D2968" s="100">
        <v>89.229992726442163</v>
      </c>
      <c r="E2968" s="100">
        <v>89.876886206577311</v>
      </c>
      <c r="F2968" s="100">
        <v>-1209.3767509092288</v>
      </c>
      <c r="G2968" s="100">
        <v>-461.32946430850552</v>
      </c>
      <c r="H2968" s="100">
        <v>7172.1747580888859</v>
      </c>
      <c r="I2968" s="100">
        <v>3503.7534481239163</v>
      </c>
      <c r="J2968" s="100">
        <v>9005.2219909950691</v>
      </c>
    </row>
    <row r="2969" spans="1:10" x14ac:dyDescent="0.25">
      <c r="A2969">
        <v>2952</v>
      </c>
      <c r="B2969" s="100">
        <v>90.384331883065514</v>
      </c>
      <c r="C2969" s="100">
        <v>98.059875901803593</v>
      </c>
      <c r="D2969" s="100">
        <v>93.127524140030729</v>
      </c>
      <c r="E2969" s="100">
        <v>94.4470438403836</v>
      </c>
      <c r="F2969" s="100">
        <v>-2741.2786104066654</v>
      </c>
      <c r="G2969" s="100">
        <v>225.02040723778549</v>
      </c>
      <c r="H2969" s="100">
        <v>-622.88806908824768</v>
      </c>
      <c r="I2969" s="100">
        <v>-1066.4041856823728</v>
      </c>
      <c r="J2969" s="100">
        <v>-4205.5504579395001</v>
      </c>
    </row>
    <row r="2970" spans="1:10" x14ac:dyDescent="0.25">
      <c r="A2970">
        <v>2953</v>
      </c>
      <c r="B2970" s="100">
        <v>89.300511156266722</v>
      </c>
      <c r="C2970" s="100">
        <v>99.925365311698073</v>
      </c>
      <c r="D2970" s="100">
        <v>92.545549721921461</v>
      </c>
      <c r="E2970" s="100">
        <v>94.483832153607935</v>
      </c>
      <c r="F2970" s="100">
        <v>835.32978802934531</v>
      </c>
      <c r="G2970" s="100">
        <v>-2573.2137076039335</v>
      </c>
      <c r="H2970" s="100">
        <v>541.06076713028983</v>
      </c>
      <c r="I2970" s="100">
        <v>-1103.1924989067079</v>
      </c>
      <c r="J2970" s="100">
        <v>-2300.0156513510065</v>
      </c>
    </row>
    <row r="2971" spans="1:10" x14ac:dyDescent="0.25">
      <c r="A2971">
        <v>2954</v>
      </c>
      <c r="B2971" s="100">
        <v>89.029366339824747</v>
      </c>
      <c r="C2971" s="100">
        <v>99.222935881744661</v>
      </c>
      <c r="D2971" s="100">
        <v>91.684195749022365</v>
      </c>
      <c r="E2971" s="100">
        <v>94.455366466420131</v>
      </c>
      <c r="F2971" s="100">
        <v>1730.1076822878626</v>
      </c>
      <c r="G2971" s="100">
        <v>-1519.5695626738157</v>
      </c>
      <c r="H2971" s="100">
        <v>2263.7687129284814</v>
      </c>
      <c r="I2971" s="100">
        <v>-1074.7268117189037</v>
      </c>
      <c r="J2971" s="100">
        <v>1399.5800208236246</v>
      </c>
    </row>
    <row r="2972" spans="1:10" x14ac:dyDescent="0.25">
      <c r="A2972">
        <v>2955</v>
      </c>
      <c r="B2972" s="100">
        <v>89.33915130506638</v>
      </c>
      <c r="C2972" s="100">
        <v>98.439195470380653</v>
      </c>
      <c r="D2972" s="100">
        <v>93.126742166640298</v>
      </c>
      <c r="E2972" s="100">
        <v>93.961589784680285</v>
      </c>
      <c r="F2972" s="100">
        <v>707.81729699047423</v>
      </c>
      <c r="G2972" s="100">
        <v>-343.95894562780427</v>
      </c>
      <c r="H2972" s="100">
        <v>-621.3241223073851</v>
      </c>
      <c r="I2972" s="100">
        <v>-580.95012997905826</v>
      </c>
      <c r="J2972" s="100">
        <v>-838.41590092377339</v>
      </c>
    </row>
    <row r="2973" spans="1:10" x14ac:dyDescent="0.25">
      <c r="A2973">
        <v>2956</v>
      </c>
      <c r="B2973" s="100">
        <v>89.472460462909879</v>
      </c>
      <c r="C2973" s="100">
        <v>98.248734820068705</v>
      </c>
      <c r="D2973" s="100">
        <v>91.203872144053832</v>
      </c>
      <c r="E2973" s="100">
        <v>92.377688777780591</v>
      </c>
      <c r="F2973" s="100">
        <v>267.89707610692801</v>
      </c>
      <c r="G2973" s="100">
        <v>-58.267970159882054</v>
      </c>
      <c r="H2973" s="100">
        <v>3224.4159228655462</v>
      </c>
      <c r="I2973" s="100">
        <v>1002.9508769206359</v>
      </c>
      <c r="J2973" s="100">
        <v>4436.995905733228</v>
      </c>
    </row>
    <row r="2974" spans="1:10" x14ac:dyDescent="0.25">
      <c r="A2974">
        <v>2957</v>
      </c>
      <c r="B2974" s="100">
        <v>90.226706272215552</v>
      </c>
      <c r="C2974" s="100">
        <v>97.044666552555384</v>
      </c>
      <c r="D2974" s="100">
        <v>94.513021306748371</v>
      </c>
      <c r="E2974" s="100">
        <v>94.819415190347343</v>
      </c>
      <c r="F2974" s="100">
        <v>-2221.1140946017904</v>
      </c>
      <c r="G2974" s="100">
        <v>1747.8344311100998</v>
      </c>
      <c r="H2974" s="100">
        <v>-3393.8824025235308</v>
      </c>
      <c r="I2974" s="100">
        <v>-1438.7755356461157</v>
      </c>
      <c r="J2974" s="100">
        <v>-5305.9376016613369</v>
      </c>
    </row>
    <row r="2975" spans="1:10" x14ac:dyDescent="0.25">
      <c r="A2975">
        <v>2958</v>
      </c>
      <c r="B2975" s="100">
        <v>89.117602762464799</v>
      </c>
      <c r="C2975" s="100">
        <v>98.457134599221234</v>
      </c>
      <c r="D2975" s="100">
        <v>92.985723628178107</v>
      </c>
      <c r="E2975" s="100">
        <v>91.367526342932351</v>
      </c>
      <c r="F2975" s="100">
        <v>1438.9274875756939</v>
      </c>
      <c r="G2975" s="100">
        <v>-370.8676388886758</v>
      </c>
      <c r="H2975" s="100">
        <v>-339.28704538300281</v>
      </c>
      <c r="I2975" s="100">
        <v>2013.1133117688762</v>
      </c>
      <c r="J2975" s="100">
        <v>2741.8861150728917</v>
      </c>
    </row>
    <row r="2976" spans="1:10" x14ac:dyDescent="0.25">
      <c r="A2976">
        <v>2959</v>
      </c>
      <c r="B2976" s="100">
        <v>89.361688565677341</v>
      </c>
      <c r="C2976" s="100">
        <v>98.455938755463904</v>
      </c>
      <c r="D2976" s="100">
        <v>92.694862572602673</v>
      </c>
      <c r="E2976" s="100">
        <v>94.755596439546565</v>
      </c>
      <c r="F2976" s="100">
        <v>633.44433697430554</v>
      </c>
      <c r="G2976" s="100">
        <v>-369.07387325268104</v>
      </c>
      <c r="H2976" s="100">
        <v>242.43506576786444</v>
      </c>
      <c r="I2976" s="100">
        <v>-1374.956784845338</v>
      </c>
      <c r="J2976" s="100">
        <v>-868.15125535584912</v>
      </c>
    </row>
    <row r="2977" spans="1:10" x14ac:dyDescent="0.25">
      <c r="A2977">
        <v>2960</v>
      </c>
      <c r="B2977" s="100">
        <v>89.83656855027364</v>
      </c>
      <c r="C2977" s="100">
        <v>98.086133377414654</v>
      </c>
      <c r="D2977" s="100">
        <v>94.416929490152228</v>
      </c>
      <c r="E2977" s="100">
        <v>92.281287104774563</v>
      </c>
      <c r="F2977" s="100">
        <v>-933.65961219348173</v>
      </c>
      <c r="G2977" s="100">
        <v>185.63419382119406</v>
      </c>
      <c r="H2977" s="100">
        <v>-3201.6987693312444</v>
      </c>
      <c r="I2977" s="100">
        <v>1099.3525499266639</v>
      </c>
      <c r="J2977" s="100">
        <v>-2850.3716377768683</v>
      </c>
    </row>
    <row r="2978" spans="1:10" x14ac:dyDescent="0.25">
      <c r="A2978">
        <v>2961</v>
      </c>
      <c r="B2978" s="100">
        <v>89.144640847874555</v>
      </c>
      <c r="C2978" s="100">
        <v>99.449816864425983</v>
      </c>
      <c r="D2978" s="100">
        <v>93.696831977000699</v>
      </c>
      <c r="E2978" s="100">
        <v>96.050783823154774</v>
      </c>
      <c r="F2978" s="100">
        <v>1349.7018057234968</v>
      </c>
      <c r="G2978" s="100">
        <v>-1859.8910366957994</v>
      </c>
      <c r="H2978" s="100">
        <v>-1761.5037430281859</v>
      </c>
      <c r="I2978" s="100">
        <v>-2670.1441684535466</v>
      </c>
      <c r="J2978" s="100">
        <v>-4941.8371424540346</v>
      </c>
    </row>
    <row r="2979" spans="1:10" x14ac:dyDescent="0.25">
      <c r="A2979">
        <v>2962</v>
      </c>
      <c r="B2979" s="100">
        <v>89.580411334854873</v>
      </c>
      <c r="C2979" s="100">
        <v>97.912532542887519</v>
      </c>
      <c r="D2979" s="100">
        <v>93.463810975314999</v>
      </c>
      <c r="E2979" s="100">
        <v>94.034371360083554</v>
      </c>
      <c r="F2979" s="100">
        <v>-88.34080131154991</v>
      </c>
      <c r="G2979" s="100">
        <v>446.03544561189779</v>
      </c>
      <c r="H2979" s="100">
        <v>-1295.4617396567869</v>
      </c>
      <c r="I2979" s="100">
        <v>-653.73170538232728</v>
      </c>
      <c r="J2979" s="100">
        <v>-1591.4988007387665</v>
      </c>
    </row>
    <row r="2980" spans="1:10" x14ac:dyDescent="0.25">
      <c r="A2980">
        <v>2963</v>
      </c>
      <c r="B2980" s="100">
        <v>89.995915864472693</v>
      </c>
      <c r="C2980" s="100">
        <v>98.633307997752553</v>
      </c>
      <c r="D2980" s="100">
        <v>94.471110168322312</v>
      </c>
      <c r="E2980" s="100">
        <v>91.232679341788014</v>
      </c>
      <c r="F2980" s="100">
        <v>-1459.5057490503564</v>
      </c>
      <c r="G2980" s="100">
        <v>-635.12773668565364</v>
      </c>
      <c r="H2980" s="100">
        <v>-3310.0601256714126</v>
      </c>
      <c r="I2980" s="100">
        <v>2147.9603129132129</v>
      </c>
      <c r="J2980" s="100">
        <v>-3256.7332984942095</v>
      </c>
    </row>
    <row r="2981" spans="1:10" x14ac:dyDescent="0.25">
      <c r="A2981">
        <v>2964</v>
      </c>
      <c r="B2981" s="100">
        <v>89.589087142647884</v>
      </c>
      <c r="C2981" s="100">
        <v>97.70136464560224</v>
      </c>
      <c r="D2981" s="100">
        <v>92.471409130149524</v>
      </c>
      <c r="E2981" s="100">
        <v>92.553035621079815</v>
      </c>
      <c r="F2981" s="100">
        <v>-116.97096702848739</v>
      </c>
      <c r="G2981" s="100">
        <v>762.78729153981567</v>
      </c>
      <c r="H2981" s="100">
        <v>689.34195067416226</v>
      </c>
      <c r="I2981" s="100">
        <v>827.60403362141233</v>
      </c>
      <c r="J2981" s="100">
        <v>2162.7623088069031</v>
      </c>
    </row>
    <row r="2982" spans="1:10" x14ac:dyDescent="0.25">
      <c r="A2982">
        <v>2965</v>
      </c>
      <c r="B2982" s="100">
        <v>89.574860358485523</v>
      </c>
      <c r="C2982" s="100">
        <v>98.319668849277136</v>
      </c>
      <c r="D2982" s="100">
        <v>93.261700187376817</v>
      </c>
      <c r="E2982" s="100">
        <v>92.195877705037603</v>
      </c>
      <c r="F2982" s="100">
        <v>-70.022579292697174</v>
      </c>
      <c r="G2982" s="100">
        <v>-164.66901397252798</v>
      </c>
      <c r="H2982" s="100">
        <v>-891.2401637804237</v>
      </c>
      <c r="I2982" s="100">
        <v>1184.7619496636241</v>
      </c>
      <c r="J2982" s="100">
        <v>58.830192617975399</v>
      </c>
    </row>
    <row r="2983" spans="1:10" x14ac:dyDescent="0.25">
      <c r="A2983">
        <v>2966</v>
      </c>
      <c r="B2983" s="100">
        <v>89.664770583075367</v>
      </c>
      <c r="C2983" s="100">
        <v>98.801226439280441</v>
      </c>
      <c r="D2983" s="100">
        <v>92.808578524396637</v>
      </c>
      <c r="E2983" s="100">
        <v>90.558602294883542</v>
      </c>
      <c r="F2983" s="100">
        <v>-366.72632043918014</v>
      </c>
      <c r="G2983" s="100">
        <v>-887.00539897748604</v>
      </c>
      <c r="H2983" s="100">
        <v>15.003162179937135</v>
      </c>
      <c r="I2983" s="100">
        <v>2822.0373598176848</v>
      </c>
      <c r="J2983" s="100">
        <v>1583.3088025809557</v>
      </c>
    </row>
    <row r="2984" spans="1:10" x14ac:dyDescent="0.25">
      <c r="A2984">
        <v>2967</v>
      </c>
      <c r="B2984" s="100">
        <v>89.087228388579234</v>
      </c>
      <c r="C2984" s="100">
        <v>98.769929254308465</v>
      </c>
      <c r="D2984" s="100">
        <v>93.878203721644425</v>
      </c>
      <c r="E2984" s="100">
        <v>91.091361761161949</v>
      </c>
      <c r="F2984" s="100">
        <v>1539.1629213980564</v>
      </c>
      <c r="G2984" s="100">
        <v>-840.05962151952212</v>
      </c>
      <c r="H2984" s="100">
        <v>-2124.2472323156389</v>
      </c>
      <c r="I2984" s="100">
        <v>2289.2778935392785</v>
      </c>
      <c r="J2984" s="100">
        <v>864.13396110217377</v>
      </c>
    </row>
    <row r="2985" spans="1:10" x14ac:dyDescent="0.25">
      <c r="A2985">
        <v>2968</v>
      </c>
      <c r="B2985" s="100">
        <v>90.27510757787131</v>
      </c>
      <c r="C2985" s="100">
        <v>98.997891118988363</v>
      </c>
      <c r="D2985" s="100">
        <v>91.070752880208005</v>
      </c>
      <c r="E2985" s="100">
        <v>94.491443976584577</v>
      </c>
      <c r="F2985" s="100">
        <v>-2380.8384032657941</v>
      </c>
      <c r="G2985" s="100">
        <v>-1182.002418539369</v>
      </c>
      <c r="H2985" s="100">
        <v>3490.6544505572015</v>
      </c>
      <c r="I2985" s="100">
        <v>-1110.80432188335</v>
      </c>
      <c r="J2985" s="100">
        <v>-1182.9906931313117</v>
      </c>
    </row>
    <row r="2986" spans="1:10" x14ac:dyDescent="0.25">
      <c r="A2986">
        <v>2969</v>
      </c>
      <c r="B2986" s="100">
        <v>89.954974023502615</v>
      </c>
      <c r="C2986" s="100">
        <v>98.766084913083162</v>
      </c>
      <c r="D2986" s="100">
        <v>92.638967523488205</v>
      </c>
      <c r="E2986" s="100">
        <v>93.679323701849924</v>
      </c>
      <c r="F2986" s="100">
        <v>-1324.3976738491001</v>
      </c>
      <c r="G2986" s="100">
        <v>-834.29310968156756</v>
      </c>
      <c r="H2986" s="100">
        <v>354.22516399680148</v>
      </c>
      <c r="I2986" s="100">
        <v>-298.68404714869712</v>
      </c>
      <c r="J2986" s="100">
        <v>-2103.1496666825633</v>
      </c>
    </row>
    <row r="2987" spans="1:10" x14ac:dyDescent="0.25">
      <c r="A2987">
        <v>2970</v>
      </c>
      <c r="B2987" s="100">
        <v>88.812900844171949</v>
      </c>
      <c r="C2987" s="100">
        <v>96.946095323869358</v>
      </c>
      <c r="D2987" s="100">
        <v>89.929562999060707</v>
      </c>
      <c r="E2987" s="100">
        <v>92.62480785950477</v>
      </c>
      <c r="F2987" s="100">
        <v>2444.4438179420972</v>
      </c>
      <c r="G2987" s="100">
        <v>1895.6912741391393</v>
      </c>
      <c r="H2987" s="100">
        <v>5773.0342128517977</v>
      </c>
      <c r="I2987" s="100">
        <v>755.83179519645682</v>
      </c>
      <c r="J2987" s="100">
        <v>10869.001100129492</v>
      </c>
    </row>
    <row r="2988" spans="1:10" x14ac:dyDescent="0.25">
      <c r="A2988">
        <v>2971</v>
      </c>
      <c r="B2988" s="100">
        <v>88.839154584078614</v>
      </c>
      <c r="C2988" s="100">
        <v>98.176104131779439</v>
      </c>
      <c r="D2988" s="100">
        <v>92.71054854547215</v>
      </c>
      <c r="E2988" s="100">
        <v>92.848200833694349</v>
      </c>
      <c r="F2988" s="100">
        <v>2357.8064762501044</v>
      </c>
      <c r="G2988" s="100">
        <v>50.678062274016611</v>
      </c>
      <c r="H2988" s="100">
        <v>211.06312002891059</v>
      </c>
      <c r="I2988" s="100">
        <v>532.43882100687756</v>
      </c>
      <c r="J2988" s="100">
        <v>3151.9864795599087</v>
      </c>
    </row>
    <row r="2989" spans="1:10" x14ac:dyDescent="0.25">
      <c r="A2989">
        <v>2972</v>
      </c>
      <c r="B2989" s="100">
        <v>89.705544677290121</v>
      </c>
      <c r="C2989" s="100">
        <v>97.275929808347868</v>
      </c>
      <c r="D2989" s="100">
        <v>92.471910525094145</v>
      </c>
      <c r="E2989" s="100">
        <v>95.703501100672497</v>
      </c>
      <c r="F2989" s="100">
        <v>-501.28083134786863</v>
      </c>
      <c r="G2989" s="100">
        <v>1400.9395474213734</v>
      </c>
      <c r="H2989" s="100">
        <v>688.33916078492052</v>
      </c>
      <c r="I2989" s="100">
        <v>-2322.8614459712703</v>
      </c>
      <c r="J2989" s="100">
        <v>-734.86356911284497</v>
      </c>
    </row>
    <row r="2990" spans="1:10" x14ac:dyDescent="0.25">
      <c r="A2990">
        <v>2973</v>
      </c>
      <c r="B2990" s="100">
        <v>89.890235492753746</v>
      </c>
      <c r="C2990" s="100">
        <v>99.066589567858074</v>
      </c>
      <c r="D2990" s="100">
        <v>92.578975182842854</v>
      </c>
      <c r="E2990" s="100">
        <v>94.741928149891152</v>
      </c>
      <c r="F2990" s="100">
        <v>-1110.7605223778321</v>
      </c>
      <c r="G2990" s="100">
        <v>-1285.0500918439352</v>
      </c>
      <c r="H2990" s="100">
        <v>474.20984528750409</v>
      </c>
      <c r="I2990" s="100">
        <v>-1361.2884951899246</v>
      </c>
      <c r="J2990" s="100">
        <v>-3282.8892641241882</v>
      </c>
    </row>
    <row r="2991" spans="1:10" x14ac:dyDescent="0.25">
      <c r="A2991">
        <v>2974</v>
      </c>
      <c r="B2991" s="100">
        <v>89.784380322763255</v>
      </c>
      <c r="C2991" s="100">
        <v>97.939083300946649</v>
      </c>
      <c r="D2991" s="100">
        <v>92.843229156451784</v>
      </c>
      <c r="E2991" s="100">
        <v>94.28595012042328</v>
      </c>
      <c r="F2991" s="100">
        <v>-761.43846140921164</v>
      </c>
      <c r="G2991" s="100">
        <v>406.20930852320214</v>
      </c>
      <c r="H2991" s="100">
        <v>-54.298101930356779</v>
      </c>
      <c r="I2991" s="100">
        <v>-905.31046572205298</v>
      </c>
      <c r="J2991" s="100">
        <v>-1314.8377205384193</v>
      </c>
    </row>
    <row r="2992" spans="1:10" x14ac:dyDescent="0.25">
      <c r="A2992">
        <v>2975</v>
      </c>
      <c r="B2992" s="100">
        <v>89.850438411532807</v>
      </c>
      <c r="C2992" s="100">
        <v>99.427340503086327</v>
      </c>
      <c r="D2992" s="100">
        <v>91.230237228738247</v>
      </c>
      <c r="E2992" s="100">
        <v>94.589687231027369</v>
      </c>
      <c r="F2992" s="100">
        <v>-979.43015434873223</v>
      </c>
      <c r="G2992" s="100">
        <v>-1826.1764946863152</v>
      </c>
      <c r="H2992" s="100">
        <v>3171.6857534967176</v>
      </c>
      <c r="I2992" s="100">
        <v>-1209.0475763261425</v>
      </c>
      <c r="J2992" s="100">
        <v>-842.96847186447258</v>
      </c>
    </row>
    <row r="2993" spans="1:10" x14ac:dyDescent="0.25">
      <c r="A2993">
        <v>2976</v>
      </c>
      <c r="B2993" s="100">
        <v>89.845325302890927</v>
      </c>
      <c r="C2993" s="100">
        <v>98.117117528917746</v>
      </c>
      <c r="D2993" s="100">
        <v>91.965707053348623</v>
      </c>
      <c r="E2993" s="100">
        <v>91.996460093443517</v>
      </c>
      <c r="F2993" s="100">
        <v>-962.55689583053083</v>
      </c>
      <c r="G2993" s="100">
        <v>139.15796656655743</v>
      </c>
      <c r="H2993" s="100">
        <v>1700.7461042759644</v>
      </c>
      <c r="I2993" s="100">
        <v>1384.1795612577102</v>
      </c>
      <c r="J2993" s="100">
        <v>2261.5267362697014</v>
      </c>
    </row>
    <row r="2994" spans="1:10" x14ac:dyDescent="0.25">
      <c r="A2994">
        <v>2977</v>
      </c>
      <c r="B2994" s="100">
        <v>89.502544685806058</v>
      </c>
      <c r="C2994" s="100">
        <v>97.655082374095358</v>
      </c>
      <c r="D2994" s="100">
        <v>93.929779808933645</v>
      </c>
      <c r="E2994" s="100">
        <v>93.47593396097831</v>
      </c>
      <c r="F2994" s="100">
        <v>168.61914054953928</v>
      </c>
      <c r="G2994" s="100">
        <v>832.21069880013943</v>
      </c>
      <c r="H2994" s="100">
        <v>-2227.3994068940792</v>
      </c>
      <c r="I2994" s="100">
        <v>-95.294306277082796</v>
      </c>
      <c r="J2994" s="100">
        <v>-1321.8638738214834</v>
      </c>
    </row>
    <row r="2995" spans="1:10" x14ac:dyDescent="0.25">
      <c r="A2995">
        <v>2978</v>
      </c>
      <c r="B2995" s="100">
        <v>89.931761660094196</v>
      </c>
      <c r="C2995" s="100">
        <v>99.664340886573669</v>
      </c>
      <c r="D2995" s="100">
        <v>91.626109257094242</v>
      </c>
      <c r="E2995" s="100">
        <v>91.883896017950306</v>
      </c>
      <c r="F2995" s="100">
        <v>-1247.7968746013175</v>
      </c>
      <c r="G2995" s="100">
        <v>-2181.6770699173276</v>
      </c>
      <c r="H2995" s="100">
        <v>2379.9416967847264</v>
      </c>
      <c r="I2995" s="100">
        <v>1496.7436367509208</v>
      </c>
      <c r="J2995" s="100">
        <v>447.21138901700215</v>
      </c>
    </row>
    <row r="2996" spans="1:10" x14ac:dyDescent="0.25">
      <c r="A2996">
        <v>2979</v>
      </c>
      <c r="B2996" s="100">
        <v>89.785828312905153</v>
      </c>
      <c r="C2996" s="100">
        <v>97.992362133995442</v>
      </c>
      <c r="D2996" s="100">
        <v>94.235871953225015</v>
      </c>
      <c r="E2996" s="100">
        <v>95.243809865199012</v>
      </c>
      <c r="F2996" s="100">
        <v>-766.21682887747511</v>
      </c>
      <c r="G2996" s="100">
        <v>326.29105895001231</v>
      </c>
      <c r="H2996" s="100">
        <v>-2839.5836954768183</v>
      </c>
      <c r="I2996" s="100">
        <v>-1863.1702104977849</v>
      </c>
      <c r="J2996" s="100">
        <v>-5142.6796759020654</v>
      </c>
    </row>
    <row r="2997" spans="1:10" x14ac:dyDescent="0.25">
      <c r="A2997">
        <v>2980</v>
      </c>
      <c r="B2997" s="100">
        <v>89.964860588266589</v>
      </c>
      <c r="C2997" s="100">
        <v>97.99536695675026</v>
      </c>
      <c r="D2997" s="100">
        <v>94.610920765757683</v>
      </c>
      <c r="E2997" s="100">
        <v>91.332320824131472</v>
      </c>
      <c r="F2997" s="100">
        <v>-1357.0233375702146</v>
      </c>
      <c r="G2997" s="100">
        <v>321.78382481778556</v>
      </c>
      <c r="H2997" s="100">
        <v>-3589.6813205421549</v>
      </c>
      <c r="I2997" s="100">
        <v>2048.3188305697554</v>
      </c>
      <c r="J2997" s="100">
        <v>-2576.6020027248283</v>
      </c>
    </row>
    <row r="2998" spans="1:10" x14ac:dyDescent="0.25">
      <c r="A2998">
        <v>2981</v>
      </c>
      <c r="B2998" s="100">
        <v>89.354868243482031</v>
      </c>
      <c r="C2998" s="100">
        <v>98.621882358260436</v>
      </c>
      <c r="D2998" s="100">
        <v>92.967188108189859</v>
      </c>
      <c r="E2998" s="100">
        <v>93.234216237890038</v>
      </c>
      <c r="F2998" s="100">
        <v>655.95140021882798</v>
      </c>
      <c r="G2998" s="100">
        <v>-617.989277447478</v>
      </c>
      <c r="H2998" s="100">
        <v>-302.21600540650684</v>
      </c>
      <c r="I2998" s="100">
        <v>146.42341681118864</v>
      </c>
      <c r="J2998" s="100">
        <v>-117.83046582396821</v>
      </c>
    </row>
    <row r="2999" spans="1:10" x14ac:dyDescent="0.25">
      <c r="A2999">
        <v>2982</v>
      </c>
      <c r="B2999" s="100">
        <v>88.82081619930851</v>
      </c>
      <c r="C2999" s="100">
        <v>99.169487611863303</v>
      </c>
      <c r="D2999" s="100">
        <v>91.598324542285965</v>
      </c>
      <c r="E2999" s="100">
        <v>91.552732860991199</v>
      </c>
      <c r="F2999" s="100">
        <v>2418.3231459914468</v>
      </c>
      <c r="G2999" s="100">
        <v>-1439.3971578517792</v>
      </c>
      <c r="H2999" s="100">
        <v>2435.5111264012803</v>
      </c>
      <c r="I2999" s="100">
        <v>1827.9067937100281</v>
      </c>
      <c r="J2999" s="100">
        <v>5242.3439082509758</v>
      </c>
    </row>
    <row r="3000" spans="1:10" x14ac:dyDescent="0.25">
      <c r="A3000">
        <v>2983</v>
      </c>
      <c r="B3000" s="100">
        <v>89.013240580803995</v>
      </c>
      <c r="C3000" s="100">
        <v>99.25278780264</v>
      </c>
      <c r="D3000" s="100">
        <v>90.329851143212522</v>
      </c>
      <c r="E3000" s="100">
        <v>93.566959050548917</v>
      </c>
      <c r="F3000" s="100">
        <v>1783.3226870563465</v>
      </c>
      <c r="G3000" s="100">
        <v>-1564.3474440168247</v>
      </c>
      <c r="H3000" s="100">
        <v>4972.4579245481664</v>
      </c>
      <c r="I3000" s="100">
        <v>-186.31939584768986</v>
      </c>
      <c r="J3000" s="100">
        <v>5005.1137717399988</v>
      </c>
    </row>
    <row r="3001" spans="1:10" x14ac:dyDescent="0.25">
      <c r="A3001">
        <v>2984</v>
      </c>
      <c r="B3001" s="100">
        <v>90.324303276245189</v>
      </c>
      <c r="C3001" s="100">
        <v>98.619712924538149</v>
      </c>
      <c r="D3001" s="100">
        <v>92.123485578008243</v>
      </c>
      <c r="E3001" s="100">
        <v>94.59347623261624</v>
      </c>
      <c r="F3001" s="100">
        <v>-2543.1842078995942</v>
      </c>
      <c r="G3001" s="100">
        <v>-614.73512686404774</v>
      </c>
      <c r="H3001" s="100">
        <v>1385.1890549567258</v>
      </c>
      <c r="I3001" s="100">
        <v>-1212.8365779150131</v>
      </c>
      <c r="J3001" s="100">
        <v>-2985.5668577219294</v>
      </c>
    </row>
    <row r="3002" spans="1:10" x14ac:dyDescent="0.25">
      <c r="A3002">
        <v>2985</v>
      </c>
      <c r="B3002" s="100">
        <v>89.521550103899699</v>
      </c>
      <c r="C3002" s="100">
        <v>98.782985524244395</v>
      </c>
      <c r="D3002" s="100">
        <v>93.558112988151521</v>
      </c>
      <c r="E3002" s="100">
        <v>93.672868352407249</v>
      </c>
      <c r="F3002" s="100">
        <v>105.90126084052258</v>
      </c>
      <c r="G3002" s="100">
        <v>-859.64402642341747</v>
      </c>
      <c r="H3002" s="100">
        <v>-1484.0657653298308</v>
      </c>
      <c r="I3002" s="100">
        <v>-292.22869770602244</v>
      </c>
      <c r="J3002" s="100">
        <v>-2530.037228618748</v>
      </c>
    </row>
    <row r="3003" spans="1:10" x14ac:dyDescent="0.25">
      <c r="A3003">
        <v>2986</v>
      </c>
      <c r="B3003" s="100">
        <v>89.181998071822775</v>
      </c>
      <c r="C3003" s="100">
        <v>97.868305656825171</v>
      </c>
      <c r="D3003" s="100">
        <v>93.100924206181048</v>
      </c>
      <c r="E3003" s="100">
        <v>93.428491799884924</v>
      </c>
      <c r="F3003" s="100">
        <v>1226.4229666943706</v>
      </c>
      <c r="G3003" s="100">
        <v>512.37577470541851</v>
      </c>
      <c r="H3003" s="100">
        <v>-569.68820138888532</v>
      </c>
      <c r="I3003" s="100">
        <v>-47.852145183696848</v>
      </c>
      <c r="J3003" s="100">
        <v>1121.258394827207</v>
      </c>
    </row>
    <row r="3004" spans="1:10" x14ac:dyDescent="0.25">
      <c r="A3004">
        <v>2987</v>
      </c>
      <c r="B3004" s="100">
        <v>89.28243302711202</v>
      </c>
      <c r="C3004" s="100">
        <v>98.51646608041689</v>
      </c>
      <c r="D3004" s="100">
        <v>91.910289168010181</v>
      </c>
      <c r="E3004" s="100">
        <v>90.838024284074393</v>
      </c>
      <c r="F3004" s="100">
        <v>894.9876142398623</v>
      </c>
      <c r="G3004" s="100">
        <v>-459.86486068215982</v>
      </c>
      <c r="H3004" s="100">
        <v>1811.5818749528501</v>
      </c>
      <c r="I3004" s="100">
        <v>2542.6153706268337</v>
      </c>
      <c r="J3004" s="100">
        <v>4789.3199991373858</v>
      </c>
    </row>
    <row r="3005" spans="1:10" x14ac:dyDescent="0.25">
      <c r="A3005">
        <v>2988</v>
      </c>
      <c r="B3005" s="100">
        <v>90.237172782470708</v>
      </c>
      <c r="C3005" s="100">
        <v>97.953522235909261</v>
      </c>
      <c r="D3005" s="100">
        <v>93.622293482651955</v>
      </c>
      <c r="E3005" s="100">
        <v>91.195371615883374</v>
      </c>
      <c r="F3005" s="100">
        <v>-2255.653578443807</v>
      </c>
      <c r="G3005" s="100">
        <v>384.55090607928355</v>
      </c>
      <c r="H3005" s="100">
        <v>-1612.4267543306985</v>
      </c>
      <c r="I3005" s="100">
        <v>2185.2680388178528</v>
      </c>
      <c r="J3005" s="100">
        <v>-1298.2613878773691</v>
      </c>
    </row>
    <row r="3006" spans="1:10" x14ac:dyDescent="0.25">
      <c r="A3006">
        <v>2989</v>
      </c>
      <c r="B3006" s="100">
        <v>89.752989557724206</v>
      </c>
      <c r="C3006" s="100">
        <v>97.564152179308849</v>
      </c>
      <c r="D3006" s="100">
        <v>93.135433259348034</v>
      </c>
      <c r="E3006" s="100">
        <v>92.2002000115409</v>
      </c>
      <c r="F3006" s="100">
        <v>-657.84893678034996</v>
      </c>
      <c r="G3006" s="100">
        <v>968.6059909799028</v>
      </c>
      <c r="H3006" s="100">
        <v>-638.70630772285608</v>
      </c>
      <c r="I3006" s="100">
        <v>1180.4396431603266</v>
      </c>
      <c r="J3006" s="100">
        <v>852.49038963702333</v>
      </c>
    </row>
    <row r="3007" spans="1:10" x14ac:dyDescent="0.25">
      <c r="A3007">
        <v>2990</v>
      </c>
      <c r="B3007" s="100">
        <v>89.151825321169284</v>
      </c>
      <c r="C3007" s="100">
        <v>98.198071921547935</v>
      </c>
      <c r="D3007" s="100">
        <v>92.044839335910822</v>
      </c>
      <c r="E3007" s="100">
        <v>94.668405698363372</v>
      </c>
      <c r="F3007" s="100">
        <v>1325.9930438508932</v>
      </c>
      <c r="G3007" s="100">
        <v>17.726377621272604</v>
      </c>
      <c r="H3007" s="100">
        <v>1542.4815391515665</v>
      </c>
      <c r="I3007" s="100">
        <v>-1287.7660436621454</v>
      </c>
      <c r="J3007" s="100">
        <v>1598.4349169615871</v>
      </c>
    </row>
    <row r="3008" spans="1:10" x14ac:dyDescent="0.25">
      <c r="A3008">
        <v>2991</v>
      </c>
      <c r="B3008" s="100">
        <v>89.769756271058043</v>
      </c>
      <c r="C3008" s="100">
        <v>97.699371867801332</v>
      </c>
      <c r="D3008" s="100">
        <v>94.393290439868906</v>
      </c>
      <c r="E3008" s="100">
        <v>93.825994189235246</v>
      </c>
      <c r="F3008" s="100">
        <v>-713.17909078201183</v>
      </c>
      <c r="G3008" s="100">
        <v>765.77645824117724</v>
      </c>
      <c r="H3008" s="100">
        <v>-3154.420668764601</v>
      </c>
      <c r="I3008" s="100">
        <v>-445.35453453401885</v>
      </c>
      <c r="J3008" s="100">
        <v>-3547.1778358394545</v>
      </c>
    </row>
    <row r="3009" spans="1:10" x14ac:dyDescent="0.25">
      <c r="A3009">
        <v>2992</v>
      </c>
      <c r="B3009" s="100">
        <v>89.344335562923419</v>
      </c>
      <c r="C3009" s="100">
        <v>97.188553405334233</v>
      </c>
      <c r="D3009" s="100">
        <v>92.792908135531633</v>
      </c>
      <c r="E3009" s="100">
        <v>96.140777690396192</v>
      </c>
      <c r="F3009" s="100">
        <v>690.70924606224651</v>
      </c>
      <c r="G3009" s="100">
        <v>1532.0041519418269</v>
      </c>
      <c r="H3009" s="100">
        <v>46.343939909945675</v>
      </c>
      <c r="I3009" s="100">
        <v>-2760.1380356949649</v>
      </c>
      <c r="J3009" s="100">
        <v>-491.08069778094568</v>
      </c>
    </row>
    <row r="3010" spans="1:10" x14ac:dyDescent="0.25">
      <c r="A3010">
        <v>2993</v>
      </c>
      <c r="B3010" s="100">
        <v>90.456235473804867</v>
      </c>
      <c r="C3010" s="100">
        <v>97.149800356309953</v>
      </c>
      <c r="D3010" s="100">
        <v>91.986995163767531</v>
      </c>
      <c r="E3010" s="100">
        <v>95.696773639938243</v>
      </c>
      <c r="F3010" s="100">
        <v>-2978.5604598465311</v>
      </c>
      <c r="G3010" s="100">
        <v>1590.1337254782461</v>
      </c>
      <c r="H3010" s="100">
        <v>1658.1698834381484</v>
      </c>
      <c r="I3010" s="100">
        <v>-2316.1339852370161</v>
      </c>
      <c r="J3010" s="100">
        <v>-2046.3908361671527</v>
      </c>
    </row>
    <row r="3011" spans="1:10" x14ac:dyDescent="0.25">
      <c r="A3011">
        <v>2994</v>
      </c>
      <c r="B3011" s="100">
        <v>89.289179020796013</v>
      </c>
      <c r="C3011" s="100">
        <v>98.388009225204399</v>
      </c>
      <c r="D3011" s="100">
        <v>90.245059074771021</v>
      </c>
      <c r="E3011" s="100">
        <v>94.889719346341991</v>
      </c>
      <c r="F3011" s="100">
        <v>872.72583508268724</v>
      </c>
      <c r="G3011" s="100">
        <v>-267.17957786342339</v>
      </c>
      <c r="H3011" s="100">
        <v>5142.0420614311697</v>
      </c>
      <c r="I3011" s="100">
        <v>-1509.0796916407639</v>
      </c>
      <c r="J3011" s="100">
        <v>4238.508627009669</v>
      </c>
    </row>
    <row r="3012" spans="1:10" x14ac:dyDescent="0.25">
      <c r="A3012">
        <v>2995</v>
      </c>
      <c r="B3012" s="100">
        <v>89.17455623419697</v>
      </c>
      <c r="C3012" s="100">
        <v>99.108273842422506</v>
      </c>
      <c r="D3012" s="100">
        <v>93.964677489589647</v>
      </c>
      <c r="E3012" s="100">
        <v>93.991399906548253</v>
      </c>
      <c r="F3012" s="100">
        <v>1250.9810308595277</v>
      </c>
      <c r="G3012" s="100">
        <v>-1347.5765036905827</v>
      </c>
      <c r="H3012" s="100">
        <v>-2297.1947682060827</v>
      </c>
      <c r="I3012" s="100">
        <v>-610.76025184702587</v>
      </c>
      <c r="J3012" s="100">
        <v>-3004.5504928841638</v>
      </c>
    </row>
    <row r="3013" spans="1:10" x14ac:dyDescent="0.25">
      <c r="A3013">
        <v>2996</v>
      </c>
      <c r="B3013" s="100">
        <v>89.449504610662302</v>
      </c>
      <c r="C3013" s="100">
        <v>97.661798374741949</v>
      </c>
      <c r="D3013" s="100">
        <v>92.639822740234891</v>
      </c>
      <c r="E3013" s="100">
        <v>89.795785642580782</v>
      </c>
      <c r="F3013" s="100">
        <v>343.65138852393216</v>
      </c>
      <c r="G3013" s="100">
        <v>822.13669783025261</v>
      </c>
      <c r="H3013" s="100">
        <v>352.51473050342952</v>
      </c>
      <c r="I3013" s="100">
        <v>3584.8540121204451</v>
      </c>
      <c r="J3013" s="100">
        <v>5103.1568289780589</v>
      </c>
    </row>
    <row r="3014" spans="1:10" x14ac:dyDescent="0.25">
      <c r="A3014">
        <v>2997</v>
      </c>
      <c r="B3014" s="100">
        <v>89.419812673652316</v>
      </c>
      <c r="C3014" s="100">
        <v>98.568471944471455</v>
      </c>
      <c r="D3014" s="100">
        <v>91.744708186427701</v>
      </c>
      <c r="E3014" s="100">
        <v>92.640213810487339</v>
      </c>
      <c r="F3014" s="100">
        <v>441.63478065688508</v>
      </c>
      <c r="G3014" s="100">
        <v>-537.87365676400611</v>
      </c>
      <c r="H3014" s="100">
        <v>2142.743838117809</v>
      </c>
      <c r="I3014" s="100">
        <v>740.42584421388824</v>
      </c>
      <c r="J3014" s="100">
        <v>2786.9308062245764</v>
      </c>
    </row>
    <row r="3015" spans="1:10" x14ac:dyDescent="0.25">
      <c r="A3015">
        <v>2998</v>
      </c>
      <c r="B3015" s="100">
        <v>90.297827214180927</v>
      </c>
      <c r="C3015" s="100">
        <v>98.367819350691292</v>
      </c>
      <c r="D3015" s="100">
        <v>92.017938738588427</v>
      </c>
      <c r="E3015" s="100">
        <v>95.416939329376731</v>
      </c>
      <c r="F3015" s="100">
        <v>-2455.8132030875299</v>
      </c>
      <c r="G3015" s="100">
        <v>-236.89476609376214</v>
      </c>
      <c r="H3015" s="100">
        <v>1596.2827337963574</v>
      </c>
      <c r="I3015" s="100">
        <v>-2036.2996746755043</v>
      </c>
      <c r="J3015" s="100">
        <v>-3132.7249100604386</v>
      </c>
    </row>
    <row r="3016" spans="1:10" x14ac:dyDescent="0.25">
      <c r="A3016">
        <v>2999</v>
      </c>
      <c r="B3016" s="100">
        <v>89.504371251542551</v>
      </c>
      <c r="C3016" s="100">
        <v>97.459134060980219</v>
      </c>
      <c r="D3016" s="100">
        <v>93.762889073179721</v>
      </c>
      <c r="E3016" s="100">
        <v>93.815890150878701</v>
      </c>
      <c r="F3016" s="100">
        <v>162.59147361911062</v>
      </c>
      <c r="G3016" s="100">
        <v>1126.1331684728475</v>
      </c>
      <c r="H3016" s="100">
        <v>-1893.6179353862315</v>
      </c>
      <c r="I3016" s="100">
        <v>-435.25049617747413</v>
      </c>
      <c r="J3016" s="100">
        <v>-1040.1437894717474</v>
      </c>
    </row>
    <row r="3017" spans="1:10" x14ac:dyDescent="0.25">
      <c r="A3017">
        <v>3000</v>
      </c>
      <c r="B3017" s="100">
        <v>90.008454204494157</v>
      </c>
      <c r="C3017" s="100">
        <v>99.148306512590011</v>
      </c>
      <c r="D3017" s="100">
        <v>92.241501089301977</v>
      </c>
      <c r="E3017" s="100">
        <v>91.439037983013534</v>
      </c>
      <c r="F3017" s="100">
        <v>-1500.8822711211892</v>
      </c>
      <c r="G3017" s="100">
        <v>-1407.625508941841</v>
      </c>
      <c r="H3017" s="100">
        <v>1149.1580323692574</v>
      </c>
      <c r="I3017" s="100">
        <v>1941.6016716876925</v>
      </c>
      <c r="J3017" s="100">
        <v>182.25192399391972</v>
      </c>
    </row>
    <row r="3018" spans="1:10" x14ac:dyDescent="0.25">
      <c r="A3018">
        <v>3001</v>
      </c>
      <c r="B3018" s="100">
        <v>89.859843552133526</v>
      </c>
      <c r="C3018" s="100">
        <v>97.223870828375397</v>
      </c>
      <c r="D3018" s="100">
        <v>92.058641843958313</v>
      </c>
      <c r="E3018" s="100">
        <v>93.402742039126068</v>
      </c>
      <c r="F3018" s="100">
        <v>-1010.4671183311069</v>
      </c>
      <c r="G3018" s="100">
        <v>1479.0280173800809</v>
      </c>
      <c r="H3018" s="100">
        <v>1514.8765230565857</v>
      </c>
      <c r="I3018" s="100">
        <v>-22.102384424840693</v>
      </c>
      <c r="J3018" s="100">
        <v>1961.3350376807189</v>
      </c>
    </row>
    <row r="3019" spans="1:10" x14ac:dyDescent="0.25">
      <c r="A3019">
        <v>3002</v>
      </c>
      <c r="B3019" s="100">
        <v>89.549637612200641</v>
      </c>
      <c r="C3019" s="100">
        <v>97.394044595089326</v>
      </c>
      <c r="D3019" s="100">
        <v>92.720062948904385</v>
      </c>
      <c r="E3019" s="100">
        <v>96.784293479349657</v>
      </c>
      <c r="F3019" s="100">
        <v>13.212483447414058</v>
      </c>
      <c r="G3019" s="100">
        <v>1223.7673673091863</v>
      </c>
      <c r="H3019" s="100">
        <v>192.03431316444153</v>
      </c>
      <c r="I3019" s="100">
        <v>-3403.6538246484297</v>
      </c>
      <c r="J3019" s="100">
        <v>-1974.6396607273878</v>
      </c>
    </row>
    <row r="3020" spans="1:10" x14ac:dyDescent="0.25">
      <c r="A3020">
        <v>3003</v>
      </c>
      <c r="B3020" s="100">
        <v>88.494137765684059</v>
      </c>
      <c r="C3020" s="100">
        <v>96.77162618353573</v>
      </c>
      <c r="D3020" s="100">
        <v>91.632829852411703</v>
      </c>
      <c r="E3020" s="100">
        <v>94.560475415348449</v>
      </c>
      <c r="F3020" s="100">
        <v>3496.3619769521356</v>
      </c>
      <c r="G3020" s="100">
        <v>2157.3949846395808</v>
      </c>
      <c r="H3020" s="100">
        <v>2366.500506149805</v>
      </c>
      <c r="I3020" s="100">
        <v>-1179.8357606472223</v>
      </c>
      <c r="J3020" s="100">
        <v>6840.4217070942996</v>
      </c>
    </row>
    <row r="3021" spans="1:10" x14ac:dyDescent="0.25">
      <c r="A3021">
        <v>3004</v>
      </c>
      <c r="B3021" s="100">
        <v>89.771286778695611</v>
      </c>
      <c r="C3021" s="100">
        <v>98.316416655484417</v>
      </c>
      <c r="D3021" s="100">
        <v>93.284213621271405</v>
      </c>
      <c r="E3021" s="100">
        <v>93.9578193857202</v>
      </c>
      <c r="F3021" s="100">
        <v>-718.229765985987</v>
      </c>
      <c r="G3021" s="100">
        <v>-159.79072328345012</v>
      </c>
      <c r="H3021" s="100">
        <v>-936.26703156959934</v>
      </c>
      <c r="I3021" s="100">
        <v>-577.17973101897257</v>
      </c>
      <c r="J3021" s="100">
        <v>-2391.4672518580091</v>
      </c>
    </row>
    <row r="3022" spans="1:10" x14ac:dyDescent="0.25">
      <c r="A3022">
        <v>3005</v>
      </c>
      <c r="B3022" s="100">
        <v>89.515492381575825</v>
      </c>
      <c r="C3022" s="100">
        <v>98.388235473457243</v>
      </c>
      <c r="D3022" s="100">
        <v>92.53809946444845</v>
      </c>
      <c r="E3022" s="100">
        <v>95.365656578852978</v>
      </c>
      <c r="F3022" s="100">
        <v>125.89174450930614</v>
      </c>
      <c r="G3022" s="100">
        <v>-267.5189502426889</v>
      </c>
      <c r="H3022" s="100">
        <v>555.96128207631068</v>
      </c>
      <c r="I3022" s="100">
        <v>-1985.0169241517506</v>
      </c>
      <c r="J3022" s="100">
        <v>-1570.6828478088228</v>
      </c>
    </row>
    <row r="3023" spans="1:10" x14ac:dyDescent="0.25">
      <c r="A3023">
        <v>3006</v>
      </c>
      <c r="B3023" s="100">
        <v>89.557321954651883</v>
      </c>
      <c r="C3023" s="100">
        <v>98.420016281811712</v>
      </c>
      <c r="D3023" s="100">
        <v>91.894925774495121</v>
      </c>
      <c r="E3023" s="100">
        <v>92.780335849602992</v>
      </c>
      <c r="F3023" s="100">
        <v>-12.145846641683988</v>
      </c>
      <c r="G3023" s="100">
        <v>-315.19016277439249</v>
      </c>
      <c r="H3023" s="100">
        <v>1842.3086619829689</v>
      </c>
      <c r="I3023" s="100">
        <v>600.30380509823544</v>
      </c>
      <c r="J3023" s="100">
        <v>2115.276457665128</v>
      </c>
    </row>
    <row r="3024" spans="1:10" x14ac:dyDescent="0.25">
      <c r="A3024">
        <v>3007</v>
      </c>
      <c r="B3024" s="100">
        <v>89.5022701838476</v>
      </c>
      <c r="C3024" s="100">
        <v>97.341390627573347</v>
      </c>
      <c r="D3024" s="100">
        <v>91.726189432661357</v>
      </c>
      <c r="E3024" s="100">
        <v>92.276763809060171</v>
      </c>
      <c r="F3024" s="100">
        <v>169.52499701245074</v>
      </c>
      <c r="G3024" s="100">
        <v>1302.7483185831557</v>
      </c>
      <c r="H3024" s="100">
        <v>2179.7813456504969</v>
      </c>
      <c r="I3024" s="100">
        <v>1103.8758456410562</v>
      </c>
      <c r="J3024" s="100">
        <v>4755.930506887159</v>
      </c>
    </row>
    <row r="3025" spans="1:10" x14ac:dyDescent="0.25">
      <c r="A3025">
        <v>3008</v>
      </c>
      <c r="B3025" s="100">
        <v>89.75162349463551</v>
      </c>
      <c r="C3025" s="100">
        <v>100.21229924114741</v>
      </c>
      <c r="D3025" s="100">
        <v>93.04531250637352</v>
      </c>
      <c r="E3025" s="100">
        <v>93.11827548541882</v>
      </c>
      <c r="F3025" s="100">
        <v>-653.34092858765302</v>
      </c>
      <c r="G3025" s="100">
        <v>-3003.6146017779329</v>
      </c>
      <c r="H3025" s="100">
        <v>-458.46480177382887</v>
      </c>
      <c r="I3025" s="100">
        <v>262.36416928240658</v>
      </c>
      <c r="J3025" s="100">
        <v>-3853.0561628570085</v>
      </c>
    </row>
    <row r="3026" spans="1:10" x14ac:dyDescent="0.25">
      <c r="A3026">
        <v>3009</v>
      </c>
      <c r="B3026" s="100">
        <v>89.565686278384547</v>
      </c>
      <c r="C3026" s="100">
        <v>97.659706317513695</v>
      </c>
      <c r="D3026" s="100">
        <v>93.122969875246255</v>
      </c>
      <c r="E3026" s="100">
        <v>95.216574344487938</v>
      </c>
      <c r="F3026" s="100">
        <v>-39.748114959475345</v>
      </c>
      <c r="G3026" s="100">
        <v>825.27478367263279</v>
      </c>
      <c r="H3026" s="100">
        <v>-613.77953951929953</v>
      </c>
      <c r="I3026" s="100">
        <v>-1835.9346897867113</v>
      </c>
      <c r="J3026" s="100">
        <v>-1664.1875605928533</v>
      </c>
    </row>
    <row r="3027" spans="1:10" x14ac:dyDescent="0.25">
      <c r="A3027">
        <v>3010</v>
      </c>
      <c r="B3027" s="100">
        <v>89.354088886738808</v>
      </c>
      <c r="C3027" s="100">
        <v>99.632286354972763</v>
      </c>
      <c r="D3027" s="100">
        <v>92.935876757453812</v>
      </c>
      <c r="E3027" s="100">
        <v>95.306184912251979</v>
      </c>
      <c r="F3027" s="100">
        <v>658.5232774714641</v>
      </c>
      <c r="G3027" s="100">
        <v>-2133.5952725159686</v>
      </c>
      <c r="H3027" s="100">
        <v>-239.59330393441292</v>
      </c>
      <c r="I3027" s="100">
        <v>-1925.545257550752</v>
      </c>
      <c r="J3027" s="100">
        <v>-3640.2105565296697</v>
      </c>
    </row>
    <row r="3028" spans="1:10" x14ac:dyDescent="0.25">
      <c r="A3028">
        <v>3011</v>
      </c>
      <c r="B3028" s="100">
        <v>90.082849436917073</v>
      </c>
      <c r="C3028" s="100">
        <v>97.825486944295278</v>
      </c>
      <c r="D3028" s="100">
        <v>92.513290043277081</v>
      </c>
      <c r="E3028" s="100">
        <v>94.168604261094004</v>
      </c>
      <c r="F3028" s="100">
        <v>-1746.3865381168105</v>
      </c>
      <c r="G3028" s="100">
        <v>576.60384350025856</v>
      </c>
      <c r="H3028" s="100">
        <v>605.58012441904907</v>
      </c>
      <c r="I3028" s="100">
        <v>-787.96460639277655</v>
      </c>
      <c r="J3028" s="100">
        <v>-1352.1671765902793</v>
      </c>
    </row>
    <row r="3029" spans="1:10" x14ac:dyDescent="0.25">
      <c r="A3029">
        <v>3012</v>
      </c>
      <c r="B3029" s="100">
        <v>90.196237945106645</v>
      </c>
      <c r="C3029" s="100">
        <v>98.60117200332212</v>
      </c>
      <c r="D3029" s="100">
        <v>90.952281885764179</v>
      </c>
      <c r="E3029" s="100">
        <v>94.70617838184144</v>
      </c>
      <c r="F3029" s="100">
        <v>-2120.5686151424006</v>
      </c>
      <c r="G3029" s="100">
        <v>-586.9237450400035</v>
      </c>
      <c r="H3029" s="100">
        <v>3727.596439444852</v>
      </c>
      <c r="I3029" s="100">
        <v>-1325.5387271402128</v>
      </c>
      <c r="J3029" s="100">
        <v>-305.43464787776475</v>
      </c>
    </row>
    <row r="3030" spans="1:10" x14ac:dyDescent="0.25">
      <c r="A3030">
        <v>3013</v>
      </c>
      <c r="B3030" s="100">
        <v>89.618478724762085</v>
      </c>
      <c r="C3030" s="100">
        <v>96.490582941470493</v>
      </c>
      <c r="D3030" s="100">
        <v>92.839817282763761</v>
      </c>
      <c r="E3030" s="100">
        <v>92.473275645490176</v>
      </c>
      <c r="F3030" s="100">
        <v>-213.96318800534999</v>
      </c>
      <c r="G3030" s="100">
        <v>2578.959847737437</v>
      </c>
      <c r="H3030" s="100">
        <v>-47.474354554310594</v>
      </c>
      <c r="I3030" s="100">
        <v>907.36400921105087</v>
      </c>
      <c r="J3030" s="100">
        <v>3224.8863143888275</v>
      </c>
    </row>
    <row r="3031" spans="1:10" x14ac:dyDescent="0.25">
      <c r="A3031">
        <v>3014</v>
      </c>
      <c r="B3031" s="100">
        <v>89.546300187062883</v>
      </c>
      <c r="C3031" s="100">
        <v>97.86575088063401</v>
      </c>
      <c r="D3031" s="100">
        <v>92.600689787547907</v>
      </c>
      <c r="E3031" s="100">
        <v>96.342937204873692</v>
      </c>
      <c r="F3031" s="100">
        <v>24.225986402015565</v>
      </c>
      <c r="G3031" s="100">
        <v>516.20793899216005</v>
      </c>
      <c r="H3031" s="100">
        <v>430.78063587739734</v>
      </c>
      <c r="I3031" s="100">
        <v>-2962.2975501724654</v>
      </c>
      <c r="J3031" s="100">
        <v>-1991.0829889008924</v>
      </c>
    </row>
    <row r="3032" spans="1:10" x14ac:dyDescent="0.25">
      <c r="A3032">
        <v>3015</v>
      </c>
      <c r="B3032" s="100">
        <v>89.109386406725733</v>
      </c>
      <c r="C3032" s="100">
        <v>99.329059257747701</v>
      </c>
      <c r="D3032" s="100">
        <v>92.27760328137974</v>
      </c>
      <c r="E3032" s="100">
        <v>92.951362237946086</v>
      </c>
      <c r="F3032" s="100">
        <v>1466.041461514611</v>
      </c>
      <c r="G3032" s="100">
        <v>-1678.7546266783763</v>
      </c>
      <c r="H3032" s="100">
        <v>1076.9536482137312</v>
      </c>
      <c r="I3032" s="100">
        <v>429.27741675514142</v>
      </c>
      <c r="J3032" s="100">
        <v>1293.5178998051074</v>
      </c>
    </row>
    <row r="3033" spans="1:10" x14ac:dyDescent="0.25">
      <c r="A3033">
        <v>3016</v>
      </c>
      <c r="B3033" s="100">
        <v>89.804718105913608</v>
      </c>
      <c r="C3033" s="100">
        <v>98.025424281209723</v>
      </c>
      <c r="D3033" s="100">
        <v>92.7280160305273</v>
      </c>
      <c r="E3033" s="100">
        <v>94.587662935791926</v>
      </c>
      <c r="F3033" s="100">
        <v>-828.55314580537674</v>
      </c>
      <c r="G3033" s="100">
        <v>276.69783812859094</v>
      </c>
      <c r="H3033" s="100">
        <v>176.12814991861114</v>
      </c>
      <c r="I3033" s="100">
        <v>-1207.0232810906987</v>
      </c>
      <c r="J3033" s="100">
        <v>-1582.7504388488733</v>
      </c>
    </row>
    <row r="3034" spans="1:10" x14ac:dyDescent="0.25">
      <c r="A3034">
        <v>3017</v>
      </c>
      <c r="B3034" s="100">
        <v>89.003338803791266</v>
      </c>
      <c r="C3034" s="100">
        <v>97.298794518702721</v>
      </c>
      <c r="D3034" s="100">
        <v>93.125315290956308</v>
      </c>
      <c r="E3034" s="100">
        <v>93.894132752963401</v>
      </c>
      <c r="F3034" s="100">
        <v>1815.9985511983521</v>
      </c>
      <c r="G3034" s="100">
        <v>1366.6424818890946</v>
      </c>
      <c r="H3034" s="100">
        <v>-618.47037093940571</v>
      </c>
      <c r="I3034" s="100">
        <v>-513.49309826217393</v>
      </c>
      <c r="J3034" s="100">
        <v>2050.6775638858671</v>
      </c>
    </row>
    <row r="3035" spans="1:10" x14ac:dyDescent="0.25">
      <c r="A3035">
        <v>3018</v>
      </c>
      <c r="B3035" s="100">
        <v>89.700707020872557</v>
      </c>
      <c r="C3035" s="100">
        <v>99.224749419537346</v>
      </c>
      <c r="D3035" s="100">
        <v>94.171815364819665</v>
      </c>
      <c r="E3035" s="100">
        <v>94.702173695383863</v>
      </c>
      <c r="F3035" s="100">
        <v>-485.31656516990722</v>
      </c>
      <c r="G3035" s="100">
        <v>-1522.2898693628438</v>
      </c>
      <c r="H3035" s="100">
        <v>-2711.4705186661186</v>
      </c>
      <c r="I3035" s="100">
        <v>-1321.5340406826358</v>
      </c>
      <c r="J3035" s="100">
        <v>-6040.6109938815061</v>
      </c>
    </row>
    <row r="3036" spans="1:10" x14ac:dyDescent="0.25">
      <c r="A3036">
        <v>3019</v>
      </c>
      <c r="B3036" s="100">
        <v>88.456557154967342</v>
      </c>
      <c r="C3036" s="100">
        <v>98.397612026937125</v>
      </c>
      <c r="D3036" s="100">
        <v>92.827893611287379</v>
      </c>
      <c r="E3036" s="100">
        <v>93.62698965750026</v>
      </c>
      <c r="F3036" s="100">
        <v>3620.3779923173001</v>
      </c>
      <c r="G3036" s="100">
        <v>-281.58378046251187</v>
      </c>
      <c r="H3036" s="100">
        <v>-23.627011601547565</v>
      </c>
      <c r="I3036" s="100">
        <v>-246.35000279903352</v>
      </c>
      <c r="J3036" s="100">
        <v>3068.817197454207</v>
      </c>
    </row>
    <row r="3037" spans="1:10" x14ac:dyDescent="0.25">
      <c r="A3037">
        <v>3020</v>
      </c>
      <c r="B3037" s="100">
        <v>89.053462668915458</v>
      </c>
      <c r="C3037" s="100">
        <v>96.754262862392537</v>
      </c>
      <c r="D3037" s="100">
        <v>91.665715029500959</v>
      </c>
      <c r="E3037" s="100">
        <v>93.830169604877057</v>
      </c>
      <c r="F3037" s="100">
        <v>1650.5897962885185</v>
      </c>
      <c r="G3037" s="100">
        <v>2183.4399663543709</v>
      </c>
      <c r="H3037" s="100">
        <v>2300.7301519712937</v>
      </c>
      <c r="I3037" s="100">
        <v>-449.52995017582964</v>
      </c>
      <c r="J3037" s="100">
        <v>5685.2299644383529</v>
      </c>
    </row>
    <row r="3038" spans="1:10" x14ac:dyDescent="0.25">
      <c r="A3038">
        <v>3021</v>
      </c>
      <c r="B3038" s="100">
        <v>89.625377659179279</v>
      </c>
      <c r="C3038" s="100">
        <v>98.937663017928031</v>
      </c>
      <c r="D3038" s="100">
        <v>94.800244794934841</v>
      </c>
      <c r="E3038" s="100">
        <v>92.350781611792726</v>
      </c>
      <c r="F3038" s="100">
        <v>-236.72967158208991</v>
      </c>
      <c r="G3038" s="100">
        <v>-1091.6602669488711</v>
      </c>
      <c r="H3038" s="100">
        <v>-3968.3293788964702</v>
      </c>
      <c r="I3038" s="100">
        <v>1029.8580429085007</v>
      </c>
      <c r="J3038" s="100">
        <v>-4266.8612745189303</v>
      </c>
    </row>
    <row r="3039" spans="1:10" x14ac:dyDescent="0.25">
      <c r="A3039">
        <v>3022</v>
      </c>
      <c r="B3039" s="100">
        <v>89.221598379003709</v>
      </c>
      <c r="C3039" s="100">
        <v>99.234935505771574</v>
      </c>
      <c r="D3039" s="100">
        <v>93.463530778175752</v>
      </c>
      <c r="E3039" s="100">
        <v>94.203310193718352</v>
      </c>
      <c r="F3039" s="100">
        <v>1095.741952997291</v>
      </c>
      <c r="G3039" s="100">
        <v>-1537.5689987141855</v>
      </c>
      <c r="H3039" s="100">
        <v>-1294.9013453782925</v>
      </c>
      <c r="I3039" s="100">
        <v>-822.67053901712472</v>
      </c>
      <c r="J3039" s="100">
        <v>-2559.3989301123115</v>
      </c>
    </row>
    <row r="3040" spans="1:10" x14ac:dyDescent="0.25">
      <c r="A3040">
        <v>3023</v>
      </c>
      <c r="B3040" s="100">
        <v>89.531416995683557</v>
      </c>
      <c r="C3040" s="100">
        <v>96.920219023267535</v>
      </c>
      <c r="D3040" s="100">
        <v>93.642554555068486</v>
      </c>
      <c r="E3040" s="100">
        <v>92.202221319725936</v>
      </c>
      <c r="F3040" s="100">
        <v>73.340517953791107</v>
      </c>
      <c r="G3040" s="100">
        <v>1934.5057250418733</v>
      </c>
      <c r="H3040" s="100">
        <v>-1652.9488991637606</v>
      </c>
      <c r="I3040" s="100">
        <v>1178.4183349752907</v>
      </c>
      <c r="J3040" s="100">
        <v>1533.3156788071944</v>
      </c>
    </row>
    <row r="3041" spans="1:10" x14ac:dyDescent="0.25">
      <c r="A3041">
        <v>3024</v>
      </c>
      <c r="B3041" s="100">
        <v>89.611156585670102</v>
      </c>
      <c r="C3041" s="100">
        <v>98.467906893930191</v>
      </c>
      <c r="D3041" s="100">
        <v>94.280544745614066</v>
      </c>
      <c r="E3041" s="100">
        <v>92.301411996693005</v>
      </c>
      <c r="F3041" s="100">
        <v>-189.80012900180725</v>
      </c>
      <c r="G3041" s="100">
        <v>-387.02608095211133</v>
      </c>
      <c r="H3041" s="100">
        <v>-2928.9292802549198</v>
      </c>
      <c r="I3041" s="100">
        <v>1079.2276580082216</v>
      </c>
      <c r="J3041" s="100">
        <v>-2426.527832200617</v>
      </c>
    </row>
    <row r="3042" spans="1:10" x14ac:dyDescent="0.25">
      <c r="A3042">
        <v>3025</v>
      </c>
      <c r="B3042" s="100">
        <v>90.114896001848209</v>
      </c>
      <c r="C3042" s="100">
        <v>98.798970094249356</v>
      </c>
      <c r="D3042" s="100">
        <v>92.2259874658412</v>
      </c>
      <c r="E3042" s="100">
        <v>93.867568424290369</v>
      </c>
      <c r="F3042" s="100">
        <v>-1852.1402023895589</v>
      </c>
      <c r="G3042" s="100">
        <v>-883.62088143085771</v>
      </c>
      <c r="H3042" s="100">
        <v>1180.1852792908107</v>
      </c>
      <c r="I3042" s="100">
        <v>-486.92876958914155</v>
      </c>
      <c r="J3042" s="100">
        <v>-2042.5045741187473</v>
      </c>
    </row>
    <row r="3043" spans="1:10" x14ac:dyDescent="0.25">
      <c r="A3043">
        <v>3026</v>
      </c>
      <c r="B3043" s="100">
        <v>90.374957925249376</v>
      </c>
      <c r="C3043" s="100">
        <v>97.821517010402786</v>
      </c>
      <c r="D3043" s="100">
        <v>91.604842200282746</v>
      </c>
      <c r="E3043" s="100">
        <v>95.889049969473476</v>
      </c>
      <c r="F3043" s="100">
        <v>-2710.3445496134113</v>
      </c>
      <c r="G3043" s="100">
        <v>582.55874433899635</v>
      </c>
      <c r="H3043" s="100">
        <v>2422.4758104077182</v>
      </c>
      <c r="I3043" s="100">
        <v>-2508.410314772249</v>
      </c>
      <c r="J3043" s="100">
        <v>-2213.7203096389458</v>
      </c>
    </row>
    <row r="3044" spans="1:10" x14ac:dyDescent="0.25">
      <c r="A3044">
        <v>3027</v>
      </c>
      <c r="B3044" s="100">
        <v>89.628766694966387</v>
      </c>
      <c r="C3044" s="100">
        <v>98.707577364127573</v>
      </c>
      <c r="D3044" s="100">
        <v>93.121266528169755</v>
      </c>
      <c r="E3044" s="100">
        <v>93.917082466550937</v>
      </c>
      <c r="F3044" s="100">
        <v>-247.9134896795486</v>
      </c>
      <c r="G3044" s="100">
        <v>-746.53178624818395</v>
      </c>
      <c r="H3044" s="100">
        <v>-610.37284536629954</v>
      </c>
      <c r="I3044" s="100">
        <v>-536.44281184971021</v>
      </c>
      <c r="J3044" s="100">
        <v>-2141.2609331437425</v>
      </c>
    </row>
    <row r="3045" spans="1:10" x14ac:dyDescent="0.25">
      <c r="A3045">
        <v>3028</v>
      </c>
      <c r="B3045" s="100">
        <v>89.863283819221763</v>
      </c>
      <c r="C3045" s="100">
        <v>97.594658104432611</v>
      </c>
      <c r="D3045" s="100">
        <v>92.542593120195036</v>
      </c>
      <c r="E3045" s="100">
        <v>94.207778677465143</v>
      </c>
      <c r="F3045" s="100">
        <v>-1021.8199997222896</v>
      </c>
      <c r="G3045" s="100">
        <v>922.84710329425934</v>
      </c>
      <c r="H3045" s="100">
        <v>546.97397058313868</v>
      </c>
      <c r="I3045" s="100">
        <v>-827.13902276391593</v>
      </c>
      <c r="J3045" s="100">
        <v>-379.13794860880751</v>
      </c>
    </row>
    <row r="3046" spans="1:10" x14ac:dyDescent="0.25">
      <c r="A3046">
        <v>3029</v>
      </c>
      <c r="B3046" s="100">
        <v>90.065674027576605</v>
      </c>
      <c r="C3046" s="100">
        <v>97.281408942849311</v>
      </c>
      <c r="D3046" s="100">
        <v>93.384010261265601</v>
      </c>
      <c r="E3046" s="100">
        <v>94.900797784389155</v>
      </c>
      <c r="F3046" s="100">
        <v>-1689.7076872932687</v>
      </c>
      <c r="G3046" s="100">
        <v>1392.7208456692099</v>
      </c>
      <c r="H3046" s="100">
        <v>-1135.8603115579911</v>
      </c>
      <c r="I3046" s="100">
        <v>-1520.1581296879283</v>
      </c>
      <c r="J3046" s="100">
        <v>-2953.0052828699781</v>
      </c>
    </row>
    <row r="3047" spans="1:10" x14ac:dyDescent="0.25">
      <c r="A3047">
        <v>3030</v>
      </c>
      <c r="B3047" s="100">
        <v>89.820536434115539</v>
      </c>
      <c r="C3047" s="100">
        <v>98.309276977467576</v>
      </c>
      <c r="D3047" s="100">
        <v>91.80804914451042</v>
      </c>
      <c r="E3047" s="100">
        <v>91.831360664779112</v>
      </c>
      <c r="F3047" s="100">
        <v>-880.75362887174856</v>
      </c>
      <c r="G3047" s="100">
        <v>-149.0812062581881</v>
      </c>
      <c r="H3047" s="100">
        <v>2016.061921952371</v>
      </c>
      <c r="I3047" s="100">
        <v>1549.2789899221152</v>
      </c>
      <c r="J3047" s="100">
        <v>2535.5060767445493</v>
      </c>
    </row>
    <row r="3048" spans="1:10" x14ac:dyDescent="0.25">
      <c r="A3048">
        <v>3031</v>
      </c>
      <c r="B3048" s="100">
        <v>88.857854719758777</v>
      </c>
      <c r="C3048" s="100">
        <v>98.621919862023958</v>
      </c>
      <c r="D3048" s="100">
        <v>93.44551813833553</v>
      </c>
      <c r="E3048" s="100">
        <v>94.228657943971101</v>
      </c>
      <c r="F3048" s="100">
        <v>2296.0960285055662</v>
      </c>
      <c r="G3048" s="100">
        <v>-618.04553309276139</v>
      </c>
      <c r="H3048" s="100">
        <v>-1258.8760656978479</v>
      </c>
      <c r="I3048" s="100">
        <v>-848.01828926987355</v>
      </c>
      <c r="J3048" s="100">
        <v>-428.84385955491666</v>
      </c>
    </row>
    <row r="3049" spans="1:10" x14ac:dyDescent="0.25">
      <c r="A3049">
        <v>3032</v>
      </c>
      <c r="B3049" s="100">
        <v>90.323093212128228</v>
      </c>
      <c r="C3049" s="100">
        <v>98.570901428151174</v>
      </c>
      <c r="D3049" s="100">
        <v>94.199335767558694</v>
      </c>
      <c r="E3049" s="100">
        <v>97.369881856222676</v>
      </c>
      <c r="F3049" s="100">
        <v>-2539.1909963136227</v>
      </c>
      <c r="G3049" s="100">
        <v>-541.51788228358555</v>
      </c>
      <c r="H3049" s="100">
        <v>-2766.5113241441759</v>
      </c>
      <c r="I3049" s="100">
        <v>-3989.2422015214493</v>
      </c>
      <c r="J3049" s="100">
        <v>-9836.4624042628329</v>
      </c>
    </row>
    <row r="3050" spans="1:10" x14ac:dyDescent="0.25">
      <c r="A3050">
        <v>3033</v>
      </c>
      <c r="B3050" s="100">
        <v>89.728827632847356</v>
      </c>
      <c r="C3050" s="100">
        <v>100.97213297208782</v>
      </c>
      <c r="D3050" s="100">
        <v>90.947285958303524</v>
      </c>
      <c r="E3050" s="100">
        <v>94.451618506567911</v>
      </c>
      <c r="F3050" s="100">
        <v>-578.11458468674459</v>
      </c>
      <c r="G3050" s="100">
        <v>-4143.365198188555</v>
      </c>
      <c r="H3050" s="100">
        <v>3737.5882943661622</v>
      </c>
      <c r="I3050" s="100">
        <v>-1070.9788518666842</v>
      </c>
      <c r="J3050" s="100">
        <v>-2054.8703403758218</v>
      </c>
    </row>
    <row r="3051" spans="1:10" x14ac:dyDescent="0.25">
      <c r="A3051">
        <v>3034</v>
      </c>
      <c r="B3051" s="100">
        <v>90.533668489478586</v>
      </c>
      <c r="C3051" s="100">
        <v>96.308504820762337</v>
      </c>
      <c r="D3051" s="100">
        <v>92.880523535969033</v>
      </c>
      <c r="E3051" s="100">
        <v>91.355993391475238</v>
      </c>
      <c r="F3051" s="100">
        <v>-3234.0894115698047</v>
      </c>
      <c r="G3051" s="100">
        <v>2852.0770287996697</v>
      </c>
      <c r="H3051" s="100">
        <v>-128.88686096485458</v>
      </c>
      <c r="I3051" s="100">
        <v>2024.6462632259891</v>
      </c>
      <c r="J3051" s="100">
        <v>1513.7470194909995</v>
      </c>
    </row>
    <row r="3052" spans="1:10" x14ac:dyDescent="0.25">
      <c r="A3052">
        <v>3035</v>
      </c>
      <c r="B3052" s="100">
        <v>89.361772702444725</v>
      </c>
      <c r="C3052" s="100">
        <v>98.170458249226343</v>
      </c>
      <c r="D3052" s="100">
        <v>91.927978164734512</v>
      </c>
      <c r="E3052" s="100">
        <v>92.978674272030645</v>
      </c>
      <c r="F3052" s="100">
        <v>633.16668564193742</v>
      </c>
      <c r="G3052" s="100">
        <v>59.1468861036617</v>
      </c>
      <c r="H3052" s="100">
        <v>1776.2038815041876</v>
      </c>
      <c r="I3052" s="100">
        <v>401.96538267058202</v>
      </c>
      <c r="J3052" s="100">
        <v>2870.4828359203689</v>
      </c>
    </row>
    <row r="3053" spans="1:10" x14ac:dyDescent="0.25">
      <c r="A3053">
        <v>3036</v>
      </c>
      <c r="B3053" s="100">
        <v>89.569078471005881</v>
      </c>
      <c r="C3053" s="100">
        <v>98.946676978085378</v>
      </c>
      <c r="D3053" s="100">
        <v>93.050494251915282</v>
      </c>
      <c r="E3053" s="100">
        <v>92.79356110939176</v>
      </c>
      <c r="F3053" s="100">
        <v>-50.942350609876996</v>
      </c>
      <c r="G3053" s="100">
        <v>-1105.1812071848915</v>
      </c>
      <c r="H3053" s="100">
        <v>-468.82829285735284</v>
      </c>
      <c r="I3053" s="100">
        <v>587.0785453094669</v>
      </c>
      <c r="J3053" s="100">
        <v>-1037.8733053426545</v>
      </c>
    </row>
    <row r="3054" spans="1:10" x14ac:dyDescent="0.25">
      <c r="A3054">
        <v>3037</v>
      </c>
      <c r="B3054" s="100">
        <v>89.003202612316301</v>
      </c>
      <c r="C3054" s="100">
        <v>99.152821315224116</v>
      </c>
      <c r="D3054" s="100">
        <v>93.588551799575811</v>
      </c>
      <c r="E3054" s="100">
        <v>90.277099420906168</v>
      </c>
      <c r="F3054" s="100">
        <v>1816.4479830657369</v>
      </c>
      <c r="G3054" s="100">
        <v>-1414.3977128929989</v>
      </c>
      <c r="H3054" s="100">
        <v>-1544.9433881784103</v>
      </c>
      <c r="I3054" s="100">
        <v>3103.5402337950586</v>
      </c>
      <c r="J3054" s="100">
        <v>1960.6471157893864</v>
      </c>
    </row>
    <row r="3055" spans="1:10" x14ac:dyDescent="0.25">
      <c r="A3055">
        <v>3038</v>
      </c>
      <c r="B3055" s="100">
        <v>89.22319470630616</v>
      </c>
      <c r="C3055" s="100">
        <v>98.702889060669378</v>
      </c>
      <c r="D3055" s="100">
        <v>92.872918272598312</v>
      </c>
      <c r="E3055" s="100">
        <v>94.114439490459063</v>
      </c>
      <c r="F3055" s="100">
        <v>1090.4740728992024</v>
      </c>
      <c r="G3055" s="100">
        <v>-739.49933106089111</v>
      </c>
      <c r="H3055" s="100">
        <v>-113.67633422341328</v>
      </c>
      <c r="I3055" s="100">
        <v>-733.79983575783569</v>
      </c>
      <c r="J3055" s="100">
        <v>-496.5014281429377</v>
      </c>
    </row>
    <row r="3056" spans="1:10" x14ac:dyDescent="0.25">
      <c r="A3056">
        <v>3039</v>
      </c>
      <c r="B3056" s="100">
        <v>90.036176993646876</v>
      </c>
      <c r="C3056" s="100">
        <v>98.913108070386656</v>
      </c>
      <c r="D3056" s="100">
        <v>92.44848731557299</v>
      </c>
      <c r="E3056" s="100">
        <v>91.118664974244865</v>
      </c>
      <c r="F3056" s="100">
        <v>-1592.3674753251616</v>
      </c>
      <c r="G3056" s="100">
        <v>-1054.827845636808</v>
      </c>
      <c r="H3056" s="100">
        <v>735.18557982723109</v>
      </c>
      <c r="I3056" s="100">
        <v>2261.974680456362</v>
      </c>
      <c r="J3056" s="100">
        <v>349.96493932162343</v>
      </c>
    </row>
    <row r="3057" spans="1:10" x14ac:dyDescent="0.25">
      <c r="A3057">
        <v>3040</v>
      </c>
      <c r="B3057" s="100">
        <v>90.166112236654214</v>
      </c>
      <c r="C3057" s="100">
        <v>97.974422444281998</v>
      </c>
      <c r="D3057" s="100">
        <v>92.692088378031428</v>
      </c>
      <c r="E3057" s="100">
        <v>92.851698063399098</v>
      </c>
      <c r="F3057" s="100">
        <v>-2021.1537772493784</v>
      </c>
      <c r="G3057" s="100">
        <v>353.20059352017807</v>
      </c>
      <c r="H3057" s="100">
        <v>247.98345491035434</v>
      </c>
      <c r="I3057" s="100">
        <v>528.9415913021287</v>
      </c>
      <c r="J3057" s="100">
        <v>-891.02813751671738</v>
      </c>
    </row>
    <row r="3058" spans="1:10" x14ac:dyDescent="0.25">
      <c r="A3058">
        <v>3041</v>
      </c>
      <c r="B3058" s="100">
        <v>90.100589623497029</v>
      </c>
      <c r="C3058" s="100">
        <v>97.536016194663674</v>
      </c>
      <c r="D3058" s="100">
        <v>91.03728062759636</v>
      </c>
      <c r="E3058" s="100">
        <v>96.635570359477711</v>
      </c>
      <c r="F3058" s="100">
        <v>-1804.9291538306675</v>
      </c>
      <c r="G3058" s="100">
        <v>1010.8099679476652</v>
      </c>
      <c r="H3058" s="100">
        <v>3557.5989557804915</v>
      </c>
      <c r="I3058" s="100">
        <v>-3254.9307047764842</v>
      </c>
      <c r="J3058" s="100">
        <v>-491.45093487899521</v>
      </c>
    </row>
    <row r="3059" spans="1:10" x14ac:dyDescent="0.25">
      <c r="A3059">
        <v>3042</v>
      </c>
      <c r="B3059" s="100">
        <v>88.974120269959812</v>
      </c>
      <c r="C3059" s="100">
        <v>97.481979998664869</v>
      </c>
      <c r="D3059" s="100">
        <v>92.558056318838595</v>
      </c>
      <c r="E3059" s="100">
        <v>92.541327540657278</v>
      </c>
      <c r="F3059" s="100">
        <v>1912.4197128421499</v>
      </c>
      <c r="G3059" s="100">
        <v>1091.8642619458724</v>
      </c>
      <c r="H3059" s="100">
        <v>516.0475732960208</v>
      </c>
      <c r="I3059" s="100">
        <v>839.31211404394901</v>
      </c>
      <c r="J3059" s="100">
        <v>4359.6436621279927</v>
      </c>
    </row>
    <row r="3060" spans="1:10" x14ac:dyDescent="0.25">
      <c r="A3060">
        <v>3043</v>
      </c>
      <c r="B3060" s="100">
        <v>89.471590473283769</v>
      </c>
      <c r="C3060" s="100">
        <v>98.009981476602007</v>
      </c>
      <c r="D3060" s="100">
        <v>92.918189504561553</v>
      </c>
      <c r="E3060" s="100">
        <v>93.894994721818975</v>
      </c>
      <c r="F3060" s="100">
        <v>270.76804187309307</v>
      </c>
      <c r="G3060" s="100">
        <v>299.86204504016456</v>
      </c>
      <c r="H3060" s="100">
        <v>-204.21879814989552</v>
      </c>
      <c r="I3060" s="100">
        <v>-514.35506711774792</v>
      </c>
      <c r="J3060" s="100">
        <v>-147.94377835438581</v>
      </c>
    </row>
    <row r="3061" spans="1:10" x14ac:dyDescent="0.25">
      <c r="A3061">
        <v>3044</v>
      </c>
      <c r="B3061" s="100">
        <v>90.408268838185691</v>
      </c>
      <c r="C3061" s="100">
        <v>98.168345390654409</v>
      </c>
      <c r="D3061" s="100">
        <v>93.560030783703382</v>
      </c>
      <c r="E3061" s="100">
        <v>93.982975075000439</v>
      </c>
      <c r="F3061" s="100">
        <v>-2820.2705623032516</v>
      </c>
      <c r="G3061" s="100">
        <v>62.316173961562527</v>
      </c>
      <c r="H3061" s="100">
        <v>-1487.9013564335537</v>
      </c>
      <c r="I3061" s="100">
        <v>-602.33542029921239</v>
      </c>
      <c r="J3061" s="100">
        <v>-4848.1911650744551</v>
      </c>
    </row>
    <row r="3062" spans="1:10" x14ac:dyDescent="0.25">
      <c r="A3062">
        <v>3045</v>
      </c>
      <c r="B3062" s="100">
        <v>90.024640426074939</v>
      </c>
      <c r="C3062" s="100">
        <v>98.690480039457995</v>
      </c>
      <c r="D3062" s="100">
        <v>92.432651047626862</v>
      </c>
      <c r="E3062" s="100">
        <v>87.874461224357987</v>
      </c>
      <c r="F3062" s="100">
        <v>-1554.2968023377682</v>
      </c>
      <c r="G3062" s="100">
        <v>-720.8857992438169</v>
      </c>
      <c r="H3062" s="100">
        <v>766.85811571948648</v>
      </c>
      <c r="I3062" s="100">
        <v>5506.1784303432405</v>
      </c>
      <c r="J3062" s="100">
        <v>3997.8539444811422</v>
      </c>
    </row>
    <row r="3063" spans="1:10" x14ac:dyDescent="0.25">
      <c r="A3063">
        <v>3046</v>
      </c>
      <c r="B3063" s="100">
        <v>90.006386086764252</v>
      </c>
      <c r="C3063" s="100">
        <v>98.46443760149667</v>
      </c>
      <c r="D3063" s="100">
        <v>92.667529124205899</v>
      </c>
      <c r="E3063" s="100">
        <v>95.222341365185088</v>
      </c>
      <c r="F3063" s="100">
        <v>-1494.0574826125016</v>
      </c>
      <c r="G3063" s="100">
        <v>-381.82214230182865</v>
      </c>
      <c r="H3063" s="100">
        <v>297.1019625614133</v>
      </c>
      <c r="I3063" s="100">
        <v>-1841.7017104838606</v>
      </c>
      <c r="J3063" s="100">
        <v>-3420.4793728367777</v>
      </c>
    </row>
    <row r="3064" spans="1:10" x14ac:dyDescent="0.25">
      <c r="A3064">
        <v>3047</v>
      </c>
      <c r="B3064" s="100">
        <v>89.998993418132613</v>
      </c>
      <c r="C3064" s="100">
        <v>98.670186186244152</v>
      </c>
      <c r="D3064" s="100">
        <v>93.772501258106217</v>
      </c>
      <c r="E3064" s="100">
        <v>93.963526593195354</v>
      </c>
      <c r="F3064" s="100">
        <v>-1469.661676128095</v>
      </c>
      <c r="G3064" s="100">
        <v>-690.44501942305203</v>
      </c>
      <c r="H3064" s="100">
        <v>-1912.8423052392236</v>
      </c>
      <c r="I3064" s="100">
        <v>-582.88693849412709</v>
      </c>
      <c r="J3064" s="100">
        <v>-4655.8359392844977</v>
      </c>
    </row>
    <row r="3065" spans="1:10" x14ac:dyDescent="0.25">
      <c r="A3065">
        <v>3048</v>
      </c>
      <c r="B3065" s="100">
        <v>89.346798902533934</v>
      </c>
      <c r="C3065" s="100">
        <v>100.19245766885788</v>
      </c>
      <c r="D3065" s="100">
        <v>92.539189374593377</v>
      </c>
      <c r="E3065" s="100">
        <v>96.290007376659204</v>
      </c>
      <c r="F3065" s="100">
        <v>682.58022534754878</v>
      </c>
      <c r="G3065" s="100">
        <v>-2973.8522433436501</v>
      </c>
      <c r="H3065" s="100">
        <v>553.78146178645693</v>
      </c>
      <c r="I3065" s="100">
        <v>-2909.3677219579777</v>
      </c>
      <c r="J3065" s="100">
        <v>-4646.8582781676223</v>
      </c>
    </row>
    <row r="3066" spans="1:10" x14ac:dyDescent="0.25">
      <c r="A3066">
        <v>3049</v>
      </c>
      <c r="B3066" s="100">
        <v>88.975476358520169</v>
      </c>
      <c r="C3066" s="100">
        <v>98.696558623705855</v>
      </c>
      <c r="D3066" s="100">
        <v>93.019779239969978</v>
      </c>
      <c r="E3066" s="100">
        <v>90.784990458908084</v>
      </c>
      <c r="F3066" s="100">
        <v>1907.9446205929728</v>
      </c>
      <c r="G3066" s="100">
        <v>-730.00367561560608</v>
      </c>
      <c r="H3066" s="100">
        <v>-407.39826896674458</v>
      </c>
      <c r="I3066" s="100">
        <v>2595.6491957931435</v>
      </c>
      <c r="J3066" s="100">
        <v>3366.1918718037655</v>
      </c>
    </row>
    <row r="3067" spans="1:10" x14ac:dyDescent="0.25">
      <c r="A3067">
        <v>3050</v>
      </c>
      <c r="B3067" s="100">
        <v>88.919645873672337</v>
      </c>
      <c r="C3067" s="100">
        <v>99.876157454069343</v>
      </c>
      <c r="D3067" s="100">
        <v>92.743410490773712</v>
      </c>
      <c r="E3067" s="100">
        <v>95.646821314400285</v>
      </c>
      <c r="F3067" s="100">
        <v>2092.1852205908167</v>
      </c>
      <c r="G3067" s="100">
        <v>-2499.4019211608388</v>
      </c>
      <c r="H3067" s="100">
        <v>145.3392294257867</v>
      </c>
      <c r="I3067" s="100">
        <v>-2266.1816596990575</v>
      </c>
      <c r="J3067" s="100">
        <v>-2528.0591308432931</v>
      </c>
    </row>
    <row r="3068" spans="1:10" x14ac:dyDescent="0.25">
      <c r="A3068">
        <v>3051</v>
      </c>
      <c r="B3068" s="100">
        <v>89.260359652779698</v>
      </c>
      <c r="C3068" s="100">
        <v>97.918482470721699</v>
      </c>
      <c r="D3068" s="100">
        <v>94.903684962813259</v>
      </c>
      <c r="E3068" s="100">
        <v>92.765156437245096</v>
      </c>
      <c r="F3068" s="100">
        <v>967.8297495365257</v>
      </c>
      <c r="G3068" s="100">
        <v>437.11055386062725</v>
      </c>
      <c r="H3068" s="100">
        <v>-4175.209714653306</v>
      </c>
      <c r="I3068" s="100">
        <v>615.48321745613066</v>
      </c>
      <c r="J3068" s="100">
        <v>-2154.7861938000224</v>
      </c>
    </row>
    <row r="3069" spans="1:10" x14ac:dyDescent="0.25">
      <c r="A3069">
        <v>3052</v>
      </c>
      <c r="B3069" s="100">
        <v>89.905950782930816</v>
      </c>
      <c r="C3069" s="100">
        <v>97.467460400872852</v>
      </c>
      <c r="D3069" s="100">
        <v>91.759361622628134</v>
      </c>
      <c r="E3069" s="100">
        <v>93.235692433405447</v>
      </c>
      <c r="F3069" s="100">
        <v>-1162.6209799621633</v>
      </c>
      <c r="G3069" s="100">
        <v>1113.6436586338973</v>
      </c>
      <c r="H3069" s="100">
        <v>2113.4369657169427</v>
      </c>
      <c r="I3069" s="100">
        <v>144.94722129578008</v>
      </c>
      <c r="J3069" s="100">
        <v>2209.4068656844565</v>
      </c>
    </row>
    <row r="3070" spans="1:10" x14ac:dyDescent="0.25">
      <c r="A3070">
        <v>3053</v>
      </c>
      <c r="B3070" s="100">
        <v>90.054052374717344</v>
      </c>
      <c r="C3070" s="100">
        <v>97.527348226634416</v>
      </c>
      <c r="D3070" s="100">
        <v>94.264910149684283</v>
      </c>
      <c r="E3070" s="100">
        <v>93.762871015421581</v>
      </c>
      <c r="F3070" s="100">
        <v>-1651.3562328577052</v>
      </c>
      <c r="G3070" s="100">
        <v>1023.8119199915516</v>
      </c>
      <c r="H3070" s="100">
        <v>-2897.6600883953552</v>
      </c>
      <c r="I3070" s="100">
        <v>-382.23136072035402</v>
      </c>
      <c r="J3070" s="100">
        <v>-3907.4357619818629</v>
      </c>
    </row>
    <row r="3071" spans="1:10" x14ac:dyDescent="0.25">
      <c r="A3071">
        <v>3054</v>
      </c>
      <c r="B3071" s="100">
        <v>89.790397823753352</v>
      </c>
      <c r="C3071" s="100">
        <v>96.107466673805334</v>
      </c>
      <c r="D3071" s="100">
        <v>92.842375977292789</v>
      </c>
      <c r="E3071" s="100">
        <v>94.677561930106251</v>
      </c>
      <c r="F3071" s="100">
        <v>-781.29621467653294</v>
      </c>
      <c r="G3071" s="100">
        <v>3153.634249235175</v>
      </c>
      <c r="H3071" s="100">
        <v>-52.591743612367736</v>
      </c>
      <c r="I3071" s="100">
        <v>-1296.9222754050236</v>
      </c>
      <c r="J3071" s="100">
        <v>1022.8240155412507</v>
      </c>
    </row>
    <row r="3072" spans="1:10" x14ac:dyDescent="0.25">
      <c r="A3072">
        <v>3055</v>
      </c>
      <c r="B3072" s="100">
        <v>89.728480065713683</v>
      </c>
      <c r="C3072" s="100">
        <v>98.515983725133935</v>
      </c>
      <c r="D3072" s="100">
        <v>92.323696679871247</v>
      </c>
      <c r="E3072" s="100">
        <v>92.783867360785507</v>
      </c>
      <c r="F3072" s="100">
        <v>-576.96761314562366</v>
      </c>
      <c r="G3072" s="100">
        <v>-459.14132775772742</v>
      </c>
      <c r="H3072" s="100">
        <v>984.76685123071661</v>
      </c>
      <c r="I3072" s="100">
        <v>596.77229391571984</v>
      </c>
      <c r="J3072" s="100">
        <v>545.43020424308531</v>
      </c>
    </row>
    <row r="3073" spans="1:10" x14ac:dyDescent="0.25">
      <c r="A3073">
        <v>3056</v>
      </c>
      <c r="B3073" s="100">
        <v>90.213991634084024</v>
      </c>
      <c r="C3073" s="100">
        <v>97.665185860157109</v>
      </c>
      <c r="D3073" s="100">
        <v>94.318343207802684</v>
      </c>
      <c r="E3073" s="100">
        <v>92.904795348593481</v>
      </c>
      <c r="F3073" s="100">
        <v>-2179.1557887677513</v>
      </c>
      <c r="G3073" s="100">
        <v>817.05546970751186</v>
      </c>
      <c r="H3073" s="100">
        <v>-3004.5262046321568</v>
      </c>
      <c r="I3073" s="100">
        <v>475.84430610774575</v>
      </c>
      <c r="J3073" s="100">
        <v>-3890.7822175846504</v>
      </c>
    </row>
    <row r="3074" spans="1:10" x14ac:dyDescent="0.25">
      <c r="A3074">
        <v>3057</v>
      </c>
      <c r="B3074" s="100">
        <v>90.505562041744184</v>
      </c>
      <c r="C3074" s="100">
        <v>99.179809810238382</v>
      </c>
      <c r="D3074" s="100">
        <v>93.527294195433313</v>
      </c>
      <c r="E3074" s="100">
        <v>93.700135973403675</v>
      </c>
      <c r="F3074" s="100">
        <v>-3141.3381340462793</v>
      </c>
      <c r="G3074" s="100">
        <v>-1454.8804554143971</v>
      </c>
      <c r="H3074" s="100">
        <v>-1422.4281798934157</v>
      </c>
      <c r="I3074" s="100">
        <v>-319.49631870244843</v>
      </c>
      <c r="J3074" s="100">
        <v>-6338.1430880565413</v>
      </c>
    </row>
    <row r="3075" spans="1:10" x14ac:dyDescent="0.25">
      <c r="A3075">
        <v>3058</v>
      </c>
      <c r="B3075" s="100">
        <v>88.598563218882575</v>
      </c>
      <c r="C3075" s="100">
        <v>98.622760454128468</v>
      </c>
      <c r="D3075" s="100">
        <v>91.151290034628033</v>
      </c>
      <c r="E3075" s="100">
        <v>94.399042668655284</v>
      </c>
      <c r="F3075" s="100">
        <v>3151.7579813970328</v>
      </c>
      <c r="G3075" s="100">
        <v>-619.30642124952578</v>
      </c>
      <c r="H3075" s="100">
        <v>3329.5801417171447</v>
      </c>
      <c r="I3075" s="100">
        <v>-1018.4030139540567</v>
      </c>
      <c r="J3075" s="100">
        <v>4843.6286879105946</v>
      </c>
    </row>
    <row r="3076" spans="1:10" x14ac:dyDescent="0.25">
      <c r="A3076">
        <v>3059</v>
      </c>
      <c r="B3076" s="100">
        <v>90.039385865577415</v>
      </c>
      <c r="C3076" s="100">
        <v>98.173408927685173</v>
      </c>
      <c r="D3076" s="100">
        <v>92.616009422200477</v>
      </c>
      <c r="E3076" s="100">
        <v>93.05848648099429</v>
      </c>
      <c r="F3076" s="100">
        <v>-1602.9567526959411</v>
      </c>
      <c r="G3076" s="100">
        <v>54.72086841541568</v>
      </c>
      <c r="H3076" s="100">
        <v>400.14136657225663</v>
      </c>
      <c r="I3076" s="100">
        <v>322.15317370693697</v>
      </c>
      <c r="J3076" s="100">
        <v>-825.9413440013318</v>
      </c>
    </row>
    <row r="3077" spans="1:10" x14ac:dyDescent="0.25">
      <c r="A3077">
        <v>3060</v>
      </c>
      <c r="B3077" s="100">
        <v>89.72076403023631</v>
      </c>
      <c r="C3077" s="100">
        <v>97.94058489945165</v>
      </c>
      <c r="D3077" s="100">
        <v>90.422995235084443</v>
      </c>
      <c r="E3077" s="100">
        <v>90.741105987413633</v>
      </c>
      <c r="F3077" s="100">
        <v>-551.50469607029459</v>
      </c>
      <c r="G3077" s="100">
        <v>403.95691076570017</v>
      </c>
      <c r="H3077" s="100">
        <v>4786.1697408043256</v>
      </c>
      <c r="I3077" s="100">
        <v>2639.5336672875942</v>
      </c>
      <c r="J3077" s="100">
        <v>7278.1556227873261</v>
      </c>
    </row>
    <row r="3078" spans="1:10" x14ac:dyDescent="0.25">
      <c r="A3078">
        <v>3061</v>
      </c>
      <c r="B3078" s="100">
        <v>90.054101246251562</v>
      </c>
      <c r="C3078" s="100">
        <v>98.134221903580112</v>
      </c>
      <c r="D3078" s="100">
        <v>95.095057768761095</v>
      </c>
      <c r="E3078" s="100">
        <v>91.767875518233367</v>
      </c>
      <c r="F3078" s="100">
        <v>-1651.5175089206266</v>
      </c>
      <c r="G3078" s="100">
        <v>113.50140457300739</v>
      </c>
      <c r="H3078" s="100">
        <v>-4557.9553265489776</v>
      </c>
      <c r="I3078" s="100">
        <v>1612.7641364678595</v>
      </c>
      <c r="J3078" s="100">
        <v>-4483.2072944287374</v>
      </c>
    </row>
    <row r="3079" spans="1:10" x14ac:dyDescent="0.25">
      <c r="A3079">
        <v>3062</v>
      </c>
      <c r="B3079" s="100">
        <v>89.175205919640504</v>
      </c>
      <c r="C3079" s="100">
        <v>97.493155418238189</v>
      </c>
      <c r="D3079" s="100">
        <v>92.506629376689787</v>
      </c>
      <c r="E3079" s="100">
        <v>90.066860103025931</v>
      </c>
      <c r="F3079" s="100">
        <v>1248.8370688958653</v>
      </c>
      <c r="G3079" s="100">
        <v>1075.1011325858926</v>
      </c>
      <c r="H3079" s="100">
        <v>618.90145759363691</v>
      </c>
      <c r="I3079" s="100">
        <v>3313.7795516752958</v>
      </c>
      <c r="J3079" s="100">
        <v>6256.6192107506904</v>
      </c>
    </row>
    <row r="3080" spans="1:10" x14ac:dyDescent="0.25">
      <c r="A3080">
        <v>3063</v>
      </c>
      <c r="B3080" s="100">
        <v>89.73459715195699</v>
      </c>
      <c r="C3080" s="100">
        <v>98.454394990599951</v>
      </c>
      <c r="D3080" s="100">
        <v>93.305372617617735</v>
      </c>
      <c r="E3080" s="100">
        <v>93.381014651932276</v>
      </c>
      <c r="F3080" s="100">
        <v>-597.15399774853779</v>
      </c>
      <c r="G3080" s="100">
        <v>-366.75822595675101</v>
      </c>
      <c r="H3080" s="100">
        <v>-978.58502426225868</v>
      </c>
      <c r="I3080" s="100">
        <v>-0.37499723104872373</v>
      </c>
      <c r="J3080" s="100">
        <v>-1942.8722451985964</v>
      </c>
    </row>
    <row r="3081" spans="1:10" x14ac:dyDescent="0.25">
      <c r="A3081">
        <v>3064</v>
      </c>
      <c r="B3081" s="100">
        <v>89.886814685996995</v>
      </c>
      <c r="C3081" s="100">
        <v>98.134392128303645</v>
      </c>
      <c r="D3081" s="100">
        <v>93.680806412195992</v>
      </c>
      <c r="E3081" s="100">
        <v>96.433188624784719</v>
      </c>
      <c r="F3081" s="100">
        <v>-1099.4718600805554</v>
      </c>
      <c r="G3081" s="100">
        <v>113.24606748770805</v>
      </c>
      <c r="H3081" s="100">
        <v>-1729.452613418772</v>
      </c>
      <c r="I3081" s="100">
        <v>-3052.5489700834923</v>
      </c>
      <c r="J3081" s="100">
        <v>-5768.227376095112</v>
      </c>
    </row>
    <row r="3082" spans="1:10" x14ac:dyDescent="0.25">
      <c r="A3082">
        <v>3065</v>
      </c>
      <c r="B3082" s="100">
        <v>89.437233240291704</v>
      </c>
      <c r="C3082" s="100">
        <v>97.362337456878436</v>
      </c>
      <c r="D3082" s="100">
        <v>92.032891018967106</v>
      </c>
      <c r="E3082" s="100">
        <v>91.475411164690343</v>
      </c>
      <c r="F3082" s="100">
        <v>384.14691074690666</v>
      </c>
      <c r="G3082" s="100">
        <v>1271.3280746255223</v>
      </c>
      <c r="H3082" s="100">
        <v>1566.3781730389985</v>
      </c>
      <c r="I3082" s="100">
        <v>1905.2284900108843</v>
      </c>
      <c r="J3082" s="100">
        <v>5127.0816484223114</v>
      </c>
    </row>
    <row r="3083" spans="1:10" x14ac:dyDescent="0.25">
      <c r="A3083">
        <v>3066</v>
      </c>
      <c r="B3083" s="100">
        <v>90.057237146107312</v>
      </c>
      <c r="C3083" s="100">
        <v>98.279552143726164</v>
      </c>
      <c r="D3083" s="100">
        <v>93.061668199233509</v>
      </c>
      <c r="E3083" s="100">
        <v>96.655608934159744</v>
      </c>
      <c r="F3083" s="100">
        <v>-1661.8659784445995</v>
      </c>
      <c r="G3083" s="100">
        <v>-104.49395564607045</v>
      </c>
      <c r="H3083" s="100">
        <v>-491.17618749380654</v>
      </c>
      <c r="I3083" s="100">
        <v>-3274.9692794585171</v>
      </c>
      <c r="J3083" s="100">
        <v>-5532.505401042994</v>
      </c>
    </row>
    <row r="3084" spans="1:10" x14ac:dyDescent="0.25">
      <c r="A3084">
        <v>3067</v>
      </c>
      <c r="B3084" s="100">
        <v>88.991318543346338</v>
      </c>
      <c r="C3084" s="100">
        <v>99.062849808967371</v>
      </c>
      <c r="D3084" s="100">
        <v>93.303226608022058</v>
      </c>
      <c r="E3084" s="100">
        <v>94.904945113882533</v>
      </c>
      <c r="F3084" s="100">
        <v>1855.6654106666131</v>
      </c>
      <c r="G3084" s="100">
        <v>-1279.4404535078811</v>
      </c>
      <c r="H3084" s="100">
        <v>-974.29300507090488</v>
      </c>
      <c r="I3084" s="100">
        <v>-1524.3054591813063</v>
      </c>
      <c r="J3084" s="100">
        <v>-1922.3735070934792</v>
      </c>
    </row>
    <row r="3085" spans="1:10" x14ac:dyDescent="0.25">
      <c r="A3085">
        <v>3068</v>
      </c>
      <c r="B3085" s="100">
        <v>89.318457411410279</v>
      </c>
      <c r="C3085" s="100">
        <v>98.70545622543311</v>
      </c>
      <c r="D3085" s="100">
        <v>90.974504852111522</v>
      </c>
      <c r="E3085" s="100">
        <v>94.006833485667244</v>
      </c>
      <c r="F3085" s="100">
        <v>776.10714605560952</v>
      </c>
      <c r="G3085" s="100">
        <v>-743.35007820648968</v>
      </c>
      <c r="H3085" s="100">
        <v>3683.1505067501666</v>
      </c>
      <c r="I3085" s="100">
        <v>-626.19383096601666</v>
      </c>
      <c r="J3085" s="100">
        <v>3089.7137436332696</v>
      </c>
    </row>
    <row r="3086" spans="1:10" x14ac:dyDescent="0.25">
      <c r="A3086">
        <v>3069</v>
      </c>
      <c r="B3086" s="100">
        <v>89.529488675531411</v>
      </c>
      <c r="C3086" s="100">
        <v>100.13790458201505</v>
      </c>
      <c r="D3086" s="100">
        <v>91.93458591508535</v>
      </c>
      <c r="E3086" s="100">
        <v>94.632372992788234</v>
      </c>
      <c r="F3086" s="100">
        <v>79.703974455873094</v>
      </c>
      <c r="G3086" s="100">
        <v>-2892.0226130794049</v>
      </c>
      <c r="H3086" s="100">
        <v>1762.9883808025113</v>
      </c>
      <c r="I3086" s="100">
        <v>-1251.733338087007</v>
      </c>
      <c r="J3086" s="100">
        <v>-2301.0635959080278</v>
      </c>
    </row>
    <row r="3087" spans="1:10" x14ac:dyDescent="0.25">
      <c r="A3087">
        <v>3070</v>
      </c>
      <c r="B3087" s="100">
        <v>89.52244174804747</v>
      </c>
      <c r="C3087" s="100">
        <v>98.910244903734821</v>
      </c>
      <c r="D3087" s="100">
        <v>90.902873716122627</v>
      </c>
      <c r="E3087" s="100">
        <v>92.449756701214127</v>
      </c>
      <c r="F3087" s="100">
        <v>102.95883515287869</v>
      </c>
      <c r="G3087" s="100">
        <v>-1050.5330956590556</v>
      </c>
      <c r="H3087" s="100">
        <v>3826.4127787279563</v>
      </c>
      <c r="I3087" s="100">
        <v>930.88295348709948</v>
      </c>
      <c r="J3087" s="100">
        <v>3809.7214717088791</v>
      </c>
    </row>
    <row r="3088" spans="1:10" x14ac:dyDescent="0.25">
      <c r="A3088">
        <v>3071</v>
      </c>
      <c r="B3088" s="100">
        <v>89.889033828259031</v>
      </c>
      <c r="C3088" s="100">
        <v>97.220393738978601</v>
      </c>
      <c r="D3088" s="100">
        <v>91.968545446140268</v>
      </c>
      <c r="E3088" s="100">
        <v>91.613847317817303</v>
      </c>
      <c r="F3088" s="100">
        <v>-1106.7950295452717</v>
      </c>
      <c r="G3088" s="100">
        <v>1484.2436514752749</v>
      </c>
      <c r="H3088" s="100">
        <v>1695.0693186926742</v>
      </c>
      <c r="I3088" s="100">
        <v>1766.792336883924</v>
      </c>
      <c r="J3088" s="100">
        <v>3839.3102775066009</v>
      </c>
    </row>
    <row r="3089" spans="1:10" x14ac:dyDescent="0.25">
      <c r="A3089">
        <v>3072</v>
      </c>
      <c r="B3089" s="100">
        <v>90.746963695680421</v>
      </c>
      <c r="C3089" s="100">
        <v>98.62054804881943</v>
      </c>
      <c r="D3089" s="100">
        <v>93.813904162581281</v>
      </c>
      <c r="E3089" s="100">
        <v>94.705365747807818</v>
      </c>
      <c r="F3089" s="100">
        <v>-3937.9635920358596</v>
      </c>
      <c r="G3089" s="100">
        <v>-615.98781328596885</v>
      </c>
      <c r="H3089" s="100">
        <v>-1995.6481141893505</v>
      </c>
      <c r="I3089" s="100">
        <v>-1324.726093106591</v>
      </c>
      <c r="J3089" s="100">
        <v>-7874.3256126177703</v>
      </c>
    </row>
    <row r="3090" spans="1:10" x14ac:dyDescent="0.25">
      <c r="A3090">
        <v>3073</v>
      </c>
      <c r="B3090" s="100">
        <v>88.925425503535877</v>
      </c>
      <c r="C3090" s="100">
        <v>99.052141363613543</v>
      </c>
      <c r="D3090" s="100">
        <v>93.841293181327401</v>
      </c>
      <c r="E3090" s="100">
        <v>94.844414284379738</v>
      </c>
      <c r="F3090" s="100">
        <v>2073.1124420411361</v>
      </c>
      <c r="G3090" s="100">
        <v>-1263.3777854771395</v>
      </c>
      <c r="H3090" s="100">
        <v>-2050.4261516815914</v>
      </c>
      <c r="I3090" s="100">
        <v>-1463.774629678511</v>
      </c>
      <c r="J3090" s="100">
        <v>-2704.4661247961058</v>
      </c>
    </row>
    <row r="3091" spans="1:10" x14ac:dyDescent="0.25">
      <c r="A3091">
        <v>3074</v>
      </c>
      <c r="B3091" s="100">
        <v>90.069373580977071</v>
      </c>
      <c r="C3091" s="100">
        <v>98.536835468767691</v>
      </c>
      <c r="D3091" s="100">
        <v>93.014668919873799</v>
      </c>
      <c r="E3091" s="100">
        <v>93.723579695502082</v>
      </c>
      <c r="F3091" s="100">
        <v>-1701.9162135148065</v>
      </c>
      <c r="G3091" s="100">
        <v>-490.41894320836121</v>
      </c>
      <c r="H3091" s="100">
        <v>-397.17762877438645</v>
      </c>
      <c r="I3091" s="100">
        <v>-342.94004080085472</v>
      </c>
      <c r="J3091" s="100">
        <v>-2932.4528262984086</v>
      </c>
    </row>
    <row r="3092" spans="1:10" x14ac:dyDescent="0.25">
      <c r="A3092">
        <v>3075</v>
      </c>
      <c r="B3092" s="100">
        <v>88.795411525783365</v>
      </c>
      <c r="C3092" s="100">
        <v>99.658434282220128</v>
      </c>
      <c r="D3092" s="100">
        <v>92.19911896653943</v>
      </c>
      <c r="E3092" s="100">
        <v>93.989310756987592</v>
      </c>
      <c r="F3092" s="100">
        <v>2502.1585686244252</v>
      </c>
      <c r="G3092" s="100">
        <v>-2172.8171633870161</v>
      </c>
      <c r="H3092" s="100">
        <v>1233.9222778943508</v>
      </c>
      <c r="I3092" s="100">
        <v>-608.67110228636534</v>
      </c>
      <c r="J3092" s="100">
        <v>954.59258084539465</v>
      </c>
    </row>
    <row r="3093" spans="1:10" x14ac:dyDescent="0.25">
      <c r="A3093">
        <v>3076</v>
      </c>
      <c r="B3093" s="100">
        <v>89.162291388876682</v>
      </c>
      <c r="C3093" s="100">
        <v>99.623104780801583</v>
      </c>
      <c r="D3093" s="100">
        <v>91.565411751591697</v>
      </c>
      <c r="E3093" s="100">
        <v>92.024532970857976</v>
      </c>
      <c r="F3093" s="100">
        <v>1291.4550204164798</v>
      </c>
      <c r="G3093" s="100">
        <v>-2119.8229112591989</v>
      </c>
      <c r="H3093" s="100">
        <v>2501.3367077898183</v>
      </c>
      <c r="I3093" s="100">
        <v>1356.1066838432509</v>
      </c>
      <c r="J3093" s="100">
        <v>3029.0755007903499</v>
      </c>
    </row>
    <row r="3094" spans="1:10" x14ac:dyDescent="0.25">
      <c r="A3094">
        <v>3077</v>
      </c>
      <c r="B3094" s="100">
        <v>89.081418669825325</v>
      </c>
      <c r="C3094" s="100">
        <v>99.09303127220781</v>
      </c>
      <c r="D3094" s="100">
        <v>91.507865792966186</v>
      </c>
      <c r="E3094" s="100">
        <v>93.016550164460355</v>
      </c>
      <c r="F3094" s="100">
        <v>1558.3349932859562</v>
      </c>
      <c r="G3094" s="100">
        <v>-1324.7126483685392</v>
      </c>
      <c r="H3094" s="100">
        <v>2616.4286250408395</v>
      </c>
      <c r="I3094" s="100">
        <v>364.08949024087178</v>
      </c>
      <c r="J3094" s="100">
        <v>3214.140460199128</v>
      </c>
    </row>
    <row r="3095" spans="1:10" x14ac:dyDescent="0.25">
      <c r="A3095">
        <v>3078</v>
      </c>
      <c r="B3095" s="100">
        <v>89.76793517733681</v>
      </c>
      <c r="C3095" s="100">
        <v>98.948903693383286</v>
      </c>
      <c r="D3095" s="100">
        <v>93.892846727275582</v>
      </c>
      <c r="E3095" s="100">
        <v>93.428703418117152</v>
      </c>
      <c r="F3095" s="100">
        <v>-707.16948150194276</v>
      </c>
      <c r="G3095" s="100">
        <v>-1108.5212801317539</v>
      </c>
      <c r="H3095" s="100">
        <v>-2153.5332435779537</v>
      </c>
      <c r="I3095" s="100">
        <v>-48.063763415925109</v>
      </c>
      <c r="J3095" s="100">
        <v>-4017.2877686275756</v>
      </c>
    </row>
    <row r="3096" spans="1:10" x14ac:dyDescent="0.25">
      <c r="A3096">
        <v>3079</v>
      </c>
      <c r="B3096" s="100">
        <v>88.987704748284784</v>
      </c>
      <c r="C3096" s="100">
        <v>97.862290084763131</v>
      </c>
      <c r="D3096" s="100">
        <v>91.888818424148454</v>
      </c>
      <c r="E3096" s="100">
        <v>90.734051917408124</v>
      </c>
      <c r="F3096" s="100">
        <v>1867.5909343697413</v>
      </c>
      <c r="G3096" s="100">
        <v>521.3991327984786</v>
      </c>
      <c r="H3096" s="100">
        <v>1854.5233626763036</v>
      </c>
      <c r="I3096" s="100">
        <v>2646.5877372931031</v>
      </c>
      <c r="J3096" s="100">
        <v>6890.1011671376273</v>
      </c>
    </row>
    <row r="3097" spans="1:10" x14ac:dyDescent="0.25">
      <c r="A3097">
        <v>3080</v>
      </c>
      <c r="B3097" s="100">
        <v>89.919963106698575</v>
      </c>
      <c r="C3097" s="100">
        <v>99.171885707787752</v>
      </c>
      <c r="D3097" s="100">
        <v>93.690925790882631</v>
      </c>
      <c r="E3097" s="100">
        <v>93.340508080582282</v>
      </c>
      <c r="F3097" s="100">
        <v>-1208.8616483957665</v>
      </c>
      <c r="G3097" s="100">
        <v>-1442.9943017384517</v>
      </c>
      <c r="H3097" s="100">
        <v>-1749.6913707920498</v>
      </c>
      <c r="I3097" s="100">
        <v>40.131574118944968</v>
      </c>
      <c r="J3097" s="100">
        <v>-4361.4157468073226</v>
      </c>
    </row>
    <row r="3098" spans="1:10" x14ac:dyDescent="0.25">
      <c r="A3098">
        <v>3081</v>
      </c>
      <c r="B3098" s="100">
        <v>90.344834384471227</v>
      </c>
      <c r="C3098" s="100">
        <v>98.352020810020832</v>
      </c>
      <c r="D3098" s="100">
        <v>93.396689764173459</v>
      </c>
      <c r="E3098" s="100">
        <v>92.238677840615097</v>
      </c>
      <c r="F3098" s="100">
        <v>-2610.9368650455194</v>
      </c>
      <c r="G3098" s="100">
        <v>-213.19695508807257</v>
      </c>
      <c r="H3098" s="100">
        <v>-1161.2193173737069</v>
      </c>
      <c r="I3098" s="100">
        <v>1141.9618140861303</v>
      </c>
      <c r="J3098" s="100">
        <v>-2843.3913234211686</v>
      </c>
    </row>
    <row r="3099" spans="1:10" x14ac:dyDescent="0.25">
      <c r="A3099">
        <v>3082</v>
      </c>
      <c r="B3099" s="100">
        <v>89.732048182205943</v>
      </c>
      <c r="C3099" s="100">
        <v>98.973184280604443</v>
      </c>
      <c r="D3099" s="100">
        <v>93.079537172306104</v>
      </c>
      <c r="E3099" s="100">
        <v>94.242773570763759</v>
      </c>
      <c r="F3099" s="100">
        <v>-588.74239757008411</v>
      </c>
      <c r="G3099" s="100">
        <v>-1144.9421609634883</v>
      </c>
      <c r="H3099" s="100">
        <v>-526.91413363899642</v>
      </c>
      <c r="I3099" s="100">
        <v>-862.13391606253253</v>
      </c>
      <c r="J3099" s="100">
        <v>-3122.7326082351015</v>
      </c>
    </row>
    <row r="3100" spans="1:10" x14ac:dyDescent="0.25">
      <c r="A3100">
        <v>3083</v>
      </c>
      <c r="B3100" s="100">
        <v>89.505966337872906</v>
      </c>
      <c r="C3100" s="100">
        <v>97.984146058992053</v>
      </c>
      <c r="D3100" s="100">
        <v>93.539678651563364</v>
      </c>
      <c r="E3100" s="100">
        <v>93.303141644071388</v>
      </c>
      <c r="F3100" s="100">
        <v>157.32768872894098</v>
      </c>
      <c r="G3100" s="100">
        <v>338.61517145509623</v>
      </c>
      <c r="H3100" s="100">
        <v>-1447.197092153516</v>
      </c>
      <c r="I3100" s="100">
        <v>77.498010629838632</v>
      </c>
      <c r="J3100" s="100">
        <v>-873.75622133964009</v>
      </c>
    </row>
    <row r="3101" spans="1:10" x14ac:dyDescent="0.25">
      <c r="A3101">
        <v>3084</v>
      </c>
      <c r="B3101" s="100">
        <v>89.257561555842472</v>
      </c>
      <c r="C3101" s="100">
        <v>97.684232064135287</v>
      </c>
      <c r="D3101" s="100">
        <v>92.474875534038887</v>
      </c>
      <c r="E3101" s="100">
        <v>92.049256682131244</v>
      </c>
      <c r="F3101" s="100">
        <v>977.0634694293733</v>
      </c>
      <c r="G3101" s="100">
        <v>788.48616374024516</v>
      </c>
      <c r="H3101" s="100">
        <v>682.40914289543753</v>
      </c>
      <c r="I3101" s="100">
        <v>1331.3829725699834</v>
      </c>
      <c r="J3101" s="100">
        <v>3779.3417486350395</v>
      </c>
    </row>
    <row r="3102" spans="1:10" x14ac:dyDescent="0.25">
      <c r="A3102">
        <v>3085</v>
      </c>
      <c r="B3102" s="100">
        <v>89.820905375140256</v>
      </c>
      <c r="C3102" s="100">
        <v>97.614713892798633</v>
      </c>
      <c r="D3102" s="100">
        <v>94.215290541664942</v>
      </c>
      <c r="E3102" s="100">
        <v>95.219508741374838</v>
      </c>
      <c r="F3102" s="100">
        <v>-881.97113425331679</v>
      </c>
      <c r="G3102" s="100">
        <v>892.76342074522574</v>
      </c>
      <c r="H3102" s="100">
        <v>-2798.4208723566726</v>
      </c>
      <c r="I3102" s="100">
        <v>-1838.8690866736113</v>
      </c>
      <c r="J3102" s="100">
        <v>-4626.4976725383749</v>
      </c>
    </row>
    <row r="3103" spans="1:10" x14ac:dyDescent="0.25">
      <c r="A3103">
        <v>3086</v>
      </c>
      <c r="B3103" s="100">
        <v>89.49982193217771</v>
      </c>
      <c r="C3103" s="100">
        <v>98.476715767543709</v>
      </c>
      <c r="D3103" s="100">
        <v>92.411517026865511</v>
      </c>
      <c r="E3103" s="100">
        <v>94.475777448249303</v>
      </c>
      <c r="F3103" s="100">
        <v>177.60422752308642</v>
      </c>
      <c r="G3103" s="100">
        <v>-400.23939137238784</v>
      </c>
      <c r="H3103" s="100">
        <v>809.12615724218995</v>
      </c>
      <c r="I3103" s="100">
        <v>-1095.1377935480764</v>
      </c>
      <c r="J3103" s="100">
        <v>-508.64680015518786</v>
      </c>
    </row>
    <row r="3104" spans="1:10" x14ac:dyDescent="0.25">
      <c r="A3104">
        <v>3087</v>
      </c>
      <c r="B3104" s="100">
        <v>90.301131885879428</v>
      </c>
      <c r="C3104" s="100">
        <v>98.074042866393441</v>
      </c>
      <c r="D3104" s="100">
        <v>93.71299946920935</v>
      </c>
      <c r="E3104" s="100">
        <v>92.880963200793758</v>
      </c>
      <c r="F3104" s="100">
        <v>-2466.7186196925841</v>
      </c>
      <c r="G3104" s="100">
        <v>203.76996035301431</v>
      </c>
      <c r="H3104" s="100">
        <v>-1793.8387274454897</v>
      </c>
      <c r="I3104" s="100">
        <v>499.67645390746895</v>
      </c>
      <c r="J3104" s="100">
        <v>-3557.1109328775906</v>
      </c>
    </row>
    <row r="3105" spans="1:10" x14ac:dyDescent="0.25">
      <c r="A3105">
        <v>3088</v>
      </c>
      <c r="B3105" s="100">
        <v>89.950045337389042</v>
      </c>
      <c r="C3105" s="100">
        <v>98.479510788371769</v>
      </c>
      <c r="D3105" s="100">
        <v>92.330322962055078</v>
      </c>
      <c r="E3105" s="100">
        <v>90.629140745219871</v>
      </c>
      <c r="F3105" s="100">
        <v>-1308.1330096743102</v>
      </c>
      <c r="G3105" s="100">
        <v>-404.43192261447791</v>
      </c>
      <c r="H3105" s="100">
        <v>971.51428686305508</v>
      </c>
      <c r="I3105" s="100">
        <v>2751.4989094813559</v>
      </c>
      <c r="J3105" s="100">
        <v>2010.448264055623</v>
      </c>
    </row>
    <row r="3106" spans="1:10" x14ac:dyDescent="0.25">
      <c r="A3106">
        <v>3089</v>
      </c>
      <c r="B3106" s="100">
        <v>90.249525597386764</v>
      </c>
      <c r="C3106" s="100">
        <v>97.815430492961937</v>
      </c>
      <c r="D3106" s="100">
        <v>93.379297639407255</v>
      </c>
      <c r="E3106" s="100">
        <v>94.589640175844821</v>
      </c>
      <c r="F3106" s="100">
        <v>-2296.4178676667925</v>
      </c>
      <c r="G3106" s="100">
        <v>591.68852050026999</v>
      </c>
      <c r="H3106" s="100">
        <v>-1126.4350678412995</v>
      </c>
      <c r="I3106" s="100">
        <v>-1209.0005211435937</v>
      </c>
      <c r="J3106" s="100">
        <v>-4040.1649361514155</v>
      </c>
    </row>
    <row r="3107" spans="1:10" x14ac:dyDescent="0.25">
      <c r="A3107">
        <v>3090</v>
      </c>
      <c r="B3107" s="100">
        <v>89.010774631735956</v>
      </c>
      <c r="C3107" s="100">
        <v>96.523394803146218</v>
      </c>
      <c r="D3107" s="100">
        <v>92.349138257560057</v>
      </c>
      <c r="E3107" s="100">
        <v>90.707061698940038</v>
      </c>
      <c r="F3107" s="100">
        <v>1791.4603189808759</v>
      </c>
      <c r="G3107" s="100">
        <v>2529.7420552238491</v>
      </c>
      <c r="H3107" s="100">
        <v>933.88369585309761</v>
      </c>
      <c r="I3107" s="100">
        <v>2673.5779557611891</v>
      </c>
      <c r="J3107" s="100">
        <v>7928.6640258190109</v>
      </c>
    </row>
    <row r="3108" spans="1:10" x14ac:dyDescent="0.25">
      <c r="A3108">
        <v>3091</v>
      </c>
      <c r="B3108" s="100">
        <v>89.890456734826316</v>
      </c>
      <c r="C3108" s="100">
        <v>95.811772604073127</v>
      </c>
      <c r="D3108" s="100">
        <v>91.885379560129891</v>
      </c>
      <c r="E3108" s="100">
        <v>89.176628641088257</v>
      </c>
      <c r="F3108" s="100">
        <v>-1111.4906212173125</v>
      </c>
      <c r="G3108" s="100">
        <v>3597.1753538334851</v>
      </c>
      <c r="H3108" s="100">
        <v>1861.4010907134286</v>
      </c>
      <c r="I3108" s="100">
        <v>4204.0110136129697</v>
      </c>
      <c r="J3108" s="100">
        <v>8551.0968369425718</v>
      </c>
    </row>
    <row r="3109" spans="1:10" x14ac:dyDescent="0.25">
      <c r="A3109">
        <v>3092</v>
      </c>
      <c r="B3109" s="100">
        <v>89.772960066075257</v>
      </c>
      <c r="C3109" s="100">
        <v>97.131689496220062</v>
      </c>
      <c r="D3109" s="100">
        <v>92.500434691657404</v>
      </c>
      <c r="E3109" s="100">
        <v>92.617052029490765</v>
      </c>
      <c r="F3109" s="100">
        <v>-723.75161433881772</v>
      </c>
      <c r="G3109" s="100">
        <v>1617.3000156130825</v>
      </c>
      <c r="H3109" s="100">
        <v>631.29082765840394</v>
      </c>
      <c r="I3109" s="100">
        <v>763.58762521046231</v>
      </c>
      <c r="J3109" s="100">
        <v>2288.4268541431311</v>
      </c>
    </row>
    <row r="3110" spans="1:10" x14ac:dyDescent="0.25">
      <c r="A3110">
        <v>3093</v>
      </c>
      <c r="B3110" s="100">
        <v>90.766021743800479</v>
      </c>
      <c r="C3110" s="100">
        <v>99.299889659748985</v>
      </c>
      <c r="D3110" s="100">
        <v>92.728255183176557</v>
      </c>
      <c r="E3110" s="100">
        <v>95.776751636935401</v>
      </c>
      <c r="F3110" s="100">
        <v>-4000.8551508320525</v>
      </c>
      <c r="G3110" s="100">
        <v>-1635.0002296803013</v>
      </c>
      <c r="H3110" s="100">
        <v>175.64984462009647</v>
      </c>
      <c r="I3110" s="100">
        <v>-2396.1119822341743</v>
      </c>
      <c r="J3110" s="100">
        <v>-7856.3175181264314</v>
      </c>
    </row>
    <row r="3111" spans="1:10" x14ac:dyDescent="0.25">
      <c r="A3111">
        <v>3094</v>
      </c>
      <c r="B3111" s="100">
        <v>89.706377413840968</v>
      </c>
      <c r="C3111" s="100">
        <v>99.171461301443969</v>
      </c>
      <c r="D3111" s="100">
        <v>92.967338238083713</v>
      </c>
      <c r="E3111" s="100">
        <v>93.319214770798766</v>
      </c>
      <c r="F3111" s="100">
        <v>-504.02886196566641</v>
      </c>
      <c r="G3111" s="100">
        <v>-1442.357692222778</v>
      </c>
      <c r="H3111" s="100">
        <v>-302.51626519421393</v>
      </c>
      <c r="I3111" s="100">
        <v>61.424883902461147</v>
      </c>
      <c r="J3111" s="100">
        <v>-2187.4779354801972</v>
      </c>
    </row>
    <row r="3112" spans="1:10" x14ac:dyDescent="0.25">
      <c r="A3112">
        <v>3095</v>
      </c>
      <c r="B3112" s="100">
        <v>89.654198163384407</v>
      </c>
      <c r="C3112" s="100">
        <v>98.022344073207591</v>
      </c>
      <c r="D3112" s="100">
        <v>91.899009513644515</v>
      </c>
      <c r="E3112" s="100">
        <v>93.160582823994403</v>
      </c>
      <c r="F3112" s="100">
        <v>-331.83733545901504</v>
      </c>
      <c r="G3112" s="100">
        <v>281.31815013178851</v>
      </c>
      <c r="H3112" s="100">
        <v>1834.1411836841814</v>
      </c>
      <c r="I3112" s="100">
        <v>220.0568307068238</v>
      </c>
      <c r="J3112" s="100">
        <v>2003.6788290637787</v>
      </c>
    </row>
    <row r="3113" spans="1:10" x14ac:dyDescent="0.25">
      <c r="A3113">
        <v>3096</v>
      </c>
      <c r="B3113" s="100">
        <v>89.942471870067948</v>
      </c>
      <c r="C3113" s="100">
        <v>98.283566823795027</v>
      </c>
      <c r="D3113" s="100">
        <v>93.42394523238292</v>
      </c>
      <c r="E3113" s="100">
        <v>93.492138923563019</v>
      </c>
      <c r="F3113" s="100">
        <v>-1283.1405675146982</v>
      </c>
      <c r="G3113" s="100">
        <v>-110.51597574936523</v>
      </c>
      <c r="H3113" s="100">
        <v>-1215.7302537926284</v>
      </c>
      <c r="I3113" s="100">
        <v>-111.49926886179173</v>
      </c>
      <c r="J3113" s="100">
        <v>-2720.8860659184834</v>
      </c>
    </row>
    <row r="3114" spans="1:10" x14ac:dyDescent="0.25">
      <c r="A3114">
        <v>3097</v>
      </c>
      <c r="B3114" s="100">
        <v>90.069080225905353</v>
      </c>
      <c r="C3114" s="100">
        <v>98.74565049388309</v>
      </c>
      <c r="D3114" s="100">
        <v>93.194118888783734</v>
      </c>
      <c r="E3114" s="100">
        <v>91.834962582066254</v>
      </c>
      <c r="F3114" s="100">
        <v>-1700.9481417781344</v>
      </c>
      <c r="G3114" s="100">
        <v>-803.64148088145976</v>
      </c>
      <c r="H3114" s="100">
        <v>-756.07756659425718</v>
      </c>
      <c r="I3114" s="100">
        <v>1545.6770726349732</v>
      </c>
      <c r="J3114" s="100">
        <v>-1714.9901166188783</v>
      </c>
    </row>
    <row r="3115" spans="1:10" x14ac:dyDescent="0.25">
      <c r="A3115">
        <v>3098</v>
      </c>
      <c r="B3115" s="100">
        <v>89.467789504836929</v>
      </c>
      <c r="C3115" s="100">
        <v>98.77795832828599</v>
      </c>
      <c r="D3115" s="100">
        <v>93.463884414464204</v>
      </c>
      <c r="E3115" s="100">
        <v>92.9297353765716</v>
      </c>
      <c r="F3115" s="100">
        <v>283.3112377476624</v>
      </c>
      <c r="G3115" s="100">
        <v>-852.10323248580971</v>
      </c>
      <c r="H3115" s="100">
        <v>-1295.608617955196</v>
      </c>
      <c r="I3115" s="100">
        <v>450.9042781296273</v>
      </c>
      <c r="J3115" s="100">
        <v>-1413.4963345637159</v>
      </c>
    </row>
    <row r="3116" spans="1:10" x14ac:dyDescent="0.25">
      <c r="A3116">
        <v>3099</v>
      </c>
      <c r="B3116" s="100">
        <v>89.433912703415174</v>
      </c>
      <c r="C3116" s="100">
        <v>99.386745944524236</v>
      </c>
      <c r="D3116" s="100">
        <v>91.884232139087629</v>
      </c>
      <c r="E3116" s="100">
        <v>92.351072936197397</v>
      </c>
      <c r="F3116" s="100">
        <v>395.10468243945382</v>
      </c>
      <c r="G3116" s="100">
        <v>-1765.2846568431783</v>
      </c>
      <c r="H3116" s="100">
        <v>1863.6959327979525</v>
      </c>
      <c r="I3116" s="100">
        <v>1029.5667185038296</v>
      </c>
      <c r="J3116" s="100">
        <v>1523.0826768980578</v>
      </c>
    </row>
    <row r="3117" spans="1:10" x14ac:dyDescent="0.25">
      <c r="A3117">
        <v>3100</v>
      </c>
      <c r="B3117" s="100">
        <v>88.906259759172258</v>
      </c>
      <c r="C3117" s="100">
        <v>98.229752036057135</v>
      </c>
      <c r="D3117" s="100">
        <v>92.93738101132972</v>
      </c>
      <c r="E3117" s="100">
        <v>95.318187382896454</v>
      </c>
      <c r="F3117" s="100">
        <v>2136.3593984410782</v>
      </c>
      <c r="G3117" s="100">
        <v>-29.793794142527474</v>
      </c>
      <c r="H3117" s="100">
        <v>-242.60181168622807</v>
      </c>
      <c r="I3117" s="100">
        <v>-1937.5477281952271</v>
      </c>
      <c r="J3117" s="100">
        <v>-73.583935582904587</v>
      </c>
    </row>
    <row r="3118" spans="1:10" x14ac:dyDescent="0.25">
      <c r="A3118">
        <v>3101</v>
      </c>
      <c r="B3118" s="100">
        <v>90.092689028761924</v>
      </c>
      <c r="C3118" s="100">
        <v>97.686044683829437</v>
      </c>
      <c r="D3118" s="100">
        <v>93.640313419340103</v>
      </c>
      <c r="E3118" s="100">
        <v>92.30186977503071</v>
      </c>
      <c r="F3118" s="100">
        <v>-1778.8571912048212</v>
      </c>
      <c r="G3118" s="100">
        <v>785.767234199021</v>
      </c>
      <c r="H3118" s="100">
        <v>-1648.4666277069948</v>
      </c>
      <c r="I3118" s="100">
        <v>1078.7698796705172</v>
      </c>
      <c r="J3118" s="100">
        <v>-1562.7867050422778</v>
      </c>
    </row>
    <row r="3119" spans="1:10" x14ac:dyDescent="0.25">
      <c r="A3119">
        <v>3102</v>
      </c>
      <c r="B3119" s="100">
        <v>89.38004931780084</v>
      </c>
      <c r="C3119" s="100">
        <v>98.863445789736019</v>
      </c>
      <c r="D3119" s="100">
        <v>92.74896757624937</v>
      </c>
      <c r="E3119" s="100">
        <v>93.045202491001731</v>
      </c>
      <c r="F3119" s="100">
        <v>572.85385496675895</v>
      </c>
      <c r="G3119" s="100">
        <v>-980.33442466085319</v>
      </c>
      <c r="H3119" s="100">
        <v>134.22505847447042</v>
      </c>
      <c r="I3119" s="100">
        <v>335.4371636994955</v>
      </c>
      <c r="J3119" s="100">
        <v>62.181652479871673</v>
      </c>
    </row>
    <row r="3120" spans="1:10" x14ac:dyDescent="0.25">
      <c r="A3120">
        <v>3103</v>
      </c>
      <c r="B3120" s="100">
        <v>90.3542546717009</v>
      </c>
      <c r="C3120" s="100">
        <v>97.936689189488931</v>
      </c>
      <c r="D3120" s="100">
        <v>91.365113327780335</v>
      </c>
      <c r="E3120" s="100">
        <v>90.968772578461255</v>
      </c>
      <c r="F3120" s="100">
        <v>-2642.0238129034415</v>
      </c>
      <c r="G3120" s="100">
        <v>409.80047570977973</v>
      </c>
      <c r="H3120" s="100">
        <v>2901.9335554125405</v>
      </c>
      <c r="I3120" s="100">
        <v>2411.8670762399715</v>
      </c>
      <c r="J3120" s="100">
        <v>3081.5772944588502</v>
      </c>
    </row>
    <row r="3121" spans="1:10" x14ac:dyDescent="0.25">
      <c r="A3121">
        <v>3104</v>
      </c>
      <c r="B3121" s="100">
        <v>89.621103435865365</v>
      </c>
      <c r="C3121" s="100">
        <v>99.112769987018595</v>
      </c>
      <c r="D3121" s="100">
        <v>93.475951694041115</v>
      </c>
      <c r="E3121" s="100">
        <v>90.10809223294649</v>
      </c>
      <c r="F3121" s="100">
        <v>-222.62473464617472</v>
      </c>
      <c r="G3121" s="100">
        <v>-1354.3207205847168</v>
      </c>
      <c r="H3121" s="100">
        <v>-1319.743177109018</v>
      </c>
      <c r="I3121" s="100">
        <v>3272.5474217547371</v>
      </c>
      <c r="J3121" s="100">
        <v>375.8587894148277</v>
      </c>
    </row>
    <row r="3122" spans="1:10" x14ac:dyDescent="0.25">
      <c r="A3122">
        <v>3105</v>
      </c>
      <c r="B3122" s="100">
        <v>90.197604329774293</v>
      </c>
      <c r="C3122" s="100">
        <v>97.711503475883376</v>
      </c>
      <c r="D3122" s="100">
        <v>91.86220006573447</v>
      </c>
      <c r="E3122" s="100">
        <v>95.074016632489446</v>
      </c>
      <c r="F3122" s="100">
        <v>-2125.0776845456385</v>
      </c>
      <c r="G3122" s="100">
        <v>747.57904611811205</v>
      </c>
      <c r="H3122" s="100">
        <v>1907.7600795042713</v>
      </c>
      <c r="I3122" s="100">
        <v>-1693.3769777882189</v>
      </c>
      <c r="J3122" s="100">
        <v>-1163.1155367114741</v>
      </c>
    </row>
    <row r="3123" spans="1:10" x14ac:dyDescent="0.25">
      <c r="A3123">
        <v>3106</v>
      </c>
      <c r="B3123" s="100">
        <v>90.047327091278731</v>
      </c>
      <c r="C3123" s="100">
        <v>98.682660300385251</v>
      </c>
      <c r="D3123" s="100">
        <v>93.771315118295405</v>
      </c>
      <c r="E3123" s="100">
        <v>95.456578207706059</v>
      </c>
      <c r="F3123" s="100">
        <v>-1629.1627975102842</v>
      </c>
      <c r="G3123" s="100">
        <v>-709.15619063470103</v>
      </c>
      <c r="H3123" s="100">
        <v>-1910.4700256175988</v>
      </c>
      <c r="I3123" s="100">
        <v>-2075.9385530048321</v>
      </c>
      <c r="J3123" s="100">
        <v>-6324.7275667674157</v>
      </c>
    </row>
    <row r="3124" spans="1:10" x14ac:dyDescent="0.25">
      <c r="A3124">
        <v>3107</v>
      </c>
      <c r="B3124" s="100">
        <v>89.72195190443118</v>
      </c>
      <c r="C3124" s="100">
        <v>98.421193693321456</v>
      </c>
      <c r="D3124" s="100">
        <v>93.271055321255091</v>
      </c>
      <c r="E3124" s="100">
        <v>93.480489239205397</v>
      </c>
      <c r="F3124" s="100">
        <v>-555.42468091336309</v>
      </c>
      <c r="G3124" s="100">
        <v>-316.95628003900822</v>
      </c>
      <c r="H3124" s="100">
        <v>-909.95043153696997</v>
      </c>
      <c r="I3124" s="100">
        <v>-99.849584504170252</v>
      </c>
      <c r="J3124" s="100">
        <v>-1882.1809769935116</v>
      </c>
    </row>
    <row r="3125" spans="1:10" x14ac:dyDescent="0.25">
      <c r="A3125">
        <v>3108</v>
      </c>
      <c r="B3125" s="100">
        <v>89.680547912231475</v>
      </c>
      <c r="C3125" s="100">
        <v>98.825917770107651</v>
      </c>
      <c r="D3125" s="100">
        <v>93.194561013868196</v>
      </c>
      <c r="E3125" s="100">
        <v>95.004251376895695</v>
      </c>
      <c r="F3125" s="100">
        <v>-418.79150665433826</v>
      </c>
      <c r="G3125" s="100">
        <v>-924.04239521830073</v>
      </c>
      <c r="H3125" s="100">
        <v>-756.9618167631802</v>
      </c>
      <c r="I3125" s="100">
        <v>-1623.6117221944683</v>
      </c>
      <c r="J3125" s="100">
        <v>-3723.4074408302872</v>
      </c>
    </row>
    <row r="3126" spans="1:10" x14ac:dyDescent="0.25">
      <c r="A3126">
        <v>3109</v>
      </c>
      <c r="B3126" s="100">
        <v>89.832160730707457</v>
      </c>
      <c r="C3126" s="100">
        <v>98.6357878283807</v>
      </c>
      <c r="D3126" s="100">
        <v>92.451781652366051</v>
      </c>
      <c r="E3126" s="100">
        <v>93.192974119758418</v>
      </c>
      <c r="F3126" s="100">
        <v>-919.11380762507952</v>
      </c>
      <c r="G3126" s="100">
        <v>-638.84748262787389</v>
      </c>
      <c r="H3126" s="100">
        <v>728.5969062411084</v>
      </c>
      <c r="I3126" s="100">
        <v>187.66553494280913</v>
      </c>
      <c r="J3126" s="100">
        <v>-641.69884906903587</v>
      </c>
    </row>
    <row r="3127" spans="1:10" x14ac:dyDescent="0.25">
      <c r="A3127">
        <v>3110</v>
      </c>
      <c r="B3127" s="100">
        <v>90.247262582264256</v>
      </c>
      <c r="C3127" s="100">
        <v>97.911721868025211</v>
      </c>
      <c r="D3127" s="100">
        <v>92.673025258332245</v>
      </c>
      <c r="E3127" s="100">
        <v>93.10718751352087</v>
      </c>
      <c r="F3127" s="100">
        <v>-2288.9499177625139</v>
      </c>
      <c r="G3127" s="100">
        <v>447.25145790535947</v>
      </c>
      <c r="H3127" s="100">
        <v>286.10969430872046</v>
      </c>
      <c r="I3127" s="100">
        <v>273.45214118035699</v>
      </c>
      <c r="J3127" s="100">
        <v>-1282.1366243680768</v>
      </c>
    </row>
    <row r="3128" spans="1:10" x14ac:dyDescent="0.25">
      <c r="A3128">
        <v>3111</v>
      </c>
      <c r="B3128" s="100">
        <v>88.742472363987815</v>
      </c>
      <c r="C3128" s="100">
        <v>98.265952895320368</v>
      </c>
      <c r="D3128" s="100">
        <v>92.366476157901374</v>
      </c>
      <c r="E3128" s="100">
        <v>92.069386983502142</v>
      </c>
      <c r="F3128" s="100">
        <v>2676.8578025497391</v>
      </c>
      <c r="G3128" s="100">
        <v>-84.095083037375673</v>
      </c>
      <c r="H3128" s="100">
        <v>899.20789517046273</v>
      </c>
      <c r="I3128" s="100">
        <v>1311.2526711990854</v>
      </c>
      <c r="J3128" s="100">
        <v>4803.2232858819116</v>
      </c>
    </row>
    <row r="3129" spans="1:10" x14ac:dyDescent="0.25">
      <c r="A3129">
        <v>3112</v>
      </c>
      <c r="B3129" s="100">
        <v>90.223053499634048</v>
      </c>
      <c r="C3129" s="100">
        <v>97.788636091288822</v>
      </c>
      <c r="D3129" s="100">
        <v>93.824572085467935</v>
      </c>
      <c r="E3129" s="100">
        <v>90.353703665036804</v>
      </c>
      <c r="F3129" s="100">
        <v>-2209.0599450828295</v>
      </c>
      <c r="G3129" s="100">
        <v>631.88012300994251</v>
      </c>
      <c r="H3129" s="100">
        <v>-2016.9839599626584</v>
      </c>
      <c r="I3129" s="100">
        <v>3026.9359896644232</v>
      </c>
      <c r="J3129" s="100">
        <v>-567.22779237112218</v>
      </c>
    </row>
    <row r="3130" spans="1:10" x14ac:dyDescent="0.25">
      <c r="A3130">
        <v>3113</v>
      </c>
      <c r="B3130" s="100">
        <v>88.466495476296132</v>
      </c>
      <c r="C3130" s="100">
        <v>98.705964809148199</v>
      </c>
      <c r="D3130" s="100">
        <v>92.056822898696822</v>
      </c>
      <c r="E3130" s="100">
        <v>94.454184825240432</v>
      </c>
      <c r="F3130" s="100">
        <v>3587.5815319322955</v>
      </c>
      <c r="G3130" s="100">
        <v>-744.11295377912268</v>
      </c>
      <c r="H3130" s="100">
        <v>1518.5144135795667</v>
      </c>
      <c r="I3130" s="100">
        <v>-1073.5451705392052</v>
      </c>
      <c r="J3130" s="100">
        <v>3288.4378211935345</v>
      </c>
    </row>
    <row r="3131" spans="1:10" x14ac:dyDescent="0.25">
      <c r="A3131">
        <v>3114</v>
      </c>
      <c r="B3131" s="100">
        <v>89.92307671252928</v>
      </c>
      <c r="C3131" s="100">
        <v>99.473982686332249</v>
      </c>
      <c r="D3131" s="100">
        <v>94.087658516343069</v>
      </c>
      <c r="E3131" s="100">
        <v>93.39018470110355</v>
      </c>
      <c r="F3131" s="100">
        <v>-1219.1365476370947</v>
      </c>
      <c r="G3131" s="100">
        <v>-1896.139769555198</v>
      </c>
      <c r="H3131" s="100">
        <v>-2543.156821712927</v>
      </c>
      <c r="I3131" s="100">
        <v>-9.5450464023230097</v>
      </c>
      <c r="J3131" s="100">
        <v>-5667.9781853075428</v>
      </c>
    </row>
    <row r="3132" spans="1:10" x14ac:dyDescent="0.25">
      <c r="A3132">
        <v>3115</v>
      </c>
      <c r="B3132" s="100">
        <v>89.198238342072599</v>
      </c>
      <c r="C3132" s="100">
        <v>98.511459589149069</v>
      </c>
      <c r="D3132" s="100">
        <v>93.431049561695573</v>
      </c>
      <c r="E3132" s="100">
        <v>93.584549992704666</v>
      </c>
      <c r="F3132" s="100">
        <v>1172.830074869951</v>
      </c>
      <c r="G3132" s="100">
        <v>-452.35512378042841</v>
      </c>
      <c r="H3132" s="100">
        <v>-1229.9389124179356</v>
      </c>
      <c r="I3132" s="100">
        <v>-203.91033800343905</v>
      </c>
      <c r="J3132" s="100">
        <v>-713.37429933185206</v>
      </c>
    </row>
    <row r="3133" spans="1:10" x14ac:dyDescent="0.25">
      <c r="A3133">
        <v>3116</v>
      </c>
      <c r="B3133" s="100">
        <v>88.749750016331603</v>
      </c>
      <c r="C3133" s="100">
        <v>96.95529500029771</v>
      </c>
      <c r="D3133" s="100">
        <v>91.025413553704823</v>
      </c>
      <c r="E3133" s="100">
        <v>92.924583693495947</v>
      </c>
      <c r="F3133" s="100">
        <v>2652.8415498152385</v>
      </c>
      <c r="G3133" s="100">
        <v>1881.891759496611</v>
      </c>
      <c r="H3133" s="100">
        <v>3581.3331035635656</v>
      </c>
      <c r="I3133" s="100">
        <v>456.05596120527991</v>
      </c>
      <c r="J3133" s="100">
        <v>8572.1223740806945</v>
      </c>
    </row>
    <row r="3134" spans="1:10" x14ac:dyDescent="0.25">
      <c r="A3134">
        <v>3117</v>
      </c>
      <c r="B3134" s="100">
        <v>89.564471997236737</v>
      </c>
      <c r="C3134" s="100">
        <v>97.330621836570657</v>
      </c>
      <c r="D3134" s="100">
        <v>93.785208330051347</v>
      </c>
      <c r="E3134" s="100">
        <v>92.858971230436055</v>
      </c>
      <c r="F3134" s="100">
        <v>-35.740987171702443</v>
      </c>
      <c r="G3134" s="100">
        <v>1318.9015050871901</v>
      </c>
      <c r="H3134" s="100">
        <v>-1938.2564491294829</v>
      </c>
      <c r="I3134" s="100">
        <v>521.66842426517235</v>
      </c>
      <c r="J3134" s="100">
        <v>-133.42750694882295</v>
      </c>
    </row>
    <row r="3135" spans="1:10" x14ac:dyDescent="0.25">
      <c r="A3135">
        <v>3118</v>
      </c>
      <c r="B3135" s="100">
        <v>89.066737742786387</v>
      </c>
      <c r="C3135" s="100">
        <v>97.411130768480234</v>
      </c>
      <c r="D3135" s="100">
        <v>95.278560461761472</v>
      </c>
      <c r="E3135" s="100">
        <v>94.48133797316072</v>
      </c>
      <c r="F3135" s="100">
        <v>1606.7820525144525</v>
      </c>
      <c r="G3135" s="100">
        <v>1198.1381072228246</v>
      </c>
      <c r="H3135" s="100">
        <v>-4924.9607125497332</v>
      </c>
      <c r="I3135" s="100">
        <v>-1100.6983184594928</v>
      </c>
      <c r="J3135" s="100">
        <v>-3220.7388712719489</v>
      </c>
    </row>
    <row r="3136" spans="1:10" x14ac:dyDescent="0.25">
      <c r="A3136">
        <v>3119</v>
      </c>
      <c r="B3136" s="100">
        <v>89.127521357107497</v>
      </c>
      <c r="C3136" s="100">
        <v>98.000148465721708</v>
      </c>
      <c r="D3136" s="100">
        <v>91.396048809278327</v>
      </c>
      <c r="E3136" s="100">
        <v>92.135126460983457</v>
      </c>
      <c r="F3136" s="100">
        <v>1406.196125254789</v>
      </c>
      <c r="G3136" s="100">
        <v>314.61156136061419</v>
      </c>
      <c r="H3136" s="100">
        <v>2840.0625924165579</v>
      </c>
      <c r="I3136" s="100">
        <v>1245.5131937177698</v>
      </c>
      <c r="J3136" s="100">
        <v>5806.3834727497306</v>
      </c>
    </row>
    <row r="3137" spans="1:10" x14ac:dyDescent="0.25">
      <c r="A3137">
        <v>3120</v>
      </c>
      <c r="B3137" s="100">
        <v>89.682914358664618</v>
      </c>
      <c r="C3137" s="100">
        <v>98.279594205725886</v>
      </c>
      <c r="D3137" s="100">
        <v>92.112830623269204</v>
      </c>
      <c r="E3137" s="100">
        <v>93.414153213408255</v>
      </c>
      <c r="F3137" s="100">
        <v>-426.60077988371086</v>
      </c>
      <c r="G3137" s="100">
        <v>-104.55704864565263</v>
      </c>
      <c r="H3137" s="100">
        <v>1406.4989644348032</v>
      </c>
      <c r="I3137" s="100">
        <v>-33.513558707028324</v>
      </c>
      <c r="J3137" s="100">
        <v>841.82757719841129</v>
      </c>
    </row>
    <row r="3138" spans="1:10" x14ac:dyDescent="0.25">
      <c r="A3138">
        <v>3121</v>
      </c>
      <c r="B3138" s="100">
        <v>90.563991904205551</v>
      </c>
      <c r="C3138" s="100">
        <v>97.097959543374856</v>
      </c>
      <c r="D3138" s="100">
        <v>92.374917332787561</v>
      </c>
      <c r="E3138" s="100">
        <v>93.908921358149811</v>
      </c>
      <c r="F3138" s="100">
        <v>-3334.1566801687891</v>
      </c>
      <c r="G3138" s="100">
        <v>1667.8949448808921</v>
      </c>
      <c r="H3138" s="100">
        <v>882.32554539808916</v>
      </c>
      <c r="I3138" s="100">
        <v>-528.28170344858449</v>
      </c>
      <c r="J3138" s="100">
        <v>-1312.2178933383923</v>
      </c>
    </row>
    <row r="3139" spans="1:10" x14ac:dyDescent="0.25">
      <c r="A3139">
        <v>3122</v>
      </c>
      <c r="B3139" s="100">
        <v>89.522841574101861</v>
      </c>
      <c r="C3139" s="100">
        <v>96.865439433006514</v>
      </c>
      <c r="D3139" s="100">
        <v>91.654368952609815</v>
      </c>
      <c r="E3139" s="100">
        <v>92.660282711661381</v>
      </c>
      <c r="F3139" s="100">
        <v>101.63940917338863</v>
      </c>
      <c r="G3139" s="100">
        <v>2016.6751104334039</v>
      </c>
      <c r="H3139" s="100">
        <v>2323.4223057535814</v>
      </c>
      <c r="I3139" s="100">
        <v>720.35694303984599</v>
      </c>
      <c r="J3139" s="100">
        <v>5162.0937684002201</v>
      </c>
    </row>
    <row r="3140" spans="1:10" x14ac:dyDescent="0.25">
      <c r="A3140">
        <v>3123</v>
      </c>
      <c r="B3140" s="100">
        <v>89.385459975084885</v>
      </c>
      <c r="C3140" s="100">
        <v>97.393108401059777</v>
      </c>
      <c r="D3140" s="100">
        <v>91.776854915892912</v>
      </c>
      <c r="E3140" s="100">
        <v>92.438232495320918</v>
      </c>
      <c r="F3140" s="100">
        <v>554.99868592940948</v>
      </c>
      <c r="G3140" s="100">
        <v>1225.1716583535099</v>
      </c>
      <c r="H3140" s="100">
        <v>2078.4503791873876</v>
      </c>
      <c r="I3140" s="100">
        <v>942.40715938030917</v>
      </c>
      <c r="J3140" s="100">
        <v>4801.0278828506162</v>
      </c>
    </row>
    <row r="3141" spans="1:10" x14ac:dyDescent="0.25">
      <c r="A3141">
        <v>3124</v>
      </c>
      <c r="B3141" s="100">
        <v>89.756971284219702</v>
      </c>
      <c r="C3141" s="100">
        <v>98.879709163818688</v>
      </c>
      <c r="D3141" s="100">
        <v>94.022076789382183</v>
      </c>
      <c r="E3141" s="100">
        <v>92.854021746355912</v>
      </c>
      <c r="F3141" s="100">
        <v>-670.98863421548742</v>
      </c>
      <c r="G3141" s="100">
        <v>-1004.7294857848569</v>
      </c>
      <c r="H3141" s="100">
        <v>-2411.9933677911549</v>
      </c>
      <c r="I3141" s="100">
        <v>526.6179083453153</v>
      </c>
      <c r="J3141" s="100">
        <v>-3561.0935794461839</v>
      </c>
    </row>
    <row r="3142" spans="1:10" x14ac:dyDescent="0.25">
      <c r="A3142">
        <v>3125</v>
      </c>
      <c r="B3142" s="100">
        <v>89.433384619584714</v>
      </c>
      <c r="C3142" s="100">
        <v>99.937179052618262</v>
      </c>
      <c r="D3142" s="100">
        <v>94.214020802617554</v>
      </c>
      <c r="E3142" s="100">
        <v>96.285016443527283</v>
      </c>
      <c r="F3142" s="100">
        <v>396.8473590799718</v>
      </c>
      <c r="G3142" s="100">
        <v>-2590.9343189842175</v>
      </c>
      <c r="H3142" s="100">
        <v>-2795.8813942618972</v>
      </c>
      <c r="I3142" s="100">
        <v>-2904.3767888260563</v>
      </c>
      <c r="J3142" s="100">
        <v>-7894.3451429921997</v>
      </c>
    </row>
    <row r="3143" spans="1:10" x14ac:dyDescent="0.25">
      <c r="A3143">
        <v>3126</v>
      </c>
      <c r="B3143" s="100">
        <v>88.648440914011857</v>
      </c>
      <c r="C3143" s="100">
        <v>96.934665751487628</v>
      </c>
      <c r="D3143" s="100">
        <v>94.414646965393544</v>
      </c>
      <c r="E3143" s="100">
        <v>95.819524210403614</v>
      </c>
      <c r="F3143" s="100">
        <v>2987.1615874704007</v>
      </c>
      <c r="G3143" s="100">
        <v>1912.8356327117331</v>
      </c>
      <c r="H3143" s="100">
        <v>-3197.1337198138772</v>
      </c>
      <c r="I3143" s="100">
        <v>-2438.8845557023869</v>
      </c>
      <c r="J3143" s="100">
        <v>-736.02105533413032</v>
      </c>
    </row>
    <row r="3144" spans="1:10" x14ac:dyDescent="0.25">
      <c r="A3144">
        <v>3127</v>
      </c>
      <c r="B3144" s="100">
        <v>90.458131760185651</v>
      </c>
      <c r="C3144" s="100">
        <v>100.45216561963765</v>
      </c>
      <c r="D3144" s="100">
        <v>91.453399142600119</v>
      </c>
      <c r="E3144" s="100">
        <v>93.379486937369123</v>
      </c>
      <c r="F3144" s="100">
        <v>-2984.8182049031193</v>
      </c>
      <c r="G3144" s="100">
        <v>-3363.4141695133053</v>
      </c>
      <c r="H3144" s="100">
        <v>2725.3619257729724</v>
      </c>
      <c r="I3144" s="100">
        <v>1.1527173321042028</v>
      </c>
      <c r="J3144" s="100">
        <v>-3621.7177313113475</v>
      </c>
    </row>
    <row r="3145" spans="1:10" x14ac:dyDescent="0.25">
      <c r="A3145">
        <v>3128</v>
      </c>
      <c r="B3145" s="100">
        <v>89.651583149302766</v>
      </c>
      <c r="C3145" s="100">
        <v>98.808679604529274</v>
      </c>
      <c r="D3145" s="100">
        <v>93.502415996082831</v>
      </c>
      <c r="E3145" s="100">
        <v>94.783178475188024</v>
      </c>
      <c r="F3145" s="100">
        <v>-323.20778898959901</v>
      </c>
      <c r="G3145" s="100">
        <v>-898.1851468507358</v>
      </c>
      <c r="H3145" s="100">
        <v>-1372.6717811924516</v>
      </c>
      <c r="I3145" s="100">
        <v>-1402.5388204867966</v>
      </c>
      <c r="J3145" s="100">
        <v>-3996.6035375195834</v>
      </c>
    </row>
    <row r="3146" spans="1:10" x14ac:dyDescent="0.25">
      <c r="A3146">
        <v>3129</v>
      </c>
      <c r="B3146" s="100">
        <v>90.085494518302767</v>
      </c>
      <c r="C3146" s="100">
        <v>97.440299590162667</v>
      </c>
      <c r="D3146" s="100">
        <v>92.005647362872452</v>
      </c>
      <c r="E3146" s="100">
        <v>93.461240278049331</v>
      </c>
      <c r="F3146" s="100">
        <v>-1755.1153066896006</v>
      </c>
      <c r="G3146" s="100">
        <v>1154.3848746991757</v>
      </c>
      <c r="H3146" s="100">
        <v>1620.8654852283075</v>
      </c>
      <c r="I3146" s="100">
        <v>-80.60062334810425</v>
      </c>
      <c r="J3146" s="100">
        <v>939.53442988977838</v>
      </c>
    </row>
    <row r="3147" spans="1:10" x14ac:dyDescent="0.25">
      <c r="A3147">
        <v>3130</v>
      </c>
      <c r="B3147" s="100">
        <v>89.764799886778164</v>
      </c>
      <c r="C3147" s="100">
        <v>97.471504530991083</v>
      </c>
      <c r="D3147" s="100">
        <v>93.220467792549059</v>
      </c>
      <c r="E3147" s="100">
        <v>95.508883266822494</v>
      </c>
      <c r="F3147" s="100">
        <v>-696.82302265841122</v>
      </c>
      <c r="G3147" s="100">
        <v>1107.5774634565505</v>
      </c>
      <c r="H3147" s="100">
        <v>-808.77537412490597</v>
      </c>
      <c r="I3147" s="100">
        <v>-2128.2436121212668</v>
      </c>
      <c r="J3147" s="100">
        <v>-2526.2645454480335</v>
      </c>
    </row>
    <row r="3148" spans="1:10" x14ac:dyDescent="0.25">
      <c r="A3148">
        <v>3131</v>
      </c>
      <c r="B3148" s="100">
        <v>90.225933111054189</v>
      </c>
      <c r="C3148" s="100">
        <v>98.329737198698325</v>
      </c>
      <c r="D3148" s="100">
        <v>92.088781743916712</v>
      </c>
      <c r="E3148" s="100">
        <v>93.078394225574073</v>
      </c>
      <c r="F3148" s="100">
        <v>-2218.5626627692955</v>
      </c>
      <c r="G3148" s="100">
        <v>-179.7715381043119</v>
      </c>
      <c r="H3148" s="100">
        <v>1454.5967231397867</v>
      </c>
      <c r="I3148" s="100">
        <v>302.24542912715435</v>
      </c>
      <c r="J3148" s="100">
        <v>-641.49204860666612</v>
      </c>
    </row>
    <row r="3149" spans="1:10" x14ac:dyDescent="0.25">
      <c r="A3149">
        <v>3132</v>
      </c>
      <c r="B3149" s="100">
        <v>89.521562667715003</v>
      </c>
      <c r="C3149" s="100">
        <v>98.23715728441725</v>
      </c>
      <c r="D3149" s="100">
        <v>92.610631206281525</v>
      </c>
      <c r="E3149" s="100">
        <v>93.409662854398135</v>
      </c>
      <c r="F3149" s="100">
        <v>105.85980025002044</v>
      </c>
      <c r="G3149" s="100">
        <v>-40.901666682700011</v>
      </c>
      <c r="H3149" s="100">
        <v>410.89779841016139</v>
      </c>
      <c r="I3149" s="100">
        <v>-29.023199696908364</v>
      </c>
      <c r="J3149" s="100">
        <v>446.83273228057345</v>
      </c>
    </row>
    <row r="3150" spans="1:10" x14ac:dyDescent="0.25">
      <c r="A3150">
        <v>3133</v>
      </c>
      <c r="B3150" s="100">
        <v>89.565664612742722</v>
      </c>
      <c r="C3150" s="100">
        <v>98.158530389399431</v>
      </c>
      <c r="D3150" s="100">
        <v>93.077349188923819</v>
      </c>
      <c r="E3150" s="100">
        <v>92.666101327824734</v>
      </c>
      <c r="F3150" s="100">
        <v>-39.676618341454173</v>
      </c>
      <c r="G3150" s="100">
        <v>77.038675844029569</v>
      </c>
      <c r="H3150" s="100">
        <v>-522.53816687442622</v>
      </c>
      <c r="I3150" s="100">
        <v>714.5383268764931</v>
      </c>
      <c r="J3150" s="100">
        <v>229.36221750464227</v>
      </c>
    </row>
    <row r="3151" spans="1:10" x14ac:dyDescent="0.25">
      <c r="A3151">
        <v>3134</v>
      </c>
      <c r="B3151" s="100">
        <v>89.517542724137883</v>
      </c>
      <c r="C3151" s="100">
        <v>100.13898282505703</v>
      </c>
      <c r="D3151" s="100">
        <v>94.15859165734615</v>
      </c>
      <c r="E3151" s="100">
        <v>91.716716433569886</v>
      </c>
      <c r="F3151" s="100">
        <v>119.1256140545164</v>
      </c>
      <c r="G3151" s="100">
        <v>-2893.6399776423655</v>
      </c>
      <c r="H3151" s="100">
        <v>-2685.0231037190897</v>
      </c>
      <c r="I3151" s="100">
        <v>1663.9232211313413</v>
      </c>
      <c r="J3151" s="100">
        <v>-3795.6142461755971</v>
      </c>
    </row>
    <row r="3152" spans="1:10" x14ac:dyDescent="0.25">
      <c r="A3152">
        <v>3135</v>
      </c>
      <c r="B3152" s="100">
        <v>90.329304278348673</v>
      </c>
      <c r="C3152" s="100">
        <v>100.03058067076346</v>
      </c>
      <c r="D3152" s="100">
        <v>92.562760068496146</v>
      </c>
      <c r="E3152" s="100">
        <v>94.258828153663302</v>
      </c>
      <c r="F3152" s="100">
        <v>-2559.68751484109</v>
      </c>
      <c r="G3152" s="100">
        <v>-2731.0367462020081</v>
      </c>
      <c r="H3152" s="100">
        <v>506.64007398091826</v>
      </c>
      <c r="I3152" s="100">
        <v>-878.18849896207496</v>
      </c>
      <c r="J3152" s="100">
        <v>-5662.2726860242556</v>
      </c>
    </row>
    <row r="3153" spans="1:10" x14ac:dyDescent="0.25">
      <c r="A3153">
        <v>3136</v>
      </c>
      <c r="B3153" s="100">
        <v>90.072287930168599</v>
      </c>
      <c r="C3153" s="100">
        <v>98.934207564306277</v>
      </c>
      <c r="D3153" s="100">
        <v>93.715655786692253</v>
      </c>
      <c r="E3153" s="100">
        <v>91.613813512068916</v>
      </c>
      <c r="F3153" s="100">
        <v>-1711.5335658468482</v>
      </c>
      <c r="G3153" s="100">
        <v>-1086.47708651624</v>
      </c>
      <c r="H3153" s="100">
        <v>-1799.151362411294</v>
      </c>
      <c r="I3153" s="100">
        <v>1766.8261426323113</v>
      </c>
      <c r="J3153" s="100">
        <v>-2830.3358721420709</v>
      </c>
    </row>
    <row r="3154" spans="1:10" x14ac:dyDescent="0.25">
      <c r="A3154">
        <v>3137</v>
      </c>
      <c r="B3154" s="100">
        <v>89.656107706899093</v>
      </c>
      <c r="C3154" s="100">
        <v>97.478389379245044</v>
      </c>
      <c r="D3154" s="100">
        <v>91.868077848397306</v>
      </c>
      <c r="E3154" s="100">
        <v>95.632948436011119</v>
      </c>
      <c r="F3154" s="100">
        <v>-338.13882905747619</v>
      </c>
      <c r="G3154" s="100">
        <v>1097.2501910756093</v>
      </c>
      <c r="H3154" s="100">
        <v>1896.0045141785997</v>
      </c>
      <c r="I3154" s="100">
        <v>-2252.3087813098928</v>
      </c>
      <c r="J3154" s="100">
        <v>402.80709488683988</v>
      </c>
    </row>
    <row r="3155" spans="1:10" x14ac:dyDescent="0.25">
      <c r="A3155">
        <v>3138</v>
      </c>
      <c r="B3155" s="100">
        <v>89.15324744002487</v>
      </c>
      <c r="C3155" s="100">
        <v>99.097827561774778</v>
      </c>
      <c r="D3155" s="100">
        <v>94.597648212864243</v>
      </c>
      <c r="E3155" s="100">
        <v>94.144997686242363</v>
      </c>
      <c r="F3155" s="100">
        <v>1321.3000516274576</v>
      </c>
      <c r="G3155" s="100">
        <v>-1331.9070827189919</v>
      </c>
      <c r="H3155" s="100">
        <v>-3563.136214755275</v>
      </c>
      <c r="I3155" s="100">
        <v>-764.35803154113557</v>
      </c>
      <c r="J3155" s="100">
        <v>-4338.1012773879447</v>
      </c>
    </row>
    <row r="3156" spans="1:10" x14ac:dyDescent="0.25">
      <c r="A3156">
        <v>3139</v>
      </c>
      <c r="B3156" s="100">
        <v>89.692514971967697</v>
      </c>
      <c r="C3156" s="100">
        <v>98.309283813617483</v>
      </c>
      <c r="D3156" s="100">
        <v>91.924138320362758</v>
      </c>
      <c r="E3156" s="100">
        <v>91.295677726008648</v>
      </c>
      <c r="F3156" s="100">
        <v>-458.2828037838695</v>
      </c>
      <c r="G3156" s="100">
        <v>-149.09146048304933</v>
      </c>
      <c r="H3156" s="100">
        <v>1783.8835702476956</v>
      </c>
      <c r="I3156" s="100">
        <v>2084.9619286925786</v>
      </c>
      <c r="J3156" s="100">
        <v>3261.4712346733554</v>
      </c>
    </row>
    <row r="3157" spans="1:10" x14ac:dyDescent="0.25">
      <c r="A3157">
        <v>3140</v>
      </c>
      <c r="B3157" s="100">
        <v>89.422454554323934</v>
      </c>
      <c r="C3157" s="100">
        <v>97.433872395192282</v>
      </c>
      <c r="D3157" s="100">
        <v>92.475429865121242</v>
      </c>
      <c r="E3157" s="100">
        <v>94.333876448534696</v>
      </c>
      <c r="F3157" s="100">
        <v>432.91657444054579</v>
      </c>
      <c r="G3157" s="100">
        <v>1164.0256671547534</v>
      </c>
      <c r="H3157" s="100">
        <v>681.30048073072658</v>
      </c>
      <c r="I3157" s="100">
        <v>-953.23679383346871</v>
      </c>
      <c r="J3157" s="100">
        <v>1325.0059284925569</v>
      </c>
    </row>
    <row r="3158" spans="1:10" x14ac:dyDescent="0.25">
      <c r="A3158">
        <v>3141</v>
      </c>
      <c r="B3158" s="100">
        <v>89.314820031635577</v>
      </c>
      <c r="C3158" s="100">
        <v>98.197860053577188</v>
      </c>
      <c r="D3158" s="100">
        <v>92.425277281297966</v>
      </c>
      <c r="E3158" s="100">
        <v>93.275798155122985</v>
      </c>
      <c r="F3158" s="100">
        <v>788.11049931212551</v>
      </c>
      <c r="G3158" s="100">
        <v>18.044179577394459</v>
      </c>
      <c r="H3158" s="100">
        <v>781.60564837727975</v>
      </c>
      <c r="I3158" s="100">
        <v>104.84149957824229</v>
      </c>
      <c r="J3158" s="100">
        <v>1692.6018268450421</v>
      </c>
    </row>
    <row r="3159" spans="1:10" x14ac:dyDescent="0.25">
      <c r="A3159">
        <v>3142</v>
      </c>
      <c r="B3159" s="100">
        <v>89.106193619701756</v>
      </c>
      <c r="C3159" s="100">
        <v>98.130567963539832</v>
      </c>
      <c r="D3159" s="100">
        <v>93.392567462737318</v>
      </c>
      <c r="E3159" s="100">
        <v>94.002545867861627</v>
      </c>
      <c r="F3159" s="100">
        <v>1476.577658693735</v>
      </c>
      <c r="G3159" s="100">
        <v>118.98231463342768</v>
      </c>
      <c r="H3159" s="100">
        <v>-1152.9747145014255</v>
      </c>
      <c r="I3159" s="100">
        <v>-621.90621316040051</v>
      </c>
      <c r="J3159" s="100">
        <v>-179.32095433466338</v>
      </c>
    </row>
    <row r="3160" spans="1:10" x14ac:dyDescent="0.25">
      <c r="A3160">
        <v>3143</v>
      </c>
      <c r="B3160" s="100">
        <v>89.357718559874584</v>
      </c>
      <c r="C3160" s="100">
        <v>98.800496464095005</v>
      </c>
      <c r="D3160" s="100">
        <v>92.059028032154018</v>
      </c>
      <c r="E3160" s="100">
        <v>93.178257521507405</v>
      </c>
      <c r="F3160" s="100">
        <v>646.54535612340146</v>
      </c>
      <c r="G3160" s="100">
        <v>-885.9104361993318</v>
      </c>
      <c r="H3160" s="100">
        <v>1514.1041466651757</v>
      </c>
      <c r="I3160" s="100">
        <v>202.38213319382226</v>
      </c>
      <c r="J3160" s="100">
        <v>1477.1211997830676</v>
      </c>
    </row>
    <row r="3161" spans="1:10" x14ac:dyDescent="0.25">
      <c r="A3161">
        <v>3144</v>
      </c>
      <c r="B3161" s="100">
        <v>89.692618604612619</v>
      </c>
      <c r="C3161" s="100">
        <v>99.225009361063442</v>
      </c>
      <c r="D3161" s="100">
        <v>95.118325846240936</v>
      </c>
      <c r="E3161" s="100">
        <v>93.969838381445541</v>
      </c>
      <c r="F3161" s="100">
        <v>-458.62479151211346</v>
      </c>
      <c r="G3161" s="100">
        <v>-1522.6797816519877</v>
      </c>
      <c r="H3161" s="100">
        <v>-4604.4914815086595</v>
      </c>
      <c r="I3161" s="100">
        <v>-589.19872674431417</v>
      </c>
      <c r="J3161" s="100">
        <v>-7174.9947814170755</v>
      </c>
    </row>
    <row r="3162" spans="1:10" x14ac:dyDescent="0.25">
      <c r="A3162">
        <v>3145</v>
      </c>
      <c r="B3162" s="100">
        <v>88.768469142793123</v>
      </c>
      <c r="C3162" s="100">
        <v>99.118247261720569</v>
      </c>
      <c r="D3162" s="100">
        <v>90.104250938996728</v>
      </c>
      <c r="E3162" s="100">
        <v>94.191070099093338</v>
      </c>
      <c r="F3162" s="100">
        <v>2591.0684324922245</v>
      </c>
      <c r="G3162" s="100">
        <v>-1362.5366326376777</v>
      </c>
      <c r="H3162" s="100">
        <v>5423.6583329797559</v>
      </c>
      <c r="I3162" s="100">
        <v>-810.43044439211087</v>
      </c>
      <c r="J3162" s="100">
        <v>5841.7596884421919</v>
      </c>
    </row>
    <row r="3163" spans="1:10" x14ac:dyDescent="0.25">
      <c r="A3163">
        <v>3146</v>
      </c>
      <c r="B3163" s="100">
        <v>88.409693697028828</v>
      </c>
      <c r="C3163" s="100">
        <v>97.512093759153913</v>
      </c>
      <c r="D3163" s="100">
        <v>92.261886768131276</v>
      </c>
      <c r="E3163" s="100">
        <v>93.310635352119846</v>
      </c>
      <c r="F3163" s="100">
        <v>3775.0274035143962</v>
      </c>
      <c r="G3163" s="100">
        <v>1046.693621212306</v>
      </c>
      <c r="H3163" s="100">
        <v>1108.3866747106583</v>
      </c>
      <c r="I3163" s="100">
        <v>70.004302581381239</v>
      </c>
      <c r="J3163" s="100">
        <v>6000.1120020187418</v>
      </c>
    </row>
    <row r="3164" spans="1:10" x14ac:dyDescent="0.25">
      <c r="A3164">
        <v>3147</v>
      </c>
      <c r="B3164" s="100">
        <v>89.465028546696487</v>
      </c>
      <c r="C3164" s="100">
        <v>98.574357987714095</v>
      </c>
      <c r="D3164" s="100">
        <v>90.81516535867992</v>
      </c>
      <c r="E3164" s="100">
        <v>94.184828448316154</v>
      </c>
      <c r="F3164" s="100">
        <v>292.42239961112091</v>
      </c>
      <c r="G3164" s="100">
        <v>-546.70272162796607</v>
      </c>
      <c r="H3164" s="100">
        <v>4001.8294936133716</v>
      </c>
      <c r="I3164" s="100">
        <v>-804.18879361492657</v>
      </c>
      <c r="J3164" s="100">
        <v>2943.3603779815999</v>
      </c>
    </row>
    <row r="3165" spans="1:10" x14ac:dyDescent="0.25">
      <c r="A3165">
        <v>3148</v>
      </c>
      <c r="B3165" s="100">
        <v>90.165086365973096</v>
      </c>
      <c r="C3165" s="100">
        <v>98.267938877935592</v>
      </c>
      <c r="D3165" s="100">
        <v>91.858966978076239</v>
      </c>
      <c r="E3165" s="100">
        <v>91.062952968865332</v>
      </c>
      <c r="F3165" s="100">
        <v>-2017.768404001687</v>
      </c>
      <c r="G3165" s="100">
        <v>-87.074056960211976</v>
      </c>
      <c r="H3165" s="100">
        <v>1914.2262548207327</v>
      </c>
      <c r="I3165" s="100">
        <v>2317.6866858358949</v>
      </c>
      <c r="J3165" s="100">
        <v>2127.0704796947284</v>
      </c>
    </row>
    <row r="3166" spans="1:10" x14ac:dyDescent="0.25">
      <c r="A3166">
        <v>3149</v>
      </c>
      <c r="B3166" s="100">
        <v>89.46080732461553</v>
      </c>
      <c r="C3166" s="100">
        <v>97.805001880254622</v>
      </c>
      <c r="D3166" s="100">
        <v>94.542896026001358</v>
      </c>
      <c r="E3166" s="100">
        <v>93.994447052599313</v>
      </c>
      <c r="F3166" s="100">
        <v>306.35243247828043</v>
      </c>
      <c r="G3166" s="100">
        <v>607.33143956124286</v>
      </c>
      <c r="H3166" s="100">
        <v>-3453.6318410295053</v>
      </c>
      <c r="I3166" s="100">
        <v>-613.80739789808558</v>
      </c>
      <c r="J3166" s="100">
        <v>-3153.7553668880673</v>
      </c>
    </row>
    <row r="3167" spans="1:10" x14ac:dyDescent="0.25">
      <c r="A3167">
        <v>3150</v>
      </c>
      <c r="B3167" s="100">
        <v>89.183951121471011</v>
      </c>
      <c r="C3167" s="100">
        <v>98.077644566556074</v>
      </c>
      <c r="D3167" s="100">
        <v>92.638476649970201</v>
      </c>
      <c r="E3167" s="100">
        <v>94.782067122232959</v>
      </c>
      <c r="F3167" s="100">
        <v>1219.9779028551916</v>
      </c>
      <c r="G3167" s="100">
        <v>198.36741010906422</v>
      </c>
      <c r="H3167" s="100">
        <v>355.2069110328091</v>
      </c>
      <c r="I3167" s="100">
        <v>-1401.4274675317324</v>
      </c>
      <c r="J3167" s="100">
        <v>372.12475646533244</v>
      </c>
    </row>
    <row r="3168" spans="1:10" x14ac:dyDescent="0.25">
      <c r="A3168">
        <v>3151</v>
      </c>
      <c r="B3168" s="100">
        <v>89.763806504285085</v>
      </c>
      <c r="C3168" s="100">
        <v>97.926887986691071</v>
      </c>
      <c r="D3168" s="100">
        <v>92.987588758046229</v>
      </c>
      <c r="E3168" s="100">
        <v>91.859586820365948</v>
      </c>
      <c r="F3168" s="100">
        <v>-693.54486043125257</v>
      </c>
      <c r="G3168" s="100">
        <v>424.50227990656941</v>
      </c>
      <c r="H3168" s="100">
        <v>-343.01730511924688</v>
      </c>
      <c r="I3168" s="100">
        <v>1521.0528343352792</v>
      </c>
      <c r="J3168" s="100">
        <v>908.99294869134906</v>
      </c>
    </row>
    <row r="3169" spans="1:10" x14ac:dyDescent="0.25">
      <c r="A3169">
        <v>3152</v>
      </c>
      <c r="B3169" s="100">
        <v>89.341105198910043</v>
      </c>
      <c r="C3169" s="100">
        <v>95.851259960537988</v>
      </c>
      <c r="D3169" s="100">
        <v>91.76416844925123</v>
      </c>
      <c r="E3169" s="100">
        <v>93.802881140828362</v>
      </c>
      <c r="F3169" s="100">
        <v>701.36944730638788</v>
      </c>
      <c r="G3169" s="100">
        <v>3537.9443191361943</v>
      </c>
      <c r="H3169" s="100">
        <v>2103.8233124707517</v>
      </c>
      <c r="I3169" s="100">
        <v>-422.24148612713464</v>
      </c>
      <c r="J3169" s="100">
        <v>5920.8955927861998</v>
      </c>
    </row>
    <row r="3170" spans="1:10" x14ac:dyDescent="0.25">
      <c r="A3170">
        <v>3153</v>
      </c>
      <c r="B3170" s="100">
        <v>90.456299680178404</v>
      </c>
      <c r="C3170" s="100">
        <v>97.870262887352013</v>
      </c>
      <c r="D3170" s="100">
        <v>93.467168584682696</v>
      </c>
      <c r="E3170" s="100">
        <v>95.795664623131586</v>
      </c>
      <c r="F3170" s="100">
        <v>-2978.7723408792035</v>
      </c>
      <c r="G3170" s="100">
        <v>509.43992891515677</v>
      </c>
      <c r="H3170" s="100">
        <v>-1302.1769583921809</v>
      </c>
      <c r="I3170" s="100">
        <v>-2415.024968430359</v>
      </c>
      <c r="J3170" s="100">
        <v>-6186.5343387865869</v>
      </c>
    </row>
    <row r="3171" spans="1:10" x14ac:dyDescent="0.25">
      <c r="A3171">
        <v>3154</v>
      </c>
      <c r="B3171" s="100">
        <v>89.314006608129318</v>
      </c>
      <c r="C3171" s="100">
        <v>97.874708359083698</v>
      </c>
      <c r="D3171" s="100">
        <v>92.787758840876066</v>
      </c>
      <c r="E3171" s="100">
        <v>94.837058921750199</v>
      </c>
      <c r="F3171" s="100">
        <v>790.79479688277843</v>
      </c>
      <c r="G3171" s="100">
        <v>502.77172131762882</v>
      </c>
      <c r="H3171" s="100">
        <v>56.642529221079485</v>
      </c>
      <c r="I3171" s="100">
        <v>-1456.4192670489717</v>
      </c>
      <c r="J3171" s="100">
        <v>-106.210219627485</v>
      </c>
    </row>
    <row r="3172" spans="1:10" x14ac:dyDescent="0.25">
      <c r="A3172">
        <v>3155</v>
      </c>
      <c r="B3172" s="100">
        <v>89.917492851295663</v>
      </c>
      <c r="C3172" s="100">
        <v>98.481050912897317</v>
      </c>
      <c r="D3172" s="100">
        <v>93.059654910264939</v>
      </c>
      <c r="E3172" s="100">
        <v>95.776596920396869</v>
      </c>
      <c r="F3172" s="100">
        <v>-1200.7098055661572</v>
      </c>
      <c r="G3172" s="100">
        <v>-406.7421094027992</v>
      </c>
      <c r="H3172" s="100">
        <v>-487.14960955666697</v>
      </c>
      <c r="I3172" s="100">
        <v>-2395.9572656956425</v>
      </c>
      <c r="J3172" s="100">
        <v>-4490.5587902212656</v>
      </c>
    </row>
    <row r="3173" spans="1:10" x14ac:dyDescent="0.25">
      <c r="A3173">
        <v>3156</v>
      </c>
      <c r="B3173" s="100">
        <v>89.28230340223142</v>
      </c>
      <c r="C3173" s="100">
        <v>100.43436387021468</v>
      </c>
      <c r="D3173" s="100">
        <v>93.604256444939864</v>
      </c>
      <c r="E3173" s="100">
        <v>92.031061762797677</v>
      </c>
      <c r="F3173" s="100">
        <v>895.41537634584211</v>
      </c>
      <c r="G3173" s="100">
        <v>-3336.7115453788474</v>
      </c>
      <c r="H3173" s="100">
        <v>-1576.3526789065168</v>
      </c>
      <c r="I3173" s="100">
        <v>1349.5778919035502</v>
      </c>
      <c r="J3173" s="100">
        <v>-2668.0709560359719</v>
      </c>
    </row>
    <row r="3174" spans="1:10" x14ac:dyDescent="0.25">
      <c r="A3174">
        <v>3157</v>
      </c>
      <c r="B3174" s="100">
        <v>89.444277781327301</v>
      </c>
      <c r="C3174" s="100">
        <v>96.664957912526319</v>
      </c>
      <c r="D3174" s="100">
        <v>92.45582709060568</v>
      </c>
      <c r="E3174" s="100">
        <v>92.406328153665001</v>
      </c>
      <c r="F3174" s="100">
        <v>360.89992532943569</v>
      </c>
      <c r="G3174" s="100">
        <v>2317.3973911536978</v>
      </c>
      <c r="H3174" s="100">
        <v>720.50602976185019</v>
      </c>
      <c r="I3174" s="100">
        <v>974.31150103622599</v>
      </c>
      <c r="J3174" s="100">
        <v>4373.1148472812092</v>
      </c>
    </row>
    <row r="3175" spans="1:10" x14ac:dyDescent="0.25">
      <c r="A3175">
        <v>3158</v>
      </c>
      <c r="B3175" s="100">
        <v>89.875650797783493</v>
      </c>
      <c r="C3175" s="100">
        <v>99.793298891775663</v>
      </c>
      <c r="D3175" s="100">
        <v>91.494105505645791</v>
      </c>
      <c r="E3175" s="100">
        <v>96.145285811629265</v>
      </c>
      <c r="F3175" s="100">
        <v>-1062.6310289759972</v>
      </c>
      <c r="G3175" s="100">
        <v>-2375.1140777203191</v>
      </c>
      <c r="H3175" s="100">
        <v>2643.9491996816287</v>
      </c>
      <c r="I3175" s="100">
        <v>-2764.6461569280377</v>
      </c>
      <c r="J3175" s="100">
        <v>-3558.4420639427253</v>
      </c>
    </row>
    <row r="3176" spans="1:10" x14ac:dyDescent="0.25">
      <c r="A3176">
        <v>3159</v>
      </c>
      <c r="B3176" s="100">
        <v>90.110713564295565</v>
      </c>
      <c r="C3176" s="100">
        <v>97.452812729458458</v>
      </c>
      <c r="D3176" s="100">
        <v>92.908236003245165</v>
      </c>
      <c r="E3176" s="100">
        <v>92.983919266390586</v>
      </c>
      <c r="F3176" s="100">
        <v>-1838.3381584658366</v>
      </c>
      <c r="G3176" s="100">
        <v>1135.615165755489</v>
      </c>
      <c r="H3176" s="100">
        <v>-184.31179551711807</v>
      </c>
      <c r="I3176" s="100">
        <v>396.72038831064071</v>
      </c>
      <c r="J3176" s="100">
        <v>-490.31439991682498</v>
      </c>
    </row>
    <row r="3177" spans="1:10" x14ac:dyDescent="0.25">
      <c r="A3177">
        <v>3160</v>
      </c>
      <c r="B3177" s="100">
        <v>90.082888868971239</v>
      </c>
      <c r="C3177" s="100">
        <v>99.402851691642368</v>
      </c>
      <c r="D3177" s="100">
        <v>90.581952934583697</v>
      </c>
      <c r="E3177" s="100">
        <v>95.549826831724062</v>
      </c>
      <c r="F3177" s="100">
        <v>-1746.5166638955579</v>
      </c>
      <c r="G3177" s="100">
        <v>-1789.4432775203768</v>
      </c>
      <c r="H3177" s="100">
        <v>4468.2543418058176</v>
      </c>
      <c r="I3177" s="100">
        <v>-2169.1871770228345</v>
      </c>
      <c r="J3177" s="100">
        <v>-1236.8927766329516</v>
      </c>
    </row>
    <row r="3178" spans="1:10" x14ac:dyDescent="0.25">
      <c r="A3178">
        <v>3161</v>
      </c>
      <c r="B3178" s="100">
        <v>89.410800688887363</v>
      </c>
      <c r="C3178" s="100">
        <v>98.146852999937479</v>
      </c>
      <c r="D3178" s="100">
        <v>93.190133871587307</v>
      </c>
      <c r="E3178" s="100">
        <v>93.575271080970865</v>
      </c>
      <c r="F3178" s="100">
        <v>471.37433038123078</v>
      </c>
      <c r="G3178" s="100">
        <v>94.554760036956509</v>
      </c>
      <c r="H3178" s="100">
        <v>-748.10753220140214</v>
      </c>
      <c r="I3178" s="100">
        <v>-194.63142626963759</v>
      </c>
      <c r="J3178" s="100">
        <v>-376.80986805285238</v>
      </c>
    </row>
    <row r="3179" spans="1:10" x14ac:dyDescent="0.25">
      <c r="A3179">
        <v>3162</v>
      </c>
      <c r="B3179" s="100">
        <v>89.823774424461192</v>
      </c>
      <c r="C3179" s="100">
        <v>97.203451781184569</v>
      </c>
      <c r="D3179" s="100">
        <v>92.817911046914332</v>
      </c>
      <c r="E3179" s="100">
        <v>94.184979574557005</v>
      </c>
      <c r="F3179" s="100">
        <v>-891.43899701240343</v>
      </c>
      <c r="G3179" s="100">
        <v>1509.6565881663223</v>
      </c>
      <c r="H3179" s="100">
        <v>-3.6618828554537686</v>
      </c>
      <c r="I3179" s="100">
        <v>-804.33991985577791</v>
      </c>
      <c r="J3179" s="100">
        <v>-189.7842115573128</v>
      </c>
    </row>
    <row r="3180" spans="1:10" x14ac:dyDescent="0.25">
      <c r="A3180">
        <v>3163</v>
      </c>
      <c r="B3180" s="100">
        <v>88.664628654370929</v>
      </c>
      <c r="C3180" s="100">
        <v>98.212251708407223</v>
      </c>
      <c r="D3180" s="100">
        <v>94.811457525639725</v>
      </c>
      <c r="E3180" s="100">
        <v>89.110383090877775</v>
      </c>
      <c r="F3180" s="100">
        <v>2933.7420442854623</v>
      </c>
      <c r="G3180" s="100">
        <v>-3.5433026676585655</v>
      </c>
      <c r="H3180" s="100">
        <v>-3990.7548403062378</v>
      </c>
      <c r="I3180" s="100">
        <v>4270.2565638234519</v>
      </c>
      <c r="J3180" s="100">
        <v>3209.7004651350176</v>
      </c>
    </row>
    <row r="3181" spans="1:10" x14ac:dyDescent="0.25">
      <c r="A3181">
        <v>3164</v>
      </c>
      <c r="B3181" s="100">
        <v>90.132533981699495</v>
      </c>
      <c r="C3181" s="100">
        <v>98.502428127647278</v>
      </c>
      <c r="D3181" s="100">
        <v>93.037353972909401</v>
      </c>
      <c r="E3181" s="100">
        <v>91.979113855986</v>
      </c>
      <c r="F3181" s="100">
        <v>-1910.3455358988058</v>
      </c>
      <c r="G3181" s="100">
        <v>-438.80793152774089</v>
      </c>
      <c r="H3181" s="100">
        <v>-442.54773484558996</v>
      </c>
      <c r="I3181" s="100">
        <v>1401.5257987152268</v>
      </c>
      <c r="J3181" s="100">
        <v>-1390.1754035569097</v>
      </c>
    </row>
    <row r="3182" spans="1:10" x14ac:dyDescent="0.25">
      <c r="A3182">
        <v>3165</v>
      </c>
      <c r="B3182" s="100">
        <v>88.791542902273491</v>
      </c>
      <c r="C3182" s="100">
        <v>99.475653674873641</v>
      </c>
      <c r="D3182" s="100">
        <v>91.570499162100504</v>
      </c>
      <c r="E3182" s="100">
        <v>92.431940541742804</v>
      </c>
      <c r="F3182" s="100">
        <v>2514.9250262070082</v>
      </c>
      <c r="G3182" s="100">
        <v>-1898.6462523672856</v>
      </c>
      <c r="H3182" s="100">
        <v>2491.1618867722041</v>
      </c>
      <c r="I3182" s="100">
        <v>948.69911295842257</v>
      </c>
      <c r="J3182" s="100">
        <v>4056.139773570349</v>
      </c>
    </row>
    <row r="3183" spans="1:10" x14ac:dyDescent="0.25">
      <c r="A3183">
        <v>3166</v>
      </c>
      <c r="B3183" s="100">
        <v>89.890861738334536</v>
      </c>
      <c r="C3183" s="100">
        <v>98.476748229947873</v>
      </c>
      <c r="D3183" s="100">
        <v>91.114550009879878</v>
      </c>
      <c r="E3183" s="100">
        <v>92.711217321222449</v>
      </c>
      <c r="F3183" s="100">
        <v>-1112.827132794439</v>
      </c>
      <c r="G3183" s="100">
        <v>-400.28808497863366</v>
      </c>
      <c r="H3183" s="100">
        <v>3403.0601912134557</v>
      </c>
      <c r="I3183" s="100">
        <v>669.42233347877789</v>
      </c>
      <c r="J3183" s="100">
        <v>2559.3673069191609</v>
      </c>
    </row>
    <row r="3184" spans="1:10" x14ac:dyDescent="0.25">
      <c r="A3184">
        <v>3167</v>
      </c>
      <c r="B3184" s="100">
        <v>89.783873584243622</v>
      </c>
      <c r="C3184" s="100">
        <v>98.038699579976395</v>
      </c>
      <c r="D3184" s="100">
        <v>91.856007291018358</v>
      </c>
      <c r="E3184" s="100">
        <v>92.435774117363266</v>
      </c>
      <c r="F3184" s="100">
        <v>-759.76622429442386</v>
      </c>
      <c r="G3184" s="100">
        <v>256.78488997858295</v>
      </c>
      <c r="H3184" s="100">
        <v>1920.1456289364955</v>
      </c>
      <c r="I3184" s="100">
        <v>944.86553733796086</v>
      </c>
      <c r="J3184" s="100">
        <v>2362.0298319586154</v>
      </c>
    </row>
    <row r="3185" spans="1:10" x14ac:dyDescent="0.25">
      <c r="A3185">
        <v>3168</v>
      </c>
      <c r="B3185" s="100">
        <v>89.528527691908991</v>
      </c>
      <c r="C3185" s="100">
        <v>99.747821872406121</v>
      </c>
      <c r="D3185" s="100">
        <v>92.963651243364623</v>
      </c>
      <c r="E3185" s="100">
        <v>93.646590359105645</v>
      </c>
      <c r="F3185" s="100">
        <v>82.875220409859196</v>
      </c>
      <c r="G3185" s="100">
        <v>-2306.8985486660054</v>
      </c>
      <c r="H3185" s="100">
        <v>-295.14227575603513</v>
      </c>
      <c r="I3185" s="100">
        <v>-265.95070440441759</v>
      </c>
      <c r="J3185" s="100">
        <v>-2785.1163084165992</v>
      </c>
    </row>
    <row r="3186" spans="1:10" x14ac:dyDescent="0.25">
      <c r="A3186">
        <v>3169</v>
      </c>
      <c r="B3186" s="100">
        <v>89.571160239585552</v>
      </c>
      <c r="C3186" s="100">
        <v>98.716498219311305</v>
      </c>
      <c r="D3186" s="100">
        <v>91.878161058636849</v>
      </c>
      <c r="E3186" s="100">
        <v>91.022008855953942</v>
      </c>
      <c r="F3186" s="100">
        <v>-57.812186922792819</v>
      </c>
      <c r="G3186" s="100">
        <v>-759.91306902378142</v>
      </c>
      <c r="H3186" s="100">
        <v>1875.8380936995138</v>
      </c>
      <c r="I3186" s="100">
        <v>2358.6307987472851</v>
      </c>
      <c r="J3186" s="100">
        <v>3416.743636500225</v>
      </c>
    </row>
    <row r="3187" spans="1:10" x14ac:dyDescent="0.25">
      <c r="A3187">
        <v>3170</v>
      </c>
      <c r="B3187" s="100">
        <v>89.652593529007461</v>
      </c>
      <c r="C3187" s="100">
        <v>96.05666411606289</v>
      </c>
      <c r="D3187" s="100">
        <v>91.013621143266533</v>
      </c>
      <c r="E3187" s="100">
        <v>92.55721495930996</v>
      </c>
      <c r="F3187" s="100">
        <v>-326.54204201509316</v>
      </c>
      <c r="G3187" s="100">
        <v>3229.8380858488399</v>
      </c>
      <c r="H3187" s="100">
        <v>3604.9179244401444</v>
      </c>
      <c r="I3187" s="100">
        <v>823.42469539126739</v>
      </c>
      <c r="J3187" s="100">
        <v>7331.6386636651578</v>
      </c>
    </row>
    <row r="3188" spans="1:10" x14ac:dyDescent="0.25">
      <c r="A3188">
        <v>3171</v>
      </c>
      <c r="B3188" s="100">
        <v>89.726514718914501</v>
      </c>
      <c r="C3188" s="100">
        <v>98.965544027348969</v>
      </c>
      <c r="D3188" s="100">
        <v>93.876825056689469</v>
      </c>
      <c r="E3188" s="100">
        <v>91.956644074181654</v>
      </c>
      <c r="F3188" s="100">
        <v>-570.48196870832442</v>
      </c>
      <c r="G3188" s="100">
        <v>-1133.4817810802774</v>
      </c>
      <c r="H3188" s="100">
        <v>-2121.4899024057277</v>
      </c>
      <c r="I3188" s="100">
        <v>1423.9955805195734</v>
      </c>
      <c r="J3188" s="100">
        <v>-2401.458071674756</v>
      </c>
    </row>
    <row r="3189" spans="1:10" x14ac:dyDescent="0.25">
      <c r="A3189">
        <v>3172</v>
      </c>
      <c r="B3189" s="100">
        <v>89.474299453471687</v>
      </c>
      <c r="C3189" s="100">
        <v>97.538484204775244</v>
      </c>
      <c r="D3189" s="100">
        <v>93.132133813774502</v>
      </c>
      <c r="E3189" s="100">
        <v>94.098473011789238</v>
      </c>
      <c r="F3189" s="100">
        <v>261.82840725296188</v>
      </c>
      <c r="G3189" s="100">
        <v>1007.1079527803092</v>
      </c>
      <c r="H3189" s="100">
        <v>-632.10741657579206</v>
      </c>
      <c r="I3189" s="100">
        <v>-717.83335708801133</v>
      </c>
      <c r="J3189" s="100">
        <v>-81.004413630532326</v>
      </c>
    </row>
    <row r="3190" spans="1:10" x14ac:dyDescent="0.25">
      <c r="A3190">
        <v>3173</v>
      </c>
      <c r="B3190" s="100">
        <v>89.99082582321239</v>
      </c>
      <c r="C3190" s="100">
        <v>98.718027140809525</v>
      </c>
      <c r="D3190" s="100">
        <v>93.527837127343176</v>
      </c>
      <c r="E3190" s="100">
        <v>92.349856209175741</v>
      </c>
      <c r="F3190" s="100">
        <v>-1442.7086128913572</v>
      </c>
      <c r="G3190" s="100">
        <v>-762.20645127111197</v>
      </c>
      <c r="H3190" s="100">
        <v>-1423.5140437131406</v>
      </c>
      <c r="I3190" s="100">
        <v>1030.7834455254863</v>
      </c>
      <c r="J3190" s="100">
        <v>-2597.6456623501235</v>
      </c>
    </row>
    <row r="3191" spans="1:10" x14ac:dyDescent="0.25">
      <c r="A3191">
        <v>3174</v>
      </c>
      <c r="B3191" s="100">
        <v>90.24711499129765</v>
      </c>
      <c r="C3191" s="100">
        <v>97.918640153429592</v>
      </c>
      <c r="D3191" s="100">
        <v>92.910586124905379</v>
      </c>
      <c r="E3191" s="100">
        <v>92.527142444927463</v>
      </c>
      <c r="F3191" s="100">
        <v>-2288.4628675727158</v>
      </c>
      <c r="G3191" s="100">
        <v>436.87402979878698</v>
      </c>
      <c r="H3191" s="100">
        <v>-189.01203883754647</v>
      </c>
      <c r="I3191" s="100">
        <v>853.49720977376364</v>
      </c>
      <c r="J3191" s="100">
        <v>-1187.1036668377117</v>
      </c>
    </row>
    <row r="3192" spans="1:10" x14ac:dyDescent="0.25">
      <c r="A3192">
        <v>3175</v>
      </c>
      <c r="B3192" s="100">
        <v>89.791880983830438</v>
      </c>
      <c r="C3192" s="100">
        <v>99.850727524882856</v>
      </c>
      <c r="D3192" s="100">
        <v>94.235661360885388</v>
      </c>
      <c r="E3192" s="100">
        <v>94.076384153131329</v>
      </c>
      <c r="F3192" s="100">
        <v>-786.19064293091719</v>
      </c>
      <c r="G3192" s="100">
        <v>-2461.2570273811089</v>
      </c>
      <c r="H3192" s="100">
        <v>-2839.1625107975642</v>
      </c>
      <c r="I3192" s="100">
        <v>-695.744498430102</v>
      </c>
      <c r="J3192" s="100">
        <v>-6782.3546795396924</v>
      </c>
    </row>
    <row r="3193" spans="1:10" x14ac:dyDescent="0.25">
      <c r="A3193">
        <v>3176</v>
      </c>
      <c r="B3193" s="100">
        <v>89.530024003133065</v>
      </c>
      <c r="C3193" s="100">
        <v>98.208946950664625</v>
      </c>
      <c r="D3193" s="100">
        <v>91.160377683473826</v>
      </c>
      <c r="E3193" s="100">
        <v>92.672932366245917</v>
      </c>
      <c r="F3193" s="100">
        <v>77.93739337041643</v>
      </c>
      <c r="G3193" s="100">
        <v>1.4138339462377303</v>
      </c>
      <c r="H3193" s="100">
        <v>3311.4048440255601</v>
      </c>
      <c r="I3193" s="100">
        <v>707.70728845531039</v>
      </c>
      <c r="J3193" s="100">
        <v>4098.4633597975244</v>
      </c>
    </row>
    <row r="3194" spans="1:10" x14ac:dyDescent="0.25">
      <c r="A3194">
        <v>3177</v>
      </c>
      <c r="B3194" s="100">
        <v>89.029242612039496</v>
      </c>
      <c r="C3194" s="100">
        <v>98.960444654723773</v>
      </c>
      <c r="D3194" s="100">
        <v>91.021000979247148</v>
      </c>
      <c r="E3194" s="100">
        <v>94.986999199081055</v>
      </c>
      <c r="F3194" s="100">
        <v>1730.5159839791913</v>
      </c>
      <c r="G3194" s="100">
        <v>-1125.8327221424836</v>
      </c>
      <c r="H3194" s="100">
        <v>3590.1582524789146</v>
      </c>
      <c r="I3194" s="100">
        <v>-1606.3595443798276</v>
      </c>
      <c r="J3194" s="100">
        <v>2588.481969935795</v>
      </c>
    </row>
    <row r="3195" spans="1:10" x14ac:dyDescent="0.25">
      <c r="A3195">
        <v>3178</v>
      </c>
      <c r="B3195" s="100">
        <v>89.791039241154351</v>
      </c>
      <c r="C3195" s="100">
        <v>98.965395699118716</v>
      </c>
      <c r="D3195" s="100">
        <v>93.468425630768152</v>
      </c>
      <c r="E3195" s="100">
        <v>95.16497080854721</v>
      </c>
      <c r="F3195" s="100">
        <v>-783.41289209982961</v>
      </c>
      <c r="G3195" s="100">
        <v>-1133.2592887348981</v>
      </c>
      <c r="H3195" s="100">
        <v>-1304.6910505630933</v>
      </c>
      <c r="I3195" s="100">
        <v>-1784.331153845983</v>
      </c>
      <c r="J3195" s="100">
        <v>-5005.6943852438035</v>
      </c>
    </row>
    <row r="3196" spans="1:10" x14ac:dyDescent="0.25">
      <c r="A3196">
        <v>3179</v>
      </c>
      <c r="B3196" s="100">
        <v>88.744364266874541</v>
      </c>
      <c r="C3196" s="100">
        <v>96.656044686413296</v>
      </c>
      <c r="D3196" s="100">
        <v>92.612678797035841</v>
      </c>
      <c r="E3196" s="100">
        <v>93.007216783000871</v>
      </c>
      <c r="F3196" s="100">
        <v>2670.6145230235434</v>
      </c>
      <c r="G3196" s="100">
        <v>2330.7672303232321</v>
      </c>
      <c r="H3196" s="100">
        <v>406.80261690152975</v>
      </c>
      <c r="I3196" s="100">
        <v>373.42287170035604</v>
      </c>
      <c r="J3196" s="100">
        <v>5781.6072419486618</v>
      </c>
    </row>
    <row r="3197" spans="1:10" x14ac:dyDescent="0.25">
      <c r="A3197">
        <v>3180</v>
      </c>
      <c r="B3197" s="100">
        <v>89.425461066625232</v>
      </c>
      <c r="C3197" s="100">
        <v>98.822294099959777</v>
      </c>
      <c r="D3197" s="100">
        <v>94.928737351068094</v>
      </c>
      <c r="E3197" s="100">
        <v>91.353388930179321</v>
      </c>
      <c r="F3197" s="100">
        <v>422.99508384626421</v>
      </c>
      <c r="G3197" s="100">
        <v>-918.60688999648937</v>
      </c>
      <c r="H3197" s="100">
        <v>-4225.3144911629761</v>
      </c>
      <c r="I3197" s="100">
        <v>2027.250724521906</v>
      </c>
      <c r="J3197" s="100">
        <v>-2693.6755727912951</v>
      </c>
    </row>
    <row r="3198" spans="1:10" x14ac:dyDescent="0.25">
      <c r="A3198">
        <v>3181</v>
      </c>
      <c r="B3198" s="100">
        <v>90.29573220497619</v>
      </c>
      <c r="C3198" s="100">
        <v>96.40290347641232</v>
      </c>
      <c r="D3198" s="100">
        <v>92.555573238623097</v>
      </c>
      <c r="E3198" s="100">
        <v>93.83802980997001</v>
      </c>
      <c r="F3198" s="100">
        <v>-2448.8996727118974</v>
      </c>
      <c r="G3198" s="100">
        <v>2710.4790453246965</v>
      </c>
      <c r="H3198" s="100">
        <v>521.01373372701687</v>
      </c>
      <c r="I3198" s="100">
        <v>-457.39015526878291</v>
      </c>
      <c r="J3198" s="100">
        <v>325.202951071033</v>
      </c>
    </row>
    <row r="3199" spans="1:10" x14ac:dyDescent="0.25">
      <c r="A3199">
        <v>3182</v>
      </c>
      <c r="B3199" s="100">
        <v>90.24833395702629</v>
      </c>
      <c r="C3199" s="100">
        <v>98.200669994198506</v>
      </c>
      <c r="D3199" s="100">
        <v>92.562366941635887</v>
      </c>
      <c r="E3199" s="100">
        <v>93.257428664572046</v>
      </c>
      <c r="F3199" s="100">
        <v>-2292.4854544772274</v>
      </c>
      <c r="G3199" s="100">
        <v>13.829268645416448</v>
      </c>
      <c r="H3199" s="100">
        <v>507.42632770143814</v>
      </c>
      <c r="I3199" s="100">
        <v>123.21099012918069</v>
      </c>
      <c r="J3199" s="100">
        <v>-1648.018868001192</v>
      </c>
    </row>
    <row r="3200" spans="1:10" x14ac:dyDescent="0.25">
      <c r="A3200">
        <v>3183</v>
      </c>
      <c r="B3200" s="100">
        <v>89.709752277473399</v>
      </c>
      <c r="C3200" s="100">
        <v>98.024261737051134</v>
      </c>
      <c r="D3200" s="100">
        <v>93.769070062331366</v>
      </c>
      <c r="E3200" s="100">
        <v>96.881913604441252</v>
      </c>
      <c r="F3200" s="100">
        <v>-515.16591195268688</v>
      </c>
      <c r="G3200" s="100">
        <v>278.44165436647472</v>
      </c>
      <c r="H3200" s="100">
        <v>-1905.9799136895208</v>
      </c>
      <c r="I3200" s="100">
        <v>-3501.2739497400248</v>
      </c>
      <c r="J3200" s="100">
        <v>-5643.978121015758</v>
      </c>
    </row>
    <row r="3201" spans="1:10" x14ac:dyDescent="0.25">
      <c r="A3201">
        <v>3184</v>
      </c>
      <c r="B3201" s="100">
        <v>89.373352399946043</v>
      </c>
      <c r="C3201" s="100">
        <v>96.776114743846875</v>
      </c>
      <c r="D3201" s="100">
        <v>93.258315809989455</v>
      </c>
      <c r="E3201" s="100">
        <v>97.450331899699307</v>
      </c>
      <c r="F3201" s="100">
        <v>594.9536838875872</v>
      </c>
      <c r="G3201" s="100">
        <v>2150.6621441728626</v>
      </c>
      <c r="H3201" s="100">
        <v>-884.47140900569821</v>
      </c>
      <c r="I3201" s="100">
        <v>-4069.6922449980802</v>
      </c>
      <c r="J3201" s="100">
        <v>-2208.5478259433289</v>
      </c>
    </row>
    <row r="3202" spans="1:10" x14ac:dyDescent="0.25">
      <c r="A3202">
        <v>3185</v>
      </c>
      <c r="B3202" s="100">
        <v>89.219332582612751</v>
      </c>
      <c r="C3202" s="100">
        <v>97.548505610966515</v>
      </c>
      <c r="D3202" s="100">
        <v>90.907063086509723</v>
      </c>
      <c r="E3202" s="100">
        <v>92.915655460742315</v>
      </c>
      <c r="F3202" s="100">
        <v>1103.2190810874524</v>
      </c>
      <c r="G3202" s="100">
        <v>992.075843493403</v>
      </c>
      <c r="H3202" s="100">
        <v>3818.0340379537656</v>
      </c>
      <c r="I3202" s="100">
        <v>464.98419395891233</v>
      </c>
      <c r="J3202" s="100">
        <v>6378.3131564935329</v>
      </c>
    </row>
    <row r="3203" spans="1:10" x14ac:dyDescent="0.25">
      <c r="A3203">
        <v>3186</v>
      </c>
      <c r="B3203" s="100">
        <v>89.40997798103983</v>
      </c>
      <c r="C3203" s="100">
        <v>98.422862635595536</v>
      </c>
      <c r="D3203" s="100">
        <v>91.709225265531273</v>
      </c>
      <c r="E3203" s="100">
        <v>94.781296506728168</v>
      </c>
      <c r="F3203" s="100">
        <v>474.08926627808938</v>
      </c>
      <c r="G3203" s="100">
        <v>-319.4596934501277</v>
      </c>
      <c r="H3203" s="100">
        <v>2213.7096799106644</v>
      </c>
      <c r="I3203" s="100">
        <v>-1400.6568520269411</v>
      </c>
      <c r="J3203" s="100">
        <v>967.68240071168475</v>
      </c>
    </row>
    <row r="3204" spans="1:10" x14ac:dyDescent="0.25">
      <c r="A3204">
        <v>3187</v>
      </c>
      <c r="B3204" s="100">
        <v>89.501518359451438</v>
      </c>
      <c r="C3204" s="100">
        <v>99.141213312563352</v>
      </c>
      <c r="D3204" s="100">
        <v>93.768381330772897</v>
      </c>
      <c r="E3204" s="100">
        <v>92.994913807946219</v>
      </c>
      <c r="F3204" s="100">
        <v>172.00601751978297</v>
      </c>
      <c r="G3204" s="100">
        <v>-1396.9857089018519</v>
      </c>
      <c r="H3204" s="100">
        <v>-1904.6024505725825</v>
      </c>
      <c r="I3204" s="100">
        <v>385.72584675500821</v>
      </c>
      <c r="J3204" s="100">
        <v>-2743.8562951996432</v>
      </c>
    </row>
    <row r="3205" spans="1:10" x14ac:dyDescent="0.25">
      <c r="A3205">
        <v>3188</v>
      </c>
      <c r="B3205" s="100">
        <v>89.212593267132007</v>
      </c>
      <c r="C3205" s="100">
        <v>99.127432191331224</v>
      </c>
      <c r="D3205" s="100">
        <v>93.504135105394056</v>
      </c>
      <c r="E3205" s="100">
        <v>93.178107662331783</v>
      </c>
      <c r="F3205" s="100">
        <v>1125.4588221739054</v>
      </c>
      <c r="G3205" s="100">
        <v>-1376.3140270536596</v>
      </c>
      <c r="H3205" s="100">
        <v>-1376.1099998149007</v>
      </c>
      <c r="I3205" s="100">
        <v>202.53199236944397</v>
      </c>
      <c r="J3205" s="100">
        <v>-1424.4332123252109</v>
      </c>
    </row>
    <row r="3206" spans="1:10" x14ac:dyDescent="0.25">
      <c r="A3206">
        <v>3189</v>
      </c>
      <c r="B3206" s="100">
        <v>89.917309525269062</v>
      </c>
      <c r="C3206" s="100">
        <v>98.868507165647173</v>
      </c>
      <c r="D3206" s="100">
        <v>92.525985613987402</v>
      </c>
      <c r="E3206" s="100">
        <v>94.338159062974711</v>
      </c>
      <c r="F3206" s="100">
        <v>-1200.1048296783736</v>
      </c>
      <c r="G3206" s="100">
        <v>-987.92648852758452</v>
      </c>
      <c r="H3206" s="100">
        <v>580.18898299840771</v>
      </c>
      <c r="I3206" s="100">
        <v>-957.51940827348392</v>
      </c>
      <c r="J3206" s="100">
        <v>-2565.3617434810344</v>
      </c>
    </row>
    <row r="3207" spans="1:10" x14ac:dyDescent="0.25">
      <c r="A3207">
        <v>3190</v>
      </c>
      <c r="B3207" s="100">
        <v>89.618422610157609</v>
      </c>
      <c r="C3207" s="100">
        <v>96.546693682395187</v>
      </c>
      <c r="D3207" s="100">
        <v>93.39596342533045</v>
      </c>
      <c r="E3207" s="100">
        <v>92.105507725758997</v>
      </c>
      <c r="F3207" s="100">
        <v>-213.77800981057931</v>
      </c>
      <c r="G3207" s="100">
        <v>2494.7937363503952</v>
      </c>
      <c r="H3207" s="100">
        <v>-1159.7666396876889</v>
      </c>
      <c r="I3207" s="100">
        <v>1275.1319289422299</v>
      </c>
      <c r="J3207" s="100">
        <v>2396.3810157943567</v>
      </c>
    </row>
    <row r="3208" spans="1:10" x14ac:dyDescent="0.25">
      <c r="A3208">
        <v>3191</v>
      </c>
      <c r="B3208" s="100">
        <v>90.354344800390535</v>
      </c>
      <c r="C3208" s="100">
        <v>98.46987628772149</v>
      </c>
      <c r="D3208" s="100">
        <v>96.77506952738338</v>
      </c>
      <c r="E3208" s="100">
        <v>95.9150581789456</v>
      </c>
      <c r="F3208" s="100">
        <v>-2642.3212375792373</v>
      </c>
      <c r="G3208" s="100">
        <v>-389.98017163905985</v>
      </c>
      <c r="H3208" s="100">
        <v>-7917.9788437935485</v>
      </c>
      <c r="I3208" s="100">
        <v>-2534.4185242443727</v>
      </c>
      <c r="J3208" s="100">
        <v>-13484.698777256219</v>
      </c>
    </row>
    <row r="3209" spans="1:10" x14ac:dyDescent="0.25">
      <c r="A3209">
        <v>3192</v>
      </c>
      <c r="B3209" s="100">
        <v>89.840741430785457</v>
      </c>
      <c r="C3209" s="100">
        <v>97.802351946696078</v>
      </c>
      <c r="D3209" s="100">
        <v>91.107759609834886</v>
      </c>
      <c r="E3209" s="100">
        <v>93.934213745691579</v>
      </c>
      <c r="F3209" s="100">
        <v>-947.43011788247736</v>
      </c>
      <c r="G3209" s="100">
        <v>611.30633989905903</v>
      </c>
      <c r="H3209" s="100">
        <v>3416.6409913034386</v>
      </c>
      <c r="I3209" s="100">
        <v>-553.57409099035237</v>
      </c>
      <c r="J3209" s="100">
        <v>2526.9431223296679</v>
      </c>
    </row>
    <row r="3210" spans="1:10" x14ac:dyDescent="0.25">
      <c r="A3210">
        <v>3193</v>
      </c>
      <c r="B3210" s="100">
        <v>89.338430168218437</v>
      </c>
      <c r="C3210" s="100">
        <v>97.97560128512302</v>
      </c>
      <c r="D3210" s="100">
        <v>92.620072633061568</v>
      </c>
      <c r="E3210" s="100">
        <v>93.663491557706578</v>
      </c>
      <c r="F3210" s="100">
        <v>710.19704858868658</v>
      </c>
      <c r="G3210" s="100">
        <v>351.43233225864634</v>
      </c>
      <c r="H3210" s="100">
        <v>392.01494485007515</v>
      </c>
      <c r="I3210" s="100">
        <v>-282.85190300535135</v>
      </c>
      <c r="J3210" s="100">
        <v>1170.7924226920568</v>
      </c>
    </row>
    <row r="3211" spans="1:10" x14ac:dyDescent="0.25">
      <c r="A3211">
        <v>3194</v>
      </c>
      <c r="B3211" s="100">
        <v>89.46461226439942</v>
      </c>
      <c r="C3211" s="100">
        <v>99.81968634791069</v>
      </c>
      <c r="D3211" s="100">
        <v>92.318334544928305</v>
      </c>
      <c r="E3211" s="100">
        <v>95.518531483365976</v>
      </c>
      <c r="F3211" s="100">
        <v>293.7961311914421</v>
      </c>
      <c r="G3211" s="100">
        <v>-2414.6952619228587</v>
      </c>
      <c r="H3211" s="100">
        <v>995.49112111660065</v>
      </c>
      <c r="I3211" s="100">
        <v>-2137.891828664749</v>
      </c>
      <c r="J3211" s="100">
        <v>-3263.2998382795649</v>
      </c>
    </row>
    <row r="3212" spans="1:10" x14ac:dyDescent="0.25">
      <c r="A3212">
        <v>3195</v>
      </c>
      <c r="B3212" s="100">
        <v>90.52574009153436</v>
      </c>
      <c r="C3212" s="100">
        <v>97.934665496294386</v>
      </c>
      <c r="D3212" s="100">
        <v>93.992791741521458</v>
      </c>
      <c r="E3212" s="100">
        <v>90.596367399986633</v>
      </c>
      <c r="F3212" s="100">
        <v>-3207.9256983538571</v>
      </c>
      <c r="G3212" s="100">
        <v>412.83601550159688</v>
      </c>
      <c r="H3212" s="100">
        <v>-2353.4232720697046</v>
      </c>
      <c r="I3212" s="100">
        <v>2784.2722547145941</v>
      </c>
      <c r="J3212" s="100">
        <v>-2364.2407002073705</v>
      </c>
    </row>
    <row r="3213" spans="1:10" x14ac:dyDescent="0.25">
      <c r="A3213">
        <v>3196</v>
      </c>
      <c r="B3213" s="100">
        <v>89.574108449725571</v>
      </c>
      <c r="C3213" s="100">
        <v>97.941938605222248</v>
      </c>
      <c r="D3213" s="100">
        <v>92.310597403087584</v>
      </c>
      <c r="E3213" s="100">
        <v>92.021851023901064</v>
      </c>
      <c r="F3213" s="100">
        <v>-67.541280384855895</v>
      </c>
      <c r="G3213" s="100">
        <v>401.92635210980399</v>
      </c>
      <c r="H3213" s="100">
        <v>1010.9654047980428</v>
      </c>
      <c r="I3213" s="100">
        <v>1358.788630800163</v>
      </c>
      <c r="J3213" s="100">
        <v>2704.1391073231539</v>
      </c>
    </row>
    <row r="3214" spans="1:10" x14ac:dyDescent="0.25">
      <c r="A3214">
        <v>3197</v>
      </c>
      <c r="B3214" s="100">
        <v>89.939429773302678</v>
      </c>
      <c r="C3214" s="100">
        <v>99.609659503298573</v>
      </c>
      <c r="D3214" s="100">
        <v>92.116799533290987</v>
      </c>
      <c r="E3214" s="100">
        <v>91.406413079812765</v>
      </c>
      <c r="F3214" s="100">
        <v>-1273.1016481893064</v>
      </c>
      <c r="G3214" s="100">
        <v>-2099.6549950046842</v>
      </c>
      <c r="H3214" s="100">
        <v>1398.5611443912376</v>
      </c>
      <c r="I3214" s="100">
        <v>1974.226574888462</v>
      </c>
      <c r="J3214" s="100">
        <v>3.107608570917364E-2</v>
      </c>
    </row>
    <row r="3215" spans="1:10" x14ac:dyDescent="0.25">
      <c r="A3215">
        <v>3198</v>
      </c>
      <c r="B3215" s="100">
        <v>90.318667073007376</v>
      </c>
      <c r="C3215" s="100">
        <v>98.006715601443929</v>
      </c>
      <c r="D3215" s="100">
        <v>92.50920387840587</v>
      </c>
      <c r="E3215" s="100">
        <v>92.550054285191152</v>
      </c>
      <c r="F3215" s="100">
        <v>-2524.5847372148105</v>
      </c>
      <c r="G3215" s="100">
        <v>304.76085777728201</v>
      </c>
      <c r="H3215" s="100">
        <v>613.75245416147095</v>
      </c>
      <c r="I3215" s="100">
        <v>830.58536951007511</v>
      </c>
      <c r="J3215" s="100">
        <v>-775.48605576598231</v>
      </c>
    </row>
    <row r="3216" spans="1:10" x14ac:dyDescent="0.25">
      <c r="A3216">
        <v>3199</v>
      </c>
      <c r="B3216" s="100">
        <v>89.705754435191196</v>
      </c>
      <c r="C3216" s="100">
        <v>96.417073763418557</v>
      </c>
      <c r="D3216" s="100">
        <v>91.466640655321527</v>
      </c>
      <c r="E3216" s="100">
        <v>95.684634989506236</v>
      </c>
      <c r="F3216" s="100">
        <v>-501.97303242141658</v>
      </c>
      <c r="G3216" s="100">
        <v>2689.2236148153402</v>
      </c>
      <c r="H3216" s="100">
        <v>2698.8789003301576</v>
      </c>
      <c r="I3216" s="100">
        <v>-2303.995334805009</v>
      </c>
      <c r="J3216" s="100">
        <v>2582.1341479190728</v>
      </c>
    </row>
    <row r="3217" spans="1:10" x14ac:dyDescent="0.25">
      <c r="A3217">
        <v>3200</v>
      </c>
      <c r="B3217" s="100">
        <v>90.061427582968463</v>
      </c>
      <c r="C3217" s="100">
        <v>98.881589879899565</v>
      </c>
      <c r="D3217" s="100">
        <v>92.732266288911177</v>
      </c>
      <c r="E3217" s="100">
        <v>94.455395719684134</v>
      </c>
      <c r="F3217" s="100">
        <v>-1675.6944200863984</v>
      </c>
      <c r="G3217" s="100">
        <v>-1007.5505599061714</v>
      </c>
      <c r="H3217" s="100">
        <v>167.62763315085749</v>
      </c>
      <c r="I3217" s="100">
        <v>-1074.756064982907</v>
      </c>
      <c r="J3217" s="100">
        <v>-3590.3734118246193</v>
      </c>
    </row>
    <row r="3218" spans="1:10" x14ac:dyDescent="0.25">
      <c r="A3218">
        <v>3201</v>
      </c>
      <c r="B3218" s="100">
        <v>89.75341626886248</v>
      </c>
      <c r="C3218" s="100">
        <v>95.384450067702872</v>
      </c>
      <c r="D3218" s="100">
        <v>92.996534159033729</v>
      </c>
      <c r="E3218" s="100">
        <v>91.850565662132354</v>
      </c>
      <c r="F3218" s="100">
        <v>-659.25708353665584</v>
      </c>
      <c r="G3218" s="100">
        <v>4238.1591583888676</v>
      </c>
      <c r="H3218" s="100">
        <v>-360.90810709424659</v>
      </c>
      <c r="I3218" s="100">
        <v>1530.0739925688731</v>
      </c>
      <c r="J3218" s="100">
        <v>4748.0679603268381</v>
      </c>
    </row>
    <row r="3219" spans="1:10" x14ac:dyDescent="0.25">
      <c r="A3219">
        <v>3202</v>
      </c>
      <c r="B3219" s="100">
        <v>90.139706210800128</v>
      </c>
      <c r="C3219" s="100">
        <v>99.145823549149071</v>
      </c>
      <c r="D3219" s="100">
        <v>93.354538191794873</v>
      </c>
      <c r="E3219" s="100">
        <v>94.15720480153243</v>
      </c>
      <c r="F3219" s="100">
        <v>-1934.0138919308927</v>
      </c>
      <c r="G3219" s="100">
        <v>-1403.9010637804311</v>
      </c>
      <c r="H3219" s="100">
        <v>-1076.9161726165351</v>
      </c>
      <c r="I3219" s="100">
        <v>-776.56514683120292</v>
      </c>
      <c r="J3219" s="100">
        <v>-5191.3962751590616</v>
      </c>
    </row>
    <row r="3220" spans="1:10" x14ac:dyDescent="0.25">
      <c r="A3220">
        <v>3203</v>
      </c>
      <c r="B3220" s="100">
        <v>89.424065957368953</v>
      </c>
      <c r="C3220" s="100">
        <v>97.852470426119226</v>
      </c>
      <c r="D3220" s="100">
        <v>91.346653406221876</v>
      </c>
      <c r="E3220" s="100">
        <v>93.320386210562233</v>
      </c>
      <c r="F3220" s="100">
        <v>427.59894439198547</v>
      </c>
      <c r="G3220" s="100">
        <v>536.12862076433748</v>
      </c>
      <c r="H3220" s="100">
        <v>2938.8533985294598</v>
      </c>
      <c r="I3220" s="100">
        <v>60.253444138993473</v>
      </c>
      <c r="J3220" s="100">
        <v>3962.8344078247765</v>
      </c>
    </row>
    <row r="3221" spans="1:10" x14ac:dyDescent="0.25">
      <c r="A3221">
        <v>3204</v>
      </c>
      <c r="B3221" s="100">
        <v>90.07130228096122</v>
      </c>
      <c r="C3221" s="100">
        <v>98.038219775867589</v>
      </c>
      <c r="D3221" s="100">
        <v>91.552622091068187</v>
      </c>
      <c r="E3221" s="100">
        <v>100.51841660767121</v>
      </c>
      <c r="F3221" s="100">
        <v>-1708.280923462496</v>
      </c>
      <c r="G3221" s="100">
        <v>257.50459614179277</v>
      </c>
      <c r="H3221" s="100">
        <v>2526.9160288368366</v>
      </c>
      <c r="I3221" s="100">
        <v>-7137.7769529699863</v>
      </c>
      <c r="J3221" s="100">
        <v>-6061.6372514538525</v>
      </c>
    </row>
    <row r="3222" spans="1:10" x14ac:dyDescent="0.25">
      <c r="A3222">
        <v>3205</v>
      </c>
      <c r="B3222" s="100">
        <v>90.31756487119884</v>
      </c>
      <c r="C3222" s="100">
        <v>97.674200936558691</v>
      </c>
      <c r="D3222" s="100">
        <v>93.338789713018343</v>
      </c>
      <c r="E3222" s="100">
        <v>95.890327025145552</v>
      </c>
      <c r="F3222" s="100">
        <v>-2520.9474712466431</v>
      </c>
      <c r="G3222" s="100">
        <v>803.53285510513933</v>
      </c>
      <c r="H3222" s="100">
        <v>-1045.4192150634753</v>
      </c>
      <c r="I3222" s="100">
        <v>-2509.6873704443256</v>
      </c>
      <c r="J3222" s="100">
        <v>-5272.5212016493042</v>
      </c>
    </row>
    <row r="3223" spans="1:10" x14ac:dyDescent="0.25">
      <c r="A3223">
        <v>3206</v>
      </c>
      <c r="B3223" s="100">
        <v>89.244653660467151</v>
      </c>
      <c r="C3223" s="100">
        <v>96.553570534616711</v>
      </c>
      <c r="D3223" s="100">
        <v>92.328597205533939</v>
      </c>
      <c r="E3223" s="100">
        <v>92.470056933904672</v>
      </c>
      <c r="F3223" s="100">
        <v>1019.6595241679319</v>
      </c>
      <c r="G3223" s="100">
        <v>2484.4784580181099</v>
      </c>
      <c r="H3223" s="100">
        <v>974.96579990533405</v>
      </c>
      <c r="I3223" s="100">
        <v>910.58272079655467</v>
      </c>
      <c r="J3223" s="100">
        <v>5389.6865028879311</v>
      </c>
    </row>
    <row r="3224" spans="1:10" x14ac:dyDescent="0.25">
      <c r="A3224">
        <v>3207</v>
      </c>
      <c r="B3224" s="100">
        <v>89.100558275709204</v>
      </c>
      <c r="C3224" s="100">
        <v>98.688454934920131</v>
      </c>
      <c r="D3224" s="100">
        <v>92.296875066207321</v>
      </c>
      <c r="E3224" s="100">
        <v>93.69460888662941</v>
      </c>
      <c r="F3224" s="100">
        <v>1495.1742938691552</v>
      </c>
      <c r="G3224" s="100">
        <v>-717.84814243702044</v>
      </c>
      <c r="H3224" s="100">
        <v>1038.4100785585701</v>
      </c>
      <c r="I3224" s="100">
        <v>-313.96923192818349</v>
      </c>
      <c r="J3224" s="100">
        <v>1501.7669980625215</v>
      </c>
    </row>
    <row r="3225" spans="1:10" x14ac:dyDescent="0.25">
      <c r="A3225">
        <v>3208</v>
      </c>
      <c r="B3225" s="100">
        <v>88.890071829613149</v>
      </c>
      <c r="C3225" s="100">
        <v>97.052360244975389</v>
      </c>
      <c r="D3225" s="100">
        <v>92.677444483668893</v>
      </c>
      <c r="E3225" s="100">
        <v>93.255783273580249</v>
      </c>
      <c r="F3225" s="100">
        <v>2189.7795659861386</v>
      </c>
      <c r="G3225" s="100">
        <v>1736.2938924800915</v>
      </c>
      <c r="H3225" s="100">
        <v>277.27124363542544</v>
      </c>
      <c r="I3225" s="100">
        <v>124.85638112097774</v>
      </c>
      <c r="J3225" s="100">
        <v>4328.2010832226333</v>
      </c>
    </row>
    <row r="3226" spans="1:10" x14ac:dyDescent="0.25">
      <c r="A3226">
        <v>3209</v>
      </c>
      <c r="B3226" s="100">
        <v>89.523233857022831</v>
      </c>
      <c r="C3226" s="100">
        <v>97.886655282406835</v>
      </c>
      <c r="D3226" s="100">
        <v>93.793984962007485</v>
      </c>
      <c r="E3226" s="100">
        <v>93.718413349561999</v>
      </c>
      <c r="F3226" s="100">
        <v>100.34487553418785</v>
      </c>
      <c r="G3226" s="100">
        <v>484.85133633292321</v>
      </c>
      <c r="H3226" s="100">
        <v>-1955.8097130417593</v>
      </c>
      <c r="I3226" s="100">
        <v>-337.77369486077191</v>
      </c>
      <c r="J3226" s="100">
        <v>-1708.3871960354202</v>
      </c>
    </row>
    <row r="3227" spans="1:10" x14ac:dyDescent="0.25">
      <c r="A3227">
        <v>3210</v>
      </c>
      <c r="B3227" s="100">
        <v>89.541579622972762</v>
      </c>
      <c r="C3227" s="100">
        <v>97.752966906928762</v>
      </c>
      <c r="D3227" s="100">
        <v>91.448590676086766</v>
      </c>
      <c r="E3227" s="100">
        <v>95.127492380022005</v>
      </c>
      <c r="F3227" s="100">
        <v>39.803847899415246</v>
      </c>
      <c r="G3227" s="100">
        <v>685.38389955003254</v>
      </c>
      <c r="H3227" s="100">
        <v>2734.9788587996782</v>
      </c>
      <c r="I3227" s="100">
        <v>-1746.8527253207781</v>
      </c>
      <c r="J3227" s="100">
        <v>1713.3138809283478</v>
      </c>
    </row>
    <row r="3228" spans="1:10" x14ac:dyDescent="0.25">
      <c r="A3228">
        <v>3211</v>
      </c>
      <c r="B3228" s="100">
        <v>88.719183653764858</v>
      </c>
      <c r="C3228" s="100">
        <v>98.797501350140266</v>
      </c>
      <c r="D3228" s="100">
        <v>93.190138836611411</v>
      </c>
      <c r="E3228" s="100">
        <v>93.305573748187783</v>
      </c>
      <c r="F3228" s="100">
        <v>2753.7105462854965</v>
      </c>
      <c r="G3228" s="100">
        <v>-881.41776526722288</v>
      </c>
      <c r="H3228" s="100">
        <v>-748.11746224960984</v>
      </c>
      <c r="I3228" s="100">
        <v>75.065906513444247</v>
      </c>
      <c r="J3228" s="100">
        <v>1199.2412252821082</v>
      </c>
    </row>
    <row r="3229" spans="1:10" x14ac:dyDescent="0.25">
      <c r="A3229">
        <v>3212</v>
      </c>
      <c r="B3229" s="100">
        <v>89.717460759392779</v>
      </c>
      <c r="C3229" s="100">
        <v>98.385515045099496</v>
      </c>
      <c r="D3229" s="100">
        <v>92.580471673176774</v>
      </c>
      <c r="E3229" s="100">
        <v>93.319958605713282</v>
      </c>
      <c r="F3229" s="100">
        <v>-540.60390228664096</v>
      </c>
      <c r="G3229" s="100">
        <v>-263.43830770606758</v>
      </c>
      <c r="H3229" s="100">
        <v>471.21686461966306</v>
      </c>
      <c r="I3229" s="100">
        <v>60.681048987945019</v>
      </c>
      <c r="J3229" s="100">
        <v>-272.14429638510046</v>
      </c>
    </row>
    <row r="3230" spans="1:10" x14ac:dyDescent="0.25">
      <c r="A3230">
        <v>3213</v>
      </c>
      <c r="B3230" s="100">
        <v>89.521014848893515</v>
      </c>
      <c r="C3230" s="100">
        <v>98.340569142432514</v>
      </c>
      <c r="D3230" s="100">
        <v>90.379060759118957</v>
      </c>
      <c r="E3230" s="100">
        <v>94.772570256599792</v>
      </c>
      <c r="F3230" s="100">
        <v>107.66760236093091</v>
      </c>
      <c r="G3230" s="100">
        <v>-196.01945370559548</v>
      </c>
      <c r="H3230" s="100">
        <v>4874.0386927352974</v>
      </c>
      <c r="I3230" s="100">
        <v>-1391.9306018985651</v>
      </c>
      <c r="J3230" s="100">
        <v>3393.7562394920678</v>
      </c>
    </row>
    <row r="3231" spans="1:10" x14ac:dyDescent="0.25">
      <c r="A3231">
        <v>3214</v>
      </c>
      <c r="B3231" s="100">
        <v>89.986614727844511</v>
      </c>
      <c r="C3231" s="100">
        <v>94.544134337284419</v>
      </c>
      <c r="D3231" s="100">
        <v>94.942453230869035</v>
      </c>
      <c r="E3231" s="100">
        <v>92.765278175783024</v>
      </c>
      <c r="F3231" s="100">
        <v>-1428.8119981773575</v>
      </c>
      <c r="G3231" s="100">
        <v>5498.6327540165476</v>
      </c>
      <c r="H3231" s="100">
        <v>-4252.7462507648579</v>
      </c>
      <c r="I3231" s="100">
        <v>615.36147891820292</v>
      </c>
      <c r="J3231" s="100">
        <v>432.43598399253506</v>
      </c>
    </row>
    <row r="3232" spans="1:10" x14ac:dyDescent="0.25">
      <c r="A3232">
        <v>3215</v>
      </c>
      <c r="B3232" s="100">
        <v>89.573152519335878</v>
      </c>
      <c r="C3232" s="100">
        <v>98.701992460823789</v>
      </c>
      <c r="D3232" s="100">
        <v>94.090180265419534</v>
      </c>
      <c r="E3232" s="100">
        <v>96.864684010637191</v>
      </c>
      <c r="F3232" s="100">
        <v>-64.386710098867184</v>
      </c>
      <c r="G3232" s="100">
        <v>-738.1544312925073</v>
      </c>
      <c r="H3232" s="100">
        <v>-2548.2003198658558</v>
      </c>
      <c r="I3232" s="100">
        <v>-3484.0443559359642</v>
      </c>
      <c r="J3232" s="100">
        <v>-6834.7858171931948</v>
      </c>
    </row>
    <row r="3233" spans="1:10" x14ac:dyDescent="0.25">
      <c r="A3233">
        <v>3216</v>
      </c>
      <c r="B3233" s="100">
        <v>89.551576991894436</v>
      </c>
      <c r="C3233" s="100">
        <v>98.085491743317405</v>
      </c>
      <c r="D3233" s="100">
        <v>92.6473703774207</v>
      </c>
      <c r="E3233" s="100">
        <v>94.997366099825712</v>
      </c>
      <c r="F3233" s="100">
        <v>6.8125304578913415</v>
      </c>
      <c r="G3233" s="100">
        <v>186.59664496706796</v>
      </c>
      <c r="H3233" s="100">
        <v>337.41945613181201</v>
      </c>
      <c r="I3233" s="100">
        <v>-1616.7264451244846</v>
      </c>
      <c r="J3233" s="100">
        <v>-1085.8978135677132</v>
      </c>
    </row>
    <row r="3234" spans="1:10" x14ac:dyDescent="0.25">
      <c r="A3234">
        <v>3217</v>
      </c>
      <c r="B3234" s="100">
        <v>88.903979558475072</v>
      </c>
      <c r="C3234" s="100">
        <v>99.52917952219515</v>
      </c>
      <c r="D3234" s="100">
        <v>92.863347032576158</v>
      </c>
      <c r="E3234" s="100">
        <v>93.126272230489079</v>
      </c>
      <c r="F3234" s="100">
        <v>2143.8840607417915</v>
      </c>
      <c r="G3234" s="100">
        <v>-1978.9350233495497</v>
      </c>
      <c r="H3234" s="100">
        <v>-94.533854179104537</v>
      </c>
      <c r="I3234" s="100">
        <v>254.36742421214831</v>
      </c>
      <c r="J3234" s="100">
        <v>324.78260742528551</v>
      </c>
    </row>
    <row r="3235" spans="1:10" x14ac:dyDescent="0.25">
      <c r="A3235">
        <v>3218</v>
      </c>
      <c r="B3235" s="100">
        <v>89.097705730016472</v>
      </c>
      <c r="C3235" s="100">
        <v>97.095074064175733</v>
      </c>
      <c r="D3235" s="100">
        <v>93.487701497144357</v>
      </c>
      <c r="E3235" s="100">
        <v>94.99601598937538</v>
      </c>
      <c r="F3235" s="100">
        <v>1504.587694655173</v>
      </c>
      <c r="G3235" s="100">
        <v>1672.2231636795755</v>
      </c>
      <c r="H3235" s="100">
        <v>-1343.2427833155032</v>
      </c>
      <c r="I3235" s="100">
        <v>-1615.3763346741528</v>
      </c>
      <c r="J3235" s="100">
        <v>218.19174034509251</v>
      </c>
    </row>
    <row r="3236" spans="1:10" x14ac:dyDescent="0.25">
      <c r="A3236">
        <v>3219</v>
      </c>
      <c r="B3236" s="100">
        <v>89.738765248540531</v>
      </c>
      <c r="C3236" s="100">
        <v>98.282379474824893</v>
      </c>
      <c r="D3236" s="100">
        <v>94.037322548166173</v>
      </c>
      <c r="E3236" s="100">
        <v>92.117727686739912</v>
      </c>
      <c r="F3236" s="100">
        <v>-610.90871647422341</v>
      </c>
      <c r="G3236" s="100">
        <v>-108.73495229416363</v>
      </c>
      <c r="H3236" s="100">
        <v>-2442.4848853591357</v>
      </c>
      <c r="I3236" s="100">
        <v>1262.9119679613154</v>
      </c>
      <c r="J3236" s="100">
        <v>-1899.2165861662074</v>
      </c>
    </row>
    <row r="3237" spans="1:10" x14ac:dyDescent="0.25">
      <c r="A3237">
        <v>3220</v>
      </c>
      <c r="B3237" s="100">
        <v>89.381997054990123</v>
      </c>
      <c r="C3237" s="100">
        <v>98.259934722236764</v>
      </c>
      <c r="D3237" s="100">
        <v>93.587825535615536</v>
      </c>
      <c r="E3237" s="100">
        <v>92.676842581515132</v>
      </c>
      <c r="F3237" s="100">
        <v>566.42632224212412</v>
      </c>
      <c r="G3237" s="100">
        <v>-75.06782341197038</v>
      </c>
      <c r="H3237" s="100">
        <v>-1543.4908602578616</v>
      </c>
      <c r="I3237" s="100">
        <v>703.79707318609519</v>
      </c>
      <c r="J3237" s="100">
        <v>-348.33528824161283</v>
      </c>
    </row>
    <row r="3238" spans="1:10" x14ac:dyDescent="0.25">
      <c r="A3238">
        <v>3221</v>
      </c>
      <c r="B3238" s="100">
        <v>90.180899869272963</v>
      </c>
      <c r="C3238" s="100">
        <v>96.654572405067256</v>
      </c>
      <c r="D3238" s="100">
        <v>92.792381259848113</v>
      </c>
      <c r="E3238" s="100">
        <v>95.982629742958423</v>
      </c>
      <c r="F3238" s="100">
        <v>-2069.9529648912489</v>
      </c>
      <c r="G3238" s="100">
        <v>2332.9756523422916</v>
      </c>
      <c r="H3238" s="100">
        <v>47.397691276984233</v>
      </c>
      <c r="I3238" s="100">
        <v>-2601.990088257196</v>
      </c>
      <c r="J3238" s="100">
        <v>-2291.5697095291689</v>
      </c>
    </row>
    <row r="3239" spans="1:10" x14ac:dyDescent="0.25">
      <c r="A3239">
        <v>3222</v>
      </c>
      <c r="B3239" s="100">
        <v>90.862627682987281</v>
      </c>
      <c r="C3239" s="100">
        <v>98.193153440683176</v>
      </c>
      <c r="D3239" s="100">
        <v>94.753837006673464</v>
      </c>
      <c r="E3239" s="100">
        <v>94.119829192767696</v>
      </c>
      <c r="F3239" s="100">
        <v>-4319.6547501484974</v>
      </c>
      <c r="G3239" s="100">
        <v>25.104098918411921</v>
      </c>
      <c r="H3239" s="100">
        <v>-3875.5138023737172</v>
      </c>
      <c r="I3239" s="100">
        <v>-739.18953806646925</v>
      </c>
      <c r="J3239" s="100">
        <v>-8909.2539916702717</v>
      </c>
    </row>
    <row r="3240" spans="1:10" x14ac:dyDescent="0.25">
      <c r="A3240">
        <v>3223</v>
      </c>
      <c r="B3240" s="100">
        <v>88.97142019715632</v>
      </c>
      <c r="C3240" s="100">
        <v>98.421026319492128</v>
      </c>
      <c r="D3240" s="100">
        <v>90.82582610817127</v>
      </c>
      <c r="E3240" s="100">
        <v>95.220588609478668</v>
      </c>
      <c r="F3240" s="100">
        <v>1921.3299530936738</v>
      </c>
      <c r="G3240" s="100">
        <v>-316.7052192950166</v>
      </c>
      <c r="H3240" s="100">
        <v>3980.5079946306705</v>
      </c>
      <c r="I3240" s="100">
        <v>-1839.9489547774408</v>
      </c>
      <c r="J3240" s="100">
        <v>3745.1837736518864</v>
      </c>
    </row>
    <row r="3241" spans="1:10" x14ac:dyDescent="0.25">
      <c r="A3241">
        <v>3224</v>
      </c>
      <c r="B3241" s="100">
        <v>90.377285554485439</v>
      </c>
      <c r="C3241" s="100">
        <v>98.354778081774683</v>
      </c>
      <c r="D3241" s="100">
        <v>92.925724254786729</v>
      </c>
      <c r="E3241" s="100">
        <v>93.977595219527601</v>
      </c>
      <c r="F3241" s="100">
        <v>-2718.0257260924209</v>
      </c>
      <c r="G3241" s="100">
        <v>-217.33286271884822</v>
      </c>
      <c r="H3241" s="100">
        <v>-219.28829860024734</v>
      </c>
      <c r="I3241" s="100">
        <v>-596.95556482637357</v>
      </c>
      <c r="J3241" s="100">
        <v>-3751.6024522378902</v>
      </c>
    </row>
    <row r="3242" spans="1:10" x14ac:dyDescent="0.25">
      <c r="A3242">
        <v>3225</v>
      </c>
      <c r="B3242" s="100">
        <v>88.556071164477373</v>
      </c>
      <c r="C3242" s="100">
        <v>98.705879196805654</v>
      </c>
      <c r="D3242" s="100">
        <v>92.775955379067923</v>
      </c>
      <c r="E3242" s="100">
        <v>95.283401630308404</v>
      </c>
      <c r="F3242" s="100">
        <v>3291.9817609341976</v>
      </c>
      <c r="G3242" s="100">
        <v>-743.98453526530511</v>
      </c>
      <c r="H3242" s="100">
        <v>80.249452837364288</v>
      </c>
      <c r="I3242" s="100">
        <v>-1902.7619756071772</v>
      </c>
      <c r="J3242" s="100">
        <v>725.48470289907982</v>
      </c>
    </row>
    <row r="3243" spans="1:10" x14ac:dyDescent="0.25">
      <c r="A3243">
        <v>3226</v>
      </c>
      <c r="B3243" s="100">
        <v>89.280441932816316</v>
      </c>
      <c r="C3243" s="100">
        <v>98.171712637512329</v>
      </c>
      <c r="D3243" s="100">
        <v>93.104573276177604</v>
      </c>
      <c r="E3243" s="100">
        <v>94.381062529242968</v>
      </c>
      <c r="F3243" s="100">
        <v>901.55822541568546</v>
      </c>
      <c r="G3243" s="100">
        <v>57.265303674682855</v>
      </c>
      <c r="H3243" s="100">
        <v>-576.98634138199623</v>
      </c>
      <c r="I3243" s="100">
        <v>-1000.4228745417407</v>
      </c>
      <c r="J3243" s="100">
        <v>-618.58568683336864</v>
      </c>
    </row>
    <row r="3244" spans="1:10" x14ac:dyDescent="0.25">
      <c r="A3244">
        <v>3227</v>
      </c>
      <c r="B3244" s="100">
        <v>89.854817551923333</v>
      </c>
      <c r="C3244" s="100">
        <v>98.375455501778177</v>
      </c>
      <c r="D3244" s="100">
        <v>92.099830405882983</v>
      </c>
      <c r="E3244" s="100">
        <v>89.87436500884516</v>
      </c>
      <c r="F3244" s="100">
        <v>-993.88131763746799</v>
      </c>
      <c r="G3244" s="100">
        <v>-248.34899272408961</v>
      </c>
      <c r="H3244" s="100">
        <v>1432.499399207245</v>
      </c>
      <c r="I3244" s="100">
        <v>3506.2746458560669</v>
      </c>
      <c r="J3244" s="100">
        <v>3696.5437347017541</v>
      </c>
    </row>
    <row r="3245" spans="1:10" x14ac:dyDescent="0.25">
      <c r="A3245">
        <v>3228</v>
      </c>
      <c r="B3245" s="100">
        <v>88.732073734170086</v>
      </c>
      <c r="C3245" s="100">
        <v>99.111434093672969</v>
      </c>
      <c r="D3245" s="100">
        <v>94.083506617639131</v>
      </c>
      <c r="E3245" s="100">
        <v>91.575668644235847</v>
      </c>
      <c r="F3245" s="100">
        <v>2711.1732809482446</v>
      </c>
      <c r="G3245" s="100">
        <v>-1352.3168805662776</v>
      </c>
      <c r="H3245" s="100">
        <v>-2534.8530243050504</v>
      </c>
      <c r="I3245" s="100">
        <v>1804.9710104653798</v>
      </c>
      <c r="J3245" s="100">
        <v>628.97438654229632</v>
      </c>
    </row>
    <row r="3246" spans="1:10" x14ac:dyDescent="0.25">
      <c r="A3246">
        <v>3229</v>
      </c>
      <c r="B3246" s="100">
        <v>89.483785192585614</v>
      </c>
      <c r="C3246" s="100">
        <v>97.811451208378585</v>
      </c>
      <c r="D3246" s="100">
        <v>92.867792840091369</v>
      </c>
      <c r="E3246" s="100">
        <v>94.874641087812364</v>
      </c>
      <c r="F3246" s="100">
        <v>230.52546817700232</v>
      </c>
      <c r="G3246" s="100">
        <v>597.65744737529758</v>
      </c>
      <c r="H3246" s="100">
        <v>-103.425469209526</v>
      </c>
      <c r="I3246" s="100">
        <v>-1494.001433111137</v>
      </c>
      <c r="J3246" s="100">
        <v>-769.24398676836313</v>
      </c>
    </row>
    <row r="3247" spans="1:10" x14ac:dyDescent="0.25">
      <c r="A3247">
        <v>3230</v>
      </c>
      <c r="B3247" s="100">
        <v>89.828822709367287</v>
      </c>
      <c r="C3247" s="100">
        <v>98.620737212825134</v>
      </c>
      <c r="D3247" s="100">
        <v>94.58991680024431</v>
      </c>
      <c r="E3247" s="100">
        <v>91.63660664932155</v>
      </c>
      <c r="F3247" s="100">
        <v>-908.09833720251868</v>
      </c>
      <c r="G3247" s="100">
        <v>-616.27155929452465</v>
      </c>
      <c r="H3247" s="100">
        <v>-3547.6733895154098</v>
      </c>
      <c r="I3247" s="100">
        <v>1744.033005379677</v>
      </c>
      <c r="J3247" s="100">
        <v>-3328.0102806327759</v>
      </c>
    </row>
    <row r="3248" spans="1:10" x14ac:dyDescent="0.25">
      <c r="A3248">
        <v>3231</v>
      </c>
      <c r="B3248" s="100">
        <v>89.356860214845142</v>
      </c>
      <c r="C3248" s="100">
        <v>98.496816832048751</v>
      </c>
      <c r="D3248" s="100">
        <v>94.52859760837454</v>
      </c>
      <c r="E3248" s="100">
        <v>93.48050151392944</v>
      </c>
      <c r="F3248" s="100">
        <v>649.37789472056124</v>
      </c>
      <c r="G3248" s="100">
        <v>-430.39098812995036</v>
      </c>
      <c r="H3248" s="100">
        <v>-3425.0350057758678</v>
      </c>
      <c r="I3248" s="100">
        <v>-99.861859228212779</v>
      </c>
      <c r="J3248" s="100">
        <v>-3305.9099584134697</v>
      </c>
    </row>
    <row r="3249" spans="1:10" x14ac:dyDescent="0.25">
      <c r="A3249">
        <v>3232</v>
      </c>
      <c r="B3249" s="100">
        <v>90.219549521063328</v>
      </c>
      <c r="C3249" s="100">
        <v>98.472226337296831</v>
      </c>
      <c r="D3249" s="100">
        <v>91.961846780990882</v>
      </c>
      <c r="E3249" s="100">
        <v>93.724022057063181</v>
      </c>
      <c r="F3249" s="100">
        <v>-2197.496815799454</v>
      </c>
      <c r="G3249" s="100">
        <v>-393.50524600207137</v>
      </c>
      <c r="H3249" s="100">
        <v>1708.4666489914468</v>
      </c>
      <c r="I3249" s="100">
        <v>-343.38240236195361</v>
      </c>
      <c r="J3249" s="100">
        <v>-1225.9178151720323</v>
      </c>
    </row>
    <row r="3250" spans="1:10" x14ac:dyDescent="0.25">
      <c r="A3250">
        <v>3233</v>
      </c>
      <c r="B3250" s="100">
        <v>89.068372804422836</v>
      </c>
      <c r="C3250" s="100">
        <v>98.728685586815175</v>
      </c>
      <c r="D3250" s="100">
        <v>92.358934512500156</v>
      </c>
      <c r="E3250" s="100">
        <v>91.665309045850108</v>
      </c>
      <c r="F3250" s="100">
        <v>1601.3863491141706</v>
      </c>
      <c r="G3250" s="100">
        <v>-778.19412027958629</v>
      </c>
      <c r="H3250" s="100">
        <v>914.29118597289971</v>
      </c>
      <c r="I3250" s="100">
        <v>1715.3306088511185</v>
      </c>
      <c r="J3250" s="100">
        <v>3452.8140236586023</v>
      </c>
    </row>
    <row r="3251" spans="1:10" x14ac:dyDescent="0.25">
      <c r="A3251">
        <v>3234</v>
      </c>
      <c r="B3251" s="100">
        <v>89.599866821977557</v>
      </c>
      <c r="C3251" s="100">
        <v>98.69378399455978</v>
      </c>
      <c r="D3251" s="100">
        <v>91.925823572357018</v>
      </c>
      <c r="E3251" s="100">
        <v>93.965817675146567</v>
      </c>
      <c r="F3251" s="100">
        <v>-152.54390881640774</v>
      </c>
      <c r="G3251" s="100">
        <v>-725.84173189649448</v>
      </c>
      <c r="H3251" s="100">
        <v>1780.513066259175</v>
      </c>
      <c r="I3251" s="100">
        <v>-585.17802044534051</v>
      </c>
      <c r="J3251" s="100">
        <v>316.94940510093238</v>
      </c>
    </row>
    <row r="3252" spans="1:10" x14ac:dyDescent="0.25">
      <c r="A3252">
        <v>3235</v>
      </c>
      <c r="B3252" s="100">
        <v>90.128980317914696</v>
      </c>
      <c r="C3252" s="100">
        <v>98.781087785309794</v>
      </c>
      <c r="D3252" s="100">
        <v>92.383313554047092</v>
      </c>
      <c r="E3252" s="100">
        <v>96.125818382040151</v>
      </c>
      <c r="F3252" s="100">
        <v>-1898.6184454089666</v>
      </c>
      <c r="G3252" s="100">
        <v>-856.79741802151455</v>
      </c>
      <c r="H3252" s="100">
        <v>865.53310287902718</v>
      </c>
      <c r="I3252" s="100">
        <v>-2745.1787273389245</v>
      </c>
      <c r="J3252" s="100">
        <v>-4635.0614878903789</v>
      </c>
    </row>
    <row r="3253" spans="1:10" x14ac:dyDescent="0.25">
      <c r="A3253">
        <v>3236</v>
      </c>
      <c r="B3253" s="100">
        <v>89.532127391782268</v>
      </c>
      <c r="C3253" s="100">
        <v>97.386435025394775</v>
      </c>
      <c r="D3253" s="100">
        <v>94.669737738321686</v>
      </c>
      <c r="E3253" s="100">
        <v>92.327475802808053</v>
      </c>
      <c r="F3253" s="100">
        <v>70.996210828045037</v>
      </c>
      <c r="G3253" s="100">
        <v>1235.1817218510134</v>
      </c>
      <c r="H3253" s="100">
        <v>-3707.3152656701609</v>
      </c>
      <c r="I3253" s="100">
        <v>1053.1638518931743</v>
      </c>
      <c r="J3253" s="100">
        <v>-1347.9734810979282</v>
      </c>
    </row>
    <row r="3254" spans="1:10" x14ac:dyDescent="0.25">
      <c r="A3254">
        <v>3237</v>
      </c>
      <c r="B3254" s="100">
        <v>89.424226365348389</v>
      </c>
      <c r="C3254" s="100">
        <v>97.997808599685982</v>
      </c>
      <c r="D3254" s="100">
        <v>93.034962430896243</v>
      </c>
      <c r="E3254" s="100">
        <v>91.472739395781176</v>
      </c>
      <c r="F3254" s="100">
        <v>427.0695980598461</v>
      </c>
      <c r="G3254" s="100">
        <v>318.12136041420302</v>
      </c>
      <c r="H3254" s="100">
        <v>-437.7646508192754</v>
      </c>
      <c r="I3254" s="100">
        <v>1907.9002589200513</v>
      </c>
      <c r="J3254" s="100">
        <v>2215.3265665748249</v>
      </c>
    </row>
    <row r="3255" spans="1:10" x14ac:dyDescent="0.25">
      <c r="A3255">
        <v>3238</v>
      </c>
      <c r="B3255" s="100">
        <v>90.14818116158861</v>
      </c>
      <c r="C3255" s="100">
        <v>98.409727564427328</v>
      </c>
      <c r="D3255" s="100">
        <v>93.606457673883057</v>
      </c>
      <c r="E3255" s="100">
        <v>92.600820919383793</v>
      </c>
      <c r="F3255" s="100">
        <v>-1961.9812295328843</v>
      </c>
      <c r="G3255" s="100">
        <v>-299.75708669781653</v>
      </c>
      <c r="H3255" s="100">
        <v>-1580.7551367929022</v>
      </c>
      <c r="I3255" s="100">
        <v>779.81873531743418</v>
      </c>
      <c r="J3255" s="100">
        <v>-3062.6747177061688</v>
      </c>
    </row>
    <row r="3256" spans="1:10" x14ac:dyDescent="0.25">
      <c r="A3256">
        <v>3239</v>
      </c>
      <c r="B3256" s="100">
        <v>90.412171431395706</v>
      </c>
      <c r="C3256" s="100">
        <v>99.330051592695384</v>
      </c>
      <c r="D3256" s="100">
        <v>93.558905990669615</v>
      </c>
      <c r="E3256" s="100">
        <v>95.098883367372466</v>
      </c>
      <c r="F3256" s="100">
        <v>-2833.1491198962995</v>
      </c>
      <c r="G3256" s="100">
        <v>-1680.2431290998995</v>
      </c>
      <c r="H3256" s="100">
        <v>-1485.6517703660188</v>
      </c>
      <c r="I3256" s="100">
        <v>-1718.2437126712387</v>
      </c>
      <c r="J3256" s="100">
        <v>-7717.2877320334565</v>
      </c>
    </row>
    <row r="3257" spans="1:10" x14ac:dyDescent="0.25">
      <c r="A3257">
        <v>3240</v>
      </c>
      <c r="B3257" s="100">
        <v>89.29734013306421</v>
      </c>
      <c r="C3257" s="100">
        <v>99.513399275586806</v>
      </c>
      <c r="D3257" s="100">
        <v>91.842501348112307</v>
      </c>
      <c r="E3257" s="100">
        <v>93.817183327664907</v>
      </c>
      <c r="F3257" s="100">
        <v>845.79416459763479</v>
      </c>
      <c r="G3257" s="100">
        <v>-1955.264653437034</v>
      </c>
      <c r="H3257" s="100">
        <v>1947.1575147485964</v>
      </c>
      <c r="I3257" s="100">
        <v>-436.5436729636798</v>
      </c>
      <c r="J3257" s="100">
        <v>401.14335294551745</v>
      </c>
    </row>
    <row r="3258" spans="1:10" x14ac:dyDescent="0.25">
      <c r="A3258">
        <v>3241</v>
      </c>
      <c r="B3258" s="100">
        <v>89.715419753318216</v>
      </c>
      <c r="C3258" s="100">
        <v>98.169339354180451</v>
      </c>
      <c r="D3258" s="100">
        <v>91.925375537822191</v>
      </c>
      <c r="E3258" s="100">
        <v>93.991735622191172</v>
      </c>
      <c r="F3258" s="100">
        <v>-533.8685822405821</v>
      </c>
      <c r="G3258" s="100">
        <v>60.825228672499065</v>
      </c>
      <c r="H3258" s="100">
        <v>1781.4091353288291</v>
      </c>
      <c r="I3258" s="100">
        <v>-611.09596748994477</v>
      </c>
      <c r="J3258" s="100">
        <v>697.26981427080113</v>
      </c>
    </row>
    <row r="3259" spans="1:10" x14ac:dyDescent="0.25">
      <c r="A3259">
        <v>3242</v>
      </c>
      <c r="B3259" s="100">
        <v>89.297362905347129</v>
      </c>
      <c r="C3259" s="100">
        <v>98.58190538565286</v>
      </c>
      <c r="D3259" s="100">
        <v>92.613504152765273</v>
      </c>
      <c r="E3259" s="100">
        <v>93.474787134062865</v>
      </c>
      <c r="F3259" s="100">
        <v>845.71901606400525</v>
      </c>
      <c r="G3259" s="100">
        <v>-558.02381853611394</v>
      </c>
      <c r="H3259" s="100">
        <v>405.15190544266488</v>
      </c>
      <c r="I3259" s="100">
        <v>-94.14747936163792</v>
      </c>
      <c r="J3259" s="100">
        <v>598.69962360891827</v>
      </c>
    </row>
    <row r="3260" spans="1:10" x14ac:dyDescent="0.25">
      <c r="A3260">
        <v>3243</v>
      </c>
      <c r="B3260" s="100">
        <v>90.328769602066998</v>
      </c>
      <c r="C3260" s="100">
        <v>99.128169399473705</v>
      </c>
      <c r="D3260" s="100">
        <v>90.738925065297295</v>
      </c>
      <c r="E3260" s="100">
        <v>91.864219076845927</v>
      </c>
      <c r="F3260" s="100">
        <v>-2557.9230831115651</v>
      </c>
      <c r="G3260" s="100">
        <v>-1377.4198392673825</v>
      </c>
      <c r="H3260" s="100">
        <v>4154.3100803786219</v>
      </c>
      <c r="I3260" s="100">
        <v>1516.4205778552996</v>
      </c>
      <c r="J3260" s="100">
        <v>1735.3877358549739</v>
      </c>
    </row>
    <row r="3261" spans="1:10" x14ac:dyDescent="0.25">
      <c r="A3261">
        <v>3244</v>
      </c>
      <c r="B3261" s="100">
        <v>90.466547979981712</v>
      </c>
      <c r="C3261" s="100">
        <v>97.424456184157222</v>
      </c>
      <c r="D3261" s="100">
        <v>92.020134444262652</v>
      </c>
      <c r="E3261" s="100">
        <v>93.500020497994257</v>
      </c>
      <c r="F3261" s="100">
        <v>-3012.5917302301204</v>
      </c>
      <c r="G3261" s="100">
        <v>1178.1499837073425</v>
      </c>
      <c r="H3261" s="100">
        <v>1591.891322447907</v>
      </c>
      <c r="I3261" s="100">
        <v>-119.38084329302967</v>
      </c>
      <c r="J3261" s="100">
        <v>-361.93126736790066</v>
      </c>
    </row>
    <row r="3262" spans="1:10" x14ac:dyDescent="0.25">
      <c r="A3262">
        <v>3245</v>
      </c>
      <c r="B3262" s="100">
        <v>88.893891449042044</v>
      </c>
      <c r="C3262" s="100">
        <v>97.267143146703361</v>
      </c>
      <c r="D3262" s="100">
        <v>91.348931541580271</v>
      </c>
      <c r="E3262" s="100">
        <v>92.108023183797044</v>
      </c>
      <c r="F3262" s="100">
        <v>2177.1748218707826</v>
      </c>
      <c r="G3262" s="100">
        <v>1414.1195398881337</v>
      </c>
      <c r="H3262" s="100">
        <v>2934.2971278126697</v>
      </c>
      <c r="I3262" s="100">
        <v>1272.6164709041825</v>
      </c>
      <c r="J3262" s="100">
        <v>7798.2079604757682</v>
      </c>
    </row>
    <row r="3263" spans="1:10" x14ac:dyDescent="0.25">
      <c r="A3263">
        <v>3246</v>
      </c>
      <c r="B3263" s="100">
        <v>89.912973245252559</v>
      </c>
      <c r="C3263" s="100">
        <v>97.539432155703466</v>
      </c>
      <c r="D3263" s="100">
        <v>92.303701773720718</v>
      </c>
      <c r="E3263" s="100">
        <v>94.499363976328596</v>
      </c>
      <c r="F3263" s="100">
        <v>-1185.7951056239144</v>
      </c>
      <c r="G3263" s="100">
        <v>1005.686026387977</v>
      </c>
      <c r="H3263" s="100">
        <v>1024.7566635317753</v>
      </c>
      <c r="I3263" s="100">
        <v>-1118.7243216273687</v>
      </c>
      <c r="J3263" s="100">
        <v>-274.07673733153081</v>
      </c>
    </row>
    <row r="3264" spans="1:10" x14ac:dyDescent="0.25">
      <c r="A3264">
        <v>3247</v>
      </c>
      <c r="B3264" s="100">
        <v>89.214416477597112</v>
      </c>
      <c r="C3264" s="100">
        <v>98.567229592713957</v>
      </c>
      <c r="D3264" s="100">
        <v>94.232726814871015</v>
      </c>
      <c r="E3264" s="100">
        <v>93.501413959433663</v>
      </c>
      <c r="F3264" s="100">
        <v>1119.4422276390596</v>
      </c>
      <c r="G3264" s="100">
        <v>-536.01012912776014</v>
      </c>
      <c r="H3264" s="100">
        <v>-2833.2934187688179</v>
      </c>
      <c r="I3264" s="100">
        <v>-120.77430473243567</v>
      </c>
      <c r="J3264" s="100">
        <v>-2370.6356249899541</v>
      </c>
    </row>
    <row r="3265" spans="1:10" x14ac:dyDescent="0.25">
      <c r="A3265">
        <v>3248</v>
      </c>
      <c r="B3265" s="100">
        <v>88.850641875655796</v>
      </c>
      <c r="C3265" s="100">
        <v>98.118816268466745</v>
      </c>
      <c r="D3265" s="100">
        <v>93.180506623931635</v>
      </c>
      <c r="E3265" s="100">
        <v>92.773043848631033</v>
      </c>
      <c r="F3265" s="100">
        <v>2319.8984140454018</v>
      </c>
      <c r="G3265" s="100">
        <v>136.60985724305874</v>
      </c>
      <c r="H3265" s="100">
        <v>-728.85303689005809</v>
      </c>
      <c r="I3265" s="100">
        <v>607.59580607019359</v>
      </c>
      <c r="J3265" s="100">
        <v>2335.2510404685959</v>
      </c>
    </row>
    <row r="3266" spans="1:10" x14ac:dyDescent="0.25">
      <c r="A3266">
        <v>3249</v>
      </c>
      <c r="B3266" s="100">
        <v>90.054382378511562</v>
      </c>
      <c r="C3266" s="100">
        <v>98.098803763704694</v>
      </c>
      <c r="D3266" s="100">
        <v>92.662388099231407</v>
      </c>
      <c r="E3266" s="100">
        <v>93.887715986891507</v>
      </c>
      <c r="F3266" s="100">
        <v>-1652.4452453786253</v>
      </c>
      <c r="G3266" s="100">
        <v>166.62861438613419</v>
      </c>
      <c r="H3266" s="100">
        <v>307.38401251039704</v>
      </c>
      <c r="I3266" s="100">
        <v>-507.07633219028025</v>
      </c>
      <c r="J3266" s="100">
        <v>-1685.5089506723743</v>
      </c>
    </row>
    <row r="3267" spans="1:10" x14ac:dyDescent="0.25">
      <c r="A3267">
        <v>3250</v>
      </c>
      <c r="B3267" s="100">
        <v>88.72814456506336</v>
      </c>
      <c r="C3267" s="100">
        <v>97.169654031281524</v>
      </c>
      <c r="D3267" s="100">
        <v>91.168987701274091</v>
      </c>
      <c r="E3267" s="100">
        <v>91.361565982679338</v>
      </c>
      <c r="F3267" s="100">
        <v>2724.1395390004413</v>
      </c>
      <c r="G3267" s="100">
        <v>1560.3532130208891</v>
      </c>
      <c r="H3267" s="100">
        <v>3294.1848084250296</v>
      </c>
      <c r="I3267" s="100">
        <v>2019.0736720218893</v>
      </c>
      <c r="J3267" s="100">
        <v>9597.7512324682502</v>
      </c>
    </row>
    <row r="3268" spans="1:10" x14ac:dyDescent="0.25">
      <c r="A3268">
        <v>3251</v>
      </c>
      <c r="B3268" s="100">
        <v>89.167357933013434</v>
      </c>
      <c r="C3268" s="100">
        <v>98.453506212623907</v>
      </c>
      <c r="D3268" s="100">
        <v>92.897850729529495</v>
      </c>
      <c r="E3268" s="100">
        <v>93.456513333006455</v>
      </c>
      <c r="F3268" s="100">
        <v>1274.7354247651956</v>
      </c>
      <c r="G3268" s="100">
        <v>-365.42505899268463</v>
      </c>
      <c r="H3268" s="100">
        <v>-163.54124808577808</v>
      </c>
      <c r="I3268" s="100">
        <v>-75.873678305228509</v>
      </c>
      <c r="J3268" s="100">
        <v>669.89543938150439</v>
      </c>
    </row>
    <row r="3269" spans="1:10" x14ac:dyDescent="0.25">
      <c r="A3269">
        <v>3252</v>
      </c>
      <c r="B3269" s="100">
        <v>89.884432210012193</v>
      </c>
      <c r="C3269" s="100">
        <v>98.877216178873184</v>
      </c>
      <c r="D3269" s="100">
        <v>93.108611403188121</v>
      </c>
      <c r="E3269" s="100">
        <v>93.351933343232062</v>
      </c>
      <c r="F3269" s="100">
        <v>-1091.6096893307072</v>
      </c>
      <c r="G3269" s="100">
        <v>-1000.9900083665997</v>
      </c>
      <c r="H3269" s="100">
        <v>-585.06259540303063</v>
      </c>
      <c r="I3269" s="100">
        <v>28.706311469164802</v>
      </c>
      <c r="J3269" s="100">
        <v>-2648.955981631173</v>
      </c>
    </row>
    <row r="3270" spans="1:10" x14ac:dyDescent="0.25">
      <c r="A3270">
        <v>3253</v>
      </c>
      <c r="B3270" s="100">
        <v>90.18755003129732</v>
      </c>
      <c r="C3270" s="100">
        <v>97.904153863238349</v>
      </c>
      <c r="D3270" s="100">
        <v>93.087504791505424</v>
      </c>
      <c r="E3270" s="100">
        <v>93.574672194047935</v>
      </c>
      <c r="F3270" s="100">
        <v>-2091.8984995716273</v>
      </c>
      <c r="G3270" s="100">
        <v>458.60346508565186</v>
      </c>
      <c r="H3270" s="100">
        <v>-542.84937203763661</v>
      </c>
      <c r="I3270" s="100">
        <v>-194.03253934670772</v>
      </c>
      <c r="J3270" s="100">
        <v>-2370.1769458703197</v>
      </c>
    </row>
    <row r="3271" spans="1:10" x14ac:dyDescent="0.25">
      <c r="A3271">
        <v>3254</v>
      </c>
      <c r="B3271" s="100">
        <v>89.724066264982909</v>
      </c>
      <c r="C3271" s="100">
        <v>96.664832010749777</v>
      </c>
      <c r="D3271" s="100">
        <v>91.449451622367377</v>
      </c>
      <c r="E3271" s="100">
        <v>93.675551322697629</v>
      </c>
      <c r="F3271" s="100">
        <v>-562.40207073407055</v>
      </c>
      <c r="G3271" s="100">
        <v>2317.5862438185104</v>
      </c>
      <c r="H3271" s="100">
        <v>2733.2569662384572</v>
      </c>
      <c r="I3271" s="100">
        <v>-294.91166799640212</v>
      </c>
      <c r="J3271" s="100">
        <v>4193.5294713264948</v>
      </c>
    </row>
    <row r="3272" spans="1:10" x14ac:dyDescent="0.25">
      <c r="A3272">
        <v>3255</v>
      </c>
      <c r="B3272" s="100">
        <v>88.587946027669005</v>
      </c>
      <c r="C3272" s="100">
        <v>97.671202716519517</v>
      </c>
      <c r="D3272" s="100">
        <v>93.478949016504956</v>
      </c>
      <c r="E3272" s="100">
        <v>95.223225183025946</v>
      </c>
      <c r="F3272" s="100">
        <v>3186.7947124018115</v>
      </c>
      <c r="G3272" s="100">
        <v>808.03018516390068</v>
      </c>
      <c r="H3272" s="100">
        <v>-1325.7378220367002</v>
      </c>
      <c r="I3272" s="100">
        <v>-1842.5855283247188</v>
      </c>
      <c r="J3272" s="100">
        <v>826.50154720429282</v>
      </c>
    </row>
    <row r="3273" spans="1:10" x14ac:dyDescent="0.25">
      <c r="A3273">
        <v>3256</v>
      </c>
      <c r="B3273" s="100">
        <v>89.342754869115581</v>
      </c>
      <c r="C3273" s="100">
        <v>97.67940469151651</v>
      </c>
      <c r="D3273" s="100">
        <v>92.59569901752387</v>
      </c>
      <c r="E3273" s="100">
        <v>91.02838245181097</v>
      </c>
      <c r="F3273" s="100">
        <v>695.92553562811327</v>
      </c>
      <c r="G3273" s="100">
        <v>795.72722266841106</v>
      </c>
      <c r="H3273" s="100">
        <v>440.76217592547096</v>
      </c>
      <c r="I3273" s="100">
        <v>2352.2572028902573</v>
      </c>
      <c r="J3273" s="100">
        <v>4284.672137112253</v>
      </c>
    </row>
    <row r="3274" spans="1:10" x14ac:dyDescent="0.25">
      <c r="A3274">
        <v>3257</v>
      </c>
      <c r="B3274" s="100">
        <v>89.741700421711968</v>
      </c>
      <c r="C3274" s="100">
        <v>98.074132344193103</v>
      </c>
      <c r="D3274" s="100">
        <v>91.658049374118875</v>
      </c>
      <c r="E3274" s="100">
        <v>90.899010174364165</v>
      </c>
      <c r="F3274" s="100">
        <v>-620.59478793996595</v>
      </c>
      <c r="G3274" s="100">
        <v>203.63574365352122</v>
      </c>
      <c r="H3274" s="100">
        <v>2316.0614627354616</v>
      </c>
      <c r="I3274" s="100">
        <v>2481.6294803370624</v>
      </c>
      <c r="J3274" s="100">
        <v>4380.7318987860799</v>
      </c>
    </row>
    <row r="3275" spans="1:10" x14ac:dyDescent="0.25">
      <c r="A3275">
        <v>3258</v>
      </c>
      <c r="B3275" s="100">
        <v>89.615269861298245</v>
      </c>
      <c r="C3275" s="100">
        <v>97.916122343229532</v>
      </c>
      <c r="D3275" s="100">
        <v>92.768386502936735</v>
      </c>
      <c r="E3275" s="100">
        <v>92.755828999915266</v>
      </c>
      <c r="F3275" s="100">
        <v>-203.37393857467845</v>
      </c>
      <c r="G3275" s="100">
        <v>440.65074509887836</v>
      </c>
      <c r="H3275" s="100">
        <v>95.387205099740413</v>
      </c>
      <c r="I3275" s="100">
        <v>624.81065478596065</v>
      </c>
      <c r="J3275" s="100">
        <v>957.47466640990092</v>
      </c>
    </row>
    <row r="3276" spans="1:10" x14ac:dyDescent="0.25">
      <c r="A3276">
        <v>3259</v>
      </c>
      <c r="B3276" s="100">
        <v>89.636475558813643</v>
      </c>
      <c r="C3276" s="100">
        <v>99.072627797950901</v>
      </c>
      <c r="D3276" s="100">
        <v>92.964909446754035</v>
      </c>
      <c r="E3276" s="100">
        <v>91.437333970978159</v>
      </c>
      <c r="F3276" s="100">
        <v>-273.3527403754934</v>
      </c>
      <c r="G3276" s="100">
        <v>-1294.1074369831754</v>
      </c>
      <c r="H3276" s="100">
        <v>-297.65868253485905</v>
      </c>
      <c r="I3276" s="100">
        <v>1943.3056837230679</v>
      </c>
      <c r="J3276" s="100">
        <v>78.186823829540117</v>
      </c>
    </row>
    <row r="3277" spans="1:10" x14ac:dyDescent="0.25">
      <c r="A3277">
        <v>3260</v>
      </c>
      <c r="B3277" s="100">
        <v>89.442446325778732</v>
      </c>
      <c r="C3277" s="100">
        <v>98.564999441025634</v>
      </c>
      <c r="D3277" s="100">
        <v>93.961749348935825</v>
      </c>
      <c r="E3277" s="100">
        <v>92.111221355091743</v>
      </c>
      <c r="F3277" s="100">
        <v>366.94372863971267</v>
      </c>
      <c r="G3277" s="100">
        <v>-532.6649015952753</v>
      </c>
      <c r="H3277" s="100">
        <v>-2291.3384868984394</v>
      </c>
      <c r="I3277" s="100">
        <v>1269.4182996094837</v>
      </c>
      <c r="J3277" s="100">
        <v>-1187.6413602445182</v>
      </c>
    </row>
    <row r="3278" spans="1:10" x14ac:dyDescent="0.25">
      <c r="A3278">
        <v>3261</v>
      </c>
      <c r="B3278" s="100">
        <v>91.311436164241726</v>
      </c>
      <c r="C3278" s="100">
        <v>97.711843388138746</v>
      </c>
      <c r="D3278" s="100">
        <v>94.138825225500426</v>
      </c>
      <c r="E3278" s="100">
        <v>93.727045713029582</v>
      </c>
      <c r="F3278" s="100">
        <v>-5800.7227382881683</v>
      </c>
      <c r="G3278" s="100">
        <v>747.06917773505666</v>
      </c>
      <c r="H3278" s="100">
        <v>-2645.490240027641</v>
      </c>
      <c r="I3278" s="100">
        <v>-346.40605832835547</v>
      </c>
      <c r="J3278" s="100">
        <v>-8045.5498589091076</v>
      </c>
    </row>
    <row r="3279" spans="1:10" x14ac:dyDescent="0.25">
      <c r="A3279">
        <v>3262</v>
      </c>
      <c r="B3279" s="100">
        <v>90.288423576138371</v>
      </c>
      <c r="C3279" s="100">
        <v>98.251131634793353</v>
      </c>
      <c r="D3279" s="100">
        <v>92.552501016319127</v>
      </c>
      <c r="E3279" s="100">
        <v>91.557435552522577</v>
      </c>
      <c r="F3279" s="100">
        <v>-2424.7811975470941</v>
      </c>
      <c r="G3279" s="100">
        <v>-61.863192246853771</v>
      </c>
      <c r="H3279" s="100">
        <v>527.15817833495748</v>
      </c>
      <c r="I3279" s="100">
        <v>1823.2041021786499</v>
      </c>
      <c r="J3279" s="100">
        <v>-136.28210928034059</v>
      </c>
    </row>
    <row r="3280" spans="1:10" x14ac:dyDescent="0.25">
      <c r="A3280">
        <v>3263</v>
      </c>
      <c r="B3280" s="100">
        <v>89.702260119918165</v>
      </c>
      <c r="C3280" s="100">
        <v>98.490147557976996</v>
      </c>
      <c r="D3280" s="100">
        <v>92.609650588629421</v>
      </c>
      <c r="E3280" s="100">
        <v>90.623467741898594</v>
      </c>
      <c r="F3280" s="100">
        <v>-490.44179202041533</v>
      </c>
      <c r="G3280" s="100">
        <v>-420.38707702231903</v>
      </c>
      <c r="H3280" s="100">
        <v>412.85903371436916</v>
      </c>
      <c r="I3280" s="100">
        <v>2757.171912802633</v>
      </c>
      <c r="J3280" s="100">
        <v>2259.2020774742678</v>
      </c>
    </row>
    <row r="3281" spans="1:10" x14ac:dyDescent="0.25">
      <c r="A3281">
        <v>3264</v>
      </c>
      <c r="B3281" s="100">
        <v>88.967375413388481</v>
      </c>
      <c r="C3281" s="100">
        <v>97.642226783438261</v>
      </c>
      <c r="D3281" s="100">
        <v>95.376888130547044</v>
      </c>
      <c r="E3281" s="100">
        <v>95.872955039650734</v>
      </c>
      <c r="F3281" s="100">
        <v>1934.677739527541</v>
      </c>
      <c r="G3281" s="100">
        <v>851.49408478578437</v>
      </c>
      <c r="H3281" s="100">
        <v>-5121.6160501208778</v>
      </c>
      <c r="I3281" s="100">
        <v>-2492.3153849495066</v>
      </c>
      <c r="J3281" s="100">
        <v>-4827.7596107570589</v>
      </c>
    </row>
    <row r="3282" spans="1:10" x14ac:dyDescent="0.25">
      <c r="A3282">
        <v>3265</v>
      </c>
      <c r="B3282" s="100">
        <v>89.771681620539397</v>
      </c>
      <c r="C3282" s="100">
        <v>97.389097658246428</v>
      </c>
      <c r="D3282" s="100">
        <v>93.073329727573054</v>
      </c>
      <c r="E3282" s="100">
        <v>92.048541852353551</v>
      </c>
      <c r="F3282" s="100">
        <v>-719.53274407048013</v>
      </c>
      <c r="G3282" s="100">
        <v>1231.1877725735344</v>
      </c>
      <c r="H3282" s="100">
        <v>-514.49924417289594</v>
      </c>
      <c r="I3282" s="100">
        <v>1332.0978023476755</v>
      </c>
      <c r="J3282" s="100">
        <v>1329.2535866778339</v>
      </c>
    </row>
    <row r="3283" spans="1:10" x14ac:dyDescent="0.25">
      <c r="A3283">
        <v>3266</v>
      </c>
      <c r="B3283" s="100">
        <v>89.329487755107181</v>
      </c>
      <c r="C3283" s="100">
        <v>97.731655668808855</v>
      </c>
      <c r="D3283" s="100">
        <v>92.58659652230817</v>
      </c>
      <c r="E3283" s="100">
        <v>94.306404717329556</v>
      </c>
      <c r="F3283" s="100">
        <v>739.70701185583323</v>
      </c>
      <c r="G3283" s="100">
        <v>717.35075672989274</v>
      </c>
      <c r="H3283" s="100">
        <v>458.96716635687085</v>
      </c>
      <c r="I3283" s="100">
        <v>-925.76506262832936</v>
      </c>
      <c r="J3283" s="100">
        <v>990.25987231426757</v>
      </c>
    </row>
    <row r="3284" spans="1:10" x14ac:dyDescent="0.25">
      <c r="A3284">
        <v>3267</v>
      </c>
      <c r="B3284" s="100">
        <v>90.148448770221577</v>
      </c>
      <c r="C3284" s="100">
        <v>98.363991259961907</v>
      </c>
      <c r="D3284" s="100">
        <v>94.288520692579539</v>
      </c>
      <c r="E3284" s="100">
        <v>92.378788445709461</v>
      </c>
      <c r="F3284" s="100">
        <v>-1962.8643380216758</v>
      </c>
      <c r="G3284" s="100">
        <v>-231.15262999968422</v>
      </c>
      <c r="H3284" s="100">
        <v>-2944.8811741858663</v>
      </c>
      <c r="I3284" s="100">
        <v>1001.8512089917664</v>
      </c>
      <c r="J3284" s="100">
        <v>-4137.0469332154598</v>
      </c>
    </row>
    <row r="3285" spans="1:10" x14ac:dyDescent="0.25">
      <c r="A3285">
        <v>3268</v>
      </c>
      <c r="B3285" s="100">
        <v>89.828565011969644</v>
      </c>
      <c r="C3285" s="100">
        <v>95.531077863228489</v>
      </c>
      <c r="D3285" s="100">
        <v>93.822389023336569</v>
      </c>
      <c r="E3285" s="100">
        <v>93.185266778667639</v>
      </c>
      <c r="F3285" s="100">
        <v>-907.24793579029642</v>
      </c>
      <c r="G3285" s="100">
        <v>4018.2174651004416</v>
      </c>
      <c r="H3285" s="100">
        <v>-2012.6178356999276</v>
      </c>
      <c r="I3285" s="100">
        <v>195.37287603358777</v>
      </c>
      <c r="J3285" s="100">
        <v>1293.7245696438051</v>
      </c>
    </row>
    <row r="3286" spans="1:10" x14ac:dyDescent="0.25">
      <c r="A3286">
        <v>3269</v>
      </c>
      <c r="B3286" s="100">
        <v>89.26574278587843</v>
      </c>
      <c r="C3286" s="100">
        <v>98.656294906233839</v>
      </c>
      <c r="D3286" s="100">
        <v>92.663718182251984</v>
      </c>
      <c r="E3286" s="100">
        <v>93.172851998155735</v>
      </c>
      <c r="F3286" s="100">
        <v>950.06541031070947</v>
      </c>
      <c r="G3286" s="100">
        <v>-669.60809940758281</v>
      </c>
      <c r="H3286" s="100">
        <v>304.72384646924411</v>
      </c>
      <c r="I3286" s="100">
        <v>207.78765654549147</v>
      </c>
      <c r="J3286" s="100">
        <v>792.96881391786224</v>
      </c>
    </row>
    <row r="3287" spans="1:10" x14ac:dyDescent="0.25">
      <c r="A3287">
        <v>3270</v>
      </c>
      <c r="B3287" s="100">
        <v>89.588089715620853</v>
      </c>
      <c r="C3287" s="100">
        <v>99.996245344401558</v>
      </c>
      <c r="D3287" s="100">
        <v>94.033695444000315</v>
      </c>
      <c r="E3287" s="100">
        <v>90.494964455019129</v>
      </c>
      <c r="F3287" s="100">
        <v>-113.67945783928661</v>
      </c>
      <c r="G3287" s="100">
        <v>-2679.5337566591611</v>
      </c>
      <c r="H3287" s="100">
        <v>-2435.2306770274199</v>
      </c>
      <c r="I3287" s="100">
        <v>2885.6751996820976</v>
      </c>
      <c r="J3287" s="100">
        <v>-2342.7686918437694</v>
      </c>
    </row>
    <row r="3288" spans="1:10" x14ac:dyDescent="0.25">
      <c r="A3288">
        <v>3271</v>
      </c>
      <c r="B3288" s="100">
        <v>89.305852951644027</v>
      </c>
      <c r="C3288" s="100">
        <v>97.388266592473187</v>
      </c>
      <c r="D3288" s="100">
        <v>91.678837453231552</v>
      </c>
      <c r="E3288" s="100">
        <v>92.841091199282531</v>
      </c>
      <c r="F3288" s="100">
        <v>817.70186328423904</v>
      </c>
      <c r="G3288" s="100">
        <v>1232.4343712333957</v>
      </c>
      <c r="H3288" s="100">
        <v>2274.4853045101081</v>
      </c>
      <c r="I3288" s="100">
        <v>539.54845541869645</v>
      </c>
      <c r="J3288" s="100">
        <v>4864.1699944464399</v>
      </c>
    </row>
    <row r="3289" spans="1:10" x14ac:dyDescent="0.25">
      <c r="A3289">
        <v>3272</v>
      </c>
      <c r="B3289" s="100">
        <v>89.71739450610086</v>
      </c>
      <c r="C3289" s="100">
        <v>98.199458833131672</v>
      </c>
      <c r="D3289" s="100">
        <v>94.442650976835935</v>
      </c>
      <c r="E3289" s="100">
        <v>92.017027128653638</v>
      </c>
      <c r="F3289" s="100">
        <v>-540.38526642330703</v>
      </c>
      <c r="G3289" s="100">
        <v>15.646010245667696</v>
      </c>
      <c r="H3289" s="100">
        <v>-3253.1417426986591</v>
      </c>
      <c r="I3289" s="100">
        <v>1363.6125260475892</v>
      </c>
      <c r="J3289" s="100">
        <v>-2414.2684728287095</v>
      </c>
    </row>
    <row r="3290" spans="1:10" x14ac:dyDescent="0.25">
      <c r="A3290">
        <v>3273</v>
      </c>
      <c r="B3290" s="100">
        <v>90.189624097325009</v>
      </c>
      <c r="C3290" s="100">
        <v>98.001699802428348</v>
      </c>
      <c r="D3290" s="100">
        <v>92.704390976039107</v>
      </c>
      <c r="E3290" s="100">
        <v>92.984427521492947</v>
      </c>
      <c r="F3290" s="100">
        <v>-2098.7429174629997</v>
      </c>
      <c r="G3290" s="100">
        <v>312.28455630065355</v>
      </c>
      <c r="H3290" s="100">
        <v>223.37825889499641</v>
      </c>
      <c r="I3290" s="100">
        <v>396.21213320828019</v>
      </c>
      <c r="J3290" s="100">
        <v>-1166.8679690590695</v>
      </c>
    </row>
    <row r="3291" spans="1:10" x14ac:dyDescent="0.25">
      <c r="A3291">
        <v>3274</v>
      </c>
      <c r="B3291" s="100">
        <v>89.655552839436567</v>
      </c>
      <c r="C3291" s="100">
        <v>96.395228678330895</v>
      </c>
      <c r="D3291" s="100">
        <v>93.421190621724975</v>
      </c>
      <c r="E3291" s="100">
        <v>94.004343460273375</v>
      </c>
      <c r="F3291" s="100">
        <v>-336.30776643114046</v>
      </c>
      <c r="G3291" s="100">
        <v>2721.9912424468334</v>
      </c>
      <c r="H3291" s="100">
        <v>-1210.2210324767384</v>
      </c>
      <c r="I3291" s="100">
        <v>-623.70380557214844</v>
      </c>
      <c r="J3291" s="100">
        <v>551.75863796680619</v>
      </c>
    </row>
    <row r="3292" spans="1:10" x14ac:dyDescent="0.25">
      <c r="A3292">
        <v>3275</v>
      </c>
      <c r="B3292" s="100">
        <v>88.898572881087176</v>
      </c>
      <c r="C3292" s="100">
        <v>98.993037042272519</v>
      </c>
      <c r="D3292" s="100">
        <v>93.077330972362702</v>
      </c>
      <c r="E3292" s="100">
        <v>89.875460631969261</v>
      </c>
      <c r="F3292" s="100">
        <v>2161.7260961218476</v>
      </c>
      <c r="G3292" s="100">
        <v>-1174.7213034656029</v>
      </c>
      <c r="H3292" s="100">
        <v>-522.50173375219333</v>
      </c>
      <c r="I3292" s="100">
        <v>3505.1790227319657</v>
      </c>
      <c r="J3292" s="100">
        <v>3969.6820816360168</v>
      </c>
    </row>
    <row r="3293" spans="1:10" x14ac:dyDescent="0.25">
      <c r="A3293">
        <v>3276</v>
      </c>
      <c r="B3293" s="100">
        <v>89.289700160653211</v>
      </c>
      <c r="C3293" s="100">
        <v>98.167370269308677</v>
      </c>
      <c r="D3293" s="100">
        <v>94.23385281522954</v>
      </c>
      <c r="E3293" s="100">
        <v>96.04810778525858</v>
      </c>
      <c r="F3293" s="100">
        <v>871.00607355393151</v>
      </c>
      <c r="G3293" s="100">
        <v>63.778855980160643</v>
      </c>
      <c r="H3293" s="100">
        <v>-2835.545419485868</v>
      </c>
      <c r="I3293" s="100">
        <v>-2667.4681305573531</v>
      </c>
      <c r="J3293" s="100">
        <v>-4568.2286205091295</v>
      </c>
    </row>
    <row r="3294" spans="1:10" x14ac:dyDescent="0.25">
      <c r="A3294">
        <v>3277</v>
      </c>
      <c r="B3294" s="100">
        <v>89.65951976135041</v>
      </c>
      <c r="C3294" s="100">
        <v>97.74114474990796</v>
      </c>
      <c r="D3294" s="100">
        <v>92.362531787290848</v>
      </c>
      <c r="E3294" s="100">
        <v>92.166320427792172</v>
      </c>
      <c r="F3294" s="100">
        <v>-349.39860874682296</v>
      </c>
      <c r="G3294" s="100">
        <v>703.1171350812358</v>
      </c>
      <c r="H3294" s="100">
        <v>907.09663639151472</v>
      </c>
      <c r="I3294" s="100">
        <v>1214.3192269090548</v>
      </c>
      <c r="J3294" s="100">
        <v>2475.1343896349827</v>
      </c>
    </row>
    <row r="3295" spans="1:10" x14ac:dyDescent="0.25">
      <c r="A3295">
        <v>3278</v>
      </c>
      <c r="B3295" s="100">
        <v>89.45503149288497</v>
      </c>
      <c r="C3295" s="100">
        <v>99.435871349282962</v>
      </c>
      <c r="D3295" s="100">
        <v>93.095739614128803</v>
      </c>
      <c r="E3295" s="100">
        <v>92.608673675278325</v>
      </c>
      <c r="F3295" s="100">
        <v>325.41267718912792</v>
      </c>
      <c r="G3295" s="100">
        <v>-1838.9727639812677</v>
      </c>
      <c r="H3295" s="100">
        <v>-559.3190172843947</v>
      </c>
      <c r="I3295" s="100">
        <v>771.96597942290168</v>
      </c>
      <c r="J3295" s="100">
        <v>-1300.9131246536328</v>
      </c>
    </row>
    <row r="3296" spans="1:10" x14ac:dyDescent="0.25">
      <c r="A3296">
        <v>3279</v>
      </c>
      <c r="B3296" s="100">
        <v>89.457657577306733</v>
      </c>
      <c r="C3296" s="100">
        <v>98.111785879506115</v>
      </c>
      <c r="D3296" s="100">
        <v>93.064832231702596</v>
      </c>
      <c r="E3296" s="100">
        <v>93.802450751119068</v>
      </c>
      <c r="F3296" s="100">
        <v>316.74659859730951</v>
      </c>
      <c r="G3296" s="100">
        <v>147.15544068400277</v>
      </c>
      <c r="H3296" s="100">
        <v>-497.50425243198038</v>
      </c>
      <c r="I3296" s="100">
        <v>-421.81109641784076</v>
      </c>
      <c r="J3296" s="100">
        <v>-455.41330956850885</v>
      </c>
    </row>
    <row r="3297" spans="1:10" x14ac:dyDescent="0.25">
      <c r="A3297">
        <v>3280</v>
      </c>
      <c r="B3297" s="100">
        <v>89.510701252251948</v>
      </c>
      <c r="C3297" s="100">
        <v>99.033535048998601</v>
      </c>
      <c r="D3297" s="100">
        <v>91.535037654938066</v>
      </c>
      <c r="E3297" s="100">
        <v>92.335942043150723</v>
      </c>
      <c r="F3297" s="100">
        <v>141.70247127810001</v>
      </c>
      <c r="G3297" s="100">
        <v>-1235.4683135547261</v>
      </c>
      <c r="H3297" s="100">
        <v>2562.0849010970801</v>
      </c>
      <c r="I3297" s="100">
        <v>1044.6976115505038</v>
      </c>
      <c r="J3297" s="100">
        <v>2513.0166703709574</v>
      </c>
    </row>
    <row r="3298" spans="1:10" x14ac:dyDescent="0.25">
      <c r="A3298">
        <v>3281</v>
      </c>
      <c r="B3298" s="100">
        <v>89.878472514258846</v>
      </c>
      <c r="C3298" s="100">
        <v>98.318049545784874</v>
      </c>
      <c r="D3298" s="100">
        <v>95.036465012105793</v>
      </c>
      <c r="E3298" s="100">
        <v>92.230283907867388</v>
      </c>
      <c r="F3298" s="100">
        <v>-1071.9426933446612</v>
      </c>
      <c r="G3298" s="100">
        <v>-162.24005873413461</v>
      </c>
      <c r="H3298" s="100">
        <v>-4440.7698132383757</v>
      </c>
      <c r="I3298" s="100">
        <v>1150.3557468338386</v>
      </c>
      <c r="J3298" s="100">
        <v>-4524.5968184833328</v>
      </c>
    </row>
    <row r="3299" spans="1:10" x14ac:dyDescent="0.25">
      <c r="A3299">
        <v>3282</v>
      </c>
      <c r="B3299" s="100">
        <v>89.68925753620168</v>
      </c>
      <c r="C3299" s="100">
        <v>96.659620373295269</v>
      </c>
      <c r="D3299" s="100">
        <v>90.250008917288326</v>
      </c>
      <c r="E3299" s="100">
        <v>92.157792137294763</v>
      </c>
      <c r="F3299" s="100">
        <v>-447.53326575601449</v>
      </c>
      <c r="G3299" s="100">
        <v>2325.4037000002727</v>
      </c>
      <c r="H3299" s="100">
        <v>5132.1423763965586</v>
      </c>
      <c r="I3299" s="100">
        <v>1222.8475174064642</v>
      </c>
      <c r="J3299" s="100">
        <v>8232.8603280472817</v>
      </c>
    </row>
    <row r="3300" spans="1:10" x14ac:dyDescent="0.25">
      <c r="A3300">
        <v>3283</v>
      </c>
      <c r="B3300" s="100">
        <v>89.441988822775627</v>
      </c>
      <c r="C3300" s="100">
        <v>96.589142712904447</v>
      </c>
      <c r="D3300" s="100">
        <v>92.291263404822431</v>
      </c>
      <c r="E3300" s="100">
        <v>93.494970752668237</v>
      </c>
      <c r="F3300" s="100">
        <v>368.45348854995876</v>
      </c>
      <c r="G3300" s="100">
        <v>2431.1201905865046</v>
      </c>
      <c r="H3300" s="100">
        <v>1049.6334013283501</v>
      </c>
      <c r="I3300" s="100">
        <v>-114.33109796701046</v>
      </c>
      <c r="J3300" s="100">
        <v>3734.8759824978033</v>
      </c>
    </row>
    <row r="3301" spans="1:10" x14ac:dyDescent="0.25">
      <c r="A3301">
        <v>3284</v>
      </c>
      <c r="B3301" s="100">
        <v>90.042848529031303</v>
      </c>
      <c r="C3301" s="100">
        <v>98.953304138387452</v>
      </c>
      <c r="D3301" s="100">
        <v>92.906957503486623</v>
      </c>
      <c r="E3301" s="100">
        <v>91.772185891693567</v>
      </c>
      <c r="F3301" s="100">
        <v>-1614.3835420937719</v>
      </c>
      <c r="G3301" s="100">
        <v>-1115.121947638002</v>
      </c>
      <c r="H3301" s="100">
        <v>-181.75479600003541</v>
      </c>
      <c r="I3301" s="100">
        <v>1608.4537630076597</v>
      </c>
      <c r="J3301" s="100">
        <v>-1302.80652272415</v>
      </c>
    </row>
    <row r="3302" spans="1:10" x14ac:dyDescent="0.25">
      <c r="A3302">
        <v>3285</v>
      </c>
      <c r="B3302" s="100">
        <v>89.682444732094226</v>
      </c>
      <c r="C3302" s="100">
        <v>98.216539713428332</v>
      </c>
      <c r="D3302" s="100">
        <v>93.239866708064184</v>
      </c>
      <c r="E3302" s="100">
        <v>92.113389680698816</v>
      </c>
      <c r="F3302" s="100">
        <v>-425.05101220141484</v>
      </c>
      <c r="G3302" s="100">
        <v>-9.975310199322962</v>
      </c>
      <c r="H3302" s="100">
        <v>-847.57320515515744</v>
      </c>
      <c r="I3302" s="100">
        <v>1267.2499740024109</v>
      </c>
      <c r="J3302" s="100">
        <v>-15.349553553484384</v>
      </c>
    </row>
    <row r="3303" spans="1:10" x14ac:dyDescent="0.25">
      <c r="A3303">
        <v>3286</v>
      </c>
      <c r="B3303" s="100">
        <v>89.459064877505014</v>
      </c>
      <c r="C3303" s="100">
        <v>95.579774472233396</v>
      </c>
      <c r="D3303" s="100">
        <v>94.054816029795376</v>
      </c>
      <c r="E3303" s="100">
        <v>93.608589952369485</v>
      </c>
      <c r="F3303" s="100">
        <v>312.10250794298275</v>
      </c>
      <c r="G3303" s="100">
        <v>3945.1725515930816</v>
      </c>
      <c r="H3303" s="100">
        <v>-2477.4718486175402</v>
      </c>
      <c r="I3303" s="100">
        <v>-227.95029766825792</v>
      </c>
      <c r="J3303" s="100">
        <v>1551.8529132502658</v>
      </c>
    </row>
    <row r="3304" spans="1:10" x14ac:dyDescent="0.25">
      <c r="A3304">
        <v>3287</v>
      </c>
      <c r="B3304" s="100">
        <v>89.964238394550165</v>
      </c>
      <c r="C3304" s="100">
        <v>99.570372470344424</v>
      </c>
      <c r="D3304" s="100">
        <v>94.48856164231978</v>
      </c>
      <c r="E3304" s="100">
        <v>95.201938228505583</v>
      </c>
      <c r="F3304" s="100">
        <v>-1354.9700983060147</v>
      </c>
      <c r="G3304" s="100">
        <v>-2040.7244455734599</v>
      </c>
      <c r="H3304" s="100">
        <v>-3344.9630736663494</v>
      </c>
      <c r="I3304" s="100">
        <v>-1821.2985738043558</v>
      </c>
      <c r="J3304" s="100">
        <v>-8561.9561913501802</v>
      </c>
    </row>
    <row r="3305" spans="1:10" x14ac:dyDescent="0.25">
      <c r="A3305">
        <v>3288</v>
      </c>
      <c r="B3305" s="100">
        <v>90.073172511492587</v>
      </c>
      <c r="C3305" s="100">
        <v>97.805887303093215</v>
      </c>
      <c r="D3305" s="100">
        <v>90.574705479974341</v>
      </c>
      <c r="E3305" s="100">
        <v>93.186927318832446</v>
      </c>
      <c r="F3305" s="100">
        <v>-1714.4526842160062</v>
      </c>
      <c r="G3305" s="100">
        <v>606.0033053033535</v>
      </c>
      <c r="H3305" s="100">
        <v>4482.7492510245293</v>
      </c>
      <c r="I3305" s="100">
        <v>193.71233586878134</v>
      </c>
      <c r="J3305" s="100">
        <v>3568.0122079806579</v>
      </c>
    </row>
    <row r="3306" spans="1:10" x14ac:dyDescent="0.25">
      <c r="A3306">
        <v>3289</v>
      </c>
      <c r="B3306" s="100">
        <v>89.829064516610273</v>
      </c>
      <c r="C3306" s="100">
        <v>98.517263662481142</v>
      </c>
      <c r="D3306" s="100">
        <v>93.609151781170354</v>
      </c>
      <c r="E3306" s="100">
        <v>91.775358851051379</v>
      </c>
      <c r="F3306" s="100">
        <v>-908.89630110437315</v>
      </c>
      <c r="G3306" s="100">
        <v>-461.06123377853692</v>
      </c>
      <c r="H3306" s="100">
        <v>-1586.1433513674967</v>
      </c>
      <c r="I3306" s="100">
        <v>1605.2808036498477</v>
      </c>
      <c r="J3306" s="100">
        <v>-1350.8200826005591</v>
      </c>
    </row>
    <row r="3307" spans="1:10" x14ac:dyDescent="0.25">
      <c r="A3307">
        <v>3290</v>
      </c>
      <c r="B3307" s="100">
        <v>89.238258292010883</v>
      </c>
      <c r="C3307" s="100">
        <v>98.53694515743706</v>
      </c>
      <c r="D3307" s="100">
        <v>94.973021682818043</v>
      </c>
      <c r="E3307" s="100">
        <v>94.623310074593803</v>
      </c>
      <c r="F3307" s="100">
        <v>1040.7642400736152</v>
      </c>
      <c r="G3307" s="100">
        <v>-490.58347621241438</v>
      </c>
      <c r="H3307" s="100">
        <v>-4313.8831546628753</v>
      </c>
      <c r="I3307" s="100">
        <v>-1242.6704198925763</v>
      </c>
      <c r="J3307" s="100">
        <v>-5006.3728106942508</v>
      </c>
    </row>
    <row r="3308" spans="1:10" x14ac:dyDescent="0.25">
      <c r="A3308">
        <v>3291</v>
      </c>
      <c r="B3308" s="100">
        <v>90.306725346876576</v>
      </c>
      <c r="C3308" s="100">
        <v>98.582732149391745</v>
      </c>
      <c r="D3308" s="100">
        <v>92.250004873847473</v>
      </c>
      <c r="E3308" s="100">
        <v>92.636779677962153</v>
      </c>
      <c r="F3308" s="100">
        <v>-2485.1770409831702</v>
      </c>
      <c r="G3308" s="100">
        <v>-559.26396414444207</v>
      </c>
      <c r="H3308" s="100">
        <v>1132.1504632782649</v>
      </c>
      <c r="I3308" s="100">
        <v>743.85997673907411</v>
      </c>
      <c r="J3308" s="100">
        <v>-1168.4305651102732</v>
      </c>
    </row>
    <row r="3309" spans="1:10" x14ac:dyDescent="0.25">
      <c r="A3309">
        <v>3292</v>
      </c>
      <c r="B3309" s="100">
        <v>90.73343409136541</v>
      </c>
      <c r="C3309" s="100">
        <v>99.099969218872403</v>
      </c>
      <c r="D3309" s="100">
        <v>91.901238902907437</v>
      </c>
      <c r="E3309" s="100">
        <v>92.326590526900219</v>
      </c>
      <c r="F3309" s="100">
        <v>-3893.3158977963244</v>
      </c>
      <c r="G3309" s="100">
        <v>-1335.1195683654282</v>
      </c>
      <c r="H3309" s="100">
        <v>1829.6824051583371</v>
      </c>
      <c r="I3309" s="100">
        <v>1054.0491278010081</v>
      </c>
      <c r="J3309" s="100">
        <v>-2344.7039332024074</v>
      </c>
    </row>
    <row r="3310" spans="1:10" x14ac:dyDescent="0.25">
      <c r="A3310">
        <v>3293</v>
      </c>
      <c r="B3310" s="100">
        <v>89.6263809230487</v>
      </c>
      <c r="C3310" s="100">
        <v>97.145241436449439</v>
      </c>
      <c r="D3310" s="100">
        <v>94.477468663348191</v>
      </c>
      <c r="E3310" s="100">
        <v>92.457608112267778</v>
      </c>
      <c r="F3310" s="100">
        <v>-240.04044235118016</v>
      </c>
      <c r="G3310" s="100">
        <v>1596.9721052690174</v>
      </c>
      <c r="H3310" s="100">
        <v>-3322.77711572317</v>
      </c>
      <c r="I3310" s="100">
        <v>923.0315424334492</v>
      </c>
      <c r="J3310" s="100">
        <v>-1042.8139103718836</v>
      </c>
    </row>
    <row r="3311" spans="1:10" x14ac:dyDescent="0.25">
      <c r="A3311">
        <v>3294</v>
      </c>
      <c r="B3311" s="100">
        <v>89.028507572448234</v>
      </c>
      <c r="C3311" s="100">
        <v>97.388369262984426</v>
      </c>
      <c r="D3311" s="100">
        <v>93.054885866015923</v>
      </c>
      <c r="E3311" s="100">
        <v>92.743718838053056</v>
      </c>
      <c r="F3311" s="100">
        <v>1732.9416146303572</v>
      </c>
      <c r="G3311" s="100">
        <v>1232.2803654665363</v>
      </c>
      <c r="H3311" s="100">
        <v>-477.61152105863403</v>
      </c>
      <c r="I3311" s="100">
        <v>636.92081664817124</v>
      </c>
      <c r="J3311" s="100">
        <v>3124.5312756864305</v>
      </c>
    </row>
    <row r="3312" spans="1:10" x14ac:dyDescent="0.25">
      <c r="A3312">
        <v>3295</v>
      </c>
      <c r="B3312" s="100">
        <v>89.884637316416033</v>
      </c>
      <c r="C3312" s="100">
        <v>98.556984144204549</v>
      </c>
      <c r="D3312" s="100">
        <v>94.718510240569358</v>
      </c>
      <c r="E3312" s="100">
        <v>94.186709250660215</v>
      </c>
      <c r="F3312" s="100">
        <v>-1092.2865404633783</v>
      </c>
      <c r="G3312" s="100">
        <v>-520.6419563636473</v>
      </c>
      <c r="H3312" s="100">
        <v>-3804.8602701655054</v>
      </c>
      <c r="I3312" s="100">
        <v>-806.06959595898786</v>
      </c>
      <c r="J3312" s="100">
        <v>-6223.8583629515188</v>
      </c>
    </row>
    <row r="3313" spans="1:10" x14ac:dyDescent="0.25">
      <c r="A3313">
        <v>3296</v>
      </c>
      <c r="B3313" s="100">
        <v>90.883107634702938</v>
      </c>
      <c r="C3313" s="100">
        <v>98.4587603165903</v>
      </c>
      <c r="D3313" s="100">
        <v>93.333562339658855</v>
      </c>
      <c r="E3313" s="100">
        <v>94.384586062269165</v>
      </c>
      <c r="F3313" s="100">
        <v>-4387.238590810166</v>
      </c>
      <c r="G3313" s="100">
        <v>-373.30621494227501</v>
      </c>
      <c r="H3313" s="100">
        <v>-1034.9644683444978</v>
      </c>
      <c r="I3313" s="100">
        <v>-1003.9464075679376</v>
      </c>
      <c r="J3313" s="100">
        <v>-6799.4556816648765</v>
      </c>
    </row>
    <row r="3314" spans="1:10" x14ac:dyDescent="0.25">
      <c r="A3314">
        <v>3297</v>
      </c>
      <c r="B3314" s="100">
        <v>89.967938911697701</v>
      </c>
      <c r="C3314" s="100">
        <v>98.093845385628441</v>
      </c>
      <c r="D3314" s="100">
        <v>91.36371791020774</v>
      </c>
      <c r="E3314" s="100">
        <v>96.034555793564962</v>
      </c>
      <c r="F3314" s="100">
        <v>-1367.1818048928826</v>
      </c>
      <c r="G3314" s="100">
        <v>174.06618150051401</v>
      </c>
      <c r="H3314" s="100">
        <v>2904.7243905577316</v>
      </c>
      <c r="I3314" s="100">
        <v>-2653.9161388637353</v>
      </c>
      <c r="J3314" s="100">
        <v>-942.30737169837244</v>
      </c>
    </row>
    <row r="3315" spans="1:10" x14ac:dyDescent="0.25">
      <c r="A3315">
        <v>3298</v>
      </c>
      <c r="B3315" s="100">
        <v>90.014271880119296</v>
      </c>
      <c r="C3315" s="100">
        <v>98.099817508856191</v>
      </c>
      <c r="D3315" s="100">
        <v>91.330823591064345</v>
      </c>
      <c r="E3315" s="100">
        <v>94.655155770730786</v>
      </c>
      <c r="F3315" s="100">
        <v>-1520.080600684146</v>
      </c>
      <c r="G3315" s="100">
        <v>165.10799665888953</v>
      </c>
      <c r="H3315" s="100">
        <v>2970.5130288445216</v>
      </c>
      <c r="I3315" s="100">
        <v>-1274.5161160295595</v>
      </c>
      <c r="J3315" s="100">
        <v>341.02430878970563</v>
      </c>
    </row>
    <row r="3316" spans="1:10" x14ac:dyDescent="0.25">
      <c r="A3316">
        <v>3299</v>
      </c>
      <c r="B3316" s="100">
        <v>89.435667894350416</v>
      </c>
      <c r="C3316" s="100">
        <v>97.025752224873088</v>
      </c>
      <c r="D3316" s="100">
        <v>93.01739188756936</v>
      </c>
      <c r="E3316" s="100">
        <v>95.02319782481338</v>
      </c>
      <c r="F3316" s="100">
        <v>389.31255235315518</v>
      </c>
      <c r="G3316" s="100">
        <v>1776.2059226335439</v>
      </c>
      <c r="H3316" s="100">
        <v>-402.62356416550915</v>
      </c>
      <c r="I3316" s="100">
        <v>-1642.558170112153</v>
      </c>
      <c r="J3316" s="100">
        <v>120.3367407090368</v>
      </c>
    </row>
    <row r="3317" spans="1:10" x14ac:dyDescent="0.25">
      <c r="A3317">
        <v>3300</v>
      </c>
      <c r="B3317" s="100">
        <v>89.519456022963766</v>
      </c>
      <c r="C3317" s="100">
        <v>100.26813717232983</v>
      </c>
      <c r="D3317" s="100">
        <v>92.913306125538512</v>
      </c>
      <c r="E3317" s="100">
        <v>93.833265967347558</v>
      </c>
      <c r="F3317" s="100">
        <v>112.81172792910183</v>
      </c>
      <c r="G3317" s="100">
        <v>-3087.3714985515689</v>
      </c>
      <c r="H3317" s="100">
        <v>-194.4520401038119</v>
      </c>
      <c r="I3317" s="100">
        <v>-452.62631264633058</v>
      </c>
      <c r="J3317" s="100">
        <v>-3621.6381233726092</v>
      </c>
    </row>
    <row r="3318" spans="1:10" x14ac:dyDescent="0.25">
      <c r="A3318">
        <v>3301</v>
      </c>
      <c r="B3318" s="100">
        <v>89.887367270579986</v>
      </c>
      <c r="C3318" s="100">
        <v>97.213130852180257</v>
      </c>
      <c r="D3318" s="100">
        <v>91.067604046922327</v>
      </c>
      <c r="E3318" s="100">
        <v>93.500184630524885</v>
      </c>
      <c r="F3318" s="100">
        <v>-1101.2953892044252</v>
      </c>
      <c r="G3318" s="100">
        <v>1495.1379816727908</v>
      </c>
      <c r="H3318" s="100">
        <v>3496.9521171285578</v>
      </c>
      <c r="I3318" s="100">
        <v>-119.54497582365775</v>
      </c>
      <c r="J3318" s="100">
        <v>3771.2497337732657</v>
      </c>
    </row>
    <row r="3319" spans="1:10" x14ac:dyDescent="0.25">
      <c r="A3319">
        <v>3302</v>
      </c>
      <c r="B3319" s="100">
        <v>88.762041993410989</v>
      </c>
      <c r="C3319" s="100">
        <v>98.179727369922659</v>
      </c>
      <c r="D3319" s="100">
        <v>95.086829956613371</v>
      </c>
      <c r="E3319" s="100">
        <v>91.275080008448825</v>
      </c>
      <c r="F3319" s="100">
        <v>2612.2780254532659</v>
      </c>
      <c r="G3319" s="100">
        <v>45.243205059186664</v>
      </c>
      <c r="H3319" s="100">
        <v>-4541.4997022535317</v>
      </c>
      <c r="I3319" s="100">
        <v>2105.5596462524022</v>
      </c>
      <c r="J3319" s="100">
        <v>221.58117451132284</v>
      </c>
    </row>
    <row r="3320" spans="1:10" x14ac:dyDescent="0.25">
      <c r="A3320">
        <v>3303</v>
      </c>
      <c r="B3320" s="100">
        <v>88.834188767466259</v>
      </c>
      <c r="C3320" s="100">
        <v>96.28955245229848</v>
      </c>
      <c r="D3320" s="100">
        <v>89.831399742158098</v>
      </c>
      <c r="E3320" s="100">
        <v>91.693909629177853</v>
      </c>
      <c r="F3320" s="100">
        <v>2374.1936710708756</v>
      </c>
      <c r="G3320" s="100">
        <v>2880.5055814954558</v>
      </c>
      <c r="H3320" s="100">
        <v>5969.3607266570152</v>
      </c>
      <c r="I3320" s="100">
        <v>1686.7300255233745</v>
      </c>
      <c r="J3320" s="100">
        <v>12910.790004746723</v>
      </c>
    </row>
    <row r="3321" spans="1:10" x14ac:dyDescent="0.25">
      <c r="A3321">
        <v>3304</v>
      </c>
      <c r="B3321" s="100">
        <v>89.300927477776398</v>
      </c>
      <c r="C3321" s="100">
        <v>99.03999003916941</v>
      </c>
      <c r="D3321" s="100">
        <v>92.039060339899265</v>
      </c>
      <c r="E3321" s="100">
        <v>94.182869813169134</v>
      </c>
      <c r="F3321" s="100">
        <v>833.95592704741694</v>
      </c>
      <c r="G3321" s="100">
        <v>-1245.1507988109397</v>
      </c>
      <c r="H3321" s="100">
        <v>1554.0395311746806</v>
      </c>
      <c r="I3321" s="100">
        <v>-802.23015846790702</v>
      </c>
      <c r="J3321" s="100">
        <v>340.61450094325085</v>
      </c>
    </row>
    <row r="3322" spans="1:10" x14ac:dyDescent="0.25">
      <c r="A3322">
        <v>3305</v>
      </c>
      <c r="B3322" s="100">
        <v>90.268468482417475</v>
      </c>
      <c r="C3322" s="100">
        <v>98.470027719881898</v>
      </c>
      <c r="D3322" s="100">
        <v>94.162300639430995</v>
      </c>
      <c r="E3322" s="100">
        <v>94.173912827487797</v>
      </c>
      <c r="F3322" s="100">
        <v>-2358.9293882681391</v>
      </c>
      <c r="G3322" s="100">
        <v>-390.20731987967139</v>
      </c>
      <c r="H3322" s="100">
        <v>-2692.4410678887798</v>
      </c>
      <c r="I3322" s="100">
        <v>-793.27317278657006</v>
      </c>
      <c r="J3322" s="100">
        <v>-6234.8509488231612</v>
      </c>
    </row>
    <row r="3323" spans="1:10" x14ac:dyDescent="0.25">
      <c r="A3323">
        <v>3306</v>
      </c>
      <c r="B3323" s="100">
        <v>89.107313466949307</v>
      </c>
      <c r="C3323" s="100">
        <v>97.810947305160497</v>
      </c>
      <c r="D3323" s="100">
        <v>91.081760941328255</v>
      </c>
      <c r="E3323" s="100">
        <v>93.00655045309459</v>
      </c>
      <c r="F3323" s="100">
        <v>1472.8821627768157</v>
      </c>
      <c r="G3323" s="100">
        <v>598.41330220243094</v>
      </c>
      <c r="H3323" s="100">
        <v>3468.6383283167006</v>
      </c>
      <c r="I3323" s="100">
        <v>374.08920160663683</v>
      </c>
      <c r="J3323" s="100">
        <v>5914.0229949025834</v>
      </c>
    </row>
    <row r="3324" spans="1:10" x14ac:dyDescent="0.25">
      <c r="A3324">
        <v>3307</v>
      </c>
      <c r="B3324" s="100">
        <v>89.594985032231577</v>
      </c>
      <c r="C3324" s="100">
        <v>97.068061040856719</v>
      </c>
      <c r="D3324" s="100">
        <v>94.119031935760887</v>
      </c>
      <c r="E3324" s="100">
        <v>92.665021372057296</v>
      </c>
      <c r="F3324" s="100">
        <v>-136.4340026546742</v>
      </c>
      <c r="G3324" s="100">
        <v>1712.7426986580972</v>
      </c>
      <c r="H3324" s="100">
        <v>-2605.903660548563</v>
      </c>
      <c r="I3324" s="100">
        <v>715.61828264393057</v>
      </c>
      <c r="J3324" s="100">
        <v>-313.97668190120953</v>
      </c>
    </row>
    <row r="3325" spans="1:10" x14ac:dyDescent="0.25">
      <c r="A3325">
        <v>3308</v>
      </c>
      <c r="B3325" s="100">
        <v>89.268401464655739</v>
      </c>
      <c r="C3325" s="100">
        <v>99.102119517483018</v>
      </c>
      <c r="D3325" s="100">
        <v>92.227579942342928</v>
      </c>
      <c r="E3325" s="100">
        <v>94.167367839351684</v>
      </c>
      <c r="F3325" s="100">
        <v>941.29177034559177</v>
      </c>
      <c r="G3325" s="100">
        <v>-1338.3450162813517</v>
      </c>
      <c r="H3325" s="100">
        <v>1177.0003262873558</v>
      </c>
      <c r="I3325" s="100">
        <v>-786.7281846504568</v>
      </c>
      <c r="J3325" s="100">
        <v>-6.7811042988608961</v>
      </c>
    </row>
    <row r="3326" spans="1:10" x14ac:dyDescent="0.25">
      <c r="A3326">
        <v>3309</v>
      </c>
      <c r="B3326" s="100">
        <v>90.079060181382289</v>
      </c>
      <c r="C3326" s="100">
        <v>98.676227541017568</v>
      </c>
      <c r="D3326" s="100">
        <v>92.961804838677679</v>
      </c>
      <c r="E3326" s="100">
        <v>93.838832566853668</v>
      </c>
      <c r="F3326" s="100">
        <v>-1733.881994852024</v>
      </c>
      <c r="G3326" s="100">
        <v>-699.50705158317555</v>
      </c>
      <c r="H3326" s="100">
        <v>-291.44946638214719</v>
      </c>
      <c r="I3326" s="100">
        <v>-458.19291215244107</v>
      </c>
      <c r="J3326" s="100">
        <v>-3183.0314249697876</v>
      </c>
    </row>
    <row r="3327" spans="1:10" x14ac:dyDescent="0.25">
      <c r="A3327">
        <v>3310</v>
      </c>
      <c r="B3327" s="100">
        <v>89.215020125367218</v>
      </c>
      <c r="C3327" s="100">
        <v>98.974047430240091</v>
      </c>
      <c r="D3327" s="100">
        <v>94.034140923233494</v>
      </c>
      <c r="E3327" s="100">
        <v>92.567512393684368</v>
      </c>
      <c r="F3327" s="100">
        <v>1117.4501899977101</v>
      </c>
      <c r="G3327" s="100">
        <v>-1146.2368854169611</v>
      </c>
      <c r="H3327" s="100">
        <v>-2436.1216354937769</v>
      </c>
      <c r="I3327" s="100">
        <v>813.12726101685939</v>
      </c>
      <c r="J3327" s="100">
        <v>-1651.7810698961684</v>
      </c>
    </row>
    <row r="3328" spans="1:10" x14ac:dyDescent="0.25">
      <c r="A3328">
        <v>3311</v>
      </c>
      <c r="B3328" s="100">
        <v>90.093177146147198</v>
      </c>
      <c r="C3328" s="100">
        <v>96.869456360243092</v>
      </c>
      <c r="D3328" s="100">
        <v>92.764763429710428</v>
      </c>
      <c r="E3328" s="100">
        <v>92.921872183753564</v>
      </c>
      <c r="F3328" s="100">
        <v>-1780.4679785762246</v>
      </c>
      <c r="G3328" s="100">
        <v>2010.649719578538</v>
      </c>
      <c r="H3328" s="100">
        <v>102.63335155235609</v>
      </c>
      <c r="I3328" s="100">
        <v>458.76747094766301</v>
      </c>
      <c r="J3328" s="100">
        <v>791.5825635023325</v>
      </c>
    </row>
    <row r="3329" spans="1:10" x14ac:dyDescent="0.25">
      <c r="A3329">
        <v>3312</v>
      </c>
      <c r="B3329" s="100">
        <v>90.364678596961582</v>
      </c>
      <c r="C3329" s="100">
        <v>99.226159500087391</v>
      </c>
      <c r="D3329" s="100">
        <v>92.367734485439613</v>
      </c>
      <c r="E3329" s="100">
        <v>92.305636042789871</v>
      </c>
      <c r="F3329" s="100">
        <v>-2676.4227662636913</v>
      </c>
      <c r="G3329" s="100">
        <v>-1524.4049901879109</v>
      </c>
      <c r="H3329" s="100">
        <v>896.69124009398615</v>
      </c>
      <c r="I3329" s="100">
        <v>1075.0036119113561</v>
      </c>
      <c r="J3329" s="100">
        <v>-2229.1329044462595</v>
      </c>
    </row>
    <row r="3330" spans="1:10" x14ac:dyDescent="0.25">
      <c r="A3330">
        <v>3313</v>
      </c>
      <c r="B3330" s="100">
        <v>90.056705943523212</v>
      </c>
      <c r="C3330" s="100">
        <v>98.217642263989319</v>
      </c>
      <c r="D3330" s="100">
        <v>91.490673664508606</v>
      </c>
      <c r="E3330" s="100">
        <v>91.559284028998349</v>
      </c>
      <c r="F3330" s="100">
        <v>-1660.1130099170718</v>
      </c>
      <c r="G3330" s="100">
        <v>-11.629136040802734</v>
      </c>
      <c r="H3330" s="100">
        <v>2650.8128819559997</v>
      </c>
      <c r="I3330" s="100">
        <v>1821.3556257028786</v>
      </c>
      <c r="J3330" s="100">
        <v>2800.4263617010038</v>
      </c>
    </row>
    <row r="3331" spans="1:10" x14ac:dyDescent="0.25">
      <c r="A3331">
        <v>3314</v>
      </c>
      <c r="B3331" s="100">
        <v>89.744209762460585</v>
      </c>
      <c r="C3331" s="100">
        <v>97.439047703297931</v>
      </c>
      <c r="D3331" s="100">
        <v>93.736280865130468</v>
      </c>
      <c r="E3331" s="100">
        <v>92.455573326002963</v>
      </c>
      <c r="F3331" s="100">
        <v>-628.87561241040112</v>
      </c>
      <c r="G3331" s="100">
        <v>1156.2627049962798</v>
      </c>
      <c r="H3331" s="100">
        <v>-1840.4015192877239</v>
      </c>
      <c r="I3331" s="100">
        <v>925.06632869826433</v>
      </c>
      <c r="J3331" s="100">
        <v>-387.94809800358087</v>
      </c>
    </row>
    <row r="3332" spans="1:10" x14ac:dyDescent="0.25">
      <c r="A3332">
        <v>3315</v>
      </c>
      <c r="B3332" s="100">
        <v>89.130343184648169</v>
      </c>
      <c r="C3332" s="100">
        <v>98.415927746503286</v>
      </c>
      <c r="D3332" s="100">
        <v>93.358103807717612</v>
      </c>
      <c r="E3332" s="100">
        <v>96.494777407601759</v>
      </c>
      <c r="F3332" s="100">
        <v>1396.8840943705729</v>
      </c>
      <c r="G3332" s="100">
        <v>-309.05735981175297</v>
      </c>
      <c r="H3332" s="100">
        <v>-1084.0474044620123</v>
      </c>
      <c r="I3332" s="100">
        <v>-3114.1377529005326</v>
      </c>
      <c r="J3332" s="100">
        <v>-3110.3584228037253</v>
      </c>
    </row>
    <row r="3333" spans="1:10" x14ac:dyDescent="0.25">
      <c r="A3333">
        <v>3316</v>
      </c>
      <c r="B3333" s="100">
        <v>89.228992743636567</v>
      </c>
      <c r="C3333" s="100">
        <v>97.873412040352719</v>
      </c>
      <c r="D3333" s="100">
        <v>92.497537061426328</v>
      </c>
      <c r="E3333" s="100">
        <v>93.40195993462298</v>
      </c>
      <c r="F3333" s="100">
        <v>1071.3405497088572</v>
      </c>
      <c r="G3333" s="100">
        <v>504.71619941409784</v>
      </c>
      <c r="H3333" s="100">
        <v>637.08608812055445</v>
      </c>
      <c r="I3333" s="100">
        <v>-21.320279921752672</v>
      </c>
      <c r="J3333" s="100">
        <v>2191.8225573217569</v>
      </c>
    </row>
    <row r="3334" spans="1:10" x14ac:dyDescent="0.25">
      <c r="A3334">
        <v>3317</v>
      </c>
      <c r="B3334" s="100">
        <v>90.191784802405337</v>
      </c>
      <c r="C3334" s="100">
        <v>98.892763372575146</v>
      </c>
      <c r="D3334" s="100">
        <v>93.094763753665887</v>
      </c>
      <c r="E3334" s="100">
        <v>93.126925868477642</v>
      </c>
      <c r="F3334" s="100">
        <v>-2105.873244228083</v>
      </c>
      <c r="G3334" s="100">
        <v>-1024.3107989195437</v>
      </c>
      <c r="H3334" s="100">
        <v>-557.36729635856364</v>
      </c>
      <c r="I3334" s="100">
        <v>253.7137862235852</v>
      </c>
      <c r="J3334" s="100">
        <v>-3433.8375532826049</v>
      </c>
    </row>
    <row r="3335" spans="1:10" x14ac:dyDescent="0.25">
      <c r="A3335">
        <v>3318</v>
      </c>
      <c r="B3335" s="100">
        <v>89.642523143061553</v>
      </c>
      <c r="C3335" s="100">
        <v>97.50571712730175</v>
      </c>
      <c r="D3335" s="100">
        <v>90.883334540713591</v>
      </c>
      <c r="E3335" s="100">
        <v>95.520513515914672</v>
      </c>
      <c r="F3335" s="100">
        <v>-293.30976839359408</v>
      </c>
      <c r="G3335" s="100">
        <v>1056.2585689905504</v>
      </c>
      <c r="H3335" s="100">
        <v>3865.4911295460297</v>
      </c>
      <c r="I3335" s="100">
        <v>-2139.8738612134453</v>
      </c>
      <c r="J3335" s="100">
        <v>2488.5660689295405</v>
      </c>
    </row>
    <row r="3336" spans="1:10" x14ac:dyDescent="0.25">
      <c r="A3336">
        <v>3319</v>
      </c>
      <c r="B3336" s="100">
        <v>89.293028175985668</v>
      </c>
      <c r="C3336" s="100">
        <v>97.785047618177217</v>
      </c>
      <c r="D3336" s="100">
        <v>92.316909122408617</v>
      </c>
      <c r="E3336" s="100">
        <v>94.802848954235543</v>
      </c>
      <c r="F3336" s="100">
        <v>860.02362295682383</v>
      </c>
      <c r="G3336" s="100">
        <v>637.26283267735084</v>
      </c>
      <c r="H3336" s="100">
        <v>998.34196615597648</v>
      </c>
      <c r="I3336" s="100">
        <v>-1422.209299534316</v>
      </c>
      <c r="J3336" s="100">
        <v>1073.4191222558352</v>
      </c>
    </row>
    <row r="3337" spans="1:10" x14ac:dyDescent="0.25">
      <c r="A3337">
        <v>3320</v>
      </c>
      <c r="B3337" s="100">
        <v>88.602230290900636</v>
      </c>
      <c r="C3337" s="100">
        <v>97.785022912690067</v>
      </c>
      <c r="D3337" s="100">
        <v>89.887806758341938</v>
      </c>
      <c r="E3337" s="100">
        <v>93.04533189624739</v>
      </c>
      <c r="F3337" s="100">
        <v>3139.6566437374318</v>
      </c>
      <c r="G3337" s="100">
        <v>637.29989090807499</v>
      </c>
      <c r="H3337" s="100">
        <v>5856.5466942893354</v>
      </c>
      <c r="I3337" s="100">
        <v>335.30775845383687</v>
      </c>
      <c r="J3337" s="100">
        <v>9968.8109873886788</v>
      </c>
    </row>
    <row r="3338" spans="1:10" x14ac:dyDescent="0.25">
      <c r="A3338">
        <v>3321</v>
      </c>
      <c r="B3338" s="100">
        <v>89.581257504425878</v>
      </c>
      <c r="C3338" s="100">
        <v>99.95585658057314</v>
      </c>
      <c r="D3338" s="100">
        <v>93.006680563642121</v>
      </c>
      <c r="E3338" s="100">
        <v>91.179626339391916</v>
      </c>
      <c r="F3338" s="100">
        <v>-91.133160895867604</v>
      </c>
      <c r="G3338" s="100">
        <v>-2618.950610916535</v>
      </c>
      <c r="H3338" s="100">
        <v>-381.20091631103037</v>
      </c>
      <c r="I3338" s="100">
        <v>2201.0133153093107</v>
      </c>
      <c r="J3338" s="100">
        <v>-890.27137281412206</v>
      </c>
    </row>
    <row r="3339" spans="1:10" x14ac:dyDescent="0.25">
      <c r="A3339">
        <v>3322</v>
      </c>
      <c r="B3339" s="100">
        <v>89.305854293748737</v>
      </c>
      <c r="C3339" s="100">
        <v>99.645401156281054</v>
      </c>
      <c r="D3339" s="100">
        <v>92.975261673004397</v>
      </c>
      <c r="E3339" s="100">
        <v>94.498099735866873</v>
      </c>
      <c r="F3339" s="100">
        <v>817.69743433869598</v>
      </c>
      <c r="G3339" s="100">
        <v>-2153.2674744784044</v>
      </c>
      <c r="H3339" s="100">
        <v>-318.36313503558245</v>
      </c>
      <c r="I3339" s="100">
        <v>-1117.460081165646</v>
      </c>
      <c r="J3339" s="100">
        <v>-2771.3932563409371</v>
      </c>
    </row>
    <row r="3340" spans="1:10" x14ac:dyDescent="0.25">
      <c r="A3340">
        <v>3323</v>
      </c>
      <c r="B3340" s="100">
        <v>89.737235116200893</v>
      </c>
      <c r="C3340" s="100">
        <v>96.958580582167329</v>
      </c>
      <c r="D3340" s="100">
        <v>91.870695202863558</v>
      </c>
      <c r="E3340" s="100">
        <v>93.607660882979928</v>
      </c>
      <c r="F3340" s="100">
        <v>-605.8592797534161</v>
      </c>
      <c r="G3340" s="100">
        <v>1876.9633866921822</v>
      </c>
      <c r="H3340" s="100">
        <v>1890.7698052460944</v>
      </c>
      <c r="I3340" s="100">
        <v>-227.02122827870141</v>
      </c>
      <c r="J3340" s="100">
        <v>2934.8526839061587</v>
      </c>
    </row>
    <row r="3341" spans="1:10" x14ac:dyDescent="0.25">
      <c r="A3341">
        <v>3324</v>
      </c>
      <c r="B3341" s="100">
        <v>88.382989898646613</v>
      </c>
      <c r="C3341" s="100">
        <v>97.06196588413097</v>
      </c>
      <c r="D3341" s="100">
        <v>91.240882045676159</v>
      </c>
      <c r="E3341" s="100">
        <v>92.410913603540408</v>
      </c>
      <c r="F3341" s="100">
        <v>3863.1499381757053</v>
      </c>
      <c r="G3341" s="100">
        <v>1721.8854337467205</v>
      </c>
      <c r="H3341" s="100">
        <v>3150.3961196208934</v>
      </c>
      <c r="I3341" s="100">
        <v>969.72605116081922</v>
      </c>
      <c r="J3341" s="100">
        <v>9705.1575427041389</v>
      </c>
    </row>
    <row r="3342" spans="1:10" x14ac:dyDescent="0.25">
      <c r="A3342">
        <v>3325</v>
      </c>
      <c r="B3342" s="100">
        <v>89.360963789358863</v>
      </c>
      <c r="C3342" s="100">
        <v>100.0641623187316</v>
      </c>
      <c r="D3342" s="100">
        <v>92.429604521028907</v>
      </c>
      <c r="E3342" s="100">
        <v>90.358115490395235</v>
      </c>
      <c r="F3342" s="100">
        <v>635.83609882528265</v>
      </c>
      <c r="G3342" s="100">
        <v>-2781.4092181542305</v>
      </c>
      <c r="H3342" s="100">
        <v>772.95116891539806</v>
      </c>
      <c r="I3342" s="100">
        <v>3022.5241643059917</v>
      </c>
      <c r="J3342" s="100">
        <v>1649.9022138924418</v>
      </c>
    </row>
    <row r="3343" spans="1:10" x14ac:dyDescent="0.25">
      <c r="A3343">
        <v>3326</v>
      </c>
      <c r="B3343" s="100">
        <v>88.991841724156771</v>
      </c>
      <c r="C3343" s="100">
        <v>98.368411788030599</v>
      </c>
      <c r="D3343" s="100">
        <v>91.928628669076204</v>
      </c>
      <c r="E3343" s="100">
        <v>91.46937270685757</v>
      </c>
      <c r="F3343" s="100">
        <v>1853.9389139921852</v>
      </c>
      <c r="G3343" s="100">
        <v>-237.78342210272285</v>
      </c>
      <c r="H3343" s="100">
        <v>1774.9028728208032</v>
      </c>
      <c r="I3343" s="100">
        <v>1911.2669478436574</v>
      </c>
      <c r="J3343" s="100">
        <v>5302.3253125539231</v>
      </c>
    </row>
    <row r="3344" spans="1:10" x14ac:dyDescent="0.25">
      <c r="A3344">
        <v>3327</v>
      </c>
      <c r="B3344" s="100">
        <v>90.363304388739422</v>
      </c>
      <c r="C3344" s="100">
        <v>96.983644177695766</v>
      </c>
      <c r="D3344" s="100">
        <v>93.07754130151848</v>
      </c>
      <c r="E3344" s="100">
        <v>96.933012990823386</v>
      </c>
      <c r="F3344" s="100">
        <v>-2671.8878791305642</v>
      </c>
      <c r="G3344" s="100">
        <v>1839.3679933995272</v>
      </c>
      <c r="H3344" s="100">
        <v>-522.92239206374802</v>
      </c>
      <c r="I3344" s="100">
        <v>-3552.3733361221589</v>
      </c>
      <c r="J3344" s="100">
        <v>-4907.8156139169441</v>
      </c>
    </row>
    <row r="3345" spans="1:10" x14ac:dyDescent="0.25">
      <c r="A3345">
        <v>3328</v>
      </c>
      <c r="B3345" s="100">
        <v>90.115649512291583</v>
      </c>
      <c r="C3345" s="100">
        <v>98.446372279106413</v>
      </c>
      <c r="D3345" s="100">
        <v>91.991835927333852</v>
      </c>
      <c r="E3345" s="100">
        <v>93.650187340438535</v>
      </c>
      <c r="F3345" s="100">
        <v>-1854.6267868526938</v>
      </c>
      <c r="G3345" s="100">
        <v>-354.72415871644358</v>
      </c>
      <c r="H3345" s="100">
        <v>1648.4883563055064</v>
      </c>
      <c r="I3345" s="100">
        <v>-269.54768573730803</v>
      </c>
      <c r="J3345" s="100">
        <v>-830.41027500093901</v>
      </c>
    </row>
    <row r="3346" spans="1:10" x14ac:dyDescent="0.25">
      <c r="A3346">
        <v>3329</v>
      </c>
      <c r="B3346" s="100">
        <v>91.18719245277704</v>
      </c>
      <c r="C3346" s="100">
        <v>99.43232366835565</v>
      </c>
      <c r="D3346" s="100">
        <v>92.309978076105608</v>
      </c>
      <c r="E3346" s="100">
        <v>93.49028952077434</v>
      </c>
      <c r="F3346" s="100">
        <v>-5390.7184904547039</v>
      </c>
      <c r="G3346" s="100">
        <v>-1833.6512425902995</v>
      </c>
      <c r="H3346" s="100">
        <v>1012.2040587619949</v>
      </c>
      <c r="I3346" s="100">
        <v>-109.64986607311289</v>
      </c>
      <c r="J3346" s="100">
        <v>-6321.8155403561213</v>
      </c>
    </row>
    <row r="3347" spans="1:10" x14ac:dyDescent="0.25">
      <c r="A3347">
        <v>3330</v>
      </c>
      <c r="B3347" s="100">
        <v>90.152409095286245</v>
      </c>
      <c r="C3347" s="100">
        <v>98.291329368984435</v>
      </c>
      <c r="D3347" s="100">
        <v>92.003405798349164</v>
      </c>
      <c r="E3347" s="100">
        <v>94.766265386908785</v>
      </c>
      <c r="F3347" s="100">
        <v>-1975.9334107350796</v>
      </c>
      <c r="G3347" s="100">
        <v>-122.15979353347706</v>
      </c>
      <c r="H3347" s="100">
        <v>1625.3486142748841</v>
      </c>
      <c r="I3347" s="100">
        <v>-1385.6257322075578</v>
      </c>
      <c r="J3347" s="100">
        <v>-1858.3703222012305</v>
      </c>
    </row>
    <row r="3348" spans="1:10" x14ac:dyDescent="0.25">
      <c r="A3348">
        <v>3331</v>
      </c>
      <c r="B3348" s="100">
        <v>89.195826798921416</v>
      </c>
      <c r="C3348" s="100">
        <v>96.954774642174613</v>
      </c>
      <c r="D3348" s="100">
        <v>92.721400884266615</v>
      </c>
      <c r="E3348" s="100">
        <v>89.701206921499065</v>
      </c>
      <c r="F3348" s="100">
        <v>1180.7881672688552</v>
      </c>
      <c r="G3348" s="100">
        <v>1882.6722966812567</v>
      </c>
      <c r="H3348" s="100">
        <v>189.3584424399819</v>
      </c>
      <c r="I3348" s="100">
        <v>3679.4327332021621</v>
      </c>
      <c r="J3348" s="100">
        <v>6932.2516395922557</v>
      </c>
    </row>
    <row r="3349" spans="1:10" x14ac:dyDescent="0.25">
      <c r="A3349">
        <v>3332</v>
      </c>
      <c r="B3349" s="100">
        <v>89.646359345983839</v>
      </c>
      <c r="C3349" s="100">
        <v>97.33475524496555</v>
      </c>
      <c r="D3349" s="100">
        <v>95.341192492888439</v>
      </c>
      <c r="E3349" s="100">
        <v>93.007184119909383</v>
      </c>
      <c r="F3349" s="100">
        <v>-305.9692380371402</v>
      </c>
      <c r="G3349" s="100">
        <v>1312.7013924948515</v>
      </c>
      <c r="H3349" s="100">
        <v>-5050.2247748036662</v>
      </c>
      <c r="I3349" s="100">
        <v>373.45553479184446</v>
      </c>
      <c r="J3349" s="100">
        <v>-3670.0370855541105</v>
      </c>
    </row>
    <row r="3350" spans="1:10" x14ac:dyDescent="0.25">
      <c r="A3350">
        <v>3333</v>
      </c>
      <c r="B3350" s="100">
        <v>89.056700341912602</v>
      </c>
      <c r="C3350" s="100">
        <v>96.460290418632681</v>
      </c>
      <c r="D3350" s="100">
        <v>92.717604387202556</v>
      </c>
      <c r="E3350" s="100">
        <v>96.979552826673512</v>
      </c>
      <c r="F3350" s="100">
        <v>1639.9054753979412</v>
      </c>
      <c r="G3350" s="100">
        <v>2624.3986319941541</v>
      </c>
      <c r="H3350" s="100">
        <v>196.95143656809933</v>
      </c>
      <c r="I3350" s="100">
        <v>-3598.913171972285</v>
      </c>
      <c r="J3350" s="100">
        <v>862.3423719879097</v>
      </c>
    </row>
    <row r="3351" spans="1:10" x14ac:dyDescent="0.25">
      <c r="A3351">
        <v>3334</v>
      </c>
      <c r="B3351" s="100">
        <v>89.373124156098484</v>
      </c>
      <c r="C3351" s="100">
        <v>97.876212276489042</v>
      </c>
      <c r="D3351" s="100">
        <v>90.868199226921732</v>
      </c>
      <c r="E3351" s="100">
        <v>90.912912142645524</v>
      </c>
      <c r="F3351" s="100">
        <v>595.70688858453173</v>
      </c>
      <c r="G3351" s="100">
        <v>500.51584520961256</v>
      </c>
      <c r="H3351" s="100">
        <v>3895.7617571297478</v>
      </c>
      <c r="I3351" s="100">
        <v>2467.7275120557028</v>
      </c>
      <c r="J3351" s="100">
        <v>7459.7120029795951</v>
      </c>
    </row>
    <row r="3352" spans="1:10" x14ac:dyDescent="0.25">
      <c r="A3352">
        <v>3335</v>
      </c>
      <c r="B3352" s="100">
        <v>89.841400103671774</v>
      </c>
      <c r="C3352" s="100">
        <v>97.201135175422635</v>
      </c>
      <c r="D3352" s="100">
        <v>94.703746207294017</v>
      </c>
      <c r="E3352" s="100">
        <v>93.954716107581206</v>
      </c>
      <c r="F3352" s="100">
        <v>-949.60373840732336</v>
      </c>
      <c r="G3352" s="100">
        <v>1513.1314968092227</v>
      </c>
      <c r="H3352" s="100">
        <v>-3775.3322036148234</v>
      </c>
      <c r="I3352" s="100">
        <v>-574.07645287997866</v>
      </c>
      <c r="J3352" s="100">
        <v>-3785.880898092903</v>
      </c>
    </row>
    <row r="3353" spans="1:10" x14ac:dyDescent="0.25">
      <c r="A3353">
        <v>3336</v>
      </c>
      <c r="B3353" s="100">
        <v>89.397711228890387</v>
      </c>
      <c r="C3353" s="100">
        <v>98.382134019103589</v>
      </c>
      <c r="D3353" s="100">
        <v>92.441936138856462</v>
      </c>
      <c r="E3353" s="100">
        <v>90.693760258753315</v>
      </c>
      <c r="F3353" s="100">
        <v>514.56954837125295</v>
      </c>
      <c r="G3353" s="100">
        <v>-258.36676871220732</v>
      </c>
      <c r="H3353" s="100">
        <v>748.28793326028631</v>
      </c>
      <c r="I3353" s="100">
        <v>2686.8793959479121</v>
      </c>
      <c r="J3353" s="100">
        <v>3691.3701088672442</v>
      </c>
    </row>
    <row r="3354" spans="1:10" x14ac:dyDescent="0.25">
      <c r="A3354">
        <v>3337</v>
      </c>
      <c r="B3354" s="100">
        <v>89.479924994376546</v>
      </c>
      <c r="C3354" s="100">
        <v>97.468691949770957</v>
      </c>
      <c r="D3354" s="100">
        <v>93.147938653855405</v>
      </c>
      <c r="E3354" s="100">
        <v>91.029525832082797</v>
      </c>
      <c r="F3354" s="100">
        <v>243.26412226692753</v>
      </c>
      <c r="G3354" s="100">
        <v>1111.7963352867405</v>
      </c>
      <c r="H3354" s="100">
        <v>-663.71709673759938</v>
      </c>
      <c r="I3354" s="100">
        <v>2351.1138226184303</v>
      </c>
      <c r="J3354" s="100">
        <v>3042.4571834344988</v>
      </c>
    </row>
    <row r="3355" spans="1:10" x14ac:dyDescent="0.25">
      <c r="A3355">
        <v>3338</v>
      </c>
      <c r="B3355" s="100">
        <v>90.025296063846639</v>
      </c>
      <c r="C3355" s="100">
        <v>98.816623211713889</v>
      </c>
      <c r="D3355" s="100">
        <v>92.933631692823553</v>
      </c>
      <c r="E3355" s="100">
        <v>91.821135276128246</v>
      </c>
      <c r="F3355" s="100">
        <v>-1556.4604069843795</v>
      </c>
      <c r="G3355" s="100">
        <v>-910.10055762765774</v>
      </c>
      <c r="H3355" s="100">
        <v>-235.10317467389541</v>
      </c>
      <c r="I3355" s="100">
        <v>1559.5043785729813</v>
      </c>
      <c r="J3355" s="100">
        <v>-1142.1597607129515</v>
      </c>
    </row>
    <row r="3356" spans="1:10" x14ac:dyDescent="0.25">
      <c r="A3356">
        <v>3339</v>
      </c>
      <c r="B3356" s="100">
        <v>89.864902740103901</v>
      </c>
      <c r="C3356" s="100">
        <v>98.600638702956914</v>
      </c>
      <c r="D3356" s="100">
        <v>92.723246808495688</v>
      </c>
      <c r="E3356" s="100">
        <v>92.004432985994058</v>
      </c>
      <c r="F3356" s="100">
        <v>-1027.1624386333428</v>
      </c>
      <c r="G3356" s="100">
        <v>-586.12379449219532</v>
      </c>
      <c r="H3356" s="100">
        <v>185.6665939818356</v>
      </c>
      <c r="I3356" s="100">
        <v>1376.2066687071695</v>
      </c>
      <c r="J3356" s="100">
        <v>-51.412970436533215</v>
      </c>
    </row>
    <row r="3357" spans="1:10" x14ac:dyDescent="0.25">
      <c r="A3357">
        <v>3340</v>
      </c>
      <c r="B3357" s="100">
        <v>88.573804638276243</v>
      </c>
      <c r="C3357" s="100">
        <v>98.559336862393749</v>
      </c>
      <c r="D3357" s="100">
        <v>92.103063745915463</v>
      </c>
      <c r="E3357" s="100">
        <v>94.057733328298411</v>
      </c>
      <c r="F3357" s="100">
        <v>3233.461297397926</v>
      </c>
      <c r="G3357" s="100">
        <v>-524.17103364744833</v>
      </c>
      <c r="H3357" s="100">
        <v>1426.0327191422846</v>
      </c>
      <c r="I3357" s="100">
        <v>-677.09367359718442</v>
      </c>
      <c r="J3357" s="100">
        <v>3458.2293092955779</v>
      </c>
    </row>
    <row r="3358" spans="1:10" x14ac:dyDescent="0.25">
      <c r="A3358">
        <v>3341</v>
      </c>
      <c r="B3358" s="100">
        <v>89.66302400645607</v>
      </c>
      <c r="C3358" s="100">
        <v>96.475626025495004</v>
      </c>
      <c r="D3358" s="100">
        <v>92.124339680829578</v>
      </c>
      <c r="E3358" s="100">
        <v>93.226322280661364</v>
      </c>
      <c r="F3358" s="100">
        <v>-360.96261759550003</v>
      </c>
      <c r="G3358" s="100">
        <v>2601.3952217006704</v>
      </c>
      <c r="H3358" s="100">
        <v>1383.4808493140542</v>
      </c>
      <c r="I3358" s="100">
        <v>154.3173740398629</v>
      </c>
      <c r="J3358" s="100">
        <v>3778.2308274590873</v>
      </c>
    </row>
    <row r="3359" spans="1:10" x14ac:dyDescent="0.25">
      <c r="A3359">
        <v>3342</v>
      </c>
      <c r="B3359" s="100">
        <v>89.217204186333106</v>
      </c>
      <c r="C3359" s="100">
        <v>98.7938466423997</v>
      </c>
      <c r="D3359" s="100">
        <v>94.83142623557805</v>
      </c>
      <c r="E3359" s="100">
        <v>93.478720849665322</v>
      </c>
      <c r="F3359" s="100">
        <v>1110.2427888102795</v>
      </c>
      <c r="G3359" s="100">
        <v>-875.93570365637424</v>
      </c>
      <c r="H3359" s="100">
        <v>-4030.6922601828887</v>
      </c>
      <c r="I3359" s="100">
        <v>-98.081194964095175</v>
      </c>
      <c r="J3359" s="100">
        <v>-3894.4663699930784</v>
      </c>
    </row>
    <row r="3360" spans="1:10" x14ac:dyDescent="0.25">
      <c r="A3360">
        <v>3343</v>
      </c>
      <c r="B3360" s="100">
        <v>90.910648587000722</v>
      </c>
      <c r="C3360" s="100">
        <v>98.805436575978675</v>
      </c>
      <c r="D3360" s="100">
        <v>92.274381785061777</v>
      </c>
      <c r="E3360" s="100">
        <v>96.980144215702026</v>
      </c>
      <c r="F3360" s="100">
        <v>-4478.123733392853</v>
      </c>
      <c r="G3360" s="100">
        <v>-893.32060402483648</v>
      </c>
      <c r="H3360" s="100">
        <v>1083.3966408496565</v>
      </c>
      <c r="I3360" s="100">
        <v>-3599.5045610007992</v>
      </c>
      <c r="J3360" s="100">
        <v>-7887.5522575688328</v>
      </c>
    </row>
    <row r="3361" spans="1:10" x14ac:dyDescent="0.25">
      <c r="A3361">
        <v>3344</v>
      </c>
      <c r="B3361" s="100">
        <v>89.316282766989403</v>
      </c>
      <c r="C3361" s="100">
        <v>97.65813655610188</v>
      </c>
      <c r="D3361" s="100">
        <v>93.044164097982701</v>
      </c>
      <c r="E3361" s="100">
        <v>91.845212411454852</v>
      </c>
      <c r="F3361" s="100">
        <v>783.28347264450008</v>
      </c>
      <c r="G3361" s="100">
        <v>827.62942579035575</v>
      </c>
      <c r="H3361" s="100">
        <v>-456.16798499219158</v>
      </c>
      <c r="I3361" s="100">
        <v>1535.4272432463745</v>
      </c>
      <c r="J3361" s="100">
        <v>2690.1721566890387</v>
      </c>
    </row>
    <row r="3362" spans="1:10" x14ac:dyDescent="0.25">
      <c r="A3362">
        <v>3345</v>
      </c>
      <c r="B3362" s="100">
        <v>89.403006352864324</v>
      </c>
      <c r="C3362" s="100">
        <v>96.894286876984964</v>
      </c>
      <c r="D3362" s="100">
        <v>93.478211942186491</v>
      </c>
      <c r="E3362" s="100">
        <v>91.661332773571388</v>
      </c>
      <c r="F3362" s="100">
        <v>497.0956392572603</v>
      </c>
      <c r="G3362" s="100">
        <v>1973.4039444657299</v>
      </c>
      <c r="H3362" s="100">
        <v>-1324.2636733997699</v>
      </c>
      <c r="I3362" s="100">
        <v>1719.306881129839</v>
      </c>
      <c r="J3362" s="100">
        <v>2865.5427914530592</v>
      </c>
    </row>
    <row r="3363" spans="1:10" x14ac:dyDescent="0.25">
      <c r="A3363">
        <v>3346</v>
      </c>
      <c r="B3363" s="100">
        <v>89.441950393477242</v>
      </c>
      <c r="C3363" s="100">
        <v>98.267690396677466</v>
      </c>
      <c r="D3363" s="100">
        <v>93.521831259763275</v>
      </c>
      <c r="E3363" s="100">
        <v>94.532539317186306</v>
      </c>
      <c r="F3363" s="100">
        <v>368.58030523463015</v>
      </c>
      <c r="G3363" s="100">
        <v>-86.701335073023245</v>
      </c>
      <c r="H3363" s="100">
        <v>-1411.502308553338</v>
      </c>
      <c r="I3363" s="100">
        <v>-1151.8996624850786</v>
      </c>
      <c r="J3363" s="100">
        <v>-2281.5230008768094</v>
      </c>
    </row>
    <row r="3364" spans="1:10" x14ac:dyDescent="0.25">
      <c r="A3364">
        <v>3347</v>
      </c>
      <c r="B3364" s="100">
        <v>88.839167193889324</v>
      </c>
      <c r="C3364" s="100">
        <v>97.465784250133751</v>
      </c>
      <c r="D3364" s="100">
        <v>91.679265192309586</v>
      </c>
      <c r="E3364" s="100">
        <v>92.8122708491628</v>
      </c>
      <c r="F3364" s="100">
        <v>2357.7648638747605</v>
      </c>
      <c r="G3364" s="100">
        <v>1116.157884742549</v>
      </c>
      <c r="H3364" s="100">
        <v>2273.6298263540393</v>
      </c>
      <c r="I3364" s="100">
        <v>568.36880553842661</v>
      </c>
      <c r="J3364" s="100">
        <v>6315.9213805097752</v>
      </c>
    </row>
    <row r="3365" spans="1:10" x14ac:dyDescent="0.25">
      <c r="A3365">
        <v>3348</v>
      </c>
      <c r="B3365" s="100">
        <v>90.300186414076634</v>
      </c>
      <c r="C3365" s="100">
        <v>98.350527019866661</v>
      </c>
      <c r="D3365" s="100">
        <v>92.12580460347219</v>
      </c>
      <c r="E3365" s="100">
        <v>90.893359754525903</v>
      </c>
      <c r="F3365" s="100">
        <v>-2463.5985627433643</v>
      </c>
      <c r="G3365" s="100">
        <v>-210.95626985681548</v>
      </c>
      <c r="H3365" s="100">
        <v>1380.5510040288311</v>
      </c>
      <c r="I3365" s="100">
        <v>2487.2799001753237</v>
      </c>
      <c r="J3365" s="100">
        <v>1193.276071603975</v>
      </c>
    </row>
    <row r="3366" spans="1:10" x14ac:dyDescent="0.25">
      <c r="A3366">
        <v>3349</v>
      </c>
      <c r="B3366" s="100">
        <v>89.47186558378877</v>
      </c>
      <c r="C3366" s="100">
        <v>97.661270284790888</v>
      </c>
      <c r="D3366" s="100">
        <v>93.149801661424831</v>
      </c>
      <c r="E3366" s="100">
        <v>93.718036040029375</v>
      </c>
      <c r="F3366" s="100">
        <v>269.86017720658992</v>
      </c>
      <c r="G3366" s="100">
        <v>822.92883275684403</v>
      </c>
      <c r="H3366" s="100">
        <v>-667.44311187645167</v>
      </c>
      <c r="I3366" s="100">
        <v>-337.39638532814809</v>
      </c>
      <c r="J3366" s="100">
        <v>87.949512758834203</v>
      </c>
    </row>
    <row r="3367" spans="1:10" x14ac:dyDescent="0.25">
      <c r="A3367">
        <v>3350</v>
      </c>
      <c r="B3367" s="100">
        <v>89.285600094080948</v>
      </c>
      <c r="C3367" s="100">
        <v>98.740355584427135</v>
      </c>
      <c r="D3367" s="100">
        <v>91.633840909876653</v>
      </c>
      <c r="E3367" s="100">
        <v>92.744454055808987</v>
      </c>
      <c r="F3367" s="100">
        <v>884.53629324240092</v>
      </c>
      <c r="G3367" s="100">
        <v>-795.69911669752719</v>
      </c>
      <c r="H3367" s="100">
        <v>2364.4783912199046</v>
      </c>
      <c r="I3367" s="100">
        <v>636.18559889224002</v>
      </c>
      <c r="J3367" s="100">
        <v>3089.5011666570181</v>
      </c>
    </row>
    <row r="3368" spans="1:10" x14ac:dyDescent="0.25">
      <c r="A3368">
        <v>3351</v>
      </c>
      <c r="B3368" s="100">
        <v>89.581287573434935</v>
      </c>
      <c r="C3368" s="100">
        <v>98.764716564080302</v>
      </c>
      <c r="D3368" s="100">
        <v>93.14765081606383</v>
      </c>
      <c r="E3368" s="100">
        <v>92.796042756449836</v>
      </c>
      <c r="F3368" s="100">
        <v>-91.232388625755334</v>
      </c>
      <c r="G3368" s="100">
        <v>-832.24058617727792</v>
      </c>
      <c r="H3368" s="100">
        <v>-663.14142115444952</v>
      </c>
      <c r="I3368" s="100">
        <v>584.59689825139094</v>
      </c>
      <c r="J3368" s="100">
        <v>-1002.0174977060919</v>
      </c>
    </row>
    <row r="3369" spans="1:10" x14ac:dyDescent="0.25">
      <c r="A3369">
        <v>3352</v>
      </c>
      <c r="B3369" s="100">
        <v>88.918190582829922</v>
      </c>
      <c r="C3369" s="100">
        <v>99.124780877940282</v>
      </c>
      <c r="D3369" s="100">
        <v>93.039399233063136</v>
      </c>
      <c r="E3369" s="100">
        <v>94.434256759556106</v>
      </c>
      <c r="F3369" s="100">
        <v>2096.9876803707862</v>
      </c>
      <c r="G3369" s="100">
        <v>-1372.3370569672468</v>
      </c>
      <c r="H3369" s="100">
        <v>-446.63825515306144</v>
      </c>
      <c r="I3369" s="100">
        <v>-1053.6171048548795</v>
      </c>
      <c r="J3369" s="100">
        <v>-775.60473660440152</v>
      </c>
    </row>
    <row r="3370" spans="1:10" x14ac:dyDescent="0.25">
      <c r="A3370">
        <v>3353</v>
      </c>
      <c r="B3370" s="100">
        <v>89.273697184031093</v>
      </c>
      <c r="C3370" s="100">
        <v>97.776248612072052</v>
      </c>
      <c r="D3370" s="100">
        <v>93.864209144944198</v>
      </c>
      <c r="E3370" s="100">
        <v>91.148358552228132</v>
      </c>
      <c r="F3370" s="100">
        <v>923.81589640692277</v>
      </c>
      <c r="G3370" s="100">
        <v>650.46134183509707</v>
      </c>
      <c r="H3370" s="100">
        <v>-2096.2580789151843</v>
      </c>
      <c r="I3370" s="100">
        <v>2232.2811024730954</v>
      </c>
      <c r="J3370" s="100">
        <v>1710.3002617999309</v>
      </c>
    </row>
    <row r="3371" spans="1:10" x14ac:dyDescent="0.25">
      <c r="A3371">
        <v>3354</v>
      </c>
      <c r="B3371" s="100">
        <v>89.486187208290914</v>
      </c>
      <c r="C3371" s="100">
        <v>98.482719418265759</v>
      </c>
      <c r="D3371" s="100">
        <v>93.082206769275047</v>
      </c>
      <c r="E3371" s="100">
        <v>94.762073246966992</v>
      </c>
      <c r="F3371" s="100">
        <v>222.59881634951171</v>
      </c>
      <c r="G3371" s="100">
        <v>-409.24486745546318</v>
      </c>
      <c r="H3371" s="100">
        <v>-532.25332757688193</v>
      </c>
      <c r="I3371" s="100">
        <v>-1381.4335922657647</v>
      </c>
      <c r="J3371" s="100">
        <v>-2100.3329709485979</v>
      </c>
    </row>
    <row r="3372" spans="1:10" x14ac:dyDescent="0.25">
      <c r="A3372">
        <v>3355</v>
      </c>
      <c r="B3372" s="100">
        <v>89.489089290478958</v>
      </c>
      <c r="C3372" s="100">
        <v>96.694799024312729</v>
      </c>
      <c r="D3372" s="100">
        <v>92.572277724615304</v>
      </c>
      <c r="E3372" s="100">
        <v>95.787821132623066</v>
      </c>
      <c r="F3372" s="100">
        <v>213.02194512896762</v>
      </c>
      <c r="G3372" s="100">
        <v>2272.6357234740817</v>
      </c>
      <c r="H3372" s="100">
        <v>487.60476174260248</v>
      </c>
      <c r="I3372" s="100">
        <v>-2407.1814779218385</v>
      </c>
      <c r="J3372" s="100">
        <v>566.08095242381341</v>
      </c>
    </row>
    <row r="3373" spans="1:10" x14ac:dyDescent="0.25">
      <c r="A3373">
        <v>3356</v>
      </c>
      <c r="B3373" s="100">
        <v>89.174340810861324</v>
      </c>
      <c r="C3373" s="100">
        <v>99.417662472677847</v>
      </c>
      <c r="D3373" s="100">
        <v>95.237723131053244</v>
      </c>
      <c r="E3373" s="100">
        <v>93.851440011275173</v>
      </c>
      <c r="F3373" s="100">
        <v>1251.6919278671608</v>
      </c>
      <c r="G3373" s="100">
        <v>-1811.6594490735949</v>
      </c>
      <c r="H3373" s="100">
        <v>-4843.2860511332765</v>
      </c>
      <c r="I3373" s="100">
        <v>-470.80035657394603</v>
      </c>
      <c r="J3373" s="100">
        <v>-5874.0539289136568</v>
      </c>
    </row>
    <row r="3374" spans="1:10" x14ac:dyDescent="0.25">
      <c r="A3374">
        <v>3357</v>
      </c>
      <c r="B3374" s="100">
        <v>89.880441322134416</v>
      </c>
      <c r="C3374" s="100">
        <v>100.03217130063781</v>
      </c>
      <c r="D3374" s="100">
        <v>92.901166507963012</v>
      </c>
      <c r="E3374" s="100">
        <v>95.726713060150971</v>
      </c>
      <c r="F3374" s="100">
        <v>-1078.4397593340443</v>
      </c>
      <c r="G3374" s="100">
        <v>-2733.422691013544</v>
      </c>
      <c r="H3374" s="100">
        <v>-170.17280495281284</v>
      </c>
      <c r="I3374" s="100">
        <v>-2346.0734054497434</v>
      </c>
      <c r="J3374" s="100">
        <v>-6328.1086607501447</v>
      </c>
    </row>
    <row r="3375" spans="1:10" x14ac:dyDescent="0.25">
      <c r="A3375">
        <v>3358</v>
      </c>
      <c r="B3375" s="100">
        <v>89.869291016535371</v>
      </c>
      <c r="C3375" s="100">
        <v>98.132097911872279</v>
      </c>
      <c r="D3375" s="100">
        <v>94.03625473091094</v>
      </c>
      <c r="E3375" s="100">
        <v>94.033499618750142</v>
      </c>
      <c r="F3375" s="100">
        <v>-1041.6437508571946</v>
      </c>
      <c r="G3375" s="100">
        <v>116.68739213475732</v>
      </c>
      <c r="H3375" s="100">
        <v>-2440.3492508486693</v>
      </c>
      <c r="I3375" s="100">
        <v>-652.85996404891478</v>
      </c>
      <c r="J3375" s="100">
        <v>-4018.165573620021</v>
      </c>
    </row>
    <row r="3376" spans="1:10" x14ac:dyDescent="0.25">
      <c r="A3376">
        <v>3359</v>
      </c>
      <c r="B3376" s="100">
        <v>90.83484071412957</v>
      </c>
      <c r="C3376" s="100">
        <v>97.044137546663748</v>
      </c>
      <c r="D3376" s="100">
        <v>93.352450920623866</v>
      </c>
      <c r="E3376" s="100">
        <v>90.97037052310192</v>
      </c>
      <c r="F3376" s="100">
        <v>-4227.9577529180497</v>
      </c>
      <c r="G3376" s="100">
        <v>1748.6279399475534</v>
      </c>
      <c r="H3376" s="100">
        <v>-1072.7416302745212</v>
      </c>
      <c r="I3376" s="100">
        <v>2410.269131599307</v>
      </c>
      <c r="J3376" s="100">
        <v>-1141.8023116457107</v>
      </c>
    </row>
    <row r="3377" spans="1:10" x14ac:dyDescent="0.25">
      <c r="A3377">
        <v>3360</v>
      </c>
      <c r="B3377" s="100">
        <v>89.353251596936275</v>
      </c>
      <c r="C3377" s="100">
        <v>98.479834018434218</v>
      </c>
      <c r="D3377" s="100">
        <v>93.059473607339143</v>
      </c>
      <c r="E3377" s="100">
        <v>92.996331853579022</v>
      </c>
      <c r="F3377" s="100">
        <v>661.2863338198224</v>
      </c>
      <c r="G3377" s="100">
        <v>-404.91676770815133</v>
      </c>
      <c r="H3377" s="100">
        <v>-486.78700370507499</v>
      </c>
      <c r="I3377" s="100">
        <v>384.30780112220475</v>
      </c>
      <c r="J3377" s="100">
        <v>153.89036352880083</v>
      </c>
    </row>
    <row r="3378" spans="1:10" x14ac:dyDescent="0.25">
      <c r="A3378">
        <v>3361</v>
      </c>
      <c r="B3378" s="100">
        <v>89.251942300339365</v>
      </c>
      <c r="C3378" s="100">
        <v>96.460173667066812</v>
      </c>
      <c r="D3378" s="100">
        <v>92.880233341450051</v>
      </c>
      <c r="E3378" s="100">
        <v>92.553626540360881</v>
      </c>
      <c r="F3378" s="100">
        <v>995.60701258962331</v>
      </c>
      <c r="G3378" s="100">
        <v>2624.5737593429581</v>
      </c>
      <c r="H3378" s="100">
        <v>-128.30647192689071</v>
      </c>
      <c r="I3378" s="100">
        <v>827.01311434034608</v>
      </c>
      <c r="J3378" s="100">
        <v>4318.8874143460371</v>
      </c>
    </row>
    <row r="3379" spans="1:10" x14ac:dyDescent="0.25">
      <c r="A3379">
        <v>3362</v>
      </c>
      <c r="B3379" s="100">
        <v>89.727433808154245</v>
      </c>
      <c r="C3379" s="100">
        <v>97.752549606948989</v>
      </c>
      <c r="D3379" s="100">
        <v>92.385040651939377</v>
      </c>
      <c r="E3379" s="100">
        <v>91.69232097377008</v>
      </c>
      <c r="F3379" s="100">
        <v>-573.51496319948012</v>
      </c>
      <c r="G3379" s="100">
        <v>686.00984951969224</v>
      </c>
      <c r="H3379" s="100">
        <v>862.07890709445678</v>
      </c>
      <c r="I3379" s="100">
        <v>1688.3186809311469</v>
      </c>
      <c r="J3379" s="100">
        <v>2662.8924743458156</v>
      </c>
    </row>
    <row r="3380" spans="1:10" x14ac:dyDescent="0.25">
      <c r="A3380">
        <v>3363</v>
      </c>
      <c r="B3380" s="100">
        <v>89.885597456280962</v>
      </c>
      <c r="C3380" s="100">
        <v>96.975239113602299</v>
      </c>
      <c r="D3380" s="100">
        <v>91.765792619960436</v>
      </c>
      <c r="E3380" s="100">
        <v>93.467025043768089</v>
      </c>
      <c r="F3380" s="100">
        <v>-1095.4550020176455</v>
      </c>
      <c r="G3380" s="100">
        <v>1851.9755895397268</v>
      </c>
      <c r="H3380" s="100">
        <v>2100.5749710523387</v>
      </c>
      <c r="I3380" s="100">
        <v>-86.385389066862217</v>
      </c>
      <c r="J3380" s="100">
        <v>2770.710169507558</v>
      </c>
    </row>
    <row r="3381" spans="1:10" x14ac:dyDescent="0.25">
      <c r="A3381">
        <v>3364</v>
      </c>
      <c r="B3381" s="100">
        <v>89.045669086659416</v>
      </c>
      <c r="C3381" s="100">
        <v>97.47365243355155</v>
      </c>
      <c r="D3381" s="100">
        <v>91.000050542192</v>
      </c>
      <c r="E3381" s="100">
        <v>93.356988904700287</v>
      </c>
      <c r="F3381" s="100">
        <v>1676.3086177334571</v>
      </c>
      <c r="G3381" s="100">
        <v>1104.3556096158511</v>
      </c>
      <c r="H3381" s="100">
        <v>3632.0591265892117</v>
      </c>
      <c r="I3381" s="100">
        <v>23.650750000939524</v>
      </c>
      <c r="J3381" s="100">
        <v>6436.374103939459</v>
      </c>
    </row>
    <row r="3382" spans="1:10" x14ac:dyDescent="0.25">
      <c r="A3382">
        <v>3365</v>
      </c>
      <c r="B3382" s="100">
        <v>89.924382626747686</v>
      </c>
      <c r="C3382" s="100">
        <v>97.680836662566961</v>
      </c>
      <c r="D3382" s="100">
        <v>92.711410630387036</v>
      </c>
      <c r="E3382" s="100">
        <v>92.689027363571299</v>
      </c>
      <c r="F3382" s="100">
        <v>-1223.4460645578351</v>
      </c>
      <c r="G3382" s="100">
        <v>793.57926609273477</v>
      </c>
      <c r="H3382" s="100">
        <v>209.33895019913962</v>
      </c>
      <c r="I3382" s="100">
        <v>691.61229112992828</v>
      </c>
      <c r="J3382" s="100">
        <v>471.08444286396752</v>
      </c>
    </row>
    <row r="3383" spans="1:10" x14ac:dyDescent="0.25">
      <c r="A3383">
        <v>3366</v>
      </c>
      <c r="B3383" s="100">
        <v>89.542330736790547</v>
      </c>
      <c r="C3383" s="100">
        <v>97.953362532774406</v>
      </c>
      <c r="D3383" s="100">
        <v>92.356498890994033</v>
      </c>
      <c r="E3383" s="100">
        <v>93.566974270060086</v>
      </c>
      <c r="F3383" s="100">
        <v>37.32517230072574</v>
      </c>
      <c r="G3383" s="100">
        <v>384.79046078156642</v>
      </c>
      <c r="H3383" s="100">
        <v>919.16242898514611</v>
      </c>
      <c r="I3383" s="100">
        <v>-186.33461535885942</v>
      </c>
      <c r="J3383" s="100">
        <v>1154.9434467085789</v>
      </c>
    </row>
    <row r="3384" spans="1:10" x14ac:dyDescent="0.25">
      <c r="A3384">
        <v>3367</v>
      </c>
      <c r="B3384" s="100">
        <v>90.166823628766792</v>
      </c>
      <c r="C3384" s="100">
        <v>99.22980492587952</v>
      </c>
      <c r="D3384" s="100">
        <v>93.090803223946324</v>
      </c>
      <c r="E3384" s="100">
        <v>93.309605901029116</v>
      </c>
      <c r="F3384" s="100">
        <v>-2023.5013712208854</v>
      </c>
      <c r="G3384" s="100">
        <v>-1529.8731288761046</v>
      </c>
      <c r="H3384" s="100">
        <v>-549.44623691943661</v>
      </c>
      <c r="I3384" s="100">
        <v>71.033753672111288</v>
      </c>
      <c r="J3384" s="100">
        <v>-4031.786983344316</v>
      </c>
    </row>
    <row r="3385" spans="1:10" x14ac:dyDescent="0.25">
      <c r="A3385">
        <v>3368</v>
      </c>
      <c r="B3385" s="100">
        <v>89.693105410157358</v>
      </c>
      <c r="C3385" s="100">
        <v>99.475265779255651</v>
      </c>
      <c r="D3385" s="100">
        <v>93.300862212505606</v>
      </c>
      <c r="E3385" s="100">
        <v>93.609782981724962</v>
      </c>
      <c r="F3385" s="100">
        <v>-460.23124980975183</v>
      </c>
      <c r="G3385" s="100">
        <v>-1898.0644089402999</v>
      </c>
      <c r="H3385" s="100">
        <v>-969.56421403800164</v>
      </c>
      <c r="I3385" s="100">
        <v>-229.14332702373486</v>
      </c>
      <c r="J3385" s="100">
        <v>-3557.0031998117884</v>
      </c>
    </row>
    <row r="3386" spans="1:10" x14ac:dyDescent="0.25">
      <c r="A3386">
        <v>3369</v>
      </c>
      <c r="B3386" s="100">
        <v>90.626816630045425</v>
      </c>
      <c r="C3386" s="100">
        <v>98.798564313647603</v>
      </c>
      <c r="D3386" s="100">
        <v>92.334306448883822</v>
      </c>
      <c r="E3386" s="100">
        <v>95.186253094435997</v>
      </c>
      <c r="F3386" s="100">
        <v>-3541.4782754403745</v>
      </c>
      <c r="G3386" s="100">
        <v>-883.01221052822848</v>
      </c>
      <c r="H3386" s="100">
        <v>963.54731320556652</v>
      </c>
      <c r="I3386" s="100">
        <v>-1805.6134397347705</v>
      </c>
      <c r="J3386" s="100">
        <v>-5266.5566124978068</v>
      </c>
    </row>
    <row r="3387" spans="1:10" x14ac:dyDescent="0.25">
      <c r="A3387">
        <v>3370</v>
      </c>
      <c r="B3387" s="100">
        <v>88.802191898982827</v>
      </c>
      <c r="C3387" s="100">
        <v>98.872886751112659</v>
      </c>
      <c r="D3387" s="100">
        <v>92.064709975735909</v>
      </c>
      <c r="E3387" s="100">
        <v>94.703372321009681</v>
      </c>
      <c r="F3387" s="100">
        <v>2479.783337066202</v>
      </c>
      <c r="G3387" s="100">
        <v>-994.49586672581347</v>
      </c>
      <c r="H3387" s="100">
        <v>1502.7402595013939</v>
      </c>
      <c r="I3387" s="100">
        <v>-1322.7326663084541</v>
      </c>
      <c r="J3387" s="100">
        <v>1665.2950635333282</v>
      </c>
    </row>
    <row r="3388" spans="1:10" x14ac:dyDescent="0.25">
      <c r="A3388">
        <v>3371</v>
      </c>
      <c r="B3388" s="100">
        <v>89.438092877869167</v>
      </c>
      <c r="C3388" s="100">
        <v>98.96848792840548</v>
      </c>
      <c r="D3388" s="100">
        <v>91.699412967494396</v>
      </c>
      <c r="E3388" s="100">
        <v>91.051016631816296</v>
      </c>
      <c r="F3388" s="100">
        <v>381.31010674127879</v>
      </c>
      <c r="G3388" s="100">
        <v>-1137.8976326650445</v>
      </c>
      <c r="H3388" s="100">
        <v>2233.3342759844186</v>
      </c>
      <c r="I3388" s="100">
        <v>2329.6230228849308</v>
      </c>
      <c r="J3388" s="100">
        <v>3806.3697729455835</v>
      </c>
    </row>
    <row r="3389" spans="1:10" x14ac:dyDescent="0.25">
      <c r="A3389">
        <v>3372</v>
      </c>
      <c r="B3389" s="100">
        <v>89.325486535967485</v>
      </c>
      <c r="C3389" s="100">
        <v>100.42831246788892</v>
      </c>
      <c r="D3389" s="100">
        <v>91.404733668376693</v>
      </c>
      <c r="E3389" s="100">
        <v>91.485031260209894</v>
      </c>
      <c r="F3389" s="100">
        <v>752.91103501682812</v>
      </c>
      <c r="G3389" s="100">
        <v>-3327.6344418901972</v>
      </c>
      <c r="H3389" s="100">
        <v>2822.6928742198252</v>
      </c>
      <c r="I3389" s="100">
        <v>1895.608394491333</v>
      </c>
      <c r="J3389" s="100">
        <v>2143.577861837789</v>
      </c>
    </row>
    <row r="3390" spans="1:10" x14ac:dyDescent="0.25">
      <c r="A3390">
        <v>3373</v>
      </c>
      <c r="B3390" s="100">
        <v>89.719271731316937</v>
      </c>
      <c r="C3390" s="100">
        <v>97.695612140052518</v>
      </c>
      <c r="D3390" s="100">
        <v>93.596085348150481</v>
      </c>
      <c r="E3390" s="100">
        <v>89.35819997718022</v>
      </c>
      <c r="F3390" s="100">
        <v>-546.58010963636207</v>
      </c>
      <c r="G3390" s="100">
        <v>771.41604986439916</v>
      </c>
      <c r="H3390" s="100">
        <v>-1560.0104853277514</v>
      </c>
      <c r="I3390" s="100">
        <v>4022.4396775210066</v>
      </c>
      <c r="J3390" s="100">
        <v>2687.265132421292</v>
      </c>
    </row>
    <row r="3391" spans="1:10" x14ac:dyDescent="0.25">
      <c r="A3391">
        <v>3374</v>
      </c>
      <c r="B3391" s="100">
        <v>89.255170822337348</v>
      </c>
      <c r="C3391" s="100">
        <v>98.388809350507969</v>
      </c>
      <c r="D3391" s="100">
        <v>92.257707749746501</v>
      </c>
      <c r="E3391" s="100">
        <v>91.712079830112216</v>
      </c>
      <c r="F3391" s="100">
        <v>984.95288999628065</v>
      </c>
      <c r="G3391" s="100">
        <v>-268.37976581877854</v>
      </c>
      <c r="H3391" s="100">
        <v>1116.7447114802087</v>
      </c>
      <c r="I3391" s="100">
        <v>1668.5598245890105</v>
      </c>
      <c r="J3391" s="100">
        <v>3501.8776602467215</v>
      </c>
    </row>
    <row r="3392" spans="1:10" x14ac:dyDescent="0.25">
      <c r="A3392">
        <v>3375</v>
      </c>
      <c r="B3392" s="100">
        <v>89.158905265062685</v>
      </c>
      <c r="C3392" s="100">
        <v>98.054456183987099</v>
      </c>
      <c r="D3392" s="100">
        <v>91.714974288327326</v>
      </c>
      <c r="E3392" s="100">
        <v>94.317095308096498</v>
      </c>
      <c r="F3392" s="100">
        <v>1302.6292290026674</v>
      </c>
      <c r="G3392" s="100">
        <v>233.14998396252662</v>
      </c>
      <c r="H3392" s="100">
        <v>2202.2116343185589</v>
      </c>
      <c r="I3392" s="100">
        <v>-936.45565339527082</v>
      </c>
      <c r="J3392" s="100">
        <v>2801.5351938884824</v>
      </c>
    </row>
    <row r="3393" spans="1:10" x14ac:dyDescent="0.25">
      <c r="A3393">
        <v>3376</v>
      </c>
      <c r="B3393" s="100">
        <v>89.437311899012414</v>
      </c>
      <c r="C3393" s="100">
        <v>99.627235834581569</v>
      </c>
      <c r="D3393" s="100">
        <v>93.556437734098722</v>
      </c>
      <c r="E3393" s="100">
        <v>94.002319540155</v>
      </c>
      <c r="F3393" s="100">
        <v>383.88733696856292</v>
      </c>
      <c r="G3393" s="100">
        <v>-2126.0194919291775</v>
      </c>
      <c r="H3393" s="100">
        <v>-1480.715257224233</v>
      </c>
      <c r="I3393" s="100">
        <v>-621.67988545377284</v>
      </c>
      <c r="J3393" s="100">
        <v>-3844.5272976386204</v>
      </c>
    </row>
    <row r="3394" spans="1:10" x14ac:dyDescent="0.25">
      <c r="A3394">
        <v>3377</v>
      </c>
      <c r="B3394" s="100">
        <v>88.723046316528766</v>
      </c>
      <c r="C3394" s="100">
        <v>98.22863577216512</v>
      </c>
      <c r="D3394" s="100">
        <v>93.488795873461527</v>
      </c>
      <c r="E3394" s="100">
        <v>93.793304827641578</v>
      </c>
      <c r="F3394" s="100">
        <v>2740.9637591646019</v>
      </c>
      <c r="G3394" s="100">
        <v>-28.119398304504273</v>
      </c>
      <c r="H3394" s="100">
        <v>-1345.4315359498423</v>
      </c>
      <c r="I3394" s="100">
        <v>-412.66517294035054</v>
      </c>
      <c r="J3394" s="100">
        <v>954.74765196990495</v>
      </c>
    </row>
    <row r="3395" spans="1:10" x14ac:dyDescent="0.25">
      <c r="A3395">
        <v>3378</v>
      </c>
      <c r="B3395" s="100">
        <v>89.670936773265893</v>
      </c>
      <c r="C3395" s="100">
        <v>97.236062917155408</v>
      </c>
      <c r="D3395" s="100">
        <v>91.561227823445918</v>
      </c>
      <c r="E3395" s="100">
        <v>93.074738648708447</v>
      </c>
      <c r="F3395" s="100">
        <v>-387.07474806791851</v>
      </c>
      <c r="G3395" s="100">
        <v>1460.7398842100636</v>
      </c>
      <c r="H3395" s="100">
        <v>2509.7045640813749</v>
      </c>
      <c r="I3395" s="100">
        <v>305.90100599278003</v>
      </c>
      <c r="J3395" s="100">
        <v>3889.2707062162999</v>
      </c>
    </row>
    <row r="3396" spans="1:10" x14ac:dyDescent="0.25">
      <c r="A3396">
        <v>3379</v>
      </c>
      <c r="B3396" s="100">
        <v>89.427131185025331</v>
      </c>
      <c r="C3396" s="100">
        <v>97.389303901278879</v>
      </c>
      <c r="D3396" s="100">
        <v>91.423194151133885</v>
      </c>
      <c r="E3396" s="100">
        <v>94.683278793861874</v>
      </c>
      <c r="F3396" s="100">
        <v>417.48369312593638</v>
      </c>
      <c r="G3396" s="100">
        <v>1230.8784080248572</v>
      </c>
      <c r="H3396" s="100">
        <v>2785.771908705442</v>
      </c>
      <c r="I3396" s="100">
        <v>-1302.6391391606467</v>
      </c>
      <c r="J3396" s="100">
        <v>3131.4948706955893</v>
      </c>
    </row>
    <row r="3397" spans="1:10" x14ac:dyDescent="0.25">
      <c r="A3397">
        <v>3380</v>
      </c>
      <c r="B3397" s="100">
        <v>89.43235758448688</v>
      </c>
      <c r="C3397" s="100">
        <v>99.68222224987494</v>
      </c>
      <c r="D3397" s="100">
        <v>92.799125830526421</v>
      </c>
      <c r="E3397" s="100">
        <v>92.782632850033224</v>
      </c>
      <c r="F3397" s="100">
        <v>400.23657490282574</v>
      </c>
      <c r="G3397" s="100">
        <v>-2208.4991148692338</v>
      </c>
      <c r="H3397" s="100">
        <v>33.908549920369069</v>
      </c>
      <c r="I3397" s="100">
        <v>598.00680466800316</v>
      </c>
      <c r="J3397" s="100">
        <v>-1176.3471853780356</v>
      </c>
    </row>
    <row r="3398" spans="1:10" x14ac:dyDescent="0.25">
      <c r="A3398">
        <v>3381</v>
      </c>
      <c r="B3398" s="100">
        <v>89.801502059254688</v>
      </c>
      <c r="C3398" s="100">
        <v>96.972486954674082</v>
      </c>
      <c r="D3398" s="100">
        <v>91.329765166598449</v>
      </c>
      <c r="E3398" s="100">
        <v>90.43644856542997</v>
      </c>
      <c r="F3398" s="100">
        <v>-817.94019183093951</v>
      </c>
      <c r="G3398" s="100">
        <v>1856.1038279320528</v>
      </c>
      <c r="H3398" s="100">
        <v>2972.6298777763132</v>
      </c>
      <c r="I3398" s="100">
        <v>2944.1910892712572</v>
      </c>
      <c r="J3398" s="100">
        <v>6954.9846031486832</v>
      </c>
    </row>
    <row r="3399" spans="1:10" x14ac:dyDescent="0.25">
      <c r="A3399">
        <v>3382</v>
      </c>
      <c r="B3399" s="100">
        <v>90.732031290972486</v>
      </c>
      <c r="C3399" s="100">
        <v>97.979368726673073</v>
      </c>
      <c r="D3399" s="100">
        <v>92.3931261476271</v>
      </c>
      <c r="E3399" s="100">
        <v>94.546104331602763</v>
      </c>
      <c r="F3399" s="100">
        <v>-3888.6866564996753</v>
      </c>
      <c r="G3399" s="100">
        <v>345.78116993356645</v>
      </c>
      <c r="H3399" s="100">
        <v>845.90791571901036</v>
      </c>
      <c r="I3399" s="100">
        <v>-1165.4646769015358</v>
      </c>
      <c r="J3399" s="100">
        <v>-3862.4622477486341</v>
      </c>
    </row>
    <row r="3400" spans="1:10" x14ac:dyDescent="0.25">
      <c r="A3400">
        <v>3383</v>
      </c>
      <c r="B3400" s="100">
        <v>89.817179222168832</v>
      </c>
      <c r="C3400" s="100">
        <v>99.145587077419492</v>
      </c>
      <c r="D3400" s="100">
        <v>92.326741788623266</v>
      </c>
      <c r="E3400" s="100">
        <v>93.011348799808772</v>
      </c>
      <c r="F3400" s="100">
        <v>-869.6748294476165</v>
      </c>
      <c r="G3400" s="100">
        <v>-1403.5463561860624</v>
      </c>
      <c r="H3400" s="100">
        <v>978.67663372667835</v>
      </c>
      <c r="I3400" s="100">
        <v>369.29085489245495</v>
      </c>
      <c r="J3400" s="100">
        <v>-925.25369701454565</v>
      </c>
    </row>
    <row r="3401" spans="1:10" x14ac:dyDescent="0.25">
      <c r="A3401">
        <v>3384</v>
      </c>
      <c r="B3401" s="100">
        <v>89.020703448891837</v>
      </c>
      <c r="C3401" s="100">
        <v>98.885303524812215</v>
      </c>
      <c r="D3401" s="100">
        <v>92.804636084126628</v>
      </c>
      <c r="E3401" s="100">
        <v>93.078995857116197</v>
      </c>
      <c r="F3401" s="100">
        <v>1758.6952223664682</v>
      </c>
      <c r="G3401" s="100">
        <v>-1013.1210272751474</v>
      </c>
      <c r="H3401" s="100">
        <v>22.888042719955592</v>
      </c>
      <c r="I3401" s="100">
        <v>301.64379758502946</v>
      </c>
      <c r="J3401" s="100">
        <v>1070.1060353963057</v>
      </c>
    </row>
    <row r="3402" spans="1:10" x14ac:dyDescent="0.25">
      <c r="A3402">
        <v>3385</v>
      </c>
      <c r="B3402" s="100">
        <v>91.018057555610525</v>
      </c>
      <c r="C3402" s="100">
        <v>98.412980205580325</v>
      </c>
      <c r="D3402" s="100">
        <v>92.920728535720556</v>
      </c>
      <c r="E3402" s="100">
        <v>94.225405692899827</v>
      </c>
      <c r="F3402" s="100">
        <v>-4832.5733298052046</v>
      </c>
      <c r="G3402" s="100">
        <v>-304.63604842731229</v>
      </c>
      <c r="H3402" s="100">
        <v>-209.29686046790152</v>
      </c>
      <c r="I3402" s="100">
        <v>-844.76603819859974</v>
      </c>
      <c r="J3402" s="100">
        <v>-6191.2722768990188</v>
      </c>
    </row>
    <row r="3403" spans="1:10" x14ac:dyDescent="0.25">
      <c r="A3403">
        <v>3386</v>
      </c>
      <c r="B3403" s="100">
        <v>89.21787822581345</v>
      </c>
      <c r="C3403" s="100">
        <v>97.499367189733817</v>
      </c>
      <c r="D3403" s="100">
        <v>91.29081987213219</v>
      </c>
      <c r="E3403" s="100">
        <v>94.341718726928079</v>
      </c>
      <c r="F3403" s="100">
        <v>1108.0184585251432</v>
      </c>
      <c r="G3403" s="100">
        <v>1065.7834753424495</v>
      </c>
      <c r="H3403" s="100">
        <v>3050.5204667088319</v>
      </c>
      <c r="I3403" s="100">
        <v>-961.07907222685185</v>
      </c>
      <c r="J3403" s="100">
        <v>4263.243328349572</v>
      </c>
    </row>
    <row r="3404" spans="1:10" x14ac:dyDescent="0.25">
      <c r="A3404">
        <v>3387</v>
      </c>
      <c r="B3404" s="100">
        <v>89.955532048667934</v>
      </c>
      <c r="C3404" s="100">
        <v>98.00577626598087</v>
      </c>
      <c r="D3404" s="100">
        <v>92.062670575785873</v>
      </c>
      <c r="E3404" s="100">
        <v>92.520729760422086</v>
      </c>
      <c r="F3404" s="100">
        <v>-1326.2391568946512</v>
      </c>
      <c r="G3404" s="100">
        <v>306.16986097187038</v>
      </c>
      <c r="H3404" s="100">
        <v>1506.8190594014652</v>
      </c>
      <c r="I3404" s="100">
        <v>859.90989427914144</v>
      </c>
      <c r="J3404" s="100">
        <v>1346.6596577578257</v>
      </c>
    </row>
    <row r="3405" spans="1:10" x14ac:dyDescent="0.25">
      <c r="A3405">
        <v>3388</v>
      </c>
      <c r="B3405" s="100">
        <v>89.644564814552155</v>
      </c>
      <c r="C3405" s="100">
        <v>98.151836711362819</v>
      </c>
      <c r="D3405" s="100">
        <v>92.822671761148555</v>
      </c>
      <c r="E3405" s="100">
        <v>93.895913726301288</v>
      </c>
      <c r="F3405" s="100">
        <v>-300.04728431258059</v>
      </c>
      <c r="G3405" s="100">
        <v>87.079192898947611</v>
      </c>
      <c r="H3405" s="100">
        <v>-13.183311323899716</v>
      </c>
      <c r="I3405" s="100">
        <v>-515.27407160006078</v>
      </c>
      <c r="J3405" s="100">
        <v>-741.42547433759341</v>
      </c>
    </row>
    <row r="3406" spans="1:10" x14ac:dyDescent="0.25">
      <c r="A3406">
        <v>3389</v>
      </c>
      <c r="B3406" s="100">
        <v>88.817825668102444</v>
      </c>
      <c r="C3406" s="100">
        <v>98.855812446846514</v>
      </c>
      <c r="D3406" s="100">
        <v>93.658411792088884</v>
      </c>
      <c r="E3406" s="100">
        <v>93.523768415094537</v>
      </c>
      <c r="F3406" s="100">
        <v>2428.1918989714654</v>
      </c>
      <c r="G3406" s="100">
        <v>-968.884410326595</v>
      </c>
      <c r="H3406" s="100">
        <v>-1684.6633732045575</v>
      </c>
      <c r="I3406" s="100">
        <v>-143.12876039331002</v>
      </c>
      <c r="J3406" s="100">
        <v>-368.4846449529972</v>
      </c>
    </row>
    <row r="3407" spans="1:10" x14ac:dyDescent="0.25">
      <c r="A3407">
        <v>3390</v>
      </c>
      <c r="B3407" s="100">
        <v>90.941024196219104</v>
      </c>
      <c r="C3407" s="100">
        <v>96.904458974838718</v>
      </c>
      <c r="D3407" s="100">
        <v>92.588257484057308</v>
      </c>
      <c r="E3407" s="100">
        <v>95.611110988941391</v>
      </c>
      <c r="F3407" s="100">
        <v>-4578.3632438135128</v>
      </c>
      <c r="G3407" s="100">
        <v>1958.1457976850984</v>
      </c>
      <c r="H3407" s="100">
        <v>455.6452428585942</v>
      </c>
      <c r="I3407" s="100">
        <v>-2230.4713342401642</v>
      </c>
      <c r="J3407" s="100">
        <v>-4395.0435375099842</v>
      </c>
    </row>
    <row r="3408" spans="1:10" x14ac:dyDescent="0.25">
      <c r="A3408">
        <v>3391</v>
      </c>
      <c r="B3408" s="100">
        <v>89.332882855080868</v>
      </c>
      <c r="C3408" s="100">
        <v>96.8530740202023</v>
      </c>
      <c r="D3408" s="100">
        <v>92.17852952306346</v>
      </c>
      <c r="E3408" s="100">
        <v>93.790431840872756</v>
      </c>
      <c r="F3408" s="100">
        <v>728.50318194266492</v>
      </c>
      <c r="G3408" s="100">
        <v>2035.223229639726</v>
      </c>
      <c r="H3408" s="100">
        <v>1275.1011648462907</v>
      </c>
      <c r="I3408" s="100">
        <v>-409.79218617152924</v>
      </c>
      <c r="J3408" s="100">
        <v>3629.0353902571524</v>
      </c>
    </row>
    <row r="3409" spans="1:10" x14ac:dyDescent="0.25">
      <c r="A3409">
        <v>3392</v>
      </c>
      <c r="B3409" s="100">
        <v>89.772216918209608</v>
      </c>
      <c r="C3409" s="100">
        <v>97.038813774119745</v>
      </c>
      <c r="D3409" s="100">
        <v>93.412216872168216</v>
      </c>
      <c r="E3409" s="100">
        <v>95.000477501616373</v>
      </c>
      <c r="F3409" s="100">
        <v>-721.29922638217749</v>
      </c>
      <c r="G3409" s="100">
        <v>1756.6135987635575</v>
      </c>
      <c r="H3409" s="100">
        <v>-1192.2735333632204</v>
      </c>
      <c r="I3409" s="100">
        <v>-1619.8378469151464</v>
      </c>
      <c r="J3409" s="100">
        <v>-1776.7970078969868</v>
      </c>
    </row>
    <row r="3410" spans="1:10" x14ac:dyDescent="0.25">
      <c r="A3410">
        <v>3393</v>
      </c>
      <c r="B3410" s="100">
        <v>90.399763350869975</v>
      </c>
      <c r="C3410" s="100">
        <v>98.999653694110251</v>
      </c>
      <c r="D3410" s="100">
        <v>92.882688953979738</v>
      </c>
      <c r="E3410" s="100">
        <v>95.034456532036401</v>
      </c>
      <c r="F3410" s="100">
        <v>-2792.2024541613878</v>
      </c>
      <c r="G3410" s="100">
        <v>-1184.6462812222001</v>
      </c>
      <c r="H3410" s="100">
        <v>-133.2176969862644</v>
      </c>
      <c r="I3410" s="100">
        <v>-1653.8168773351742</v>
      </c>
      <c r="J3410" s="100">
        <v>-5763.8833097050274</v>
      </c>
    </row>
    <row r="3411" spans="1:10" x14ac:dyDescent="0.25">
      <c r="A3411">
        <v>3394</v>
      </c>
      <c r="B3411" s="100">
        <v>89.575579386848148</v>
      </c>
      <c r="C3411" s="100">
        <v>98.121153290204489</v>
      </c>
      <c r="D3411" s="100">
        <v>91.146250543388959</v>
      </c>
      <c r="E3411" s="100">
        <v>96.753697009167837</v>
      </c>
      <c r="F3411" s="100">
        <v>-72.395372889357645</v>
      </c>
      <c r="G3411" s="100">
        <v>133.10432463644162</v>
      </c>
      <c r="H3411" s="100">
        <v>3339.6591241952933</v>
      </c>
      <c r="I3411" s="100">
        <v>-3373.0573544666099</v>
      </c>
      <c r="J3411" s="100">
        <v>27.310721475767423</v>
      </c>
    </row>
    <row r="3412" spans="1:10" x14ac:dyDescent="0.25">
      <c r="A3412">
        <v>3395</v>
      </c>
      <c r="B3412" s="100">
        <v>89.489350356633452</v>
      </c>
      <c r="C3412" s="100">
        <v>97.928524682026875</v>
      </c>
      <c r="D3412" s="100">
        <v>92.540078455260229</v>
      </c>
      <c r="E3412" s="100">
        <v>87.906199340320001</v>
      </c>
      <c r="F3412" s="100">
        <v>212.16042681913905</v>
      </c>
      <c r="G3412" s="100">
        <v>422.04723690286272</v>
      </c>
      <c r="H3412" s="100">
        <v>552.00330045275336</v>
      </c>
      <c r="I3412" s="100">
        <v>5474.440314381226</v>
      </c>
      <c r="J3412" s="100">
        <v>6660.6512785559808</v>
      </c>
    </row>
    <row r="3413" spans="1:10" x14ac:dyDescent="0.25">
      <c r="A3413">
        <v>3396</v>
      </c>
      <c r="B3413" s="100">
        <v>89.224796360484774</v>
      </c>
      <c r="C3413" s="100">
        <v>98.695683446893128</v>
      </c>
      <c r="D3413" s="100">
        <v>93.212452879373458</v>
      </c>
      <c r="E3413" s="100">
        <v>94.772847062576972</v>
      </c>
      <c r="F3413" s="100">
        <v>1085.188614109775</v>
      </c>
      <c r="G3413" s="100">
        <v>-728.69091039651585</v>
      </c>
      <c r="H3413" s="100">
        <v>-792.74554777370554</v>
      </c>
      <c r="I3413" s="100">
        <v>-1392.2074078757446</v>
      </c>
      <c r="J3413" s="100">
        <v>-1828.455251936191</v>
      </c>
    </row>
    <row r="3414" spans="1:10" x14ac:dyDescent="0.25">
      <c r="A3414">
        <v>3397</v>
      </c>
      <c r="B3414" s="100">
        <v>89.210768615584072</v>
      </c>
      <c r="C3414" s="100">
        <v>99.098196592535842</v>
      </c>
      <c r="D3414" s="100">
        <v>90.635929005501993</v>
      </c>
      <c r="E3414" s="100">
        <v>93.247854548440287</v>
      </c>
      <c r="F3414" s="100">
        <v>1131.4801722820903</v>
      </c>
      <c r="G3414" s="100">
        <v>-1332.4606288605878</v>
      </c>
      <c r="H3414" s="100">
        <v>4360.3021999692264</v>
      </c>
      <c r="I3414" s="100">
        <v>132.78510626093976</v>
      </c>
      <c r="J3414" s="100">
        <v>4292.1068496516682</v>
      </c>
    </row>
    <row r="3415" spans="1:10" x14ac:dyDescent="0.25">
      <c r="A3415">
        <v>3398</v>
      </c>
      <c r="B3415" s="100">
        <v>89.784055062374236</v>
      </c>
      <c r="C3415" s="100">
        <v>97.605708875531377</v>
      </c>
      <c r="D3415" s="100">
        <v>91.970556381455424</v>
      </c>
      <c r="E3415" s="100">
        <v>93.044429304751716</v>
      </c>
      <c r="F3415" s="100">
        <v>-760.36510212544931</v>
      </c>
      <c r="G3415" s="100">
        <v>906.27094664611013</v>
      </c>
      <c r="H3415" s="100">
        <v>1691.0474480623634</v>
      </c>
      <c r="I3415" s="100">
        <v>336.2103499495106</v>
      </c>
      <c r="J3415" s="100">
        <v>2173.1636425325351</v>
      </c>
    </row>
    <row r="3416" spans="1:10" x14ac:dyDescent="0.25">
      <c r="A3416">
        <v>3399</v>
      </c>
      <c r="B3416" s="100">
        <v>88.96873345346134</v>
      </c>
      <c r="C3416" s="100">
        <v>99.7699903460272</v>
      </c>
      <c r="D3416" s="100">
        <v>91.775750530468997</v>
      </c>
      <c r="E3416" s="100">
        <v>92.787489317603459</v>
      </c>
      <c r="F3416" s="100">
        <v>1930.1962072871079</v>
      </c>
      <c r="G3416" s="100">
        <v>-2340.151259097624</v>
      </c>
      <c r="H3416" s="100">
        <v>2080.659150035217</v>
      </c>
      <c r="I3416" s="100">
        <v>593.15033709776799</v>
      </c>
      <c r="J3416" s="100">
        <v>2263.8544353224688</v>
      </c>
    </row>
    <row r="3417" spans="1:10" x14ac:dyDescent="0.25">
      <c r="A3417">
        <v>3400</v>
      </c>
      <c r="B3417" s="100">
        <v>89.817548022358778</v>
      </c>
      <c r="C3417" s="100">
        <v>97.980229563687359</v>
      </c>
      <c r="D3417" s="100">
        <v>91.148047350730707</v>
      </c>
      <c r="E3417" s="100">
        <v>93.457973722483644</v>
      </c>
      <c r="F3417" s="100">
        <v>-870.89187007443911</v>
      </c>
      <c r="G3417" s="100">
        <v>344.4899144121365</v>
      </c>
      <c r="H3417" s="100">
        <v>3336.0655095117977</v>
      </c>
      <c r="I3417" s="100">
        <v>-77.334067782416582</v>
      </c>
      <c r="J3417" s="100">
        <v>2732.3294860670785</v>
      </c>
    </row>
    <row r="3418" spans="1:10" x14ac:dyDescent="0.25">
      <c r="A3418">
        <v>3401</v>
      </c>
      <c r="B3418" s="100">
        <v>89.273649380016394</v>
      </c>
      <c r="C3418" s="100">
        <v>99.025237254165219</v>
      </c>
      <c r="D3418" s="100">
        <v>92.21208418270902</v>
      </c>
      <c r="E3418" s="100">
        <v>93.475500367172515</v>
      </c>
      <c r="F3418" s="100">
        <v>923.97364965542863</v>
      </c>
      <c r="G3418" s="100">
        <v>-1223.0216213046533</v>
      </c>
      <c r="H3418" s="100">
        <v>1207.9918455551706</v>
      </c>
      <c r="I3418" s="100">
        <v>-94.860712471287911</v>
      </c>
      <c r="J3418" s="100">
        <v>814.083161434658</v>
      </c>
    </row>
    <row r="3419" spans="1:10" x14ac:dyDescent="0.25">
      <c r="A3419">
        <v>3402</v>
      </c>
      <c r="B3419" s="100">
        <v>89.421438927308145</v>
      </c>
      <c r="C3419" s="100">
        <v>97.295179240183089</v>
      </c>
      <c r="D3419" s="100">
        <v>93.016005187225517</v>
      </c>
      <c r="E3419" s="100">
        <v>94.619403534511918</v>
      </c>
      <c r="F3419" s="100">
        <v>436.2681435926504</v>
      </c>
      <c r="G3419" s="100">
        <v>1372.0653996685428</v>
      </c>
      <c r="H3419" s="100">
        <v>-399.85016347782221</v>
      </c>
      <c r="I3419" s="100">
        <v>-1238.7638798106905</v>
      </c>
      <c r="J3419" s="100">
        <v>169.71949997268052</v>
      </c>
    </row>
    <row r="3420" spans="1:10" x14ac:dyDescent="0.25">
      <c r="A3420">
        <v>3403</v>
      </c>
      <c r="B3420" s="100">
        <v>89.204755261955498</v>
      </c>
      <c r="C3420" s="100">
        <v>97.685233390138848</v>
      </c>
      <c r="D3420" s="100">
        <v>92.365622582466017</v>
      </c>
      <c r="E3420" s="100">
        <v>96.740975037436371</v>
      </c>
      <c r="F3420" s="100">
        <v>1151.3242392563868</v>
      </c>
      <c r="G3420" s="100">
        <v>786.98417473490417</v>
      </c>
      <c r="H3420" s="100">
        <v>900.91504604117745</v>
      </c>
      <c r="I3420" s="100">
        <v>-3360.3353827351439</v>
      </c>
      <c r="J3420" s="100">
        <v>-521.11192270267566</v>
      </c>
    </row>
    <row r="3421" spans="1:10" x14ac:dyDescent="0.25">
      <c r="A3421">
        <v>3404</v>
      </c>
      <c r="B3421" s="100">
        <v>89.719800810058771</v>
      </c>
      <c r="C3421" s="100">
        <v>97.324087063625115</v>
      </c>
      <c r="D3421" s="100">
        <v>91.413496839046275</v>
      </c>
      <c r="E3421" s="100">
        <v>92.156938913194722</v>
      </c>
      <c r="F3421" s="100">
        <v>-548.32606948441617</v>
      </c>
      <c r="G3421" s="100">
        <v>1328.7036645055039</v>
      </c>
      <c r="H3421" s="100">
        <v>2805.1665328806621</v>
      </c>
      <c r="I3421" s="100">
        <v>1223.700741506505</v>
      </c>
      <c r="J3421" s="100">
        <v>4809.2448694082541</v>
      </c>
    </row>
    <row r="3422" spans="1:10" x14ac:dyDescent="0.25">
      <c r="A3422">
        <v>3405</v>
      </c>
      <c r="B3422" s="100">
        <v>89.429843425479291</v>
      </c>
      <c r="C3422" s="100">
        <v>97.435401959955087</v>
      </c>
      <c r="D3422" s="100">
        <v>91.470293910860846</v>
      </c>
      <c r="E3422" s="100">
        <v>92.654521069978259</v>
      </c>
      <c r="F3422" s="100">
        <v>408.53329962786944</v>
      </c>
      <c r="G3422" s="100">
        <v>1161.7313200105457</v>
      </c>
      <c r="H3422" s="100">
        <v>2691.5723892515189</v>
      </c>
      <c r="I3422" s="100">
        <v>726.11858472296831</v>
      </c>
      <c r="J3422" s="100">
        <v>4987.9555936129018</v>
      </c>
    </row>
    <row r="3423" spans="1:10" x14ac:dyDescent="0.25">
      <c r="A3423">
        <v>3406</v>
      </c>
      <c r="B3423" s="100">
        <v>90.215479617593601</v>
      </c>
      <c r="C3423" s="100">
        <v>98.564746107483757</v>
      </c>
      <c r="D3423" s="100">
        <v>95.740451460785508</v>
      </c>
      <c r="E3423" s="100">
        <v>92.785178425597564</v>
      </c>
      <c r="F3423" s="100">
        <v>-2184.0661343493553</v>
      </c>
      <c r="G3423" s="100">
        <v>-532.28490128245903</v>
      </c>
      <c r="H3423" s="100">
        <v>-5848.742710597804</v>
      </c>
      <c r="I3423" s="100">
        <v>595.4612291036625</v>
      </c>
      <c r="J3423" s="100">
        <v>-7969.6325171259559</v>
      </c>
    </row>
    <row r="3424" spans="1:10" x14ac:dyDescent="0.25">
      <c r="A3424">
        <v>3407</v>
      </c>
      <c r="B3424" s="100">
        <v>88.968074234458484</v>
      </c>
      <c r="C3424" s="100">
        <v>99.748496887578327</v>
      </c>
      <c r="D3424" s="100">
        <v>93.031205819267981</v>
      </c>
      <c r="E3424" s="100">
        <v>92.119555059993601</v>
      </c>
      <c r="F3424" s="100">
        <v>1932.3716299965313</v>
      </c>
      <c r="G3424" s="100">
        <v>-2307.9110714243143</v>
      </c>
      <c r="H3424" s="100">
        <v>-430.25142756275159</v>
      </c>
      <c r="I3424" s="100">
        <v>1261.0845947076257</v>
      </c>
      <c r="J3424" s="100">
        <v>455.29372571709109</v>
      </c>
    </row>
    <row r="3425" spans="1:10" x14ac:dyDescent="0.25">
      <c r="A3425">
        <v>3408</v>
      </c>
      <c r="B3425" s="100">
        <v>89.92483540335914</v>
      </c>
      <c r="C3425" s="100">
        <v>98.930235286457489</v>
      </c>
      <c r="D3425" s="100">
        <v>93.295981630904762</v>
      </c>
      <c r="E3425" s="100">
        <v>90.228609529979806</v>
      </c>
      <c r="F3425" s="100">
        <v>-1224.9402273756318</v>
      </c>
      <c r="G3425" s="100">
        <v>-1080.5186697430572</v>
      </c>
      <c r="H3425" s="100">
        <v>-959.80305083631379</v>
      </c>
      <c r="I3425" s="100">
        <v>3152.0301247214206</v>
      </c>
      <c r="J3425" s="100">
        <v>-113.23182323358242</v>
      </c>
    </row>
    <row r="3426" spans="1:10" x14ac:dyDescent="0.25">
      <c r="A3426">
        <v>3409</v>
      </c>
      <c r="B3426" s="100">
        <v>89.418712864421934</v>
      </c>
      <c r="C3426" s="100">
        <v>97.886155878047063</v>
      </c>
      <c r="D3426" s="100">
        <v>92.077411654839139</v>
      </c>
      <c r="E3426" s="100">
        <v>94.638557039499361</v>
      </c>
      <c r="F3426" s="100">
        <v>445.26415111714641</v>
      </c>
      <c r="G3426" s="100">
        <v>485.60044287258108</v>
      </c>
      <c r="H3426" s="100">
        <v>1477.3369012949331</v>
      </c>
      <c r="I3426" s="100">
        <v>-1257.9173847981338</v>
      </c>
      <c r="J3426" s="100">
        <v>1150.284110486527</v>
      </c>
    </row>
    <row r="3427" spans="1:10" x14ac:dyDescent="0.25">
      <c r="A3427">
        <v>3410</v>
      </c>
      <c r="B3427" s="100">
        <v>89.585570286934143</v>
      </c>
      <c r="C3427" s="100">
        <v>98.791289463001576</v>
      </c>
      <c r="D3427" s="100">
        <v>96.2203742674876</v>
      </c>
      <c r="E3427" s="100">
        <v>91.602972957153412</v>
      </c>
      <c r="F3427" s="100">
        <v>-105.36534317314192</v>
      </c>
      <c r="G3427" s="100">
        <v>-872.09993455918777</v>
      </c>
      <c r="H3427" s="100">
        <v>-6808.5883240019884</v>
      </c>
      <c r="I3427" s="100">
        <v>1777.6666975478151</v>
      </c>
      <c r="J3427" s="100">
        <v>-6008.3869041865037</v>
      </c>
    </row>
    <row r="3428" spans="1:10" x14ac:dyDescent="0.25">
      <c r="A3428">
        <v>3411</v>
      </c>
      <c r="B3428" s="100">
        <v>89.21077935912254</v>
      </c>
      <c r="C3428" s="100">
        <v>97.907478107564927</v>
      </c>
      <c r="D3428" s="100">
        <v>92.292709181746943</v>
      </c>
      <c r="E3428" s="100">
        <v>93.187994242648259</v>
      </c>
      <c r="F3428" s="100">
        <v>1131.4447186051466</v>
      </c>
      <c r="G3428" s="100">
        <v>453.61709859578525</v>
      </c>
      <c r="H3428" s="100">
        <v>1046.7418474793249</v>
      </c>
      <c r="I3428" s="100">
        <v>192.64541205296837</v>
      </c>
      <c r="J3428" s="100">
        <v>2824.449076733225</v>
      </c>
    </row>
    <row r="3429" spans="1:10" x14ac:dyDescent="0.25">
      <c r="A3429">
        <v>3412</v>
      </c>
      <c r="B3429" s="100">
        <v>89.864608773882011</v>
      </c>
      <c r="C3429" s="100">
        <v>98.267430528437202</v>
      </c>
      <c r="D3429" s="100">
        <v>91.426621234266719</v>
      </c>
      <c r="E3429" s="100">
        <v>92.928920372957975</v>
      </c>
      <c r="F3429" s="100">
        <v>-1026.1923501011083</v>
      </c>
      <c r="G3429" s="100">
        <v>-86.311532712628036</v>
      </c>
      <c r="H3429" s="100">
        <v>2778.9177424397735</v>
      </c>
      <c r="I3429" s="100">
        <v>451.7192817432516</v>
      </c>
      <c r="J3429" s="100">
        <v>2118.1331413692888</v>
      </c>
    </row>
    <row r="3430" spans="1:10" x14ac:dyDescent="0.25">
      <c r="A3430">
        <v>3413</v>
      </c>
      <c r="B3430" s="100">
        <v>89.615368293266627</v>
      </c>
      <c r="C3430" s="100">
        <v>97.422483643790386</v>
      </c>
      <c r="D3430" s="100">
        <v>92.488786635050786</v>
      </c>
      <c r="E3430" s="100">
        <v>90.220400739226775</v>
      </c>
      <c r="F3430" s="100">
        <v>-203.69876407034013</v>
      </c>
      <c r="G3430" s="100">
        <v>1181.1087942575966</v>
      </c>
      <c r="H3430" s="100">
        <v>654.58694087163849</v>
      </c>
      <c r="I3430" s="100">
        <v>3160.2389154744515</v>
      </c>
      <c r="J3430" s="100">
        <v>4792.2358865333463</v>
      </c>
    </row>
    <row r="3431" spans="1:10" x14ac:dyDescent="0.25">
      <c r="A3431">
        <v>3414</v>
      </c>
      <c r="B3431" s="100">
        <v>89.475136693134232</v>
      </c>
      <c r="C3431" s="100">
        <v>97.480156776910405</v>
      </c>
      <c r="D3431" s="100">
        <v>93.819195828563366</v>
      </c>
      <c r="E3431" s="100">
        <v>96.500479179267529</v>
      </c>
      <c r="F3431" s="100">
        <v>259.06551636656445</v>
      </c>
      <c r="G3431" s="100">
        <v>1094.5990945775677</v>
      </c>
      <c r="H3431" s="100">
        <v>-2006.2314461535209</v>
      </c>
      <c r="I3431" s="100">
        <v>-3119.8395245663023</v>
      </c>
      <c r="J3431" s="100">
        <v>-3772.4063597756913</v>
      </c>
    </row>
    <row r="3432" spans="1:10" x14ac:dyDescent="0.25">
      <c r="A3432">
        <v>3415</v>
      </c>
      <c r="B3432" s="100">
        <v>88.967600481879487</v>
      </c>
      <c r="C3432" s="100">
        <v>98.777787581484603</v>
      </c>
      <c r="D3432" s="100">
        <v>90.613242460348829</v>
      </c>
      <c r="E3432" s="100">
        <v>92.319811991755245</v>
      </c>
      <c r="F3432" s="100">
        <v>1933.9350135072236</v>
      </c>
      <c r="G3432" s="100">
        <v>-851.84711228372839</v>
      </c>
      <c r="H3432" s="100">
        <v>4405.6752902755534</v>
      </c>
      <c r="I3432" s="100">
        <v>1060.8276629459824</v>
      </c>
      <c r="J3432" s="100">
        <v>6548.5908544450313</v>
      </c>
    </row>
    <row r="3433" spans="1:10" x14ac:dyDescent="0.25">
      <c r="A3433">
        <v>3416</v>
      </c>
      <c r="B3433" s="100">
        <v>89.807270211903784</v>
      </c>
      <c r="C3433" s="100">
        <v>98.079310519931667</v>
      </c>
      <c r="D3433" s="100">
        <v>93.25074734299497</v>
      </c>
      <c r="E3433" s="100">
        <v>95.154408019651214</v>
      </c>
      <c r="F3433" s="100">
        <v>-836.97509557295859</v>
      </c>
      <c r="G3433" s="100">
        <v>195.86848004567514</v>
      </c>
      <c r="H3433" s="100">
        <v>-869.33447501672845</v>
      </c>
      <c r="I3433" s="100">
        <v>-1773.7683649499872</v>
      </c>
      <c r="J3433" s="100">
        <v>-3284.209455493999</v>
      </c>
    </row>
    <row r="3434" spans="1:10" x14ac:dyDescent="0.25">
      <c r="A3434">
        <v>3417</v>
      </c>
      <c r="B3434" s="100">
        <v>89.711946711659365</v>
      </c>
      <c r="C3434" s="100">
        <v>100.34473613551951</v>
      </c>
      <c r="D3434" s="100">
        <v>93.655772197762886</v>
      </c>
      <c r="E3434" s="100">
        <v>90.848642134549806</v>
      </c>
      <c r="F3434" s="100">
        <v>-522.40754476637653</v>
      </c>
      <c r="G3434" s="100">
        <v>-3202.2699433360913</v>
      </c>
      <c r="H3434" s="100">
        <v>-1679.3841845525606</v>
      </c>
      <c r="I3434" s="100">
        <v>2531.9975201514212</v>
      </c>
      <c r="J3434" s="100">
        <v>-2872.0641525036067</v>
      </c>
    </row>
    <row r="3435" spans="1:10" x14ac:dyDescent="0.25">
      <c r="A3435">
        <v>3418</v>
      </c>
      <c r="B3435" s="100">
        <v>89.234593267168151</v>
      </c>
      <c r="C3435" s="100">
        <v>99.180833592094274</v>
      </c>
      <c r="D3435" s="100">
        <v>93.123672131577422</v>
      </c>
      <c r="E3435" s="100">
        <v>95.797045331971205</v>
      </c>
      <c r="F3435" s="100">
        <v>1052.8588220546312</v>
      </c>
      <c r="G3435" s="100">
        <v>-1456.4161281982351</v>
      </c>
      <c r="H3435" s="100">
        <v>-615.18405218163252</v>
      </c>
      <c r="I3435" s="100">
        <v>-2416.4056772699778</v>
      </c>
      <c r="J3435" s="100">
        <v>-3435.1470355952142</v>
      </c>
    </row>
    <row r="3436" spans="1:10" x14ac:dyDescent="0.25">
      <c r="A3436">
        <v>3419</v>
      </c>
      <c r="B3436" s="100">
        <v>89.534937613701643</v>
      </c>
      <c r="C3436" s="100">
        <v>99.111746171339803</v>
      </c>
      <c r="D3436" s="100">
        <v>90.619008337051341</v>
      </c>
      <c r="E3436" s="100">
        <v>97.419838390520496</v>
      </c>
      <c r="F3436" s="100">
        <v>61.722478494105815</v>
      </c>
      <c r="G3436" s="100">
        <v>-1352.7849970665286</v>
      </c>
      <c r="H3436" s="100">
        <v>4394.1435368705297</v>
      </c>
      <c r="I3436" s="100">
        <v>-4039.1987358192691</v>
      </c>
      <c r="J3436" s="100">
        <v>-936.11771752116238</v>
      </c>
    </row>
    <row r="3437" spans="1:10" x14ac:dyDescent="0.25">
      <c r="A3437">
        <v>3420</v>
      </c>
      <c r="B3437" s="100">
        <v>89.087278898093075</v>
      </c>
      <c r="C3437" s="100">
        <v>98.748688694248742</v>
      </c>
      <c r="D3437" s="100">
        <v>94.649611812961084</v>
      </c>
      <c r="E3437" s="100">
        <v>92.378701696992181</v>
      </c>
      <c r="F3437" s="100">
        <v>1538.9962400023819</v>
      </c>
      <c r="G3437" s="100">
        <v>-808.19878142993673</v>
      </c>
      <c r="H3437" s="100">
        <v>-3667.0634149489561</v>
      </c>
      <c r="I3437" s="100">
        <v>1001.9379577090461</v>
      </c>
      <c r="J3437" s="100">
        <v>-1934.3279986674647</v>
      </c>
    </row>
    <row r="3438" spans="1:10" x14ac:dyDescent="0.25">
      <c r="A3438">
        <v>3421</v>
      </c>
      <c r="B3438" s="100">
        <v>88.987712914796006</v>
      </c>
      <c r="C3438" s="100">
        <v>98.462099249571864</v>
      </c>
      <c r="D3438" s="100">
        <v>94.108924930139381</v>
      </c>
      <c r="E3438" s="100">
        <v>90.509377144225084</v>
      </c>
      <c r="F3438" s="100">
        <v>1867.5639848827088</v>
      </c>
      <c r="G3438" s="100">
        <v>-378.31461441462011</v>
      </c>
      <c r="H3438" s="100">
        <v>-2585.6896493055501</v>
      </c>
      <c r="I3438" s="100">
        <v>2871.2625104761428</v>
      </c>
      <c r="J3438" s="100">
        <v>1774.8222316386814</v>
      </c>
    </row>
    <row r="3439" spans="1:10" x14ac:dyDescent="0.25">
      <c r="A3439">
        <v>3422</v>
      </c>
      <c r="B3439" s="100">
        <v>89.166837307101048</v>
      </c>
      <c r="C3439" s="100">
        <v>97.100056442806192</v>
      </c>
      <c r="D3439" s="100">
        <v>94.302300015629228</v>
      </c>
      <c r="E3439" s="100">
        <v>94.156450914085099</v>
      </c>
      <c r="F3439" s="100">
        <v>1276.4534902760715</v>
      </c>
      <c r="G3439" s="100">
        <v>1664.7495957338876</v>
      </c>
      <c r="H3439" s="100">
        <v>-2972.4398202852453</v>
      </c>
      <c r="I3439" s="100">
        <v>-775.81125938387174</v>
      </c>
      <c r="J3439" s="100">
        <v>-807.04799365915767</v>
      </c>
    </row>
    <row r="3440" spans="1:10" x14ac:dyDescent="0.25">
      <c r="A3440">
        <v>3423</v>
      </c>
      <c r="B3440" s="100">
        <v>89.786913434179382</v>
      </c>
      <c r="C3440" s="100">
        <v>97.504902445434126</v>
      </c>
      <c r="D3440" s="100">
        <v>92.748103002407973</v>
      </c>
      <c r="E3440" s="100">
        <v>89.661921938764507</v>
      </c>
      <c r="F3440" s="100">
        <v>-769.79772908243262</v>
      </c>
      <c r="G3440" s="100">
        <v>1057.4805917919862</v>
      </c>
      <c r="H3440" s="100">
        <v>135.95420615726539</v>
      </c>
      <c r="I3440" s="100">
        <v>3718.7177159367193</v>
      </c>
      <c r="J3440" s="100">
        <v>4142.3547848035378</v>
      </c>
    </row>
    <row r="3441" spans="1:10" x14ac:dyDescent="0.25">
      <c r="A3441">
        <v>3424</v>
      </c>
      <c r="B3441" s="100">
        <v>89.178135094569484</v>
      </c>
      <c r="C3441" s="100">
        <v>98.40618929696484</v>
      </c>
      <c r="D3441" s="100">
        <v>94.109201602664598</v>
      </c>
      <c r="E3441" s="100">
        <v>90.694309828442741</v>
      </c>
      <c r="F3441" s="100">
        <v>1239.1707916302323</v>
      </c>
      <c r="G3441" s="100">
        <v>-294.4496855040839</v>
      </c>
      <c r="H3441" s="100">
        <v>-2586.2429943559846</v>
      </c>
      <c r="I3441" s="100">
        <v>2686.3298262584863</v>
      </c>
      <c r="J3441" s="100">
        <v>1044.8079380286501</v>
      </c>
    </row>
    <row r="3442" spans="1:10" x14ac:dyDescent="0.25">
      <c r="A3442">
        <v>3425</v>
      </c>
      <c r="B3442" s="100">
        <v>89.272727754667585</v>
      </c>
      <c r="C3442" s="100">
        <v>99.051302092785704</v>
      </c>
      <c r="D3442" s="100">
        <v>91.424007096111993</v>
      </c>
      <c r="E3442" s="100">
        <v>92.176195547430325</v>
      </c>
      <c r="F3442" s="100">
        <v>927.01501330649876</v>
      </c>
      <c r="G3442" s="100">
        <v>-1262.1188792353805</v>
      </c>
      <c r="H3442" s="100">
        <v>2784.1460187492257</v>
      </c>
      <c r="I3442" s="100">
        <v>1204.4441072709019</v>
      </c>
      <c r="J3442" s="100">
        <v>3653.4862600912461</v>
      </c>
    </row>
    <row r="3443" spans="1:10" x14ac:dyDescent="0.25">
      <c r="A3443">
        <v>3426</v>
      </c>
      <c r="B3443" s="100">
        <v>89.372399487980175</v>
      </c>
      <c r="C3443" s="100">
        <v>99.089253372374387</v>
      </c>
      <c r="D3443" s="100">
        <v>94.095071295955492</v>
      </c>
      <c r="E3443" s="100">
        <v>93.252271441509819</v>
      </c>
      <c r="F3443" s="100">
        <v>598.0982933749516</v>
      </c>
      <c r="G3443" s="100">
        <v>-1319.0457986184042</v>
      </c>
      <c r="H3443" s="100">
        <v>-2557.9823809377731</v>
      </c>
      <c r="I3443" s="100">
        <v>128.36821319140768</v>
      </c>
      <c r="J3443" s="100">
        <v>-3150.5616729898184</v>
      </c>
    </row>
    <row r="3444" spans="1:10" x14ac:dyDescent="0.25">
      <c r="A3444">
        <v>3427</v>
      </c>
      <c r="B3444" s="100">
        <v>90.081747108882553</v>
      </c>
      <c r="C3444" s="100">
        <v>98.842024624626873</v>
      </c>
      <c r="D3444" s="100">
        <v>92.710970305141814</v>
      </c>
      <c r="E3444" s="100">
        <v>94.617127114023646</v>
      </c>
      <c r="F3444" s="100">
        <v>-1742.7488556028948</v>
      </c>
      <c r="G3444" s="100">
        <v>-948.20267699713418</v>
      </c>
      <c r="H3444" s="100">
        <v>210.21960068958379</v>
      </c>
      <c r="I3444" s="100">
        <v>-1236.4874593224185</v>
      </c>
      <c r="J3444" s="100">
        <v>-3717.2193912328639</v>
      </c>
    </row>
    <row r="3445" spans="1:10" x14ac:dyDescent="0.25">
      <c r="A3445">
        <v>3428</v>
      </c>
      <c r="B3445" s="100">
        <v>90.074145654776444</v>
      </c>
      <c r="C3445" s="100">
        <v>97.405410999443959</v>
      </c>
      <c r="D3445" s="100">
        <v>93.039168389472707</v>
      </c>
      <c r="E3445" s="100">
        <v>93.328058989631671</v>
      </c>
      <c r="F3445" s="100">
        <v>-1717.6640570527368</v>
      </c>
      <c r="G3445" s="100">
        <v>1206.7177607772378</v>
      </c>
      <c r="H3445" s="100">
        <v>-446.17656797220206</v>
      </c>
      <c r="I3445" s="100">
        <v>52.580665069555721</v>
      </c>
      <c r="J3445" s="100">
        <v>-904.54219917814532</v>
      </c>
    </row>
    <row r="3446" spans="1:10" x14ac:dyDescent="0.25">
      <c r="A3446">
        <v>3429</v>
      </c>
      <c r="B3446" s="100">
        <v>90.224626922533702</v>
      </c>
      <c r="C3446" s="100">
        <v>99.2509438186202</v>
      </c>
      <c r="D3446" s="100">
        <v>91.84379694407113</v>
      </c>
      <c r="E3446" s="100">
        <v>95.914478168601335</v>
      </c>
      <c r="F3446" s="100">
        <v>-2214.252240651686</v>
      </c>
      <c r="G3446" s="100">
        <v>-1561.5814679871251</v>
      </c>
      <c r="H3446" s="100">
        <v>1944.5663228309513</v>
      </c>
      <c r="I3446" s="100">
        <v>-2533.8385139001075</v>
      </c>
      <c r="J3446" s="100">
        <v>-4365.1058997079672</v>
      </c>
    </row>
    <row r="3447" spans="1:10" x14ac:dyDescent="0.25">
      <c r="A3447">
        <v>3430</v>
      </c>
      <c r="B3447" s="100">
        <v>89.913864228840822</v>
      </c>
      <c r="C3447" s="100">
        <v>96.036029649098666</v>
      </c>
      <c r="D3447" s="100">
        <v>92.51128185962537</v>
      </c>
      <c r="E3447" s="100">
        <v>91.473558538900249</v>
      </c>
      <c r="F3447" s="100">
        <v>-1188.7353514651836</v>
      </c>
      <c r="G3447" s="100">
        <v>3260.7897862951772</v>
      </c>
      <c r="H3447" s="100">
        <v>609.59649172247055</v>
      </c>
      <c r="I3447" s="100">
        <v>1907.0811158009774</v>
      </c>
      <c r="J3447" s="100">
        <v>4588.732042353442</v>
      </c>
    </row>
    <row r="3448" spans="1:10" x14ac:dyDescent="0.25">
      <c r="A3448">
        <v>3431</v>
      </c>
      <c r="B3448" s="100">
        <v>89.422579976131658</v>
      </c>
      <c r="C3448" s="100">
        <v>97.508892322175129</v>
      </c>
      <c r="D3448" s="100">
        <v>94.413308058240062</v>
      </c>
      <c r="E3448" s="100">
        <v>95.322930960521134</v>
      </c>
      <c r="F3448" s="100">
        <v>432.50268247505801</v>
      </c>
      <c r="G3448" s="100">
        <v>1051.4957766804828</v>
      </c>
      <c r="H3448" s="100">
        <v>-3194.4559055069135</v>
      </c>
      <c r="I3448" s="100">
        <v>-1942.2913058199072</v>
      </c>
      <c r="J3448" s="100">
        <v>-3652.7487521712801</v>
      </c>
    </row>
    <row r="3449" spans="1:10" x14ac:dyDescent="0.25">
      <c r="A3449">
        <v>3432</v>
      </c>
      <c r="B3449" s="100">
        <v>89.382075294141529</v>
      </c>
      <c r="C3449" s="100">
        <v>98.149587914148839</v>
      </c>
      <c r="D3449" s="100">
        <v>92.659713756543866</v>
      </c>
      <c r="E3449" s="100">
        <v>91.419898634863358</v>
      </c>
      <c r="F3449" s="100">
        <v>566.16813304248262</v>
      </c>
      <c r="G3449" s="100">
        <v>90.452388719917565</v>
      </c>
      <c r="H3449" s="100">
        <v>312.73269788547964</v>
      </c>
      <c r="I3449" s="100">
        <v>1960.7410198378689</v>
      </c>
      <c r="J3449" s="100">
        <v>2930.0942394857484</v>
      </c>
    </row>
    <row r="3450" spans="1:10" x14ac:dyDescent="0.25">
      <c r="A3450">
        <v>3433</v>
      </c>
      <c r="B3450" s="100">
        <v>90.170807520022009</v>
      </c>
      <c r="C3450" s="100">
        <v>97.295086935995755</v>
      </c>
      <c r="D3450" s="100">
        <v>93.091599495850303</v>
      </c>
      <c r="E3450" s="100">
        <v>93.633169469411101</v>
      </c>
      <c r="F3450" s="100">
        <v>-2036.6482123631017</v>
      </c>
      <c r="G3450" s="100">
        <v>1372.2038559495431</v>
      </c>
      <c r="H3450" s="100">
        <v>-551.03878072739576</v>
      </c>
      <c r="I3450" s="100">
        <v>-252.52981470987379</v>
      </c>
      <c r="J3450" s="100">
        <v>-1468.0129518508281</v>
      </c>
    </row>
    <row r="3451" spans="1:10" x14ac:dyDescent="0.25">
      <c r="A3451">
        <v>3434</v>
      </c>
      <c r="B3451" s="100">
        <v>89.813755364173474</v>
      </c>
      <c r="C3451" s="100">
        <v>99.147414659719786</v>
      </c>
      <c r="D3451" s="100">
        <v>93.602064457027794</v>
      </c>
      <c r="E3451" s="100">
        <v>92.082702145115633</v>
      </c>
      <c r="F3451" s="100">
        <v>-858.37609806293494</v>
      </c>
      <c r="G3451" s="100">
        <v>-1406.2877296365032</v>
      </c>
      <c r="H3451" s="100">
        <v>-1571.9687030823764</v>
      </c>
      <c r="I3451" s="100">
        <v>1297.9375095855944</v>
      </c>
      <c r="J3451" s="100">
        <v>-2538.6950211962198</v>
      </c>
    </row>
    <row r="3452" spans="1:10" x14ac:dyDescent="0.25">
      <c r="A3452">
        <v>3435</v>
      </c>
      <c r="B3452" s="100">
        <v>90.11966497391235</v>
      </c>
      <c r="C3452" s="100">
        <v>97.920994155638269</v>
      </c>
      <c r="D3452" s="100">
        <v>93.264523668393409</v>
      </c>
      <c r="E3452" s="100">
        <v>88.647008520986802</v>
      </c>
      <c r="F3452" s="100">
        <v>-1867.8778102012259</v>
      </c>
      <c r="G3452" s="100">
        <v>433.3430264857725</v>
      </c>
      <c r="H3452" s="100">
        <v>-896.88712581360619</v>
      </c>
      <c r="I3452" s="100">
        <v>4733.6311337144252</v>
      </c>
      <c r="J3452" s="100">
        <v>2402.2092241853657</v>
      </c>
    </row>
    <row r="3453" spans="1:10" x14ac:dyDescent="0.25">
      <c r="A3453">
        <v>3436</v>
      </c>
      <c r="B3453" s="100">
        <v>89.958300574771329</v>
      </c>
      <c r="C3453" s="100">
        <v>98.101110252542682</v>
      </c>
      <c r="D3453" s="100">
        <v>92.609027541762742</v>
      </c>
      <c r="E3453" s="100">
        <v>94.390805345465211</v>
      </c>
      <c r="F3453" s="100">
        <v>-1335.3752930358553</v>
      </c>
      <c r="G3453" s="100">
        <v>163.16888112915251</v>
      </c>
      <c r="H3453" s="100">
        <v>414.10512744772632</v>
      </c>
      <c r="I3453" s="100">
        <v>-1010.1656907639835</v>
      </c>
      <c r="J3453" s="100">
        <v>-1768.2669752229599</v>
      </c>
    </row>
    <row r="3454" spans="1:10" x14ac:dyDescent="0.25">
      <c r="A3454">
        <v>3437</v>
      </c>
      <c r="B3454" s="100">
        <v>89.054139821813493</v>
      </c>
      <c r="C3454" s="100">
        <v>97.756453717405549</v>
      </c>
      <c r="D3454" s="100">
        <v>93.909946715071769</v>
      </c>
      <c r="E3454" s="100">
        <v>94.330058358210323</v>
      </c>
      <c r="F3454" s="100">
        <v>1648.3551917250024</v>
      </c>
      <c r="G3454" s="100">
        <v>680.15368383485247</v>
      </c>
      <c r="H3454" s="100">
        <v>-2187.7332191703263</v>
      </c>
      <c r="I3454" s="100">
        <v>-949.41870350909596</v>
      </c>
      <c r="J3454" s="100">
        <v>-808.64304711956731</v>
      </c>
    </row>
    <row r="3455" spans="1:10" x14ac:dyDescent="0.25">
      <c r="A3455">
        <v>3438</v>
      </c>
      <c r="B3455" s="100">
        <v>89.777131524572056</v>
      </c>
      <c r="C3455" s="100">
        <v>97.129010106985518</v>
      </c>
      <c r="D3455" s="100">
        <v>90.633329467604952</v>
      </c>
      <c r="E3455" s="100">
        <v>91.301748925854866</v>
      </c>
      <c r="F3455" s="100">
        <v>-737.51742737825475</v>
      </c>
      <c r="G3455" s="100">
        <v>1621.3190994648983</v>
      </c>
      <c r="H3455" s="100">
        <v>4365.5012757633076</v>
      </c>
      <c r="I3455" s="100">
        <v>2078.8907288463606</v>
      </c>
      <c r="J3455" s="100">
        <v>7328.1936766963117</v>
      </c>
    </row>
    <row r="3456" spans="1:10" x14ac:dyDescent="0.25">
      <c r="A3456">
        <v>3439</v>
      </c>
      <c r="B3456" s="100">
        <v>90.286473025183753</v>
      </c>
      <c r="C3456" s="100">
        <v>98.713875237935</v>
      </c>
      <c r="D3456" s="100">
        <v>92.312511180192502</v>
      </c>
      <c r="E3456" s="100">
        <v>93.267785294676301</v>
      </c>
      <c r="F3456" s="100">
        <v>-2418.3443793968549</v>
      </c>
      <c r="G3456" s="100">
        <v>-755.97859695932357</v>
      </c>
      <c r="H3456" s="100">
        <v>1007.137850588208</v>
      </c>
      <c r="I3456" s="100">
        <v>112.85436002492588</v>
      </c>
      <c r="J3456" s="100">
        <v>-2054.3307657430446</v>
      </c>
    </row>
    <row r="3457" spans="1:10" x14ac:dyDescent="0.25">
      <c r="A3457">
        <v>3440</v>
      </c>
      <c r="B3457" s="100">
        <v>90.067596119525831</v>
      </c>
      <c r="C3457" s="100">
        <v>97.243538670969386</v>
      </c>
      <c r="D3457" s="100">
        <v>94.469337534588007</v>
      </c>
      <c r="E3457" s="100">
        <v>96.25050859791105</v>
      </c>
      <c r="F3457" s="100">
        <v>-1696.0505907257129</v>
      </c>
      <c r="G3457" s="100">
        <v>1449.5262534890969</v>
      </c>
      <c r="H3457" s="100">
        <v>-3306.5148582028032</v>
      </c>
      <c r="I3457" s="100">
        <v>-2869.8689432098236</v>
      </c>
      <c r="J3457" s="100">
        <v>-6422.9081386492426</v>
      </c>
    </row>
    <row r="3458" spans="1:10" x14ac:dyDescent="0.25">
      <c r="A3458">
        <v>3441</v>
      </c>
      <c r="B3458" s="100">
        <v>89.179582799112083</v>
      </c>
      <c r="C3458" s="100">
        <v>99.497153230887278</v>
      </c>
      <c r="D3458" s="100">
        <v>92.719783459697283</v>
      </c>
      <c r="E3458" s="100">
        <v>96.272413268313926</v>
      </c>
      <c r="F3458" s="100">
        <v>1234.3933666396551</v>
      </c>
      <c r="G3458" s="100">
        <v>-1930.8955863877416</v>
      </c>
      <c r="H3458" s="100">
        <v>192.59329157864613</v>
      </c>
      <c r="I3458" s="100">
        <v>-2891.7736136126991</v>
      </c>
      <c r="J3458" s="100">
        <v>-3395.6825417821392</v>
      </c>
    </row>
    <row r="3459" spans="1:10" x14ac:dyDescent="0.25">
      <c r="A3459">
        <v>3442</v>
      </c>
      <c r="B3459" s="100">
        <v>90.077585783282359</v>
      </c>
      <c r="C3459" s="100">
        <v>98.095408380884692</v>
      </c>
      <c r="D3459" s="100">
        <v>93.439615702751027</v>
      </c>
      <c r="E3459" s="100">
        <v>93.830692528071253</v>
      </c>
      <c r="F3459" s="100">
        <v>-1729.0164811222553</v>
      </c>
      <c r="G3459" s="100">
        <v>171.72168861613812</v>
      </c>
      <c r="H3459" s="100">
        <v>-1247.0711945288429</v>
      </c>
      <c r="I3459" s="100">
        <v>-450.05287337002642</v>
      </c>
      <c r="J3459" s="100">
        <v>-3254.4188604049868</v>
      </c>
    </row>
    <row r="3460" spans="1:10" x14ac:dyDescent="0.25">
      <c r="A3460">
        <v>3443</v>
      </c>
      <c r="B3460" s="100">
        <v>89.500305436012155</v>
      </c>
      <c r="C3460" s="100">
        <v>98.773289893296848</v>
      </c>
      <c r="D3460" s="100">
        <v>92.858090236418448</v>
      </c>
      <c r="E3460" s="100">
        <v>94.422584006853981</v>
      </c>
      <c r="F3460" s="100">
        <v>176.00866486941698</v>
      </c>
      <c r="G3460" s="100">
        <v>-845.10058000209654</v>
      </c>
      <c r="H3460" s="100">
        <v>-84.020261863685164</v>
      </c>
      <c r="I3460" s="100">
        <v>-1041.9443521527542</v>
      </c>
      <c r="J3460" s="100">
        <v>-1795.0565291491189</v>
      </c>
    </row>
    <row r="3461" spans="1:10" x14ac:dyDescent="0.25">
      <c r="A3461">
        <v>3444</v>
      </c>
      <c r="B3461" s="100">
        <v>89.411912919559654</v>
      </c>
      <c r="C3461" s="100">
        <v>97.762971060344668</v>
      </c>
      <c r="D3461" s="100">
        <v>92.95657022715551</v>
      </c>
      <c r="E3461" s="100">
        <v>93.43581722931529</v>
      </c>
      <c r="F3461" s="100">
        <v>467.70396916267032</v>
      </c>
      <c r="G3461" s="100">
        <v>670.37766942617338</v>
      </c>
      <c r="H3461" s="100">
        <v>-280.98024333780813</v>
      </c>
      <c r="I3461" s="100">
        <v>-55.177574614063474</v>
      </c>
      <c r="J3461" s="100">
        <v>801.92382063697221</v>
      </c>
    </row>
    <row r="3462" spans="1:10" x14ac:dyDescent="0.25">
      <c r="A3462">
        <v>3445</v>
      </c>
      <c r="B3462" s="100">
        <v>89.982854979215361</v>
      </c>
      <c r="C3462" s="100">
        <v>98.45427100455781</v>
      </c>
      <c r="D3462" s="100">
        <v>91.736987847902142</v>
      </c>
      <c r="E3462" s="100">
        <v>95.153454466833068</v>
      </c>
      <c r="F3462" s="100">
        <v>-1416.4048277011616</v>
      </c>
      <c r="G3462" s="100">
        <v>-366.57224689353995</v>
      </c>
      <c r="H3462" s="100">
        <v>2158.1845151689267</v>
      </c>
      <c r="I3462" s="100">
        <v>-1772.8148121318413</v>
      </c>
      <c r="J3462" s="100">
        <v>-1397.6073715576163</v>
      </c>
    </row>
    <row r="3463" spans="1:10" x14ac:dyDescent="0.25">
      <c r="A3463">
        <v>3446</v>
      </c>
      <c r="B3463" s="100">
        <v>89.151673008285442</v>
      </c>
      <c r="C3463" s="100">
        <v>98.071845782364392</v>
      </c>
      <c r="D3463" s="100">
        <v>94.46275104349516</v>
      </c>
      <c r="E3463" s="100">
        <v>92.395313870419798</v>
      </c>
      <c r="F3463" s="100">
        <v>1326.4956763675698</v>
      </c>
      <c r="G3463" s="100">
        <v>207.06558639658823</v>
      </c>
      <c r="H3463" s="100">
        <v>-3293.3418760171094</v>
      </c>
      <c r="I3463" s="100">
        <v>985.3257842814287</v>
      </c>
      <c r="J3463" s="100">
        <v>-774.4548289715226</v>
      </c>
    </row>
    <row r="3464" spans="1:10" x14ac:dyDescent="0.25">
      <c r="A3464">
        <v>3447</v>
      </c>
      <c r="B3464" s="100">
        <v>89.992931750522317</v>
      </c>
      <c r="C3464" s="100">
        <v>98.01106658199906</v>
      </c>
      <c r="D3464" s="100">
        <v>91.925389510421084</v>
      </c>
      <c r="E3464" s="100">
        <v>95.677480239686375</v>
      </c>
      <c r="F3464" s="100">
        <v>-1449.6581730141158</v>
      </c>
      <c r="G3464" s="100">
        <v>298.23438694458559</v>
      </c>
      <c r="H3464" s="100">
        <v>1781.381190131043</v>
      </c>
      <c r="I3464" s="100">
        <v>-2296.8405849851479</v>
      </c>
      <c r="J3464" s="100">
        <v>-1666.8831809236351</v>
      </c>
    </row>
    <row r="3465" spans="1:10" x14ac:dyDescent="0.25">
      <c r="A3465">
        <v>3448</v>
      </c>
      <c r="B3465" s="100">
        <v>90.017142428345394</v>
      </c>
      <c r="C3465" s="100">
        <v>98.790675291474017</v>
      </c>
      <c r="D3465" s="100">
        <v>92.630509187360815</v>
      </c>
      <c r="E3465" s="100">
        <v>93.943439457567749</v>
      </c>
      <c r="F3465" s="100">
        <v>-1529.5534098302724</v>
      </c>
      <c r="G3465" s="100">
        <v>-871.17867726784937</v>
      </c>
      <c r="H3465" s="100">
        <v>371.14183625158148</v>
      </c>
      <c r="I3465" s="100">
        <v>-562.79980286652176</v>
      </c>
      <c r="J3465" s="100">
        <v>-2592.3900537130621</v>
      </c>
    </row>
    <row r="3466" spans="1:10" x14ac:dyDescent="0.25">
      <c r="A3466">
        <v>3449</v>
      </c>
      <c r="B3466" s="100">
        <v>89.985173731495706</v>
      </c>
      <c r="C3466" s="100">
        <v>99.749769675980644</v>
      </c>
      <c r="D3466" s="100">
        <v>92.769637832390927</v>
      </c>
      <c r="E3466" s="100">
        <v>94.3670105735047</v>
      </c>
      <c r="F3466" s="100">
        <v>-1424.0567102263014</v>
      </c>
      <c r="G3466" s="100">
        <v>-2309.8202540277912</v>
      </c>
      <c r="H3466" s="100">
        <v>92.884546191356776</v>
      </c>
      <c r="I3466" s="100">
        <v>-986.37091880347327</v>
      </c>
      <c r="J3466" s="100">
        <v>-4627.3633368662095</v>
      </c>
    </row>
    <row r="3467" spans="1:10" x14ac:dyDescent="0.25">
      <c r="A3467">
        <v>3450</v>
      </c>
      <c r="B3467" s="100">
        <v>89.217206292865001</v>
      </c>
      <c r="C3467" s="100">
        <v>98.182122055298066</v>
      </c>
      <c r="D3467" s="100">
        <v>92.679701556857069</v>
      </c>
      <c r="E3467" s="100">
        <v>92.831741603383492</v>
      </c>
      <c r="F3467" s="100">
        <v>1110.235837255027</v>
      </c>
      <c r="G3467" s="100">
        <v>41.651176996076344</v>
      </c>
      <c r="H3467" s="100">
        <v>272.75709725907404</v>
      </c>
      <c r="I3467" s="100">
        <v>548.89805131773528</v>
      </c>
      <c r="J3467" s="100">
        <v>1973.5421628279128</v>
      </c>
    </row>
    <row r="3468" spans="1:10" x14ac:dyDescent="0.25">
      <c r="A3468">
        <v>3451</v>
      </c>
      <c r="B3468" s="100">
        <v>90.224833669557583</v>
      </c>
      <c r="C3468" s="100">
        <v>99.515589678102344</v>
      </c>
      <c r="D3468" s="100">
        <v>94.123671001197863</v>
      </c>
      <c r="E3468" s="100">
        <v>92.984726997807613</v>
      </c>
      <c r="F3468" s="100">
        <v>-2214.9345058304943</v>
      </c>
      <c r="G3468" s="100">
        <v>-1958.5502572103408</v>
      </c>
      <c r="H3468" s="100">
        <v>-2615.1817914225148</v>
      </c>
      <c r="I3468" s="100">
        <v>395.91265689361421</v>
      </c>
      <c r="J3468" s="100">
        <v>-6392.7538975697353</v>
      </c>
    </row>
    <row r="3469" spans="1:10" x14ac:dyDescent="0.25">
      <c r="A3469">
        <v>3452</v>
      </c>
      <c r="B3469" s="100">
        <v>88.911254659477578</v>
      </c>
      <c r="C3469" s="100">
        <v>98.821840897982796</v>
      </c>
      <c r="D3469" s="100">
        <v>92.581390242667936</v>
      </c>
      <c r="E3469" s="100">
        <v>91.782640587734576</v>
      </c>
      <c r="F3469" s="100">
        <v>2119.8762274335222</v>
      </c>
      <c r="G3469" s="100">
        <v>-917.92708703101766</v>
      </c>
      <c r="H3469" s="100">
        <v>469.37972563733865</v>
      </c>
      <c r="I3469" s="100">
        <v>1597.9990669666506</v>
      </c>
      <c r="J3469" s="100">
        <v>3269.3279330064938</v>
      </c>
    </row>
    <row r="3470" spans="1:10" x14ac:dyDescent="0.25">
      <c r="A3470">
        <v>3453</v>
      </c>
      <c r="B3470" s="100">
        <v>89.658438224182262</v>
      </c>
      <c r="C3470" s="100">
        <v>98.68097071326892</v>
      </c>
      <c r="D3470" s="100">
        <v>93.460665905569584</v>
      </c>
      <c r="E3470" s="100">
        <v>94.887165979861621</v>
      </c>
      <c r="F3470" s="100">
        <v>-345.82953609193652</v>
      </c>
      <c r="G3470" s="100">
        <v>-706.62180996020402</v>
      </c>
      <c r="H3470" s="100">
        <v>-1289.1716001659574</v>
      </c>
      <c r="I3470" s="100">
        <v>-1506.5263251603938</v>
      </c>
      <c r="J3470" s="100">
        <v>-3848.1492713784919</v>
      </c>
    </row>
    <row r="3471" spans="1:10" x14ac:dyDescent="0.25">
      <c r="A3471">
        <v>3454</v>
      </c>
      <c r="B3471" s="100">
        <v>89.917125385851435</v>
      </c>
      <c r="C3471" s="100">
        <v>99.000330322603872</v>
      </c>
      <c r="D3471" s="100">
        <v>92.995171391738182</v>
      </c>
      <c r="E3471" s="100">
        <v>93.174319409947856</v>
      </c>
      <c r="F3471" s="100">
        <v>-1199.4971696002053</v>
      </c>
      <c r="G3471" s="100">
        <v>-1185.6612239626329</v>
      </c>
      <c r="H3471" s="100">
        <v>-358.18257250315355</v>
      </c>
      <c r="I3471" s="100">
        <v>206.32024475337118</v>
      </c>
      <c r="J3471" s="100">
        <v>-2537.0207213126205</v>
      </c>
    </row>
    <row r="3472" spans="1:10" x14ac:dyDescent="0.25">
      <c r="A3472">
        <v>3455</v>
      </c>
      <c r="B3472" s="100">
        <v>89.835596258490455</v>
      </c>
      <c r="C3472" s="100">
        <v>96.848718907064182</v>
      </c>
      <c r="D3472" s="100">
        <v>92.920250058047017</v>
      </c>
      <c r="E3472" s="100">
        <v>93.541978920182345</v>
      </c>
      <c r="F3472" s="100">
        <v>-930.45104930897082</v>
      </c>
      <c r="G3472" s="100">
        <v>2041.7558993469029</v>
      </c>
      <c r="H3472" s="100">
        <v>-208.33990512082323</v>
      </c>
      <c r="I3472" s="100">
        <v>-161.33926548111788</v>
      </c>
      <c r="J3472" s="100">
        <v>741.62567943599095</v>
      </c>
    </row>
    <row r="3473" spans="1:10" x14ac:dyDescent="0.25">
      <c r="A3473">
        <v>3456</v>
      </c>
      <c r="B3473" s="100">
        <v>89.304880181790026</v>
      </c>
      <c r="C3473" s="100">
        <v>98.082554841435837</v>
      </c>
      <c r="D3473" s="100">
        <v>94.505789828408709</v>
      </c>
      <c r="E3473" s="100">
        <v>94.438554182127547</v>
      </c>
      <c r="F3473" s="100">
        <v>820.91200380244516</v>
      </c>
      <c r="G3473" s="100">
        <v>191.00199778942084</v>
      </c>
      <c r="H3473" s="100">
        <v>-3379.4194458442062</v>
      </c>
      <c r="I3473" s="100">
        <v>-1057.9145274263196</v>
      </c>
      <c r="J3473" s="100">
        <v>-3425.4199716786597</v>
      </c>
    </row>
    <row r="3474" spans="1:10" x14ac:dyDescent="0.25">
      <c r="A3474">
        <v>3457</v>
      </c>
      <c r="B3474" s="100">
        <v>89.852397808025998</v>
      </c>
      <c r="C3474" s="100">
        <v>98.205708248343399</v>
      </c>
      <c r="D3474" s="100">
        <v>90.528151063978328</v>
      </c>
      <c r="E3474" s="100">
        <v>93.157515332302779</v>
      </c>
      <c r="F3474" s="100">
        <v>-985.89616277626396</v>
      </c>
      <c r="G3474" s="100">
        <v>6.2718874280776049</v>
      </c>
      <c r="H3474" s="100">
        <v>4575.8580830165556</v>
      </c>
      <c r="I3474" s="100">
        <v>223.12432239844782</v>
      </c>
      <c r="J3474" s="100">
        <v>3819.358130066817</v>
      </c>
    </row>
    <row r="3475" spans="1:10" x14ac:dyDescent="0.25">
      <c r="A3475">
        <v>3458</v>
      </c>
      <c r="B3475" s="100">
        <v>89.48876578846162</v>
      </c>
      <c r="C3475" s="100">
        <v>97.423284455011952</v>
      </c>
      <c r="D3475" s="100">
        <v>93.906640435687123</v>
      </c>
      <c r="E3475" s="100">
        <v>93.405068788284865</v>
      </c>
      <c r="F3475" s="100">
        <v>214.08950178618227</v>
      </c>
      <c r="G3475" s="100">
        <v>1179.9075774252472</v>
      </c>
      <c r="H3475" s="100">
        <v>-2181.1206604010349</v>
      </c>
      <c r="I3475" s="100">
        <v>-24.429133583637963</v>
      </c>
      <c r="J3475" s="100">
        <v>-811.55271477324334</v>
      </c>
    </row>
    <row r="3476" spans="1:10" x14ac:dyDescent="0.25">
      <c r="A3476">
        <v>3459</v>
      </c>
      <c r="B3476" s="100">
        <v>89.845450993778186</v>
      </c>
      <c r="C3476" s="100">
        <v>98.881236041686847</v>
      </c>
      <c r="D3476" s="100">
        <v>90.411406946229619</v>
      </c>
      <c r="E3476" s="100">
        <v>92.711527842761811</v>
      </c>
      <c r="F3476" s="100">
        <v>-962.97167575848584</v>
      </c>
      <c r="G3476" s="100">
        <v>-1007.0198025870951</v>
      </c>
      <c r="H3476" s="100">
        <v>4809.3463185139735</v>
      </c>
      <c r="I3476" s="100">
        <v>669.11181193941616</v>
      </c>
      <c r="J3476" s="100">
        <v>3508.4666521078088</v>
      </c>
    </row>
    <row r="3477" spans="1:10" x14ac:dyDescent="0.25">
      <c r="A3477">
        <v>3460</v>
      </c>
      <c r="B3477" s="100">
        <v>89.738259802913859</v>
      </c>
      <c r="C3477" s="100">
        <v>100.63035107843993</v>
      </c>
      <c r="D3477" s="100">
        <v>90.959803435430246</v>
      </c>
      <c r="E3477" s="100">
        <v>92.808847344803496</v>
      </c>
      <c r="F3477" s="100">
        <v>-609.24074590620592</v>
      </c>
      <c r="G3477" s="100">
        <v>-3630.6923577167181</v>
      </c>
      <c r="H3477" s="100">
        <v>3712.55334011272</v>
      </c>
      <c r="I3477" s="100">
        <v>571.79230989773089</v>
      </c>
      <c r="J3477" s="100">
        <v>44.412546387526731</v>
      </c>
    </row>
    <row r="3478" spans="1:10" x14ac:dyDescent="0.25">
      <c r="A3478">
        <v>3461</v>
      </c>
      <c r="B3478" s="100">
        <v>89.420673242958046</v>
      </c>
      <c r="C3478" s="100">
        <v>97.179609648090235</v>
      </c>
      <c r="D3478" s="100">
        <v>94.093615563368715</v>
      </c>
      <c r="E3478" s="100">
        <v>91.886736427842209</v>
      </c>
      <c r="F3478" s="100">
        <v>438.7949019479791</v>
      </c>
      <c r="G3478" s="100">
        <v>1545.4197878078232</v>
      </c>
      <c r="H3478" s="100">
        <v>-2555.0709157642186</v>
      </c>
      <c r="I3478" s="100">
        <v>1493.9032268590181</v>
      </c>
      <c r="J3478" s="100">
        <v>923.04700085060176</v>
      </c>
    </row>
    <row r="3479" spans="1:10" x14ac:dyDescent="0.25">
      <c r="A3479">
        <v>3462</v>
      </c>
      <c r="B3479" s="100">
        <v>90.127759862891608</v>
      </c>
      <c r="C3479" s="100">
        <v>97.500930800823312</v>
      </c>
      <c r="D3479" s="100">
        <v>92.514538826758098</v>
      </c>
      <c r="E3479" s="100">
        <v>95.344462895013606</v>
      </c>
      <c r="F3479" s="100">
        <v>-1894.5909438327774</v>
      </c>
      <c r="G3479" s="100">
        <v>1063.4380587082078</v>
      </c>
      <c r="H3479" s="100">
        <v>603.08255745701445</v>
      </c>
      <c r="I3479" s="100">
        <v>-1963.8232403123793</v>
      </c>
      <c r="J3479" s="100">
        <v>-2191.8935679799342</v>
      </c>
    </row>
    <row r="3480" spans="1:10" x14ac:dyDescent="0.25">
      <c r="A3480">
        <v>3463</v>
      </c>
      <c r="B3480" s="100">
        <v>90.041514103660461</v>
      </c>
      <c r="C3480" s="100">
        <v>98.158281252833092</v>
      </c>
      <c r="D3480" s="100">
        <v>92.122437717019451</v>
      </c>
      <c r="E3480" s="100">
        <v>97.79367677017629</v>
      </c>
      <c r="F3480" s="100">
        <v>-1609.9799383699917</v>
      </c>
      <c r="G3480" s="100">
        <v>77.412380693537841</v>
      </c>
      <c r="H3480" s="100">
        <v>1387.2847769343082</v>
      </c>
      <c r="I3480" s="100">
        <v>-4413.0371154750637</v>
      </c>
      <c r="J3480" s="100">
        <v>-4558.3198962172091</v>
      </c>
    </row>
    <row r="3481" spans="1:10" x14ac:dyDescent="0.25">
      <c r="A3481">
        <v>3464</v>
      </c>
      <c r="B3481" s="100">
        <v>91.14956561632205</v>
      </c>
      <c r="C3481" s="100">
        <v>98.482553807415627</v>
      </c>
      <c r="D3481" s="100">
        <v>91.554696959985733</v>
      </c>
      <c r="E3481" s="100">
        <v>93.849586602650845</v>
      </c>
      <c r="F3481" s="100">
        <v>-5266.5499301532363</v>
      </c>
      <c r="G3481" s="100">
        <v>-408.99645118026484</v>
      </c>
      <c r="H3481" s="100">
        <v>2522.7662910017443</v>
      </c>
      <c r="I3481" s="100">
        <v>-468.94694794961822</v>
      </c>
      <c r="J3481" s="100">
        <v>-3621.7270382813749</v>
      </c>
    </row>
    <row r="3482" spans="1:10" x14ac:dyDescent="0.25">
      <c r="A3482">
        <v>3465</v>
      </c>
      <c r="B3482" s="100">
        <v>90.017499274304029</v>
      </c>
      <c r="C3482" s="100">
        <v>97.746112216017181</v>
      </c>
      <c r="D3482" s="100">
        <v>92.531888903375346</v>
      </c>
      <c r="E3482" s="100">
        <v>92.057852954260198</v>
      </c>
      <c r="F3482" s="100">
        <v>-1530.7310014937671</v>
      </c>
      <c r="G3482" s="100">
        <v>695.665935917404</v>
      </c>
      <c r="H3482" s="100">
        <v>568.38240422251829</v>
      </c>
      <c r="I3482" s="100">
        <v>1322.7867004410286</v>
      </c>
      <c r="J3482" s="100">
        <v>1056.104039087184</v>
      </c>
    </row>
    <row r="3483" spans="1:10" x14ac:dyDescent="0.25">
      <c r="A3483">
        <v>3466</v>
      </c>
      <c r="B3483" s="100">
        <v>90.282759739049766</v>
      </c>
      <c r="C3483" s="100">
        <v>98.432058325751399</v>
      </c>
      <c r="D3483" s="100">
        <v>92.116589058093524</v>
      </c>
      <c r="E3483" s="100">
        <v>93.221679057324167</v>
      </c>
      <c r="F3483" s="100">
        <v>-2406.090535154698</v>
      </c>
      <c r="G3483" s="100">
        <v>-333.25322868392249</v>
      </c>
      <c r="H3483" s="100">
        <v>1398.9820947861631</v>
      </c>
      <c r="I3483" s="100">
        <v>158.96059737706025</v>
      </c>
      <c r="J3483" s="100">
        <v>-1181.4010716753969</v>
      </c>
    </row>
    <row r="3484" spans="1:10" x14ac:dyDescent="0.25">
      <c r="A3484">
        <v>3467</v>
      </c>
      <c r="B3484" s="100">
        <v>89.400213038839581</v>
      </c>
      <c r="C3484" s="100">
        <v>98.343909010528733</v>
      </c>
      <c r="D3484" s="100">
        <v>91.775804943314654</v>
      </c>
      <c r="E3484" s="100">
        <v>93.825255977390981</v>
      </c>
      <c r="F3484" s="100">
        <v>506.31357553891121</v>
      </c>
      <c r="G3484" s="100">
        <v>-201.02925584992448</v>
      </c>
      <c r="H3484" s="100">
        <v>2080.5503243439034</v>
      </c>
      <c r="I3484" s="100">
        <v>-444.61632268975393</v>
      </c>
      <c r="J3484" s="100">
        <v>1941.2183213431363</v>
      </c>
    </row>
    <row r="3485" spans="1:10" x14ac:dyDescent="0.25">
      <c r="A3485">
        <v>3468</v>
      </c>
      <c r="B3485" s="100">
        <v>88.963473269670004</v>
      </c>
      <c r="C3485" s="100">
        <v>98.07840661988601</v>
      </c>
      <c r="D3485" s="100">
        <v>93.781652484723821</v>
      </c>
      <c r="E3485" s="100">
        <v>94.877851130022378</v>
      </c>
      <c r="F3485" s="100">
        <v>1947.5548137985156</v>
      </c>
      <c r="G3485" s="100">
        <v>197.2243301141603</v>
      </c>
      <c r="H3485" s="100">
        <v>-1931.1447584744315</v>
      </c>
      <c r="I3485" s="100">
        <v>-1497.2114753211513</v>
      </c>
      <c r="J3485" s="100">
        <v>-1283.5770898829069</v>
      </c>
    </row>
    <row r="3486" spans="1:10" x14ac:dyDescent="0.25">
      <c r="A3486">
        <v>3469</v>
      </c>
      <c r="B3486" s="100">
        <v>88.615760418233123</v>
      </c>
      <c r="C3486" s="100">
        <v>96.356858932668061</v>
      </c>
      <c r="D3486" s="100">
        <v>92.59135258352741</v>
      </c>
      <c r="E3486" s="100">
        <v>91.46001469003069</v>
      </c>
      <c r="F3486" s="100">
        <v>3095.0072235402245</v>
      </c>
      <c r="G3486" s="100">
        <v>2779.5458609410844</v>
      </c>
      <c r="H3486" s="100">
        <v>449.45504391839108</v>
      </c>
      <c r="I3486" s="100">
        <v>1920.6249646705373</v>
      </c>
      <c r="J3486" s="100">
        <v>8244.6330930702388</v>
      </c>
    </row>
    <row r="3487" spans="1:10" x14ac:dyDescent="0.25">
      <c r="A3487">
        <v>3470</v>
      </c>
      <c r="B3487" s="100">
        <v>89.101035273151993</v>
      </c>
      <c r="C3487" s="100">
        <v>98.187146477120251</v>
      </c>
      <c r="D3487" s="100">
        <v>92.047887946625238</v>
      </c>
      <c r="E3487" s="100">
        <v>93.68926829337228</v>
      </c>
      <c r="F3487" s="100">
        <v>1493.6002023079525</v>
      </c>
      <c r="G3487" s="100">
        <v>34.114544262799029</v>
      </c>
      <c r="H3487" s="100">
        <v>1536.3843177227352</v>
      </c>
      <c r="I3487" s="100">
        <v>-308.62863867105261</v>
      </c>
      <c r="J3487" s="100">
        <v>2755.470425622434</v>
      </c>
    </row>
    <row r="3488" spans="1:10" x14ac:dyDescent="0.25">
      <c r="A3488">
        <v>3471</v>
      </c>
      <c r="B3488" s="100">
        <v>90.049404407596882</v>
      </c>
      <c r="C3488" s="100">
        <v>99.302721003182825</v>
      </c>
      <c r="D3488" s="100">
        <v>92.669856402673432</v>
      </c>
      <c r="E3488" s="100">
        <v>92.109940997554418</v>
      </c>
      <c r="F3488" s="100">
        <v>-1636.01794136018</v>
      </c>
      <c r="G3488" s="100">
        <v>-1639.2472448310614</v>
      </c>
      <c r="H3488" s="100">
        <v>292.44740562634775</v>
      </c>
      <c r="I3488" s="100">
        <v>1270.6986571468092</v>
      </c>
      <c r="J3488" s="100">
        <v>-1712.1191234180847</v>
      </c>
    </row>
    <row r="3489" spans="1:10" x14ac:dyDescent="0.25">
      <c r="A3489">
        <v>3472</v>
      </c>
      <c r="B3489" s="100">
        <v>90.123903799674224</v>
      </c>
      <c r="C3489" s="100">
        <v>98.746077736056606</v>
      </c>
      <c r="D3489" s="100">
        <v>93.543786341479858</v>
      </c>
      <c r="E3489" s="100">
        <v>95.927856666758004</v>
      </c>
      <c r="F3489" s="100">
        <v>-1881.86593521541</v>
      </c>
      <c r="G3489" s="100">
        <v>-804.28234414173266</v>
      </c>
      <c r="H3489" s="100">
        <v>-1455.4124719865058</v>
      </c>
      <c r="I3489" s="100">
        <v>-2547.2170120567766</v>
      </c>
      <c r="J3489" s="100">
        <v>-6688.7777634004251</v>
      </c>
    </row>
    <row r="3490" spans="1:10" x14ac:dyDescent="0.25">
      <c r="A3490">
        <v>3473</v>
      </c>
      <c r="B3490" s="100">
        <v>90.411007253573104</v>
      </c>
      <c r="C3490" s="100">
        <v>97.47628534987598</v>
      </c>
      <c r="D3490" s="100">
        <v>91.34683936928424</v>
      </c>
      <c r="E3490" s="100">
        <v>93.677280031408387</v>
      </c>
      <c r="F3490" s="100">
        <v>-2829.3073330817124</v>
      </c>
      <c r="G3490" s="100">
        <v>1100.4062351292064</v>
      </c>
      <c r="H3490" s="100">
        <v>2938.4814724047319</v>
      </c>
      <c r="I3490" s="100">
        <v>-296.6403767071597</v>
      </c>
      <c r="J3490" s="100">
        <v>912.93999774506619</v>
      </c>
    </row>
    <row r="3491" spans="1:10" x14ac:dyDescent="0.25">
      <c r="A3491">
        <v>3474</v>
      </c>
      <c r="B3491" s="100">
        <v>88.994450954303716</v>
      </c>
      <c r="C3491" s="100">
        <v>98.112478338854331</v>
      </c>
      <c r="D3491" s="100">
        <v>92.068023854970548</v>
      </c>
      <c r="E3491" s="100">
        <v>94.630412497653808</v>
      </c>
      <c r="F3491" s="100">
        <v>1845.3284545072677</v>
      </c>
      <c r="G3491" s="100">
        <v>146.1167516616797</v>
      </c>
      <c r="H3491" s="100">
        <v>1496.1125010321155</v>
      </c>
      <c r="I3491" s="100">
        <v>-1249.7728429525807</v>
      </c>
      <c r="J3491" s="100">
        <v>2237.7848642484823</v>
      </c>
    </row>
    <row r="3492" spans="1:10" x14ac:dyDescent="0.25">
      <c r="A3492">
        <v>3475</v>
      </c>
      <c r="B3492" s="100">
        <v>88.994776381231802</v>
      </c>
      <c r="C3492" s="100">
        <v>97.284142264662776</v>
      </c>
      <c r="D3492" s="100">
        <v>93.296458015768096</v>
      </c>
      <c r="E3492" s="100">
        <v>94.133369359727212</v>
      </c>
      <c r="F3492" s="100">
        <v>1844.2545456445841</v>
      </c>
      <c r="G3492" s="100">
        <v>1388.6208629490113</v>
      </c>
      <c r="H3492" s="100">
        <v>-960.75582056298003</v>
      </c>
      <c r="I3492" s="100">
        <v>-752.72970502598469</v>
      </c>
      <c r="J3492" s="100">
        <v>1519.3898830046303</v>
      </c>
    </row>
    <row r="3493" spans="1:10" x14ac:dyDescent="0.25">
      <c r="A3493">
        <v>3476</v>
      </c>
      <c r="B3493" s="100">
        <v>89.279034652847628</v>
      </c>
      <c r="C3493" s="100">
        <v>96.645756439226091</v>
      </c>
      <c r="D3493" s="100">
        <v>92.929721875891786</v>
      </c>
      <c r="E3493" s="100">
        <v>93.017472716761418</v>
      </c>
      <c r="F3493" s="100">
        <v>906.20224931235782</v>
      </c>
      <c r="G3493" s="100">
        <v>2346.1996011040396</v>
      </c>
      <c r="H3493" s="100">
        <v>-227.28354081036173</v>
      </c>
      <c r="I3493" s="100">
        <v>363.16693793980903</v>
      </c>
      <c r="J3493" s="100">
        <v>3388.2852475458449</v>
      </c>
    </row>
    <row r="3494" spans="1:10" x14ac:dyDescent="0.25">
      <c r="A3494">
        <v>3477</v>
      </c>
      <c r="B3494" s="100">
        <v>89.098413626943923</v>
      </c>
      <c r="C3494" s="100">
        <v>98.126166534718777</v>
      </c>
      <c r="D3494" s="100">
        <v>93.008430290225746</v>
      </c>
      <c r="E3494" s="100">
        <v>91.901375043749653</v>
      </c>
      <c r="F3494" s="100">
        <v>1502.2516347945825</v>
      </c>
      <c r="G3494" s="100">
        <v>125.58445786500982</v>
      </c>
      <c r="H3494" s="100">
        <v>-384.70036947828135</v>
      </c>
      <c r="I3494" s="100">
        <v>1479.2646109515745</v>
      </c>
      <c r="J3494" s="100">
        <v>2722.4003341328853</v>
      </c>
    </row>
    <row r="3495" spans="1:10" x14ac:dyDescent="0.25">
      <c r="A3495">
        <v>3478</v>
      </c>
      <c r="B3495" s="100">
        <v>89.274887393105061</v>
      </c>
      <c r="C3495" s="100">
        <v>97.40188497049374</v>
      </c>
      <c r="D3495" s="100">
        <v>92.743218769290991</v>
      </c>
      <c r="E3495" s="100">
        <v>95.26454978864227</v>
      </c>
      <c r="F3495" s="100">
        <v>919.88820646282784</v>
      </c>
      <c r="G3495" s="100">
        <v>1212.0068042025664</v>
      </c>
      <c r="H3495" s="100">
        <v>145.72267239122993</v>
      </c>
      <c r="I3495" s="100">
        <v>-1883.9101339410433</v>
      </c>
      <c r="J3495" s="100">
        <v>393.70754911558083</v>
      </c>
    </row>
    <row r="3496" spans="1:10" x14ac:dyDescent="0.25">
      <c r="A3496">
        <v>3479</v>
      </c>
      <c r="B3496" s="100">
        <v>89.1487278817971</v>
      </c>
      <c r="C3496" s="100">
        <v>97.466154772388265</v>
      </c>
      <c r="D3496" s="100">
        <v>92.922717312074468</v>
      </c>
      <c r="E3496" s="100">
        <v>93.359245344509461</v>
      </c>
      <c r="F3496" s="100">
        <v>1336.2145937790983</v>
      </c>
      <c r="G3496" s="100">
        <v>1115.6021013607783</v>
      </c>
      <c r="H3496" s="100">
        <v>-213.27441317572493</v>
      </c>
      <c r="I3496" s="100">
        <v>21.394310191766408</v>
      </c>
      <c r="J3496" s="100">
        <v>2259.9365921559183</v>
      </c>
    </row>
    <row r="3497" spans="1:10" x14ac:dyDescent="0.25">
      <c r="A3497">
        <v>3480</v>
      </c>
      <c r="B3497" s="100">
        <v>89.738668852692342</v>
      </c>
      <c r="C3497" s="100">
        <v>97.491786615490895</v>
      </c>
      <c r="D3497" s="100">
        <v>93.432588516373372</v>
      </c>
      <c r="E3497" s="100">
        <v>94.405220626409658</v>
      </c>
      <c r="F3497" s="100">
        <v>-610.5906101751998</v>
      </c>
      <c r="G3497" s="100">
        <v>1077.1543367068332</v>
      </c>
      <c r="H3497" s="100">
        <v>-1233.016821773532</v>
      </c>
      <c r="I3497" s="100">
        <v>-1024.5809717084312</v>
      </c>
      <c r="J3497" s="100">
        <v>-1791.0340669503298</v>
      </c>
    </row>
    <row r="3498" spans="1:10" x14ac:dyDescent="0.25">
      <c r="A3498">
        <v>3481</v>
      </c>
      <c r="B3498" s="100">
        <v>89.920311214128205</v>
      </c>
      <c r="C3498" s="100">
        <v>97.654425740984138</v>
      </c>
      <c r="D3498" s="100">
        <v>91.834805321648275</v>
      </c>
      <c r="E3498" s="100">
        <v>90.562544992576207</v>
      </c>
      <c r="F3498" s="100">
        <v>-1210.0104029135466</v>
      </c>
      <c r="G3498" s="100">
        <v>833.19564846696892</v>
      </c>
      <c r="H3498" s="100">
        <v>1962.5495676766604</v>
      </c>
      <c r="I3498" s="100">
        <v>2818.09466212502</v>
      </c>
      <c r="J3498" s="100">
        <v>4403.8294753551027</v>
      </c>
    </row>
    <row r="3499" spans="1:10" x14ac:dyDescent="0.25">
      <c r="A3499">
        <v>3482</v>
      </c>
      <c r="B3499" s="100">
        <v>89.464766781602165</v>
      </c>
      <c r="C3499" s="100">
        <v>98.781327858251146</v>
      </c>
      <c r="D3499" s="100">
        <v>92.851059805235252</v>
      </c>
      <c r="E3499" s="100">
        <v>92.547594611515251</v>
      </c>
      <c r="F3499" s="100">
        <v>293.28622442238412</v>
      </c>
      <c r="G3499" s="100">
        <v>-857.15752743354301</v>
      </c>
      <c r="H3499" s="100">
        <v>-69.959399497292907</v>
      </c>
      <c r="I3499" s="100">
        <v>833.04504318597594</v>
      </c>
      <c r="J3499" s="100">
        <v>199.21434067752409</v>
      </c>
    </row>
    <row r="3500" spans="1:10" x14ac:dyDescent="0.25">
      <c r="A3500">
        <v>3483</v>
      </c>
      <c r="B3500" s="100">
        <v>89.492221732255189</v>
      </c>
      <c r="C3500" s="100">
        <v>97.930083513591683</v>
      </c>
      <c r="D3500" s="100">
        <v>92.632845599886409</v>
      </c>
      <c r="E3500" s="100">
        <v>92.315865436614828</v>
      </c>
      <c r="F3500" s="100">
        <v>202.68488726740657</v>
      </c>
      <c r="G3500" s="100">
        <v>419.70898955565161</v>
      </c>
      <c r="H3500" s="100">
        <v>366.46901120039388</v>
      </c>
      <c r="I3500" s="100">
        <v>1064.7742180863986</v>
      </c>
      <c r="J3500" s="100">
        <v>2053.6371061098507</v>
      </c>
    </row>
    <row r="3501" spans="1:10" x14ac:dyDescent="0.25">
      <c r="A3501">
        <v>3484</v>
      </c>
      <c r="B3501" s="100">
        <v>89.568477231017383</v>
      </c>
      <c r="C3501" s="100">
        <v>98.162662579167389</v>
      </c>
      <c r="D3501" s="100">
        <v>93.641464007405574</v>
      </c>
      <c r="E3501" s="100">
        <v>90.495609157039198</v>
      </c>
      <c r="F3501" s="100">
        <v>-48.958258647833475</v>
      </c>
      <c r="G3501" s="100">
        <v>70.840391192092511</v>
      </c>
      <c r="H3501" s="100">
        <v>-1650.7678038379368</v>
      </c>
      <c r="I3501" s="100">
        <v>2885.0304976620291</v>
      </c>
      <c r="J3501" s="100">
        <v>1256.1448263683515</v>
      </c>
    </row>
    <row r="3502" spans="1:10" x14ac:dyDescent="0.25">
      <c r="A3502">
        <v>3485</v>
      </c>
      <c r="B3502" s="100">
        <v>87.868685445149751</v>
      </c>
      <c r="C3502" s="100">
        <v>98.292317915899559</v>
      </c>
      <c r="D3502" s="100">
        <v>93.982857691599364</v>
      </c>
      <c r="E3502" s="100">
        <v>94.656988269856029</v>
      </c>
      <c r="F3502" s="100">
        <v>5560.3546347153515</v>
      </c>
      <c r="G3502" s="100">
        <v>-123.64261390616349</v>
      </c>
      <c r="H3502" s="100">
        <v>-2333.5551722255159</v>
      </c>
      <c r="I3502" s="100">
        <v>-1276.3486151548022</v>
      </c>
      <c r="J3502" s="100">
        <v>1826.8082334288702</v>
      </c>
    </row>
    <row r="3503" spans="1:10" x14ac:dyDescent="0.25">
      <c r="A3503">
        <v>3486</v>
      </c>
      <c r="B3503" s="100">
        <v>90.211917082840529</v>
      </c>
      <c r="C3503" s="100">
        <v>99.159632764270214</v>
      </c>
      <c r="D3503" s="100">
        <v>92.571732177244911</v>
      </c>
      <c r="E3503" s="100">
        <v>94.151910883683811</v>
      </c>
      <c r="F3503" s="100">
        <v>-2172.3097696642158</v>
      </c>
      <c r="G3503" s="100">
        <v>-1424.6148864621446</v>
      </c>
      <c r="H3503" s="100">
        <v>488.69585648338898</v>
      </c>
      <c r="I3503" s="100">
        <v>-771.27122898258449</v>
      </c>
      <c r="J3503" s="100">
        <v>-3879.5000286255558</v>
      </c>
    </row>
    <row r="3504" spans="1:10" x14ac:dyDescent="0.25">
      <c r="A3504">
        <v>3487</v>
      </c>
      <c r="B3504" s="100">
        <v>90.410463271489547</v>
      </c>
      <c r="C3504" s="100">
        <v>97.263606325156388</v>
      </c>
      <c r="D3504" s="100">
        <v>93.837566243357031</v>
      </c>
      <c r="E3504" s="100">
        <v>90.624989113006379</v>
      </c>
      <c r="F3504" s="100">
        <v>-2827.5121922059766</v>
      </c>
      <c r="G3504" s="100">
        <v>1419.4247722085934</v>
      </c>
      <c r="H3504" s="100">
        <v>-2042.9722757408513</v>
      </c>
      <c r="I3504" s="100">
        <v>2755.6505416948485</v>
      </c>
      <c r="J3504" s="100">
        <v>-695.40915404338602</v>
      </c>
    </row>
    <row r="3505" spans="1:10" x14ac:dyDescent="0.25">
      <c r="A3505">
        <v>3488</v>
      </c>
      <c r="B3505" s="100">
        <v>89.820531233637553</v>
      </c>
      <c r="C3505" s="100">
        <v>100.03357147715971</v>
      </c>
      <c r="D3505" s="100">
        <v>91.481565961873628</v>
      </c>
      <c r="E3505" s="100">
        <v>90.896345905953112</v>
      </c>
      <c r="F3505" s="100">
        <v>-880.73646729439474</v>
      </c>
      <c r="G3505" s="100">
        <v>-2735.5229557963908</v>
      </c>
      <c r="H3505" s="100">
        <v>2669.0282872259559</v>
      </c>
      <c r="I3505" s="100">
        <v>2484.2937487481149</v>
      </c>
      <c r="J3505" s="100">
        <v>1537.0626128832855</v>
      </c>
    </row>
    <row r="3506" spans="1:10" x14ac:dyDescent="0.25">
      <c r="A3506">
        <v>3489</v>
      </c>
      <c r="B3506" s="100">
        <v>89.859692373222728</v>
      </c>
      <c r="C3506" s="100">
        <v>98.082698651121788</v>
      </c>
      <c r="D3506" s="100">
        <v>92.082818778507217</v>
      </c>
      <c r="E3506" s="100">
        <v>94.890475591694781</v>
      </c>
      <c r="F3506" s="100">
        <v>-1009.9682279254737</v>
      </c>
      <c r="G3506" s="100">
        <v>190.78628326049341</v>
      </c>
      <c r="H3506" s="100">
        <v>1466.5226539587763</v>
      </c>
      <c r="I3506" s="100">
        <v>-1509.8359369935538</v>
      </c>
      <c r="J3506" s="100">
        <v>-862.49522769975772</v>
      </c>
    </row>
    <row r="3507" spans="1:10" x14ac:dyDescent="0.25">
      <c r="A3507">
        <v>3490</v>
      </c>
      <c r="B3507" s="100">
        <v>89.342907988773106</v>
      </c>
      <c r="C3507" s="100">
        <v>98.06569641957411</v>
      </c>
      <c r="D3507" s="100">
        <v>91.208659012950548</v>
      </c>
      <c r="E3507" s="100">
        <v>90.801155593432597</v>
      </c>
      <c r="F3507" s="100">
        <v>695.4202407582784</v>
      </c>
      <c r="G3507" s="100">
        <v>216.28963058201123</v>
      </c>
      <c r="H3507" s="100">
        <v>3214.8421850721152</v>
      </c>
      <c r="I3507" s="100">
        <v>2579.4840612686303</v>
      </c>
      <c r="J3507" s="100">
        <v>6706.0361176810347</v>
      </c>
    </row>
    <row r="3508" spans="1:10" x14ac:dyDescent="0.25">
      <c r="A3508">
        <v>3491</v>
      </c>
      <c r="B3508" s="100">
        <v>89.349123088676052</v>
      </c>
      <c r="C3508" s="100">
        <v>98.095994078196739</v>
      </c>
      <c r="D3508" s="100">
        <v>92.773275350997338</v>
      </c>
      <c r="E3508" s="100">
        <v>91.04353564664946</v>
      </c>
      <c r="F3508" s="100">
        <v>674.91041107855813</v>
      </c>
      <c r="G3508" s="100">
        <v>170.84314264806721</v>
      </c>
      <c r="H3508" s="100">
        <v>85.609508978535587</v>
      </c>
      <c r="I3508" s="100">
        <v>2337.1040080517673</v>
      </c>
      <c r="J3508" s="100">
        <v>3268.4670707569285</v>
      </c>
    </row>
    <row r="3509" spans="1:10" x14ac:dyDescent="0.25">
      <c r="A3509">
        <v>3492</v>
      </c>
      <c r="B3509" s="100">
        <v>89.285931482560002</v>
      </c>
      <c r="C3509" s="100">
        <v>98.268171757245753</v>
      </c>
      <c r="D3509" s="100">
        <v>93.714002084608055</v>
      </c>
      <c r="E3509" s="100">
        <v>96.812293663451953</v>
      </c>
      <c r="F3509" s="100">
        <v>883.44271126152171</v>
      </c>
      <c r="G3509" s="100">
        <v>-87.423375925453684</v>
      </c>
      <c r="H3509" s="100">
        <v>-1795.843958242898</v>
      </c>
      <c r="I3509" s="100">
        <v>-3431.6540087507265</v>
      </c>
      <c r="J3509" s="100">
        <v>-4431.4786316575564</v>
      </c>
    </row>
    <row r="3510" spans="1:10" x14ac:dyDescent="0.25">
      <c r="A3510">
        <v>3493</v>
      </c>
      <c r="B3510" s="100">
        <v>89.174598295868719</v>
      </c>
      <c r="C3510" s="100">
        <v>97.05197800151744</v>
      </c>
      <c r="D3510" s="100">
        <v>93.904491755248074</v>
      </c>
      <c r="E3510" s="100">
        <v>92.196646248775821</v>
      </c>
      <c r="F3510" s="100">
        <v>1250.8422273427555</v>
      </c>
      <c r="G3510" s="100">
        <v>1736.8672576670151</v>
      </c>
      <c r="H3510" s="100">
        <v>-2176.8232995229368</v>
      </c>
      <c r="I3510" s="100">
        <v>1183.9934059254063</v>
      </c>
      <c r="J3510" s="100">
        <v>1994.87959141224</v>
      </c>
    </row>
    <row r="3511" spans="1:10" x14ac:dyDescent="0.25">
      <c r="A3511">
        <v>3494</v>
      </c>
      <c r="B3511" s="100">
        <v>90.427049453717586</v>
      </c>
      <c r="C3511" s="100">
        <v>98.134534303324472</v>
      </c>
      <c r="D3511" s="100">
        <v>93.528730541758392</v>
      </c>
      <c r="E3511" s="100">
        <v>95.280826482298735</v>
      </c>
      <c r="F3511" s="100">
        <v>-2882.246593558506</v>
      </c>
      <c r="G3511" s="100">
        <v>113.03280495646817</v>
      </c>
      <c r="H3511" s="100">
        <v>-1425.3008725435734</v>
      </c>
      <c r="I3511" s="100">
        <v>-1900.1868275975085</v>
      </c>
      <c r="J3511" s="100">
        <v>-6094.7014887431196</v>
      </c>
    </row>
    <row r="3512" spans="1:10" x14ac:dyDescent="0.25">
      <c r="A3512">
        <v>3495</v>
      </c>
      <c r="B3512" s="100">
        <v>89.3949741872879</v>
      </c>
      <c r="C3512" s="100">
        <v>98.227179298142516</v>
      </c>
      <c r="D3512" s="100">
        <v>92.823239489562368</v>
      </c>
      <c r="E3512" s="100">
        <v>91.579555137252072</v>
      </c>
      <c r="F3512" s="100">
        <v>523.60178565945853</v>
      </c>
      <c r="G3512" s="100">
        <v>-25.934687270598999</v>
      </c>
      <c r="H3512" s="100">
        <v>-14.318768151525774</v>
      </c>
      <c r="I3512" s="100">
        <v>1801.0845174491551</v>
      </c>
      <c r="J3512" s="100">
        <v>2284.4328476864889</v>
      </c>
    </row>
    <row r="3513" spans="1:10" x14ac:dyDescent="0.25">
      <c r="A3513">
        <v>3496</v>
      </c>
      <c r="B3513" s="100">
        <v>89.369974781272205</v>
      </c>
      <c r="C3513" s="100">
        <v>98.085002028712452</v>
      </c>
      <c r="D3513" s="100">
        <v>93.84278502695588</v>
      </c>
      <c r="E3513" s="100">
        <v>94.160133203915677</v>
      </c>
      <c r="F3513" s="100">
        <v>606.09982551125222</v>
      </c>
      <c r="G3513" s="100">
        <v>187.33121687449739</v>
      </c>
      <c r="H3513" s="100">
        <v>-2053.4098429385494</v>
      </c>
      <c r="I3513" s="100">
        <v>-779.49354921445035</v>
      </c>
      <c r="J3513" s="100">
        <v>-2039.4723497672503</v>
      </c>
    </row>
    <row r="3514" spans="1:10" x14ac:dyDescent="0.25">
      <c r="A3514">
        <v>3497</v>
      </c>
      <c r="B3514" s="100">
        <v>89.276178128447526</v>
      </c>
      <c r="C3514" s="100">
        <v>98.657935290935413</v>
      </c>
      <c r="D3514" s="100">
        <v>92.467049984142648</v>
      </c>
      <c r="E3514" s="100">
        <v>93.853980527531803</v>
      </c>
      <c r="F3514" s="100">
        <v>915.62877983269289</v>
      </c>
      <c r="G3514" s="100">
        <v>-672.0686764599435</v>
      </c>
      <c r="H3514" s="100">
        <v>698.06024268791589</v>
      </c>
      <c r="I3514" s="100">
        <v>-473.34087283057613</v>
      </c>
      <c r="J3514" s="100">
        <v>468.27947323008914</v>
      </c>
    </row>
    <row r="3515" spans="1:10" x14ac:dyDescent="0.25">
      <c r="A3515">
        <v>3498</v>
      </c>
      <c r="B3515" s="100">
        <v>89.204867027711998</v>
      </c>
      <c r="C3515" s="100">
        <v>96.983554043876353</v>
      </c>
      <c r="D3515" s="100">
        <v>91.435647747349279</v>
      </c>
      <c r="E3515" s="100">
        <v>96.538746377526635</v>
      </c>
      <c r="F3515" s="100">
        <v>1150.9554122599354</v>
      </c>
      <c r="G3515" s="100">
        <v>1839.5031941286461</v>
      </c>
      <c r="H3515" s="100">
        <v>2760.8647162746538</v>
      </c>
      <c r="I3515" s="100">
        <v>-3158.1067228254087</v>
      </c>
      <c r="J3515" s="100">
        <v>2593.2165998378268</v>
      </c>
    </row>
    <row r="3516" spans="1:10" x14ac:dyDescent="0.25">
      <c r="A3516">
        <v>3499</v>
      </c>
      <c r="B3516" s="100">
        <v>89.43291672857832</v>
      </c>
      <c r="C3516" s="100">
        <v>97.85312197039859</v>
      </c>
      <c r="D3516" s="100">
        <v>93.802708217128483</v>
      </c>
      <c r="E3516" s="100">
        <v>94.028897847746919</v>
      </c>
      <c r="F3516" s="100">
        <v>398.39139940107344</v>
      </c>
      <c r="G3516" s="100">
        <v>535.15130434529112</v>
      </c>
      <c r="H3516" s="100">
        <v>-1973.2562232837552</v>
      </c>
      <c r="I3516" s="100">
        <v>-648.25819304569166</v>
      </c>
      <c r="J3516" s="100">
        <v>-1687.9717125830821</v>
      </c>
    </row>
    <row r="3517" spans="1:10" x14ac:dyDescent="0.25">
      <c r="A3517">
        <v>3500</v>
      </c>
      <c r="B3517" s="100">
        <v>90.001565154597614</v>
      </c>
      <c r="C3517" s="100">
        <v>96.806614516095365</v>
      </c>
      <c r="D3517" s="100">
        <v>93.210982747239555</v>
      </c>
      <c r="E3517" s="100">
        <v>94.971796968911818</v>
      </c>
      <c r="F3517" s="100">
        <v>-1478.148406462597</v>
      </c>
      <c r="G3517" s="100">
        <v>2104.9124858001278</v>
      </c>
      <c r="H3517" s="100">
        <v>-789.80528350589907</v>
      </c>
      <c r="I3517" s="100">
        <v>-1591.1573142105908</v>
      </c>
      <c r="J3517" s="100">
        <v>-1754.1985183789591</v>
      </c>
    </row>
    <row r="3518" spans="1:10" x14ac:dyDescent="0.25">
      <c r="A3518">
        <v>3501</v>
      </c>
      <c r="B3518" s="100">
        <v>91.03928563781254</v>
      </c>
      <c r="C3518" s="100">
        <v>98.716707822574577</v>
      </c>
      <c r="D3518" s="100">
        <v>92.812978914225795</v>
      </c>
      <c r="E3518" s="100">
        <v>95.428436654025177</v>
      </c>
      <c r="F3518" s="100">
        <v>-4902.6260010718534</v>
      </c>
      <c r="G3518" s="100">
        <v>-760.22747391868961</v>
      </c>
      <c r="H3518" s="100">
        <v>6.20238252162153</v>
      </c>
      <c r="I3518" s="100">
        <v>-2047.7969993239499</v>
      </c>
      <c r="J3518" s="100">
        <v>-7704.4480917928704</v>
      </c>
    </row>
    <row r="3519" spans="1:10" x14ac:dyDescent="0.25">
      <c r="A3519">
        <v>3502</v>
      </c>
      <c r="B3519" s="100">
        <v>89.314576659341455</v>
      </c>
      <c r="C3519" s="100">
        <v>98.90523985221914</v>
      </c>
      <c r="D3519" s="100">
        <v>93.004414882856196</v>
      </c>
      <c r="E3519" s="100">
        <v>90.688083917403802</v>
      </c>
      <c r="F3519" s="100">
        <v>788.91362788272795</v>
      </c>
      <c r="G3519" s="100">
        <v>-1043.0255183855338</v>
      </c>
      <c r="H3519" s="100">
        <v>-376.66955473918051</v>
      </c>
      <c r="I3519" s="100">
        <v>2692.5557372974254</v>
      </c>
      <c r="J3519" s="100">
        <v>2061.7742920554392</v>
      </c>
    </row>
    <row r="3520" spans="1:10" x14ac:dyDescent="0.25">
      <c r="A3520">
        <v>3503</v>
      </c>
      <c r="B3520" s="100">
        <v>89.757298385663603</v>
      </c>
      <c r="C3520" s="100">
        <v>96.977325348069272</v>
      </c>
      <c r="D3520" s="100">
        <v>92.213006204192013</v>
      </c>
      <c r="E3520" s="100">
        <v>91.125590076746548</v>
      </c>
      <c r="F3520" s="100">
        <v>-672.06806898036007</v>
      </c>
      <c r="G3520" s="100">
        <v>1848.8462378392683</v>
      </c>
      <c r="H3520" s="100">
        <v>1206.1478025891859</v>
      </c>
      <c r="I3520" s="100">
        <v>2255.0495779546791</v>
      </c>
      <c r="J3520" s="100">
        <v>4637.9755494027731</v>
      </c>
    </row>
    <row r="3521" spans="1:10" x14ac:dyDescent="0.25">
      <c r="A3521">
        <v>3504</v>
      </c>
      <c r="B3521" s="100">
        <v>89.634872573771716</v>
      </c>
      <c r="C3521" s="100">
        <v>100.27445079624401</v>
      </c>
      <c r="D3521" s="100">
        <v>91.856357944883499</v>
      </c>
      <c r="E3521" s="100">
        <v>94.557805761228863</v>
      </c>
      <c r="F3521" s="100">
        <v>-268.0628897371335</v>
      </c>
      <c r="G3521" s="100">
        <v>-3096.8419344228409</v>
      </c>
      <c r="H3521" s="100">
        <v>1919.444321206214</v>
      </c>
      <c r="I3521" s="100">
        <v>-1177.1661065276362</v>
      </c>
      <c r="J3521" s="100">
        <v>-2622.6266094813964</v>
      </c>
    </row>
    <row r="3522" spans="1:10" x14ac:dyDescent="0.25">
      <c r="A3522">
        <v>3505</v>
      </c>
      <c r="B3522" s="100">
        <v>90.153388012795389</v>
      </c>
      <c r="C3522" s="100">
        <v>97.780528508190656</v>
      </c>
      <c r="D3522" s="100">
        <v>93.434830732259016</v>
      </c>
      <c r="E3522" s="100">
        <v>94.144988853492293</v>
      </c>
      <c r="F3522" s="100">
        <v>-1979.1638385152553</v>
      </c>
      <c r="G3522" s="100">
        <v>644.04149765719148</v>
      </c>
      <c r="H3522" s="100">
        <v>-1237.5012535448207</v>
      </c>
      <c r="I3522" s="100">
        <v>-764.34919879106644</v>
      </c>
      <c r="J3522" s="100">
        <v>-3336.972793193951</v>
      </c>
    </row>
    <row r="3523" spans="1:10" x14ac:dyDescent="0.25">
      <c r="A3523">
        <v>3506</v>
      </c>
      <c r="B3523" s="100">
        <v>89.235008277441992</v>
      </c>
      <c r="C3523" s="100">
        <v>96.876370799287088</v>
      </c>
      <c r="D3523" s="100">
        <v>92.703554180849707</v>
      </c>
      <c r="E3523" s="100">
        <v>95.371149004936868</v>
      </c>
      <c r="F3523" s="100">
        <v>1051.4892881509568</v>
      </c>
      <c r="G3523" s="100">
        <v>2000.2780610125442</v>
      </c>
      <c r="H3523" s="100">
        <v>225.05184927379673</v>
      </c>
      <c r="I3523" s="100">
        <v>-1990.5093502356408</v>
      </c>
      <c r="J3523" s="100">
        <v>1286.3098482016571</v>
      </c>
    </row>
    <row r="3524" spans="1:10" x14ac:dyDescent="0.25">
      <c r="A3524">
        <v>3507</v>
      </c>
      <c r="B3524" s="100">
        <v>89.80729024956949</v>
      </c>
      <c r="C3524" s="100">
        <v>98.358596319813046</v>
      </c>
      <c r="D3524" s="100">
        <v>92.775950599014408</v>
      </c>
      <c r="E3524" s="100">
        <v>92.33936073814894</v>
      </c>
      <c r="F3524" s="100">
        <v>-837.04121986978919</v>
      </c>
      <c r="G3524" s="100">
        <v>-223.0602197763929</v>
      </c>
      <c r="H3524" s="100">
        <v>80.259012944395636</v>
      </c>
      <c r="I3524" s="100">
        <v>1041.2789165522868</v>
      </c>
      <c r="J3524" s="100">
        <v>61.436489850500266</v>
      </c>
    </row>
    <row r="3525" spans="1:10" x14ac:dyDescent="0.25">
      <c r="A3525">
        <v>3508</v>
      </c>
      <c r="B3525" s="100">
        <v>89.659286549089089</v>
      </c>
      <c r="C3525" s="100">
        <v>97.679092348173882</v>
      </c>
      <c r="D3525" s="100">
        <v>93.601039984184993</v>
      </c>
      <c r="E3525" s="100">
        <v>93.486365475752848</v>
      </c>
      <c r="F3525" s="100">
        <v>-348.62900828446328</v>
      </c>
      <c r="G3525" s="100">
        <v>796.19573768235341</v>
      </c>
      <c r="H3525" s="100">
        <v>-1569.9197573967751</v>
      </c>
      <c r="I3525" s="100">
        <v>-105.72582105162098</v>
      </c>
      <c r="J3525" s="100">
        <v>-1228.0788490505061</v>
      </c>
    </row>
    <row r="3526" spans="1:10" x14ac:dyDescent="0.25">
      <c r="A3526">
        <v>3509</v>
      </c>
      <c r="B3526" s="100">
        <v>89.506662410158683</v>
      </c>
      <c r="C3526" s="100">
        <v>97.75183772323085</v>
      </c>
      <c r="D3526" s="100">
        <v>92.408076014215411</v>
      </c>
      <c r="E3526" s="100">
        <v>95.030299077218814</v>
      </c>
      <c r="F3526" s="100">
        <v>155.03065018587705</v>
      </c>
      <c r="G3526" s="100">
        <v>687.07767509690143</v>
      </c>
      <c r="H3526" s="100">
        <v>816.00818254239016</v>
      </c>
      <c r="I3526" s="100">
        <v>-1649.6594225175868</v>
      </c>
      <c r="J3526" s="100">
        <v>8.4570853075817922</v>
      </c>
    </row>
    <row r="3527" spans="1:10" x14ac:dyDescent="0.25">
      <c r="A3527">
        <v>3510</v>
      </c>
      <c r="B3527" s="100">
        <v>90.756509764164221</v>
      </c>
      <c r="C3527" s="100">
        <v>99.079563549568036</v>
      </c>
      <c r="D3527" s="100">
        <v>93.031863801300631</v>
      </c>
      <c r="E3527" s="100">
        <v>92.954057171275423</v>
      </c>
      <c r="F3527" s="100">
        <v>-3969.4656180324005</v>
      </c>
      <c r="G3527" s="100">
        <v>-1304.5110644088779</v>
      </c>
      <c r="H3527" s="100">
        <v>-431.56739162805025</v>
      </c>
      <c r="I3527" s="100">
        <v>426.58248342580407</v>
      </c>
      <c r="J3527" s="100">
        <v>-5278.9615906435247</v>
      </c>
    </row>
    <row r="3528" spans="1:10" x14ac:dyDescent="0.25">
      <c r="A3528">
        <v>3511</v>
      </c>
      <c r="B3528" s="100">
        <v>90.154493504451779</v>
      </c>
      <c r="C3528" s="100">
        <v>96.528740499230295</v>
      </c>
      <c r="D3528" s="100">
        <v>93.681976626909332</v>
      </c>
      <c r="E3528" s="100">
        <v>89.077289952981985</v>
      </c>
      <c r="F3528" s="100">
        <v>-1982.8119609813398</v>
      </c>
      <c r="G3528" s="100">
        <v>2521.7235110977326</v>
      </c>
      <c r="H3528" s="100">
        <v>-1731.7930428454531</v>
      </c>
      <c r="I3528" s="100">
        <v>4303.3497017192421</v>
      </c>
      <c r="J3528" s="100">
        <v>3110.4682089901817</v>
      </c>
    </row>
    <row r="3529" spans="1:10" x14ac:dyDescent="0.25">
      <c r="A3529">
        <v>3512</v>
      </c>
      <c r="B3529" s="100">
        <v>88.987885188839144</v>
      </c>
      <c r="C3529" s="100">
        <v>98.509482968926392</v>
      </c>
      <c r="D3529" s="100">
        <v>93.198178601856796</v>
      </c>
      <c r="E3529" s="100">
        <v>93.233738059020766</v>
      </c>
      <c r="F3529" s="100">
        <v>1866.9954805403549</v>
      </c>
      <c r="G3529" s="100">
        <v>-449.39019344641196</v>
      </c>
      <c r="H3529" s="100">
        <v>-764.19699274038067</v>
      </c>
      <c r="I3529" s="100">
        <v>146.90159568046113</v>
      </c>
      <c r="J3529" s="100">
        <v>800.3098900340234</v>
      </c>
    </row>
    <row r="3530" spans="1:10" x14ac:dyDescent="0.25">
      <c r="A3530">
        <v>3513</v>
      </c>
      <c r="B3530" s="100">
        <v>89.675031863765298</v>
      </c>
      <c r="C3530" s="100">
        <v>98.781789242085239</v>
      </c>
      <c r="D3530" s="100">
        <v>93.565619596848521</v>
      </c>
      <c r="E3530" s="100">
        <v>94.622614306528533</v>
      </c>
      <c r="F3530" s="100">
        <v>-400.58854671595441</v>
      </c>
      <c r="G3530" s="100">
        <v>-857.84960318468256</v>
      </c>
      <c r="H3530" s="100">
        <v>-1499.0789827238302</v>
      </c>
      <c r="I3530" s="100">
        <v>-1241.9746518273059</v>
      </c>
      <c r="J3530" s="100">
        <v>-3999.4917844517731</v>
      </c>
    </row>
    <row r="3531" spans="1:10" x14ac:dyDescent="0.25">
      <c r="A3531">
        <v>3514</v>
      </c>
      <c r="B3531" s="100">
        <v>89.22427129452474</v>
      </c>
      <c r="C3531" s="100">
        <v>98.054626269539298</v>
      </c>
      <c r="D3531" s="100">
        <v>94.927098282533706</v>
      </c>
      <c r="E3531" s="100">
        <v>93.627730561893529</v>
      </c>
      <c r="F3531" s="100">
        <v>1086.9213317778858</v>
      </c>
      <c r="G3531" s="100">
        <v>232.89485563422829</v>
      </c>
      <c r="H3531" s="100">
        <v>-4222.0363540941999</v>
      </c>
      <c r="I3531" s="100">
        <v>-247.09090719230176</v>
      </c>
      <c r="J3531" s="100">
        <v>-3149.3110738743871</v>
      </c>
    </row>
    <row r="3532" spans="1:10" x14ac:dyDescent="0.25">
      <c r="A3532">
        <v>3515</v>
      </c>
      <c r="B3532" s="100">
        <v>89.159692799413108</v>
      </c>
      <c r="C3532" s="100">
        <v>96.744217795670224</v>
      </c>
      <c r="D3532" s="100">
        <v>92.084814573270251</v>
      </c>
      <c r="E3532" s="100">
        <v>95.410036205483692</v>
      </c>
      <c r="F3532" s="100">
        <v>1300.0303656462734</v>
      </c>
      <c r="G3532" s="100">
        <v>2198.5075664378401</v>
      </c>
      <c r="H3532" s="100">
        <v>1462.5310644327101</v>
      </c>
      <c r="I3532" s="100">
        <v>-2029.3965507824651</v>
      </c>
      <c r="J3532" s="100">
        <v>2931.6724457343589</v>
      </c>
    </row>
    <row r="3533" spans="1:10" x14ac:dyDescent="0.25">
      <c r="A3533">
        <v>3516</v>
      </c>
      <c r="B3533" s="100">
        <v>89.416548790031484</v>
      </c>
      <c r="C3533" s="100">
        <v>98.493796875633024</v>
      </c>
      <c r="D3533" s="100">
        <v>93.847311885022791</v>
      </c>
      <c r="E3533" s="100">
        <v>92.547750128387662</v>
      </c>
      <c r="F3533" s="100">
        <v>452.40559660563093</v>
      </c>
      <c r="G3533" s="100">
        <v>-425.86105350635961</v>
      </c>
      <c r="H3533" s="100">
        <v>-2062.4635590723701</v>
      </c>
      <c r="I3533" s="100">
        <v>832.88952631356494</v>
      </c>
      <c r="J3533" s="100">
        <v>-1203.0294896595337</v>
      </c>
    </row>
    <row r="3534" spans="1:10" x14ac:dyDescent="0.25">
      <c r="A3534">
        <v>3517</v>
      </c>
      <c r="B3534" s="100">
        <v>88.317016449286143</v>
      </c>
      <c r="C3534" s="100">
        <v>97.929126547844803</v>
      </c>
      <c r="D3534" s="100">
        <v>93.486368454961848</v>
      </c>
      <c r="E3534" s="100">
        <v>96.472357936941449</v>
      </c>
      <c r="F3534" s="100">
        <v>4080.8623210652568</v>
      </c>
      <c r="G3534" s="100">
        <v>421.14443817597191</v>
      </c>
      <c r="H3534" s="100">
        <v>-1340.5766989504855</v>
      </c>
      <c r="I3534" s="100">
        <v>-3091.7182822402224</v>
      </c>
      <c r="J3534" s="100">
        <v>69.711778050520934</v>
      </c>
    </row>
    <row r="3535" spans="1:10" x14ac:dyDescent="0.25">
      <c r="A3535">
        <v>3518</v>
      </c>
      <c r="B3535" s="100">
        <v>88.860379150511406</v>
      </c>
      <c r="C3535" s="100">
        <v>99.566327200522394</v>
      </c>
      <c r="D3535" s="100">
        <v>94.497909543516982</v>
      </c>
      <c r="E3535" s="100">
        <v>94.614182023971495</v>
      </c>
      <c r="F3535" s="100">
        <v>2287.7654070218896</v>
      </c>
      <c r="G3535" s="100">
        <v>-2034.656540840416</v>
      </c>
      <c r="H3535" s="100">
        <v>-3363.6588760607538</v>
      </c>
      <c r="I3535" s="100">
        <v>-1233.5423692702675</v>
      </c>
      <c r="J3535" s="100">
        <v>-4344.0923791495479</v>
      </c>
    </row>
    <row r="3536" spans="1:10" x14ac:dyDescent="0.25">
      <c r="A3536">
        <v>3519</v>
      </c>
      <c r="B3536" s="100">
        <v>90.146133233978105</v>
      </c>
      <c r="C3536" s="100">
        <v>96.692253793367158</v>
      </c>
      <c r="D3536" s="100">
        <v>92.174697045341745</v>
      </c>
      <c r="E3536" s="100">
        <v>93.309617332327576</v>
      </c>
      <c r="F3536" s="100">
        <v>-1955.2230684182177</v>
      </c>
      <c r="G3536" s="100">
        <v>2276.4535698924392</v>
      </c>
      <c r="H3536" s="100">
        <v>1282.7661202897218</v>
      </c>
      <c r="I3536" s="100">
        <v>71.022322373650582</v>
      </c>
      <c r="J3536" s="100">
        <v>1675.0189441375937</v>
      </c>
    </row>
    <row r="3537" spans="1:10" x14ac:dyDescent="0.25">
      <c r="A3537">
        <v>3520</v>
      </c>
      <c r="B3537" s="100">
        <v>88.8614616762178</v>
      </c>
      <c r="C3537" s="100">
        <v>99.04085788996565</v>
      </c>
      <c r="D3537" s="100">
        <v>92.070264482997629</v>
      </c>
      <c r="E3537" s="100">
        <v>93.534293818677867</v>
      </c>
      <c r="F3537" s="100">
        <v>2284.1930721907884</v>
      </c>
      <c r="G3537" s="100">
        <v>-1246.4525750052999</v>
      </c>
      <c r="H3537" s="100">
        <v>1491.6312449779525</v>
      </c>
      <c r="I3537" s="100">
        <v>-153.65416397663978</v>
      </c>
      <c r="J3537" s="100">
        <v>2375.7175781868013</v>
      </c>
    </row>
    <row r="3538" spans="1:10" x14ac:dyDescent="0.25">
      <c r="A3538">
        <v>3521</v>
      </c>
      <c r="B3538" s="100">
        <v>89.561959356541507</v>
      </c>
      <c r="C3538" s="100">
        <v>97.491735894025226</v>
      </c>
      <c r="D3538" s="100">
        <v>94.46935779282407</v>
      </c>
      <c r="E3538" s="100">
        <v>92.427786136575435</v>
      </c>
      <c r="F3538" s="100">
        <v>-27.449272877444741</v>
      </c>
      <c r="G3538" s="100">
        <v>1077.2304189053373</v>
      </c>
      <c r="H3538" s="100">
        <v>-3306.5553746749288</v>
      </c>
      <c r="I3538" s="100">
        <v>952.85351812579222</v>
      </c>
      <c r="J3538" s="100">
        <v>-1303.920710521244</v>
      </c>
    </row>
    <row r="3539" spans="1:10" x14ac:dyDescent="0.25">
      <c r="A3539">
        <v>3522</v>
      </c>
      <c r="B3539" s="100">
        <v>89.569409411594023</v>
      </c>
      <c r="C3539" s="100">
        <v>97.905298675330002</v>
      </c>
      <c r="D3539" s="100">
        <v>91.944730679500807</v>
      </c>
      <c r="E3539" s="100">
        <v>94.275153972033792</v>
      </c>
      <c r="F3539" s="100">
        <v>-52.034454550747</v>
      </c>
      <c r="G3539" s="100">
        <v>456.88624694817292</v>
      </c>
      <c r="H3539" s="100">
        <v>1742.6988519715962</v>
      </c>
      <c r="I3539" s="100">
        <v>-894.5143173325647</v>
      </c>
      <c r="J3539" s="100">
        <v>1253.0363270364574</v>
      </c>
    </row>
    <row r="3540" spans="1:10" x14ac:dyDescent="0.25">
      <c r="A3540">
        <v>3523</v>
      </c>
      <c r="B3540" s="100">
        <v>90.262692606621727</v>
      </c>
      <c r="C3540" s="100">
        <v>96.275081285825109</v>
      </c>
      <c r="D3540" s="100">
        <v>92.536737171811538</v>
      </c>
      <c r="E3540" s="100">
        <v>93.491892366668694</v>
      </c>
      <c r="F3540" s="100">
        <v>-2339.8689981421685</v>
      </c>
      <c r="G3540" s="100">
        <v>2902.2123312055114</v>
      </c>
      <c r="H3540" s="100">
        <v>558.68586735013537</v>
      </c>
      <c r="I3540" s="100">
        <v>-111.25271196746667</v>
      </c>
      <c r="J3540" s="100">
        <v>1009.7764884460116</v>
      </c>
    </row>
    <row r="3541" spans="1:10" x14ac:dyDescent="0.25">
      <c r="A3541">
        <v>3524</v>
      </c>
      <c r="B3541" s="100">
        <v>88.166420622963784</v>
      </c>
      <c r="C3541" s="100">
        <v>98.445636262535629</v>
      </c>
      <c r="D3541" s="100">
        <v>93.740839051999217</v>
      </c>
      <c r="E3541" s="100">
        <v>94.069408952012267</v>
      </c>
      <c r="F3541" s="100">
        <v>4577.8285479290416</v>
      </c>
      <c r="G3541" s="100">
        <v>-353.62013386026803</v>
      </c>
      <c r="H3541" s="100">
        <v>-1849.5178930252223</v>
      </c>
      <c r="I3541" s="100">
        <v>-688.76929731104042</v>
      </c>
      <c r="J3541" s="100">
        <v>1685.9212237325112</v>
      </c>
    </row>
    <row r="3542" spans="1:10" x14ac:dyDescent="0.25">
      <c r="A3542">
        <v>3525</v>
      </c>
      <c r="B3542" s="100">
        <v>88.720323540190776</v>
      </c>
      <c r="C3542" s="100">
        <v>99.264110817228584</v>
      </c>
      <c r="D3542" s="100">
        <v>93.078142251076727</v>
      </c>
      <c r="E3542" s="100">
        <v>95.117171204047708</v>
      </c>
      <c r="F3542" s="100">
        <v>2749.9489210799679</v>
      </c>
      <c r="G3542" s="100">
        <v>-1581.3319658997002</v>
      </c>
      <c r="H3542" s="100">
        <v>-524.12429118024306</v>
      </c>
      <c r="I3542" s="100">
        <v>-1736.5315493464805</v>
      </c>
      <c r="J3542" s="100">
        <v>-1092.0388853464558</v>
      </c>
    </row>
    <row r="3543" spans="1:10" x14ac:dyDescent="0.25">
      <c r="A3543">
        <v>3526</v>
      </c>
      <c r="B3543" s="100">
        <v>89.856045895288247</v>
      </c>
      <c r="C3543" s="100">
        <v>96.585939835109869</v>
      </c>
      <c r="D3543" s="100">
        <v>93.92897634264753</v>
      </c>
      <c r="E3543" s="100">
        <v>95.341437560885197</v>
      </c>
      <c r="F3543" s="100">
        <v>-997.93485074168586</v>
      </c>
      <c r="G3543" s="100">
        <v>2435.9245072783724</v>
      </c>
      <c r="H3543" s="100">
        <v>-2225.7924743218496</v>
      </c>
      <c r="I3543" s="100">
        <v>-1960.7979061839701</v>
      </c>
      <c r="J3543" s="100">
        <v>-2748.600723969133</v>
      </c>
    </row>
    <row r="3544" spans="1:10" x14ac:dyDescent="0.25">
      <c r="A3544">
        <v>3527</v>
      </c>
      <c r="B3544" s="100">
        <v>89.148496091464168</v>
      </c>
      <c r="C3544" s="100">
        <v>96.23882073056771</v>
      </c>
      <c r="D3544" s="100">
        <v>92.849084452137348</v>
      </c>
      <c r="E3544" s="100">
        <v>92.684810065224042</v>
      </c>
      <c r="F3544" s="100">
        <v>1336.9795018777766</v>
      </c>
      <c r="G3544" s="100">
        <v>2956.6031640916108</v>
      </c>
      <c r="H3544" s="100">
        <v>-66.008693301483845</v>
      </c>
      <c r="I3544" s="100">
        <v>695.8295894771851</v>
      </c>
      <c r="J3544" s="100">
        <v>4923.4035621450894</v>
      </c>
    </row>
    <row r="3545" spans="1:10" x14ac:dyDescent="0.25">
      <c r="A3545">
        <v>3528</v>
      </c>
      <c r="B3545" s="100">
        <v>89.615271505503628</v>
      </c>
      <c r="C3545" s="100">
        <v>96.750143038469076</v>
      </c>
      <c r="D3545" s="100">
        <v>95.043844344678817</v>
      </c>
      <c r="E3545" s="100">
        <v>92.339235886874874</v>
      </c>
      <c r="F3545" s="100">
        <v>-203.37936445244367</v>
      </c>
      <c r="G3545" s="100">
        <v>2189.6197022395613</v>
      </c>
      <c r="H3545" s="100">
        <v>-4455.5284783844227</v>
      </c>
      <c r="I3545" s="100">
        <v>1041.4037678263526</v>
      </c>
      <c r="J3545" s="100">
        <v>-1427.8843727709523</v>
      </c>
    </row>
    <row r="3546" spans="1:10" x14ac:dyDescent="0.25">
      <c r="A3546">
        <v>3529</v>
      </c>
      <c r="B3546" s="100">
        <v>89.287377773905462</v>
      </c>
      <c r="C3546" s="100">
        <v>97.673290541133724</v>
      </c>
      <c r="D3546" s="100">
        <v>95.536837889983559</v>
      </c>
      <c r="E3546" s="100">
        <v>92.524198746146922</v>
      </c>
      <c r="F3546" s="100">
        <v>878.66994982150572</v>
      </c>
      <c r="G3546" s="100">
        <v>804.89844824258944</v>
      </c>
      <c r="H3546" s="100">
        <v>-5441.5155689939074</v>
      </c>
      <c r="I3546" s="100">
        <v>856.44090855430477</v>
      </c>
      <c r="J3546" s="100">
        <v>-2901.5062623755075</v>
      </c>
    </row>
    <row r="3547" spans="1:10" x14ac:dyDescent="0.25">
      <c r="A3547">
        <v>3530</v>
      </c>
      <c r="B3547" s="100">
        <v>90.529144152025182</v>
      </c>
      <c r="C3547" s="100">
        <v>99.672141966563046</v>
      </c>
      <c r="D3547" s="100">
        <v>93.523924521208855</v>
      </c>
      <c r="E3547" s="100">
        <v>91.345122840599259</v>
      </c>
      <c r="F3547" s="100">
        <v>-3219.159097973572</v>
      </c>
      <c r="G3547" s="100">
        <v>-2193.378689901394</v>
      </c>
      <c r="H3547" s="100">
        <v>-1415.6888314444984</v>
      </c>
      <c r="I3547" s="100">
        <v>2035.5168141019676</v>
      </c>
      <c r="J3547" s="100">
        <v>-4792.709805217497</v>
      </c>
    </row>
    <row r="3548" spans="1:10" x14ac:dyDescent="0.25">
      <c r="A3548">
        <v>3531</v>
      </c>
      <c r="B3548" s="100">
        <v>89.944107306363733</v>
      </c>
      <c r="C3548" s="100">
        <v>99.244106183702769</v>
      </c>
      <c r="D3548" s="100">
        <v>95.018631076095673</v>
      </c>
      <c r="E3548" s="100">
        <v>91.544264199402249</v>
      </c>
      <c r="F3548" s="100">
        <v>-1288.5375072907905</v>
      </c>
      <c r="G3548" s="100">
        <v>-1551.3250156109777</v>
      </c>
      <c r="H3548" s="100">
        <v>-4405.1019412181349</v>
      </c>
      <c r="I3548" s="100">
        <v>1836.3754552989776</v>
      </c>
      <c r="J3548" s="100">
        <v>-5408.5890088209253</v>
      </c>
    </row>
    <row r="3549" spans="1:10" x14ac:dyDescent="0.25">
      <c r="A3549">
        <v>3532</v>
      </c>
      <c r="B3549" s="100">
        <v>89.204181067137753</v>
      </c>
      <c r="C3549" s="100">
        <v>98.495720317298009</v>
      </c>
      <c r="D3549" s="100">
        <v>93.010736465848922</v>
      </c>
      <c r="E3549" s="100">
        <v>93.951057767270882</v>
      </c>
      <c r="F3549" s="100">
        <v>1153.2190821549434</v>
      </c>
      <c r="G3549" s="100">
        <v>-428.74621600383733</v>
      </c>
      <c r="H3549" s="100">
        <v>-389.3127207246323</v>
      </c>
      <c r="I3549" s="100">
        <v>-570.41811256965502</v>
      </c>
      <c r="J3549" s="100">
        <v>-235.2579671431813</v>
      </c>
    </row>
    <row r="3550" spans="1:10" x14ac:dyDescent="0.25">
      <c r="A3550">
        <v>3533</v>
      </c>
      <c r="B3550" s="100">
        <v>90.456760838236193</v>
      </c>
      <c r="C3550" s="100">
        <v>98.681551654343465</v>
      </c>
      <c r="D3550" s="100">
        <v>92.595864120825127</v>
      </c>
      <c r="E3550" s="100">
        <v>93.53466076340186</v>
      </c>
      <c r="F3550" s="100">
        <v>-2980.294162469906</v>
      </c>
      <c r="G3550" s="100">
        <v>-707.49322157202243</v>
      </c>
      <c r="H3550" s="100">
        <v>440.43196932295814</v>
      </c>
      <c r="I3550" s="100">
        <v>-154.02110870063268</v>
      </c>
      <c r="J3550" s="100">
        <v>-3401.376523419603</v>
      </c>
    </row>
    <row r="3551" spans="1:10" x14ac:dyDescent="0.25">
      <c r="A3551">
        <v>3534</v>
      </c>
      <c r="B3551" s="100">
        <v>89.082617139426858</v>
      </c>
      <c r="C3551" s="100">
        <v>97.907233026752522</v>
      </c>
      <c r="D3551" s="100">
        <v>91.818876737581618</v>
      </c>
      <c r="E3551" s="100">
        <v>96.494577916879649</v>
      </c>
      <c r="F3551" s="100">
        <v>1554.3800436008964</v>
      </c>
      <c r="G3551" s="100">
        <v>453.98471981439315</v>
      </c>
      <c r="H3551" s="100">
        <v>1994.4067358099744</v>
      </c>
      <c r="I3551" s="100">
        <v>-3113.9382621784221</v>
      </c>
      <c r="J3551" s="100">
        <v>888.83323704684199</v>
      </c>
    </row>
    <row r="3552" spans="1:10" x14ac:dyDescent="0.25">
      <c r="A3552">
        <v>3535</v>
      </c>
      <c r="B3552" s="100">
        <v>88.684556061019563</v>
      </c>
      <c r="C3552" s="100">
        <v>98.769650568834848</v>
      </c>
      <c r="D3552" s="100">
        <v>93.477844978426745</v>
      </c>
      <c r="E3552" s="100">
        <v>94.775605599598208</v>
      </c>
      <c r="F3552" s="100">
        <v>2867.9816023449703</v>
      </c>
      <c r="G3552" s="100">
        <v>-839.64159330909638</v>
      </c>
      <c r="H3552" s="100">
        <v>-1323.5297458802791</v>
      </c>
      <c r="I3552" s="100">
        <v>-1394.965944896981</v>
      </c>
      <c r="J3552" s="100">
        <v>-690.15568174138616</v>
      </c>
    </row>
    <row r="3553" spans="1:10" x14ac:dyDescent="0.25">
      <c r="A3553">
        <v>3536</v>
      </c>
      <c r="B3553" s="100">
        <v>90.212031478676138</v>
      </c>
      <c r="C3553" s="100">
        <v>98.923830231021086</v>
      </c>
      <c r="D3553" s="100">
        <v>92.696550871084156</v>
      </c>
      <c r="E3553" s="100">
        <v>94.213495378452691</v>
      </c>
      <c r="F3553" s="100">
        <v>-2172.6872759217272</v>
      </c>
      <c r="G3553" s="100">
        <v>-1070.9110865884527</v>
      </c>
      <c r="H3553" s="100">
        <v>239.05846880489889</v>
      </c>
      <c r="I3553" s="100">
        <v>-832.85572375146444</v>
      </c>
      <c r="J3553" s="100">
        <v>-3837.3956174567456</v>
      </c>
    </row>
    <row r="3554" spans="1:10" x14ac:dyDescent="0.25">
      <c r="A3554">
        <v>3537</v>
      </c>
      <c r="B3554" s="100">
        <v>89.758337996180558</v>
      </c>
      <c r="C3554" s="100">
        <v>97.757866683134736</v>
      </c>
      <c r="D3554" s="100">
        <v>92.790736186483386</v>
      </c>
      <c r="E3554" s="100">
        <v>93.31441966165923</v>
      </c>
      <c r="F3554" s="100">
        <v>-675.49878368631084</v>
      </c>
      <c r="G3554" s="100">
        <v>678.03423524107131</v>
      </c>
      <c r="H3554" s="100">
        <v>50.687838006439279</v>
      </c>
      <c r="I3554" s="100">
        <v>66.219993041997327</v>
      </c>
      <c r="J3554" s="100">
        <v>119.44328260319708</v>
      </c>
    </row>
    <row r="3555" spans="1:10" x14ac:dyDescent="0.25">
      <c r="A3555">
        <v>3538</v>
      </c>
      <c r="B3555" s="100">
        <v>89.939394492836527</v>
      </c>
      <c r="C3555" s="100">
        <v>99.180067708640621</v>
      </c>
      <c r="D3555" s="100">
        <v>93.477630453245823</v>
      </c>
      <c r="E3555" s="100">
        <v>91.895716308822685</v>
      </c>
      <c r="F3555" s="100">
        <v>-1272.9852226510104</v>
      </c>
      <c r="G3555" s="100">
        <v>-1455.2673030177559</v>
      </c>
      <c r="H3555" s="100">
        <v>-1323.1006955184341</v>
      </c>
      <c r="I3555" s="100">
        <v>1484.923345878542</v>
      </c>
      <c r="J3555" s="100">
        <v>-2566.4298753086587</v>
      </c>
    </row>
    <row r="3556" spans="1:10" x14ac:dyDescent="0.25">
      <c r="A3556">
        <v>3539</v>
      </c>
      <c r="B3556" s="100">
        <v>89.683670451975203</v>
      </c>
      <c r="C3556" s="100">
        <v>97.706627771466586</v>
      </c>
      <c r="D3556" s="100">
        <v>94.089380864735091</v>
      </c>
      <c r="E3556" s="100">
        <v>92.502167116459532</v>
      </c>
      <c r="F3556" s="100">
        <v>-429.09588780864141</v>
      </c>
      <c r="G3556" s="100">
        <v>754.89260274329695</v>
      </c>
      <c r="H3556" s="100">
        <v>-2546.6015184969706</v>
      </c>
      <c r="I3556" s="100">
        <v>878.47253824169513</v>
      </c>
      <c r="J3556" s="100">
        <v>-1342.3322653206201</v>
      </c>
    </row>
    <row r="3557" spans="1:10" x14ac:dyDescent="0.25">
      <c r="A3557">
        <v>3540</v>
      </c>
      <c r="B3557" s="100">
        <v>89.869457568995173</v>
      </c>
      <c r="C3557" s="100">
        <v>99.139215260515655</v>
      </c>
      <c r="D3557" s="100">
        <v>91.52322094005676</v>
      </c>
      <c r="E3557" s="100">
        <v>90.964976467869505</v>
      </c>
      <c r="F3557" s="100">
        <v>-1042.1933739745427</v>
      </c>
      <c r="G3557" s="100">
        <v>-1393.9886308303073</v>
      </c>
      <c r="H3557" s="100">
        <v>2585.7183308596914</v>
      </c>
      <c r="I3557" s="100">
        <v>2415.6631868317218</v>
      </c>
      <c r="J3557" s="100">
        <v>2565.1995128865628</v>
      </c>
    </row>
    <row r="3558" spans="1:10" x14ac:dyDescent="0.25">
      <c r="A3558">
        <v>3541</v>
      </c>
      <c r="B3558" s="100">
        <v>89.680777665921724</v>
      </c>
      <c r="C3558" s="100">
        <v>99.273349238214109</v>
      </c>
      <c r="D3558" s="100">
        <v>93.333116091203934</v>
      </c>
      <c r="E3558" s="100">
        <v>97.039106576260536</v>
      </c>
      <c r="F3558" s="100">
        <v>-419.54969383215968</v>
      </c>
      <c r="G3558" s="100">
        <v>-1595.1895973779883</v>
      </c>
      <c r="H3558" s="100">
        <v>-1034.0719714346562</v>
      </c>
      <c r="I3558" s="100">
        <v>-3658.4669215593094</v>
      </c>
      <c r="J3558" s="100">
        <v>-6707.2781842041131</v>
      </c>
    </row>
    <row r="3559" spans="1:10" x14ac:dyDescent="0.25">
      <c r="A3559">
        <v>3542</v>
      </c>
      <c r="B3559" s="100">
        <v>89.772586038992671</v>
      </c>
      <c r="C3559" s="100">
        <v>98.025634215401496</v>
      </c>
      <c r="D3559" s="100">
        <v>92.846334946593259</v>
      </c>
      <c r="E3559" s="100">
        <v>93.812657305768539</v>
      </c>
      <c r="F3559" s="100">
        <v>-722.51732496628449</v>
      </c>
      <c r="G3559" s="100">
        <v>276.38293684093185</v>
      </c>
      <c r="H3559" s="100">
        <v>-60.509682213307769</v>
      </c>
      <c r="I3559" s="100">
        <v>-432.01765106731216</v>
      </c>
      <c r="J3559" s="100">
        <v>-938.66172140597257</v>
      </c>
    </row>
    <row r="3560" spans="1:10" x14ac:dyDescent="0.25">
      <c r="A3560">
        <v>3543</v>
      </c>
      <c r="B3560" s="100">
        <v>90.261502212977732</v>
      </c>
      <c r="C3560" s="100">
        <v>97.858498120925546</v>
      </c>
      <c r="D3560" s="100">
        <v>91.569003868814576</v>
      </c>
      <c r="E3560" s="100">
        <v>91.830398522200539</v>
      </c>
      <c r="F3560" s="100">
        <v>-2335.9406991169849</v>
      </c>
      <c r="G3560" s="100">
        <v>527.0870785548567</v>
      </c>
      <c r="H3560" s="100">
        <v>2494.1524733440588</v>
      </c>
      <c r="I3560" s="100">
        <v>1550.2411325006874</v>
      </c>
      <c r="J3560" s="100">
        <v>2235.5399852826181</v>
      </c>
    </row>
    <row r="3561" spans="1:10" x14ac:dyDescent="0.25">
      <c r="A3561">
        <v>3544</v>
      </c>
      <c r="B3561" s="100">
        <v>89.54698812580709</v>
      </c>
      <c r="C3561" s="100">
        <v>98.536680628563843</v>
      </c>
      <c r="D3561" s="100">
        <v>91.875535869325489</v>
      </c>
      <c r="E3561" s="100">
        <v>96.175769261536814</v>
      </c>
      <c r="F3561" s="100">
        <v>21.955788546132737</v>
      </c>
      <c r="G3561" s="100">
        <v>-490.18668290258915</v>
      </c>
      <c r="H3561" s="100">
        <v>1881.088472322233</v>
      </c>
      <c r="I3561" s="100">
        <v>-2795.1296068355873</v>
      </c>
      <c r="J3561" s="100">
        <v>-1382.2720288698108</v>
      </c>
    </row>
    <row r="3562" spans="1:10" x14ac:dyDescent="0.25">
      <c r="A3562">
        <v>3545</v>
      </c>
      <c r="B3562" s="100">
        <v>89.905774402216338</v>
      </c>
      <c r="C3562" s="100">
        <v>95.278198787789563</v>
      </c>
      <c r="D3562" s="100">
        <v>92.119613258517134</v>
      </c>
      <c r="E3562" s="100">
        <v>93.925025924850203</v>
      </c>
      <c r="F3562" s="100">
        <v>-1162.0389236043848</v>
      </c>
      <c r="G3562" s="100">
        <v>4397.5360782588314</v>
      </c>
      <c r="H3562" s="100">
        <v>1392.933693938943</v>
      </c>
      <c r="I3562" s="100">
        <v>-544.38627014897634</v>
      </c>
      <c r="J3562" s="100">
        <v>4084.0445784444137</v>
      </c>
    </row>
    <row r="3563" spans="1:10" x14ac:dyDescent="0.25">
      <c r="A3563">
        <v>3546</v>
      </c>
      <c r="B3563" s="100">
        <v>90.791734511994747</v>
      </c>
      <c r="C3563" s="100">
        <v>97.089215271418382</v>
      </c>
      <c r="D3563" s="100">
        <v>92.329283220980599</v>
      </c>
      <c r="E3563" s="100">
        <v>94.280089305331032</v>
      </c>
      <c r="F3563" s="100">
        <v>-4085.7072858731358</v>
      </c>
      <c r="G3563" s="100">
        <v>1681.0113528156023</v>
      </c>
      <c r="H3563" s="100">
        <v>973.59376901201244</v>
      </c>
      <c r="I3563" s="100">
        <v>-899.44965062980486</v>
      </c>
      <c r="J3563" s="100">
        <v>-2330.5518146753261</v>
      </c>
    </row>
    <row r="3564" spans="1:10" x14ac:dyDescent="0.25">
      <c r="A3564">
        <v>3547</v>
      </c>
      <c r="B3564" s="100">
        <v>90.415942872491485</v>
      </c>
      <c r="C3564" s="100">
        <v>98.797434556932942</v>
      </c>
      <c r="D3564" s="100">
        <v>93.270299291686086</v>
      </c>
      <c r="E3564" s="100">
        <v>92.799477467994095</v>
      </c>
      <c r="F3564" s="100">
        <v>-2845.59487551237</v>
      </c>
      <c r="G3564" s="100">
        <v>-881.31757545623657</v>
      </c>
      <c r="H3564" s="100">
        <v>-908.43837239896175</v>
      </c>
      <c r="I3564" s="100">
        <v>581.16218670713238</v>
      </c>
      <c r="J3564" s="100">
        <v>-4054.1886366604358</v>
      </c>
    </row>
    <row r="3565" spans="1:10" x14ac:dyDescent="0.25">
      <c r="A3565">
        <v>3548</v>
      </c>
      <c r="B3565" s="100">
        <v>90.86705200993876</v>
      </c>
      <c r="C3565" s="100">
        <v>97.976884825379372</v>
      </c>
      <c r="D3565" s="100">
        <v>94.136515739412502</v>
      </c>
      <c r="E3565" s="100">
        <v>93.449928146913521</v>
      </c>
      <c r="F3565" s="100">
        <v>-4334.2550290883792</v>
      </c>
      <c r="G3565" s="100">
        <v>349.50702187411764</v>
      </c>
      <c r="H3565" s="100">
        <v>-2640.8712678517932</v>
      </c>
      <c r="I3565" s="100">
        <v>-69.288492212294273</v>
      </c>
      <c r="J3565" s="100">
        <v>-6694.9077672783487</v>
      </c>
    </row>
    <row r="3566" spans="1:10" x14ac:dyDescent="0.25">
      <c r="A3566">
        <v>3549</v>
      </c>
      <c r="B3566" s="100">
        <v>89.898843445889156</v>
      </c>
      <c r="C3566" s="100">
        <v>97.538528951980595</v>
      </c>
      <c r="D3566" s="100">
        <v>93.468102367443677</v>
      </c>
      <c r="E3566" s="100">
        <v>93.579901092354575</v>
      </c>
      <c r="F3566" s="100">
        <v>-1139.1667677246858</v>
      </c>
      <c r="G3566" s="100">
        <v>1007.0408319722831</v>
      </c>
      <c r="H3566" s="100">
        <v>-1304.0445239141434</v>
      </c>
      <c r="I3566" s="100">
        <v>-199.26143765334814</v>
      </c>
      <c r="J3566" s="100">
        <v>-1635.4318973198942</v>
      </c>
    </row>
    <row r="3567" spans="1:10" x14ac:dyDescent="0.25">
      <c r="A3567">
        <v>3550</v>
      </c>
      <c r="B3567" s="100">
        <v>89.335255792299321</v>
      </c>
      <c r="C3567" s="100">
        <v>97.811503051048049</v>
      </c>
      <c r="D3567" s="100">
        <v>92.748212261960035</v>
      </c>
      <c r="E3567" s="100">
        <v>93.831762152243044</v>
      </c>
      <c r="F3567" s="100">
        <v>720.67248912176888</v>
      </c>
      <c r="G3567" s="100">
        <v>597.57968337110151</v>
      </c>
      <c r="H3567" s="100">
        <v>135.73568705314187</v>
      </c>
      <c r="I3567" s="100">
        <v>-451.12249754181732</v>
      </c>
      <c r="J3567" s="100">
        <v>1002.8653620041949</v>
      </c>
    </row>
    <row r="3568" spans="1:10" x14ac:dyDescent="0.25">
      <c r="A3568">
        <v>3551</v>
      </c>
      <c r="B3568" s="100">
        <v>89.717294239924115</v>
      </c>
      <c r="C3568" s="100">
        <v>97.859056244740842</v>
      </c>
      <c r="D3568" s="100">
        <v>93.67289581456285</v>
      </c>
      <c r="E3568" s="100">
        <v>93.963470304590473</v>
      </c>
      <c r="F3568" s="100">
        <v>-540.05438804005053</v>
      </c>
      <c r="G3568" s="100">
        <v>526.24989283191326</v>
      </c>
      <c r="H3568" s="100">
        <v>-1713.6314181524881</v>
      </c>
      <c r="I3568" s="100">
        <v>-582.83064988924593</v>
      </c>
      <c r="J3568" s="100">
        <v>-2310.2665632498711</v>
      </c>
    </row>
    <row r="3569" spans="1:10" x14ac:dyDescent="0.25">
      <c r="A3569">
        <v>3552</v>
      </c>
      <c r="B3569" s="100">
        <v>89.355028257145122</v>
      </c>
      <c r="C3569" s="100">
        <v>98.848573552693736</v>
      </c>
      <c r="D3569" s="100">
        <v>93.573285855965693</v>
      </c>
      <c r="E3569" s="100">
        <v>92.231552303203003</v>
      </c>
      <c r="F3569" s="100">
        <v>655.42335513062676</v>
      </c>
      <c r="G3569" s="100">
        <v>-958.02606909742849</v>
      </c>
      <c r="H3569" s="100">
        <v>-1514.4115009581753</v>
      </c>
      <c r="I3569" s="100">
        <v>1149.0873514982241</v>
      </c>
      <c r="J3569" s="100">
        <v>-667.92686342675302</v>
      </c>
    </row>
    <row r="3570" spans="1:10" x14ac:dyDescent="0.25">
      <c r="A3570">
        <v>3553</v>
      </c>
      <c r="B3570" s="100">
        <v>89.409185674692438</v>
      </c>
      <c r="C3570" s="100">
        <v>97.59396414568495</v>
      </c>
      <c r="D3570" s="100">
        <v>94.264698300908634</v>
      </c>
      <c r="E3570" s="100">
        <v>96.747275677471862</v>
      </c>
      <c r="F3570" s="100">
        <v>476.70387722448453</v>
      </c>
      <c r="G3570" s="100">
        <v>923.88804141575065</v>
      </c>
      <c r="H3570" s="100">
        <v>-2897.236390844057</v>
      </c>
      <c r="I3570" s="100">
        <v>-3366.636022770635</v>
      </c>
      <c r="J3570" s="100">
        <v>-4863.2804949744568</v>
      </c>
    </row>
    <row r="3571" spans="1:10" x14ac:dyDescent="0.25">
      <c r="A3571">
        <v>3554</v>
      </c>
      <c r="B3571" s="100">
        <v>89.448753889366387</v>
      </c>
      <c r="C3571" s="100">
        <v>99.655902433357113</v>
      </c>
      <c r="D3571" s="100">
        <v>92.168906546617947</v>
      </c>
      <c r="E3571" s="100">
        <v>90.421297527113097</v>
      </c>
      <c r="F3571" s="100">
        <v>346.1287688004532</v>
      </c>
      <c r="G3571" s="100">
        <v>-2169.0193900924937</v>
      </c>
      <c r="H3571" s="100">
        <v>1294.3471177373169</v>
      </c>
      <c r="I3571" s="100">
        <v>2959.3421275881296</v>
      </c>
      <c r="J3571" s="100">
        <v>2430.7986240334058</v>
      </c>
    </row>
    <row r="3572" spans="1:10" x14ac:dyDescent="0.25">
      <c r="A3572">
        <v>3555</v>
      </c>
      <c r="B3572" s="100">
        <v>88.931010100391816</v>
      </c>
      <c r="C3572" s="100">
        <v>97.966642176077784</v>
      </c>
      <c r="D3572" s="100">
        <v>92.821288046514198</v>
      </c>
      <c r="E3572" s="100">
        <v>92.81681075205104</v>
      </c>
      <c r="F3572" s="100">
        <v>2054.6832724165356</v>
      </c>
      <c r="G3572" s="100">
        <v>364.87099582650018</v>
      </c>
      <c r="H3572" s="100">
        <v>-10.415882055184511</v>
      </c>
      <c r="I3572" s="100">
        <v>563.82890265018659</v>
      </c>
      <c r="J3572" s="100">
        <v>2972.9672888380378</v>
      </c>
    </row>
    <row r="3573" spans="1:10" x14ac:dyDescent="0.25">
      <c r="A3573">
        <v>3556</v>
      </c>
      <c r="B3573" s="100">
        <v>88.607666912521537</v>
      </c>
      <c r="C3573" s="100">
        <v>98.244990780121526</v>
      </c>
      <c r="D3573" s="100">
        <v>91.668151761130787</v>
      </c>
      <c r="E3573" s="100">
        <v>96.520177469088381</v>
      </c>
      <c r="F3573" s="100">
        <v>3121.7157923884556</v>
      </c>
      <c r="G3573" s="100">
        <v>-52.65191023911342</v>
      </c>
      <c r="H3573" s="100">
        <v>2295.8566887116376</v>
      </c>
      <c r="I3573" s="100">
        <v>-3139.537814387154</v>
      </c>
      <c r="J3573" s="100">
        <v>2225.3827564738258</v>
      </c>
    </row>
    <row r="3574" spans="1:10" x14ac:dyDescent="0.25">
      <c r="A3574">
        <v>3557</v>
      </c>
      <c r="B3574" s="100">
        <v>90.092173644556354</v>
      </c>
      <c r="C3574" s="100">
        <v>99.236177955811883</v>
      </c>
      <c r="D3574" s="100">
        <v>91.998756867722648</v>
      </c>
      <c r="E3574" s="100">
        <v>94.235301027596662</v>
      </c>
      <c r="F3574" s="100">
        <v>-1777.1564233264385</v>
      </c>
      <c r="G3574" s="100">
        <v>-1539.4326737746483</v>
      </c>
      <c r="H3574" s="100">
        <v>1634.6464755279158</v>
      </c>
      <c r="I3574" s="100">
        <v>-854.66137289543553</v>
      </c>
      <c r="J3574" s="100">
        <v>-2536.6039944686063</v>
      </c>
    </row>
    <row r="3575" spans="1:10" x14ac:dyDescent="0.25">
      <c r="A3575">
        <v>3558</v>
      </c>
      <c r="B3575" s="100">
        <v>89.407717988515756</v>
      </c>
      <c r="C3575" s="100">
        <v>97.219528063234932</v>
      </c>
      <c r="D3575" s="100">
        <v>92.187318069350425</v>
      </c>
      <c r="E3575" s="100">
        <v>93.504774123193727</v>
      </c>
      <c r="F3575" s="100">
        <v>481.54724160753375</v>
      </c>
      <c r="G3575" s="100">
        <v>1485.5421650907772</v>
      </c>
      <c r="H3575" s="100">
        <v>1257.5240722723606</v>
      </c>
      <c r="I3575" s="100">
        <v>-124.13446849249965</v>
      </c>
      <c r="J3575" s="100">
        <v>3100.4790104781719</v>
      </c>
    </row>
    <row r="3576" spans="1:10" x14ac:dyDescent="0.25">
      <c r="A3576">
        <v>3559</v>
      </c>
      <c r="B3576" s="100">
        <v>89.536345975778246</v>
      </c>
      <c r="C3576" s="100">
        <v>98.369116704704624</v>
      </c>
      <c r="D3576" s="100">
        <v>93.662462524806983</v>
      </c>
      <c r="E3576" s="100">
        <v>93.437912613587073</v>
      </c>
      <c r="F3576" s="100">
        <v>57.074883641315921</v>
      </c>
      <c r="G3576" s="100">
        <v>-238.84079711375961</v>
      </c>
      <c r="H3576" s="100">
        <v>-1692.7648386407554</v>
      </c>
      <c r="I3576" s="100">
        <v>-57.272958885846492</v>
      </c>
      <c r="J3576" s="100">
        <v>-1931.8037109990455</v>
      </c>
    </row>
    <row r="3577" spans="1:10" x14ac:dyDescent="0.25">
      <c r="A3577">
        <v>3560</v>
      </c>
      <c r="B3577" s="100">
        <v>90.02357752950158</v>
      </c>
      <c r="C3577" s="100">
        <v>99.777798557028902</v>
      </c>
      <c r="D3577" s="100">
        <v>95.495931948503042</v>
      </c>
      <c r="E3577" s="100">
        <v>93.68466133538513</v>
      </c>
      <c r="F3577" s="100">
        <v>-1550.7892436456841</v>
      </c>
      <c r="G3577" s="100">
        <v>-2351.8635756001772</v>
      </c>
      <c r="H3577" s="100">
        <v>-5359.7036860328726</v>
      </c>
      <c r="I3577" s="100">
        <v>-304.02168068390267</v>
      </c>
      <c r="J3577" s="100">
        <v>-9566.3781859626379</v>
      </c>
    </row>
    <row r="3578" spans="1:10" x14ac:dyDescent="0.25">
      <c r="A3578">
        <v>3561</v>
      </c>
      <c r="B3578" s="100">
        <v>90.564789829524557</v>
      </c>
      <c r="C3578" s="100">
        <v>98.032454391607516</v>
      </c>
      <c r="D3578" s="100">
        <v>90.058558683077678</v>
      </c>
      <c r="E3578" s="100">
        <v>93.045427973251932</v>
      </c>
      <c r="F3578" s="100">
        <v>-3336.7898337215083</v>
      </c>
      <c r="G3578" s="100">
        <v>266.15267253190211</v>
      </c>
      <c r="H3578" s="100">
        <v>5515.0428448178554</v>
      </c>
      <c r="I3578" s="100">
        <v>335.21168144929447</v>
      </c>
      <c r="J3578" s="100">
        <v>2779.6173650775436</v>
      </c>
    </row>
    <row r="3579" spans="1:10" x14ac:dyDescent="0.25">
      <c r="A3579">
        <v>3562</v>
      </c>
      <c r="B3579" s="100">
        <v>88.739557911439618</v>
      </c>
      <c r="C3579" s="100">
        <v>97.741595788266878</v>
      </c>
      <c r="D3579" s="100">
        <v>93.518062118725723</v>
      </c>
      <c r="E3579" s="100">
        <v>92.650122023415179</v>
      </c>
      <c r="F3579" s="100">
        <v>2686.4754959587885</v>
      </c>
      <c r="G3579" s="100">
        <v>702.44057754285905</v>
      </c>
      <c r="H3579" s="100">
        <v>-1403.9640264782349</v>
      </c>
      <c r="I3579" s="100">
        <v>730.51763128604819</v>
      </c>
      <c r="J3579" s="100">
        <v>2715.469678309461</v>
      </c>
    </row>
    <row r="3580" spans="1:10" x14ac:dyDescent="0.25">
      <c r="A3580">
        <v>3563</v>
      </c>
      <c r="B3580" s="100">
        <v>89.351658605117549</v>
      </c>
      <c r="C3580" s="100">
        <v>99.518011069214637</v>
      </c>
      <c r="D3580" s="100">
        <v>92.671331857810088</v>
      </c>
      <c r="E3580" s="100">
        <v>97.055158147749978</v>
      </c>
      <c r="F3580" s="100">
        <v>666.5432068216162</v>
      </c>
      <c r="G3580" s="100">
        <v>-1962.1823438787801</v>
      </c>
      <c r="H3580" s="100">
        <v>289.49649535303479</v>
      </c>
      <c r="I3580" s="100">
        <v>-3674.5184930487512</v>
      </c>
      <c r="J3580" s="100">
        <v>-4680.6611347528806</v>
      </c>
    </row>
    <row r="3581" spans="1:10" x14ac:dyDescent="0.25">
      <c r="A3581">
        <v>3564</v>
      </c>
      <c r="B3581" s="100">
        <v>89.546040963902556</v>
      </c>
      <c r="C3581" s="100">
        <v>97.484161185444265</v>
      </c>
      <c r="D3581" s="100">
        <v>93.856463255394345</v>
      </c>
      <c r="E3581" s="100">
        <v>93.929547738949964</v>
      </c>
      <c r="F3581" s="100">
        <v>25.081422831095779</v>
      </c>
      <c r="G3581" s="100">
        <v>1088.5924817767786</v>
      </c>
      <c r="H3581" s="100">
        <v>-2080.7662998154797</v>
      </c>
      <c r="I3581" s="100">
        <v>-548.90808424873683</v>
      </c>
      <c r="J3581" s="100">
        <v>-1516.000479456342</v>
      </c>
    </row>
    <row r="3582" spans="1:10" x14ac:dyDescent="0.25">
      <c r="A3582">
        <v>3565</v>
      </c>
      <c r="B3582" s="100">
        <v>89.339133856320061</v>
      </c>
      <c r="C3582" s="100">
        <v>98.936042869032477</v>
      </c>
      <c r="D3582" s="100">
        <v>91.961888317618005</v>
      </c>
      <c r="E3582" s="100">
        <v>94.985737424846519</v>
      </c>
      <c r="F3582" s="100">
        <v>707.87487785332951</v>
      </c>
      <c r="G3582" s="100">
        <v>-1089.2300436055393</v>
      </c>
      <c r="H3582" s="100">
        <v>1708.3835757372015</v>
      </c>
      <c r="I3582" s="100">
        <v>-1605.0977701452921</v>
      </c>
      <c r="J3582" s="100">
        <v>-278.06936016030045</v>
      </c>
    </row>
    <row r="3583" spans="1:10" x14ac:dyDescent="0.25">
      <c r="A3583">
        <v>3566</v>
      </c>
      <c r="B3583" s="100">
        <v>88.903235739225366</v>
      </c>
      <c r="C3583" s="100">
        <v>98.583314085217836</v>
      </c>
      <c r="D3583" s="100">
        <v>93.350544580183879</v>
      </c>
      <c r="E3583" s="100">
        <v>92.449480657834869</v>
      </c>
      <c r="F3583" s="100">
        <v>2146.338664265822</v>
      </c>
      <c r="G3583" s="100">
        <v>-560.13686788357836</v>
      </c>
      <c r="H3583" s="100">
        <v>-1068.9289493945466</v>
      </c>
      <c r="I3583" s="100">
        <v>931.15899686635828</v>
      </c>
      <c r="J3583" s="100">
        <v>1448.4318438540554</v>
      </c>
    </row>
    <row r="3584" spans="1:10" x14ac:dyDescent="0.25">
      <c r="A3584">
        <v>3567</v>
      </c>
      <c r="B3584" s="100">
        <v>89.052420502411792</v>
      </c>
      <c r="C3584" s="100">
        <v>99.783782893939673</v>
      </c>
      <c r="D3584" s="100">
        <v>92.806762434575774</v>
      </c>
      <c r="E3584" s="100">
        <v>94.787317257481703</v>
      </c>
      <c r="F3584" s="100">
        <v>1654.0289457506162</v>
      </c>
      <c r="G3584" s="100">
        <v>-2360.8400809663335</v>
      </c>
      <c r="H3584" s="100">
        <v>18.635341821664042</v>
      </c>
      <c r="I3584" s="100">
        <v>-1406.6776027804763</v>
      </c>
      <c r="J3584" s="100">
        <v>-2094.8533961745297</v>
      </c>
    </row>
    <row r="3585" spans="1:10" x14ac:dyDescent="0.25">
      <c r="A3585">
        <v>3568</v>
      </c>
      <c r="B3585" s="100">
        <v>88.444750630548199</v>
      </c>
      <c r="C3585" s="100">
        <v>98.525176784162582</v>
      </c>
      <c r="D3585" s="100">
        <v>91.811290903275008</v>
      </c>
      <c r="E3585" s="100">
        <v>91.268562387917171</v>
      </c>
      <c r="F3585" s="100">
        <v>3659.3395229004714</v>
      </c>
      <c r="G3585" s="100">
        <v>-472.93091630069739</v>
      </c>
      <c r="H3585" s="100">
        <v>2009.5784044231948</v>
      </c>
      <c r="I3585" s="100">
        <v>2112.0772667840556</v>
      </c>
      <c r="J3585" s="100">
        <v>7308.0642778070242</v>
      </c>
    </row>
    <row r="3586" spans="1:10" x14ac:dyDescent="0.25">
      <c r="A3586">
        <v>3569</v>
      </c>
      <c r="B3586" s="100">
        <v>88.90260676717763</v>
      </c>
      <c r="C3586" s="100">
        <v>98.675205796321791</v>
      </c>
      <c r="D3586" s="100">
        <v>93.152004327293227</v>
      </c>
      <c r="E3586" s="100">
        <v>92.870197861617555</v>
      </c>
      <c r="F3586" s="100">
        <v>2148.4142720233494</v>
      </c>
      <c r="G3586" s="100">
        <v>-697.97443453951041</v>
      </c>
      <c r="H3586" s="100">
        <v>-671.84844361324281</v>
      </c>
      <c r="I3586" s="100">
        <v>510.44179308367177</v>
      </c>
      <c r="J3586" s="100">
        <v>1289.0331869542679</v>
      </c>
    </row>
    <row r="3587" spans="1:10" x14ac:dyDescent="0.25">
      <c r="A3587">
        <v>3570</v>
      </c>
      <c r="B3587" s="100">
        <v>89.800938385657616</v>
      </c>
      <c r="C3587" s="100">
        <v>98.826444270019451</v>
      </c>
      <c r="D3587" s="100">
        <v>93.700865908127966</v>
      </c>
      <c r="E3587" s="100">
        <v>92.669178061582627</v>
      </c>
      <c r="F3587" s="100">
        <v>-816.08006896060488</v>
      </c>
      <c r="G3587" s="100">
        <v>-924.83214508600042</v>
      </c>
      <c r="H3587" s="100">
        <v>-1769.5716052827208</v>
      </c>
      <c r="I3587" s="100">
        <v>711.46159311859947</v>
      </c>
      <c r="J3587" s="100">
        <v>-2799.0222262107268</v>
      </c>
    </row>
    <row r="3588" spans="1:10" x14ac:dyDescent="0.25">
      <c r="A3588">
        <v>3571</v>
      </c>
      <c r="B3588" s="100">
        <v>89.746815901642606</v>
      </c>
      <c r="C3588" s="100">
        <v>98.063067214035911</v>
      </c>
      <c r="D3588" s="100">
        <v>92.96464940648444</v>
      </c>
      <c r="E3588" s="100">
        <v>92.89267851836955</v>
      </c>
      <c r="F3588" s="100">
        <v>-637.47587171106943</v>
      </c>
      <c r="G3588" s="100">
        <v>220.23343888930924</v>
      </c>
      <c r="H3588" s="100">
        <v>-297.13860199566966</v>
      </c>
      <c r="I3588" s="100">
        <v>487.96113633167693</v>
      </c>
      <c r="J3588" s="100">
        <v>-226.41989848575292</v>
      </c>
    </row>
    <row r="3589" spans="1:10" x14ac:dyDescent="0.25">
      <c r="A3589">
        <v>3572</v>
      </c>
      <c r="B3589" s="100">
        <v>89.538150726217296</v>
      </c>
      <c r="C3589" s="100">
        <v>98.858814732404966</v>
      </c>
      <c r="D3589" s="100">
        <v>92.728505648663898</v>
      </c>
      <c r="E3589" s="100">
        <v>93.022853849978901</v>
      </c>
      <c r="F3589" s="100">
        <v>51.11920719245262</v>
      </c>
      <c r="G3589" s="100">
        <v>-973.38783866427298</v>
      </c>
      <c r="H3589" s="100">
        <v>175.1489136454154</v>
      </c>
      <c r="I3589" s="100">
        <v>357.78580472232591</v>
      </c>
      <c r="J3589" s="100">
        <v>-389.33391310407899</v>
      </c>
    </row>
    <row r="3590" spans="1:10" x14ac:dyDescent="0.25">
      <c r="A3590">
        <v>3573</v>
      </c>
      <c r="B3590" s="100">
        <v>89.431562150260191</v>
      </c>
      <c r="C3590" s="100">
        <v>99.420369267532237</v>
      </c>
      <c r="D3590" s="100">
        <v>93.509256423533699</v>
      </c>
      <c r="E3590" s="100">
        <v>93.828205654750832</v>
      </c>
      <c r="F3590" s="100">
        <v>402.86150785089774</v>
      </c>
      <c r="G3590" s="100">
        <v>-1815.7196413551801</v>
      </c>
      <c r="H3590" s="100">
        <v>-1386.3526360941876</v>
      </c>
      <c r="I3590" s="100">
        <v>-447.5660000496049</v>
      </c>
      <c r="J3590" s="100">
        <v>-3246.7767696480746</v>
      </c>
    </row>
    <row r="3591" spans="1:10" x14ac:dyDescent="0.25">
      <c r="A3591">
        <v>3574</v>
      </c>
      <c r="B3591" s="100">
        <v>89.465752025563376</v>
      </c>
      <c r="C3591" s="100">
        <v>97.94986873806721</v>
      </c>
      <c r="D3591" s="100">
        <v>92.899971248929745</v>
      </c>
      <c r="E3591" s="100">
        <v>92.235121996090299</v>
      </c>
      <c r="F3591" s="100">
        <v>290.03491935038994</v>
      </c>
      <c r="G3591" s="100">
        <v>390.03115284236145</v>
      </c>
      <c r="H3591" s="100">
        <v>-167.78228688627905</v>
      </c>
      <c r="I3591" s="100">
        <v>1145.5176586109274</v>
      </c>
      <c r="J3591" s="100">
        <v>1657.8014439173996</v>
      </c>
    </row>
    <row r="3592" spans="1:10" x14ac:dyDescent="0.25">
      <c r="A3592">
        <v>3575</v>
      </c>
      <c r="B3592" s="100">
        <v>89.150078222981236</v>
      </c>
      <c r="C3592" s="100">
        <v>98.600533262623784</v>
      </c>
      <c r="D3592" s="100">
        <v>91.132028373725177</v>
      </c>
      <c r="E3592" s="100">
        <v>93.251745757625002</v>
      </c>
      <c r="F3592" s="100">
        <v>1331.7584678714511</v>
      </c>
      <c r="G3592" s="100">
        <v>-585.96563399250101</v>
      </c>
      <c r="H3592" s="100">
        <v>3368.1034635228571</v>
      </c>
      <c r="I3592" s="100">
        <v>128.89389707622456</v>
      </c>
      <c r="J3592" s="100">
        <v>4242.7901944780315</v>
      </c>
    </row>
    <row r="3593" spans="1:10" x14ac:dyDescent="0.25">
      <c r="A3593">
        <v>3576</v>
      </c>
      <c r="B3593" s="100">
        <v>90.406575217581846</v>
      </c>
      <c r="C3593" s="100">
        <v>97.747760310560082</v>
      </c>
      <c r="D3593" s="100">
        <v>94.876966401568069</v>
      </c>
      <c r="E3593" s="100">
        <v>95.876025164976795</v>
      </c>
      <c r="F3593" s="100">
        <v>-2814.6816143105625</v>
      </c>
      <c r="G3593" s="100">
        <v>693.1937941030526</v>
      </c>
      <c r="H3593" s="100">
        <v>-4121.7725921629262</v>
      </c>
      <c r="I3593" s="100">
        <v>-2495.3855102755683</v>
      </c>
      <c r="J3593" s="100">
        <v>-8738.6459226460047</v>
      </c>
    </row>
    <row r="3594" spans="1:10" x14ac:dyDescent="0.25">
      <c r="A3594">
        <v>3577</v>
      </c>
      <c r="B3594" s="100">
        <v>89.734546999583941</v>
      </c>
      <c r="C3594" s="100">
        <v>98.882002002634152</v>
      </c>
      <c r="D3594" s="100">
        <v>92.491389637663033</v>
      </c>
      <c r="E3594" s="100">
        <v>93.171284022196758</v>
      </c>
      <c r="F3594" s="100">
        <v>-596.98849491747546</v>
      </c>
      <c r="G3594" s="100">
        <v>-1008.168744008053</v>
      </c>
      <c r="H3594" s="100">
        <v>649.3809356471445</v>
      </c>
      <c r="I3594" s="100">
        <v>209.35563250446876</v>
      </c>
      <c r="J3594" s="100">
        <v>-746.42067077391516</v>
      </c>
    </row>
    <row r="3595" spans="1:10" x14ac:dyDescent="0.25">
      <c r="A3595">
        <v>3578</v>
      </c>
      <c r="B3595" s="100">
        <v>89.495093512966818</v>
      </c>
      <c r="C3595" s="100">
        <v>97.916370580605687</v>
      </c>
      <c r="D3595" s="100">
        <v>92.848721976270454</v>
      </c>
      <c r="E3595" s="100">
        <v>92.373980939663653</v>
      </c>
      <c r="F3595" s="100">
        <v>193.2080109190295</v>
      </c>
      <c r="G3595" s="100">
        <v>440.27838903464556</v>
      </c>
      <c r="H3595" s="100">
        <v>-65.283741567697007</v>
      </c>
      <c r="I3595" s="100">
        <v>1006.6587150375739</v>
      </c>
      <c r="J3595" s="100">
        <v>1574.8613734235519</v>
      </c>
    </row>
    <row r="3596" spans="1:10" x14ac:dyDescent="0.25">
      <c r="A3596">
        <v>3579</v>
      </c>
      <c r="B3596" s="100">
        <v>89.336634125800487</v>
      </c>
      <c r="C3596" s="100">
        <v>99.782971970269188</v>
      </c>
      <c r="D3596" s="100">
        <v>94.171288812451721</v>
      </c>
      <c r="E3596" s="100">
        <v>92.272851637374558</v>
      </c>
      <c r="F3596" s="100">
        <v>716.12398856792367</v>
      </c>
      <c r="G3596" s="100">
        <v>-2359.6236954606056</v>
      </c>
      <c r="H3596" s="100">
        <v>-2710.4174139302304</v>
      </c>
      <c r="I3596" s="100">
        <v>1107.7880173266692</v>
      </c>
      <c r="J3596" s="100">
        <v>-3246.1291034962433</v>
      </c>
    </row>
    <row r="3597" spans="1:10" x14ac:dyDescent="0.25">
      <c r="A3597">
        <v>3580</v>
      </c>
      <c r="B3597" s="100">
        <v>90.080823334405451</v>
      </c>
      <c r="C3597" s="100">
        <v>97.994829089577934</v>
      </c>
      <c r="D3597" s="100">
        <v>91.242298832415116</v>
      </c>
      <c r="E3597" s="100">
        <v>95.039380953342203</v>
      </c>
      <c r="F3597" s="100">
        <v>-1739.7003998284604</v>
      </c>
      <c r="G3597" s="100">
        <v>322.59062557627516</v>
      </c>
      <c r="H3597" s="100">
        <v>3147.5625461429786</v>
      </c>
      <c r="I3597" s="100">
        <v>-1658.7412986409759</v>
      </c>
      <c r="J3597" s="100">
        <v>71.711473249817573</v>
      </c>
    </row>
    <row r="3598" spans="1:10" x14ac:dyDescent="0.25">
      <c r="A3598">
        <v>3581</v>
      </c>
      <c r="B3598" s="100">
        <v>89.165752639666437</v>
      </c>
      <c r="C3598" s="100">
        <v>97.478640723441004</v>
      </c>
      <c r="D3598" s="100">
        <v>91.630473588078232</v>
      </c>
      <c r="E3598" s="100">
        <v>92.961357098789875</v>
      </c>
      <c r="F3598" s="100">
        <v>1280.0328928102886</v>
      </c>
      <c r="G3598" s="100">
        <v>1096.8731747816705</v>
      </c>
      <c r="H3598" s="100">
        <v>2371.2130348167475</v>
      </c>
      <c r="I3598" s="100">
        <v>419.28255591135155</v>
      </c>
      <c r="J3598" s="100">
        <v>5167.4016583200582</v>
      </c>
    </row>
    <row r="3599" spans="1:10" x14ac:dyDescent="0.25">
      <c r="A3599">
        <v>3582</v>
      </c>
      <c r="B3599" s="100">
        <v>88.24901565794292</v>
      </c>
      <c r="C3599" s="100">
        <v>98.556837799875623</v>
      </c>
      <c r="D3599" s="100">
        <v>91.335544984878496</v>
      </c>
      <c r="E3599" s="100">
        <v>89.622978113405779</v>
      </c>
      <c r="F3599" s="100">
        <v>4305.2649324978947</v>
      </c>
      <c r="G3599" s="100">
        <v>-520.42243987025927</v>
      </c>
      <c r="H3599" s="100">
        <v>2961.07024121622</v>
      </c>
      <c r="I3599" s="100">
        <v>3757.6615412954479</v>
      </c>
      <c r="J3599" s="100">
        <v>10503.574275139305</v>
      </c>
    </row>
    <row r="3600" spans="1:10" x14ac:dyDescent="0.25">
      <c r="A3600">
        <v>3583</v>
      </c>
      <c r="B3600" s="100">
        <v>88.923480814693718</v>
      </c>
      <c r="C3600" s="100">
        <v>97.8434685495927</v>
      </c>
      <c r="D3600" s="100">
        <v>93.758425084642766</v>
      </c>
      <c r="E3600" s="100">
        <v>92.800036456647675</v>
      </c>
      <c r="F3600" s="100">
        <v>2079.5299152202588</v>
      </c>
      <c r="G3600" s="100">
        <v>549.6314355541258</v>
      </c>
      <c r="H3600" s="100">
        <v>-1884.6899583123218</v>
      </c>
      <c r="I3600" s="100">
        <v>580.60319805355221</v>
      </c>
      <c r="J3600" s="100">
        <v>1325.074590515615</v>
      </c>
    </row>
    <row r="3601" spans="1:10" x14ac:dyDescent="0.25">
      <c r="A3601">
        <v>3584</v>
      </c>
      <c r="B3601" s="100">
        <v>89.285681805875043</v>
      </c>
      <c r="C3601" s="100">
        <v>98.006349537959565</v>
      </c>
      <c r="D3601" s="100">
        <v>90.818591278166664</v>
      </c>
      <c r="E3601" s="100">
        <v>91.337687473101226</v>
      </c>
      <c r="F3601" s="100">
        <v>884.26664432188602</v>
      </c>
      <c r="G3601" s="100">
        <v>305.30995300382813</v>
      </c>
      <c r="H3601" s="100">
        <v>3994.9776546398825</v>
      </c>
      <c r="I3601" s="100">
        <v>2042.9521816000006</v>
      </c>
      <c r="J3601" s="100">
        <v>7227.506433565597</v>
      </c>
    </row>
    <row r="3602" spans="1:10" x14ac:dyDescent="0.25">
      <c r="A3602">
        <v>3585</v>
      </c>
      <c r="B3602" s="100">
        <v>89.62079890446654</v>
      </c>
      <c r="C3602" s="100">
        <v>98.028102332189036</v>
      </c>
      <c r="D3602" s="100">
        <v>89.541620671476053</v>
      </c>
      <c r="E3602" s="100">
        <v>94.602373087917385</v>
      </c>
      <c r="F3602" s="100">
        <v>-221.6197810300514</v>
      </c>
      <c r="G3602" s="100">
        <v>272.68076165962185</v>
      </c>
      <c r="H3602" s="100">
        <v>6548.9188680211046</v>
      </c>
      <c r="I3602" s="100">
        <v>-1221.7334332161586</v>
      </c>
      <c r="J3602" s="100">
        <v>5378.2464154345162</v>
      </c>
    </row>
    <row r="3603" spans="1:10" x14ac:dyDescent="0.25">
      <c r="A3603">
        <v>3586</v>
      </c>
      <c r="B3603" s="100">
        <v>89.523057808285145</v>
      </c>
      <c r="C3603" s="100">
        <v>97.902215527171023</v>
      </c>
      <c r="D3603" s="100">
        <v>92.901760748668877</v>
      </c>
      <c r="E3603" s="100">
        <v>94.831471555920444</v>
      </c>
      <c r="F3603" s="100">
        <v>100.92583636855039</v>
      </c>
      <c r="G3603" s="100">
        <v>461.51096918664081</v>
      </c>
      <c r="H3603" s="100">
        <v>-171.36128636454373</v>
      </c>
      <c r="I3603" s="100">
        <v>-1450.8319012192173</v>
      </c>
      <c r="J3603" s="100">
        <v>-1059.75638202857</v>
      </c>
    </row>
    <row r="3604" spans="1:10" x14ac:dyDescent="0.25">
      <c r="A3604">
        <v>3587</v>
      </c>
      <c r="B3604" s="100">
        <v>89.761397987931957</v>
      </c>
      <c r="C3604" s="100">
        <v>97.068759257735451</v>
      </c>
      <c r="D3604" s="100">
        <v>91.513796225982972</v>
      </c>
      <c r="E3604" s="100">
        <v>91.21570736795853</v>
      </c>
      <c r="F3604" s="100">
        <v>-685.5967564659295</v>
      </c>
      <c r="G3604" s="100">
        <v>1711.6953733399996</v>
      </c>
      <c r="H3604" s="100">
        <v>2604.5677590072673</v>
      </c>
      <c r="I3604" s="100">
        <v>2164.9322867426972</v>
      </c>
      <c r="J3604" s="100">
        <v>5795.5986626240347</v>
      </c>
    </row>
    <row r="3605" spans="1:10" x14ac:dyDescent="0.25">
      <c r="A3605">
        <v>3588</v>
      </c>
      <c r="B3605" s="100">
        <v>89.955338100338039</v>
      </c>
      <c r="C3605" s="100">
        <v>99.03663447346608</v>
      </c>
      <c r="D3605" s="100">
        <v>90.74622672304038</v>
      </c>
      <c r="E3605" s="100">
        <v>92.802948632366807</v>
      </c>
      <c r="F3605" s="100">
        <v>-1325.5991274060009</v>
      </c>
      <c r="G3605" s="100">
        <v>-1240.1174502559443</v>
      </c>
      <c r="H3605" s="100">
        <v>4139.7067648924522</v>
      </c>
      <c r="I3605" s="100">
        <v>577.69102233442027</v>
      </c>
      <c r="J3605" s="100">
        <v>2151.6812095649275</v>
      </c>
    </row>
    <row r="3606" spans="1:10" x14ac:dyDescent="0.25">
      <c r="A3606">
        <v>3589</v>
      </c>
      <c r="B3606" s="100">
        <v>90.330596729800732</v>
      </c>
      <c r="C3606" s="100">
        <v>98.575749276284768</v>
      </c>
      <c r="D3606" s="100">
        <v>91.805099640005494</v>
      </c>
      <c r="E3606" s="100">
        <v>92.52372779896443</v>
      </c>
      <c r="F3606" s="100">
        <v>-2563.9526046328856</v>
      </c>
      <c r="G3606" s="100">
        <v>-548.78965448397571</v>
      </c>
      <c r="H3606" s="100">
        <v>2021.9609309622228</v>
      </c>
      <c r="I3606" s="100">
        <v>856.91185573679718</v>
      </c>
      <c r="J3606" s="100">
        <v>-233.86947241784151</v>
      </c>
    </row>
    <row r="3607" spans="1:10" x14ac:dyDescent="0.25">
      <c r="A3607">
        <v>3590</v>
      </c>
      <c r="B3607" s="100">
        <v>90.398597205546366</v>
      </c>
      <c r="C3607" s="100">
        <v>97.923138763224074</v>
      </c>
      <c r="D3607" s="100">
        <v>92.479607798968729</v>
      </c>
      <c r="E3607" s="100">
        <v>96.78985173509362</v>
      </c>
      <c r="F3607" s="100">
        <v>-2788.354174593479</v>
      </c>
      <c r="G3607" s="100">
        <v>430.12611510706478</v>
      </c>
      <c r="H3607" s="100">
        <v>672.94461303575304</v>
      </c>
      <c r="I3607" s="100">
        <v>-3409.2120803923935</v>
      </c>
      <c r="J3607" s="100">
        <v>-5094.4955268430549</v>
      </c>
    </row>
    <row r="3608" spans="1:10" x14ac:dyDescent="0.25">
      <c r="A3608">
        <v>3591</v>
      </c>
      <c r="B3608" s="100">
        <v>89.270119274372874</v>
      </c>
      <c r="C3608" s="100">
        <v>98.360050592624262</v>
      </c>
      <c r="D3608" s="100">
        <v>92.049932874818666</v>
      </c>
      <c r="E3608" s="100">
        <v>91.936134358274302</v>
      </c>
      <c r="F3608" s="100">
        <v>935.62299827904531</v>
      </c>
      <c r="G3608" s="100">
        <v>-225.24162899321709</v>
      </c>
      <c r="H3608" s="100">
        <v>1532.29446133588</v>
      </c>
      <c r="I3608" s="100">
        <v>1444.5052964269253</v>
      </c>
      <c r="J3608" s="100">
        <v>3687.1811270486332</v>
      </c>
    </row>
    <row r="3609" spans="1:10" x14ac:dyDescent="0.25">
      <c r="A3609">
        <v>3592</v>
      </c>
      <c r="B3609" s="100">
        <v>89.54493269182008</v>
      </c>
      <c r="C3609" s="100">
        <v>98.971756933171093</v>
      </c>
      <c r="D3609" s="100">
        <v>91.886128744866866</v>
      </c>
      <c r="E3609" s="100">
        <v>91.529040352108808</v>
      </c>
      <c r="F3609" s="100">
        <v>28.738720703266551</v>
      </c>
      <c r="G3609" s="100">
        <v>-1142.8011398134643</v>
      </c>
      <c r="H3609" s="100">
        <v>1859.9027212394788</v>
      </c>
      <c r="I3609" s="100">
        <v>1851.599302592419</v>
      </c>
      <c r="J3609" s="100">
        <v>2597.4396047217001</v>
      </c>
    </row>
    <row r="3610" spans="1:10" x14ac:dyDescent="0.25">
      <c r="A3610">
        <v>3593</v>
      </c>
      <c r="B3610" s="100">
        <v>89.624759770215022</v>
      </c>
      <c r="C3610" s="100">
        <v>98.244451613595146</v>
      </c>
      <c r="D3610" s="100">
        <v>92.797849717625567</v>
      </c>
      <c r="E3610" s="100">
        <v>97.731579101878907</v>
      </c>
      <c r="F3610" s="100">
        <v>-234.69063800004193</v>
      </c>
      <c r="G3610" s="100">
        <v>-51.843160449543291</v>
      </c>
      <c r="H3610" s="100">
        <v>36.460775722076733</v>
      </c>
      <c r="I3610" s="100">
        <v>-4350.9394471776804</v>
      </c>
      <c r="J3610" s="100">
        <v>-4601.0124699051885</v>
      </c>
    </row>
    <row r="3611" spans="1:10" x14ac:dyDescent="0.25">
      <c r="A3611">
        <v>3594</v>
      </c>
      <c r="B3611" s="100">
        <v>89.912897321477445</v>
      </c>
      <c r="C3611" s="100">
        <v>97.464140374673761</v>
      </c>
      <c r="D3611" s="100">
        <v>92.135371910226809</v>
      </c>
      <c r="E3611" s="100">
        <v>93.198111789811122</v>
      </c>
      <c r="F3611" s="100">
        <v>-1185.5445571660382</v>
      </c>
      <c r="G3611" s="100">
        <v>1118.6236979325345</v>
      </c>
      <c r="H3611" s="100">
        <v>1361.4163905195937</v>
      </c>
      <c r="I3611" s="100">
        <v>182.52786489010475</v>
      </c>
      <c r="J3611" s="100">
        <v>1477.0233961761946</v>
      </c>
    </row>
    <row r="3612" spans="1:10" x14ac:dyDescent="0.25">
      <c r="A3612">
        <v>3595</v>
      </c>
      <c r="B3612" s="100">
        <v>89.789506926271841</v>
      </c>
      <c r="C3612" s="100">
        <v>97.134281409194003</v>
      </c>
      <c r="D3612" s="100">
        <v>93.319773433615268</v>
      </c>
      <c r="E3612" s="100">
        <v>93.856364482641482</v>
      </c>
      <c r="F3612" s="100">
        <v>-778.3562529875453</v>
      </c>
      <c r="G3612" s="100">
        <v>1613.4121461521715</v>
      </c>
      <c r="H3612" s="100">
        <v>-1007.3866562573244</v>
      </c>
      <c r="I3612" s="100">
        <v>-475.72482794025461</v>
      </c>
      <c r="J3612" s="100">
        <v>-648.05559103295275</v>
      </c>
    </row>
    <row r="3613" spans="1:10" x14ac:dyDescent="0.25">
      <c r="A3613">
        <v>3596</v>
      </c>
      <c r="B3613" s="100">
        <v>90.298291406598523</v>
      </c>
      <c r="C3613" s="100">
        <v>99.278762064997494</v>
      </c>
      <c r="D3613" s="100">
        <v>92.169422967770345</v>
      </c>
      <c r="E3613" s="100">
        <v>93.171124504098884</v>
      </c>
      <c r="F3613" s="100">
        <v>-2457.3450380655954</v>
      </c>
      <c r="G3613" s="100">
        <v>-1603.3088375530654</v>
      </c>
      <c r="H3613" s="100">
        <v>1293.3142754325218</v>
      </c>
      <c r="I3613" s="100">
        <v>209.51515060234271</v>
      </c>
      <c r="J3613" s="100">
        <v>-2557.8244495837966</v>
      </c>
    </row>
    <row r="3614" spans="1:10" x14ac:dyDescent="0.25">
      <c r="A3614">
        <v>3597</v>
      </c>
      <c r="B3614" s="100">
        <v>89.194993187167185</v>
      </c>
      <c r="C3614" s="100">
        <v>98.329060879710596</v>
      </c>
      <c r="D3614" s="100">
        <v>92.395449426839349</v>
      </c>
      <c r="E3614" s="100">
        <v>95.166911530160348</v>
      </c>
      <c r="F3614" s="100">
        <v>1183.5390860578186</v>
      </c>
      <c r="G3614" s="100">
        <v>-178.75705962271837</v>
      </c>
      <c r="H3614" s="100">
        <v>841.26135729451335</v>
      </c>
      <c r="I3614" s="100">
        <v>-1786.2718754591215</v>
      </c>
      <c r="J3614" s="100">
        <v>59.771508270492177</v>
      </c>
    </row>
    <row r="3615" spans="1:10" x14ac:dyDescent="0.25">
      <c r="A3615">
        <v>3598</v>
      </c>
      <c r="B3615" s="100">
        <v>89.347347710373867</v>
      </c>
      <c r="C3615" s="100">
        <v>98.12288458648483</v>
      </c>
      <c r="D3615" s="100">
        <v>92.509688969583678</v>
      </c>
      <c r="E3615" s="100">
        <v>96.319401921985218</v>
      </c>
      <c r="F3615" s="100">
        <v>680.76915947576708</v>
      </c>
      <c r="G3615" s="100">
        <v>130.50738021593133</v>
      </c>
      <c r="H3615" s="100">
        <v>612.78227180585532</v>
      </c>
      <c r="I3615" s="100">
        <v>-2938.7622672839912</v>
      </c>
      <c r="J3615" s="100">
        <v>-1514.7034557864374</v>
      </c>
    </row>
    <row r="3616" spans="1:10" x14ac:dyDescent="0.25">
      <c r="A3616">
        <v>3599</v>
      </c>
      <c r="B3616" s="100">
        <v>89.383083854998802</v>
      </c>
      <c r="C3616" s="100">
        <v>95.321653485155849</v>
      </c>
      <c r="D3616" s="100">
        <v>90.999127306536238</v>
      </c>
      <c r="E3616" s="100">
        <v>93.611864220233812</v>
      </c>
      <c r="F3616" s="100">
        <v>562.83988221348409</v>
      </c>
      <c r="G3616" s="100">
        <v>4332.3540322094022</v>
      </c>
      <c r="H3616" s="100">
        <v>3633.9055979007353</v>
      </c>
      <c r="I3616" s="100">
        <v>-231.2245655325853</v>
      </c>
      <c r="J3616" s="100">
        <v>8297.8749467910347</v>
      </c>
    </row>
    <row r="3617" spans="1:10" x14ac:dyDescent="0.25">
      <c r="A3617">
        <v>3600</v>
      </c>
      <c r="B3617" s="100">
        <v>89.619358726729871</v>
      </c>
      <c r="C3617" s="100">
        <v>97.617682817216988</v>
      </c>
      <c r="D3617" s="100">
        <v>92.58280598337511</v>
      </c>
      <c r="E3617" s="100">
        <v>95.185772915057598</v>
      </c>
      <c r="F3617" s="100">
        <v>-216.86719449904501</v>
      </c>
      <c r="G3617" s="100">
        <v>888.31003411769416</v>
      </c>
      <c r="H3617" s="100">
        <v>466.54824422299157</v>
      </c>
      <c r="I3617" s="100">
        <v>-1805.1332603563708</v>
      </c>
      <c r="J3617" s="100">
        <v>-667.14217651472995</v>
      </c>
    </row>
    <row r="3618" spans="1:10" x14ac:dyDescent="0.25">
      <c r="A3618">
        <v>3601</v>
      </c>
      <c r="B3618" s="100">
        <v>89.328228285850585</v>
      </c>
      <c r="C3618" s="100">
        <v>99.574798323294118</v>
      </c>
      <c r="D3618" s="100">
        <v>92.128433126615988</v>
      </c>
      <c r="E3618" s="100">
        <v>92.680468660898043</v>
      </c>
      <c r="F3618" s="100">
        <v>743.86326040259837</v>
      </c>
      <c r="G3618" s="100">
        <v>-2047.3632249980014</v>
      </c>
      <c r="H3618" s="100">
        <v>1375.2939577412349</v>
      </c>
      <c r="I3618" s="100">
        <v>700.17099380318371</v>
      </c>
      <c r="J3618" s="100">
        <v>771.9649869490155</v>
      </c>
    </row>
    <row r="3619" spans="1:10" x14ac:dyDescent="0.25">
      <c r="A3619">
        <v>3602</v>
      </c>
      <c r="B3619" s="100">
        <v>89.537299332883038</v>
      </c>
      <c r="C3619" s="100">
        <v>97.949386546287641</v>
      </c>
      <c r="D3619" s="100">
        <v>92.48786470461728</v>
      </c>
      <c r="E3619" s="100">
        <v>91.461020392606159</v>
      </c>
      <c r="F3619" s="100">
        <v>53.928805195505447</v>
      </c>
      <c r="G3619" s="100">
        <v>390.7544405117136</v>
      </c>
      <c r="H3619" s="100">
        <v>656.43080173865087</v>
      </c>
      <c r="I3619" s="100">
        <v>1919.6192620950683</v>
      </c>
      <c r="J3619" s="100">
        <v>3020.7333095409381</v>
      </c>
    </row>
    <row r="3620" spans="1:10" x14ac:dyDescent="0.25">
      <c r="A3620">
        <v>3603</v>
      </c>
      <c r="B3620" s="100">
        <v>89.337488262981708</v>
      </c>
      <c r="C3620" s="100">
        <v>97.721307211905383</v>
      </c>
      <c r="D3620" s="100">
        <v>91.887689228389689</v>
      </c>
      <c r="E3620" s="100">
        <v>93.640898094113979</v>
      </c>
      <c r="F3620" s="100">
        <v>713.30533586989304</v>
      </c>
      <c r="G3620" s="100">
        <v>732.87344208510058</v>
      </c>
      <c r="H3620" s="100">
        <v>1856.7817541938325</v>
      </c>
      <c r="I3620" s="100">
        <v>-260.25843941275184</v>
      </c>
      <c r="J3620" s="100">
        <v>3042.7020927360745</v>
      </c>
    </row>
    <row r="3621" spans="1:10" x14ac:dyDescent="0.25">
      <c r="A3621">
        <v>3604</v>
      </c>
      <c r="B3621" s="100">
        <v>89.583026446809185</v>
      </c>
      <c r="C3621" s="100">
        <v>96.860495799860601</v>
      </c>
      <c r="D3621" s="100">
        <v>93.102014122043585</v>
      </c>
      <c r="E3621" s="100">
        <v>95.431931934916634</v>
      </c>
      <c r="F3621" s="100">
        <v>-96.970670760782696</v>
      </c>
      <c r="G3621" s="100">
        <v>2024.0905601522741</v>
      </c>
      <c r="H3621" s="100">
        <v>-571.86803311395806</v>
      </c>
      <c r="I3621" s="100">
        <v>-2051.2922802154067</v>
      </c>
      <c r="J3621" s="100">
        <v>-696.04042393787336</v>
      </c>
    </row>
    <row r="3622" spans="1:10" x14ac:dyDescent="0.25">
      <c r="A3622">
        <v>3605</v>
      </c>
      <c r="B3622" s="100">
        <v>90.055823102407814</v>
      </c>
      <c r="C3622" s="100">
        <v>96.706113113260002</v>
      </c>
      <c r="D3622" s="100">
        <v>92.626449982399819</v>
      </c>
      <c r="E3622" s="100">
        <v>91.981233319483906</v>
      </c>
      <c r="F3622" s="100">
        <v>-1657.1996342362568</v>
      </c>
      <c r="G3622" s="100">
        <v>2255.6645900531721</v>
      </c>
      <c r="H3622" s="100">
        <v>379.26024617357257</v>
      </c>
      <c r="I3622" s="100">
        <v>1399.4063352173214</v>
      </c>
      <c r="J3622" s="100">
        <v>2377.1315372078093</v>
      </c>
    </row>
    <row r="3623" spans="1:10" x14ac:dyDescent="0.25">
      <c r="A3623">
        <v>3606</v>
      </c>
      <c r="B3623" s="100">
        <v>88.736518603054691</v>
      </c>
      <c r="C3623" s="100">
        <v>97.303963789771871</v>
      </c>
      <c r="D3623" s="100">
        <v>91.686277114411808</v>
      </c>
      <c r="E3623" s="100">
        <v>92.102882521713724</v>
      </c>
      <c r="F3623" s="100">
        <v>2696.5052136290496</v>
      </c>
      <c r="G3623" s="100">
        <v>1358.8885752853698</v>
      </c>
      <c r="H3623" s="100">
        <v>2259.6059821495942</v>
      </c>
      <c r="I3623" s="100">
        <v>1277.7571329875032</v>
      </c>
      <c r="J3623" s="100">
        <v>7592.7569040515173</v>
      </c>
    </row>
    <row r="3624" spans="1:10" x14ac:dyDescent="0.25">
      <c r="A3624">
        <v>3607</v>
      </c>
      <c r="B3624" s="100">
        <v>89.320397492926261</v>
      </c>
      <c r="C3624" s="100">
        <v>96.311374734231336</v>
      </c>
      <c r="D3624" s="100">
        <v>93.119416064756237</v>
      </c>
      <c r="E3624" s="100">
        <v>93.989915847559573</v>
      </c>
      <c r="F3624" s="100">
        <v>769.70487705286678</v>
      </c>
      <c r="G3624" s="100">
        <v>2847.7721585961717</v>
      </c>
      <c r="H3624" s="100">
        <v>-606.67191853926283</v>
      </c>
      <c r="I3624" s="100">
        <v>-609.27619285834567</v>
      </c>
      <c r="J3624" s="100">
        <v>2401.52892425143</v>
      </c>
    </row>
    <row r="3625" spans="1:10" x14ac:dyDescent="0.25">
      <c r="A3625">
        <v>3608</v>
      </c>
      <c r="B3625" s="100">
        <v>89.779056682404445</v>
      </c>
      <c r="C3625" s="100">
        <v>98.481077049055244</v>
      </c>
      <c r="D3625" s="100">
        <v>92.445844274290863</v>
      </c>
      <c r="E3625" s="100">
        <v>92.037753589966897</v>
      </c>
      <c r="F3625" s="100">
        <v>-743.87044822513815</v>
      </c>
      <c r="G3625" s="100">
        <v>-406.78131363969072</v>
      </c>
      <c r="H3625" s="100">
        <v>740.4716623914851</v>
      </c>
      <c r="I3625" s="100">
        <v>1342.8860647343299</v>
      </c>
      <c r="J3625" s="100">
        <v>932.7059652609862</v>
      </c>
    </row>
    <row r="3626" spans="1:10" x14ac:dyDescent="0.25">
      <c r="A3626">
        <v>3609</v>
      </c>
      <c r="B3626" s="100">
        <v>89.653271948334009</v>
      </c>
      <c r="C3626" s="100">
        <v>99.220453662264475</v>
      </c>
      <c r="D3626" s="100">
        <v>91.345445029865019</v>
      </c>
      <c r="E3626" s="100">
        <v>90.43323806307842</v>
      </c>
      <c r="F3626" s="100">
        <v>-328.78082579269972</v>
      </c>
      <c r="G3626" s="100">
        <v>-1515.8462334535373</v>
      </c>
      <c r="H3626" s="100">
        <v>2941.270151243174</v>
      </c>
      <c r="I3626" s="100">
        <v>2947.4015916228068</v>
      </c>
      <c r="J3626" s="100">
        <v>4044.0446836197439</v>
      </c>
    </row>
    <row r="3627" spans="1:10" x14ac:dyDescent="0.25">
      <c r="A3627">
        <v>3610</v>
      </c>
      <c r="B3627" s="100">
        <v>89.304099901247767</v>
      </c>
      <c r="C3627" s="100">
        <v>97.283597970229508</v>
      </c>
      <c r="D3627" s="100">
        <v>91.439965601739772</v>
      </c>
      <c r="E3627" s="100">
        <v>93.731151466307864</v>
      </c>
      <c r="F3627" s="100">
        <v>823.48692959189839</v>
      </c>
      <c r="G3627" s="100">
        <v>1389.4373045989141</v>
      </c>
      <c r="H3627" s="100">
        <v>2752.2290074936677</v>
      </c>
      <c r="I3627" s="100">
        <v>-350.51181160663702</v>
      </c>
      <c r="J3627" s="100">
        <v>4614.6414300778433</v>
      </c>
    </row>
    <row r="3628" spans="1:10" x14ac:dyDescent="0.25">
      <c r="A3628">
        <v>3611</v>
      </c>
      <c r="B3628" s="100">
        <v>89.700100991600706</v>
      </c>
      <c r="C3628" s="100">
        <v>96.896011592300908</v>
      </c>
      <c r="D3628" s="100">
        <v>91.671439761597753</v>
      </c>
      <c r="E3628" s="100">
        <v>91.911906103999982</v>
      </c>
      <c r="F3628" s="100">
        <v>-483.31666857280169</v>
      </c>
      <c r="G3628" s="100">
        <v>1970.8168714918131</v>
      </c>
      <c r="H3628" s="100">
        <v>2289.2806877777048</v>
      </c>
      <c r="I3628" s="100">
        <v>1468.7335507012449</v>
      </c>
      <c r="J3628" s="100">
        <v>5245.5144413979615</v>
      </c>
    </row>
    <row r="3629" spans="1:10" x14ac:dyDescent="0.25">
      <c r="A3629">
        <v>3612</v>
      </c>
      <c r="B3629" s="100">
        <v>89.605398000875383</v>
      </c>
      <c r="C3629" s="100">
        <v>97.165980517201788</v>
      </c>
      <c r="D3629" s="100">
        <v>93.851821600444396</v>
      </c>
      <c r="E3629" s="100">
        <v>92.7518520218687</v>
      </c>
      <c r="F3629" s="100">
        <v>-170.79679917923301</v>
      </c>
      <c r="G3629" s="100">
        <v>1565.8634841404933</v>
      </c>
      <c r="H3629" s="100">
        <v>-2071.4829899155802</v>
      </c>
      <c r="I3629" s="100">
        <v>628.78763283252681</v>
      </c>
      <c r="J3629" s="100">
        <v>-47.628672121793102</v>
      </c>
    </row>
    <row r="3630" spans="1:10" x14ac:dyDescent="0.25">
      <c r="A3630">
        <v>3613</v>
      </c>
      <c r="B3630" s="100">
        <v>89.560188445663613</v>
      </c>
      <c r="C3630" s="100">
        <v>99.77841122734749</v>
      </c>
      <c r="D3630" s="100">
        <v>91.277846705806496</v>
      </c>
      <c r="E3630" s="100">
        <v>95.677125912270455</v>
      </c>
      <c r="F3630" s="100">
        <v>-21.605266980392912</v>
      </c>
      <c r="G3630" s="100">
        <v>-2352.7825810780596</v>
      </c>
      <c r="H3630" s="100">
        <v>3076.4667993602188</v>
      </c>
      <c r="I3630" s="100">
        <v>-2296.4862575692277</v>
      </c>
      <c r="J3630" s="100">
        <v>-1594.4073062674615</v>
      </c>
    </row>
    <row r="3631" spans="1:10" x14ac:dyDescent="0.25">
      <c r="A3631">
        <v>3614</v>
      </c>
      <c r="B3631" s="100">
        <v>89.869397555657827</v>
      </c>
      <c r="C3631" s="100">
        <v>99.167868859864171</v>
      </c>
      <c r="D3631" s="100">
        <v>93.423157961614393</v>
      </c>
      <c r="E3631" s="100">
        <v>93.274537342980025</v>
      </c>
      <c r="F3631" s="100">
        <v>-1041.9953299612985</v>
      </c>
      <c r="G3631" s="100">
        <v>-1436.9690298530813</v>
      </c>
      <c r="H3631" s="100">
        <v>-1214.1557122555753</v>
      </c>
      <c r="I3631" s="100">
        <v>106.10231172120166</v>
      </c>
      <c r="J3631" s="100">
        <v>-3587.0177603487537</v>
      </c>
    </row>
    <row r="3632" spans="1:10" x14ac:dyDescent="0.25">
      <c r="A3632">
        <v>3615</v>
      </c>
      <c r="B3632" s="100">
        <v>89.360142882331445</v>
      </c>
      <c r="C3632" s="100">
        <v>98.083795200204307</v>
      </c>
      <c r="D3632" s="100">
        <v>92.526249443391521</v>
      </c>
      <c r="E3632" s="100">
        <v>90.662100610014946</v>
      </c>
      <c r="F3632" s="100">
        <v>638.54509201576093</v>
      </c>
      <c r="G3632" s="100">
        <v>189.14145963671558</v>
      </c>
      <c r="H3632" s="100">
        <v>579.66132419016958</v>
      </c>
      <c r="I3632" s="100">
        <v>2718.5390446862812</v>
      </c>
      <c r="J3632" s="100">
        <v>4125.8869205289275</v>
      </c>
    </row>
    <row r="3633" spans="1:10" x14ac:dyDescent="0.25">
      <c r="A3633">
        <v>3616</v>
      </c>
      <c r="B3633" s="100">
        <v>89.538008162809334</v>
      </c>
      <c r="C3633" s="100">
        <v>97.782224368753589</v>
      </c>
      <c r="D3633" s="100">
        <v>94.003994708172428</v>
      </c>
      <c r="E3633" s="100">
        <v>93.741011985632724</v>
      </c>
      <c r="F3633" s="100">
        <v>51.589666438728443</v>
      </c>
      <c r="G3633" s="100">
        <v>641.49770681279256</v>
      </c>
      <c r="H3633" s="100">
        <v>-2375.8292053716445</v>
      </c>
      <c r="I3633" s="100">
        <v>-360.37233093149723</v>
      </c>
      <c r="J3633" s="100">
        <v>-2043.1141630516208</v>
      </c>
    </row>
    <row r="3634" spans="1:10" x14ac:dyDescent="0.25">
      <c r="A3634">
        <v>3617</v>
      </c>
      <c r="B3634" s="100">
        <v>90.062400673009464</v>
      </c>
      <c r="C3634" s="100">
        <v>97.020784343427707</v>
      </c>
      <c r="D3634" s="100">
        <v>92.070463745590374</v>
      </c>
      <c r="E3634" s="100">
        <v>94.925711561266837</v>
      </c>
      <c r="F3634" s="100">
        <v>-1678.9056172217001</v>
      </c>
      <c r="G3634" s="100">
        <v>1783.6577448016158</v>
      </c>
      <c r="H3634" s="100">
        <v>1491.232719792464</v>
      </c>
      <c r="I3634" s="100">
        <v>-1545.0719065656103</v>
      </c>
      <c r="J3634" s="100">
        <v>50.912940806769257</v>
      </c>
    </row>
    <row r="3635" spans="1:10" x14ac:dyDescent="0.25">
      <c r="A3635">
        <v>3618</v>
      </c>
      <c r="B3635" s="100">
        <v>89.34358041262503</v>
      </c>
      <c r="C3635" s="100">
        <v>98.966713930793631</v>
      </c>
      <c r="D3635" s="100">
        <v>93.434194392023201</v>
      </c>
      <c r="E3635" s="100">
        <v>92.488914298344682</v>
      </c>
      <c r="F3635" s="100">
        <v>693.20124204692911</v>
      </c>
      <c r="G3635" s="100">
        <v>-1135.2366362472708</v>
      </c>
      <c r="H3635" s="100">
        <v>-1236.2285730731912</v>
      </c>
      <c r="I3635" s="100">
        <v>891.72535635654526</v>
      </c>
      <c r="J3635" s="100">
        <v>-786.53861091698764</v>
      </c>
    </row>
    <row r="3636" spans="1:10" x14ac:dyDescent="0.25">
      <c r="A3636">
        <v>3619</v>
      </c>
      <c r="B3636" s="100">
        <v>89.02008372989593</v>
      </c>
      <c r="C3636" s="100">
        <v>97.947414523355732</v>
      </c>
      <c r="D3636" s="100">
        <v>93.405000721884974</v>
      </c>
      <c r="E3636" s="100">
        <v>95.783797575906434</v>
      </c>
      <c r="F3636" s="100">
        <v>1760.7402950529604</v>
      </c>
      <c r="G3636" s="100">
        <v>393.71247490957728</v>
      </c>
      <c r="H3636" s="100">
        <v>-1177.8412327967374</v>
      </c>
      <c r="I3636" s="100">
        <v>-2403.1579212052065</v>
      </c>
      <c r="J3636" s="100">
        <v>-1426.5463840394061</v>
      </c>
    </row>
    <row r="3637" spans="1:10" x14ac:dyDescent="0.25">
      <c r="A3637">
        <v>3620</v>
      </c>
      <c r="B3637" s="100">
        <v>89.907593665236803</v>
      </c>
      <c r="C3637" s="100">
        <v>98.923465861901107</v>
      </c>
      <c r="D3637" s="100">
        <v>93.003914939126247</v>
      </c>
      <c r="E3637" s="100">
        <v>94.051976041027856</v>
      </c>
      <c r="F3637" s="100">
        <v>-1168.04249157192</v>
      </c>
      <c r="G3637" s="100">
        <v>-1070.364532908485</v>
      </c>
      <c r="H3637" s="100">
        <v>-375.66966727928275</v>
      </c>
      <c r="I3637" s="100">
        <v>-671.33638632662951</v>
      </c>
      <c r="J3637" s="100">
        <v>-3285.4130780863175</v>
      </c>
    </row>
    <row r="3638" spans="1:10" x14ac:dyDescent="0.25">
      <c r="A3638">
        <v>3621</v>
      </c>
      <c r="B3638" s="100">
        <v>89.553636846927944</v>
      </c>
      <c r="C3638" s="100">
        <v>98.430663980531605</v>
      </c>
      <c r="D3638" s="100">
        <v>92.099247211676939</v>
      </c>
      <c r="E3638" s="100">
        <v>93.608539363179858</v>
      </c>
      <c r="F3638" s="100">
        <v>1.5008847314845752E-2</v>
      </c>
      <c r="G3638" s="100">
        <v>-331.16171085423218</v>
      </c>
      <c r="H3638" s="100">
        <v>1433.6657876193328</v>
      </c>
      <c r="I3638" s="100">
        <v>-227.89970847863117</v>
      </c>
      <c r="J3638" s="100">
        <v>874.61937713378427</v>
      </c>
    </row>
    <row r="3639" spans="1:10" x14ac:dyDescent="0.25">
      <c r="A3639">
        <v>3622</v>
      </c>
      <c r="B3639" s="100">
        <v>89.977966920836593</v>
      </c>
      <c r="C3639" s="100">
        <v>98.741050262645643</v>
      </c>
      <c r="D3639" s="100">
        <v>94.064371662083062</v>
      </c>
      <c r="E3639" s="100">
        <v>94.258176524200039</v>
      </c>
      <c r="F3639" s="100">
        <v>-1400.2742350512278</v>
      </c>
      <c r="G3639" s="100">
        <v>-796.74113402528951</v>
      </c>
      <c r="H3639" s="100">
        <v>-2496.5831131929122</v>
      </c>
      <c r="I3639" s="100">
        <v>-877.53686949881171</v>
      </c>
      <c r="J3639" s="100">
        <v>-5571.1353517682419</v>
      </c>
    </row>
    <row r="3640" spans="1:10" x14ac:dyDescent="0.25">
      <c r="A3640">
        <v>3623</v>
      </c>
      <c r="B3640" s="100">
        <v>89.585664520163235</v>
      </c>
      <c r="C3640" s="100">
        <v>98.968281556974475</v>
      </c>
      <c r="D3640" s="100">
        <v>93.405153973700081</v>
      </c>
      <c r="E3640" s="100">
        <v>93.212619966441451</v>
      </c>
      <c r="F3640" s="100">
        <v>-105.67631282914505</v>
      </c>
      <c r="G3640" s="100">
        <v>-1137.5880755185362</v>
      </c>
      <c r="H3640" s="100">
        <v>-1178.1477364269506</v>
      </c>
      <c r="I3640" s="100">
        <v>168.01968825977553</v>
      </c>
      <c r="J3640" s="100">
        <v>-2253.3924365148559</v>
      </c>
    </row>
    <row r="3641" spans="1:10" x14ac:dyDescent="0.25">
      <c r="A3641">
        <v>3624</v>
      </c>
      <c r="B3641" s="100">
        <v>88.926432908900736</v>
      </c>
      <c r="C3641" s="100">
        <v>98.655513263312358</v>
      </c>
      <c r="D3641" s="100">
        <v>93.223999741467694</v>
      </c>
      <c r="E3641" s="100">
        <v>93.398216125598182</v>
      </c>
      <c r="F3641" s="100">
        <v>2069.7880043371001</v>
      </c>
      <c r="G3641" s="100">
        <v>-668.43563502536085</v>
      </c>
      <c r="H3641" s="100">
        <v>-815.83927196217587</v>
      </c>
      <c r="I3641" s="100">
        <v>-17.576470896955243</v>
      </c>
      <c r="J3641" s="100">
        <v>567.93662645260815</v>
      </c>
    </row>
    <row r="3642" spans="1:10" x14ac:dyDescent="0.25">
      <c r="A3642">
        <v>3625</v>
      </c>
      <c r="B3642" s="100">
        <v>89.908250782864897</v>
      </c>
      <c r="C3642" s="100">
        <v>97.855146337146735</v>
      </c>
      <c r="D3642" s="100">
        <v>92.54777776329982</v>
      </c>
      <c r="E3642" s="100">
        <v>91.078202945514704</v>
      </c>
      <c r="F3642" s="100">
        <v>-1170.2109797446312</v>
      </c>
      <c r="G3642" s="100">
        <v>532.11475422307331</v>
      </c>
      <c r="H3642" s="100">
        <v>536.60468437357167</v>
      </c>
      <c r="I3642" s="100">
        <v>2302.4367091865229</v>
      </c>
      <c r="J3642" s="100">
        <v>2200.9451680385364</v>
      </c>
    </row>
    <row r="3643" spans="1:10" x14ac:dyDescent="0.25">
      <c r="A3643">
        <v>3626</v>
      </c>
      <c r="B3643" s="100">
        <v>89.693987102978951</v>
      </c>
      <c r="C3643" s="100">
        <v>99.877627573793802</v>
      </c>
      <c r="D3643" s="100">
        <v>92.168362610359694</v>
      </c>
      <c r="E3643" s="100">
        <v>94.996618641575097</v>
      </c>
      <c r="F3643" s="100">
        <v>-463.14083612101058</v>
      </c>
      <c r="G3643" s="100">
        <v>-2501.6071007475275</v>
      </c>
      <c r="H3643" s="100">
        <v>1295.434990253824</v>
      </c>
      <c r="I3643" s="100">
        <v>-1615.9789868738699</v>
      </c>
      <c r="J3643" s="100">
        <v>-3285.2919334885837</v>
      </c>
    </row>
    <row r="3644" spans="1:10" x14ac:dyDescent="0.25">
      <c r="A3644">
        <v>3627</v>
      </c>
      <c r="B3644" s="100">
        <v>90.226103700022804</v>
      </c>
      <c r="C3644" s="100">
        <v>96.476171142667198</v>
      </c>
      <c r="D3644" s="100">
        <v>93.554148496833164</v>
      </c>
      <c r="E3644" s="100">
        <v>93.548937034772749</v>
      </c>
      <c r="F3644" s="100">
        <v>-2219.1256063657247</v>
      </c>
      <c r="G3644" s="100">
        <v>2600.5775459423789</v>
      </c>
      <c r="H3644" s="100">
        <v>-1476.1367826931178</v>
      </c>
      <c r="I3644" s="100">
        <v>-168.29738007152173</v>
      </c>
      <c r="J3644" s="100">
        <v>-1262.9822231879853</v>
      </c>
    </row>
    <row r="3645" spans="1:10" x14ac:dyDescent="0.25">
      <c r="A3645">
        <v>3628</v>
      </c>
      <c r="B3645" s="100">
        <v>89.530586272451927</v>
      </c>
      <c r="C3645" s="100">
        <v>98.971007785986885</v>
      </c>
      <c r="D3645" s="100">
        <v>90.961725481417076</v>
      </c>
      <c r="E3645" s="100">
        <v>94.462627125890521</v>
      </c>
      <c r="F3645" s="100">
        <v>76.08190461816946</v>
      </c>
      <c r="G3645" s="100">
        <v>-1141.6774190371511</v>
      </c>
      <c r="H3645" s="100">
        <v>3708.7092481390582</v>
      </c>
      <c r="I3645" s="100">
        <v>-1081.9874711892935</v>
      </c>
      <c r="J3645" s="100">
        <v>1561.1262625307832</v>
      </c>
    </row>
    <row r="3646" spans="1:10" x14ac:dyDescent="0.25">
      <c r="A3646">
        <v>3629</v>
      </c>
      <c r="B3646" s="100">
        <v>89.618318867238557</v>
      </c>
      <c r="C3646" s="100">
        <v>98.075560091684977</v>
      </c>
      <c r="D3646" s="100">
        <v>91.316095932418222</v>
      </c>
      <c r="E3646" s="100">
        <v>93.312393614153819</v>
      </c>
      <c r="F3646" s="100">
        <v>-213.43565817770838</v>
      </c>
      <c r="G3646" s="100">
        <v>201.49412241570985</v>
      </c>
      <c r="H3646" s="100">
        <v>2999.9683461367681</v>
      </c>
      <c r="I3646" s="100">
        <v>68.246040547407461</v>
      </c>
      <c r="J3646" s="100">
        <v>3056.272850922177</v>
      </c>
    </row>
    <row r="3647" spans="1:10" x14ac:dyDescent="0.25">
      <c r="A3647">
        <v>3630</v>
      </c>
      <c r="B3647" s="100">
        <v>89.480223954982364</v>
      </c>
      <c r="C3647" s="100">
        <v>97.562786186053984</v>
      </c>
      <c r="D3647" s="100">
        <v>92.094644064709797</v>
      </c>
      <c r="E3647" s="100">
        <v>94.380792865872877</v>
      </c>
      <c r="F3647" s="100">
        <v>242.27755226772842</v>
      </c>
      <c r="G3647" s="100">
        <v>970.65498086220009</v>
      </c>
      <c r="H3647" s="100">
        <v>1442.8720815536167</v>
      </c>
      <c r="I3647" s="100">
        <v>-1000.15321117165</v>
      </c>
      <c r="J3647" s="100">
        <v>1655.6514035118948</v>
      </c>
    </row>
    <row r="3648" spans="1:10" x14ac:dyDescent="0.25">
      <c r="A3648">
        <v>3631</v>
      </c>
      <c r="B3648" s="100">
        <v>89.606646784728582</v>
      </c>
      <c r="C3648" s="100">
        <v>98.939245677814526</v>
      </c>
      <c r="D3648" s="100">
        <v>93.133137224325353</v>
      </c>
      <c r="E3648" s="100">
        <v>93.636782570401309</v>
      </c>
      <c r="F3648" s="100">
        <v>-174.91778589479168</v>
      </c>
      <c r="G3648" s="100">
        <v>-1094.0342567786133</v>
      </c>
      <c r="H3648" s="100">
        <v>-634.11423767749397</v>
      </c>
      <c r="I3648" s="100">
        <v>-256.14291570008163</v>
      </c>
      <c r="J3648" s="100">
        <v>-2159.2091960509806</v>
      </c>
    </row>
    <row r="3649" spans="1:10" x14ac:dyDescent="0.25">
      <c r="A3649">
        <v>3632</v>
      </c>
      <c r="B3649" s="100">
        <v>89.790296320899373</v>
      </c>
      <c r="C3649" s="100">
        <v>99.603387808702507</v>
      </c>
      <c r="D3649" s="100">
        <v>92.019934200950431</v>
      </c>
      <c r="E3649" s="100">
        <v>91.370381363150813</v>
      </c>
      <c r="F3649" s="100">
        <v>-780.96125525839989</v>
      </c>
      <c r="G3649" s="100">
        <v>-2090.2474531105854</v>
      </c>
      <c r="H3649" s="100">
        <v>1592.2918090723499</v>
      </c>
      <c r="I3649" s="100">
        <v>2010.2582915504145</v>
      </c>
      <c r="J3649" s="100">
        <v>731.34139225377908</v>
      </c>
    </row>
    <row r="3650" spans="1:10" x14ac:dyDescent="0.25">
      <c r="A3650">
        <v>3633</v>
      </c>
      <c r="B3650" s="100">
        <v>89.802910455387192</v>
      </c>
      <c r="C3650" s="100">
        <v>97.558359208170174</v>
      </c>
      <c r="D3650" s="100">
        <v>93.343433409575823</v>
      </c>
      <c r="E3650" s="100">
        <v>92.785154596261378</v>
      </c>
      <c r="F3650" s="100">
        <v>-822.58789906820334</v>
      </c>
      <c r="G3650" s="100">
        <v>977.29544768791493</v>
      </c>
      <c r="H3650" s="100">
        <v>-1054.7066081784351</v>
      </c>
      <c r="I3650" s="100">
        <v>595.48505843984856</v>
      </c>
      <c r="J3650" s="100">
        <v>-304.51400111887494</v>
      </c>
    </row>
    <row r="3651" spans="1:10" x14ac:dyDescent="0.25">
      <c r="A3651">
        <v>3634</v>
      </c>
      <c r="B3651" s="100">
        <v>89.973644044311101</v>
      </c>
      <c r="C3651" s="100">
        <v>97.880256753778426</v>
      </c>
      <c r="D3651" s="100">
        <v>93.787781380334962</v>
      </c>
      <c r="E3651" s="100">
        <v>92.503654196237747</v>
      </c>
      <c r="F3651" s="100">
        <v>-1386.0087425171032</v>
      </c>
      <c r="G3651" s="100">
        <v>494.4491292755373</v>
      </c>
      <c r="H3651" s="100">
        <v>-1943.4025496967138</v>
      </c>
      <c r="I3651" s="100">
        <v>876.98545846347997</v>
      </c>
      <c r="J3651" s="100">
        <v>-1957.9767044747996</v>
      </c>
    </row>
    <row r="3652" spans="1:10" x14ac:dyDescent="0.25">
      <c r="A3652">
        <v>3635</v>
      </c>
      <c r="B3652" s="100">
        <v>89.379401033780809</v>
      </c>
      <c r="C3652" s="100">
        <v>97.615784002301808</v>
      </c>
      <c r="D3652" s="100">
        <v>92.400284074727921</v>
      </c>
      <c r="E3652" s="100">
        <v>91.787651585020683</v>
      </c>
      <c r="F3652" s="100">
        <v>574.99319223285988</v>
      </c>
      <c r="G3652" s="100">
        <v>891.15825649046337</v>
      </c>
      <c r="H3652" s="100">
        <v>831.59206151736953</v>
      </c>
      <c r="I3652" s="100">
        <v>1592.988069680544</v>
      </c>
      <c r="J3652" s="100">
        <v>3890.7315799212365</v>
      </c>
    </row>
    <row r="3653" spans="1:10" x14ac:dyDescent="0.25">
      <c r="A3653">
        <v>3636</v>
      </c>
      <c r="B3653" s="100">
        <v>88.883539358129823</v>
      </c>
      <c r="C3653" s="100">
        <v>97.781805955811848</v>
      </c>
      <c r="D3653" s="100">
        <v>92.88733107919866</v>
      </c>
      <c r="E3653" s="100">
        <v>92.001016016369434</v>
      </c>
      <c r="F3653" s="100">
        <v>2211.3367218811122</v>
      </c>
      <c r="G3653" s="100">
        <v>642.12532622540402</v>
      </c>
      <c r="H3653" s="100">
        <v>-142.50194742410827</v>
      </c>
      <c r="I3653" s="100">
        <v>1379.6236383317932</v>
      </c>
      <c r="J3653" s="100">
        <v>4090.583739014201</v>
      </c>
    </row>
    <row r="3654" spans="1:10" x14ac:dyDescent="0.25">
      <c r="A3654">
        <v>3637</v>
      </c>
      <c r="B3654" s="100">
        <v>89.90921368436608</v>
      </c>
      <c r="C3654" s="100">
        <v>98.772642332955186</v>
      </c>
      <c r="D3654" s="100">
        <v>90.902416739062971</v>
      </c>
      <c r="E3654" s="100">
        <v>92.875263031234525</v>
      </c>
      <c r="F3654" s="100">
        <v>-1173.3885546985334</v>
      </c>
      <c r="G3654" s="100">
        <v>-844.12923948960383</v>
      </c>
      <c r="H3654" s="100">
        <v>3827.3267328472684</v>
      </c>
      <c r="I3654" s="100">
        <v>505.37662346670231</v>
      </c>
      <c r="J3654" s="100">
        <v>2315.1855621258337</v>
      </c>
    </row>
    <row r="3655" spans="1:10" x14ac:dyDescent="0.25">
      <c r="A3655">
        <v>3638</v>
      </c>
      <c r="B3655" s="100">
        <v>90.106250789337068</v>
      </c>
      <c r="C3655" s="100">
        <v>98.667809092565307</v>
      </c>
      <c r="D3655" s="100">
        <v>94.112009498292323</v>
      </c>
      <c r="E3655" s="100">
        <v>90.716831920435439</v>
      </c>
      <c r="F3655" s="100">
        <v>-1823.6110011027947</v>
      </c>
      <c r="G3655" s="100">
        <v>-686.87937890478429</v>
      </c>
      <c r="H3655" s="100">
        <v>-2591.8587856114355</v>
      </c>
      <c r="I3655" s="100">
        <v>2663.807734265788</v>
      </c>
      <c r="J3655" s="100">
        <v>-2438.5414313532265</v>
      </c>
    </row>
    <row r="3656" spans="1:10" x14ac:dyDescent="0.25">
      <c r="A3656">
        <v>3639</v>
      </c>
      <c r="B3656" s="100">
        <v>89.377378572032768</v>
      </c>
      <c r="C3656" s="100">
        <v>98.16819895397937</v>
      </c>
      <c r="D3656" s="100">
        <v>91.467387740437474</v>
      </c>
      <c r="E3656" s="100">
        <v>91.238047793782812</v>
      </c>
      <c r="F3656" s="100">
        <v>581.66731600139485</v>
      </c>
      <c r="G3656" s="100">
        <v>62.535828974120022</v>
      </c>
      <c r="H3656" s="100">
        <v>2697.3847300982643</v>
      </c>
      <c r="I3656" s="100">
        <v>2142.591860918415</v>
      </c>
      <c r="J3656" s="100">
        <v>5484.1797359921948</v>
      </c>
    </row>
    <row r="3657" spans="1:10" x14ac:dyDescent="0.25">
      <c r="A3657">
        <v>3640</v>
      </c>
      <c r="B3657" s="100">
        <v>88.933016882957432</v>
      </c>
      <c r="C3657" s="100">
        <v>97.872279764261378</v>
      </c>
      <c r="D3657" s="100">
        <v>90.866854200466975</v>
      </c>
      <c r="E3657" s="100">
        <v>92.734220147188623</v>
      </c>
      <c r="F3657" s="100">
        <v>2048.0608899500039</v>
      </c>
      <c r="G3657" s="100">
        <v>506.41461355110806</v>
      </c>
      <c r="H3657" s="100">
        <v>3898.451810039262</v>
      </c>
      <c r="I3657" s="100">
        <v>646.41950751260424</v>
      </c>
      <c r="J3657" s="100">
        <v>7099.3468210529791</v>
      </c>
    </row>
    <row r="3658" spans="1:10" x14ac:dyDescent="0.25">
      <c r="A3658">
        <v>3641</v>
      </c>
      <c r="B3658" s="100">
        <v>88.793067521184284</v>
      </c>
      <c r="C3658" s="100">
        <v>98.906712876069577</v>
      </c>
      <c r="D3658" s="100">
        <v>93.046619134655813</v>
      </c>
      <c r="E3658" s="100">
        <v>93.680747070237317</v>
      </c>
      <c r="F3658" s="100">
        <v>2509.8937838013926</v>
      </c>
      <c r="G3658" s="100">
        <v>-1045.2350541611893</v>
      </c>
      <c r="H3658" s="100">
        <v>-461.07805833841553</v>
      </c>
      <c r="I3658" s="100">
        <v>-300.10741553608966</v>
      </c>
      <c r="J3658" s="100">
        <v>703.47325576569813</v>
      </c>
    </row>
    <row r="3659" spans="1:10" x14ac:dyDescent="0.25">
      <c r="A3659">
        <v>3642</v>
      </c>
      <c r="B3659" s="100">
        <v>89.191826295911611</v>
      </c>
      <c r="C3659" s="100">
        <v>99.630681873501274</v>
      </c>
      <c r="D3659" s="100">
        <v>92.11771793181498</v>
      </c>
      <c r="E3659" s="100">
        <v>95.838897134122703</v>
      </c>
      <c r="F3659" s="100">
        <v>1193.9898272012144</v>
      </c>
      <c r="G3659" s="100">
        <v>-2131.1885503087351</v>
      </c>
      <c r="H3659" s="100">
        <v>1396.7243473432518</v>
      </c>
      <c r="I3659" s="100">
        <v>-2458.2574794214765</v>
      </c>
      <c r="J3659" s="100">
        <v>-1998.7318551857454</v>
      </c>
    </row>
    <row r="3660" spans="1:10" x14ac:dyDescent="0.25">
      <c r="A3660">
        <v>3643</v>
      </c>
      <c r="B3660" s="100">
        <v>89.38436037071466</v>
      </c>
      <c r="C3660" s="100">
        <v>98.979287879886968</v>
      </c>
      <c r="D3660" s="100">
        <v>92.970966037462219</v>
      </c>
      <c r="E3660" s="100">
        <v>95.170869220221093</v>
      </c>
      <c r="F3660" s="100">
        <v>558.62738035115171</v>
      </c>
      <c r="G3660" s="100">
        <v>-1154.0975598872762</v>
      </c>
      <c r="H3660" s="100">
        <v>-309.77186395122658</v>
      </c>
      <c r="I3660" s="100">
        <v>-1790.2295655198657</v>
      </c>
      <c r="J3660" s="100">
        <v>-2695.471609007217</v>
      </c>
    </row>
    <row r="3661" spans="1:10" x14ac:dyDescent="0.25">
      <c r="A3661">
        <v>3644</v>
      </c>
      <c r="B3661" s="100">
        <v>89.672945682826793</v>
      </c>
      <c r="C3661" s="100">
        <v>97.200356884012436</v>
      </c>
      <c r="D3661" s="100">
        <v>91.874190948413755</v>
      </c>
      <c r="E3661" s="100">
        <v>96.79833533369569</v>
      </c>
      <c r="F3661" s="100">
        <v>-393.70414961888685</v>
      </c>
      <c r="G3661" s="100">
        <v>1514.2989339245219</v>
      </c>
      <c r="H3661" s="100">
        <v>1883.778314145701</v>
      </c>
      <c r="I3661" s="100">
        <v>-3417.6956789944625</v>
      </c>
      <c r="J3661" s="100">
        <v>-413.32258054312661</v>
      </c>
    </row>
    <row r="3662" spans="1:10" x14ac:dyDescent="0.25">
      <c r="A3662">
        <v>3645</v>
      </c>
      <c r="B3662" s="100">
        <v>90.139676003478584</v>
      </c>
      <c r="C3662" s="100">
        <v>98.378813498143927</v>
      </c>
      <c r="D3662" s="100">
        <v>90.884301643267449</v>
      </c>
      <c r="E3662" s="100">
        <v>93.406455882012182</v>
      </c>
      <c r="F3662" s="100">
        <v>-1933.9142077697986</v>
      </c>
      <c r="G3662" s="100">
        <v>-253.38598727271489</v>
      </c>
      <c r="H3662" s="100">
        <v>3863.5569244383132</v>
      </c>
      <c r="I3662" s="100">
        <v>-25.816227310954787</v>
      </c>
      <c r="J3662" s="100">
        <v>1650.4405020848449</v>
      </c>
    </row>
    <row r="3663" spans="1:10" x14ac:dyDescent="0.25">
      <c r="A3663">
        <v>3646</v>
      </c>
      <c r="B3663" s="100">
        <v>88.378897263683811</v>
      </c>
      <c r="C3663" s="100">
        <v>97.947190764483139</v>
      </c>
      <c r="D3663" s="100">
        <v>89.945353794584335</v>
      </c>
      <c r="E3663" s="100">
        <v>94.636653675324226</v>
      </c>
      <c r="F3663" s="100">
        <v>3876.6556335529531</v>
      </c>
      <c r="G3663" s="100">
        <v>394.04811321846722</v>
      </c>
      <c r="H3663" s="100">
        <v>5741.4526218045412</v>
      </c>
      <c r="I3663" s="100">
        <v>-1256.0140206229989</v>
      </c>
      <c r="J3663" s="100">
        <v>8756.1423479529622</v>
      </c>
    </row>
    <row r="3664" spans="1:10" x14ac:dyDescent="0.25">
      <c r="A3664">
        <v>3647</v>
      </c>
      <c r="B3664" s="100">
        <v>89.587153851523283</v>
      </c>
      <c r="C3664" s="100">
        <v>98.219116791243025</v>
      </c>
      <c r="D3664" s="100">
        <v>93.288733331396614</v>
      </c>
      <c r="E3664" s="100">
        <v>92.25491715377693</v>
      </c>
      <c r="F3664" s="100">
        <v>-110.59110631730391</v>
      </c>
      <c r="G3664" s="100">
        <v>-13.840926921361074</v>
      </c>
      <c r="H3664" s="100">
        <v>-945.30645182001649</v>
      </c>
      <c r="I3664" s="100">
        <v>1125.7225009242973</v>
      </c>
      <c r="J3664" s="100">
        <v>55.984015865615902</v>
      </c>
    </row>
    <row r="3665" spans="1:10" x14ac:dyDescent="0.25">
      <c r="A3665">
        <v>3648</v>
      </c>
      <c r="B3665" s="100">
        <v>90.062591403498018</v>
      </c>
      <c r="C3665" s="100">
        <v>98.748937067663832</v>
      </c>
      <c r="D3665" s="100">
        <v>92.933726803329847</v>
      </c>
      <c r="E3665" s="100">
        <v>91.234241743640013</v>
      </c>
      <c r="F3665" s="100">
        <v>-1679.5350278339313</v>
      </c>
      <c r="G3665" s="100">
        <v>-808.57134155257177</v>
      </c>
      <c r="H3665" s="100">
        <v>-235.29339568648311</v>
      </c>
      <c r="I3665" s="100">
        <v>2146.3979110612145</v>
      </c>
      <c r="J3665" s="100">
        <v>-577.00185401177168</v>
      </c>
    </row>
    <row r="3666" spans="1:10" x14ac:dyDescent="0.25">
      <c r="A3666">
        <v>3649</v>
      </c>
      <c r="B3666" s="100">
        <v>88.486311309446762</v>
      </c>
      <c r="C3666" s="100">
        <v>97.873213226294368</v>
      </c>
      <c r="D3666" s="100">
        <v>92.099077093370326</v>
      </c>
      <c r="E3666" s="100">
        <v>95.087475859211196</v>
      </c>
      <c r="F3666" s="100">
        <v>3522.1892825352143</v>
      </c>
      <c r="G3666" s="100">
        <v>505.01442050162382</v>
      </c>
      <c r="H3666" s="100">
        <v>1434.0060242325592</v>
      </c>
      <c r="I3666" s="100">
        <v>-1706.8362045099689</v>
      </c>
      <c r="J3666" s="100">
        <v>3754.3735227594284</v>
      </c>
    </row>
    <row r="3667" spans="1:10" x14ac:dyDescent="0.25">
      <c r="A3667">
        <v>3650</v>
      </c>
      <c r="B3667" s="100">
        <v>90.129425600310412</v>
      </c>
      <c r="C3667" s="100">
        <v>98.936646492914733</v>
      </c>
      <c r="D3667" s="100">
        <v>93.376361833352263</v>
      </c>
      <c r="E3667" s="100">
        <v>93.426293127623623</v>
      </c>
      <c r="F3667" s="100">
        <v>-1900.0878773148315</v>
      </c>
      <c r="G3667" s="100">
        <v>-1090.1354794289232</v>
      </c>
      <c r="H3667" s="100">
        <v>-1120.5634557313147</v>
      </c>
      <c r="I3667" s="100">
        <v>-45.653472922396077</v>
      </c>
      <c r="J3667" s="100">
        <v>-4156.4402853974652</v>
      </c>
    </row>
    <row r="3668" spans="1:10" x14ac:dyDescent="0.25">
      <c r="A3668">
        <v>3651</v>
      </c>
      <c r="B3668" s="100">
        <v>88.640432065033309</v>
      </c>
      <c r="C3668" s="100">
        <v>98.320540753121975</v>
      </c>
      <c r="D3668" s="100">
        <v>93.983252936676749</v>
      </c>
      <c r="E3668" s="100">
        <v>94.107520158584649</v>
      </c>
      <c r="F3668" s="100">
        <v>3013.5907890996095</v>
      </c>
      <c r="G3668" s="100">
        <v>-165.97686973978654</v>
      </c>
      <c r="H3668" s="100">
        <v>-2334.3456623802867</v>
      </c>
      <c r="I3668" s="100">
        <v>-726.88050388342162</v>
      </c>
      <c r="J3668" s="100">
        <v>-213.61224690388553</v>
      </c>
    </row>
    <row r="3669" spans="1:10" x14ac:dyDescent="0.25">
      <c r="A3669">
        <v>3652</v>
      </c>
      <c r="B3669" s="100">
        <v>90.329723732277998</v>
      </c>
      <c r="C3669" s="100">
        <v>98.709270436629623</v>
      </c>
      <c r="D3669" s="100">
        <v>92.455223031253126</v>
      </c>
      <c r="E3669" s="100">
        <v>91.734435751526078</v>
      </c>
      <c r="F3669" s="100">
        <v>-2561.0717128078632</v>
      </c>
      <c r="G3669" s="100">
        <v>-749.07139500125913</v>
      </c>
      <c r="H3669" s="100">
        <v>721.71414846695825</v>
      </c>
      <c r="I3669" s="100">
        <v>1646.2039031751488</v>
      </c>
      <c r="J3669" s="100">
        <v>-942.22505616701528</v>
      </c>
    </row>
    <row r="3670" spans="1:10" x14ac:dyDescent="0.25">
      <c r="A3670">
        <v>3653</v>
      </c>
      <c r="B3670" s="100">
        <v>88.947992442069562</v>
      </c>
      <c r="C3670" s="100">
        <v>98.444837097725141</v>
      </c>
      <c r="D3670" s="100">
        <v>92.870647632482772</v>
      </c>
      <c r="E3670" s="100">
        <v>97.030737147399336</v>
      </c>
      <c r="F3670" s="100">
        <v>1998.6415448799733</v>
      </c>
      <c r="G3670" s="100">
        <v>-352.42138664453648</v>
      </c>
      <c r="H3670" s="100">
        <v>-109.13505399233259</v>
      </c>
      <c r="I3670" s="100">
        <v>-3650.0974926981089</v>
      </c>
      <c r="J3670" s="100">
        <v>-2113.0123884550048</v>
      </c>
    </row>
    <row r="3671" spans="1:10" x14ac:dyDescent="0.25">
      <c r="A3671">
        <v>3654</v>
      </c>
      <c r="B3671" s="100">
        <v>89.135026513604103</v>
      </c>
      <c r="C3671" s="100">
        <v>98.22372545027217</v>
      </c>
      <c r="D3671" s="100">
        <v>93.300007905931565</v>
      </c>
      <c r="E3671" s="100">
        <v>94.948371372030664</v>
      </c>
      <c r="F3671" s="100">
        <v>1381.4291088159891</v>
      </c>
      <c r="G3671" s="100">
        <v>-20.753915465078876</v>
      </c>
      <c r="H3671" s="100">
        <v>-967.85560088991929</v>
      </c>
      <c r="I3671" s="100">
        <v>-1567.7317173294368</v>
      </c>
      <c r="J3671" s="100">
        <v>-1174.9121248684457</v>
      </c>
    </row>
    <row r="3672" spans="1:10" x14ac:dyDescent="0.25">
      <c r="A3672">
        <v>3655</v>
      </c>
      <c r="B3672" s="100">
        <v>89.098949735528308</v>
      </c>
      <c r="C3672" s="100">
        <v>96.997618330492159</v>
      </c>
      <c r="D3672" s="100">
        <v>93.098735321729961</v>
      </c>
      <c r="E3672" s="100">
        <v>93.787043718841147</v>
      </c>
      <c r="F3672" s="100">
        <v>1500.4824764661137</v>
      </c>
      <c r="G3672" s="100">
        <v>1818.4067642049372</v>
      </c>
      <c r="H3672" s="100">
        <v>-565.31043248671153</v>
      </c>
      <c r="I3672" s="100">
        <v>-406.40406413992025</v>
      </c>
      <c r="J3672" s="100">
        <v>2347.1747440444192</v>
      </c>
    </row>
    <row r="3673" spans="1:10" x14ac:dyDescent="0.25">
      <c r="A3673">
        <v>3656</v>
      </c>
      <c r="B3673" s="100">
        <v>89.437293906091469</v>
      </c>
      <c r="C3673" s="100">
        <v>99.492258653970083</v>
      </c>
      <c r="D3673" s="100">
        <v>93.022886733668827</v>
      </c>
      <c r="E3673" s="100">
        <v>96.913052307774208</v>
      </c>
      <c r="F3673" s="100">
        <v>383.946713607682</v>
      </c>
      <c r="G3673" s="100">
        <v>-1923.5537210119489</v>
      </c>
      <c r="H3673" s="100">
        <v>-413.61325636444235</v>
      </c>
      <c r="I3673" s="100">
        <v>-3532.4126530729814</v>
      </c>
      <c r="J3673" s="100">
        <v>-5485.6329168416905</v>
      </c>
    </row>
    <row r="3674" spans="1:10" x14ac:dyDescent="0.25">
      <c r="A3674">
        <v>3657</v>
      </c>
      <c r="B3674" s="100">
        <v>89.808744915331232</v>
      </c>
      <c r="C3674" s="100">
        <v>99.059939742192924</v>
      </c>
      <c r="D3674" s="100">
        <v>94.119704044478596</v>
      </c>
      <c r="E3674" s="100">
        <v>93.039671573710336</v>
      </c>
      <c r="F3674" s="100">
        <v>-841.8416168835364</v>
      </c>
      <c r="G3674" s="100">
        <v>-1275.0753533462102</v>
      </c>
      <c r="H3674" s="100">
        <v>-2607.2478779839798</v>
      </c>
      <c r="I3674" s="100">
        <v>340.9680809908906</v>
      </c>
      <c r="J3674" s="100">
        <v>-4383.1967672228357</v>
      </c>
    </row>
    <row r="3675" spans="1:10" x14ac:dyDescent="0.25">
      <c r="A3675">
        <v>3658</v>
      </c>
      <c r="B3675" s="100">
        <v>90.203156661797408</v>
      </c>
      <c r="C3675" s="100">
        <v>98.426249213817272</v>
      </c>
      <c r="D3675" s="100">
        <v>93.347759548276059</v>
      </c>
      <c r="E3675" s="100">
        <v>92.562849125094814</v>
      </c>
      <c r="F3675" s="100">
        <v>-2143.4003802219167</v>
      </c>
      <c r="G3675" s="100">
        <v>-324.53956078273194</v>
      </c>
      <c r="H3675" s="100">
        <v>-1063.3588855789071</v>
      </c>
      <c r="I3675" s="100">
        <v>817.79052960641252</v>
      </c>
      <c r="J3675" s="100">
        <v>-2713.5082969771429</v>
      </c>
    </row>
    <row r="3676" spans="1:10" x14ac:dyDescent="0.25">
      <c r="A3676">
        <v>3659</v>
      </c>
      <c r="B3676" s="100">
        <v>89.753309062217397</v>
      </c>
      <c r="C3676" s="100">
        <v>98.89485152145825</v>
      </c>
      <c r="D3676" s="100">
        <v>93.42080995674749</v>
      </c>
      <c r="E3676" s="100">
        <v>95.681042580342975</v>
      </c>
      <c r="F3676" s="100">
        <v>-658.90330160788153</v>
      </c>
      <c r="G3676" s="100">
        <v>-1027.4430222441993</v>
      </c>
      <c r="H3676" s="100">
        <v>-1209.4597025217695</v>
      </c>
      <c r="I3676" s="100">
        <v>-2300.402925641748</v>
      </c>
      <c r="J3676" s="100">
        <v>-5196.2089520155987</v>
      </c>
    </row>
    <row r="3677" spans="1:10" x14ac:dyDescent="0.25">
      <c r="A3677">
        <v>3660</v>
      </c>
      <c r="B3677" s="100">
        <v>89.44227701261687</v>
      </c>
      <c r="C3677" s="100">
        <v>98.938576593231915</v>
      </c>
      <c r="D3677" s="100">
        <v>93.778989823694843</v>
      </c>
      <c r="E3677" s="100">
        <v>91.986975765339849</v>
      </c>
      <c r="F3677" s="100">
        <v>367.50246207385828</v>
      </c>
      <c r="G3677" s="100">
        <v>-1093.0306299046961</v>
      </c>
      <c r="H3677" s="100">
        <v>-1925.8194364164751</v>
      </c>
      <c r="I3677" s="100">
        <v>1393.6638893613776</v>
      </c>
      <c r="J3677" s="100">
        <v>-1257.6837148859354</v>
      </c>
    </row>
    <row r="3678" spans="1:10" x14ac:dyDescent="0.25">
      <c r="A3678">
        <v>3661</v>
      </c>
      <c r="B3678" s="100">
        <v>89.914237924613943</v>
      </c>
      <c r="C3678" s="100">
        <v>98.234017042538014</v>
      </c>
      <c r="D3678" s="100">
        <v>92.198618213913022</v>
      </c>
      <c r="E3678" s="100">
        <v>91.702873682738186</v>
      </c>
      <c r="F3678" s="100">
        <v>-1189.9685475164815</v>
      </c>
      <c r="G3678" s="100">
        <v>-36.191303863844837</v>
      </c>
      <c r="H3678" s="100">
        <v>1234.9237831471669</v>
      </c>
      <c r="I3678" s="100">
        <v>1677.7659719630406</v>
      </c>
      <c r="J3678" s="100">
        <v>1686.529903729881</v>
      </c>
    </row>
    <row r="3679" spans="1:10" x14ac:dyDescent="0.25">
      <c r="A3679">
        <v>3662</v>
      </c>
      <c r="B3679" s="100">
        <v>88.537765311876555</v>
      </c>
      <c r="C3679" s="100">
        <v>97.748471553986263</v>
      </c>
      <c r="D3679" s="100">
        <v>92.340410398189462</v>
      </c>
      <c r="E3679" s="100">
        <v>93.501840954122798</v>
      </c>
      <c r="F3679" s="100">
        <v>3352.3910745168978</v>
      </c>
      <c r="G3679" s="100">
        <v>692.12692896378053</v>
      </c>
      <c r="H3679" s="100">
        <v>951.33941459428684</v>
      </c>
      <c r="I3679" s="100">
        <v>-121.20129942157121</v>
      </c>
      <c r="J3679" s="100">
        <v>4874.6561186533936</v>
      </c>
    </row>
    <row r="3680" spans="1:10" x14ac:dyDescent="0.25">
      <c r="A3680">
        <v>3663</v>
      </c>
      <c r="B3680" s="100">
        <v>88.459613618843875</v>
      </c>
      <c r="C3680" s="100">
        <v>97.818549046084044</v>
      </c>
      <c r="D3680" s="100">
        <v>93.683483442674344</v>
      </c>
      <c r="E3680" s="100">
        <v>96.084824696117494</v>
      </c>
      <c r="F3680" s="100">
        <v>3610.2916615247423</v>
      </c>
      <c r="G3680" s="100">
        <v>587.01069081710955</v>
      </c>
      <c r="H3680" s="100">
        <v>-1734.8066743754771</v>
      </c>
      <c r="I3680" s="100">
        <v>-2704.1850414162668</v>
      </c>
      <c r="J3680" s="100">
        <v>-241.68936344989243</v>
      </c>
    </row>
    <row r="3681" spans="1:10" x14ac:dyDescent="0.25">
      <c r="A3681">
        <v>3664</v>
      </c>
      <c r="B3681" s="100">
        <v>89.359076545184791</v>
      </c>
      <c r="C3681" s="100">
        <v>98.228604710974381</v>
      </c>
      <c r="D3681" s="100">
        <v>94.24468883811663</v>
      </c>
      <c r="E3681" s="100">
        <v>93.402050447159468</v>
      </c>
      <c r="F3681" s="100">
        <v>642.06400459971746</v>
      </c>
      <c r="G3681" s="100">
        <v>-28.072806518395055</v>
      </c>
      <c r="H3681" s="100">
        <v>-2857.2174652600497</v>
      </c>
      <c r="I3681" s="100">
        <v>-21.410792458240735</v>
      </c>
      <c r="J3681" s="100">
        <v>-2264.6370596369684</v>
      </c>
    </row>
    <row r="3682" spans="1:10" x14ac:dyDescent="0.25">
      <c r="A3682">
        <v>3665</v>
      </c>
      <c r="B3682" s="100">
        <v>90.356142745998113</v>
      </c>
      <c r="C3682" s="100">
        <v>98.067168200124698</v>
      </c>
      <c r="D3682" s="100">
        <v>93.005694200388831</v>
      </c>
      <c r="E3682" s="100">
        <v>92.456311916027971</v>
      </c>
      <c r="F3682" s="100">
        <v>-2648.2544580842441</v>
      </c>
      <c r="G3682" s="100">
        <v>214.08195975612898</v>
      </c>
      <c r="H3682" s="100">
        <v>-379.22818980445072</v>
      </c>
      <c r="I3682" s="100">
        <v>924.32773867325579</v>
      </c>
      <c r="J3682" s="100">
        <v>-1889.0729494593102</v>
      </c>
    </row>
    <row r="3683" spans="1:10" x14ac:dyDescent="0.25">
      <c r="A3683">
        <v>3666</v>
      </c>
      <c r="B3683" s="100">
        <v>91.236223432657766</v>
      </c>
      <c r="C3683" s="100">
        <v>96.995575921380095</v>
      </c>
      <c r="D3683" s="100">
        <v>91.472178711510182</v>
      </c>
      <c r="E3683" s="100">
        <v>95.497785093407188</v>
      </c>
      <c r="F3683" s="100">
        <v>-5552.5207240610998</v>
      </c>
      <c r="G3683" s="100">
        <v>1821.4703778730338</v>
      </c>
      <c r="H3683" s="100">
        <v>2687.8027879528472</v>
      </c>
      <c r="I3683" s="100">
        <v>-2117.1454387059612</v>
      </c>
      <c r="J3683" s="100">
        <v>-3160.3929969411802</v>
      </c>
    </row>
    <row r="3684" spans="1:10" x14ac:dyDescent="0.25">
      <c r="A3684">
        <v>3667</v>
      </c>
      <c r="B3684" s="100">
        <v>89.159768962602556</v>
      </c>
      <c r="C3684" s="100">
        <v>98.869706309474353</v>
      </c>
      <c r="D3684" s="100">
        <v>94.182557991704726</v>
      </c>
      <c r="E3684" s="100">
        <v>93.729489678701128</v>
      </c>
      <c r="F3684" s="100">
        <v>1299.7790271210961</v>
      </c>
      <c r="G3684" s="100">
        <v>-989.72520426835331</v>
      </c>
      <c r="H3684" s="100">
        <v>-2732.9557724362417</v>
      </c>
      <c r="I3684" s="100">
        <v>-348.85002399990128</v>
      </c>
      <c r="J3684" s="100">
        <v>-2771.7519735834003</v>
      </c>
    </row>
    <row r="3685" spans="1:10" x14ac:dyDescent="0.25">
      <c r="A3685">
        <v>3668</v>
      </c>
      <c r="B3685" s="100">
        <v>88.334284741887373</v>
      </c>
      <c r="C3685" s="100">
        <v>98.29379175957466</v>
      </c>
      <c r="D3685" s="100">
        <v>92.926801511232568</v>
      </c>
      <c r="E3685" s="100">
        <v>91.724837660590993</v>
      </c>
      <c r="F3685" s="100">
        <v>4023.8769554811979</v>
      </c>
      <c r="G3685" s="100">
        <v>-125.85337941881392</v>
      </c>
      <c r="H3685" s="100">
        <v>-221.4428114919258</v>
      </c>
      <c r="I3685" s="100">
        <v>1655.8019941102343</v>
      </c>
      <c r="J3685" s="100">
        <v>5332.3827586806929</v>
      </c>
    </row>
    <row r="3686" spans="1:10" x14ac:dyDescent="0.25">
      <c r="A3686">
        <v>3669</v>
      </c>
      <c r="B3686" s="100">
        <v>89.818528848164078</v>
      </c>
      <c r="C3686" s="100">
        <v>98.321684631786709</v>
      </c>
      <c r="D3686" s="100">
        <v>91.897325827772775</v>
      </c>
      <c r="E3686" s="100">
        <v>92.69054426833948</v>
      </c>
      <c r="F3686" s="100">
        <v>-874.12859523192878</v>
      </c>
      <c r="G3686" s="100">
        <v>-167.6926877368885</v>
      </c>
      <c r="H3686" s="100">
        <v>1837.5085554276609</v>
      </c>
      <c r="I3686" s="100">
        <v>690.09538636174739</v>
      </c>
      <c r="J3686" s="100">
        <v>1485.782658820591</v>
      </c>
    </row>
    <row r="3687" spans="1:10" x14ac:dyDescent="0.25">
      <c r="A3687">
        <v>3670</v>
      </c>
      <c r="B3687" s="100">
        <v>89.185963986077113</v>
      </c>
      <c r="C3687" s="100">
        <v>97.928984312531071</v>
      </c>
      <c r="D3687" s="100">
        <v>94.224129584186613</v>
      </c>
      <c r="E3687" s="100">
        <v>93.858843812718646</v>
      </c>
      <c r="F3687" s="100">
        <v>1213.335449655058</v>
      </c>
      <c r="G3687" s="100">
        <v>421.35779114656913</v>
      </c>
      <c r="H3687" s="100">
        <v>-2816.0989574000155</v>
      </c>
      <c r="I3687" s="100">
        <v>-478.20415801741945</v>
      </c>
      <c r="J3687" s="100">
        <v>-1659.6098746158077</v>
      </c>
    </row>
    <row r="3688" spans="1:10" x14ac:dyDescent="0.25">
      <c r="A3688">
        <v>3671</v>
      </c>
      <c r="B3688" s="100">
        <v>89.977115081865747</v>
      </c>
      <c r="C3688" s="100">
        <v>98.685703291299703</v>
      </c>
      <c r="D3688" s="100">
        <v>92.770143885993818</v>
      </c>
      <c r="E3688" s="100">
        <v>94.900216633738964</v>
      </c>
      <c r="F3688" s="100">
        <v>-1397.4631664474373</v>
      </c>
      <c r="G3688" s="100">
        <v>-713.72067700637842</v>
      </c>
      <c r="H3688" s="100">
        <v>91.8724389855754</v>
      </c>
      <c r="I3688" s="100">
        <v>-1519.5769790377369</v>
      </c>
      <c r="J3688" s="100">
        <v>-3538.8883835059773</v>
      </c>
    </row>
    <row r="3689" spans="1:10" x14ac:dyDescent="0.25">
      <c r="A3689">
        <v>3672</v>
      </c>
      <c r="B3689" s="100">
        <v>88.782475368827662</v>
      </c>
      <c r="C3689" s="100">
        <v>99.174236842264136</v>
      </c>
      <c r="D3689" s="100">
        <v>93.614187150320333</v>
      </c>
      <c r="E3689" s="100">
        <v>93.075332011907321</v>
      </c>
      <c r="F3689" s="100">
        <v>2544.8478865782463</v>
      </c>
      <c r="G3689" s="100">
        <v>-1446.5210034530287</v>
      </c>
      <c r="H3689" s="100">
        <v>-1596.2140896674555</v>
      </c>
      <c r="I3689" s="100">
        <v>305.3076427939061</v>
      </c>
      <c r="J3689" s="100">
        <v>-192.57956374833179</v>
      </c>
    </row>
    <row r="3690" spans="1:10" x14ac:dyDescent="0.25">
      <c r="A3690">
        <v>3673</v>
      </c>
      <c r="B3690" s="100">
        <v>90.160336024469373</v>
      </c>
      <c r="C3690" s="100">
        <v>97.708906787248424</v>
      </c>
      <c r="D3690" s="100">
        <v>93.506924132778423</v>
      </c>
      <c r="E3690" s="100">
        <v>93.354412395057906</v>
      </c>
      <c r="F3690" s="100">
        <v>-2002.0922770394022</v>
      </c>
      <c r="G3690" s="100">
        <v>751.47407907054026</v>
      </c>
      <c r="H3690" s="100">
        <v>-1381.6880545836341</v>
      </c>
      <c r="I3690" s="100">
        <v>26.227259643320622</v>
      </c>
      <c r="J3690" s="100">
        <v>-2606.0789929091752</v>
      </c>
    </row>
    <row r="3691" spans="1:10" x14ac:dyDescent="0.25">
      <c r="A3691">
        <v>3674</v>
      </c>
      <c r="B3691" s="100">
        <v>89.619807115232277</v>
      </c>
      <c r="C3691" s="100">
        <v>97.852176450303602</v>
      </c>
      <c r="D3691" s="100">
        <v>91.085653698627155</v>
      </c>
      <c r="E3691" s="100">
        <v>91.693104653543031</v>
      </c>
      <c r="F3691" s="100">
        <v>-218.34687655698417</v>
      </c>
      <c r="G3691" s="100">
        <v>536.56958448777209</v>
      </c>
      <c r="H3691" s="100">
        <v>3460.8528137189014</v>
      </c>
      <c r="I3691" s="100">
        <v>1687.5350011581959</v>
      </c>
      <c r="J3691" s="100">
        <v>5466.610522807885</v>
      </c>
    </row>
    <row r="3692" spans="1:10" x14ac:dyDescent="0.25">
      <c r="A3692">
        <v>3675</v>
      </c>
      <c r="B3692" s="100">
        <v>88.621001158431454</v>
      </c>
      <c r="C3692" s="100">
        <v>98.261249197558598</v>
      </c>
      <c r="D3692" s="100">
        <v>93.44945582650098</v>
      </c>
      <c r="E3692" s="100">
        <v>93.989244067019115</v>
      </c>
      <c r="F3692" s="100">
        <v>3077.7127808857304</v>
      </c>
      <c r="G3692" s="100">
        <v>-77.039536394721608</v>
      </c>
      <c r="H3692" s="100">
        <v>-1266.7514420287489</v>
      </c>
      <c r="I3692" s="100">
        <v>-608.60441231788798</v>
      </c>
      <c r="J3692" s="100">
        <v>1125.3173901443715</v>
      </c>
    </row>
    <row r="3693" spans="1:10" x14ac:dyDescent="0.25">
      <c r="A3693">
        <v>3676</v>
      </c>
      <c r="B3693" s="100">
        <v>90.195604812884312</v>
      </c>
      <c r="C3693" s="100">
        <v>97.017442393999247</v>
      </c>
      <c r="D3693" s="100">
        <v>93.194337136269198</v>
      </c>
      <c r="E3693" s="100">
        <v>95.332988386845514</v>
      </c>
      <c r="F3693" s="100">
        <v>-2118.4792788087007</v>
      </c>
      <c r="G3693" s="100">
        <v>1788.6706689443058</v>
      </c>
      <c r="H3693" s="100">
        <v>-756.51406156518419</v>
      </c>
      <c r="I3693" s="100">
        <v>-1952.3487321442872</v>
      </c>
      <c r="J3693" s="100">
        <v>-3038.671403573866</v>
      </c>
    </row>
    <row r="3694" spans="1:10" x14ac:dyDescent="0.25">
      <c r="A3694">
        <v>3677</v>
      </c>
      <c r="B3694" s="100">
        <v>89.418726260662623</v>
      </c>
      <c r="C3694" s="100">
        <v>100.26866773635494</v>
      </c>
      <c r="D3694" s="100">
        <v>91.159725607186431</v>
      </c>
      <c r="E3694" s="100">
        <v>93.807546989153693</v>
      </c>
      <c r="F3694" s="100">
        <v>445.21994352287209</v>
      </c>
      <c r="G3694" s="100">
        <v>-3088.1673445892375</v>
      </c>
      <c r="H3694" s="100">
        <v>3312.7089966003496</v>
      </c>
      <c r="I3694" s="100">
        <v>-426.90733445246565</v>
      </c>
      <c r="J3694" s="100">
        <v>242.85426108151864</v>
      </c>
    </row>
    <row r="3695" spans="1:10" x14ac:dyDescent="0.25">
      <c r="A3695">
        <v>3678</v>
      </c>
      <c r="B3695" s="100">
        <v>89.021161302352027</v>
      </c>
      <c r="C3695" s="100">
        <v>98.122347111044519</v>
      </c>
      <c r="D3695" s="100">
        <v>91.960750724085585</v>
      </c>
      <c r="E3695" s="100">
        <v>89.972719430602183</v>
      </c>
      <c r="F3695" s="100">
        <v>1757.1843059478397</v>
      </c>
      <c r="G3695" s="100">
        <v>131.31359337639736</v>
      </c>
      <c r="H3695" s="100">
        <v>1710.6587628020407</v>
      </c>
      <c r="I3695" s="100">
        <v>3407.9202240990439</v>
      </c>
      <c r="J3695" s="100">
        <v>7007.0768862253217</v>
      </c>
    </row>
    <row r="3696" spans="1:10" x14ac:dyDescent="0.25">
      <c r="A3696">
        <v>3679</v>
      </c>
      <c r="B3696" s="100">
        <v>89.487586930617951</v>
      </c>
      <c r="C3696" s="100">
        <v>98.102357951523288</v>
      </c>
      <c r="D3696" s="100">
        <v>91.769841216347956</v>
      </c>
      <c r="E3696" s="100">
        <v>93.783163826845325</v>
      </c>
      <c r="F3696" s="100">
        <v>217.97973267029107</v>
      </c>
      <c r="G3696" s="100">
        <v>161.29733265824342</v>
      </c>
      <c r="H3696" s="100">
        <v>2092.477778277299</v>
      </c>
      <c r="I3696" s="100">
        <v>-402.52417214409775</v>
      </c>
      <c r="J3696" s="100">
        <v>2069.2306714617353</v>
      </c>
    </row>
    <row r="3697" spans="1:10" x14ac:dyDescent="0.25">
      <c r="A3697">
        <v>3680</v>
      </c>
      <c r="B3697" s="100">
        <v>90.060447045393886</v>
      </c>
      <c r="C3697" s="100">
        <v>97.721409247701246</v>
      </c>
      <c r="D3697" s="100">
        <v>91.853137275264629</v>
      </c>
      <c r="E3697" s="100">
        <v>92.532359134524782</v>
      </c>
      <c r="F3697" s="100">
        <v>-1672.4586460902942</v>
      </c>
      <c r="G3697" s="100">
        <v>732.7203883913071</v>
      </c>
      <c r="H3697" s="100">
        <v>1925.8856604439529</v>
      </c>
      <c r="I3697" s="100">
        <v>848.28052017644495</v>
      </c>
      <c r="J3697" s="100">
        <v>1834.4279229214108</v>
      </c>
    </row>
    <row r="3698" spans="1:10" x14ac:dyDescent="0.25">
      <c r="A3698">
        <v>3681</v>
      </c>
      <c r="B3698" s="100">
        <v>89.688843052848455</v>
      </c>
      <c r="C3698" s="100">
        <v>98.70644692393823</v>
      </c>
      <c r="D3698" s="100">
        <v>92.500148939427717</v>
      </c>
      <c r="E3698" s="100">
        <v>93.517972703704231</v>
      </c>
      <c r="F3698" s="100">
        <v>-446.16547069037154</v>
      </c>
      <c r="G3698" s="100">
        <v>-744.83612596417004</v>
      </c>
      <c r="H3698" s="100">
        <v>631.86233211777676</v>
      </c>
      <c r="I3698" s="100">
        <v>-137.33304900300425</v>
      </c>
      <c r="J3698" s="100">
        <v>-696.47231353976906</v>
      </c>
    </row>
    <row r="3699" spans="1:10" x14ac:dyDescent="0.25">
      <c r="A3699">
        <v>3682</v>
      </c>
      <c r="B3699" s="100">
        <v>89.765629580393679</v>
      </c>
      <c r="C3699" s="100">
        <v>99.154157579058335</v>
      </c>
      <c r="D3699" s="100">
        <v>93.996118896992414</v>
      </c>
      <c r="E3699" s="100">
        <v>93.691560792595936</v>
      </c>
      <c r="F3699" s="100">
        <v>-699.56101158960996</v>
      </c>
      <c r="G3699" s="100">
        <v>-1416.402108644327</v>
      </c>
      <c r="H3699" s="100">
        <v>-2360.0775830116163</v>
      </c>
      <c r="I3699" s="100">
        <v>-310.92113789470943</v>
      </c>
      <c r="J3699" s="100">
        <v>-4786.9618411402625</v>
      </c>
    </row>
    <row r="3700" spans="1:10" x14ac:dyDescent="0.25">
      <c r="A3700">
        <v>3683</v>
      </c>
      <c r="B3700" s="100">
        <v>90.140318535675377</v>
      </c>
      <c r="C3700" s="100">
        <v>98.850255512109356</v>
      </c>
      <c r="D3700" s="100">
        <v>92.160022915417201</v>
      </c>
      <c r="E3700" s="100">
        <v>94.305783602063414</v>
      </c>
      <c r="F3700" s="100">
        <v>-1936.0345640192136</v>
      </c>
      <c r="G3700" s="100">
        <v>-960.54900822085892</v>
      </c>
      <c r="H3700" s="100">
        <v>1312.1143801388087</v>
      </c>
      <c r="I3700" s="100">
        <v>-925.14394736218719</v>
      </c>
      <c r="J3700" s="100">
        <v>-2509.6131394634513</v>
      </c>
    </row>
    <row r="3701" spans="1:10" x14ac:dyDescent="0.25">
      <c r="A3701">
        <v>3684</v>
      </c>
      <c r="B3701" s="100">
        <v>90.335636071901973</v>
      </c>
      <c r="C3701" s="100">
        <v>99.204265457128372</v>
      </c>
      <c r="D3701" s="100">
        <v>93.263461892322638</v>
      </c>
      <c r="E3701" s="100">
        <v>92.625293293719338</v>
      </c>
      <c r="F3701" s="100">
        <v>-2580.5824335669827</v>
      </c>
      <c r="G3701" s="100">
        <v>-1491.5639257493822</v>
      </c>
      <c r="H3701" s="100">
        <v>-894.7635736720656</v>
      </c>
      <c r="I3701" s="100">
        <v>755.34636098188912</v>
      </c>
      <c r="J3701" s="100">
        <v>-4211.5635720065411</v>
      </c>
    </row>
    <row r="3702" spans="1:10" x14ac:dyDescent="0.25">
      <c r="A3702">
        <v>3685</v>
      </c>
      <c r="B3702" s="100">
        <v>89.337042194977855</v>
      </c>
      <c r="C3702" s="100">
        <v>97.553342472934077</v>
      </c>
      <c r="D3702" s="100">
        <v>89.573036810451725</v>
      </c>
      <c r="E3702" s="100">
        <v>94.432136949107075</v>
      </c>
      <c r="F3702" s="100">
        <v>714.77736028260915</v>
      </c>
      <c r="G3702" s="100">
        <v>984.8205505420608</v>
      </c>
      <c r="H3702" s="100">
        <v>6486.0865900697609</v>
      </c>
      <c r="I3702" s="100">
        <v>-1051.4972944058486</v>
      </c>
      <c r="J3702" s="100">
        <v>7134.1872064885829</v>
      </c>
    </row>
    <row r="3703" spans="1:10" x14ac:dyDescent="0.25">
      <c r="A3703">
        <v>3686</v>
      </c>
      <c r="B3703" s="100">
        <v>89.629886442624709</v>
      </c>
      <c r="C3703" s="100">
        <v>96.919135765946166</v>
      </c>
      <c r="D3703" s="100">
        <v>92.309192975340608</v>
      </c>
      <c r="E3703" s="100">
        <v>94.641332503163753</v>
      </c>
      <c r="F3703" s="100">
        <v>-251.60865695201124</v>
      </c>
      <c r="G3703" s="100">
        <v>1936.130611023927</v>
      </c>
      <c r="H3703" s="100">
        <v>1013.7742602919957</v>
      </c>
      <c r="I3703" s="100">
        <v>-1260.6928484625257</v>
      </c>
      <c r="J3703" s="100">
        <v>1437.6033659013858</v>
      </c>
    </row>
    <row r="3704" spans="1:10" x14ac:dyDescent="0.25">
      <c r="A3704">
        <v>3687</v>
      </c>
      <c r="B3704" s="100">
        <v>89.141317484700508</v>
      </c>
      <c r="C3704" s="100">
        <v>97.282166190875714</v>
      </c>
      <c r="D3704" s="100">
        <v>93.619662834512042</v>
      </c>
      <c r="E3704" s="100">
        <v>92.260361346309935</v>
      </c>
      <c r="F3704" s="100">
        <v>1360.6689041978527</v>
      </c>
      <c r="G3704" s="100">
        <v>1391.5849736296054</v>
      </c>
      <c r="H3704" s="100">
        <v>-1607.1654580508721</v>
      </c>
      <c r="I3704" s="100">
        <v>1120.2783083912918</v>
      </c>
      <c r="J3704" s="100">
        <v>2265.3667281678781</v>
      </c>
    </row>
    <row r="3705" spans="1:10" x14ac:dyDescent="0.25">
      <c r="A3705">
        <v>3688</v>
      </c>
      <c r="B3705" s="100">
        <v>89.910927245171521</v>
      </c>
      <c r="C3705" s="100">
        <v>97.540748388744646</v>
      </c>
      <c r="D3705" s="100">
        <v>94.707035570932788</v>
      </c>
      <c r="E3705" s="100">
        <v>93.713478853903538</v>
      </c>
      <c r="F3705" s="100">
        <v>-1179.0433053564911</v>
      </c>
      <c r="G3705" s="100">
        <v>1003.7116768262067</v>
      </c>
      <c r="H3705" s="100">
        <v>-3781.9109308923657</v>
      </c>
      <c r="I3705" s="100">
        <v>-332.83919920231142</v>
      </c>
      <c r="J3705" s="100">
        <v>-4290.0817586249614</v>
      </c>
    </row>
    <row r="3706" spans="1:10" x14ac:dyDescent="0.25">
      <c r="A3706">
        <v>3689</v>
      </c>
      <c r="B3706" s="100">
        <v>88.672964902444292</v>
      </c>
      <c r="C3706" s="100">
        <v>98.66269545867749</v>
      </c>
      <c r="D3706" s="100">
        <v>91.052356657299526</v>
      </c>
      <c r="E3706" s="100">
        <v>91.870236629952998</v>
      </c>
      <c r="F3706" s="100">
        <v>2906.2324256433653</v>
      </c>
      <c r="G3706" s="100">
        <v>-679.20892807305927</v>
      </c>
      <c r="H3706" s="100">
        <v>3527.4468963741583</v>
      </c>
      <c r="I3706" s="100">
        <v>1510.4030247482285</v>
      </c>
      <c r="J3706" s="100">
        <v>7264.8734186926931</v>
      </c>
    </row>
    <row r="3707" spans="1:10" x14ac:dyDescent="0.25">
      <c r="A3707">
        <v>3690</v>
      </c>
      <c r="B3707" s="100">
        <v>90.23435518368926</v>
      </c>
      <c r="C3707" s="100">
        <v>97.198521454815022</v>
      </c>
      <c r="D3707" s="100">
        <v>90.397843693183006</v>
      </c>
      <c r="E3707" s="100">
        <v>91.694061181849023</v>
      </c>
      <c r="F3707" s="100">
        <v>-2246.3555024650291</v>
      </c>
      <c r="G3707" s="100">
        <v>1517.052077720642</v>
      </c>
      <c r="H3707" s="100">
        <v>4836.4728246071991</v>
      </c>
      <c r="I3707" s="100">
        <v>1686.5784728522044</v>
      </c>
      <c r="J3707" s="100">
        <v>5793.7478727150174</v>
      </c>
    </row>
    <row r="3708" spans="1:10" x14ac:dyDescent="0.25">
      <c r="A3708">
        <v>3691</v>
      </c>
      <c r="B3708" s="100">
        <v>90.232087804594912</v>
      </c>
      <c r="C3708" s="100">
        <v>96.37519753378065</v>
      </c>
      <c r="D3708" s="100">
        <v>93.882726293982572</v>
      </c>
      <c r="E3708" s="100">
        <v>93.749669081007738</v>
      </c>
      <c r="F3708" s="100">
        <v>-2238.8731514536785</v>
      </c>
      <c r="G3708" s="100">
        <v>2752.0379592722011</v>
      </c>
      <c r="H3708" s="100">
        <v>-2133.2923769919316</v>
      </c>
      <c r="I3708" s="100">
        <v>-369.02942630651125</v>
      </c>
      <c r="J3708" s="100">
        <v>-1989.1569954799202</v>
      </c>
    </row>
    <row r="3709" spans="1:10" x14ac:dyDescent="0.25">
      <c r="A3709">
        <v>3692</v>
      </c>
      <c r="B3709" s="100">
        <v>89.556155572173765</v>
      </c>
      <c r="C3709" s="100">
        <v>98.242063633000001</v>
      </c>
      <c r="D3709" s="100">
        <v>92.345679088757763</v>
      </c>
      <c r="E3709" s="100">
        <v>93.464955498127523</v>
      </c>
      <c r="F3709" s="100">
        <v>-8.2967844638943689</v>
      </c>
      <c r="G3709" s="100">
        <v>-48.261189556825457</v>
      </c>
      <c r="H3709" s="100">
        <v>940.80203345768609</v>
      </c>
      <c r="I3709" s="100">
        <v>-84.315843426296055</v>
      </c>
      <c r="J3709" s="100">
        <v>799.92821601067021</v>
      </c>
    </row>
    <row r="3710" spans="1:10" x14ac:dyDescent="0.25">
      <c r="A3710">
        <v>3693</v>
      </c>
      <c r="B3710" s="100">
        <v>89.548670011745898</v>
      </c>
      <c r="C3710" s="100">
        <v>97.484815177849867</v>
      </c>
      <c r="D3710" s="100">
        <v>94.661684239888785</v>
      </c>
      <c r="E3710" s="100">
        <v>95.116115447109379</v>
      </c>
      <c r="F3710" s="100">
        <v>16.405564948065887</v>
      </c>
      <c r="G3710" s="100">
        <v>1087.6114931683744</v>
      </c>
      <c r="H3710" s="100">
        <v>-3691.2082688043597</v>
      </c>
      <c r="I3710" s="100">
        <v>-1735.4757924081525</v>
      </c>
      <c r="J3710" s="100">
        <v>-4322.6670030960722</v>
      </c>
    </row>
    <row r="3711" spans="1:10" x14ac:dyDescent="0.25">
      <c r="A3711">
        <v>3694</v>
      </c>
      <c r="B3711" s="100">
        <v>89.531097273325742</v>
      </c>
      <c r="C3711" s="100">
        <v>99.516154902792621</v>
      </c>
      <c r="D3711" s="100">
        <v>92.572730959552189</v>
      </c>
      <c r="E3711" s="100">
        <v>95.210200537913934</v>
      </c>
      <c r="F3711" s="100">
        <v>74.395601734582328</v>
      </c>
      <c r="G3711" s="100">
        <v>-1959.3980942457563</v>
      </c>
      <c r="H3711" s="100">
        <v>486.69829186883362</v>
      </c>
      <c r="I3711" s="100">
        <v>-1829.5608832127073</v>
      </c>
      <c r="J3711" s="100">
        <v>-3227.8650838550475</v>
      </c>
    </row>
    <row r="3712" spans="1:10" x14ac:dyDescent="0.25">
      <c r="A3712">
        <v>3695</v>
      </c>
      <c r="B3712" s="100">
        <v>89.937109157692802</v>
      </c>
      <c r="C3712" s="100">
        <v>99.543199153970036</v>
      </c>
      <c r="D3712" s="100">
        <v>94.821408396292227</v>
      </c>
      <c r="E3712" s="100">
        <v>89.383255414403664</v>
      </c>
      <c r="F3712" s="100">
        <v>-1265.4436166767184</v>
      </c>
      <c r="G3712" s="100">
        <v>-1999.9644710118787</v>
      </c>
      <c r="H3712" s="100">
        <v>-4010.6565816112434</v>
      </c>
      <c r="I3712" s="100">
        <v>3997.3842402975633</v>
      </c>
      <c r="J3712" s="100">
        <v>-3278.6804290022774</v>
      </c>
    </row>
    <row r="3713" spans="1:10" x14ac:dyDescent="0.25">
      <c r="A3713">
        <v>3696</v>
      </c>
      <c r="B3713" s="100">
        <v>89.321211302091186</v>
      </c>
      <c r="C3713" s="100">
        <v>98.243034681556964</v>
      </c>
      <c r="D3713" s="100">
        <v>94.261501079023105</v>
      </c>
      <c r="E3713" s="100">
        <v>94.594658031047459</v>
      </c>
      <c r="F3713" s="100">
        <v>767.01930680861642</v>
      </c>
      <c r="G3713" s="100">
        <v>-49.717762392269549</v>
      </c>
      <c r="H3713" s="100">
        <v>-2890.8419470729996</v>
      </c>
      <c r="I3713" s="100">
        <v>-1214.0183763462319</v>
      </c>
      <c r="J3713" s="100">
        <v>-3387.5587790028849</v>
      </c>
    </row>
    <row r="3714" spans="1:10" x14ac:dyDescent="0.25">
      <c r="A3714">
        <v>3697</v>
      </c>
      <c r="B3714" s="100">
        <v>89.195944150347515</v>
      </c>
      <c r="C3714" s="100">
        <v>98.284656283425406</v>
      </c>
      <c r="D3714" s="100">
        <v>93.163984823262766</v>
      </c>
      <c r="E3714" s="100">
        <v>91.52765502697882</v>
      </c>
      <c r="F3714" s="100">
        <v>1180.4009075627305</v>
      </c>
      <c r="G3714" s="100">
        <v>-112.15016519493304</v>
      </c>
      <c r="H3714" s="100">
        <v>-695.80943555232011</v>
      </c>
      <c r="I3714" s="100">
        <v>1852.9846277224067</v>
      </c>
      <c r="J3714" s="100">
        <v>2225.4259345378841</v>
      </c>
    </row>
    <row r="3715" spans="1:10" x14ac:dyDescent="0.25">
      <c r="A3715">
        <v>3698</v>
      </c>
      <c r="B3715" s="100">
        <v>90.147090090240766</v>
      </c>
      <c r="C3715" s="100">
        <v>98.943413033590048</v>
      </c>
      <c r="D3715" s="100">
        <v>93.386754581062533</v>
      </c>
      <c r="E3715" s="100">
        <v>93.924997638354753</v>
      </c>
      <c r="F3715" s="100">
        <v>-1958.3806940849995</v>
      </c>
      <c r="G3715" s="100">
        <v>-1100.2852904418958</v>
      </c>
      <c r="H3715" s="100">
        <v>-1141.3489511518549</v>
      </c>
      <c r="I3715" s="100">
        <v>-544.35798365352639</v>
      </c>
      <c r="J3715" s="100">
        <v>-4744.3729193322761</v>
      </c>
    </row>
    <row r="3716" spans="1:10" x14ac:dyDescent="0.25">
      <c r="A3716">
        <v>3699</v>
      </c>
      <c r="B3716" s="100">
        <v>88.964312183363518</v>
      </c>
      <c r="C3716" s="100">
        <v>98.257880670506353</v>
      </c>
      <c r="D3716" s="100">
        <v>93.27614861620269</v>
      </c>
      <c r="E3716" s="100">
        <v>93.622138768500875</v>
      </c>
      <c r="F3716" s="100">
        <v>1944.7863986099208</v>
      </c>
      <c r="G3716" s="100">
        <v>-71.986745816353448</v>
      </c>
      <c r="H3716" s="100">
        <v>-920.13702143216847</v>
      </c>
      <c r="I3716" s="100">
        <v>-241.49911379964806</v>
      </c>
      <c r="J3716" s="100">
        <v>711.16351756175072</v>
      </c>
    </row>
    <row r="3717" spans="1:10" x14ac:dyDescent="0.25">
      <c r="A3717">
        <v>3700</v>
      </c>
      <c r="B3717" s="100">
        <v>89.611760469871143</v>
      </c>
      <c r="C3717" s="100">
        <v>98.196808872334501</v>
      </c>
      <c r="D3717" s="100">
        <v>93.248659206621184</v>
      </c>
      <c r="E3717" s="100">
        <v>91.59828526189284</v>
      </c>
      <c r="F3717" s="100">
        <v>-191.79294686524315</v>
      </c>
      <c r="G3717" s="100">
        <v>19.62095144142495</v>
      </c>
      <c r="H3717" s="100">
        <v>-865.15820226915707</v>
      </c>
      <c r="I3717" s="100">
        <v>1782.3543928083864</v>
      </c>
      <c r="J3717" s="100">
        <v>745.0241951154112</v>
      </c>
    </row>
    <row r="3718" spans="1:10" x14ac:dyDescent="0.25">
      <c r="A3718">
        <v>3701</v>
      </c>
      <c r="B3718" s="100">
        <v>89.703677090602312</v>
      </c>
      <c r="C3718" s="100">
        <v>98.808971233162012</v>
      </c>
      <c r="D3718" s="100">
        <v>93.846803047468725</v>
      </c>
      <c r="E3718" s="100">
        <v>95.680807765076295</v>
      </c>
      <c r="F3718" s="100">
        <v>-495.11779527810091</v>
      </c>
      <c r="G3718" s="100">
        <v>-898.62258979984233</v>
      </c>
      <c r="H3718" s="100">
        <v>-2061.4458839642393</v>
      </c>
      <c r="I3718" s="100">
        <v>-2300.1681103750684</v>
      </c>
      <c r="J3718" s="100">
        <v>-5755.354379417251</v>
      </c>
    </row>
    <row r="3719" spans="1:10" x14ac:dyDescent="0.25">
      <c r="A3719">
        <v>3702</v>
      </c>
      <c r="B3719" s="100">
        <v>89.892062854423159</v>
      </c>
      <c r="C3719" s="100">
        <v>98.185966654650983</v>
      </c>
      <c r="D3719" s="100">
        <v>90.402085028052923</v>
      </c>
      <c r="E3719" s="100">
        <v>92.453854232232771</v>
      </c>
      <c r="F3719" s="100">
        <v>-1116.7908158868954</v>
      </c>
      <c r="G3719" s="100">
        <v>35.884277966701461</v>
      </c>
      <c r="H3719" s="100">
        <v>4827.9901548673652</v>
      </c>
      <c r="I3719" s="100">
        <v>926.78542246845552</v>
      </c>
      <c r="J3719" s="100">
        <v>4673.8690394156265</v>
      </c>
    </row>
    <row r="3720" spans="1:10" x14ac:dyDescent="0.25">
      <c r="A3720">
        <v>3703</v>
      </c>
      <c r="B3720" s="100">
        <v>89.399808029018587</v>
      </c>
      <c r="C3720" s="100">
        <v>97.94736650227911</v>
      </c>
      <c r="D3720" s="100">
        <v>93.549948265164105</v>
      </c>
      <c r="E3720" s="100">
        <v>92.080525288157759</v>
      </c>
      <c r="F3720" s="100">
        <v>507.6501079481929</v>
      </c>
      <c r="G3720" s="100">
        <v>393.78450652451136</v>
      </c>
      <c r="H3720" s="100">
        <v>-1467.7363193549979</v>
      </c>
      <c r="I3720" s="100">
        <v>1300.1143665434683</v>
      </c>
      <c r="J3720" s="100">
        <v>733.81266166117462</v>
      </c>
    </row>
    <row r="3721" spans="1:10" x14ac:dyDescent="0.25">
      <c r="A3721">
        <v>3704</v>
      </c>
      <c r="B3721" s="100">
        <v>90.319728222329047</v>
      </c>
      <c r="C3721" s="100">
        <v>98.660093731307157</v>
      </c>
      <c r="D3721" s="100">
        <v>95.344407714325527</v>
      </c>
      <c r="E3721" s="100">
        <v>92.145325398704756</v>
      </c>
      <c r="F3721" s="100">
        <v>-2528.0865299763263</v>
      </c>
      <c r="G3721" s="100">
        <v>-675.3063370175596</v>
      </c>
      <c r="H3721" s="100">
        <v>-5056.6552176778432</v>
      </c>
      <c r="I3721" s="100">
        <v>1235.3142559964708</v>
      </c>
      <c r="J3721" s="100">
        <v>-7024.7338286752583</v>
      </c>
    </row>
    <row r="3722" spans="1:10" x14ac:dyDescent="0.25">
      <c r="A3722">
        <v>3705</v>
      </c>
      <c r="B3722" s="100">
        <v>89.597806599328166</v>
      </c>
      <c r="C3722" s="100">
        <v>99.116393721427698</v>
      </c>
      <c r="D3722" s="100">
        <v>92.289213953508579</v>
      </c>
      <c r="E3722" s="100">
        <v>94.227680962305428</v>
      </c>
      <c r="F3722" s="100">
        <v>-145.74517407341858</v>
      </c>
      <c r="G3722" s="100">
        <v>-1359.7563221983719</v>
      </c>
      <c r="H3722" s="100">
        <v>1053.7323039560533</v>
      </c>
      <c r="I3722" s="100">
        <v>-847.04130760420071</v>
      </c>
      <c r="J3722" s="100">
        <v>-1298.8104999199379</v>
      </c>
    </row>
    <row r="3723" spans="1:10" x14ac:dyDescent="0.25">
      <c r="A3723">
        <v>3706</v>
      </c>
      <c r="B3723" s="100">
        <v>89.536130095862362</v>
      </c>
      <c r="C3723" s="100">
        <v>97.7534295234816</v>
      </c>
      <c r="D3723" s="100">
        <v>93.069861217747786</v>
      </c>
      <c r="E3723" s="100">
        <v>91.451732119429678</v>
      </c>
      <c r="F3723" s="100">
        <v>57.787287363736084</v>
      </c>
      <c r="G3723" s="100">
        <v>684.68997472077581</v>
      </c>
      <c r="H3723" s="100">
        <v>-507.56222452235988</v>
      </c>
      <c r="I3723" s="100">
        <v>1928.9075352715486</v>
      </c>
      <c r="J3723" s="100">
        <v>2163.8225728337006</v>
      </c>
    </row>
    <row r="3724" spans="1:10" x14ac:dyDescent="0.25">
      <c r="A3724">
        <v>3707</v>
      </c>
      <c r="B3724" s="100">
        <v>90.498335248908134</v>
      </c>
      <c r="C3724" s="100">
        <v>98.091181075298849</v>
      </c>
      <c r="D3724" s="100">
        <v>91.96112727017767</v>
      </c>
      <c r="E3724" s="100">
        <v>92.477979169928574</v>
      </c>
      <c r="F3724" s="100">
        <v>-3117.4897176873133</v>
      </c>
      <c r="G3724" s="100">
        <v>178.06264699490271</v>
      </c>
      <c r="H3724" s="100">
        <v>1709.9056706178715</v>
      </c>
      <c r="I3724" s="100">
        <v>902.66048477265315</v>
      </c>
      <c r="J3724" s="100">
        <v>-326.86091530188617</v>
      </c>
    </row>
    <row r="3725" spans="1:10" x14ac:dyDescent="0.25">
      <c r="A3725">
        <v>3708</v>
      </c>
      <c r="B3725" s="100">
        <v>90.080352005128191</v>
      </c>
      <c r="C3725" s="100">
        <v>98.351062156981669</v>
      </c>
      <c r="D3725" s="100">
        <v>94.180507936952665</v>
      </c>
      <c r="E3725" s="100">
        <v>91.467102618664953</v>
      </c>
      <c r="F3725" s="100">
        <v>-1738.1450132135001</v>
      </c>
      <c r="G3725" s="100">
        <v>-211.7589755293281</v>
      </c>
      <c r="H3725" s="100">
        <v>-2728.8556629321192</v>
      </c>
      <c r="I3725" s="100">
        <v>1913.5370360362742</v>
      </c>
      <c r="J3725" s="100">
        <v>-2765.2226156386732</v>
      </c>
    </row>
    <row r="3726" spans="1:10" x14ac:dyDescent="0.25">
      <c r="A3726">
        <v>3709</v>
      </c>
      <c r="B3726" s="100">
        <v>89.851976578222008</v>
      </c>
      <c r="C3726" s="100">
        <v>98.589378022148409</v>
      </c>
      <c r="D3726" s="100">
        <v>92.229755095730994</v>
      </c>
      <c r="E3726" s="100">
        <v>94.688253630556034</v>
      </c>
      <c r="F3726" s="100">
        <v>-984.50610442309596</v>
      </c>
      <c r="G3726" s="100">
        <v>-569.23277327943822</v>
      </c>
      <c r="H3726" s="100">
        <v>1172.6500195112237</v>
      </c>
      <c r="I3726" s="100">
        <v>-1307.6139758548065</v>
      </c>
      <c r="J3726" s="100">
        <v>-1688.702834046117</v>
      </c>
    </row>
    <row r="3727" spans="1:10" x14ac:dyDescent="0.25">
      <c r="A3727">
        <v>3710</v>
      </c>
      <c r="B3727" s="100">
        <v>90.297315541891862</v>
      </c>
      <c r="C3727" s="100">
        <v>97.038527794548941</v>
      </c>
      <c r="D3727" s="100">
        <v>92.88201346580415</v>
      </c>
      <c r="E3727" s="100">
        <v>91.536671919954031</v>
      </c>
      <c r="F3727" s="100">
        <v>-2454.1246845336163</v>
      </c>
      <c r="G3727" s="100">
        <v>1757.0425681197648</v>
      </c>
      <c r="H3727" s="100">
        <v>-131.86672063508809</v>
      </c>
      <c r="I3727" s="100">
        <v>1843.9677347471957</v>
      </c>
      <c r="J3727" s="100">
        <v>1015.0188976982561</v>
      </c>
    </row>
    <row r="3728" spans="1:10" x14ac:dyDescent="0.25">
      <c r="A3728">
        <v>3711</v>
      </c>
      <c r="B3728" s="100">
        <v>90.290890885679005</v>
      </c>
      <c r="C3728" s="100">
        <v>97.322373246901023</v>
      </c>
      <c r="D3728" s="100">
        <v>91.0918680892201</v>
      </c>
      <c r="E3728" s="100">
        <v>92.890553480180898</v>
      </c>
      <c r="F3728" s="100">
        <v>-2432.923319031187</v>
      </c>
      <c r="G3728" s="100">
        <v>1331.2743895916412</v>
      </c>
      <c r="H3728" s="100">
        <v>3448.424032533012</v>
      </c>
      <c r="I3728" s="100">
        <v>490.08617452032865</v>
      </c>
      <c r="J3728" s="100">
        <v>2836.8612776137948</v>
      </c>
    </row>
    <row r="3729" spans="1:10" x14ac:dyDescent="0.25">
      <c r="A3729">
        <v>3712</v>
      </c>
      <c r="B3729" s="100">
        <v>90.445454036832317</v>
      </c>
      <c r="C3729" s="100">
        <v>96.748095641205282</v>
      </c>
      <c r="D3729" s="100">
        <v>92.272715181631341</v>
      </c>
      <c r="E3729" s="100">
        <v>93.501291652891396</v>
      </c>
      <c r="F3729" s="100">
        <v>-2942.9817178371154</v>
      </c>
      <c r="G3729" s="100">
        <v>2192.6907981352529</v>
      </c>
      <c r="H3729" s="100">
        <v>1086.7298477105294</v>
      </c>
      <c r="I3729" s="100">
        <v>-120.65199819016925</v>
      </c>
      <c r="J3729" s="100">
        <v>215.78692981849758</v>
      </c>
    </row>
    <row r="3730" spans="1:10" x14ac:dyDescent="0.25">
      <c r="A3730">
        <v>3713</v>
      </c>
      <c r="B3730" s="100">
        <v>90.139594479770892</v>
      </c>
      <c r="C3730" s="100">
        <v>98.292189928707231</v>
      </c>
      <c r="D3730" s="100">
        <v>93.594660361399818</v>
      </c>
      <c r="E3730" s="100">
        <v>93.773475412995339</v>
      </c>
      <c r="F3730" s="100">
        <v>-1933.6451795344146</v>
      </c>
      <c r="G3730" s="100">
        <v>-123.45063311767035</v>
      </c>
      <c r="H3730" s="100">
        <v>-1557.1605118264245</v>
      </c>
      <c r="I3730" s="100">
        <v>-392.83575829411177</v>
      </c>
      <c r="J3730" s="100">
        <v>-4007.0920827726213</v>
      </c>
    </row>
    <row r="3731" spans="1:10" x14ac:dyDescent="0.25">
      <c r="A3731">
        <v>3714</v>
      </c>
      <c r="B3731" s="100">
        <v>89.296070247651315</v>
      </c>
      <c r="C3731" s="100">
        <v>96.386363111523636</v>
      </c>
      <c r="D3731" s="100">
        <v>91.885662890487282</v>
      </c>
      <c r="E3731" s="100">
        <v>96.298141807860176</v>
      </c>
      <c r="F3731" s="100">
        <v>849.98478646019043</v>
      </c>
      <c r="G3731" s="100">
        <v>2735.2895926577221</v>
      </c>
      <c r="H3731" s="100">
        <v>1860.834429998647</v>
      </c>
      <c r="I3731" s="100">
        <v>-2917.5021531589491</v>
      </c>
      <c r="J3731" s="100">
        <v>2528.6066559576111</v>
      </c>
    </row>
    <row r="3732" spans="1:10" x14ac:dyDescent="0.25">
      <c r="A3732">
        <v>3715</v>
      </c>
      <c r="B3732" s="100">
        <v>89.41459970550342</v>
      </c>
      <c r="C3732" s="100">
        <v>99.428607277641774</v>
      </c>
      <c r="D3732" s="100">
        <v>91.176693097480708</v>
      </c>
      <c r="E3732" s="100">
        <v>92.869720927267565</v>
      </c>
      <c r="F3732" s="100">
        <v>458.83757554824314</v>
      </c>
      <c r="G3732" s="100">
        <v>-1828.0766565194854</v>
      </c>
      <c r="H3732" s="100">
        <v>3278.7740160117946</v>
      </c>
      <c r="I3732" s="100">
        <v>510.91872743366196</v>
      </c>
      <c r="J3732" s="100">
        <v>2420.4536624742145</v>
      </c>
    </row>
    <row r="3733" spans="1:10" x14ac:dyDescent="0.25">
      <c r="A3733">
        <v>3716</v>
      </c>
      <c r="B3733" s="100">
        <v>88.888131922906368</v>
      </c>
      <c r="C3733" s="100">
        <v>100.50879788342091</v>
      </c>
      <c r="D3733" s="100">
        <v>93.643642080019063</v>
      </c>
      <c r="E3733" s="100">
        <v>94.858676636730266</v>
      </c>
      <c r="F3733" s="100">
        <v>2196.1812581185159</v>
      </c>
      <c r="G3733" s="100">
        <v>-3448.3625651881907</v>
      </c>
      <c r="H3733" s="100">
        <v>-1655.1239490649152</v>
      </c>
      <c r="I3733" s="100">
        <v>-1478.0369820290389</v>
      </c>
      <c r="J3733" s="100">
        <v>-4385.3422381636292</v>
      </c>
    </row>
    <row r="3734" spans="1:10" x14ac:dyDescent="0.25">
      <c r="A3734">
        <v>3717</v>
      </c>
      <c r="B3734" s="100">
        <v>90.250919007372758</v>
      </c>
      <c r="C3734" s="100">
        <v>97.3881864822484</v>
      </c>
      <c r="D3734" s="100">
        <v>91.80689619416394</v>
      </c>
      <c r="E3734" s="100">
        <v>92.855061230146461</v>
      </c>
      <c r="F3734" s="100">
        <v>-2301.0161206205721</v>
      </c>
      <c r="G3734" s="100">
        <v>1232.554536570575</v>
      </c>
      <c r="H3734" s="100">
        <v>2018.367822645331</v>
      </c>
      <c r="I3734" s="100">
        <v>525.57842455476589</v>
      </c>
      <c r="J3734" s="100">
        <v>1475.4846631500998</v>
      </c>
    </row>
    <row r="3735" spans="1:10" x14ac:dyDescent="0.25">
      <c r="A3735">
        <v>3718</v>
      </c>
      <c r="B3735" s="100">
        <v>89.993983023675412</v>
      </c>
      <c r="C3735" s="100">
        <v>98.499145823823753</v>
      </c>
      <c r="D3735" s="100">
        <v>92.813749244991754</v>
      </c>
      <c r="E3735" s="100">
        <v>91.19454891534626</v>
      </c>
      <c r="F3735" s="100">
        <v>-1453.12737441933</v>
      </c>
      <c r="G3735" s="100">
        <v>-433.88447579245337</v>
      </c>
      <c r="H3735" s="100">
        <v>4.6617209897021894</v>
      </c>
      <c r="I3735" s="100">
        <v>2186.0907393549669</v>
      </c>
      <c r="J3735" s="100">
        <v>303.74061013288565</v>
      </c>
    </row>
    <row r="3736" spans="1:10" x14ac:dyDescent="0.25">
      <c r="A3736">
        <v>3719</v>
      </c>
      <c r="B3736" s="100">
        <v>89.90504111657755</v>
      </c>
      <c r="C3736" s="100">
        <v>97.922163701808103</v>
      </c>
      <c r="D3736" s="100">
        <v>93.623055964465607</v>
      </c>
      <c r="E3736" s="100">
        <v>91.946966853301063</v>
      </c>
      <c r="F3736" s="100">
        <v>-1159.6190809963857</v>
      </c>
      <c r="G3736" s="100">
        <v>431.58870723102183</v>
      </c>
      <c r="H3736" s="100">
        <v>-1613.9517179580025</v>
      </c>
      <c r="I3736" s="100">
        <v>1433.6728014001637</v>
      </c>
      <c r="J3736" s="100">
        <v>-908.30929032320273</v>
      </c>
    </row>
    <row r="3737" spans="1:10" x14ac:dyDescent="0.25">
      <c r="A3737">
        <v>3720</v>
      </c>
      <c r="B3737" s="100">
        <v>88.91893436925325</v>
      </c>
      <c r="C3737" s="100">
        <v>98.933215730349048</v>
      </c>
      <c r="D3737" s="100">
        <v>92.036660542829139</v>
      </c>
      <c r="E3737" s="100">
        <v>90.90293393831827</v>
      </c>
      <c r="F3737" s="100">
        <v>2094.5331851738033</v>
      </c>
      <c r="G3737" s="100">
        <v>-1084.9893355803956</v>
      </c>
      <c r="H3737" s="100">
        <v>1558.8391253149325</v>
      </c>
      <c r="I3737" s="100">
        <v>2477.7057163829568</v>
      </c>
      <c r="J3737" s="100">
        <v>5046.0886912912974</v>
      </c>
    </row>
    <row r="3738" spans="1:10" x14ac:dyDescent="0.25">
      <c r="A3738">
        <v>3721</v>
      </c>
      <c r="B3738" s="100">
        <v>88.742649346044672</v>
      </c>
      <c r="C3738" s="100">
        <v>96.779148618852247</v>
      </c>
      <c r="D3738" s="100">
        <v>93.089497793232752</v>
      </c>
      <c r="E3738" s="100">
        <v>96.446387665681783</v>
      </c>
      <c r="F3738" s="100">
        <v>2676.2737617621115</v>
      </c>
      <c r="G3738" s="100">
        <v>2146.1113316648052</v>
      </c>
      <c r="H3738" s="100">
        <v>-546.835375492293</v>
      </c>
      <c r="I3738" s="100">
        <v>-3065.748010980556</v>
      </c>
      <c r="J3738" s="100">
        <v>1209.8017069540679</v>
      </c>
    </row>
    <row r="3739" spans="1:10" x14ac:dyDescent="0.25">
      <c r="A3739">
        <v>3722</v>
      </c>
      <c r="B3739" s="100">
        <v>89.789478043105404</v>
      </c>
      <c r="C3739" s="100">
        <v>99.261440465374633</v>
      </c>
      <c r="D3739" s="100">
        <v>95.417240088860794</v>
      </c>
      <c r="E3739" s="100">
        <v>93.763204365624702</v>
      </c>
      <c r="F3739" s="100">
        <v>-778.26093853830548</v>
      </c>
      <c r="G3739" s="100">
        <v>-1577.3264381187744</v>
      </c>
      <c r="H3739" s="100">
        <v>-5202.3199667483768</v>
      </c>
      <c r="I3739" s="100">
        <v>-382.5647109234751</v>
      </c>
      <c r="J3739" s="100">
        <v>-7940.4720543289322</v>
      </c>
    </row>
    <row r="3740" spans="1:10" x14ac:dyDescent="0.25">
      <c r="A3740">
        <v>3723</v>
      </c>
      <c r="B3740" s="100">
        <v>89.473984588736755</v>
      </c>
      <c r="C3740" s="100">
        <v>97.339047271624239</v>
      </c>
      <c r="D3740" s="100">
        <v>93.147372433770158</v>
      </c>
      <c r="E3740" s="100">
        <v>92.306100103635075</v>
      </c>
      <c r="F3740" s="100">
        <v>262.86746087823758</v>
      </c>
      <c r="G3740" s="100">
        <v>1306.2633525068179</v>
      </c>
      <c r="H3740" s="100">
        <v>-662.58465656710541</v>
      </c>
      <c r="I3740" s="100">
        <v>1074.5395510661524</v>
      </c>
      <c r="J3740" s="100">
        <v>1981.0857078841025</v>
      </c>
    </row>
    <row r="3741" spans="1:10" x14ac:dyDescent="0.25">
      <c r="A3741">
        <v>3724</v>
      </c>
      <c r="B3741" s="100">
        <v>90.053642890310726</v>
      </c>
      <c r="C3741" s="100">
        <v>97.839974141730622</v>
      </c>
      <c r="D3741" s="100">
        <v>93.428094863470903</v>
      </c>
      <c r="E3741" s="100">
        <v>92.243525557209779</v>
      </c>
      <c r="F3741" s="100">
        <v>-1650.004934315868</v>
      </c>
      <c r="G3741" s="100">
        <v>554.87304734724319</v>
      </c>
      <c r="H3741" s="100">
        <v>-1224.0295159685957</v>
      </c>
      <c r="I3741" s="100">
        <v>1137.1140974914483</v>
      </c>
      <c r="J3741" s="100">
        <v>-1182.0473054457721</v>
      </c>
    </row>
    <row r="3742" spans="1:10" x14ac:dyDescent="0.25">
      <c r="A3742">
        <v>3725</v>
      </c>
      <c r="B3742" s="100">
        <v>89.831401817671917</v>
      </c>
      <c r="C3742" s="100">
        <v>97.980294470886832</v>
      </c>
      <c r="D3742" s="100">
        <v>93.99742532876752</v>
      </c>
      <c r="E3742" s="100">
        <v>92.458146579241927</v>
      </c>
      <c r="F3742" s="100">
        <v>-916.60939460779787</v>
      </c>
      <c r="G3742" s="100">
        <v>344.39255361292709</v>
      </c>
      <c r="H3742" s="100">
        <v>-2362.6904465618281</v>
      </c>
      <c r="I3742" s="100">
        <v>922.49307545930037</v>
      </c>
      <c r="J3742" s="100">
        <v>-2012.4142120973986</v>
      </c>
    </row>
    <row r="3743" spans="1:10" x14ac:dyDescent="0.25">
      <c r="A3743">
        <v>3726</v>
      </c>
      <c r="B3743" s="100">
        <v>89.081985474469391</v>
      </c>
      <c r="C3743" s="100">
        <v>97.548138067589989</v>
      </c>
      <c r="D3743" s="100">
        <v>92.659317726144621</v>
      </c>
      <c r="E3743" s="100">
        <v>93.572151025822862</v>
      </c>
      <c r="F3743" s="100">
        <v>1556.4645379605381</v>
      </c>
      <c r="G3743" s="100">
        <v>992.62715855819295</v>
      </c>
      <c r="H3743" s="100">
        <v>313.52475868396823</v>
      </c>
      <c r="I3743" s="100">
        <v>-191.51137112163497</v>
      </c>
      <c r="J3743" s="100">
        <v>2671.1050840810644</v>
      </c>
    </row>
    <row r="3744" spans="1:10" x14ac:dyDescent="0.25">
      <c r="A3744">
        <v>3727</v>
      </c>
      <c r="B3744" s="100">
        <v>89.815008050380655</v>
      </c>
      <c r="C3744" s="100">
        <v>98.139551739353152</v>
      </c>
      <c r="D3744" s="100">
        <v>93.846224912932882</v>
      </c>
      <c r="E3744" s="100">
        <v>93.286660285803606</v>
      </c>
      <c r="F3744" s="100">
        <v>-862.50996254663187</v>
      </c>
      <c r="G3744" s="100">
        <v>105.50665091344769</v>
      </c>
      <c r="H3744" s="100">
        <v>-2060.2896148925538</v>
      </c>
      <c r="I3744" s="100">
        <v>93.97936889762093</v>
      </c>
      <c r="J3744" s="100">
        <v>-2723.313557628117</v>
      </c>
    </row>
    <row r="3745" spans="1:10" x14ac:dyDescent="0.25">
      <c r="A3745">
        <v>3728</v>
      </c>
      <c r="B3745" s="100">
        <v>89.364009890098188</v>
      </c>
      <c r="C3745" s="100">
        <v>99.163366105405601</v>
      </c>
      <c r="D3745" s="100">
        <v>94.332464336747691</v>
      </c>
      <c r="E3745" s="100">
        <v>93.24773372874634</v>
      </c>
      <c r="F3745" s="100">
        <v>625.78396638550794</v>
      </c>
      <c r="G3745" s="100">
        <v>-1430.2148981652251</v>
      </c>
      <c r="H3745" s="100">
        <v>-3032.7684625221709</v>
      </c>
      <c r="I3745" s="100">
        <v>132.90592595488704</v>
      </c>
      <c r="J3745" s="100">
        <v>-3704.2934683470007</v>
      </c>
    </row>
    <row r="3746" spans="1:10" x14ac:dyDescent="0.25">
      <c r="A3746">
        <v>3729</v>
      </c>
      <c r="B3746" s="100">
        <v>88.799297014508269</v>
      </c>
      <c r="C3746" s="100">
        <v>99.498756849813418</v>
      </c>
      <c r="D3746" s="100">
        <v>94.631513237061583</v>
      </c>
      <c r="E3746" s="100">
        <v>94.323967802007232</v>
      </c>
      <c r="F3746" s="100">
        <v>2489.3364558322405</v>
      </c>
      <c r="G3746" s="100">
        <v>-1933.3010147769514</v>
      </c>
      <c r="H3746" s="100">
        <v>-3630.8662631499546</v>
      </c>
      <c r="I3746" s="100">
        <v>-943.32814730600489</v>
      </c>
      <c r="J3746" s="100">
        <v>-4018.1589694006707</v>
      </c>
    </row>
    <row r="3747" spans="1:10" x14ac:dyDescent="0.25">
      <c r="A3747">
        <v>3730</v>
      </c>
      <c r="B3747" s="100">
        <v>89.971016073014141</v>
      </c>
      <c r="C3747" s="100">
        <v>96.416617058786272</v>
      </c>
      <c r="D3747" s="100">
        <v>94.43015067138721</v>
      </c>
      <c r="E3747" s="100">
        <v>92.115542280332363</v>
      </c>
      <c r="F3747" s="100">
        <v>-1377.3364372371361</v>
      </c>
      <c r="G3747" s="100">
        <v>2689.9086717637674</v>
      </c>
      <c r="H3747" s="100">
        <v>-3228.1411318012088</v>
      </c>
      <c r="I3747" s="100">
        <v>1265.0973743688637</v>
      </c>
      <c r="J3747" s="100">
        <v>-650.47152290571375</v>
      </c>
    </row>
    <row r="3748" spans="1:10" x14ac:dyDescent="0.25">
      <c r="A3748">
        <v>3731</v>
      </c>
      <c r="B3748" s="100">
        <v>90.090128608281447</v>
      </c>
      <c r="C3748" s="100">
        <v>96.576824048087857</v>
      </c>
      <c r="D3748" s="100">
        <v>93.109774444439708</v>
      </c>
      <c r="E3748" s="100">
        <v>93.030634206038656</v>
      </c>
      <c r="F3748" s="100">
        <v>-1770.4078036192441</v>
      </c>
      <c r="G3748" s="100">
        <v>2449.5981878113894</v>
      </c>
      <c r="H3748" s="100">
        <v>-587.38867790620475</v>
      </c>
      <c r="I3748" s="100">
        <v>350.00544866257144</v>
      </c>
      <c r="J3748" s="100">
        <v>441.80715494851199</v>
      </c>
    </row>
    <row r="3749" spans="1:10" x14ac:dyDescent="0.25">
      <c r="A3749">
        <v>3732</v>
      </c>
      <c r="B3749" s="100">
        <v>89.923536371449018</v>
      </c>
      <c r="C3749" s="100">
        <v>97.581423523081241</v>
      </c>
      <c r="D3749" s="100">
        <v>92.127122444397742</v>
      </c>
      <c r="E3749" s="100">
        <v>93.090906296607685</v>
      </c>
      <c r="F3749" s="100">
        <v>-1220.653422072229</v>
      </c>
      <c r="G3749" s="100">
        <v>942.69897532131358</v>
      </c>
      <c r="H3749" s="100">
        <v>1377.9153221777278</v>
      </c>
      <c r="I3749" s="100">
        <v>289.73335809354239</v>
      </c>
      <c r="J3749" s="100">
        <v>1389.6942335203548</v>
      </c>
    </row>
    <row r="3750" spans="1:10" x14ac:dyDescent="0.25">
      <c r="A3750">
        <v>3733</v>
      </c>
      <c r="B3750" s="100">
        <v>89.103280029376435</v>
      </c>
      <c r="C3750" s="100">
        <v>99.790813157272737</v>
      </c>
      <c r="D3750" s="100">
        <v>94.106133515360071</v>
      </c>
      <c r="E3750" s="100">
        <v>91.844641361390146</v>
      </c>
      <c r="F3750" s="100">
        <v>1486.1925067672928</v>
      </c>
      <c r="G3750" s="100">
        <v>-2371.3854759659298</v>
      </c>
      <c r="H3750" s="100">
        <v>-2580.1068197469303</v>
      </c>
      <c r="I3750" s="100">
        <v>1535.9982933110814</v>
      </c>
      <c r="J3750" s="100">
        <v>-1929.3014956344859</v>
      </c>
    </row>
    <row r="3751" spans="1:10" x14ac:dyDescent="0.25">
      <c r="A3751">
        <v>3734</v>
      </c>
      <c r="B3751" s="100">
        <v>89.705314735889004</v>
      </c>
      <c r="C3751" s="100">
        <v>97.376444118424672</v>
      </c>
      <c r="D3751" s="100">
        <v>93.8731865190869</v>
      </c>
      <c r="E3751" s="100">
        <v>91.960857163350454</v>
      </c>
      <c r="F3751" s="100">
        <v>-500.52202472418514</v>
      </c>
      <c r="G3751" s="100">
        <v>1250.1680823061677</v>
      </c>
      <c r="H3751" s="100">
        <v>-2114.2128272005893</v>
      </c>
      <c r="I3751" s="100">
        <v>1419.7824913507729</v>
      </c>
      <c r="J3751" s="100">
        <v>55.215721732166003</v>
      </c>
    </row>
    <row r="3752" spans="1:10" x14ac:dyDescent="0.25">
      <c r="A3752">
        <v>3735</v>
      </c>
      <c r="B3752" s="100">
        <v>89.327771494109001</v>
      </c>
      <c r="C3752" s="100">
        <v>97.953874996013496</v>
      </c>
      <c r="D3752" s="100">
        <v>94.90917357774758</v>
      </c>
      <c r="E3752" s="100">
        <v>95.855721307468414</v>
      </c>
      <c r="F3752" s="100">
        <v>745.37067314982573</v>
      </c>
      <c r="G3752" s="100">
        <v>384.02176592293102</v>
      </c>
      <c r="H3752" s="100">
        <v>-4186.18694452195</v>
      </c>
      <c r="I3752" s="100">
        <v>-2475.0816527671873</v>
      </c>
      <c r="J3752" s="100">
        <v>-5531.8761582163806</v>
      </c>
    </row>
    <row r="3753" spans="1:10" x14ac:dyDescent="0.25">
      <c r="A3753">
        <v>3736</v>
      </c>
      <c r="B3753" s="100">
        <v>89.399118553602435</v>
      </c>
      <c r="C3753" s="100">
        <v>96.670291774376352</v>
      </c>
      <c r="D3753" s="100">
        <v>93.18693570460519</v>
      </c>
      <c r="E3753" s="100">
        <v>93.864135854059612</v>
      </c>
      <c r="F3753" s="100">
        <v>509.92537682149504</v>
      </c>
      <c r="G3753" s="100">
        <v>2309.3965983786475</v>
      </c>
      <c r="H3753" s="100">
        <v>-741.71119823716936</v>
      </c>
      <c r="I3753" s="100">
        <v>-483.49619935838462</v>
      </c>
      <c r="J3753" s="100">
        <v>1594.1145776045882</v>
      </c>
    </row>
    <row r="3754" spans="1:10" x14ac:dyDescent="0.25">
      <c r="A3754">
        <v>3737</v>
      </c>
      <c r="B3754" s="100">
        <v>90.40055402304607</v>
      </c>
      <c r="C3754" s="100">
        <v>98.837859655960756</v>
      </c>
      <c r="D3754" s="100">
        <v>90.886942585630422</v>
      </c>
      <c r="E3754" s="100">
        <v>93.934839452210269</v>
      </c>
      <c r="F3754" s="100">
        <v>-2794.8116723425001</v>
      </c>
      <c r="G3754" s="100">
        <v>-941.955223997958</v>
      </c>
      <c r="H3754" s="100">
        <v>3858.2750397123673</v>
      </c>
      <c r="I3754" s="100">
        <v>-554.19979750904247</v>
      </c>
      <c r="J3754" s="100">
        <v>-432.69165413713324</v>
      </c>
    </row>
    <row r="3755" spans="1:10" x14ac:dyDescent="0.25">
      <c r="A3755">
        <v>3738</v>
      </c>
      <c r="B3755" s="100">
        <v>90.030813788973404</v>
      </c>
      <c r="C3755" s="100">
        <v>97.987158300225815</v>
      </c>
      <c r="D3755" s="100">
        <v>93.815294553820152</v>
      </c>
      <c r="E3755" s="100">
        <v>96.01417965018257</v>
      </c>
      <c r="F3755" s="100">
        <v>-1574.6688999027042</v>
      </c>
      <c r="G3755" s="100">
        <v>334.09680960445343</v>
      </c>
      <c r="H3755" s="100">
        <v>-1998.4288966670931</v>
      </c>
      <c r="I3755" s="100">
        <v>-2633.5399954813424</v>
      </c>
      <c r="J3755" s="100">
        <v>-5872.540982446686</v>
      </c>
    </row>
    <row r="3756" spans="1:10" x14ac:dyDescent="0.25">
      <c r="A3756">
        <v>3739</v>
      </c>
      <c r="B3756" s="100">
        <v>89.089412794454418</v>
      </c>
      <c r="C3756" s="100">
        <v>97.785876931622823</v>
      </c>
      <c r="D3756" s="100">
        <v>92.488578497862505</v>
      </c>
      <c r="E3756" s="100">
        <v>92.449885827260786</v>
      </c>
      <c r="F3756" s="100">
        <v>1531.9543820099498</v>
      </c>
      <c r="G3756" s="100">
        <v>636.01886250894063</v>
      </c>
      <c r="H3756" s="100">
        <v>655.00321524820038</v>
      </c>
      <c r="I3756" s="100">
        <v>930.75382744044077</v>
      </c>
      <c r="J3756" s="100">
        <v>3753.7302872075315</v>
      </c>
    </row>
    <row r="3757" spans="1:10" x14ac:dyDescent="0.25">
      <c r="A3757">
        <v>3740</v>
      </c>
      <c r="B3757" s="100">
        <v>89.660597913920711</v>
      </c>
      <c r="C3757" s="100">
        <v>97.632344893605094</v>
      </c>
      <c r="D3757" s="100">
        <v>92.673955299970345</v>
      </c>
      <c r="E3757" s="100">
        <v>92.247528586995728</v>
      </c>
      <c r="F3757" s="100">
        <v>-352.95651222881617</v>
      </c>
      <c r="G3757" s="100">
        <v>866.31691953553513</v>
      </c>
      <c r="H3757" s="100">
        <v>284.24961103252144</v>
      </c>
      <c r="I3757" s="100">
        <v>1133.1110677054994</v>
      </c>
      <c r="J3757" s="100">
        <v>1930.7210860447399</v>
      </c>
    </row>
    <row r="3758" spans="1:10" x14ac:dyDescent="0.25">
      <c r="A3758">
        <v>3741</v>
      </c>
      <c r="B3758" s="100">
        <v>88.615544194574923</v>
      </c>
      <c r="C3758" s="100">
        <v>97.641611425712156</v>
      </c>
      <c r="D3758" s="100">
        <v>92.411764867972238</v>
      </c>
      <c r="E3758" s="100">
        <v>93.539229112246659</v>
      </c>
      <c r="F3758" s="100">
        <v>3095.7207616122828</v>
      </c>
      <c r="G3758" s="100">
        <v>852.41712137494119</v>
      </c>
      <c r="H3758" s="100">
        <v>808.63047502873542</v>
      </c>
      <c r="I3758" s="100">
        <v>-158.58945754543186</v>
      </c>
      <c r="J3758" s="100">
        <v>4598.178900470527</v>
      </c>
    </row>
    <row r="3759" spans="1:10" x14ac:dyDescent="0.25">
      <c r="A3759">
        <v>3742</v>
      </c>
      <c r="B3759" s="100">
        <v>89.292057376623106</v>
      </c>
      <c r="C3759" s="100">
        <v>98.000486967338873</v>
      </c>
      <c r="D3759" s="100">
        <v>92.286721616115685</v>
      </c>
      <c r="E3759" s="100">
        <v>91.335811996453984</v>
      </c>
      <c r="F3759" s="100">
        <v>863.22726085328009</v>
      </c>
      <c r="G3759" s="100">
        <v>314.10380893486689</v>
      </c>
      <c r="H3759" s="100">
        <v>1058.7169787418418</v>
      </c>
      <c r="I3759" s="100">
        <v>2044.8276582472431</v>
      </c>
      <c r="J3759" s="100">
        <v>4280.8757067772312</v>
      </c>
    </row>
    <row r="3760" spans="1:10" x14ac:dyDescent="0.25">
      <c r="A3760">
        <v>3743</v>
      </c>
      <c r="B3760" s="100">
        <v>88.873467043918637</v>
      </c>
      <c r="C3760" s="100">
        <v>97.839594614952361</v>
      </c>
      <c r="D3760" s="100">
        <v>92.020549764061897</v>
      </c>
      <c r="E3760" s="100">
        <v>94.18187380609173</v>
      </c>
      <c r="F3760" s="100">
        <v>2244.5753587780259</v>
      </c>
      <c r="G3760" s="100">
        <v>555.44233751463423</v>
      </c>
      <c r="H3760" s="100">
        <v>1591.0606828494167</v>
      </c>
      <c r="I3760" s="100">
        <v>-801.2341513905028</v>
      </c>
      <c r="J3760" s="100">
        <v>3589.8442277515742</v>
      </c>
    </row>
    <row r="3761" spans="1:10" x14ac:dyDescent="0.25">
      <c r="A3761">
        <v>3744</v>
      </c>
      <c r="B3761" s="100">
        <v>90.223356187289497</v>
      </c>
      <c r="C3761" s="100">
        <v>97.90261154417891</v>
      </c>
      <c r="D3761" s="100">
        <v>93.733620248930976</v>
      </c>
      <c r="E3761" s="100">
        <v>94.037882957478047</v>
      </c>
      <c r="F3761" s="100">
        <v>-2210.0588143458099</v>
      </c>
      <c r="G3761" s="100">
        <v>460.9169436748104</v>
      </c>
      <c r="H3761" s="100">
        <v>-1835.0802868887399</v>
      </c>
      <c r="I3761" s="100">
        <v>-657.24330277681986</v>
      </c>
      <c r="J3761" s="100">
        <v>-4241.4654603365598</v>
      </c>
    </row>
    <row r="3762" spans="1:10" x14ac:dyDescent="0.25">
      <c r="A3762">
        <v>3745</v>
      </c>
      <c r="B3762" s="100">
        <v>88.605771206990852</v>
      </c>
      <c r="C3762" s="100">
        <v>99.743861447054428</v>
      </c>
      <c r="D3762" s="100">
        <v>94.479224254836055</v>
      </c>
      <c r="E3762" s="100">
        <v>94.848230993016244</v>
      </c>
      <c r="F3762" s="100">
        <v>3127.9716206397184</v>
      </c>
      <c r="G3762" s="100">
        <v>-2300.9579106384663</v>
      </c>
      <c r="H3762" s="100">
        <v>-3326.2882986988984</v>
      </c>
      <c r="I3762" s="100">
        <v>-1467.5913383150173</v>
      </c>
      <c r="J3762" s="100">
        <v>-3966.8659270126636</v>
      </c>
    </row>
    <row r="3763" spans="1:10" x14ac:dyDescent="0.25">
      <c r="A3763">
        <v>3746</v>
      </c>
      <c r="B3763" s="100">
        <v>89.426638303989449</v>
      </c>
      <c r="C3763" s="100">
        <v>96.215623966233238</v>
      </c>
      <c r="D3763" s="100">
        <v>91.464877520746469</v>
      </c>
      <c r="E3763" s="100">
        <v>92.636186451470351</v>
      </c>
      <c r="F3763" s="100">
        <v>419.11020054434687</v>
      </c>
      <c r="G3763" s="100">
        <v>2991.3983105933185</v>
      </c>
      <c r="H3763" s="100">
        <v>2702.405169480272</v>
      </c>
      <c r="I3763" s="100">
        <v>744.45320323087572</v>
      </c>
      <c r="J3763" s="100">
        <v>6857.3668838488138</v>
      </c>
    </row>
    <row r="3764" spans="1:10" x14ac:dyDescent="0.25">
      <c r="A3764">
        <v>3747</v>
      </c>
      <c r="B3764" s="100">
        <v>90.003394104340572</v>
      </c>
      <c r="C3764" s="100">
        <v>97.921496378476434</v>
      </c>
      <c r="D3764" s="100">
        <v>93.85536942331666</v>
      </c>
      <c r="E3764" s="100">
        <v>94.388419118739023</v>
      </c>
      <c r="F3764" s="100">
        <v>-1484.1839406143577</v>
      </c>
      <c r="G3764" s="100">
        <v>432.58969222852528</v>
      </c>
      <c r="H3764" s="100">
        <v>-2078.5786356601079</v>
      </c>
      <c r="I3764" s="100">
        <v>-1007.7794640377959</v>
      </c>
      <c r="J3764" s="100">
        <v>-4137.9523480837361</v>
      </c>
    </row>
    <row r="3765" spans="1:10" x14ac:dyDescent="0.25">
      <c r="A3765">
        <v>3748</v>
      </c>
      <c r="B3765" s="100">
        <v>90.013373083731523</v>
      </c>
      <c r="C3765" s="100">
        <v>99.444717427215124</v>
      </c>
      <c r="D3765" s="100">
        <v>93.172931590740106</v>
      </c>
      <c r="E3765" s="100">
        <v>93.88917424915681</v>
      </c>
      <c r="F3765" s="100">
        <v>-1517.1145726044956</v>
      </c>
      <c r="G3765" s="100">
        <v>-1852.241880879511</v>
      </c>
      <c r="H3765" s="100">
        <v>-713.7029705070006</v>
      </c>
      <c r="I3765" s="100">
        <v>-508.53459445558258</v>
      </c>
      <c r="J3765" s="100">
        <v>-4591.5940184465899</v>
      </c>
    </row>
    <row r="3766" spans="1:10" x14ac:dyDescent="0.25">
      <c r="A3766">
        <v>3749</v>
      </c>
      <c r="B3766" s="100">
        <v>89.776579999025415</v>
      </c>
      <c r="C3766" s="100">
        <v>97.91107485385966</v>
      </c>
      <c r="D3766" s="100">
        <v>92.002863141283257</v>
      </c>
      <c r="E3766" s="100">
        <v>95.561245346649443</v>
      </c>
      <c r="F3766" s="100">
        <v>-735.69739307434077</v>
      </c>
      <c r="G3766" s="100">
        <v>448.22197915368633</v>
      </c>
      <c r="H3766" s="100">
        <v>1626.4339284066978</v>
      </c>
      <c r="I3766" s="100">
        <v>-2180.6056919482162</v>
      </c>
      <c r="J3766" s="100">
        <v>-841.64717746217275</v>
      </c>
    </row>
    <row r="3767" spans="1:10" x14ac:dyDescent="0.25">
      <c r="A3767">
        <v>3750</v>
      </c>
      <c r="B3767" s="100">
        <v>88.875926440944866</v>
      </c>
      <c r="C3767" s="100">
        <v>97.987894849182553</v>
      </c>
      <c r="D3767" s="100">
        <v>93.163162522942528</v>
      </c>
      <c r="E3767" s="100">
        <v>94.355151462112815</v>
      </c>
      <c r="F3767" s="100">
        <v>2236.4593485914711</v>
      </c>
      <c r="G3767" s="100">
        <v>332.99198616934689</v>
      </c>
      <c r="H3767" s="100">
        <v>-694.16483491184522</v>
      </c>
      <c r="I3767" s="100">
        <v>-974.51180741158794</v>
      </c>
      <c r="J3767" s="100">
        <v>900.77469243738494</v>
      </c>
    </row>
    <row r="3768" spans="1:10" x14ac:dyDescent="0.25">
      <c r="A3768">
        <v>3751</v>
      </c>
      <c r="B3768" s="100">
        <v>88.826771244511292</v>
      </c>
      <c r="C3768" s="100">
        <v>98.365303867217264</v>
      </c>
      <c r="D3768" s="100">
        <v>92.488754630832872</v>
      </c>
      <c r="E3768" s="100">
        <v>91.919797011180918</v>
      </c>
      <c r="F3768" s="100">
        <v>2398.6714968222659</v>
      </c>
      <c r="G3768" s="100">
        <v>-233.12154088272052</v>
      </c>
      <c r="H3768" s="100">
        <v>654.65094930746659</v>
      </c>
      <c r="I3768" s="100">
        <v>1460.8426435203087</v>
      </c>
      <c r="J3768" s="100">
        <v>4281.0435487673203</v>
      </c>
    </row>
    <row r="3769" spans="1:10" x14ac:dyDescent="0.25">
      <c r="A3769">
        <v>3752</v>
      </c>
      <c r="B3769" s="100">
        <v>90.102743388314167</v>
      </c>
      <c r="C3769" s="100">
        <v>98.222736879946822</v>
      </c>
      <c r="D3769" s="100">
        <v>91.327543183797999</v>
      </c>
      <c r="E3769" s="100">
        <v>94.346806189804497</v>
      </c>
      <c r="F3769" s="100">
        <v>-1812.0365777272214</v>
      </c>
      <c r="G3769" s="100">
        <v>-19.271059977057803</v>
      </c>
      <c r="H3769" s="100">
        <v>2977.0738433772121</v>
      </c>
      <c r="I3769" s="100">
        <v>-966.16653510326955</v>
      </c>
      <c r="J3769" s="100">
        <v>179.59967056966343</v>
      </c>
    </row>
    <row r="3770" spans="1:10" x14ac:dyDescent="0.25">
      <c r="A3770">
        <v>3753</v>
      </c>
      <c r="B3770" s="100">
        <v>90.026507925769749</v>
      </c>
      <c r="C3770" s="100">
        <v>96.002025693315559</v>
      </c>
      <c r="D3770" s="100">
        <v>92.395142555589956</v>
      </c>
      <c r="E3770" s="100">
        <v>92.27022731654732</v>
      </c>
      <c r="F3770" s="100">
        <v>-1560.4595513306435</v>
      </c>
      <c r="G3770" s="100">
        <v>3311.7957199698367</v>
      </c>
      <c r="H3770" s="100">
        <v>841.87509979329889</v>
      </c>
      <c r="I3770" s="100">
        <v>1110.4123381539068</v>
      </c>
      <c r="J3770" s="100">
        <v>3703.6236065863986</v>
      </c>
    </row>
    <row r="3771" spans="1:10" x14ac:dyDescent="0.25">
      <c r="A3771">
        <v>3754</v>
      </c>
      <c r="B3771" s="100">
        <v>90.215767121166422</v>
      </c>
      <c r="C3771" s="100">
        <v>97.375567305995801</v>
      </c>
      <c r="D3771" s="100">
        <v>92.536778101837101</v>
      </c>
      <c r="E3771" s="100">
        <v>92.220583080729511</v>
      </c>
      <c r="F3771" s="100">
        <v>-2185.014896139664</v>
      </c>
      <c r="G3771" s="100">
        <v>1251.4833009494737</v>
      </c>
      <c r="H3771" s="100">
        <v>558.60400729901016</v>
      </c>
      <c r="I3771" s="100">
        <v>1160.0565739717154</v>
      </c>
      <c r="J3771" s="100">
        <v>785.12898608053524</v>
      </c>
    </row>
    <row r="3772" spans="1:10" x14ac:dyDescent="0.25">
      <c r="A3772">
        <v>3755</v>
      </c>
      <c r="B3772" s="100">
        <v>89.720073820089738</v>
      </c>
      <c r="C3772" s="100">
        <v>97.562873636871529</v>
      </c>
      <c r="D3772" s="100">
        <v>92.996192155467142</v>
      </c>
      <c r="E3772" s="100">
        <v>93.196674744896185</v>
      </c>
      <c r="F3772" s="100">
        <v>-549.22700258660484</v>
      </c>
      <c r="G3772" s="100">
        <v>970.52380463588156</v>
      </c>
      <c r="H3772" s="100">
        <v>-360.22409996107285</v>
      </c>
      <c r="I3772" s="100">
        <v>183.96490980504154</v>
      </c>
      <c r="J3772" s="100">
        <v>245.03761189324541</v>
      </c>
    </row>
    <row r="3773" spans="1:10" x14ac:dyDescent="0.25">
      <c r="A3773">
        <v>3756</v>
      </c>
      <c r="B3773" s="100">
        <v>88.58302968833658</v>
      </c>
      <c r="C3773" s="100">
        <v>98.952797097195145</v>
      </c>
      <c r="D3773" s="100">
        <v>92.65267314534654</v>
      </c>
      <c r="E3773" s="100">
        <v>92.527611674859259</v>
      </c>
      <c r="F3773" s="100">
        <v>3203.018632198814</v>
      </c>
      <c r="G3773" s="100">
        <v>-1114.3613858495414</v>
      </c>
      <c r="H3773" s="100">
        <v>326.81392028013079</v>
      </c>
      <c r="I3773" s="100">
        <v>853.02797984196843</v>
      </c>
      <c r="J3773" s="100">
        <v>3268.4991464713717</v>
      </c>
    </row>
    <row r="3774" spans="1:10" x14ac:dyDescent="0.25">
      <c r="A3774">
        <v>3757</v>
      </c>
      <c r="B3774" s="100">
        <v>89.131899900853412</v>
      </c>
      <c r="C3774" s="100">
        <v>98.974985981430606</v>
      </c>
      <c r="D3774" s="100">
        <v>93.584680772694796</v>
      </c>
      <c r="E3774" s="100">
        <v>93.898411455415513</v>
      </c>
      <c r="F3774" s="100">
        <v>1391.7469308932696</v>
      </c>
      <c r="G3774" s="100">
        <v>-1147.6447122027339</v>
      </c>
      <c r="H3774" s="100">
        <v>-1537.2013344163804</v>
      </c>
      <c r="I3774" s="100">
        <v>-517.77180071428575</v>
      </c>
      <c r="J3774" s="100">
        <v>-1810.8709164401305</v>
      </c>
    </row>
    <row r="3775" spans="1:10" x14ac:dyDescent="0.25">
      <c r="A3775">
        <v>3758</v>
      </c>
      <c r="B3775" s="100">
        <v>89.610005341355759</v>
      </c>
      <c r="C3775" s="100">
        <v>99.321282309030693</v>
      </c>
      <c r="D3775" s="100">
        <v>92.131572746532456</v>
      </c>
      <c r="E3775" s="100">
        <v>90.346528453585364</v>
      </c>
      <c r="F3775" s="100">
        <v>-186.00102276447501</v>
      </c>
      <c r="G3775" s="100">
        <v>-1667.0892036028633</v>
      </c>
      <c r="H3775" s="100">
        <v>1369.0147179082999</v>
      </c>
      <c r="I3775" s="100">
        <v>3034.111201115863</v>
      </c>
      <c r="J3775" s="100">
        <v>2550.0356926568247</v>
      </c>
    </row>
    <row r="3776" spans="1:10" x14ac:dyDescent="0.25">
      <c r="A3776">
        <v>3759</v>
      </c>
      <c r="B3776" s="100">
        <v>90.016855979277906</v>
      </c>
      <c r="C3776" s="100">
        <v>98.316434257568602</v>
      </c>
      <c r="D3776" s="100">
        <v>93.0939894237723</v>
      </c>
      <c r="E3776" s="100">
        <v>95.01152209099115</v>
      </c>
      <c r="F3776" s="100">
        <v>-1528.6081279075618</v>
      </c>
      <c r="G3776" s="100">
        <v>-159.81712640972745</v>
      </c>
      <c r="H3776" s="100">
        <v>-555.81863657138797</v>
      </c>
      <c r="I3776" s="100">
        <v>-1630.8824362899231</v>
      </c>
      <c r="J3776" s="100">
        <v>-3875.1263271786001</v>
      </c>
    </row>
    <row r="3777" spans="1:10" x14ac:dyDescent="0.25">
      <c r="A3777">
        <v>3760</v>
      </c>
      <c r="B3777" s="100">
        <v>89.609748928281164</v>
      </c>
      <c r="C3777" s="100">
        <v>97.582671989531363</v>
      </c>
      <c r="D3777" s="100">
        <v>92.452605822842727</v>
      </c>
      <c r="E3777" s="100">
        <v>95.329822650018329</v>
      </c>
      <c r="F3777" s="100">
        <v>-185.15485961831075</v>
      </c>
      <c r="G3777" s="100">
        <v>940.82627564613119</v>
      </c>
      <c r="H3777" s="100">
        <v>726.94856528775631</v>
      </c>
      <c r="I3777" s="100">
        <v>-1949.182995317102</v>
      </c>
      <c r="J3777" s="100">
        <v>-466.56301400152529</v>
      </c>
    </row>
    <row r="3778" spans="1:10" x14ac:dyDescent="0.25">
      <c r="A3778">
        <v>3761</v>
      </c>
      <c r="B3778" s="100">
        <v>89.606171505231529</v>
      </c>
      <c r="C3778" s="100">
        <v>97.841267749319471</v>
      </c>
      <c r="D3778" s="100">
        <v>91.919308664557903</v>
      </c>
      <c r="E3778" s="100">
        <v>92.489845246031706</v>
      </c>
      <c r="F3778" s="100">
        <v>-173.34936355451731</v>
      </c>
      <c r="G3778" s="100">
        <v>552.93263596396969</v>
      </c>
      <c r="H3778" s="100">
        <v>1793.5428818574053</v>
      </c>
      <c r="I3778" s="100">
        <v>890.79440866952098</v>
      </c>
      <c r="J3778" s="100">
        <v>3063.9205629363787</v>
      </c>
    </row>
    <row r="3779" spans="1:10" x14ac:dyDescent="0.25">
      <c r="A3779">
        <v>3762</v>
      </c>
      <c r="B3779" s="100">
        <v>89.747817947089914</v>
      </c>
      <c r="C3779" s="100">
        <v>98.571539827756808</v>
      </c>
      <c r="D3779" s="100">
        <v>93.317234001821618</v>
      </c>
      <c r="E3779" s="100">
        <v>96.368324461354391</v>
      </c>
      <c r="F3779" s="100">
        <v>-640.78262168718538</v>
      </c>
      <c r="G3779" s="100">
        <v>-542.47548169203696</v>
      </c>
      <c r="H3779" s="100">
        <v>-1002.3077926700239</v>
      </c>
      <c r="I3779" s="100">
        <v>-2987.6848066531638</v>
      </c>
      <c r="J3779" s="100">
        <v>-5173.2507027024103</v>
      </c>
    </row>
    <row r="3780" spans="1:10" x14ac:dyDescent="0.25">
      <c r="A3780">
        <v>3763</v>
      </c>
      <c r="B3780" s="100">
        <v>89.017418452215111</v>
      </c>
      <c r="C3780" s="100">
        <v>98.135701263502412</v>
      </c>
      <c r="D3780" s="100">
        <v>93.033780005091117</v>
      </c>
      <c r="E3780" s="100">
        <v>92.51203063655845</v>
      </c>
      <c r="F3780" s="100">
        <v>1769.5357113996636</v>
      </c>
      <c r="G3780" s="100">
        <v>111.28236468955777</v>
      </c>
      <c r="H3780" s="100">
        <v>-435.39979920902283</v>
      </c>
      <c r="I3780" s="100">
        <v>868.60901814277724</v>
      </c>
      <c r="J3780" s="100">
        <v>2314.027295022976</v>
      </c>
    </row>
    <row r="3781" spans="1:10" x14ac:dyDescent="0.25">
      <c r="A3781">
        <v>3764</v>
      </c>
      <c r="B3781" s="100">
        <v>89.33046008279122</v>
      </c>
      <c r="C3781" s="100">
        <v>97.669505408571666</v>
      </c>
      <c r="D3781" s="100">
        <v>93.071003217637994</v>
      </c>
      <c r="E3781" s="100">
        <v>95.008716123184669</v>
      </c>
      <c r="F3781" s="100">
        <v>736.49833049850463</v>
      </c>
      <c r="G3781" s="100">
        <v>810.57614708567621</v>
      </c>
      <c r="H3781" s="100">
        <v>-509.84622430277682</v>
      </c>
      <c r="I3781" s="100">
        <v>-1628.0764684834423</v>
      </c>
      <c r="J3781" s="100">
        <v>-590.84821520203832</v>
      </c>
    </row>
    <row r="3782" spans="1:10" x14ac:dyDescent="0.25">
      <c r="A3782">
        <v>3765</v>
      </c>
      <c r="B3782" s="100">
        <v>90.374100907824456</v>
      </c>
      <c r="C3782" s="100">
        <v>98.537697190400948</v>
      </c>
      <c r="D3782" s="100">
        <v>92.339228884558338</v>
      </c>
      <c r="E3782" s="100">
        <v>92.783059030228728</v>
      </c>
      <c r="F3782" s="100">
        <v>-2707.5163921111753</v>
      </c>
      <c r="G3782" s="100">
        <v>-491.71152565824627</v>
      </c>
      <c r="H3782" s="100">
        <v>953.70244185653519</v>
      </c>
      <c r="I3782" s="100">
        <v>597.58062447249927</v>
      </c>
      <c r="J3782" s="100">
        <v>-1647.9448514403873</v>
      </c>
    </row>
    <row r="3783" spans="1:10" x14ac:dyDescent="0.25">
      <c r="A3783">
        <v>3766</v>
      </c>
      <c r="B3783" s="100">
        <v>89.140798793868541</v>
      </c>
      <c r="C3783" s="100">
        <v>97.885888452059987</v>
      </c>
      <c r="D3783" s="100">
        <v>92.791265573254165</v>
      </c>
      <c r="E3783" s="100">
        <v>90.423127759909164</v>
      </c>
      <c r="F3783" s="100">
        <v>1362.3805839433444</v>
      </c>
      <c r="G3783" s="100">
        <v>486.00158185319486</v>
      </c>
      <c r="H3783" s="100">
        <v>49.629064464880912</v>
      </c>
      <c r="I3783" s="100">
        <v>2957.5118947920628</v>
      </c>
      <c r="J3783" s="100">
        <v>4855.5231250534835</v>
      </c>
    </row>
    <row r="3784" spans="1:10" x14ac:dyDescent="0.25">
      <c r="A3784">
        <v>3767</v>
      </c>
      <c r="B3784" s="100">
        <v>89.13003375335893</v>
      </c>
      <c r="C3784" s="100">
        <v>98.728461478975674</v>
      </c>
      <c r="D3784" s="100">
        <v>92.676434047411007</v>
      </c>
      <c r="E3784" s="100">
        <v>92.857390941053623</v>
      </c>
      <c r="F3784" s="100">
        <v>1397.9052176250605</v>
      </c>
      <c r="G3784" s="100">
        <v>-777.85795852033607</v>
      </c>
      <c r="H3784" s="100">
        <v>279.29211615119698</v>
      </c>
      <c r="I3784" s="100">
        <v>523.24871364760384</v>
      </c>
      <c r="J3784" s="100">
        <v>1422.5880889035252</v>
      </c>
    </row>
    <row r="3785" spans="1:10" x14ac:dyDescent="0.25">
      <c r="A3785">
        <v>3768</v>
      </c>
      <c r="B3785" s="100">
        <v>90.829693492304798</v>
      </c>
      <c r="C3785" s="100">
        <v>97.788064436675782</v>
      </c>
      <c r="D3785" s="100">
        <v>94.810782059537885</v>
      </c>
      <c r="E3785" s="100">
        <v>88.907612960465016</v>
      </c>
      <c r="F3785" s="100">
        <v>-4210.9719208963061</v>
      </c>
      <c r="G3785" s="100">
        <v>632.7376049295026</v>
      </c>
      <c r="H3785" s="100">
        <v>-3989.4039081025594</v>
      </c>
      <c r="I3785" s="100">
        <v>4473.0266942362105</v>
      </c>
      <c r="J3785" s="100">
        <v>-3094.6115298331524</v>
      </c>
    </row>
    <row r="3786" spans="1:10" x14ac:dyDescent="0.25">
      <c r="A3786">
        <v>3769</v>
      </c>
      <c r="B3786" s="100">
        <v>89.500180303400825</v>
      </c>
      <c r="C3786" s="100">
        <v>97.833605985822345</v>
      </c>
      <c r="D3786" s="100">
        <v>91.608776485622442</v>
      </c>
      <c r="E3786" s="100">
        <v>93.097006798196432</v>
      </c>
      <c r="F3786" s="100">
        <v>176.42160248680767</v>
      </c>
      <c r="G3786" s="100">
        <v>564.42528120965812</v>
      </c>
      <c r="H3786" s="100">
        <v>2414.607239728326</v>
      </c>
      <c r="I3786" s="100">
        <v>283.63285650479497</v>
      </c>
      <c r="J3786" s="100">
        <v>3439.086979929587</v>
      </c>
    </row>
    <row r="3787" spans="1:10" x14ac:dyDescent="0.25">
      <c r="A3787">
        <v>3770</v>
      </c>
      <c r="B3787" s="100">
        <v>90.235722985481075</v>
      </c>
      <c r="C3787" s="100">
        <v>98.33448408919385</v>
      </c>
      <c r="D3787" s="100">
        <v>92.061087762993637</v>
      </c>
      <c r="E3787" s="100">
        <v>91.330439197537871</v>
      </c>
      <c r="F3787" s="100">
        <v>-2250.8692483780196</v>
      </c>
      <c r="G3787" s="100">
        <v>-186.89187384759975</v>
      </c>
      <c r="H3787" s="100">
        <v>1509.9846849859375</v>
      </c>
      <c r="I3787" s="100">
        <v>2050.2004571633561</v>
      </c>
      <c r="J3787" s="100">
        <v>1122.4240199236745</v>
      </c>
    </row>
    <row r="3788" spans="1:10" x14ac:dyDescent="0.25">
      <c r="A3788">
        <v>3771</v>
      </c>
      <c r="B3788" s="100">
        <v>88.930497773936736</v>
      </c>
      <c r="C3788" s="100">
        <v>97.790293855607985</v>
      </c>
      <c r="D3788" s="100">
        <v>93.221953633599497</v>
      </c>
      <c r="E3788" s="100">
        <v>94.141274132731581</v>
      </c>
      <c r="F3788" s="100">
        <v>2056.3739497183005</v>
      </c>
      <c r="G3788" s="100">
        <v>629.39347653119876</v>
      </c>
      <c r="H3788" s="100">
        <v>-811.74705622578358</v>
      </c>
      <c r="I3788" s="100">
        <v>-760.63447803035444</v>
      </c>
      <c r="J3788" s="100">
        <v>1113.3858919933614</v>
      </c>
    </row>
    <row r="3789" spans="1:10" x14ac:dyDescent="0.25">
      <c r="A3789">
        <v>3772</v>
      </c>
      <c r="B3789" s="100">
        <v>89.164502397279364</v>
      </c>
      <c r="C3789" s="100">
        <v>96.923586164990112</v>
      </c>
      <c r="D3789" s="100">
        <v>91.270763427487182</v>
      </c>
      <c r="E3789" s="100">
        <v>94.042702031352491</v>
      </c>
      <c r="F3789" s="100">
        <v>1284.1586926876289</v>
      </c>
      <c r="G3789" s="100">
        <v>1929.4550124580069</v>
      </c>
      <c r="H3789" s="100">
        <v>3090.633355998847</v>
      </c>
      <c r="I3789" s="100">
        <v>-662.06237665126366</v>
      </c>
      <c r="J3789" s="100">
        <v>5642.1846844932188</v>
      </c>
    </row>
    <row r="3790" spans="1:10" x14ac:dyDescent="0.25">
      <c r="A3790">
        <v>3773</v>
      </c>
      <c r="B3790" s="100">
        <v>90.714653714456347</v>
      </c>
      <c r="C3790" s="100">
        <v>96.71246129336231</v>
      </c>
      <c r="D3790" s="100">
        <v>91.018533815449246</v>
      </c>
      <c r="E3790" s="100">
        <v>94.115412371165917</v>
      </c>
      <c r="F3790" s="100">
        <v>-3831.3406539964149</v>
      </c>
      <c r="G3790" s="100">
        <v>2246.1423198997109</v>
      </c>
      <c r="H3790" s="100">
        <v>3595.09258007472</v>
      </c>
      <c r="I3790" s="100">
        <v>-734.77271646468978</v>
      </c>
      <c r="J3790" s="100">
        <v>1275.1215295133261</v>
      </c>
    </row>
    <row r="3791" spans="1:10" x14ac:dyDescent="0.25">
      <c r="A3791">
        <v>3774</v>
      </c>
      <c r="B3791" s="100">
        <v>89.958377697742364</v>
      </c>
      <c r="C3791" s="100">
        <v>97.892057636432355</v>
      </c>
      <c r="D3791" s="100">
        <v>94.936784953418424</v>
      </c>
      <c r="E3791" s="100">
        <v>90.721205153974779</v>
      </c>
      <c r="F3791" s="100">
        <v>-1335.6297988402716</v>
      </c>
      <c r="G3791" s="100">
        <v>476.747805294643</v>
      </c>
      <c r="H3791" s="100">
        <v>-4241.4096958636383</v>
      </c>
      <c r="I3791" s="100">
        <v>2659.4345007264478</v>
      </c>
      <c r="J3791" s="100">
        <v>-2440.857188682819</v>
      </c>
    </row>
    <row r="3792" spans="1:10" x14ac:dyDescent="0.25">
      <c r="A3792">
        <v>3775</v>
      </c>
      <c r="B3792" s="100">
        <v>88.32758759719934</v>
      </c>
      <c r="C3792" s="100">
        <v>99.63558145500771</v>
      </c>
      <c r="D3792" s="100">
        <v>91.608399983948487</v>
      </c>
      <c r="E3792" s="100">
        <v>92.742053922119027</v>
      </c>
      <c r="F3792" s="100">
        <v>4045.977532951707</v>
      </c>
      <c r="G3792" s="100">
        <v>-2138.5379225683891</v>
      </c>
      <c r="H3792" s="100">
        <v>2415.3602430762362</v>
      </c>
      <c r="I3792" s="100">
        <v>638.58573258220019</v>
      </c>
      <c r="J3792" s="100">
        <v>4961.3855860417534</v>
      </c>
    </row>
    <row r="3793" spans="1:10" x14ac:dyDescent="0.25">
      <c r="A3793">
        <v>3776</v>
      </c>
      <c r="B3793" s="100">
        <v>89.452649536148584</v>
      </c>
      <c r="C3793" s="100">
        <v>99.088289957382187</v>
      </c>
      <c r="D3793" s="100">
        <v>92.040902484338076</v>
      </c>
      <c r="E3793" s="100">
        <v>94.974524449413948</v>
      </c>
      <c r="F3793" s="100">
        <v>333.27313441920126</v>
      </c>
      <c r="G3793" s="100">
        <v>-1317.6006761301053</v>
      </c>
      <c r="H3793" s="100">
        <v>1550.3552422970586</v>
      </c>
      <c r="I3793" s="100">
        <v>-1593.8847947127215</v>
      </c>
      <c r="J3793" s="100">
        <v>-1027.8570941265671</v>
      </c>
    </row>
    <row r="3794" spans="1:10" x14ac:dyDescent="0.25">
      <c r="A3794">
        <v>3777</v>
      </c>
      <c r="B3794" s="100">
        <v>89.381206005465344</v>
      </c>
      <c r="C3794" s="100">
        <v>98.227636146732394</v>
      </c>
      <c r="D3794" s="100">
        <v>93.244355526224865</v>
      </c>
      <c r="E3794" s="100">
        <v>94.884546495008209</v>
      </c>
      <c r="F3794" s="100">
        <v>569.03678567389306</v>
      </c>
      <c r="G3794" s="100">
        <v>-26.619960155414901</v>
      </c>
      <c r="H3794" s="100">
        <v>-856.55084147651905</v>
      </c>
      <c r="I3794" s="100">
        <v>-1503.9068403069818</v>
      </c>
      <c r="J3794" s="100">
        <v>-1818.0408562650227</v>
      </c>
    </row>
    <row r="3795" spans="1:10" x14ac:dyDescent="0.25">
      <c r="A3795">
        <v>3778</v>
      </c>
      <c r="B3795" s="100">
        <v>88.921816898595651</v>
      </c>
      <c r="C3795" s="100">
        <v>99.13225698167841</v>
      </c>
      <c r="D3795" s="100">
        <v>93.495290901456642</v>
      </c>
      <c r="E3795" s="100">
        <v>93.945692215411967</v>
      </c>
      <c r="F3795" s="100">
        <v>2085.0208383438812</v>
      </c>
      <c r="G3795" s="100">
        <v>-1383.5512125744388</v>
      </c>
      <c r="H3795" s="100">
        <v>-1358.4215919400719</v>
      </c>
      <c r="I3795" s="100">
        <v>-565.05256071073973</v>
      </c>
      <c r="J3795" s="100">
        <v>-1222.0045268813692</v>
      </c>
    </row>
    <row r="3796" spans="1:10" x14ac:dyDescent="0.25">
      <c r="A3796">
        <v>3779</v>
      </c>
      <c r="B3796" s="100">
        <v>89.44315879920147</v>
      </c>
      <c r="C3796" s="100">
        <v>96.119935750421689</v>
      </c>
      <c r="D3796" s="100">
        <v>92.236717877566406</v>
      </c>
      <c r="E3796" s="100">
        <v>93.400475479421573</v>
      </c>
      <c r="F3796" s="100">
        <v>364.59256634467891</v>
      </c>
      <c r="G3796" s="100">
        <v>3134.9306343106418</v>
      </c>
      <c r="H3796" s="100">
        <v>1158.7244558403995</v>
      </c>
      <c r="I3796" s="100">
        <v>-19.83582472034584</v>
      </c>
      <c r="J3796" s="100">
        <v>4638.4118317753737</v>
      </c>
    </row>
    <row r="3797" spans="1:10" x14ac:dyDescent="0.25">
      <c r="A3797">
        <v>3780</v>
      </c>
      <c r="B3797" s="100">
        <v>89.629536497922018</v>
      </c>
      <c r="C3797" s="100">
        <v>97.837465384567068</v>
      </c>
      <c r="D3797" s="100">
        <v>93.990249448949982</v>
      </c>
      <c r="E3797" s="100">
        <v>94.165953114149431</v>
      </c>
      <c r="F3797" s="100">
        <v>-250.45383943313055</v>
      </c>
      <c r="G3797" s="100">
        <v>558.6361830925739</v>
      </c>
      <c r="H3797" s="100">
        <v>-2348.338686926752</v>
      </c>
      <c r="I3797" s="100">
        <v>-785.3134594482043</v>
      </c>
      <c r="J3797" s="100">
        <v>-2825.4698027155127</v>
      </c>
    </row>
    <row r="3798" spans="1:10" x14ac:dyDescent="0.25">
      <c r="A3798">
        <v>3781</v>
      </c>
      <c r="B3798" s="100">
        <v>90.247880557709834</v>
      </c>
      <c r="C3798" s="100">
        <v>96.443131865564553</v>
      </c>
      <c r="D3798" s="100">
        <v>91.087734556632881</v>
      </c>
      <c r="E3798" s="100">
        <v>91.016174760884141</v>
      </c>
      <c r="F3798" s="100">
        <v>-2290.9892367329235</v>
      </c>
      <c r="G3798" s="100">
        <v>2650.1364615963466</v>
      </c>
      <c r="H3798" s="100">
        <v>3456.6910977074485</v>
      </c>
      <c r="I3798" s="100">
        <v>2364.4648938170858</v>
      </c>
      <c r="J3798" s="100">
        <v>6180.3032163879579</v>
      </c>
    </row>
    <row r="3799" spans="1:10" x14ac:dyDescent="0.25">
      <c r="A3799">
        <v>3782</v>
      </c>
      <c r="B3799" s="100">
        <v>88.729942932824144</v>
      </c>
      <c r="C3799" s="100">
        <v>99.035990148977177</v>
      </c>
      <c r="D3799" s="100">
        <v>91.402580688430149</v>
      </c>
      <c r="E3799" s="100">
        <v>93.619589592449572</v>
      </c>
      <c r="F3799" s="100">
        <v>2718.2049253898526</v>
      </c>
      <c r="G3799" s="100">
        <v>-1239.1509635225902</v>
      </c>
      <c r="H3799" s="100">
        <v>2826.9988341129138</v>
      </c>
      <c r="I3799" s="100">
        <v>-238.94993774834461</v>
      </c>
      <c r="J3799" s="100">
        <v>4067.1028582318322</v>
      </c>
    </row>
    <row r="3800" spans="1:10" x14ac:dyDescent="0.25">
      <c r="A3800">
        <v>3783</v>
      </c>
      <c r="B3800" s="100">
        <v>88.941225861251695</v>
      </c>
      <c r="C3800" s="100">
        <v>98.004880098001081</v>
      </c>
      <c r="D3800" s="100">
        <v>92.944004868009486</v>
      </c>
      <c r="E3800" s="100">
        <v>93.507979936979325</v>
      </c>
      <c r="F3800" s="100">
        <v>2020.9712615789358</v>
      </c>
      <c r="G3800" s="100">
        <v>307.51411294155417</v>
      </c>
      <c r="H3800" s="100">
        <v>-255.84952504576108</v>
      </c>
      <c r="I3800" s="100">
        <v>-127.34028227809802</v>
      </c>
      <c r="J3800" s="100">
        <v>1945.2955671966311</v>
      </c>
    </row>
    <row r="3801" spans="1:10" x14ac:dyDescent="0.25">
      <c r="A3801">
        <v>3784</v>
      </c>
      <c r="B3801" s="100">
        <v>88.953222408018007</v>
      </c>
      <c r="C3801" s="100">
        <v>99.1694390703517</v>
      </c>
      <c r="D3801" s="100">
        <v>93.721835262236155</v>
      </c>
      <c r="E3801" s="100">
        <v>93.799485118049418</v>
      </c>
      <c r="F3801" s="100">
        <v>1981.3826572501057</v>
      </c>
      <c r="G3801" s="100">
        <v>-1439.3243455843744</v>
      </c>
      <c r="H3801" s="100">
        <v>-1811.5103134990989</v>
      </c>
      <c r="I3801" s="100">
        <v>-418.84546334819106</v>
      </c>
      <c r="J3801" s="100">
        <v>-1688.2974651815587</v>
      </c>
    </row>
    <row r="3802" spans="1:10" x14ac:dyDescent="0.25">
      <c r="A3802">
        <v>3785</v>
      </c>
      <c r="B3802" s="100">
        <v>89.509432201142559</v>
      </c>
      <c r="C3802" s="100">
        <v>99.034700501482249</v>
      </c>
      <c r="D3802" s="100">
        <v>92.608422063038589</v>
      </c>
      <c r="E3802" s="100">
        <v>93.566987457817874</v>
      </c>
      <c r="F3802" s="100">
        <v>145.89033993908487</v>
      </c>
      <c r="G3802" s="100">
        <v>-1237.2164922801971</v>
      </c>
      <c r="H3802" s="100">
        <v>415.316084896034</v>
      </c>
      <c r="I3802" s="100">
        <v>-186.34780311664656</v>
      </c>
      <c r="J3802" s="100">
        <v>-862.35787056172478</v>
      </c>
    </row>
    <row r="3803" spans="1:10" x14ac:dyDescent="0.25">
      <c r="A3803">
        <v>3786</v>
      </c>
      <c r="B3803" s="100">
        <v>90.075620992743666</v>
      </c>
      <c r="C3803" s="100">
        <v>98.650931462448</v>
      </c>
      <c r="D3803" s="100">
        <v>92.792687300376414</v>
      </c>
      <c r="E3803" s="100">
        <v>96.488307677728486</v>
      </c>
      <c r="F3803" s="100">
        <v>-1722.5326723445676</v>
      </c>
      <c r="G3803" s="100">
        <v>-661.56293372882396</v>
      </c>
      <c r="H3803" s="100">
        <v>46.785610220382523</v>
      </c>
      <c r="I3803" s="100">
        <v>-3107.6680230272586</v>
      </c>
      <c r="J3803" s="100">
        <v>-5444.9780188802679</v>
      </c>
    </row>
    <row r="3804" spans="1:10" x14ac:dyDescent="0.25">
      <c r="A3804">
        <v>3787</v>
      </c>
      <c r="B3804" s="100">
        <v>89.127429921508991</v>
      </c>
      <c r="C3804" s="100">
        <v>98.910629509883776</v>
      </c>
      <c r="D3804" s="100">
        <v>93.360366962355997</v>
      </c>
      <c r="E3804" s="100">
        <v>92.191683268539975</v>
      </c>
      <c r="F3804" s="100">
        <v>1406.4978627298588</v>
      </c>
      <c r="G3804" s="100">
        <v>-1051.1100048824887</v>
      </c>
      <c r="H3804" s="100">
        <v>-1088.5737137387821</v>
      </c>
      <c r="I3804" s="100">
        <v>1188.9563861612514</v>
      </c>
      <c r="J3804" s="100">
        <v>455.77053026983936</v>
      </c>
    </row>
    <row r="3805" spans="1:10" x14ac:dyDescent="0.25">
      <c r="A3805">
        <v>3788</v>
      </c>
      <c r="B3805" s="100">
        <v>89.469669491284151</v>
      </c>
      <c r="C3805" s="100">
        <v>97.819703298824734</v>
      </c>
      <c r="D3805" s="100">
        <v>93.457248937203417</v>
      </c>
      <c r="E3805" s="100">
        <v>95.386571363663137</v>
      </c>
      <c r="F3805" s="100">
        <v>277.1072824718317</v>
      </c>
      <c r="G3805" s="100">
        <v>585.27931170607417</v>
      </c>
      <c r="H3805" s="100">
        <v>-1282.3376634336228</v>
      </c>
      <c r="I3805" s="100">
        <v>-2005.9317089619099</v>
      </c>
      <c r="J3805" s="100">
        <v>-2425.8827782176268</v>
      </c>
    </row>
    <row r="3806" spans="1:10" x14ac:dyDescent="0.25">
      <c r="A3806">
        <v>3789</v>
      </c>
      <c r="B3806" s="100">
        <v>90.229440959020749</v>
      </c>
      <c r="C3806" s="100">
        <v>98.745438410651445</v>
      </c>
      <c r="D3806" s="100">
        <v>94.213202456055654</v>
      </c>
      <c r="E3806" s="100">
        <v>91.556806525006024</v>
      </c>
      <c r="F3806" s="100">
        <v>-2230.1385610589437</v>
      </c>
      <c r="G3806" s="100">
        <v>-803.32335603399224</v>
      </c>
      <c r="H3806" s="100">
        <v>-2794.2447011380978</v>
      </c>
      <c r="I3806" s="100">
        <v>1823.8331296952026</v>
      </c>
      <c r="J3806" s="100">
        <v>-4003.8734885358308</v>
      </c>
    </row>
    <row r="3807" spans="1:10" x14ac:dyDescent="0.25">
      <c r="A3807">
        <v>3790</v>
      </c>
      <c r="B3807" s="100">
        <v>89.202418142707486</v>
      </c>
      <c r="C3807" s="100">
        <v>98.111030256868716</v>
      </c>
      <c r="D3807" s="100">
        <v>92.622136059453794</v>
      </c>
      <c r="E3807" s="100">
        <v>95.981137409789298</v>
      </c>
      <c r="F3807" s="100">
        <v>1159.036732774824</v>
      </c>
      <c r="G3807" s="100">
        <v>148.28887464010165</v>
      </c>
      <c r="H3807" s="100">
        <v>387.88809206562291</v>
      </c>
      <c r="I3807" s="100">
        <v>-2600.4977550880712</v>
      </c>
      <c r="J3807" s="100">
        <v>-905.28405560752253</v>
      </c>
    </row>
    <row r="3808" spans="1:10" x14ac:dyDescent="0.25">
      <c r="A3808">
        <v>3791</v>
      </c>
      <c r="B3808" s="100">
        <v>89.796365498742531</v>
      </c>
      <c r="C3808" s="100">
        <v>99.567986648632015</v>
      </c>
      <c r="D3808" s="100">
        <v>92.755769025249251</v>
      </c>
      <c r="E3808" s="100">
        <v>89.666281285168139</v>
      </c>
      <c r="F3808" s="100">
        <v>-800.9895421408246</v>
      </c>
      <c r="G3808" s="100">
        <v>-2037.145713004847</v>
      </c>
      <c r="H3808" s="100">
        <v>120.62216047470997</v>
      </c>
      <c r="I3808" s="100">
        <v>3714.3583695330876</v>
      </c>
      <c r="J3808" s="100">
        <v>996.84527486212619</v>
      </c>
    </row>
    <row r="3809" spans="1:10" x14ac:dyDescent="0.25">
      <c r="A3809">
        <v>3792</v>
      </c>
      <c r="B3809" s="100">
        <v>88.875027104872046</v>
      </c>
      <c r="C3809" s="100">
        <v>99.18672253299971</v>
      </c>
      <c r="D3809" s="100">
        <v>91.132540070630881</v>
      </c>
      <c r="E3809" s="100">
        <v>94.913047319062855</v>
      </c>
      <c r="F3809" s="100">
        <v>2239.4271576317765</v>
      </c>
      <c r="G3809" s="100">
        <v>-1465.249539556389</v>
      </c>
      <c r="H3809" s="100">
        <v>3367.0800697114487</v>
      </c>
      <c r="I3809" s="100">
        <v>-1532.4076643616281</v>
      </c>
      <c r="J3809" s="100">
        <v>2608.8500234252078</v>
      </c>
    </row>
    <row r="3810" spans="1:10" x14ac:dyDescent="0.25">
      <c r="A3810">
        <v>3793</v>
      </c>
      <c r="B3810" s="100">
        <v>89.288232506510596</v>
      </c>
      <c r="C3810" s="100">
        <v>97.268273067298935</v>
      </c>
      <c r="D3810" s="100">
        <v>93.083140317105574</v>
      </c>
      <c r="E3810" s="100">
        <v>91.599221870409195</v>
      </c>
      <c r="F3810" s="100">
        <v>875.84933222456266</v>
      </c>
      <c r="G3810" s="100">
        <v>1412.4246589947732</v>
      </c>
      <c r="H3810" s="100">
        <v>-534.12042323793685</v>
      </c>
      <c r="I3810" s="100">
        <v>1781.4177842920317</v>
      </c>
      <c r="J3810" s="100">
        <v>3535.5713522734304</v>
      </c>
    </row>
    <row r="3811" spans="1:10" x14ac:dyDescent="0.25">
      <c r="A3811">
        <v>3794</v>
      </c>
      <c r="B3811" s="100">
        <v>89.579395389817122</v>
      </c>
      <c r="C3811" s="100">
        <v>97.727546733749307</v>
      </c>
      <c r="D3811" s="100">
        <v>92.39582727021066</v>
      </c>
      <c r="E3811" s="100">
        <v>92.655329384080659</v>
      </c>
      <c r="F3811" s="100">
        <v>-84.988182686974767</v>
      </c>
      <c r="G3811" s="100">
        <v>723.51415931921542</v>
      </c>
      <c r="H3811" s="100">
        <v>840.50567055189163</v>
      </c>
      <c r="I3811" s="100">
        <v>725.31027062056808</v>
      </c>
      <c r="J3811" s="100">
        <v>2204.3419178047002</v>
      </c>
    </row>
    <row r="3812" spans="1:10" x14ac:dyDescent="0.25">
      <c r="A3812">
        <v>3795</v>
      </c>
      <c r="B3812" s="100">
        <v>90.177685837057069</v>
      </c>
      <c r="C3812" s="100">
        <v>97.52770823304553</v>
      </c>
      <c r="D3812" s="100">
        <v>92.989463258733267</v>
      </c>
      <c r="E3812" s="100">
        <v>94.268374798497575</v>
      </c>
      <c r="F3812" s="100">
        <v>-2059.3466585787992</v>
      </c>
      <c r="G3812" s="100">
        <v>1023.2719103748807</v>
      </c>
      <c r="H3812" s="100">
        <v>-346.76630649332196</v>
      </c>
      <c r="I3812" s="100">
        <v>-887.73514379634832</v>
      </c>
      <c r="J3812" s="100">
        <v>-2270.5761984935889</v>
      </c>
    </row>
    <row r="3813" spans="1:10" x14ac:dyDescent="0.25">
      <c r="A3813">
        <v>3796</v>
      </c>
      <c r="B3813" s="100">
        <v>89.207511297384642</v>
      </c>
      <c r="C3813" s="100">
        <v>97.975360298333598</v>
      </c>
      <c r="D3813" s="100">
        <v>92.957482486671935</v>
      </c>
      <c r="E3813" s="100">
        <v>93.112920121737133</v>
      </c>
      <c r="F3813" s="100">
        <v>1142.2293223402121</v>
      </c>
      <c r="G3813" s="100">
        <v>351.79381244277863</v>
      </c>
      <c r="H3813" s="100">
        <v>-282.80476237065955</v>
      </c>
      <c r="I3813" s="100">
        <v>267.71953296409379</v>
      </c>
      <c r="J3813" s="100">
        <v>1478.9379053764251</v>
      </c>
    </row>
    <row r="3814" spans="1:10" x14ac:dyDescent="0.25">
      <c r="A3814">
        <v>3797</v>
      </c>
      <c r="B3814" s="100">
        <v>90.141996547737108</v>
      </c>
      <c r="C3814" s="100">
        <v>98.390742768705351</v>
      </c>
      <c r="D3814" s="100">
        <v>92.671635696015926</v>
      </c>
      <c r="E3814" s="100">
        <v>91.303818508034368</v>
      </c>
      <c r="F3814" s="100">
        <v>-1941.5720038229267</v>
      </c>
      <c r="G3814" s="100">
        <v>-271.27989311485123</v>
      </c>
      <c r="H3814" s="100">
        <v>288.8888189413592</v>
      </c>
      <c r="I3814" s="100">
        <v>2076.821146666859</v>
      </c>
      <c r="J3814" s="100">
        <v>152.85806867044039</v>
      </c>
    </row>
    <row r="3815" spans="1:10" x14ac:dyDescent="0.25">
      <c r="A3815">
        <v>3798</v>
      </c>
      <c r="B3815" s="100">
        <v>89.08518541225628</v>
      </c>
      <c r="C3815" s="100">
        <v>98.46920421029877</v>
      </c>
      <c r="D3815" s="100">
        <v>93.463082388157602</v>
      </c>
      <c r="E3815" s="100">
        <v>93.095717410523037</v>
      </c>
      <c r="F3815" s="100">
        <v>1545.9047432638058</v>
      </c>
      <c r="G3815" s="100">
        <v>-388.97205550497915</v>
      </c>
      <c r="H3815" s="100">
        <v>-1294.0045653419929</v>
      </c>
      <c r="I3815" s="100">
        <v>284.92224417819045</v>
      </c>
      <c r="J3815" s="100">
        <v>147.85036659502418</v>
      </c>
    </row>
    <row r="3816" spans="1:10" x14ac:dyDescent="0.25">
      <c r="A3816">
        <v>3799</v>
      </c>
      <c r="B3816" s="100">
        <v>89.657636266541871</v>
      </c>
      <c r="C3816" s="100">
        <v>97.577962345427409</v>
      </c>
      <c r="D3816" s="100">
        <v>91.322425141452214</v>
      </c>
      <c r="E3816" s="100">
        <v>93.352338341576328</v>
      </c>
      <c r="F3816" s="100">
        <v>-343.18307587864609</v>
      </c>
      <c r="G3816" s="100">
        <v>947.89074180206262</v>
      </c>
      <c r="H3816" s="100">
        <v>2987.3099280687825</v>
      </c>
      <c r="I3816" s="100">
        <v>28.301313124899252</v>
      </c>
      <c r="J3816" s="100">
        <v>3620.3189071170982</v>
      </c>
    </row>
    <row r="3817" spans="1:10" x14ac:dyDescent="0.25">
      <c r="A3817">
        <v>3800</v>
      </c>
      <c r="B3817" s="100">
        <v>89.509206034692212</v>
      </c>
      <c r="C3817" s="100">
        <v>98.839794873684795</v>
      </c>
      <c r="D3817" s="100">
        <v>93.497432594165488</v>
      </c>
      <c r="E3817" s="100">
        <v>94.122404769836905</v>
      </c>
      <c r="F3817" s="100">
        <v>146.63668922522817</v>
      </c>
      <c r="G3817" s="100">
        <v>-944.85805058401695</v>
      </c>
      <c r="H3817" s="100">
        <v>-1362.7049773577653</v>
      </c>
      <c r="I3817" s="100">
        <v>-741.76511513567789</v>
      </c>
      <c r="J3817" s="100">
        <v>-2902.6914538522315</v>
      </c>
    </row>
    <row r="3818" spans="1:10" x14ac:dyDescent="0.25">
      <c r="A3818">
        <v>3801</v>
      </c>
      <c r="B3818" s="100">
        <v>89.538705087620826</v>
      </c>
      <c r="C3818" s="100">
        <v>98.642482310245214</v>
      </c>
      <c r="D3818" s="100">
        <v>92.190332300281213</v>
      </c>
      <c r="E3818" s="100">
        <v>94.767104100633745</v>
      </c>
      <c r="F3818" s="100">
        <v>49.28981456080237</v>
      </c>
      <c r="G3818" s="100">
        <v>-648.88920542464484</v>
      </c>
      <c r="H3818" s="100">
        <v>1251.4956104107853</v>
      </c>
      <c r="I3818" s="100">
        <v>-1386.4644459325177</v>
      </c>
      <c r="J3818" s="100">
        <v>-734.56822638557492</v>
      </c>
    </row>
    <row r="3819" spans="1:10" x14ac:dyDescent="0.25">
      <c r="A3819">
        <v>3802</v>
      </c>
      <c r="B3819" s="100">
        <v>90.576307044612562</v>
      </c>
      <c r="C3819" s="100">
        <v>99.298547815055187</v>
      </c>
      <c r="D3819" s="100">
        <v>90.796941567543371</v>
      </c>
      <c r="E3819" s="100">
        <v>94.95089989426225</v>
      </c>
      <c r="F3819" s="100">
        <v>-3374.7966435119265</v>
      </c>
      <c r="G3819" s="100">
        <v>-1632.9874626396049</v>
      </c>
      <c r="H3819" s="100">
        <v>4038.2770758864694</v>
      </c>
      <c r="I3819" s="100">
        <v>-1570.2602395610229</v>
      </c>
      <c r="J3819" s="100">
        <v>-2539.7672698260853</v>
      </c>
    </row>
    <row r="3820" spans="1:10" x14ac:dyDescent="0.25">
      <c r="A3820">
        <v>3803</v>
      </c>
      <c r="B3820" s="100">
        <v>89.305124831410396</v>
      </c>
      <c r="C3820" s="100">
        <v>97.013010537042845</v>
      </c>
      <c r="D3820" s="100">
        <v>94.87880938999561</v>
      </c>
      <c r="E3820" s="100">
        <v>94.578911053124301</v>
      </c>
      <c r="F3820" s="100">
        <v>820.10466005522312</v>
      </c>
      <c r="G3820" s="100">
        <v>1795.3184543789077</v>
      </c>
      <c r="H3820" s="100">
        <v>-4125.4585690180083</v>
      </c>
      <c r="I3820" s="100">
        <v>-1198.2713984230741</v>
      </c>
      <c r="J3820" s="100">
        <v>-2708.3068530069513</v>
      </c>
    </row>
    <row r="3821" spans="1:10" x14ac:dyDescent="0.25">
      <c r="A3821">
        <v>3804</v>
      </c>
      <c r="B3821" s="100">
        <v>89.58252434896616</v>
      </c>
      <c r="C3821" s="100">
        <v>97.969191628867719</v>
      </c>
      <c r="D3821" s="100">
        <v>93.605441300963292</v>
      </c>
      <c r="E3821" s="100">
        <v>94.686291597525681</v>
      </c>
      <c r="F3821" s="100">
        <v>-95.313747878799404</v>
      </c>
      <c r="G3821" s="100">
        <v>361.04681664159699</v>
      </c>
      <c r="H3821" s="100">
        <v>-1578.7223909533736</v>
      </c>
      <c r="I3821" s="100">
        <v>-1305.6519428244542</v>
      </c>
      <c r="J3821" s="100">
        <v>-2618.6412650150305</v>
      </c>
    </row>
    <row r="3822" spans="1:10" x14ac:dyDescent="0.25">
      <c r="A3822">
        <v>3805</v>
      </c>
      <c r="B3822" s="100">
        <v>89.803380644377555</v>
      </c>
      <c r="C3822" s="100">
        <v>99.127320149700395</v>
      </c>
      <c r="D3822" s="100">
        <v>94.024269825451057</v>
      </c>
      <c r="E3822" s="100">
        <v>93.642013217066435</v>
      </c>
      <c r="F3822" s="100">
        <v>-824.13952273640098</v>
      </c>
      <c r="G3822" s="100">
        <v>-1376.1459646074172</v>
      </c>
      <c r="H3822" s="100">
        <v>-2416.3794399289031</v>
      </c>
      <c r="I3822" s="100">
        <v>-261.37356236520759</v>
      </c>
      <c r="J3822" s="100">
        <v>-4878.0384896379283</v>
      </c>
    </row>
    <row r="3823" spans="1:10" x14ac:dyDescent="0.25">
      <c r="A3823">
        <v>3806</v>
      </c>
      <c r="B3823" s="100">
        <v>89.555783788439342</v>
      </c>
      <c r="C3823" s="100">
        <v>98.299661451372017</v>
      </c>
      <c r="D3823" s="100">
        <v>91.94808206167491</v>
      </c>
      <c r="E3823" s="100">
        <v>94.884392178474869</v>
      </c>
      <c r="F3823" s="100">
        <v>-7.0698981402998129</v>
      </c>
      <c r="G3823" s="100">
        <v>-134.65791711485053</v>
      </c>
      <c r="H3823" s="100">
        <v>1735.9960876233913</v>
      </c>
      <c r="I3823" s="100">
        <v>-1503.7525237736418</v>
      </c>
      <c r="J3823" s="100">
        <v>90.515748594599245</v>
      </c>
    </row>
    <row r="3824" spans="1:10" x14ac:dyDescent="0.25">
      <c r="A3824">
        <v>3807</v>
      </c>
      <c r="B3824" s="100">
        <v>89.788750950859026</v>
      </c>
      <c r="C3824" s="100">
        <v>97.072905224401524</v>
      </c>
      <c r="D3824" s="100">
        <v>93.048276600555653</v>
      </c>
      <c r="E3824" s="100">
        <v>91.459174851398188</v>
      </c>
      <c r="F3824" s="100">
        <v>-775.86153412525505</v>
      </c>
      <c r="G3824" s="100">
        <v>1705.4764233408903</v>
      </c>
      <c r="H3824" s="100">
        <v>-464.39299013809432</v>
      </c>
      <c r="I3824" s="100">
        <v>1921.4648033030385</v>
      </c>
      <c r="J3824" s="100">
        <v>2386.6867023805794</v>
      </c>
    </row>
    <row r="3825" spans="1:10" x14ac:dyDescent="0.25">
      <c r="A3825">
        <v>3808</v>
      </c>
      <c r="B3825" s="100">
        <v>89.685845134700784</v>
      </c>
      <c r="C3825" s="100">
        <v>96.991095875549703</v>
      </c>
      <c r="D3825" s="100">
        <v>90.364849794427542</v>
      </c>
      <c r="E3825" s="100">
        <v>92.179275017449768</v>
      </c>
      <c r="F3825" s="100">
        <v>-436.27234080305897</v>
      </c>
      <c r="G3825" s="100">
        <v>1828.1904466186206</v>
      </c>
      <c r="H3825" s="100">
        <v>4902.4606221181275</v>
      </c>
      <c r="I3825" s="100">
        <v>1201.3646372514586</v>
      </c>
      <c r="J3825" s="100">
        <v>7495.7433651851479</v>
      </c>
    </row>
    <row r="3826" spans="1:10" x14ac:dyDescent="0.25">
      <c r="A3826">
        <v>3809</v>
      </c>
      <c r="B3826" s="100">
        <v>89.495906587852659</v>
      </c>
      <c r="C3826" s="100">
        <v>97.767746758622962</v>
      </c>
      <c r="D3826" s="100">
        <v>92.072653247542618</v>
      </c>
      <c r="E3826" s="100">
        <v>92.093504061804296</v>
      </c>
      <c r="F3826" s="100">
        <v>190.52486379575555</v>
      </c>
      <c r="G3826" s="100">
        <v>663.21412200873192</v>
      </c>
      <c r="H3826" s="100">
        <v>1486.8537158879747</v>
      </c>
      <c r="I3826" s="100">
        <v>1287.1355928969308</v>
      </c>
      <c r="J3826" s="100">
        <v>3627.728294589393</v>
      </c>
    </row>
    <row r="3827" spans="1:10" x14ac:dyDescent="0.25">
      <c r="A3827">
        <v>3810</v>
      </c>
      <c r="B3827" s="100">
        <v>90.020751234682137</v>
      </c>
      <c r="C3827" s="100">
        <v>96.61901520899562</v>
      </c>
      <c r="D3827" s="100">
        <v>93.064346987845369</v>
      </c>
      <c r="E3827" s="100">
        <v>94.261393884239482</v>
      </c>
      <c r="F3827" s="100">
        <v>-1541.4624707415242</v>
      </c>
      <c r="G3827" s="100">
        <v>2386.3114464497457</v>
      </c>
      <c r="H3827" s="100">
        <v>-496.53376471752608</v>
      </c>
      <c r="I3827" s="100">
        <v>-880.75422953825466</v>
      </c>
      <c r="J3827" s="100">
        <v>-532.43901854755916</v>
      </c>
    </row>
    <row r="3828" spans="1:10" x14ac:dyDescent="0.25">
      <c r="A3828">
        <v>3811</v>
      </c>
      <c r="B3828" s="100">
        <v>89.122247138653407</v>
      </c>
      <c r="C3828" s="100">
        <v>98.738596410382556</v>
      </c>
      <c r="D3828" s="100">
        <v>92.748470576501916</v>
      </c>
      <c r="E3828" s="100">
        <v>94.239250034257552</v>
      </c>
      <c r="F3828" s="100">
        <v>1423.6010461532871</v>
      </c>
      <c r="G3828" s="100">
        <v>-793.06035563065791</v>
      </c>
      <c r="H3828" s="100">
        <v>135.21905796937972</v>
      </c>
      <c r="I3828" s="100">
        <v>-858.61037955632469</v>
      </c>
      <c r="J3828" s="100">
        <v>-92.850631064315735</v>
      </c>
    </row>
    <row r="3829" spans="1:10" x14ac:dyDescent="0.25">
      <c r="A3829">
        <v>3812</v>
      </c>
      <c r="B3829" s="100">
        <v>89.260973950945782</v>
      </c>
      <c r="C3829" s="100">
        <v>97.948177654857915</v>
      </c>
      <c r="D3829" s="100">
        <v>93.970198775767599</v>
      </c>
      <c r="E3829" s="100">
        <v>92.003987777434418</v>
      </c>
      <c r="F3829" s="100">
        <v>965.80256558844724</v>
      </c>
      <c r="G3829" s="100">
        <v>392.56777765630346</v>
      </c>
      <c r="H3829" s="100">
        <v>-2308.2373405619874</v>
      </c>
      <c r="I3829" s="100">
        <v>1376.6518772668092</v>
      </c>
      <c r="J3829" s="100">
        <v>426.78487994957254</v>
      </c>
    </row>
    <row r="3830" spans="1:10" x14ac:dyDescent="0.25">
      <c r="A3830">
        <v>3813</v>
      </c>
      <c r="B3830" s="100">
        <v>88.886728235394713</v>
      </c>
      <c r="C3830" s="100">
        <v>98.82342215367818</v>
      </c>
      <c r="D3830" s="100">
        <v>92.524927502291348</v>
      </c>
      <c r="E3830" s="100">
        <v>93.488880186985568</v>
      </c>
      <c r="F3830" s="100">
        <v>2200.8134269069756</v>
      </c>
      <c r="G3830" s="100">
        <v>-920.29897057409471</v>
      </c>
      <c r="H3830" s="100">
        <v>582.3052063905152</v>
      </c>
      <c r="I3830" s="100">
        <v>-108.24053228434138</v>
      </c>
      <c r="J3830" s="100">
        <v>1754.5791304390546</v>
      </c>
    </row>
    <row r="3831" spans="1:10" x14ac:dyDescent="0.25">
      <c r="A3831">
        <v>3814</v>
      </c>
      <c r="B3831" s="100">
        <v>89.320168834688843</v>
      </c>
      <c r="C3831" s="100">
        <v>100.62999711210615</v>
      </c>
      <c r="D3831" s="100">
        <v>93.541799879973382</v>
      </c>
      <c r="E3831" s="100">
        <v>95.803161892143294</v>
      </c>
      <c r="F3831" s="100">
        <v>770.45944923634693</v>
      </c>
      <c r="G3831" s="100">
        <v>-3630.161408216054</v>
      </c>
      <c r="H3831" s="100">
        <v>-1451.4395489735534</v>
      </c>
      <c r="I3831" s="100">
        <v>-2422.5222374420669</v>
      </c>
      <c r="J3831" s="100">
        <v>-6733.6637453953281</v>
      </c>
    </row>
    <row r="3832" spans="1:10" x14ac:dyDescent="0.25">
      <c r="A3832">
        <v>3815</v>
      </c>
      <c r="B3832" s="100">
        <v>90.032206393247904</v>
      </c>
      <c r="C3832" s="100">
        <v>97.364743460652861</v>
      </c>
      <c r="D3832" s="100">
        <v>93.667293406464438</v>
      </c>
      <c r="E3832" s="100">
        <v>91.948161548602982</v>
      </c>
      <c r="F3832" s="100">
        <v>-1579.2644940085538</v>
      </c>
      <c r="G3832" s="100">
        <v>1267.7190689638849</v>
      </c>
      <c r="H3832" s="100">
        <v>-1702.4266019556649</v>
      </c>
      <c r="I3832" s="100">
        <v>1432.4781060982446</v>
      </c>
      <c r="J3832" s="100">
        <v>-581.49392090208926</v>
      </c>
    </row>
    <row r="3833" spans="1:10" x14ac:dyDescent="0.25">
      <c r="A3833">
        <v>3816</v>
      </c>
      <c r="B3833" s="100">
        <v>89.671834190085661</v>
      </c>
      <c r="C3833" s="100">
        <v>97.50979285711405</v>
      </c>
      <c r="D3833" s="100">
        <v>92.46143411291844</v>
      </c>
      <c r="E3833" s="100">
        <v>92.555934895348699</v>
      </c>
      <c r="F3833" s="100">
        <v>-390.03622357315351</v>
      </c>
      <c r="G3833" s="100">
        <v>1050.1449742721006</v>
      </c>
      <c r="H3833" s="100">
        <v>709.29198513633196</v>
      </c>
      <c r="I3833" s="100">
        <v>824.70475935252807</v>
      </c>
      <c r="J3833" s="100">
        <v>2194.1054951878073</v>
      </c>
    </row>
    <row r="3834" spans="1:10" x14ac:dyDescent="0.25">
      <c r="A3834">
        <v>3817</v>
      </c>
      <c r="B3834" s="100">
        <v>89.088639506276763</v>
      </c>
      <c r="C3834" s="100">
        <v>98.138208586502188</v>
      </c>
      <c r="D3834" s="100">
        <v>92.893965156065988</v>
      </c>
      <c r="E3834" s="100">
        <v>91.411628008540958</v>
      </c>
      <c r="F3834" s="100">
        <v>1534.5062329962104</v>
      </c>
      <c r="G3834" s="100">
        <v>107.52138018989399</v>
      </c>
      <c r="H3834" s="100">
        <v>-155.77010115876533</v>
      </c>
      <c r="I3834" s="100">
        <v>1969.0116461602684</v>
      </c>
      <c r="J3834" s="100">
        <v>3455.2691581876074</v>
      </c>
    </row>
    <row r="3835" spans="1:10" x14ac:dyDescent="0.25">
      <c r="A3835">
        <v>3818</v>
      </c>
      <c r="B3835" s="100">
        <v>89.314704660055682</v>
      </c>
      <c r="C3835" s="100">
        <v>96.38290050427608</v>
      </c>
      <c r="D3835" s="100">
        <v>91.913214872463342</v>
      </c>
      <c r="E3835" s="100">
        <v>91.123096742157998</v>
      </c>
      <c r="F3835" s="100">
        <v>788.49122552577887</v>
      </c>
      <c r="G3835" s="100">
        <v>2740.4835035290562</v>
      </c>
      <c r="H3835" s="100">
        <v>1805.7304660465263</v>
      </c>
      <c r="I3835" s="100">
        <v>2257.5429125432292</v>
      </c>
      <c r="J3835" s="100">
        <v>7592.2481076445902</v>
      </c>
    </row>
    <row r="3836" spans="1:10" x14ac:dyDescent="0.25">
      <c r="A3836">
        <v>3819</v>
      </c>
      <c r="B3836" s="100">
        <v>89.330660008691211</v>
      </c>
      <c r="C3836" s="100">
        <v>98.041230394124796</v>
      </c>
      <c r="D3836" s="100">
        <v>93.618151447500225</v>
      </c>
      <c r="E3836" s="100">
        <v>92.081411056318615</v>
      </c>
      <c r="F3836" s="100">
        <v>735.8385750285322</v>
      </c>
      <c r="G3836" s="100">
        <v>252.98866875598236</v>
      </c>
      <c r="H3836" s="100">
        <v>-1604.1426840272379</v>
      </c>
      <c r="I3836" s="100">
        <v>1299.2285983826123</v>
      </c>
      <c r="J3836" s="100">
        <v>683.91315813988899</v>
      </c>
    </row>
    <row r="3837" spans="1:10" x14ac:dyDescent="0.25">
      <c r="A3837">
        <v>3820</v>
      </c>
      <c r="B3837" s="100">
        <v>89.444072920834216</v>
      </c>
      <c r="C3837" s="100">
        <v>99.074743197418314</v>
      </c>
      <c r="D3837" s="100">
        <v>92.446047579539183</v>
      </c>
      <c r="E3837" s="100">
        <v>93.284159389285762</v>
      </c>
      <c r="F3837" s="100">
        <v>361.57596495661579</v>
      </c>
      <c r="G3837" s="100">
        <v>-1297.2805361842959</v>
      </c>
      <c r="H3837" s="100">
        <v>740.06505189484528</v>
      </c>
      <c r="I3837" s="100">
        <v>96.480265415465283</v>
      </c>
      <c r="J3837" s="100">
        <v>-99.159253917369597</v>
      </c>
    </row>
    <row r="3838" spans="1:10" x14ac:dyDescent="0.25">
      <c r="A3838">
        <v>3821</v>
      </c>
      <c r="B3838" s="100">
        <v>88.861214137365423</v>
      </c>
      <c r="C3838" s="100">
        <v>96.73425683713144</v>
      </c>
      <c r="D3838" s="100">
        <v>92.097146370340965</v>
      </c>
      <c r="E3838" s="100">
        <v>92.048592526791168</v>
      </c>
      <c r="F3838" s="100">
        <v>2285.0099504036352</v>
      </c>
      <c r="G3838" s="100">
        <v>2213.4490042460156</v>
      </c>
      <c r="H3838" s="100">
        <v>1437.8674702912804</v>
      </c>
      <c r="I3838" s="100">
        <v>1332.0471279100589</v>
      </c>
      <c r="J3838" s="100">
        <v>7268.3735528509897</v>
      </c>
    </row>
    <row r="3839" spans="1:10" x14ac:dyDescent="0.25">
      <c r="A3839">
        <v>3822</v>
      </c>
      <c r="B3839" s="100">
        <v>89.81690264912433</v>
      </c>
      <c r="C3839" s="100">
        <v>98.731122649296779</v>
      </c>
      <c r="D3839" s="100">
        <v>92.621310585069224</v>
      </c>
      <c r="E3839" s="100">
        <v>93.76261576038543</v>
      </c>
      <c r="F3839" s="100">
        <v>-868.76213840075991</v>
      </c>
      <c r="G3839" s="100">
        <v>-781.84971400199288</v>
      </c>
      <c r="H3839" s="100">
        <v>389.53904083476232</v>
      </c>
      <c r="I3839" s="100">
        <v>-381.97610568420259</v>
      </c>
      <c r="J3839" s="100">
        <v>-1643.0489172521932</v>
      </c>
    </row>
    <row r="3840" spans="1:10" x14ac:dyDescent="0.25">
      <c r="A3840">
        <v>3823</v>
      </c>
      <c r="B3840" s="100">
        <v>89.806978412319751</v>
      </c>
      <c r="C3840" s="100">
        <v>98.190619413275996</v>
      </c>
      <c r="D3840" s="100">
        <v>92.127952845176637</v>
      </c>
      <c r="E3840" s="100">
        <v>95.163203382564035</v>
      </c>
      <c r="F3840" s="100">
        <v>-836.01215694564814</v>
      </c>
      <c r="G3840" s="100">
        <v>28.905140029181098</v>
      </c>
      <c r="H3840" s="100">
        <v>1376.2545206199377</v>
      </c>
      <c r="I3840" s="100">
        <v>-1782.5637278628078</v>
      </c>
      <c r="J3840" s="100">
        <v>-1213.4162241593372</v>
      </c>
    </row>
    <row r="3841" spans="1:10" x14ac:dyDescent="0.25">
      <c r="A3841">
        <v>3824</v>
      </c>
      <c r="B3841" s="100">
        <v>88.465567720594237</v>
      </c>
      <c r="C3841" s="100">
        <v>97.687793198168137</v>
      </c>
      <c r="D3841" s="100">
        <v>93.823145035516234</v>
      </c>
      <c r="E3841" s="100">
        <v>94.361339198044647</v>
      </c>
      <c r="F3841" s="100">
        <v>3590.6431257485478</v>
      </c>
      <c r="G3841" s="100">
        <v>783.14446269097004</v>
      </c>
      <c r="H3841" s="100">
        <v>-2014.1298600592563</v>
      </c>
      <c r="I3841" s="100">
        <v>-980.69954334341958</v>
      </c>
      <c r="J3841" s="100">
        <v>1378.9581850368422</v>
      </c>
    </row>
    <row r="3842" spans="1:10" x14ac:dyDescent="0.25">
      <c r="A3842">
        <v>3825</v>
      </c>
      <c r="B3842" s="100">
        <v>90.169260989425339</v>
      </c>
      <c r="C3842" s="100">
        <v>98.255523584424239</v>
      </c>
      <c r="D3842" s="100">
        <v>93.496263039742985</v>
      </c>
      <c r="E3842" s="100">
        <v>89.783572996361229</v>
      </c>
      <c r="F3842" s="100">
        <v>-2031.5446613940908</v>
      </c>
      <c r="G3842" s="100">
        <v>-68.451116693182712</v>
      </c>
      <c r="H3842" s="100">
        <v>-1360.3658685127584</v>
      </c>
      <c r="I3842" s="100">
        <v>3597.0666583399975</v>
      </c>
      <c r="J3842" s="100">
        <v>136.70501173996536</v>
      </c>
    </row>
    <row r="3843" spans="1:10" x14ac:dyDescent="0.25">
      <c r="A3843">
        <v>3826</v>
      </c>
      <c r="B3843" s="100">
        <v>89.682469568591074</v>
      </c>
      <c r="C3843" s="100">
        <v>99.366363879266117</v>
      </c>
      <c r="D3843" s="100">
        <v>94.364729074971294</v>
      </c>
      <c r="E3843" s="100">
        <v>95.019838766251283</v>
      </c>
      <c r="F3843" s="100">
        <v>-425.13297264101482</v>
      </c>
      <c r="G3843" s="100">
        <v>-1734.7115589560005</v>
      </c>
      <c r="H3843" s="100">
        <v>-3097.2979389693764</v>
      </c>
      <c r="I3843" s="100">
        <v>-1639.1991115500559</v>
      </c>
      <c r="J3843" s="100">
        <v>-6896.3415821164481</v>
      </c>
    </row>
    <row r="3844" spans="1:10" x14ac:dyDescent="0.25">
      <c r="A3844">
        <v>3827</v>
      </c>
      <c r="B3844" s="100">
        <v>89.713888398439238</v>
      </c>
      <c r="C3844" s="100">
        <v>99.224059556045873</v>
      </c>
      <c r="D3844" s="100">
        <v>92.940260502138216</v>
      </c>
      <c r="E3844" s="100">
        <v>91.799509755555903</v>
      </c>
      <c r="F3844" s="100">
        <v>-528.81511113995566</v>
      </c>
      <c r="G3844" s="100">
        <v>-1521.2550741256337</v>
      </c>
      <c r="H3844" s="100">
        <v>-248.36079330322036</v>
      </c>
      <c r="I3844" s="100">
        <v>1581.1298991453241</v>
      </c>
      <c r="J3844" s="100">
        <v>-717.30107942348559</v>
      </c>
    </row>
    <row r="3845" spans="1:10" x14ac:dyDescent="0.25">
      <c r="A3845">
        <v>3828</v>
      </c>
      <c r="B3845" s="100">
        <v>89.976321265596255</v>
      </c>
      <c r="C3845" s="100">
        <v>98.512425307704632</v>
      </c>
      <c r="D3845" s="100">
        <v>91.599945633192789</v>
      </c>
      <c r="E3845" s="100">
        <v>93.103910976433866</v>
      </c>
      <c r="F3845" s="100">
        <v>-1394.8435727581113</v>
      </c>
      <c r="G3845" s="100">
        <v>-453.80370161377215</v>
      </c>
      <c r="H3845" s="100">
        <v>2432.2689445876335</v>
      </c>
      <c r="I3845" s="100">
        <v>276.72867826736081</v>
      </c>
      <c r="J3845" s="100">
        <v>860.35034848311091</v>
      </c>
    </row>
    <row r="3846" spans="1:10" x14ac:dyDescent="0.25">
      <c r="A3846">
        <v>3829</v>
      </c>
      <c r="B3846" s="100">
        <v>89.472364476040283</v>
      </c>
      <c r="C3846" s="100">
        <v>99.746281362521259</v>
      </c>
      <c r="D3846" s="100">
        <v>92.731844991572089</v>
      </c>
      <c r="E3846" s="100">
        <v>92.18326428021895</v>
      </c>
      <c r="F3846" s="100">
        <v>268.21383277659407</v>
      </c>
      <c r="G3846" s="100">
        <v>-2304.5877838387128</v>
      </c>
      <c r="H3846" s="100">
        <v>168.47022782903309</v>
      </c>
      <c r="I3846" s="100">
        <v>1197.3753744822773</v>
      </c>
      <c r="J3846" s="100">
        <v>-670.52834875080839</v>
      </c>
    </row>
    <row r="3847" spans="1:10" x14ac:dyDescent="0.25">
      <c r="A3847">
        <v>3830</v>
      </c>
      <c r="B3847" s="100">
        <v>89.464870991666004</v>
      </c>
      <c r="C3847" s="100">
        <v>98.335308963457877</v>
      </c>
      <c r="D3847" s="100">
        <v>92.394042148335842</v>
      </c>
      <c r="E3847" s="100">
        <v>96.539420887843235</v>
      </c>
      <c r="F3847" s="100">
        <v>292.94233121171658</v>
      </c>
      <c r="G3847" s="100">
        <v>-188.12918524363909</v>
      </c>
      <c r="H3847" s="100">
        <v>844.07591430152706</v>
      </c>
      <c r="I3847" s="100">
        <v>-3158.7812331420082</v>
      </c>
      <c r="J3847" s="100">
        <v>-2209.8921728724035</v>
      </c>
    </row>
    <row r="3848" spans="1:10" x14ac:dyDescent="0.25">
      <c r="A3848">
        <v>3831</v>
      </c>
      <c r="B3848" s="100">
        <v>89.843749860711483</v>
      </c>
      <c r="C3848" s="100">
        <v>98.054221782797541</v>
      </c>
      <c r="D3848" s="100">
        <v>93.605458810890525</v>
      </c>
      <c r="E3848" s="100">
        <v>95.914394599016148</v>
      </c>
      <c r="F3848" s="100">
        <v>-957.35793663836546</v>
      </c>
      <c r="G3848" s="100">
        <v>233.50158574686475</v>
      </c>
      <c r="H3848" s="100">
        <v>-1578.7574108078388</v>
      </c>
      <c r="I3848" s="100">
        <v>-2533.7549443149214</v>
      </c>
      <c r="J3848" s="100">
        <v>-4836.3687060142611</v>
      </c>
    </row>
    <row r="3849" spans="1:10" x14ac:dyDescent="0.25">
      <c r="A3849">
        <v>3832</v>
      </c>
      <c r="B3849" s="100">
        <v>89.580245647357145</v>
      </c>
      <c r="C3849" s="100">
        <v>97.861851306110623</v>
      </c>
      <c r="D3849" s="100">
        <v>93.185021503307965</v>
      </c>
      <c r="E3849" s="100">
        <v>96.038261888767025</v>
      </c>
      <c r="F3849" s="100">
        <v>-87.794032569050273</v>
      </c>
      <c r="G3849" s="100">
        <v>522.05730077724161</v>
      </c>
      <c r="H3849" s="100">
        <v>-737.88279564271875</v>
      </c>
      <c r="I3849" s="100">
        <v>-2657.6222340657978</v>
      </c>
      <c r="J3849" s="100">
        <v>-2961.2417615003251</v>
      </c>
    </row>
    <row r="3850" spans="1:10" x14ac:dyDescent="0.25">
      <c r="A3850">
        <v>3833</v>
      </c>
      <c r="B3850" s="100">
        <v>89.747069857150052</v>
      </c>
      <c r="C3850" s="100">
        <v>99.021413885562325</v>
      </c>
      <c r="D3850" s="100">
        <v>91.959169051666038</v>
      </c>
      <c r="E3850" s="100">
        <v>93.717996061664053</v>
      </c>
      <c r="F3850" s="100">
        <v>-638.31392488564234</v>
      </c>
      <c r="G3850" s="100">
        <v>-1217.2865684003114</v>
      </c>
      <c r="H3850" s="100">
        <v>1713.8221076411355</v>
      </c>
      <c r="I3850" s="100">
        <v>-337.35640696282587</v>
      </c>
      <c r="J3850" s="100">
        <v>-479.13479260764404</v>
      </c>
    </row>
    <row r="3851" spans="1:10" x14ac:dyDescent="0.25">
      <c r="A3851">
        <v>3834</v>
      </c>
      <c r="B3851" s="100">
        <v>89.217947281570005</v>
      </c>
      <c r="C3851" s="100">
        <v>98.037624457044075</v>
      </c>
      <c r="D3851" s="100">
        <v>92.54890252082923</v>
      </c>
      <c r="E3851" s="100">
        <v>94.966845115415325</v>
      </c>
      <c r="F3851" s="100">
        <v>1107.7905745285123</v>
      </c>
      <c r="G3851" s="100">
        <v>258.39757437706368</v>
      </c>
      <c r="H3851" s="100">
        <v>534.35516931475036</v>
      </c>
      <c r="I3851" s="100">
        <v>-1586.2054607140976</v>
      </c>
      <c r="J3851" s="100">
        <v>314.3378575062286</v>
      </c>
    </row>
    <row r="3852" spans="1:10" x14ac:dyDescent="0.25">
      <c r="A3852">
        <v>3835</v>
      </c>
      <c r="B3852" s="100">
        <v>89.655774894969326</v>
      </c>
      <c r="C3852" s="100">
        <v>98.618502955162654</v>
      </c>
      <c r="D3852" s="100">
        <v>92.563483434229582</v>
      </c>
      <c r="E3852" s="100">
        <v>93.066474779748731</v>
      </c>
      <c r="F3852" s="100">
        <v>-337.04054968924737</v>
      </c>
      <c r="G3852" s="100">
        <v>-612.92017280080563</v>
      </c>
      <c r="H3852" s="100">
        <v>505.19334251404757</v>
      </c>
      <c r="I3852" s="100">
        <v>314.16487495249612</v>
      </c>
      <c r="J3852" s="100">
        <v>-130.60250502350937</v>
      </c>
    </row>
    <row r="3853" spans="1:10" x14ac:dyDescent="0.25">
      <c r="A3853">
        <v>3836</v>
      </c>
      <c r="B3853" s="100">
        <v>89.768440319777227</v>
      </c>
      <c r="C3853" s="100">
        <v>98.959098442297957</v>
      </c>
      <c r="D3853" s="100">
        <v>92.997108068585462</v>
      </c>
      <c r="E3853" s="100">
        <v>91.462865858153918</v>
      </c>
      <c r="F3853" s="100">
        <v>-708.83645155531951</v>
      </c>
      <c r="G3853" s="100">
        <v>-1123.8134035037604</v>
      </c>
      <c r="H3853" s="100">
        <v>-362.0559261977121</v>
      </c>
      <c r="I3853" s="100">
        <v>1917.7737965473084</v>
      </c>
      <c r="J3853" s="100">
        <v>-276.93198470948346</v>
      </c>
    </row>
    <row r="3854" spans="1:10" x14ac:dyDescent="0.25">
      <c r="A3854">
        <v>3837</v>
      </c>
      <c r="B3854" s="100">
        <v>89.276151294458856</v>
      </c>
      <c r="C3854" s="100">
        <v>98.019715819590061</v>
      </c>
      <c r="D3854" s="100">
        <v>92.070873894005373</v>
      </c>
      <c r="E3854" s="100">
        <v>92.545991651721579</v>
      </c>
      <c r="F3854" s="100">
        <v>915.71733199530456</v>
      </c>
      <c r="G3854" s="100">
        <v>285.26053055808376</v>
      </c>
      <c r="H3854" s="100">
        <v>1490.4124229624642</v>
      </c>
      <c r="I3854" s="100">
        <v>834.64800297964814</v>
      </c>
      <c r="J3854" s="100">
        <v>3526.0382884955006</v>
      </c>
    </row>
    <row r="3855" spans="1:10" x14ac:dyDescent="0.25">
      <c r="A3855">
        <v>3838</v>
      </c>
      <c r="B3855" s="100">
        <v>89.090775182485842</v>
      </c>
      <c r="C3855" s="100">
        <v>98.872501221778094</v>
      </c>
      <c r="D3855" s="100">
        <v>92.551404452572143</v>
      </c>
      <c r="E3855" s="100">
        <v>94.895907504748905</v>
      </c>
      <c r="F3855" s="100">
        <v>1527.4585015062498</v>
      </c>
      <c r="G3855" s="100">
        <v>-993.9175727239658</v>
      </c>
      <c r="H3855" s="100">
        <v>529.35130582892498</v>
      </c>
      <c r="I3855" s="100">
        <v>-1515.2678500476782</v>
      </c>
      <c r="J3855" s="100">
        <v>-452.37561543646916</v>
      </c>
    </row>
    <row r="3856" spans="1:10" x14ac:dyDescent="0.25">
      <c r="A3856">
        <v>3839</v>
      </c>
      <c r="B3856" s="100">
        <v>89.28607838030149</v>
      </c>
      <c r="C3856" s="100">
        <v>98.423178964300476</v>
      </c>
      <c r="D3856" s="100">
        <v>91.94510802285852</v>
      </c>
      <c r="E3856" s="100">
        <v>91.211422366018752</v>
      </c>
      <c r="F3856" s="100">
        <v>882.95794871461339</v>
      </c>
      <c r="G3856" s="100">
        <v>-319.93418650753824</v>
      </c>
      <c r="H3856" s="100">
        <v>1741.9441652561716</v>
      </c>
      <c r="I3856" s="100">
        <v>2169.2172886824751</v>
      </c>
      <c r="J3856" s="100">
        <v>4474.1852161457218</v>
      </c>
    </row>
    <row r="3857" spans="1:10" x14ac:dyDescent="0.25">
      <c r="A3857">
        <v>3840</v>
      </c>
      <c r="B3857" s="100">
        <v>89.331683189825796</v>
      </c>
      <c r="C3857" s="100">
        <v>96.194312929827404</v>
      </c>
      <c r="D3857" s="100">
        <v>93.283337565704471</v>
      </c>
      <c r="E3857" s="100">
        <v>93.663406719554871</v>
      </c>
      <c r="F3857" s="100">
        <v>732.46207728440277</v>
      </c>
      <c r="G3857" s="100">
        <v>3023.3648652020693</v>
      </c>
      <c r="H3857" s="100">
        <v>-934.51492043573126</v>
      </c>
      <c r="I3857" s="100">
        <v>-282.767064853644</v>
      </c>
      <c r="J3857" s="100">
        <v>2538.5449571970967</v>
      </c>
    </row>
    <row r="3858" spans="1:10" x14ac:dyDescent="0.25">
      <c r="A3858">
        <v>3841</v>
      </c>
      <c r="B3858" s="100">
        <v>90.416115849270867</v>
      </c>
      <c r="C3858" s="100">
        <v>99.639280821591115</v>
      </c>
      <c r="D3858" s="100">
        <v>91.75837697861121</v>
      </c>
      <c r="E3858" s="100">
        <v>93.22376590680598</v>
      </c>
      <c r="F3858" s="100">
        <v>-2846.1656988843301</v>
      </c>
      <c r="G3858" s="100">
        <v>-2144.0869724434961</v>
      </c>
      <c r="H3858" s="100">
        <v>2115.4062537507912</v>
      </c>
      <c r="I3858" s="100">
        <v>156.87374789524711</v>
      </c>
      <c r="J3858" s="100">
        <v>-2717.9726696817875</v>
      </c>
    </row>
    <row r="3859" spans="1:10" x14ac:dyDescent="0.25">
      <c r="A3859">
        <v>3842</v>
      </c>
      <c r="B3859" s="100">
        <v>89.523004903524779</v>
      </c>
      <c r="C3859" s="100">
        <v>98.428540930411444</v>
      </c>
      <c r="D3859" s="100">
        <v>92.593636580611545</v>
      </c>
      <c r="E3859" s="100">
        <v>89.631098453464347</v>
      </c>
      <c r="F3859" s="100">
        <v>101.10042207775933</v>
      </c>
      <c r="G3859" s="100">
        <v>-327.97713567399001</v>
      </c>
      <c r="H3859" s="100">
        <v>444.88704975012183</v>
      </c>
      <c r="I3859" s="100">
        <v>3749.5412012368802</v>
      </c>
      <c r="J3859" s="100">
        <v>3967.5515373907715</v>
      </c>
    </row>
    <row r="3860" spans="1:10" x14ac:dyDescent="0.25">
      <c r="A3860">
        <v>3843</v>
      </c>
      <c r="B3860" s="100">
        <v>89.537517656671255</v>
      </c>
      <c r="C3860" s="100">
        <v>96.68927981223348</v>
      </c>
      <c r="D3860" s="100">
        <v>93.822191322596595</v>
      </c>
      <c r="E3860" s="100">
        <v>94.68830431586052</v>
      </c>
      <c r="F3860" s="100">
        <v>53.20833669438656</v>
      </c>
      <c r="G3860" s="100">
        <v>2280.9145415929565</v>
      </c>
      <c r="H3860" s="100">
        <v>-2012.2224342199786</v>
      </c>
      <c r="I3860" s="100">
        <v>-1307.6646611592935</v>
      </c>
      <c r="J3860" s="100">
        <v>-985.76421709192891</v>
      </c>
    </row>
    <row r="3861" spans="1:10" x14ac:dyDescent="0.25">
      <c r="A3861">
        <v>3844</v>
      </c>
      <c r="B3861" s="100">
        <v>89.468720004663354</v>
      </c>
      <c r="C3861" s="100">
        <v>97.929200449262311</v>
      </c>
      <c r="D3861" s="100">
        <v>92.011228318020883</v>
      </c>
      <c r="E3861" s="100">
        <v>92.340791190823793</v>
      </c>
      <c r="F3861" s="100">
        <v>280.24058832046279</v>
      </c>
      <c r="G3861" s="100">
        <v>421.03358604970964</v>
      </c>
      <c r="H3861" s="100">
        <v>1609.7035749314443</v>
      </c>
      <c r="I3861" s="100">
        <v>1039.8484638774335</v>
      </c>
      <c r="J3861" s="100">
        <v>3350.8262131790502</v>
      </c>
    </row>
    <row r="3862" spans="1:10" x14ac:dyDescent="0.25">
      <c r="A3862">
        <v>3845</v>
      </c>
      <c r="B3862" s="100">
        <v>90.14356722834016</v>
      </c>
      <c r="C3862" s="100">
        <v>98.334845863017932</v>
      </c>
      <c r="D3862" s="100">
        <v>93.232526379291059</v>
      </c>
      <c r="E3862" s="100">
        <v>91.244379593585649</v>
      </c>
      <c r="F3862" s="100">
        <v>-1946.755249812999</v>
      </c>
      <c r="G3862" s="100">
        <v>-187.43453458372272</v>
      </c>
      <c r="H3862" s="100">
        <v>-832.89254760890685</v>
      </c>
      <c r="I3862" s="100">
        <v>2136.2600611155785</v>
      </c>
      <c r="J3862" s="100">
        <v>-830.82227089005028</v>
      </c>
    </row>
    <row r="3863" spans="1:10" x14ac:dyDescent="0.25">
      <c r="A3863">
        <v>3846</v>
      </c>
      <c r="B3863" s="100">
        <v>90.488160702473763</v>
      </c>
      <c r="C3863" s="100">
        <v>99.046103108145672</v>
      </c>
      <c r="D3863" s="100">
        <v>91.728679157274826</v>
      </c>
      <c r="E3863" s="100">
        <v>91.228922672048554</v>
      </c>
      <c r="F3863" s="100">
        <v>-3083.9137144538895</v>
      </c>
      <c r="G3863" s="100">
        <v>-1254.320402275333</v>
      </c>
      <c r="H3863" s="100">
        <v>2174.8018964235598</v>
      </c>
      <c r="I3863" s="100">
        <v>2151.7169826526724</v>
      </c>
      <c r="J3863" s="100">
        <v>-11.715237652990254</v>
      </c>
    </row>
    <row r="3864" spans="1:10" x14ac:dyDescent="0.25">
      <c r="A3864">
        <v>3847</v>
      </c>
      <c r="B3864" s="100">
        <v>89.825752181200244</v>
      </c>
      <c r="C3864" s="100">
        <v>97.952821406012788</v>
      </c>
      <c r="D3864" s="100">
        <v>91.871639455959524</v>
      </c>
      <c r="E3864" s="100">
        <v>94.771664750389846</v>
      </c>
      <c r="F3864" s="100">
        <v>-897.96559425127498</v>
      </c>
      <c r="G3864" s="100">
        <v>385.60215092399375</v>
      </c>
      <c r="H3864" s="100">
        <v>1888.8812990541624</v>
      </c>
      <c r="I3864" s="100">
        <v>-1391.0250956886189</v>
      </c>
      <c r="J3864" s="100">
        <v>-14.507239961737696</v>
      </c>
    </row>
    <row r="3865" spans="1:10" x14ac:dyDescent="0.25">
      <c r="A3865">
        <v>3848</v>
      </c>
      <c r="B3865" s="100">
        <v>90.062380268163537</v>
      </c>
      <c r="C3865" s="100">
        <v>98.132264888021552</v>
      </c>
      <c r="D3865" s="100">
        <v>93.583894125169024</v>
      </c>
      <c r="E3865" s="100">
        <v>94.179029477373945</v>
      </c>
      <c r="F3865" s="100">
        <v>-1678.838281230142</v>
      </c>
      <c r="G3865" s="100">
        <v>116.43692791084703</v>
      </c>
      <c r="H3865" s="100">
        <v>-1535.6280393648376</v>
      </c>
      <c r="I3865" s="100">
        <v>-798.38982267271774</v>
      </c>
      <c r="J3865" s="100">
        <v>-3896.4192153568501</v>
      </c>
    </row>
    <row r="3866" spans="1:10" x14ac:dyDescent="0.25">
      <c r="A3866">
        <v>3849</v>
      </c>
      <c r="B3866" s="100">
        <v>89.863186077547851</v>
      </c>
      <c r="C3866" s="100">
        <v>97.274349558547584</v>
      </c>
      <c r="D3866" s="100">
        <v>93.627115198983333</v>
      </c>
      <c r="E3866" s="100">
        <v>90.553177375062063</v>
      </c>
      <c r="F3866" s="100">
        <v>-1021.4974521983805</v>
      </c>
      <c r="G3866" s="100">
        <v>1403.3099221217994</v>
      </c>
      <c r="H3866" s="100">
        <v>-1622.0701869934544</v>
      </c>
      <c r="I3866" s="100">
        <v>2827.4622796391641</v>
      </c>
      <c r="J3866" s="100">
        <v>1587.2045625691285</v>
      </c>
    </row>
    <row r="3867" spans="1:10" x14ac:dyDescent="0.25">
      <c r="A3867">
        <v>3850</v>
      </c>
      <c r="B3867" s="100">
        <v>89.218380433628255</v>
      </c>
      <c r="C3867" s="100">
        <v>99.743169781407218</v>
      </c>
      <c r="D3867" s="100">
        <v>93.834551496805574</v>
      </c>
      <c r="E3867" s="100">
        <v>91.39105548345141</v>
      </c>
      <c r="F3867" s="100">
        <v>1106.3611727362882</v>
      </c>
      <c r="G3867" s="100">
        <v>-2299.9204121676512</v>
      </c>
      <c r="H3867" s="100">
        <v>-2036.9427826379365</v>
      </c>
      <c r="I3867" s="100">
        <v>1989.5841712498168</v>
      </c>
      <c r="J3867" s="100">
        <v>-1240.9178508194827</v>
      </c>
    </row>
    <row r="3868" spans="1:10" x14ac:dyDescent="0.25">
      <c r="A3868">
        <v>3851</v>
      </c>
      <c r="B3868" s="100">
        <v>90.197971931316857</v>
      </c>
      <c r="C3868" s="100">
        <v>95.727478897720502</v>
      </c>
      <c r="D3868" s="100">
        <v>92.370619244577497</v>
      </c>
      <c r="E3868" s="100">
        <v>93.109817022286279</v>
      </c>
      <c r="F3868" s="100">
        <v>-2126.2907696360999</v>
      </c>
      <c r="G3868" s="100">
        <v>3723.6159133624228</v>
      </c>
      <c r="H3868" s="100">
        <v>890.92172181821638</v>
      </c>
      <c r="I3868" s="100">
        <v>270.82263241494786</v>
      </c>
      <c r="J3868" s="100">
        <v>2759.0694979594869</v>
      </c>
    </row>
    <row r="3869" spans="1:10" x14ac:dyDescent="0.25">
      <c r="A3869">
        <v>3852</v>
      </c>
      <c r="B3869" s="100">
        <v>89.269130342083884</v>
      </c>
      <c r="C3869" s="100">
        <v>98.848405636938082</v>
      </c>
      <c r="D3869" s="100">
        <v>93.833613131011234</v>
      </c>
      <c r="E3869" s="100">
        <v>94.829179451789486</v>
      </c>
      <c r="F3869" s="100">
        <v>938.8864748327137</v>
      </c>
      <c r="G3869" s="100">
        <v>-957.77419546394776</v>
      </c>
      <c r="H3869" s="100">
        <v>-2035.066051049256</v>
      </c>
      <c r="I3869" s="100">
        <v>-1448.5397970882586</v>
      </c>
      <c r="J3869" s="100">
        <v>-3502.4935687687484</v>
      </c>
    </row>
    <row r="3870" spans="1:10" x14ac:dyDescent="0.25">
      <c r="A3870">
        <v>3853</v>
      </c>
      <c r="B3870" s="100">
        <v>89.354467100829112</v>
      </c>
      <c r="C3870" s="100">
        <v>98.877215542534501</v>
      </c>
      <c r="D3870" s="100">
        <v>93.367406036528635</v>
      </c>
      <c r="E3870" s="100">
        <v>92.413367972947313</v>
      </c>
      <c r="F3870" s="100">
        <v>657.27517097346038</v>
      </c>
      <c r="G3870" s="100">
        <v>-1000.9890538585751</v>
      </c>
      <c r="H3870" s="100">
        <v>-1102.6518620840591</v>
      </c>
      <c r="I3870" s="100">
        <v>967.27168175391398</v>
      </c>
      <c r="J3870" s="100">
        <v>-479.09406321525967</v>
      </c>
    </row>
    <row r="3871" spans="1:10" x14ac:dyDescent="0.25">
      <c r="A3871">
        <v>3854</v>
      </c>
      <c r="B3871" s="100">
        <v>89.974046586066564</v>
      </c>
      <c r="C3871" s="100">
        <v>97.161702852363973</v>
      </c>
      <c r="D3871" s="100">
        <v>92.033330888964215</v>
      </c>
      <c r="E3871" s="100">
        <v>94.256212539289564</v>
      </c>
      <c r="F3871" s="100">
        <v>-1387.3371303101308</v>
      </c>
      <c r="G3871" s="100">
        <v>1572.279981397216</v>
      </c>
      <c r="H3871" s="100">
        <v>1565.4984330447803</v>
      </c>
      <c r="I3871" s="100">
        <v>-875.57288458833682</v>
      </c>
      <c r="J3871" s="100">
        <v>874.86839954352877</v>
      </c>
    </row>
    <row r="3872" spans="1:10" x14ac:dyDescent="0.25">
      <c r="A3872">
        <v>3855</v>
      </c>
      <c r="B3872" s="100">
        <v>89.475954031414304</v>
      </c>
      <c r="C3872" s="100">
        <v>98.194112683858862</v>
      </c>
      <c r="D3872" s="100">
        <v>93.130197154940149</v>
      </c>
      <c r="E3872" s="100">
        <v>92.125766220584183</v>
      </c>
      <c r="F3872" s="100">
        <v>256.36830004232678</v>
      </c>
      <c r="G3872" s="100">
        <v>23.665234154883308</v>
      </c>
      <c r="H3872" s="100">
        <v>-628.23409890708604</v>
      </c>
      <c r="I3872" s="100">
        <v>1254.8734341170443</v>
      </c>
      <c r="J3872" s="100">
        <v>906.67286940716838</v>
      </c>
    </row>
    <row r="3873" spans="1:10" x14ac:dyDescent="0.25">
      <c r="A3873">
        <v>3856</v>
      </c>
      <c r="B3873" s="100">
        <v>89.55881479966358</v>
      </c>
      <c r="C3873" s="100">
        <v>98.271712836512876</v>
      </c>
      <c r="D3873" s="100">
        <v>93.552305664280823</v>
      </c>
      <c r="E3873" s="100">
        <v>92.469550805902259</v>
      </c>
      <c r="F3873" s="100">
        <v>-17.072235180283712</v>
      </c>
      <c r="G3873" s="100">
        <v>-92.734994826138006</v>
      </c>
      <c r="H3873" s="100">
        <v>-1472.4511175884345</v>
      </c>
      <c r="I3873" s="100">
        <v>911.08884879896834</v>
      </c>
      <c r="J3873" s="100">
        <v>-671.16949879588799</v>
      </c>
    </row>
    <row r="3874" spans="1:10" x14ac:dyDescent="0.25">
      <c r="A3874">
        <v>3857</v>
      </c>
      <c r="B3874" s="100">
        <v>88.856371382303351</v>
      </c>
      <c r="C3874" s="100">
        <v>98.242040622255161</v>
      </c>
      <c r="D3874" s="100">
        <v>93.266690613916637</v>
      </c>
      <c r="E3874" s="100">
        <v>92.317532243448625</v>
      </c>
      <c r="F3874" s="100">
        <v>2300.991042108471</v>
      </c>
      <c r="G3874" s="100">
        <v>-48.226673439565104</v>
      </c>
      <c r="H3874" s="100">
        <v>-901.22101686006317</v>
      </c>
      <c r="I3874" s="100">
        <v>1063.1074112526021</v>
      </c>
      <c r="J3874" s="100">
        <v>2414.6507630614446</v>
      </c>
    </row>
    <row r="3875" spans="1:10" x14ac:dyDescent="0.25">
      <c r="A3875">
        <v>3858</v>
      </c>
      <c r="B3875" s="100">
        <v>88.829705787356261</v>
      </c>
      <c r="C3875" s="100">
        <v>98.263134818779136</v>
      </c>
      <c r="D3875" s="100">
        <v>94.732025845648195</v>
      </c>
      <c r="E3875" s="100">
        <v>90.817438645207389</v>
      </c>
      <c r="F3875" s="100">
        <v>2388.987505433869</v>
      </c>
      <c r="G3875" s="100">
        <v>-79.86796822552833</v>
      </c>
      <c r="H3875" s="100">
        <v>-3831.8914803231792</v>
      </c>
      <c r="I3875" s="100">
        <v>2563.2010094938378</v>
      </c>
      <c r="J3875" s="100">
        <v>1040.4290663789993</v>
      </c>
    </row>
    <row r="3876" spans="1:10" x14ac:dyDescent="0.25">
      <c r="A3876">
        <v>3859</v>
      </c>
      <c r="B3876" s="100">
        <v>88.565072515637311</v>
      </c>
      <c r="C3876" s="100">
        <v>98.188321494694932</v>
      </c>
      <c r="D3876" s="100">
        <v>93.91772900345326</v>
      </c>
      <c r="E3876" s="100">
        <v>95.147487527438983</v>
      </c>
      <c r="F3876" s="100">
        <v>3262.2773021064022</v>
      </c>
      <c r="G3876" s="100">
        <v>32.352017900777241</v>
      </c>
      <c r="H3876" s="100">
        <v>-2203.2977959333093</v>
      </c>
      <c r="I3876" s="100">
        <v>-1766.847872737756</v>
      </c>
      <c r="J3876" s="100">
        <v>-675.51634866388576</v>
      </c>
    </row>
    <row r="3877" spans="1:10" x14ac:dyDescent="0.25">
      <c r="A3877">
        <v>3860</v>
      </c>
      <c r="B3877" s="100">
        <v>90.11937229897994</v>
      </c>
      <c r="C3877" s="100">
        <v>98.883952805888399</v>
      </c>
      <c r="D3877" s="100">
        <v>94.182063074346374</v>
      </c>
      <c r="E3877" s="100">
        <v>94.233153685356612</v>
      </c>
      <c r="F3877" s="100">
        <v>-1866.9119829242718</v>
      </c>
      <c r="G3877" s="100">
        <v>-1011.0949488894221</v>
      </c>
      <c r="H3877" s="100">
        <v>-2731.9659377195367</v>
      </c>
      <c r="I3877" s="100">
        <v>-852.51403065538511</v>
      </c>
      <c r="J3877" s="100">
        <v>-6462.4869001886154</v>
      </c>
    </row>
    <row r="3878" spans="1:10" x14ac:dyDescent="0.25">
      <c r="A3878">
        <v>3861</v>
      </c>
      <c r="B3878" s="100">
        <v>87.870836763457319</v>
      </c>
      <c r="C3878" s="100">
        <v>98.202573005289167</v>
      </c>
      <c r="D3878" s="100">
        <v>94.473883923336075</v>
      </c>
      <c r="E3878" s="100">
        <v>91.277940816415821</v>
      </c>
      <c r="F3878" s="100">
        <v>5553.2552843003759</v>
      </c>
      <c r="G3878" s="100">
        <v>10.974752009424549</v>
      </c>
      <c r="H3878" s="100">
        <v>-3315.6076356989388</v>
      </c>
      <c r="I3878" s="100">
        <v>2102.6988382854056</v>
      </c>
      <c r="J3878" s="100">
        <v>4351.3212388962675</v>
      </c>
    </row>
    <row r="3879" spans="1:10" x14ac:dyDescent="0.25">
      <c r="A3879">
        <v>3862</v>
      </c>
      <c r="B3879" s="100">
        <v>90.410149613213378</v>
      </c>
      <c r="C3879" s="100">
        <v>97.327068512537338</v>
      </c>
      <c r="D3879" s="100">
        <v>94.137102443666365</v>
      </c>
      <c r="E3879" s="100">
        <v>95.967186768022756</v>
      </c>
      <c r="F3879" s="100">
        <v>-2826.4771198946164</v>
      </c>
      <c r="G3879" s="100">
        <v>1324.2314911371693</v>
      </c>
      <c r="H3879" s="100">
        <v>-2642.0446763595182</v>
      </c>
      <c r="I3879" s="100">
        <v>-2586.5471133215297</v>
      </c>
      <c r="J3879" s="100">
        <v>-6730.8374184384948</v>
      </c>
    </row>
    <row r="3880" spans="1:10" x14ac:dyDescent="0.25">
      <c r="A3880">
        <v>3863</v>
      </c>
      <c r="B3880" s="100">
        <v>89.839020967604426</v>
      </c>
      <c r="C3880" s="100">
        <v>97.878110818472294</v>
      </c>
      <c r="D3880" s="100">
        <v>92.51748576778941</v>
      </c>
      <c r="E3880" s="100">
        <v>94.39792679456194</v>
      </c>
      <c r="F3880" s="100">
        <v>-941.75258938507795</v>
      </c>
      <c r="G3880" s="100">
        <v>497.66803223473488</v>
      </c>
      <c r="H3880" s="100">
        <v>597.18867539439202</v>
      </c>
      <c r="I3880" s="100">
        <v>-1017.2871398607128</v>
      </c>
      <c r="J3880" s="100">
        <v>-864.18302161666384</v>
      </c>
    </row>
    <row r="3881" spans="1:10" x14ac:dyDescent="0.25">
      <c r="A3881">
        <v>3864</v>
      </c>
      <c r="B3881" s="100">
        <v>89.715620682306991</v>
      </c>
      <c r="C3881" s="100">
        <v>98.546073630048767</v>
      </c>
      <c r="D3881" s="100">
        <v>91.624615497213497</v>
      </c>
      <c r="E3881" s="100">
        <v>92.495715995259957</v>
      </c>
      <c r="F3881" s="100">
        <v>-534.53164790354037</v>
      </c>
      <c r="G3881" s="100">
        <v>-504.27618512997441</v>
      </c>
      <c r="H3881" s="100">
        <v>2382.9292165462166</v>
      </c>
      <c r="I3881" s="100">
        <v>884.92365944127016</v>
      </c>
      <c r="J3881" s="100">
        <v>2229.0450429539719</v>
      </c>
    </row>
    <row r="3882" spans="1:10" x14ac:dyDescent="0.25">
      <c r="A3882">
        <v>3865</v>
      </c>
      <c r="B3882" s="100">
        <v>89.646481712623569</v>
      </c>
      <c r="C3882" s="100">
        <v>95.777437323620106</v>
      </c>
      <c r="D3882" s="100">
        <v>93.796059481086857</v>
      </c>
      <c r="E3882" s="100">
        <v>93.417579398148547</v>
      </c>
      <c r="F3882" s="100">
        <v>-306.37304794824729</v>
      </c>
      <c r="G3882" s="100">
        <v>3648.6782745130172</v>
      </c>
      <c r="H3882" s="100">
        <v>-1959.958751200503</v>
      </c>
      <c r="I3882" s="100">
        <v>-36.939743447319984</v>
      </c>
      <c r="J3882" s="100">
        <v>1345.4067319169467</v>
      </c>
    </row>
    <row r="3883" spans="1:10" x14ac:dyDescent="0.25">
      <c r="A3883">
        <v>3866</v>
      </c>
      <c r="B3883" s="100">
        <v>89.094887261945502</v>
      </c>
      <c r="C3883" s="100">
        <v>97.134255038444309</v>
      </c>
      <c r="D3883" s="100">
        <v>92.099709804671093</v>
      </c>
      <c r="E3883" s="100">
        <v>91.101847555254921</v>
      </c>
      <c r="F3883" s="100">
        <v>1513.8886392893737</v>
      </c>
      <c r="G3883" s="100">
        <v>1613.4517022767127</v>
      </c>
      <c r="H3883" s="100">
        <v>1432.7406016310249</v>
      </c>
      <c r="I3883" s="100">
        <v>2278.7920994463066</v>
      </c>
      <c r="J3883" s="100">
        <v>6838.8730426434176</v>
      </c>
    </row>
    <row r="3884" spans="1:10" x14ac:dyDescent="0.25">
      <c r="A3884">
        <v>3867</v>
      </c>
      <c r="B3884" s="100">
        <v>89.25261895557307</v>
      </c>
      <c r="C3884" s="100">
        <v>97.707413166015954</v>
      </c>
      <c r="D3884" s="100">
        <v>93.360653734150517</v>
      </c>
      <c r="E3884" s="100">
        <v>95.55067994641368</v>
      </c>
      <c r="F3884" s="100">
        <v>993.37405031839978</v>
      </c>
      <c r="G3884" s="100">
        <v>753.71451091924519</v>
      </c>
      <c r="H3884" s="100">
        <v>-1089.1472573278236</v>
      </c>
      <c r="I3884" s="100">
        <v>-2170.0402917124534</v>
      </c>
      <c r="J3884" s="100">
        <v>-1512.0989878026319</v>
      </c>
    </row>
    <row r="3885" spans="1:10" x14ac:dyDescent="0.25">
      <c r="A3885">
        <v>3868</v>
      </c>
      <c r="B3885" s="100">
        <v>88.36545906440918</v>
      </c>
      <c r="C3885" s="100">
        <v>97.522906099196732</v>
      </c>
      <c r="D3885" s="100">
        <v>91.720610029859969</v>
      </c>
      <c r="E3885" s="100">
        <v>92.252820387381021</v>
      </c>
      <c r="F3885" s="100">
        <v>3921.0016911592361</v>
      </c>
      <c r="G3885" s="100">
        <v>1030.4751111480782</v>
      </c>
      <c r="H3885" s="100">
        <v>2190.9401512532722</v>
      </c>
      <c r="I3885" s="100">
        <v>1127.8192673202057</v>
      </c>
      <c r="J3885" s="100">
        <v>8270.2362208807917</v>
      </c>
    </row>
    <row r="3886" spans="1:10" x14ac:dyDescent="0.25">
      <c r="A3886">
        <v>3869</v>
      </c>
      <c r="B3886" s="100">
        <v>89.534051806721607</v>
      </c>
      <c r="C3886" s="100">
        <v>97.623536643506384</v>
      </c>
      <c r="D3886" s="100">
        <v>90.941144366057159</v>
      </c>
      <c r="E3886" s="100">
        <v>92.825817305627794</v>
      </c>
      <c r="F3886" s="100">
        <v>64.645641528227316</v>
      </c>
      <c r="G3886" s="100">
        <v>879.52929468360003</v>
      </c>
      <c r="H3886" s="100">
        <v>3749.8714788588927</v>
      </c>
      <c r="I3886" s="100">
        <v>554.82234907343297</v>
      </c>
      <c r="J3886" s="100">
        <v>5248.8687641441529</v>
      </c>
    </row>
    <row r="3887" spans="1:10" x14ac:dyDescent="0.25">
      <c r="A3887">
        <v>3870</v>
      </c>
      <c r="B3887" s="100">
        <v>89.599471670242565</v>
      </c>
      <c r="C3887" s="100">
        <v>97.55449036167245</v>
      </c>
      <c r="D3887" s="100">
        <v>91.57169099497888</v>
      </c>
      <c r="E3887" s="100">
        <v>93.786731855730793</v>
      </c>
      <c r="F3887" s="100">
        <v>-151.2399080909347</v>
      </c>
      <c r="G3887" s="100">
        <v>983.09871743450117</v>
      </c>
      <c r="H3887" s="100">
        <v>2488.778221015451</v>
      </c>
      <c r="I3887" s="100">
        <v>-406.09220102956556</v>
      </c>
      <c r="J3887" s="100">
        <v>2914.5448293294521</v>
      </c>
    </row>
    <row r="3888" spans="1:10" x14ac:dyDescent="0.25">
      <c r="A3888">
        <v>3871</v>
      </c>
      <c r="B3888" s="100">
        <v>89.454552336090444</v>
      </c>
      <c r="C3888" s="100">
        <v>100.7288132689259</v>
      </c>
      <c r="D3888" s="100">
        <v>94.216241898857575</v>
      </c>
      <c r="E3888" s="100">
        <v>92.273692345348252</v>
      </c>
      <c r="F3888" s="100">
        <v>326.99389461106421</v>
      </c>
      <c r="G3888" s="100">
        <v>-3778.3856434456807</v>
      </c>
      <c r="H3888" s="100">
        <v>-2800.3235867419389</v>
      </c>
      <c r="I3888" s="100">
        <v>1106.947309352975</v>
      </c>
      <c r="J3888" s="100">
        <v>-5144.7680262235799</v>
      </c>
    </row>
    <row r="3889" spans="1:10" x14ac:dyDescent="0.25">
      <c r="A3889">
        <v>3872</v>
      </c>
      <c r="B3889" s="100">
        <v>89.443218668932971</v>
      </c>
      <c r="C3889" s="100">
        <v>98.702951607159619</v>
      </c>
      <c r="D3889" s="100">
        <v>93.595905357354212</v>
      </c>
      <c r="E3889" s="100">
        <v>93.299949411758007</v>
      </c>
      <c r="F3889" s="100">
        <v>364.39499623072464</v>
      </c>
      <c r="G3889" s="100">
        <v>-739.59315079625298</v>
      </c>
      <c r="H3889" s="100">
        <v>-1559.6505037352131</v>
      </c>
      <c r="I3889" s="100">
        <v>80.690242943219914</v>
      </c>
      <c r="J3889" s="100">
        <v>-1854.1584153575213</v>
      </c>
    </row>
    <row r="3890" spans="1:10" x14ac:dyDescent="0.25">
      <c r="A3890">
        <v>3873</v>
      </c>
      <c r="B3890" s="100">
        <v>89.271915648642263</v>
      </c>
      <c r="C3890" s="100">
        <v>99.767046949413881</v>
      </c>
      <c r="D3890" s="100">
        <v>93.106473335684356</v>
      </c>
      <c r="E3890" s="100">
        <v>94.899885100900562</v>
      </c>
      <c r="F3890" s="100">
        <v>929.69496319006021</v>
      </c>
      <c r="G3890" s="100">
        <v>-2335.7361641776465</v>
      </c>
      <c r="H3890" s="100">
        <v>-580.78646039550108</v>
      </c>
      <c r="I3890" s="100">
        <v>-1519.245446199335</v>
      </c>
      <c r="J3890" s="100">
        <v>-3506.0731075824224</v>
      </c>
    </row>
    <row r="3891" spans="1:10" x14ac:dyDescent="0.25">
      <c r="A3891">
        <v>3874</v>
      </c>
      <c r="B3891" s="100">
        <v>89.12317950449048</v>
      </c>
      <c r="C3891" s="100">
        <v>97.987888561456899</v>
      </c>
      <c r="D3891" s="100">
        <v>93.712929683460814</v>
      </c>
      <c r="E3891" s="100">
        <v>91.546420322891052</v>
      </c>
      <c r="F3891" s="100">
        <v>1420.5242388909455</v>
      </c>
      <c r="G3891" s="100">
        <v>333.00141775782777</v>
      </c>
      <c r="H3891" s="100">
        <v>-1793.699155948417</v>
      </c>
      <c r="I3891" s="100">
        <v>1834.2193318101749</v>
      </c>
      <c r="J3891" s="100">
        <v>1794.0458325105312</v>
      </c>
    </row>
    <row r="3892" spans="1:10" x14ac:dyDescent="0.25">
      <c r="A3892">
        <v>3875</v>
      </c>
      <c r="B3892" s="100">
        <v>89.665233831137144</v>
      </c>
      <c r="C3892" s="100">
        <v>98.108179698061733</v>
      </c>
      <c r="D3892" s="100">
        <v>92.767678986835875</v>
      </c>
      <c r="E3892" s="100">
        <v>91.574209505584804</v>
      </c>
      <c r="F3892" s="100">
        <v>-368.25503904304497</v>
      </c>
      <c r="G3892" s="100">
        <v>152.56471285057671</v>
      </c>
      <c r="H3892" s="100">
        <v>96.802237301460536</v>
      </c>
      <c r="I3892" s="100">
        <v>1806.4301491164229</v>
      </c>
      <c r="J3892" s="100">
        <v>1687.5420602254151</v>
      </c>
    </row>
    <row r="3893" spans="1:10" x14ac:dyDescent="0.25">
      <c r="A3893">
        <v>3876</v>
      </c>
      <c r="B3893" s="100">
        <v>89.241023846170805</v>
      </c>
      <c r="C3893" s="100">
        <v>98.322430877692256</v>
      </c>
      <c r="D3893" s="100">
        <v>93.241470997027591</v>
      </c>
      <c r="E3893" s="100">
        <v>94.105356985540567</v>
      </c>
      <c r="F3893" s="100">
        <v>1031.6379113458738</v>
      </c>
      <c r="G3893" s="100">
        <v>-168.81205659520759</v>
      </c>
      <c r="H3893" s="100">
        <v>-850.78178308197039</v>
      </c>
      <c r="I3893" s="100">
        <v>-724.71733083933998</v>
      </c>
      <c r="J3893" s="100">
        <v>-712.6732591706442</v>
      </c>
    </row>
    <row r="3894" spans="1:10" x14ac:dyDescent="0.25">
      <c r="A3894">
        <v>3877</v>
      </c>
      <c r="B3894" s="100">
        <v>90.494310450344784</v>
      </c>
      <c r="C3894" s="100">
        <v>98.211546953973524</v>
      </c>
      <c r="D3894" s="100">
        <v>91.65230900667045</v>
      </c>
      <c r="E3894" s="100">
        <v>94.275067825481614</v>
      </c>
      <c r="F3894" s="100">
        <v>-3104.2078824282585</v>
      </c>
      <c r="G3894" s="100">
        <v>-2.4861710171109053</v>
      </c>
      <c r="H3894" s="100">
        <v>2327.5421976323114</v>
      </c>
      <c r="I3894" s="100">
        <v>-894.42817078038672</v>
      </c>
      <c r="J3894" s="100">
        <v>-1673.5800265934445</v>
      </c>
    </row>
    <row r="3895" spans="1:10" x14ac:dyDescent="0.25">
      <c r="A3895">
        <v>3878</v>
      </c>
      <c r="B3895" s="100">
        <v>89.325969423236188</v>
      </c>
      <c r="C3895" s="100">
        <v>97.611172877290812</v>
      </c>
      <c r="D3895" s="100">
        <v>93.662472450395711</v>
      </c>
      <c r="E3895" s="100">
        <v>92.831222735535221</v>
      </c>
      <c r="F3895" s="100">
        <v>751.3175070301088</v>
      </c>
      <c r="G3895" s="100">
        <v>898.07494400695737</v>
      </c>
      <c r="H3895" s="100">
        <v>-1692.7846898182111</v>
      </c>
      <c r="I3895" s="100">
        <v>549.41691916600632</v>
      </c>
      <c r="J3895" s="100">
        <v>506.02468038486143</v>
      </c>
    </row>
    <row r="3896" spans="1:10" x14ac:dyDescent="0.25">
      <c r="A3896">
        <v>3879</v>
      </c>
      <c r="B3896" s="100">
        <v>88.533446085133122</v>
      </c>
      <c r="C3896" s="100">
        <v>96.868453698850772</v>
      </c>
      <c r="D3896" s="100">
        <v>94.015305629676121</v>
      </c>
      <c r="E3896" s="100">
        <v>93.69894494224377</v>
      </c>
      <c r="F3896" s="100">
        <v>3366.6445227702284</v>
      </c>
      <c r="G3896" s="100">
        <v>2012.1537116670183</v>
      </c>
      <c r="H3896" s="100">
        <v>-2398.45104837903</v>
      </c>
      <c r="I3896" s="100">
        <v>-318.30528754254317</v>
      </c>
      <c r="J3896" s="100">
        <v>2662.0418985156734</v>
      </c>
    </row>
    <row r="3897" spans="1:10" x14ac:dyDescent="0.25">
      <c r="A3897">
        <v>3880</v>
      </c>
      <c r="B3897" s="100">
        <v>89.168179214187333</v>
      </c>
      <c r="C3897" s="100">
        <v>97.140027027630055</v>
      </c>
      <c r="D3897" s="100">
        <v>93.749452556951994</v>
      </c>
      <c r="E3897" s="100">
        <v>96.516441385302556</v>
      </c>
      <c r="F3897" s="100">
        <v>1272.0251968913303</v>
      </c>
      <c r="G3897" s="100">
        <v>1604.7937184980938</v>
      </c>
      <c r="H3897" s="100">
        <v>-1866.7449029307761</v>
      </c>
      <c r="I3897" s="100">
        <v>-3135.8017306013294</v>
      </c>
      <c r="J3897" s="100">
        <v>-2125.7277181426816</v>
      </c>
    </row>
    <row r="3898" spans="1:10" x14ac:dyDescent="0.25">
      <c r="A3898">
        <v>3881</v>
      </c>
      <c r="B3898" s="100">
        <v>90.300084623763723</v>
      </c>
      <c r="C3898" s="100">
        <v>98.063263627870597</v>
      </c>
      <c r="D3898" s="100">
        <v>91.977844068109519</v>
      </c>
      <c r="E3898" s="100">
        <v>95.372119409550038</v>
      </c>
      <c r="F3898" s="100">
        <v>-2463.2626547107575</v>
      </c>
      <c r="G3898" s="100">
        <v>219.93881813727967</v>
      </c>
      <c r="H3898" s="100">
        <v>1676.472074754173</v>
      </c>
      <c r="I3898" s="100">
        <v>-1991.4797548488109</v>
      </c>
      <c r="J3898" s="100">
        <v>-2558.3315166681159</v>
      </c>
    </row>
    <row r="3899" spans="1:10" x14ac:dyDescent="0.25">
      <c r="A3899">
        <v>3882</v>
      </c>
      <c r="B3899" s="100">
        <v>89.144219633354851</v>
      </c>
      <c r="C3899" s="100">
        <v>98.049396412413145</v>
      </c>
      <c r="D3899" s="100">
        <v>93.251002694044189</v>
      </c>
      <c r="E3899" s="100">
        <v>92.028545020427956</v>
      </c>
      <c r="F3899" s="100">
        <v>1351.0918136385214</v>
      </c>
      <c r="G3899" s="100">
        <v>240.73964132345793</v>
      </c>
      <c r="H3899" s="100">
        <v>-869.84517711516673</v>
      </c>
      <c r="I3899" s="100">
        <v>1352.0946342732714</v>
      </c>
      <c r="J3899" s="100">
        <v>2074.0809121200841</v>
      </c>
    </row>
    <row r="3900" spans="1:10" x14ac:dyDescent="0.25">
      <c r="A3900">
        <v>3883</v>
      </c>
      <c r="B3900" s="100">
        <v>89.378419256832814</v>
      </c>
      <c r="C3900" s="100">
        <v>97.255410373095387</v>
      </c>
      <c r="D3900" s="100">
        <v>92.766378968100156</v>
      </c>
      <c r="E3900" s="100">
        <v>92.830041377965316</v>
      </c>
      <c r="F3900" s="100">
        <v>578.23305616124401</v>
      </c>
      <c r="G3900" s="100">
        <v>1431.7187003000954</v>
      </c>
      <c r="H3900" s="100">
        <v>99.402274772899091</v>
      </c>
      <c r="I3900" s="100">
        <v>550.59827673591144</v>
      </c>
      <c r="J3900" s="100">
        <v>2659.9523079701498</v>
      </c>
    </row>
    <row r="3901" spans="1:10" x14ac:dyDescent="0.25">
      <c r="A3901">
        <v>3884</v>
      </c>
      <c r="B3901" s="100">
        <v>89.337981807703486</v>
      </c>
      <c r="C3901" s="100">
        <v>98.217317163184717</v>
      </c>
      <c r="D3901" s="100">
        <v>92.905042134177918</v>
      </c>
      <c r="E3901" s="100">
        <v>92.416019495422759</v>
      </c>
      <c r="F3901" s="100">
        <v>711.67663828802711</v>
      </c>
      <c r="G3901" s="100">
        <v>-11.14148483389954</v>
      </c>
      <c r="H3901" s="100">
        <v>-177.92405738262573</v>
      </c>
      <c r="I3901" s="100">
        <v>964.62015927846778</v>
      </c>
      <c r="J3901" s="100">
        <v>1487.2312553499696</v>
      </c>
    </row>
    <row r="3902" spans="1:10" x14ac:dyDescent="0.25">
      <c r="A3902">
        <v>3885</v>
      </c>
      <c r="B3902" s="100">
        <v>90.065879302995143</v>
      </c>
      <c r="C3902" s="100">
        <v>96.723583141313739</v>
      </c>
      <c r="D3902" s="100">
        <v>92.920868137080234</v>
      </c>
      <c r="E3902" s="100">
        <v>90.641092964767452</v>
      </c>
      <c r="F3902" s="100">
        <v>-1690.3850961744411</v>
      </c>
      <c r="G3902" s="100">
        <v>2229.4595479725672</v>
      </c>
      <c r="H3902" s="100">
        <v>-209.57606318725652</v>
      </c>
      <c r="I3902" s="100">
        <v>2739.5466899337748</v>
      </c>
      <c r="J3902" s="100">
        <v>3069.0450785446446</v>
      </c>
    </row>
    <row r="3903" spans="1:10" x14ac:dyDescent="0.25">
      <c r="A3903">
        <v>3886</v>
      </c>
      <c r="B3903" s="100">
        <v>88.759517682445704</v>
      </c>
      <c r="C3903" s="100">
        <v>98.668050585970846</v>
      </c>
      <c r="D3903" s="100">
        <v>93.103799058031569</v>
      </c>
      <c r="E3903" s="100">
        <v>95.124822702108631</v>
      </c>
      <c r="F3903" s="100">
        <v>2620.6082516387055</v>
      </c>
      <c r="G3903" s="100">
        <v>-687.24161901309344</v>
      </c>
      <c r="H3903" s="100">
        <v>-575.43790508992743</v>
      </c>
      <c r="I3903" s="100">
        <v>-1744.1830474074038</v>
      </c>
      <c r="J3903" s="100">
        <v>-386.25431987171919</v>
      </c>
    </row>
    <row r="3904" spans="1:10" x14ac:dyDescent="0.25">
      <c r="A3904">
        <v>3887</v>
      </c>
      <c r="B3904" s="100">
        <v>88.682425614858388</v>
      </c>
      <c r="C3904" s="100">
        <v>98.547748472323491</v>
      </c>
      <c r="D3904" s="100">
        <v>93.474340401700402</v>
      </c>
      <c r="E3904" s="100">
        <v>92.22341721559556</v>
      </c>
      <c r="F3904" s="100">
        <v>2875.0120746768475</v>
      </c>
      <c r="G3904" s="100">
        <v>-506.78844854206062</v>
      </c>
      <c r="H3904" s="100">
        <v>-1316.5205924275938</v>
      </c>
      <c r="I3904" s="100">
        <v>1157.2224391056666</v>
      </c>
      <c r="J3904" s="100">
        <v>2208.9254728128599</v>
      </c>
    </row>
    <row r="3905" spans="1:10" x14ac:dyDescent="0.25">
      <c r="A3905">
        <v>3888</v>
      </c>
      <c r="B3905" s="100">
        <v>89.75416290979652</v>
      </c>
      <c r="C3905" s="100">
        <v>98.73244828677322</v>
      </c>
      <c r="D3905" s="100">
        <v>90.768641785031406</v>
      </c>
      <c r="E3905" s="100">
        <v>93.17747677348045</v>
      </c>
      <c r="F3905" s="100">
        <v>-661.7209986189863</v>
      </c>
      <c r="G3905" s="100">
        <v>-783.83817021665436</v>
      </c>
      <c r="H3905" s="100">
        <v>4094.8766409103996</v>
      </c>
      <c r="I3905" s="100">
        <v>203.16288122077708</v>
      </c>
      <c r="J3905" s="100">
        <v>2852.4803532955357</v>
      </c>
    </row>
    <row r="3906" spans="1:10" x14ac:dyDescent="0.25">
      <c r="A3906">
        <v>3889</v>
      </c>
      <c r="B3906" s="100">
        <v>90.319182387166038</v>
      </c>
      <c r="C3906" s="100">
        <v>98.867203907247415</v>
      </c>
      <c r="D3906" s="100">
        <v>91.995685147595779</v>
      </c>
      <c r="E3906" s="100">
        <v>94.959073640668677</v>
      </c>
      <c r="F3906" s="100">
        <v>-2526.2852739383943</v>
      </c>
      <c r="G3906" s="100">
        <v>-985.97160092794661</v>
      </c>
      <c r="H3906" s="100">
        <v>1640.789915781653</v>
      </c>
      <c r="I3906" s="100">
        <v>-1578.4339859674503</v>
      </c>
      <c r="J3906" s="100">
        <v>-3449.900945052138</v>
      </c>
    </row>
    <row r="3907" spans="1:10" x14ac:dyDescent="0.25">
      <c r="A3907">
        <v>3890</v>
      </c>
      <c r="B3907" s="100">
        <v>89.831224962830177</v>
      </c>
      <c r="C3907" s="100">
        <v>98.649915022963611</v>
      </c>
      <c r="D3907" s="100">
        <v>89.347444830786102</v>
      </c>
      <c r="E3907" s="100">
        <v>94.706567093133671</v>
      </c>
      <c r="F3907" s="100">
        <v>-916.02577363005503</v>
      </c>
      <c r="G3907" s="100">
        <v>-660.03827450224151</v>
      </c>
      <c r="H3907" s="100">
        <v>6937.2705494010061</v>
      </c>
      <c r="I3907" s="100">
        <v>-1325.9274384324442</v>
      </c>
      <c r="J3907" s="100">
        <v>4035.2790628362645</v>
      </c>
    </row>
    <row r="3908" spans="1:10" x14ac:dyDescent="0.25">
      <c r="A3908">
        <v>3891</v>
      </c>
      <c r="B3908" s="100">
        <v>88.945260852067449</v>
      </c>
      <c r="C3908" s="100">
        <v>98.744821852948903</v>
      </c>
      <c r="D3908" s="100">
        <v>92.748150510277256</v>
      </c>
      <c r="E3908" s="100">
        <v>90.740376500126104</v>
      </c>
      <c r="F3908" s="100">
        <v>2007.6557918869482</v>
      </c>
      <c r="G3908" s="100">
        <v>-802.39851948017815</v>
      </c>
      <c r="H3908" s="100">
        <v>135.85919041869943</v>
      </c>
      <c r="I3908" s="100">
        <v>2640.2631545751233</v>
      </c>
      <c r="J3908" s="100">
        <v>3981.3796174005929</v>
      </c>
    </row>
    <row r="3909" spans="1:10" x14ac:dyDescent="0.25">
      <c r="A3909">
        <v>3892</v>
      </c>
      <c r="B3909" s="100">
        <v>88.949552274448806</v>
      </c>
      <c r="C3909" s="100">
        <v>99.757595845995468</v>
      </c>
      <c r="D3909" s="100">
        <v>93.486797228732513</v>
      </c>
      <c r="E3909" s="100">
        <v>90.831282152536232</v>
      </c>
      <c r="F3909" s="100">
        <v>1993.4940980284707</v>
      </c>
      <c r="G3909" s="100">
        <v>-2321.559509050026</v>
      </c>
      <c r="H3909" s="100">
        <v>-1341.434246491815</v>
      </c>
      <c r="I3909" s="100">
        <v>2549.3575021649945</v>
      </c>
      <c r="J3909" s="100">
        <v>879.85784465162419</v>
      </c>
    </row>
    <row r="3910" spans="1:10" x14ac:dyDescent="0.25">
      <c r="A3910">
        <v>3893</v>
      </c>
      <c r="B3910" s="100">
        <v>88.845768530132915</v>
      </c>
      <c r="C3910" s="100">
        <v>96.848151340838712</v>
      </c>
      <c r="D3910" s="100">
        <v>92.497246580745639</v>
      </c>
      <c r="E3910" s="100">
        <v>95.580901365844795</v>
      </c>
      <c r="F3910" s="100">
        <v>2335.9804542709098</v>
      </c>
      <c r="G3910" s="100">
        <v>2042.6072486851083</v>
      </c>
      <c r="H3910" s="100">
        <v>637.66704948193365</v>
      </c>
      <c r="I3910" s="100">
        <v>-2200.2617111435684</v>
      </c>
      <c r="J3910" s="100">
        <v>2815.9930412943831</v>
      </c>
    </row>
    <row r="3911" spans="1:10" x14ac:dyDescent="0.25">
      <c r="A3911">
        <v>3894</v>
      </c>
      <c r="B3911" s="100">
        <v>89.304458773344933</v>
      </c>
      <c r="C3911" s="100">
        <v>96.495958456582059</v>
      </c>
      <c r="D3911" s="100">
        <v>91.291395917491172</v>
      </c>
      <c r="E3911" s="100">
        <v>92.728827433307771</v>
      </c>
      <c r="F3911" s="100">
        <v>822.30265167124935</v>
      </c>
      <c r="G3911" s="100">
        <v>2570.8965750700868</v>
      </c>
      <c r="H3911" s="100">
        <v>3049.3683759908663</v>
      </c>
      <c r="I3911" s="100">
        <v>651.81222139345607</v>
      </c>
      <c r="J3911" s="100">
        <v>7094.3798241256582</v>
      </c>
    </row>
    <row r="3912" spans="1:10" x14ac:dyDescent="0.25">
      <c r="A3912">
        <v>3895</v>
      </c>
      <c r="B3912" s="100">
        <v>88.872629797523103</v>
      </c>
      <c r="C3912" s="100">
        <v>99.046366102523621</v>
      </c>
      <c r="D3912" s="100">
        <v>93.150946083056098</v>
      </c>
      <c r="E3912" s="100">
        <v>93.876666036411009</v>
      </c>
      <c r="F3912" s="100">
        <v>2247.3382718832881</v>
      </c>
      <c r="G3912" s="100">
        <v>-1254.7148938422552</v>
      </c>
      <c r="H3912" s="100">
        <v>-669.73195513898531</v>
      </c>
      <c r="I3912" s="100">
        <v>-496.02638170978253</v>
      </c>
      <c r="J3912" s="100">
        <v>-173.13495880773485</v>
      </c>
    </row>
    <row r="3913" spans="1:10" x14ac:dyDescent="0.25">
      <c r="A3913">
        <v>3896</v>
      </c>
      <c r="B3913" s="100">
        <v>88.365931408191173</v>
      </c>
      <c r="C3913" s="100">
        <v>97.920150709302845</v>
      </c>
      <c r="D3913" s="100">
        <v>92.502490246898745</v>
      </c>
      <c r="E3913" s="100">
        <v>93.578129591458165</v>
      </c>
      <c r="F3913" s="100">
        <v>3919.442956678658</v>
      </c>
      <c r="G3913" s="100">
        <v>434.60819598890765</v>
      </c>
      <c r="H3913" s="100">
        <v>627.17971717572141</v>
      </c>
      <c r="I3913" s="100">
        <v>-197.48993675693782</v>
      </c>
      <c r="J3913" s="100">
        <v>4783.7409330863493</v>
      </c>
    </row>
    <row r="3914" spans="1:10" x14ac:dyDescent="0.25">
      <c r="A3914">
        <v>3897</v>
      </c>
      <c r="B3914" s="100">
        <v>90.172855045199427</v>
      </c>
      <c r="C3914" s="100">
        <v>98.215204733856694</v>
      </c>
      <c r="D3914" s="100">
        <v>92.637937425445188</v>
      </c>
      <c r="E3914" s="100">
        <v>90.259815710244865</v>
      </c>
      <c r="F3914" s="100">
        <v>-2043.4050454485784</v>
      </c>
      <c r="G3914" s="100">
        <v>-7.9728408418660024</v>
      </c>
      <c r="H3914" s="100">
        <v>356.28536008283618</v>
      </c>
      <c r="I3914" s="100">
        <v>3120.8239444563615</v>
      </c>
      <c r="J3914" s="100">
        <v>1425.731418248753</v>
      </c>
    </row>
    <row r="3915" spans="1:10" x14ac:dyDescent="0.25">
      <c r="A3915">
        <v>3898</v>
      </c>
      <c r="B3915" s="100">
        <v>88.987096840430951</v>
      </c>
      <c r="C3915" s="100">
        <v>97.886798998240053</v>
      </c>
      <c r="D3915" s="100">
        <v>92.751628511002338</v>
      </c>
      <c r="E3915" s="100">
        <v>92.813197384770959</v>
      </c>
      <c r="F3915" s="100">
        <v>1869.5970302873916</v>
      </c>
      <c r="G3915" s="100">
        <v>484.63576258309615</v>
      </c>
      <c r="H3915" s="100">
        <v>128.90318896853614</v>
      </c>
      <c r="I3915" s="100">
        <v>567.44226993026814</v>
      </c>
      <c r="J3915" s="100">
        <v>3050.5782517692919</v>
      </c>
    </row>
    <row r="3916" spans="1:10" x14ac:dyDescent="0.25">
      <c r="A3916">
        <v>3899</v>
      </c>
      <c r="B3916" s="100">
        <v>90.867094778056028</v>
      </c>
      <c r="C3916" s="100">
        <v>99.998559870564009</v>
      </c>
      <c r="D3916" s="100">
        <v>91.783213165404504</v>
      </c>
      <c r="E3916" s="100">
        <v>93.480153943603909</v>
      </c>
      <c r="F3916" s="100">
        <v>-4334.3961638753644</v>
      </c>
      <c r="G3916" s="100">
        <v>-2683.0055459028372</v>
      </c>
      <c r="H3916" s="100">
        <v>2065.7338801642027</v>
      </c>
      <c r="I3916" s="100">
        <v>-99.514288902682324</v>
      </c>
      <c r="J3916" s="100">
        <v>-5051.1821185166809</v>
      </c>
    </row>
    <row r="3917" spans="1:10" x14ac:dyDescent="0.25">
      <c r="A3917">
        <v>3900</v>
      </c>
      <c r="B3917" s="100">
        <v>90.568169156960465</v>
      </c>
      <c r="C3917" s="100">
        <v>98.228133917185517</v>
      </c>
      <c r="D3917" s="100">
        <v>93.666145981058023</v>
      </c>
      <c r="E3917" s="100">
        <v>91.955150648621427</v>
      </c>
      <c r="F3917" s="100">
        <v>-3347.9416142600057</v>
      </c>
      <c r="G3917" s="100">
        <v>-27.36661583509914</v>
      </c>
      <c r="H3917" s="100">
        <v>-1700.131751142834</v>
      </c>
      <c r="I3917" s="100">
        <v>1425.4890060798004</v>
      </c>
      <c r="J3917" s="100">
        <v>-3649.9509751581381</v>
      </c>
    </row>
    <row r="3918" spans="1:10" x14ac:dyDescent="0.25">
      <c r="A3918">
        <v>3901</v>
      </c>
      <c r="B3918" s="100">
        <v>89.402564614043001</v>
      </c>
      <c r="C3918" s="100">
        <v>97.37811921856435</v>
      </c>
      <c r="D3918" s="100">
        <v>92.261715114897186</v>
      </c>
      <c r="E3918" s="100">
        <v>92.922212766685448</v>
      </c>
      <c r="F3918" s="100">
        <v>498.55337736762522</v>
      </c>
      <c r="G3918" s="100">
        <v>1247.65543209665</v>
      </c>
      <c r="H3918" s="100">
        <v>1108.7299811788398</v>
      </c>
      <c r="I3918" s="100">
        <v>458.42688801577935</v>
      </c>
      <c r="J3918" s="100">
        <v>3313.365678658894</v>
      </c>
    </row>
    <row r="3919" spans="1:10" x14ac:dyDescent="0.25">
      <c r="A3919">
        <v>3902</v>
      </c>
      <c r="B3919" s="100">
        <v>90.694999623541264</v>
      </c>
      <c r="C3919" s="100">
        <v>99.734434041151644</v>
      </c>
      <c r="D3919" s="100">
        <v>94.331961967520371</v>
      </c>
      <c r="E3919" s="100">
        <v>91.827207407874781</v>
      </c>
      <c r="F3919" s="100">
        <v>-3766.4821539766422</v>
      </c>
      <c r="G3919" s="100">
        <v>-2286.8168017842904</v>
      </c>
      <c r="H3919" s="100">
        <v>-3031.7637240675313</v>
      </c>
      <c r="I3919" s="100">
        <v>1553.4322468264463</v>
      </c>
      <c r="J3919" s="100">
        <v>-7531.6304330020184</v>
      </c>
    </row>
    <row r="3920" spans="1:10" x14ac:dyDescent="0.25">
      <c r="A3920">
        <v>3903</v>
      </c>
      <c r="B3920" s="100">
        <v>89.315549745976384</v>
      </c>
      <c r="C3920" s="100">
        <v>99.825667252546253</v>
      </c>
      <c r="D3920" s="100">
        <v>92.409903303447351</v>
      </c>
      <c r="E3920" s="100">
        <v>93.65983922211781</v>
      </c>
      <c r="F3920" s="100">
        <v>785.70244198746332</v>
      </c>
      <c r="G3920" s="100">
        <v>-2423.6666188762042</v>
      </c>
      <c r="H3920" s="100">
        <v>812.35360407850976</v>
      </c>
      <c r="I3920" s="100">
        <v>-279.19956741658325</v>
      </c>
      <c r="J3920" s="100">
        <v>-1104.8101402268144</v>
      </c>
    </row>
    <row r="3921" spans="1:10" x14ac:dyDescent="0.25">
      <c r="A3921">
        <v>3904</v>
      </c>
      <c r="B3921" s="100">
        <v>89.035931566164592</v>
      </c>
      <c r="C3921" s="100">
        <v>97.694737639357839</v>
      </c>
      <c r="D3921" s="100">
        <v>94.630983748127946</v>
      </c>
      <c r="E3921" s="100">
        <v>94.665784333815296</v>
      </c>
      <c r="F3921" s="100">
        <v>1708.4424353663749</v>
      </c>
      <c r="G3921" s="100">
        <v>772.72780090641641</v>
      </c>
      <c r="H3921" s="100">
        <v>-3629.8072852826808</v>
      </c>
      <c r="I3921" s="100">
        <v>-1285.1446791140688</v>
      </c>
      <c r="J3921" s="100">
        <v>-2433.7817281239586</v>
      </c>
    </row>
    <row r="3922" spans="1:10" x14ac:dyDescent="0.25">
      <c r="A3922">
        <v>3905</v>
      </c>
      <c r="B3922" s="100">
        <v>90.554147187440108</v>
      </c>
      <c r="C3922" s="100">
        <v>97.51922879545927</v>
      </c>
      <c r="D3922" s="100">
        <v>93.007672132661696</v>
      </c>
      <c r="E3922" s="100">
        <v>92.413288273112443</v>
      </c>
      <c r="F3922" s="100">
        <v>-3301.6691148428281</v>
      </c>
      <c r="G3922" s="100">
        <v>1035.9910667542706</v>
      </c>
      <c r="H3922" s="100">
        <v>-383.18405435018121</v>
      </c>
      <c r="I3922" s="100">
        <v>967.35138158878442</v>
      </c>
      <c r="J3922" s="100">
        <v>-1681.5107208499539</v>
      </c>
    </row>
    <row r="3923" spans="1:10" x14ac:dyDescent="0.25">
      <c r="A3923">
        <v>3906</v>
      </c>
      <c r="B3923" s="100">
        <v>89.833940656823643</v>
      </c>
      <c r="C3923" s="100">
        <v>99.13425896701429</v>
      </c>
      <c r="D3923" s="100">
        <v>94.316396015089936</v>
      </c>
      <c r="E3923" s="100">
        <v>93.149273136702519</v>
      </c>
      <c r="F3923" s="100">
        <v>-924.98756380849159</v>
      </c>
      <c r="G3923" s="100">
        <v>-1386.5541905782593</v>
      </c>
      <c r="H3923" s="100">
        <v>-3000.6318192066601</v>
      </c>
      <c r="I3923" s="100">
        <v>231.36651799870833</v>
      </c>
      <c r="J3923" s="100">
        <v>-5080.8070555947024</v>
      </c>
    </row>
    <row r="3924" spans="1:10" x14ac:dyDescent="0.25">
      <c r="A3924">
        <v>3907</v>
      </c>
      <c r="B3924" s="100">
        <v>89.873632105644788</v>
      </c>
      <c r="C3924" s="100">
        <v>97.604230673093014</v>
      </c>
      <c r="D3924" s="100">
        <v>91.838844080417104</v>
      </c>
      <c r="E3924" s="100">
        <v>92.893147132687986</v>
      </c>
      <c r="F3924" s="100">
        <v>-1055.9693449182703</v>
      </c>
      <c r="G3924" s="100">
        <v>908.48825030365538</v>
      </c>
      <c r="H3924" s="100">
        <v>1954.4720501390032</v>
      </c>
      <c r="I3924" s="100">
        <v>487.49252201324111</v>
      </c>
      <c r="J3924" s="100">
        <v>2294.4834775376294</v>
      </c>
    </row>
    <row r="3925" spans="1:10" x14ac:dyDescent="0.25">
      <c r="A3925">
        <v>3908</v>
      </c>
      <c r="B3925" s="100">
        <v>89.283808479425559</v>
      </c>
      <c r="C3925" s="100">
        <v>98.503213129802504</v>
      </c>
      <c r="D3925" s="100">
        <v>93.553558987833853</v>
      </c>
      <c r="E3925" s="100">
        <v>93.362359903348946</v>
      </c>
      <c r="F3925" s="100">
        <v>890.44862160518369</v>
      </c>
      <c r="G3925" s="100">
        <v>-439.98543476057961</v>
      </c>
      <c r="H3925" s="100">
        <v>-1474.9577646944942</v>
      </c>
      <c r="I3925" s="100">
        <v>18.279751352281437</v>
      </c>
      <c r="J3925" s="100">
        <v>-1006.2148264976088</v>
      </c>
    </row>
    <row r="3926" spans="1:10" x14ac:dyDescent="0.25">
      <c r="A3926">
        <v>3909</v>
      </c>
      <c r="B3926" s="100">
        <v>89.600293876833163</v>
      </c>
      <c r="C3926" s="100">
        <v>99.150644125618214</v>
      </c>
      <c r="D3926" s="100">
        <v>91.680655808596228</v>
      </c>
      <c r="E3926" s="100">
        <v>90.87558356788243</v>
      </c>
      <c r="F3926" s="100">
        <v>-153.95318983990904</v>
      </c>
      <c r="G3926" s="100">
        <v>-1411.1319284841456</v>
      </c>
      <c r="H3926" s="100">
        <v>2270.8485937807554</v>
      </c>
      <c r="I3926" s="100">
        <v>2505.0560868187972</v>
      </c>
      <c r="J3926" s="100">
        <v>3210.8195622754979</v>
      </c>
    </row>
    <row r="3927" spans="1:10" x14ac:dyDescent="0.25">
      <c r="A3927">
        <v>3910</v>
      </c>
      <c r="B3927" s="100">
        <v>90.160784230556416</v>
      </c>
      <c r="C3927" s="100">
        <v>98.716917144291557</v>
      </c>
      <c r="D3927" s="100">
        <v>94.303015165820511</v>
      </c>
      <c r="E3927" s="100">
        <v>95.435252171374316</v>
      </c>
      <c r="F3927" s="100">
        <v>-2003.5713571266442</v>
      </c>
      <c r="G3927" s="100">
        <v>-760.54145649415977</v>
      </c>
      <c r="H3927" s="100">
        <v>-2973.8701206678115</v>
      </c>
      <c r="I3927" s="100">
        <v>-2054.612516673089</v>
      </c>
      <c r="J3927" s="100">
        <v>-7792.595450961704</v>
      </c>
    </row>
    <row r="3928" spans="1:10" x14ac:dyDescent="0.25">
      <c r="A3928">
        <v>3911</v>
      </c>
      <c r="B3928" s="100">
        <v>89.464308955124807</v>
      </c>
      <c r="C3928" s="100">
        <v>97.384876970235098</v>
      </c>
      <c r="D3928" s="100">
        <v>91.65708323159491</v>
      </c>
      <c r="E3928" s="100">
        <v>91.305677556522511</v>
      </c>
      <c r="F3928" s="100">
        <v>294.79705179766711</v>
      </c>
      <c r="G3928" s="100">
        <v>1237.518804590529</v>
      </c>
      <c r="H3928" s="100">
        <v>2317.9937477833901</v>
      </c>
      <c r="I3928" s="100">
        <v>2074.9620981787161</v>
      </c>
      <c r="J3928" s="100">
        <v>5925.2717023503028</v>
      </c>
    </row>
    <row r="3929" spans="1:10" x14ac:dyDescent="0.25">
      <c r="A3929">
        <v>3912</v>
      </c>
      <c r="B3929" s="100">
        <v>88.954067444951193</v>
      </c>
      <c r="C3929" s="100">
        <v>99.517252899515725</v>
      </c>
      <c r="D3929" s="100">
        <v>91.729254742420494</v>
      </c>
      <c r="E3929" s="100">
        <v>92.484398992661099</v>
      </c>
      <c r="F3929" s="100">
        <v>1978.5940353705939</v>
      </c>
      <c r="G3929" s="100">
        <v>-1961.0450893304119</v>
      </c>
      <c r="H3929" s="100">
        <v>2173.6507261322231</v>
      </c>
      <c r="I3929" s="100">
        <v>896.2406620401282</v>
      </c>
      <c r="J3929" s="100">
        <v>3087.4403342125333</v>
      </c>
    </row>
    <row r="3930" spans="1:10" x14ac:dyDescent="0.25">
      <c r="A3930">
        <v>3913</v>
      </c>
      <c r="B3930" s="100">
        <v>89.155206922534063</v>
      </c>
      <c r="C3930" s="100">
        <v>96.485619401425538</v>
      </c>
      <c r="D3930" s="100">
        <v>92.20172701309626</v>
      </c>
      <c r="E3930" s="100">
        <v>91.910674435194736</v>
      </c>
      <c r="F3930" s="100">
        <v>1314.833759347121</v>
      </c>
      <c r="G3930" s="100">
        <v>2586.4051578048688</v>
      </c>
      <c r="H3930" s="100">
        <v>1228.706184780691</v>
      </c>
      <c r="I3930" s="100">
        <v>1469.9652195064914</v>
      </c>
      <c r="J3930" s="100">
        <v>6599.9103214391725</v>
      </c>
    </row>
    <row r="3931" spans="1:10" x14ac:dyDescent="0.25">
      <c r="A3931">
        <v>3914</v>
      </c>
      <c r="B3931" s="100">
        <v>89.521658224112954</v>
      </c>
      <c r="C3931" s="100">
        <v>99.173393533375929</v>
      </c>
      <c r="D3931" s="100">
        <v>93.353253693934903</v>
      </c>
      <c r="E3931" s="100">
        <v>95.588472714529502</v>
      </c>
      <c r="F3931" s="100">
        <v>105.54446413677994</v>
      </c>
      <c r="G3931" s="100">
        <v>-1445.2560401207179</v>
      </c>
      <c r="H3931" s="100">
        <v>-1074.3471768965946</v>
      </c>
      <c r="I3931" s="100">
        <v>-2207.8330598282746</v>
      </c>
      <c r="J3931" s="100">
        <v>-4621.8918127088073</v>
      </c>
    </row>
    <row r="3932" spans="1:10" x14ac:dyDescent="0.25">
      <c r="A3932">
        <v>3915</v>
      </c>
      <c r="B3932" s="100">
        <v>89.536146731031664</v>
      </c>
      <c r="C3932" s="100">
        <v>97.837470771176442</v>
      </c>
      <c r="D3932" s="100">
        <v>93.802504028942323</v>
      </c>
      <c r="E3932" s="100">
        <v>93.1101717960874</v>
      </c>
      <c r="F3932" s="100">
        <v>57.732391305037822</v>
      </c>
      <c r="G3932" s="100">
        <v>558.62810317851336</v>
      </c>
      <c r="H3932" s="100">
        <v>-1972.847846911435</v>
      </c>
      <c r="I3932" s="100">
        <v>270.46785861382716</v>
      </c>
      <c r="J3932" s="100">
        <v>-1086.0194938140567</v>
      </c>
    </row>
    <row r="3933" spans="1:10" x14ac:dyDescent="0.25">
      <c r="A3933">
        <v>3916</v>
      </c>
      <c r="B3933" s="100">
        <v>89.398103605304144</v>
      </c>
      <c r="C3933" s="100">
        <v>98.38871708263747</v>
      </c>
      <c r="D3933" s="100">
        <v>92.460887455046134</v>
      </c>
      <c r="E3933" s="100">
        <v>92.318438351299378</v>
      </c>
      <c r="F3933" s="100">
        <v>513.27470620585564</v>
      </c>
      <c r="G3933" s="100">
        <v>-268.24136401302923</v>
      </c>
      <c r="H3933" s="100">
        <v>710.38530088094376</v>
      </c>
      <c r="I3933" s="100">
        <v>1062.2013034018494</v>
      </c>
      <c r="J3933" s="100">
        <v>2017.6199464756196</v>
      </c>
    </row>
    <row r="3934" spans="1:10" x14ac:dyDescent="0.25">
      <c r="A3934">
        <v>3917</v>
      </c>
      <c r="B3934" s="100">
        <v>89.493479857936421</v>
      </c>
      <c r="C3934" s="100">
        <v>97.409513437955979</v>
      </c>
      <c r="D3934" s="100">
        <v>93.445964009742966</v>
      </c>
      <c r="E3934" s="100">
        <v>93.783876837487767</v>
      </c>
      <c r="F3934" s="100">
        <v>198.53307251933927</v>
      </c>
      <c r="G3934" s="100">
        <v>1200.5641030092065</v>
      </c>
      <c r="H3934" s="100">
        <v>-1259.76780851272</v>
      </c>
      <c r="I3934" s="100">
        <v>-403.23718278654042</v>
      </c>
      <c r="J3934" s="100">
        <v>-263.90781577071448</v>
      </c>
    </row>
    <row r="3935" spans="1:10" x14ac:dyDescent="0.25">
      <c r="A3935">
        <v>3918</v>
      </c>
      <c r="B3935" s="100">
        <v>89.884541004350538</v>
      </c>
      <c r="C3935" s="100">
        <v>97.938121594539595</v>
      </c>
      <c r="D3935" s="100">
        <v>91.838332459501217</v>
      </c>
      <c r="E3935" s="100">
        <v>92.479170107108772</v>
      </c>
      <c r="F3935" s="100">
        <v>-1091.9687106472466</v>
      </c>
      <c r="G3935" s="100">
        <v>407.65186813378307</v>
      </c>
      <c r="H3935" s="100">
        <v>1955.4952919707773</v>
      </c>
      <c r="I3935" s="100">
        <v>901.46954759245546</v>
      </c>
      <c r="J3935" s="100">
        <v>2172.6479970497694</v>
      </c>
    </row>
    <row r="3936" spans="1:10" x14ac:dyDescent="0.25">
      <c r="A3936">
        <v>3919</v>
      </c>
      <c r="B3936" s="100">
        <v>89.58890074216697</v>
      </c>
      <c r="C3936" s="100">
        <v>99.526488980603531</v>
      </c>
      <c r="D3936" s="100">
        <v>92.693906021692541</v>
      </c>
      <c r="E3936" s="100">
        <v>89.538951357363644</v>
      </c>
      <c r="F3936" s="100">
        <v>-116.35584544147264</v>
      </c>
      <c r="G3936" s="100">
        <v>-1974.8992109621213</v>
      </c>
      <c r="H3936" s="100">
        <v>244.34816758812872</v>
      </c>
      <c r="I3936" s="100">
        <v>3841.6882973375832</v>
      </c>
      <c r="J3936" s="100">
        <v>1994.7814085221182</v>
      </c>
    </row>
    <row r="3937" spans="1:10" x14ac:dyDescent="0.25">
      <c r="A3937">
        <v>3920</v>
      </c>
      <c r="B3937" s="100">
        <v>89.750822535524648</v>
      </c>
      <c r="C3937" s="100">
        <v>98.043469536641183</v>
      </c>
      <c r="D3937" s="100">
        <v>92.171503373764793</v>
      </c>
      <c r="E3937" s="100">
        <v>96.455869116478041</v>
      </c>
      <c r="F3937" s="100">
        <v>-650.69776352180929</v>
      </c>
      <c r="G3937" s="100">
        <v>249.62995498140117</v>
      </c>
      <c r="H3937" s="100">
        <v>1289.1534634436255</v>
      </c>
      <c r="I3937" s="100">
        <v>-3075.2294617768143</v>
      </c>
      <c r="J3937" s="100">
        <v>-2187.143806873597</v>
      </c>
    </row>
    <row r="3938" spans="1:10" x14ac:dyDescent="0.25">
      <c r="A3938">
        <v>3921</v>
      </c>
      <c r="B3938" s="100">
        <v>90.208554394826919</v>
      </c>
      <c r="C3938" s="100">
        <v>98.523005183076606</v>
      </c>
      <c r="D3938" s="100">
        <v>90.811181075470543</v>
      </c>
      <c r="E3938" s="100">
        <v>89.713062967342992</v>
      </c>
      <c r="F3938" s="100">
        <v>-2161.2128992193034</v>
      </c>
      <c r="G3938" s="100">
        <v>-469.67351467173302</v>
      </c>
      <c r="H3938" s="100">
        <v>4009.7980600321252</v>
      </c>
      <c r="I3938" s="100">
        <v>3667.5766873582347</v>
      </c>
      <c r="J3938" s="100">
        <v>5046.4883334993237</v>
      </c>
    </row>
    <row r="3939" spans="1:10" x14ac:dyDescent="0.25">
      <c r="A3939">
        <v>3922</v>
      </c>
      <c r="B3939" s="100">
        <v>89.997240461164026</v>
      </c>
      <c r="C3939" s="100">
        <v>97.697964260655894</v>
      </c>
      <c r="D3939" s="100">
        <v>93.217358283462119</v>
      </c>
      <c r="E3939" s="100">
        <v>93.755148260749593</v>
      </c>
      <c r="F3939" s="100">
        <v>-1463.8769181317557</v>
      </c>
      <c r="G3939" s="100">
        <v>767.8878689593347</v>
      </c>
      <c r="H3939" s="100">
        <v>-802.55635595102603</v>
      </c>
      <c r="I3939" s="100">
        <v>-374.50860604836578</v>
      </c>
      <c r="J3939" s="100">
        <v>-1873.0540111718128</v>
      </c>
    </row>
    <row r="3940" spans="1:10" x14ac:dyDescent="0.25">
      <c r="A3940">
        <v>3923</v>
      </c>
      <c r="B3940" s="100">
        <v>89.740234529591774</v>
      </c>
      <c r="C3940" s="100">
        <v>99.165961861006323</v>
      </c>
      <c r="D3940" s="100">
        <v>93.101947627558715</v>
      </c>
      <c r="E3940" s="100">
        <v>94.280473479575917</v>
      </c>
      <c r="F3940" s="100">
        <v>-615.75734394332494</v>
      </c>
      <c r="G3940" s="100">
        <v>-1434.1085315663095</v>
      </c>
      <c r="H3940" s="100">
        <v>-571.73504414421927</v>
      </c>
      <c r="I3940" s="100">
        <v>-899.83382487469044</v>
      </c>
      <c r="J3940" s="100">
        <v>-3521.4347445285439</v>
      </c>
    </row>
    <row r="3941" spans="1:10" x14ac:dyDescent="0.25">
      <c r="A3941">
        <v>3924</v>
      </c>
      <c r="B3941" s="100">
        <v>89.282736297386975</v>
      </c>
      <c r="C3941" s="100">
        <v>97.593179550458046</v>
      </c>
      <c r="D3941" s="100">
        <v>93.292824121853499</v>
      </c>
      <c r="E3941" s="100">
        <v>96.81136834611678</v>
      </c>
      <c r="F3941" s="100">
        <v>893.98682233251066</v>
      </c>
      <c r="G3941" s="100">
        <v>925.0649342561062</v>
      </c>
      <c r="H3941" s="100">
        <v>-953.48803273378735</v>
      </c>
      <c r="I3941" s="100">
        <v>-3430.7286914155525</v>
      </c>
      <c r="J3941" s="100">
        <v>-2565.1649675607232</v>
      </c>
    </row>
    <row r="3942" spans="1:10" x14ac:dyDescent="0.25">
      <c r="A3942">
        <v>3925</v>
      </c>
      <c r="B3942" s="100">
        <v>89.478509012406079</v>
      </c>
      <c r="C3942" s="100">
        <v>99.337258270387295</v>
      </c>
      <c r="D3942" s="100">
        <v>93.468621634553188</v>
      </c>
      <c r="E3942" s="100">
        <v>92.465134374125</v>
      </c>
      <c r="F3942" s="100">
        <v>247.93686276946971</v>
      </c>
      <c r="G3942" s="100">
        <v>-1691.0531456377669</v>
      </c>
      <c r="H3942" s="100">
        <v>-1305.0830581331638</v>
      </c>
      <c r="I3942" s="100">
        <v>915.50528057622671</v>
      </c>
      <c r="J3942" s="100">
        <v>-1832.6940604252345</v>
      </c>
    </row>
    <row r="3943" spans="1:10" x14ac:dyDescent="0.25">
      <c r="A3943">
        <v>3926</v>
      </c>
      <c r="B3943" s="100">
        <v>89.799457369847502</v>
      </c>
      <c r="C3943" s="100">
        <v>97.997628258250387</v>
      </c>
      <c r="D3943" s="100">
        <v>91.698871872049338</v>
      </c>
      <c r="E3943" s="100">
        <v>94.226919729163242</v>
      </c>
      <c r="F3943" s="100">
        <v>-811.19271678722816</v>
      </c>
      <c r="G3943" s="100">
        <v>318.39187256759516</v>
      </c>
      <c r="H3943" s="100">
        <v>2234.4164668745352</v>
      </c>
      <c r="I3943" s="100">
        <v>-846.28007446201536</v>
      </c>
      <c r="J3943" s="100">
        <v>895.33554819288679</v>
      </c>
    </row>
    <row r="3944" spans="1:10" x14ac:dyDescent="0.25">
      <c r="A3944">
        <v>3927</v>
      </c>
      <c r="B3944" s="100">
        <v>89.405159786525545</v>
      </c>
      <c r="C3944" s="100">
        <v>99.584875398657459</v>
      </c>
      <c r="D3944" s="100">
        <v>94.838559987327599</v>
      </c>
      <c r="E3944" s="100">
        <v>93.574143431005865</v>
      </c>
      <c r="F3944" s="100">
        <v>489.98930817523245</v>
      </c>
      <c r="G3944" s="100">
        <v>-2062.4788380430132</v>
      </c>
      <c r="H3944" s="100">
        <v>-4044.9597636819872</v>
      </c>
      <c r="I3944" s="100">
        <v>-193.50377630463811</v>
      </c>
      <c r="J3944" s="100">
        <v>-5810.9530698544058</v>
      </c>
    </row>
    <row r="3945" spans="1:10" x14ac:dyDescent="0.25">
      <c r="A3945">
        <v>3928</v>
      </c>
      <c r="B3945" s="100">
        <v>90.017861852339408</v>
      </c>
      <c r="C3945" s="100">
        <v>97.864116259569926</v>
      </c>
      <c r="D3945" s="100">
        <v>94.802210253034204</v>
      </c>
      <c r="E3945" s="100">
        <v>93.822537281161686</v>
      </c>
      <c r="F3945" s="100">
        <v>-1531.9275090105166</v>
      </c>
      <c r="G3945" s="100">
        <v>518.65987058828728</v>
      </c>
      <c r="H3945" s="100">
        <v>-3972.2602950951969</v>
      </c>
      <c r="I3945" s="100">
        <v>-441.89762646045949</v>
      </c>
      <c r="J3945" s="100">
        <v>-5427.4255599778862</v>
      </c>
    </row>
    <row r="3946" spans="1:10" x14ac:dyDescent="0.25">
      <c r="A3946">
        <v>3929</v>
      </c>
      <c r="B3946" s="100">
        <v>89.664188290764599</v>
      </c>
      <c r="C3946" s="100">
        <v>97.933013916696581</v>
      </c>
      <c r="D3946" s="100">
        <v>92.652830905061833</v>
      </c>
      <c r="E3946" s="100">
        <v>92.327764715754824</v>
      </c>
      <c r="F3946" s="100">
        <v>-364.80475581364828</v>
      </c>
      <c r="G3946" s="100">
        <v>415.31338489830461</v>
      </c>
      <c r="H3946" s="100">
        <v>326.49840084954462</v>
      </c>
      <c r="I3946" s="100">
        <v>1052.8749389464024</v>
      </c>
      <c r="J3946" s="100">
        <v>1429.8819688806034</v>
      </c>
    </row>
    <row r="3947" spans="1:10" x14ac:dyDescent="0.25">
      <c r="A3947">
        <v>3930</v>
      </c>
      <c r="B3947" s="100">
        <v>89.492880158850113</v>
      </c>
      <c r="C3947" s="100">
        <v>98.673927971693942</v>
      </c>
      <c r="D3947" s="100">
        <v>94.03309995770158</v>
      </c>
      <c r="E3947" s="100">
        <v>95.518138650605778</v>
      </c>
      <c r="F3947" s="100">
        <v>200.5120795041563</v>
      </c>
      <c r="G3947" s="100">
        <v>-696.0576975977375</v>
      </c>
      <c r="H3947" s="100">
        <v>-2434.0397044299493</v>
      </c>
      <c r="I3947" s="100">
        <v>-2137.4989959045506</v>
      </c>
      <c r="J3947" s="100">
        <v>-5067.0843184280811</v>
      </c>
    </row>
    <row r="3948" spans="1:10" x14ac:dyDescent="0.25">
      <c r="A3948">
        <v>3931</v>
      </c>
      <c r="B3948" s="100">
        <v>89.015578191228627</v>
      </c>
      <c r="C3948" s="100">
        <v>98.157307367307851</v>
      </c>
      <c r="D3948" s="100">
        <v>93.869286547193752</v>
      </c>
      <c r="E3948" s="100">
        <v>93.042449732799042</v>
      </c>
      <c r="F3948" s="100">
        <v>1775.6085726550596</v>
      </c>
      <c r="G3948" s="100">
        <v>78.873208981399046</v>
      </c>
      <c r="H3948" s="100">
        <v>-2106.4128834142934</v>
      </c>
      <c r="I3948" s="100">
        <v>338.18992190218466</v>
      </c>
      <c r="J3948" s="100">
        <v>86.258820124349882</v>
      </c>
    </row>
    <row r="3949" spans="1:10" x14ac:dyDescent="0.25">
      <c r="A3949">
        <v>3932</v>
      </c>
      <c r="B3949" s="100">
        <v>89.977615024551127</v>
      </c>
      <c r="C3949" s="100">
        <v>98.904877425932838</v>
      </c>
      <c r="D3949" s="100">
        <v>93.717335989759917</v>
      </c>
      <c r="E3949" s="100">
        <v>96.083426301553075</v>
      </c>
      <c r="F3949" s="100">
        <v>-1399.1129773091914</v>
      </c>
      <c r="G3949" s="100">
        <v>-1042.4818789560818</v>
      </c>
      <c r="H3949" s="100">
        <v>-1802.5117685466228</v>
      </c>
      <c r="I3949" s="100">
        <v>-2702.7866468518482</v>
      </c>
      <c r="J3949" s="100">
        <v>-6946.8932716637446</v>
      </c>
    </row>
    <row r="3950" spans="1:10" x14ac:dyDescent="0.25">
      <c r="A3950">
        <v>3933</v>
      </c>
      <c r="B3950" s="100">
        <v>89.626238731812748</v>
      </c>
      <c r="C3950" s="100">
        <v>97.30450419993474</v>
      </c>
      <c r="D3950" s="100">
        <v>94.461367727891925</v>
      </c>
      <c r="E3950" s="100">
        <v>91.636035636661347</v>
      </c>
      <c r="F3950" s="100">
        <v>-239.57121127253913</v>
      </c>
      <c r="G3950" s="100">
        <v>1358.0779600410651</v>
      </c>
      <c r="H3950" s="100">
        <v>-3290.5752448106396</v>
      </c>
      <c r="I3950" s="100">
        <v>1744.6040180398795</v>
      </c>
      <c r="J3950" s="100">
        <v>-427.46447800223405</v>
      </c>
    </row>
    <row r="3951" spans="1:10" x14ac:dyDescent="0.25">
      <c r="A3951">
        <v>3934</v>
      </c>
      <c r="B3951" s="100">
        <v>89.154633103013893</v>
      </c>
      <c r="C3951" s="100">
        <v>96.902494131446531</v>
      </c>
      <c r="D3951" s="100">
        <v>92.466971223181915</v>
      </c>
      <c r="E3951" s="100">
        <v>92.966009003896431</v>
      </c>
      <c r="F3951" s="100">
        <v>1316.7273637636824</v>
      </c>
      <c r="G3951" s="100">
        <v>1961.0930627733794</v>
      </c>
      <c r="H3951" s="100">
        <v>698.21776460938167</v>
      </c>
      <c r="I3951" s="100">
        <v>414.63065080479566</v>
      </c>
      <c r="J3951" s="100">
        <v>4390.6688419512393</v>
      </c>
    </row>
    <row r="3952" spans="1:10" x14ac:dyDescent="0.25">
      <c r="A3952">
        <v>3935</v>
      </c>
      <c r="B3952" s="100">
        <v>89.458784307106328</v>
      </c>
      <c r="C3952" s="100">
        <v>98.95817124408876</v>
      </c>
      <c r="D3952" s="100">
        <v>91.643659646330974</v>
      </c>
      <c r="E3952" s="100">
        <v>95.11129654342524</v>
      </c>
      <c r="F3952" s="100">
        <v>313.02839025864841</v>
      </c>
      <c r="G3952" s="100">
        <v>-1122.4226061899642</v>
      </c>
      <c r="H3952" s="100">
        <v>2344.8409183112631</v>
      </c>
      <c r="I3952" s="100">
        <v>-1730.6568887240132</v>
      </c>
      <c r="J3952" s="100">
        <v>-195.21018634406596</v>
      </c>
    </row>
    <row r="3953" spans="1:10" x14ac:dyDescent="0.25">
      <c r="A3953">
        <v>3936</v>
      </c>
      <c r="B3953" s="100">
        <v>90.000833415580061</v>
      </c>
      <c r="C3953" s="100">
        <v>98.50996314425781</v>
      </c>
      <c r="D3953" s="100">
        <v>92.362300872155231</v>
      </c>
      <c r="E3953" s="100">
        <v>95.093376767813339</v>
      </c>
      <c r="F3953" s="100">
        <v>-1475.7336677046724</v>
      </c>
      <c r="G3953" s="100">
        <v>-450.11045644353942</v>
      </c>
      <c r="H3953" s="100">
        <v>907.5584666627492</v>
      </c>
      <c r="I3953" s="100">
        <v>-1712.7371131121122</v>
      </c>
      <c r="J3953" s="100">
        <v>-2731.0227705975749</v>
      </c>
    </row>
    <row r="3954" spans="1:10" x14ac:dyDescent="0.25">
      <c r="A3954">
        <v>3937</v>
      </c>
      <c r="B3954" s="100">
        <v>90.340419257380688</v>
      </c>
      <c r="C3954" s="100">
        <v>99.343505441818536</v>
      </c>
      <c r="D3954" s="100">
        <v>90.874076613806636</v>
      </c>
      <c r="E3954" s="100">
        <v>92.949336275713904</v>
      </c>
      <c r="F3954" s="100">
        <v>-2596.3669456467414</v>
      </c>
      <c r="G3954" s="100">
        <v>-1700.4239027846281</v>
      </c>
      <c r="H3954" s="100">
        <v>3884.0069833599387</v>
      </c>
      <c r="I3954" s="100">
        <v>431.30337898732307</v>
      </c>
      <c r="J3954" s="100">
        <v>18.519513915892389</v>
      </c>
    </row>
    <row r="3955" spans="1:10" x14ac:dyDescent="0.25">
      <c r="A3955">
        <v>3938</v>
      </c>
      <c r="B3955" s="100">
        <v>89.199682492704227</v>
      </c>
      <c r="C3955" s="100">
        <v>97.557972431702169</v>
      </c>
      <c r="D3955" s="100">
        <v>94.163824309828442</v>
      </c>
      <c r="E3955" s="100">
        <v>93.232541861304554</v>
      </c>
      <c r="F3955" s="100">
        <v>1168.0643777855807</v>
      </c>
      <c r="G3955" s="100">
        <v>977.87561238992282</v>
      </c>
      <c r="H3955" s="100">
        <v>-2695.4884086836728</v>
      </c>
      <c r="I3955" s="100">
        <v>148.09779339667273</v>
      </c>
      <c r="J3955" s="100">
        <v>-401.45062511149638</v>
      </c>
    </row>
    <row r="3956" spans="1:10" x14ac:dyDescent="0.25">
      <c r="A3956">
        <v>3939</v>
      </c>
      <c r="B3956" s="100">
        <v>90.28377175186553</v>
      </c>
      <c r="C3956" s="100">
        <v>98.571907043808224</v>
      </c>
      <c r="D3956" s="100">
        <v>92.639539096827292</v>
      </c>
      <c r="E3956" s="100">
        <v>94.428216708725145</v>
      </c>
      <c r="F3956" s="100">
        <v>-2409.4301774467185</v>
      </c>
      <c r="G3956" s="100">
        <v>-543.02630576916044</v>
      </c>
      <c r="H3956" s="100">
        <v>353.08201731862709</v>
      </c>
      <c r="I3956" s="100">
        <v>-1047.5770540239182</v>
      </c>
      <c r="J3956" s="100">
        <v>-3646.9515199211701</v>
      </c>
    </row>
    <row r="3957" spans="1:10" x14ac:dyDescent="0.25">
      <c r="A3957">
        <v>3940</v>
      </c>
      <c r="B3957" s="100">
        <v>89.554842682432707</v>
      </c>
      <c r="C3957" s="100">
        <v>96.582064911229892</v>
      </c>
      <c r="D3957" s="100">
        <v>93.150175932824155</v>
      </c>
      <c r="E3957" s="100">
        <v>94.355597374386591</v>
      </c>
      <c r="F3957" s="100">
        <v>-3.9642483184024968</v>
      </c>
      <c r="G3957" s="100">
        <v>2441.7368930983371</v>
      </c>
      <c r="H3957" s="100">
        <v>-668.19165467509833</v>
      </c>
      <c r="I3957" s="100">
        <v>-974.9577196853636</v>
      </c>
      <c r="J3957" s="100">
        <v>794.62327041947265</v>
      </c>
    </row>
    <row r="3958" spans="1:10" x14ac:dyDescent="0.25">
      <c r="A3958">
        <v>3941</v>
      </c>
      <c r="B3958" s="100">
        <v>89.54511596369268</v>
      </c>
      <c r="C3958" s="100">
        <v>97.202314509760612</v>
      </c>
      <c r="D3958" s="100">
        <v>93.294222997045054</v>
      </c>
      <c r="E3958" s="100">
        <v>91.387665008491112</v>
      </c>
      <c r="F3958" s="100">
        <v>28.133923523684246</v>
      </c>
      <c r="G3958" s="100">
        <v>1511.3624953022579</v>
      </c>
      <c r="H3958" s="100">
        <v>-956.28578311689694</v>
      </c>
      <c r="I3958" s="100">
        <v>1992.974646210115</v>
      </c>
      <c r="J3958" s="100">
        <v>2576.1852819191599</v>
      </c>
    </row>
    <row r="3959" spans="1:10" x14ac:dyDescent="0.25">
      <c r="A3959">
        <v>3942</v>
      </c>
      <c r="B3959" s="100">
        <v>89.637676898575947</v>
      </c>
      <c r="C3959" s="100">
        <v>98.307962546982878</v>
      </c>
      <c r="D3959" s="100">
        <v>92.660066029042838</v>
      </c>
      <c r="E3959" s="100">
        <v>96.792669368993955</v>
      </c>
      <c r="F3959" s="100">
        <v>-277.31716159109538</v>
      </c>
      <c r="G3959" s="100">
        <v>-147.10956053114188</v>
      </c>
      <c r="H3959" s="100">
        <v>312.02815288753527</v>
      </c>
      <c r="I3959" s="100">
        <v>-3412.0297142927284</v>
      </c>
      <c r="J3959" s="100">
        <v>-3524.4282835274303</v>
      </c>
    </row>
    <row r="3960" spans="1:10" x14ac:dyDescent="0.25">
      <c r="A3960">
        <v>3943</v>
      </c>
      <c r="B3960" s="100">
        <v>89.630735478403324</v>
      </c>
      <c r="C3960" s="100">
        <v>98.064631818654647</v>
      </c>
      <c r="D3960" s="100">
        <v>91.801004212554133</v>
      </c>
      <c r="E3960" s="100">
        <v>91.79551438464631</v>
      </c>
      <c r="F3960" s="100">
        <v>-254.41047502143874</v>
      </c>
      <c r="G3960" s="100">
        <v>217.88653196120578</v>
      </c>
      <c r="H3960" s="100">
        <v>2030.1517858649447</v>
      </c>
      <c r="I3960" s="100">
        <v>1585.1252700549167</v>
      </c>
      <c r="J3960" s="100">
        <v>3578.7531128596283</v>
      </c>
    </row>
    <row r="3961" spans="1:10" x14ac:dyDescent="0.25">
      <c r="A3961">
        <v>3944</v>
      </c>
      <c r="B3961" s="100">
        <v>89.82787249154218</v>
      </c>
      <c r="C3961" s="100">
        <v>99.582466348565319</v>
      </c>
      <c r="D3961" s="100">
        <v>93.038372762472846</v>
      </c>
      <c r="E3961" s="100">
        <v>92.104594433929933</v>
      </c>
      <c r="F3961" s="100">
        <v>-904.96261837966608</v>
      </c>
      <c r="G3961" s="100">
        <v>-2058.8652629048029</v>
      </c>
      <c r="H3961" s="100">
        <v>-444.5853139724818</v>
      </c>
      <c r="I3961" s="100">
        <v>1276.0452207712945</v>
      </c>
      <c r="J3961" s="100">
        <v>-2132.3679744856563</v>
      </c>
    </row>
    <row r="3962" spans="1:10" x14ac:dyDescent="0.25">
      <c r="A3962">
        <v>3945</v>
      </c>
      <c r="B3962" s="100">
        <v>89.028093145422531</v>
      </c>
      <c r="C3962" s="100">
        <v>97.700287741939334</v>
      </c>
      <c r="D3962" s="100">
        <v>93.662746117694184</v>
      </c>
      <c r="E3962" s="100">
        <v>92.43420395510897</v>
      </c>
      <c r="F3962" s="100">
        <v>1734.3092238151769</v>
      </c>
      <c r="G3962" s="100">
        <v>764.40264703417427</v>
      </c>
      <c r="H3962" s="100">
        <v>-1693.332024415156</v>
      </c>
      <c r="I3962" s="100">
        <v>946.43569959225715</v>
      </c>
      <c r="J3962" s="100">
        <v>1751.8155460264525</v>
      </c>
    </row>
    <row r="3963" spans="1:10" x14ac:dyDescent="0.25">
      <c r="A3963">
        <v>3946</v>
      </c>
      <c r="B3963" s="100">
        <v>89.798195643075957</v>
      </c>
      <c r="C3963" s="100">
        <v>98.288856843170976</v>
      </c>
      <c r="D3963" s="100">
        <v>90.546570284407423</v>
      </c>
      <c r="E3963" s="100">
        <v>91.058046210131593</v>
      </c>
      <c r="F3963" s="100">
        <v>-807.02901844112773</v>
      </c>
      <c r="G3963" s="100">
        <v>-118.45100481328785</v>
      </c>
      <c r="H3963" s="100">
        <v>4539.0196421583651</v>
      </c>
      <c r="I3963" s="100">
        <v>2322.5934445696339</v>
      </c>
      <c r="J3963" s="100">
        <v>5936.1330634735832</v>
      </c>
    </row>
    <row r="3964" spans="1:10" x14ac:dyDescent="0.25">
      <c r="A3964">
        <v>3947</v>
      </c>
      <c r="B3964" s="100">
        <v>89.65612917115709</v>
      </c>
      <c r="C3964" s="100">
        <v>98.114685091208059</v>
      </c>
      <c r="D3964" s="100">
        <v>92.598069950731769</v>
      </c>
      <c r="E3964" s="100">
        <v>91.129289999133476</v>
      </c>
      <c r="F3964" s="100">
        <v>-338.20966110886843</v>
      </c>
      <c r="G3964" s="100">
        <v>142.8066231310865</v>
      </c>
      <c r="H3964" s="100">
        <v>436.02030950967219</v>
      </c>
      <c r="I3964" s="100">
        <v>2251.3496555677507</v>
      </c>
      <c r="J3964" s="100">
        <v>2491.966927099641</v>
      </c>
    </row>
    <row r="3965" spans="1:10" x14ac:dyDescent="0.25">
      <c r="A3965">
        <v>3948</v>
      </c>
      <c r="B3965" s="100">
        <v>90.315907628059549</v>
      </c>
      <c r="C3965" s="100">
        <v>98.968932207698785</v>
      </c>
      <c r="D3965" s="100">
        <v>95.143199341472453</v>
      </c>
      <c r="E3965" s="100">
        <v>94.265171937175054</v>
      </c>
      <c r="F3965" s="100">
        <v>-2515.4785688869806</v>
      </c>
      <c r="G3965" s="100">
        <v>-1138.5640516050016</v>
      </c>
      <c r="H3965" s="100">
        <v>-4654.2384719716947</v>
      </c>
      <c r="I3965" s="100">
        <v>-884.53228247382754</v>
      </c>
      <c r="J3965" s="100">
        <v>-9192.8133749375029</v>
      </c>
    </row>
    <row r="3966" spans="1:10" x14ac:dyDescent="0.25">
      <c r="A3966">
        <v>3949</v>
      </c>
      <c r="B3966" s="100">
        <v>90.126501566353966</v>
      </c>
      <c r="C3966" s="100">
        <v>97.361158652961606</v>
      </c>
      <c r="D3966" s="100">
        <v>94.07932529282283</v>
      </c>
      <c r="E3966" s="100">
        <v>94.374860080888283</v>
      </c>
      <c r="F3966" s="100">
        <v>-1890.4385652585574</v>
      </c>
      <c r="G3966" s="100">
        <v>1273.0962805007664</v>
      </c>
      <c r="H3966" s="100">
        <v>-2526.4903746724485</v>
      </c>
      <c r="I3966" s="100">
        <v>-994.22042618705575</v>
      </c>
      <c r="J3966" s="100">
        <v>-4138.0530856172954</v>
      </c>
    </row>
    <row r="3967" spans="1:10" x14ac:dyDescent="0.25">
      <c r="A3967">
        <v>3950</v>
      </c>
      <c r="B3967" s="100">
        <v>89.254985822289754</v>
      </c>
      <c r="C3967" s="100">
        <v>98.636108097059335</v>
      </c>
      <c r="D3967" s="100">
        <v>93.598553007871857</v>
      </c>
      <c r="E3967" s="100">
        <v>92.564921750820773</v>
      </c>
      <c r="F3967" s="100">
        <v>985.56339015334083</v>
      </c>
      <c r="G3967" s="100">
        <v>-639.32788564582665</v>
      </c>
      <c r="H3967" s="100">
        <v>-1564.9458047705025</v>
      </c>
      <c r="I3967" s="100">
        <v>815.71790388045429</v>
      </c>
      <c r="J3967" s="100">
        <v>-402.99239638253403</v>
      </c>
    </row>
    <row r="3968" spans="1:10" x14ac:dyDescent="0.25">
      <c r="A3968">
        <v>3951</v>
      </c>
      <c r="B3968" s="100">
        <v>89.284743660875478</v>
      </c>
      <c r="C3968" s="100">
        <v>98.159879806433821</v>
      </c>
      <c r="D3968" s="100">
        <v>89.431882424747485</v>
      </c>
      <c r="E3968" s="100">
        <v>93.11028294843041</v>
      </c>
      <c r="F3968" s="100">
        <v>887.36252282045314</v>
      </c>
      <c r="G3968" s="100">
        <v>75.014550292443971</v>
      </c>
      <c r="H3968" s="100">
        <v>6768.3953614782413</v>
      </c>
      <c r="I3968" s="100">
        <v>270.35670627081743</v>
      </c>
      <c r="J3968" s="100">
        <v>8001.1291408619554</v>
      </c>
    </row>
    <row r="3969" spans="1:10" x14ac:dyDescent="0.25">
      <c r="A3969">
        <v>3952</v>
      </c>
      <c r="B3969" s="100">
        <v>90.319201263538261</v>
      </c>
      <c r="C3969" s="100">
        <v>98.796643707021971</v>
      </c>
      <c r="D3969" s="100">
        <v>93.197298729675978</v>
      </c>
      <c r="E3969" s="100">
        <v>91.529322316466704</v>
      </c>
      <c r="F3969" s="100">
        <v>-2526.347565966732</v>
      </c>
      <c r="G3969" s="100">
        <v>-880.13130058978106</v>
      </c>
      <c r="H3969" s="100">
        <v>-762.43724837874538</v>
      </c>
      <c r="I3969" s="100">
        <v>1851.317338234523</v>
      </c>
      <c r="J3969" s="100">
        <v>-2317.5987767007355</v>
      </c>
    </row>
    <row r="3970" spans="1:10" x14ac:dyDescent="0.25">
      <c r="A3970">
        <v>3953</v>
      </c>
      <c r="B3970" s="100">
        <v>89.058336516638846</v>
      </c>
      <c r="C3970" s="100">
        <v>98.437116400225804</v>
      </c>
      <c r="D3970" s="100">
        <v>92.709120778264889</v>
      </c>
      <c r="E3970" s="100">
        <v>91.86686717690236</v>
      </c>
      <c r="F3970" s="100">
        <v>1634.5060988013372</v>
      </c>
      <c r="G3970" s="100">
        <v>-340.84034039553046</v>
      </c>
      <c r="H3970" s="100">
        <v>213.91865444343239</v>
      </c>
      <c r="I3970" s="100">
        <v>1513.7724777988665</v>
      </c>
      <c r="J3970" s="100">
        <v>3021.3568906481055</v>
      </c>
    </row>
    <row r="3971" spans="1:10" x14ac:dyDescent="0.25">
      <c r="A3971">
        <v>3954</v>
      </c>
      <c r="B3971" s="100">
        <v>89.468161040413605</v>
      </c>
      <c r="C3971" s="100">
        <v>98.694623715838489</v>
      </c>
      <c r="D3971" s="100">
        <v>95.343013232465992</v>
      </c>
      <c r="E3971" s="100">
        <v>92.479922878135611</v>
      </c>
      <c r="F3971" s="100">
        <v>282.08517034463227</v>
      </c>
      <c r="G3971" s="100">
        <v>-727.10131381455767</v>
      </c>
      <c r="H3971" s="100">
        <v>-5053.8662539587731</v>
      </c>
      <c r="I3971" s="100">
        <v>900.71677656561633</v>
      </c>
      <c r="J3971" s="100">
        <v>-4598.1656208630829</v>
      </c>
    </row>
    <row r="3972" spans="1:10" x14ac:dyDescent="0.25">
      <c r="A3972">
        <v>3955</v>
      </c>
      <c r="B3972" s="100">
        <v>90.059205502895011</v>
      </c>
      <c r="C3972" s="100">
        <v>96.714476433173104</v>
      </c>
      <c r="D3972" s="100">
        <v>94.540309896872174</v>
      </c>
      <c r="E3972" s="100">
        <v>95.384279821179732</v>
      </c>
      <c r="F3972" s="100">
        <v>-1668.3615558440081</v>
      </c>
      <c r="G3972" s="100">
        <v>2243.1196101835199</v>
      </c>
      <c r="H3972" s="100">
        <v>-3448.459582771136</v>
      </c>
      <c r="I3972" s="100">
        <v>-2003.6401664785046</v>
      </c>
      <c r="J3972" s="100">
        <v>-4877.3416949101284</v>
      </c>
    </row>
    <row r="3973" spans="1:10" x14ac:dyDescent="0.25">
      <c r="A3973">
        <v>3956</v>
      </c>
      <c r="B3973" s="100">
        <v>89.960256058767783</v>
      </c>
      <c r="C3973" s="100">
        <v>98.915748953371747</v>
      </c>
      <c r="D3973" s="100">
        <v>91.014425799579186</v>
      </c>
      <c r="E3973" s="100">
        <v>91.032264318467654</v>
      </c>
      <c r="F3973" s="100">
        <v>-1341.8283902241542</v>
      </c>
      <c r="G3973" s="100">
        <v>-1058.7891701144442</v>
      </c>
      <c r="H3973" s="100">
        <v>3603.308611814839</v>
      </c>
      <c r="I3973" s="100">
        <v>2348.3753362335733</v>
      </c>
      <c r="J3973" s="100">
        <v>3551.0663877098141</v>
      </c>
    </row>
    <row r="3974" spans="1:10" x14ac:dyDescent="0.25">
      <c r="A3974">
        <v>3957</v>
      </c>
      <c r="B3974" s="100">
        <v>90.081979197578647</v>
      </c>
      <c r="C3974" s="100">
        <v>99.025958102195787</v>
      </c>
      <c r="D3974" s="100">
        <v>92.738649747031616</v>
      </c>
      <c r="E3974" s="100">
        <v>95.94836006805123</v>
      </c>
      <c r="F3974" s="100">
        <v>-1743.5147483000064</v>
      </c>
      <c r="G3974" s="100">
        <v>-1224.1028933505049</v>
      </c>
      <c r="H3974" s="100">
        <v>154.8607169099796</v>
      </c>
      <c r="I3974" s="100">
        <v>-2567.7204133500027</v>
      </c>
      <c r="J3974" s="100">
        <v>-5380.4773380905344</v>
      </c>
    </row>
    <row r="3975" spans="1:10" x14ac:dyDescent="0.25">
      <c r="A3975">
        <v>3958</v>
      </c>
      <c r="B3975" s="100">
        <v>89.358411615866714</v>
      </c>
      <c r="C3975" s="100">
        <v>98.299467574963487</v>
      </c>
      <c r="D3975" s="100">
        <v>91.425066640052435</v>
      </c>
      <c r="E3975" s="100">
        <v>91.791997677017406</v>
      </c>
      <c r="F3975" s="100">
        <v>644.25827134937208</v>
      </c>
      <c r="G3975" s="100">
        <v>-134.36710250205408</v>
      </c>
      <c r="H3975" s="100">
        <v>2782.026930868341</v>
      </c>
      <c r="I3975" s="100">
        <v>1588.6419776838211</v>
      </c>
      <c r="J3975" s="100">
        <v>4880.5600773994802</v>
      </c>
    </row>
    <row r="3976" spans="1:10" x14ac:dyDescent="0.25">
      <c r="A3976">
        <v>3959</v>
      </c>
      <c r="B3976" s="100">
        <v>89.219841946165985</v>
      </c>
      <c r="C3976" s="100">
        <v>100.30623161506799</v>
      </c>
      <c r="D3976" s="100">
        <v>95.524628212514273</v>
      </c>
      <c r="E3976" s="100">
        <v>93.523310211829624</v>
      </c>
      <c r="F3976" s="100">
        <v>1101.5381813617778</v>
      </c>
      <c r="G3976" s="100">
        <v>-3144.5131626588036</v>
      </c>
      <c r="H3976" s="100">
        <v>-5417.0962140553347</v>
      </c>
      <c r="I3976" s="100">
        <v>-142.67055712839749</v>
      </c>
      <c r="J3976" s="100">
        <v>-7602.7417524807579</v>
      </c>
    </row>
    <row r="3977" spans="1:10" x14ac:dyDescent="0.25">
      <c r="A3977">
        <v>3960</v>
      </c>
      <c r="B3977" s="100">
        <v>89.528319304756209</v>
      </c>
      <c r="C3977" s="100">
        <v>97.32162486260691</v>
      </c>
      <c r="D3977" s="100">
        <v>92.035609439967857</v>
      </c>
      <c r="E3977" s="100">
        <v>92.602089618187023</v>
      </c>
      <c r="F3977" s="100">
        <v>83.562898014038467</v>
      </c>
      <c r="G3977" s="100">
        <v>1332.3969660328103</v>
      </c>
      <c r="H3977" s="100">
        <v>1560.9413310374975</v>
      </c>
      <c r="I3977" s="100">
        <v>778.55003651420418</v>
      </c>
      <c r="J3977" s="100">
        <v>3755.4512315985503</v>
      </c>
    </row>
    <row r="3978" spans="1:10" x14ac:dyDescent="0.25">
      <c r="A3978">
        <v>3961</v>
      </c>
      <c r="B3978" s="100">
        <v>89.072346041418925</v>
      </c>
      <c r="C3978" s="100">
        <v>100.0535318345738</v>
      </c>
      <c r="D3978" s="100">
        <v>93.511560110599746</v>
      </c>
      <c r="E3978" s="100">
        <v>95.422056509850904</v>
      </c>
      <c r="F3978" s="100">
        <v>1588.2746670270776</v>
      </c>
      <c r="G3978" s="100">
        <v>-2765.4634919175296</v>
      </c>
      <c r="H3978" s="100">
        <v>-1390.96001022628</v>
      </c>
      <c r="I3978" s="100">
        <v>-2041.4168551496773</v>
      </c>
      <c r="J3978" s="100">
        <v>-4609.5656902664086</v>
      </c>
    </row>
    <row r="3979" spans="1:10" x14ac:dyDescent="0.25">
      <c r="A3979">
        <v>3962</v>
      </c>
      <c r="B3979" s="100">
        <v>88.766900578345201</v>
      </c>
      <c r="C3979" s="100">
        <v>98.952013791085463</v>
      </c>
      <c r="D3979" s="100">
        <v>91.763072521312239</v>
      </c>
      <c r="E3979" s="100">
        <v>92.17034961775029</v>
      </c>
      <c r="F3979" s="100">
        <v>2596.2446951703669</v>
      </c>
      <c r="G3979" s="100">
        <v>-1113.1864266850187</v>
      </c>
      <c r="H3979" s="100">
        <v>2106.0151683487334</v>
      </c>
      <c r="I3979" s="100">
        <v>1210.2900369509371</v>
      </c>
      <c r="J3979" s="100">
        <v>4799.3634737850189</v>
      </c>
    </row>
    <row r="3980" spans="1:10" x14ac:dyDescent="0.25">
      <c r="A3980">
        <v>3963</v>
      </c>
      <c r="B3980" s="100">
        <v>89.392967050902143</v>
      </c>
      <c r="C3980" s="100">
        <v>96.380576039558136</v>
      </c>
      <c r="D3980" s="100">
        <v>95.208154871384579</v>
      </c>
      <c r="E3980" s="100">
        <v>91.877809791108021</v>
      </c>
      <c r="F3980" s="100">
        <v>530.22533573245596</v>
      </c>
      <c r="G3980" s="100">
        <v>2743.970200605972</v>
      </c>
      <c r="H3980" s="100">
        <v>-4784.149531795947</v>
      </c>
      <c r="I3980" s="100">
        <v>1502.829863593206</v>
      </c>
      <c r="J3980" s="100">
        <v>-7.1241318643133127</v>
      </c>
    </row>
    <row r="3981" spans="1:10" x14ac:dyDescent="0.25">
      <c r="A3981">
        <v>3964</v>
      </c>
      <c r="B3981" s="100">
        <v>89.417881055318688</v>
      </c>
      <c r="C3981" s="100">
        <v>98.786600804296171</v>
      </c>
      <c r="D3981" s="100">
        <v>93.259425749195955</v>
      </c>
      <c r="E3981" s="100">
        <v>93.592861916420958</v>
      </c>
      <c r="F3981" s="100">
        <v>448.00912115785962</v>
      </c>
      <c r="G3981" s="100">
        <v>-865.06694650108079</v>
      </c>
      <c r="H3981" s="100">
        <v>-886.6912874186994</v>
      </c>
      <c r="I3981" s="100">
        <v>-212.22226171973091</v>
      </c>
      <c r="J3981" s="100">
        <v>-1515.9713744816513</v>
      </c>
    </row>
    <row r="3982" spans="1:10" x14ac:dyDescent="0.25">
      <c r="A3982">
        <v>3965</v>
      </c>
      <c r="B3982" s="100">
        <v>89.766167918414027</v>
      </c>
      <c r="C3982" s="100">
        <v>98.769053197130901</v>
      </c>
      <c r="D3982" s="100">
        <v>93.080803962123909</v>
      </c>
      <c r="E3982" s="100">
        <v>94.106193110164583</v>
      </c>
      <c r="F3982" s="100">
        <v>-701.33752705675931</v>
      </c>
      <c r="G3982" s="100">
        <v>-838.74553575317634</v>
      </c>
      <c r="H3982" s="100">
        <v>-529.44771327460671</v>
      </c>
      <c r="I3982" s="100">
        <v>-725.55345546335559</v>
      </c>
      <c r="J3982" s="100">
        <v>-2795.0842315478981</v>
      </c>
    </row>
    <row r="3983" spans="1:10" x14ac:dyDescent="0.25">
      <c r="A3983">
        <v>3966</v>
      </c>
      <c r="B3983" s="100">
        <v>89.769229194667133</v>
      </c>
      <c r="C3983" s="100">
        <v>97.743678366288904</v>
      </c>
      <c r="D3983" s="100">
        <v>92.492335904348963</v>
      </c>
      <c r="E3983" s="100">
        <v>94.747580129888107</v>
      </c>
      <c r="F3983" s="100">
        <v>-711.43973869201034</v>
      </c>
      <c r="G3983" s="100">
        <v>699.31671050981947</v>
      </c>
      <c r="H3983" s="100">
        <v>647.48840227528603</v>
      </c>
      <c r="I3983" s="100">
        <v>-1366.9404751868797</v>
      </c>
      <c r="J3983" s="100">
        <v>-731.5751010937845</v>
      </c>
    </row>
    <row r="3984" spans="1:10" x14ac:dyDescent="0.25">
      <c r="A3984">
        <v>3967</v>
      </c>
      <c r="B3984" s="100">
        <v>90.121703807253311</v>
      </c>
      <c r="C3984" s="100">
        <v>98.833651524535924</v>
      </c>
      <c r="D3984" s="100">
        <v>91.384503806441202</v>
      </c>
      <c r="E3984" s="100">
        <v>93.514648083630178</v>
      </c>
      <c r="F3984" s="100">
        <v>-1874.6059602263983</v>
      </c>
      <c r="G3984" s="100">
        <v>-935.64302686070982</v>
      </c>
      <c r="H3984" s="100">
        <v>2863.1525980908064</v>
      </c>
      <c r="I3984" s="100">
        <v>-134.00842892895071</v>
      </c>
      <c r="J3984" s="100">
        <v>-81.104817925252519</v>
      </c>
    </row>
    <row r="3985" spans="1:10" x14ac:dyDescent="0.25">
      <c r="A3985">
        <v>3968</v>
      </c>
      <c r="B3985" s="100">
        <v>89.46792537373986</v>
      </c>
      <c r="C3985" s="100">
        <v>97.682392729716938</v>
      </c>
      <c r="D3985" s="100">
        <v>93.421315863235762</v>
      </c>
      <c r="E3985" s="100">
        <v>92.16476222665159</v>
      </c>
      <c r="F3985" s="100">
        <v>282.86287036799251</v>
      </c>
      <c r="G3985" s="100">
        <v>791.24516536776923</v>
      </c>
      <c r="H3985" s="100">
        <v>-1210.4715154983126</v>
      </c>
      <c r="I3985" s="100">
        <v>1215.8774280496373</v>
      </c>
      <c r="J3985" s="100">
        <v>1079.5139482870866</v>
      </c>
    </row>
    <row r="3986" spans="1:10" x14ac:dyDescent="0.25">
      <c r="A3986">
        <v>3969</v>
      </c>
      <c r="B3986" s="100">
        <v>90.146339158353342</v>
      </c>
      <c r="C3986" s="100">
        <v>96.906519911706624</v>
      </c>
      <c r="D3986" s="100">
        <v>91.039822257887081</v>
      </c>
      <c r="E3986" s="100">
        <v>92.108824075470281</v>
      </c>
      <c r="F3986" s="100">
        <v>-1955.9026188564999</v>
      </c>
      <c r="G3986" s="100">
        <v>1955.0543923832392</v>
      </c>
      <c r="H3986" s="100">
        <v>3552.5156951990484</v>
      </c>
      <c r="I3986" s="100">
        <v>1271.815579230946</v>
      </c>
      <c r="J3986" s="100">
        <v>4823.4830479567336</v>
      </c>
    </row>
    <row r="3987" spans="1:10" x14ac:dyDescent="0.25">
      <c r="A3987">
        <v>3970</v>
      </c>
      <c r="B3987" s="100">
        <v>90.015422294093824</v>
      </c>
      <c r="C3987" s="100">
        <v>98.459912054964121</v>
      </c>
      <c r="D3987" s="100">
        <v>92.793174659837476</v>
      </c>
      <c r="E3987" s="100">
        <v>90.452585107338422</v>
      </c>
      <c r="F3987" s="100">
        <v>-1523.8769668000898</v>
      </c>
      <c r="G3987" s="100">
        <v>-375.03382250300632</v>
      </c>
      <c r="H3987" s="100">
        <v>45.810891298259548</v>
      </c>
      <c r="I3987" s="100">
        <v>2928.0545473628054</v>
      </c>
      <c r="J3987" s="100">
        <v>1074.9546493579687</v>
      </c>
    </row>
    <row r="3988" spans="1:10" x14ac:dyDescent="0.25">
      <c r="A3988">
        <v>3971</v>
      </c>
      <c r="B3988" s="100">
        <v>89.878190650296034</v>
      </c>
      <c r="C3988" s="100">
        <v>97.799525826127493</v>
      </c>
      <c r="D3988" s="100">
        <v>93.388132160395102</v>
      </c>
      <c r="E3988" s="100">
        <v>92.269750938417062</v>
      </c>
      <c r="F3988" s="100">
        <v>-1071.0125422673827</v>
      </c>
      <c r="G3988" s="100">
        <v>615.54552075193669</v>
      </c>
      <c r="H3988" s="100">
        <v>-1144.1041098169933</v>
      </c>
      <c r="I3988" s="100">
        <v>1110.8887162841654</v>
      </c>
      <c r="J3988" s="100">
        <v>-488.68241504827392</v>
      </c>
    </row>
    <row r="3989" spans="1:10" x14ac:dyDescent="0.25">
      <c r="A3989">
        <v>3972</v>
      </c>
      <c r="B3989" s="100">
        <v>90.160579318831054</v>
      </c>
      <c r="C3989" s="100">
        <v>98.283792033633546</v>
      </c>
      <c r="D3989" s="100">
        <v>93.08844629495691</v>
      </c>
      <c r="E3989" s="100">
        <v>95.742785082362644</v>
      </c>
      <c r="F3989" s="100">
        <v>-2002.8951484329496</v>
      </c>
      <c r="G3989" s="100">
        <v>-110.85379050714295</v>
      </c>
      <c r="H3989" s="100">
        <v>-544.73237894060844</v>
      </c>
      <c r="I3989" s="100">
        <v>-2362.1454276614172</v>
      </c>
      <c r="J3989" s="100">
        <v>-5020.6267455421184</v>
      </c>
    </row>
    <row r="3990" spans="1:10" x14ac:dyDescent="0.25">
      <c r="A3990">
        <v>3973</v>
      </c>
      <c r="B3990" s="100">
        <v>89.242899241063412</v>
      </c>
      <c r="C3990" s="100">
        <v>98.214450529650918</v>
      </c>
      <c r="D3990" s="100">
        <v>91.250206372750242</v>
      </c>
      <c r="E3990" s="100">
        <v>95.324151253500901</v>
      </c>
      <c r="F3990" s="100">
        <v>1025.4491082002687</v>
      </c>
      <c r="G3990" s="100">
        <v>-6.8415345332013544</v>
      </c>
      <c r="H3990" s="100">
        <v>3131.7474654727275</v>
      </c>
      <c r="I3990" s="100">
        <v>-1943.5115987996737</v>
      </c>
      <c r="J3990" s="100">
        <v>2206.8434403401211</v>
      </c>
    </row>
    <row r="3991" spans="1:10" x14ac:dyDescent="0.25">
      <c r="A3991">
        <v>3974</v>
      </c>
      <c r="B3991" s="100">
        <v>90.019269766286328</v>
      </c>
      <c r="C3991" s="100">
        <v>98.649303633398503</v>
      </c>
      <c r="D3991" s="100">
        <v>92.947965316751777</v>
      </c>
      <c r="E3991" s="100">
        <v>93.698530937003369</v>
      </c>
      <c r="F3991" s="100">
        <v>-1536.5736250353534</v>
      </c>
      <c r="G3991" s="100">
        <v>-659.12119015457904</v>
      </c>
      <c r="H3991" s="100">
        <v>-263.77042253034233</v>
      </c>
      <c r="I3991" s="100">
        <v>-317.89128230214203</v>
      </c>
      <c r="J3991" s="100">
        <v>-2777.3565200224166</v>
      </c>
    </row>
    <row r="3992" spans="1:10" x14ac:dyDescent="0.25">
      <c r="A3992">
        <v>3975</v>
      </c>
      <c r="B3992" s="100">
        <v>88.84627743154131</v>
      </c>
      <c r="C3992" s="100">
        <v>99.061214432852637</v>
      </c>
      <c r="D3992" s="100">
        <v>93.536813081639735</v>
      </c>
      <c r="E3992" s="100">
        <v>94.791071095390322</v>
      </c>
      <c r="F3992" s="100">
        <v>2334.3010796232065</v>
      </c>
      <c r="G3992" s="100">
        <v>-1276.9873893357797</v>
      </c>
      <c r="H3992" s="100">
        <v>-1441.4659523062596</v>
      </c>
      <c r="I3992" s="100">
        <v>-1410.4314406890949</v>
      </c>
      <c r="J3992" s="100">
        <v>-1794.5837027079276</v>
      </c>
    </row>
    <row r="3993" spans="1:10" x14ac:dyDescent="0.25">
      <c r="A3993">
        <v>3976</v>
      </c>
      <c r="B3993" s="100">
        <v>89.40113188766999</v>
      </c>
      <c r="C3993" s="100">
        <v>97.725026557904002</v>
      </c>
      <c r="D3993" s="100">
        <v>94.09488174841718</v>
      </c>
      <c r="E3993" s="100">
        <v>92.26024710099064</v>
      </c>
      <c r="F3993" s="100">
        <v>503.28137439856135</v>
      </c>
      <c r="G3993" s="100">
        <v>727.29442308717296</v>
      </c>
      <c r="H3993" s="100">
        <v>-2557.6032858611484</v>
      </c>
      <c r="I3993" s="100">
        <v>1120.3925537105874</v>
      </c>
      <c r="J3993" s="100">
        <v>-206.63493466482669</v>
      </c>
    </row>
    <row r="3994" spans="1:10" x14ac:dyDescent="0.25">
      <c r="A3994">
        <v>3977</v>
      </c>
      <c r="B3994" s="100">
        <v>88.257748470748325</v>
      </c>
      <c r="C3994" s="100">
        <v>97.510034456560334</v>
      </c>
      <c r="D3994" s="100">
        <v>90.401155634542306</v>
      </c>
      <c r="E3994" s="100">
        <v>93.236651638614873</v>
      </c>
      <c r="F3994" s="100">
        <v>4276.4466502400564</v>
      </c>
      <c r="G3994" s="100">
        <v>1049.7825751026753</v>
      </c>
      <c r="H3994" s="100">
        <v>4829.8489418885993</v>
      </c>
      <c r="I3994" s="100">
        <v>143.98801608635381</v>
      </c>
      <c r="J3994" s="100">
        <v>10300.066183317685</v>
      </c>
    </row>
    <row r="3995" spans="1:10" x14ac:dyDescent="0.25">
      <c r="A3995">
        <v>3978</v>
      </c>
      <c r="B3995" s="100">
        <v>89.938833527229875</v>
      </c>
      <c r="C3995" s="100">
        <v>97.84948778338314</v>
      </c>
      <c r="D3995" s="100">
        <v>93.130005884406785</v>
      </c>
      <c r="E3995" s="100">
        <v>92.505392953716381</v>
      </c>
      <c r="F3995" s="100">
        <v>-1271.134036149057</v>
      </c>
      <c r="G3995" s="100">
        <v>540.60258486846635</v>
      </c>
      <c r="H3995" s="100">
        <v>-627.85155784035851</v>
      </c>
      <c r="I3995" s="100">
        <v>875.24670098484592</v>
      </c>
      <c r="J3995" s="100">
        <v>-483.13630813610337</v>
      </c>
    </row>
    <row r="3996" spans="1:10" x14ac:dyDescent="0.25">
      <c r="A3996">
        <v>3979</v>
      </c>
      <c r="B3996" s="100">
        <v>89.787150128848793</v>
      </c>
      <c r="C3996" s="100">
        <v>99.077713970861893</v>
      </c>
      <c r="D3996" s="100">
        <v>92.220276344779535</v>
      </c>
      <c r="E3996" s="100">
        <v>96.602323955767304</v>
      </c>
      <c r="F3996" s="100">
        <v>-770.57882149148895</v>
      </c>
      <c r="G3996" s="100">
        <v>-1301.7366963496643</v>
      </c>
      <c r="H3996" s="100">
        <v>1191.6075214141415</v>
      </c>
      <c r="I3996" s="100">
        <v>-3221.6843010660768</v>
      </c>
      <c r="J3996" s="100">
        <v>-4102.3922974930883</v>
      </c>
    </row>
    <row r="3997" spans="1:10" x14ac:dyDescent="0.25">
      <c r="A3997">
        <v>3980</v>
      </c>
      <c r="B3997" s="100">
        <v>89.986327028672548</v>
      </c>
      <c r="C3997" s="100">
        <v>98.560037851953993</v>
      </c>
      <c r="D3997" s="100">
        <v>95.139275338258429</v>
      </c>
      <c r="E3997" s="100">
        <v>90.479156472443449</v>
      </c>
      <c r="F3997" s="100">
        <v>-1427.8625909098791</v>
      </c>
      <c r="G3997" s="100">
        <v>-525.22251798781383</v>
      </c>
      <c r="H3997" s="100">
        <v>-4646.3904655436463</v>
      </c>
      <c r="I3997" s="100">
        <v>2901.4831822577776</v>
      </c>
      <c r="J3997" s="100">
        <v>-3697.9923921835621</v>
      </c>
    </row>
    <row r="3998" spans="1:10" x14ac:dyDescent="0.25">
      <c r="A3998">
        <v>3981</v>
      </c>
      <c r="B3998" s="100">
        <v>90.952930698125286</v>
      </c>
      <c r="C3998" s="100">
        <v>97.937918190238435</v>
      </c>
      <c r="D3998" s="100">
        <v>93.225231403226914</v>
      </c>
      <c r="E3998" s="100">
        <v>94.465177659547209</v>
      </c>
      <c r="F3998" s="100">
        <v>-4617.6547001039144</v>
      </c>
      <c r="G3998" s="100">
        <v>407.95697458552382</v>
      </c>
      <c r="H3998" s="100">
        <v>-818.3025954806169</v>
      </c>
      <c r="I3998" s="100">
        <v>-1084.5380048459815</v>
      </c>
      <c r="J3998" s="100">
        <v>-6112.5383258449892</v>
      </c>
    </row>
    <row r="3999" spans="1:10" x14ac:dyDescent="0.25">
      <c r="A3999">
        <v>3982</v>
      </c>
      <c r="B3999" s="100">
        <v>89.994537919083214</v>
      </c>
      <c r="C3999" s="100">
        <v>98.556550453378961</v>
      </c>
      <c r="D3999" s="100">
        <v>94.373423879269268</v>
      </c>
      <c r="E3999" s="100">
        <v>92.678632021775627</v>
      </c>
      <c r="F3999" s="100">
        <v>-1454.9585292650775</v>
      </c>
      <c r="G3999" s="100">
        <v>-519.99142012526534</v>
      </c>
      <c r="H3999" s="100">
        <v>-3114.6875475653246</v>
      </c>
      <c r="I3999" s="100">
        <v>702.00763292559998</v>
      </c>
      <c r="J3999" s="100">
        <v>-4387.6298640300674</v>
      </c>
    </row>
    <row r="4000" spans="1:10" x14ac:dyDescent="0.25">
      <c r="A4000">
        <v>3983</v>
      </c>
      <c r="B4000" s="100">
        <v>89.605913898116839</v>
      </c>
      <c r="C4000" s="100">
        <v>96.952321921912883</v>
      </c>
      <c r="D4000" s="100">
        <v>92.261066634533577</v>
      </c>
      <c r="E4000" s="100">
        <v>95.292424725522721</v>
      </c>
      <c r="F4000" s="100">
        <v>-172.49926007603875</v>
      </c>
      <c r="G4000" s="100">
        <v>1886.3513770738507</v>
      </c>
      <c r="H4000" s="100">
        <v>1110.0269419060567</v>
      </c>
      <c r="I4000" s="100">
        <v>-1911.7850708214946</v>
      </c>
      <c r="J4000" s="100">
        <v>912.09398808237393</v>
      </c>
    </row>
    <row r="4001" spans="1:10" x14ac:dyDescent="0.25">
      <c r="A4001">
        <v>3984</v>
      </c>
      <c r="B4001" s="100">
        <v>90.208946414151754</v>
      </c>
      <c r="C4001" s="100">
        <v>98.00970723459433</v>
      </c>
      <c r="D4001" s="100">
        <v>92.360634949711837</v>
      </c>
      <c r="E4001" s="100">
        <v>94.193543617948777</v>
      </c>
      <c r="F4001" s="100">
        <v>-2162.5065629912583</v>
      </c>
      <c r="G4001" s="100">
        <v>300.27340805168024</v>
      </c>
      <c r="H4001" s="100">
        <v>910.89031154953659</v>
      </c>
      <c r="I4001" s="100">
        <v>-812.90396324754965</v>
      </c>
      <c r="J4001" s="100">
        <v>-1764.2468066375911</v>
      </c>
    </row>
    <row r="4002" spans="1:10" x14ac:dyDescent="0.25">
      <c r="A4002">
        <v>3985</v>
      </c>
      <c r="B4002" s="100">
        <v>89.888903436718138</v>
      </c>
      <c r="C4002" s="100">
        <v>99.50546021901043</v>
      </c>
      <c r="D4002" s="100">
        <v>94.264713483103634</v>
      </c>
      <c r="E4002" s="100">
        <v>94.19582206911474</v>
      </c>
      <c r="F4002" s="100">
        <v>-1106.3647374603263</v>
      </c>
      <c r="G4002" s="100">
        <v>-1943.3560685724701</v>
      </c>
      <c r="H4002" s="100">
        <v>-2897.2667552340567</v>
      </c>
      <c r="I4002" s="100">
        <v>-815.18241441351336</v>
      </c>
      <c r="J4002" s="100">
        <v>-6762.1699756803664</v>
      </c>
    </row>
    <row r="4003" spans="1:10" x14ac:dyDescent="0.25">
      <c r="A4003">
        <v>3986</v>
      </c>
      <c r="B4003" s="100">
        <v>89.940284589394707</v>
      </c>
      <c r="C4003" s="100">
        <v>97.049522907178059</v>
      </c>
      <c r="D4003" s="100">
        <v>91.042094375735402</v>
      </c>
      <c r="E4003" s="100">
        <v>95.799346399165216</v>
      </c>
      <c r="F4003" s="100">
        <v>-1275.922541293005</v>
      </c>
      <c r="G4003" s="100">
        <v>1740.5498991760878</v>
      </c>
      <c r="H4003" s="100">
        <v>3547.9714595024061</v>
      </c>
      <c r="I4003" s="100">
        <v>-2418.7067444639893</v>
      </c>
      <c r="J4003" s="100">
        <v>1593.8920729214997</v>
      </c>
    </row>
    <row r="4004" spans="1:10" x14ac:dyDescent="0.25">
      <c r="A4004">
        <v>3987</v>
      </c>
      <c r="B4004" s="100">
        <v>89.248333318754888</v>
      </c>
      <c r="C4004" s="100">
        <v>98.574725093297175</v>
      </c>
      <c r="D4004" s="100">
        <v>90.607286709686889</v>
      </c>
      <c r="E4004" s="100">
        <v>92.969636813650453</v>
      </c>
      <c r="F4004" s="100">
        <v>1007.5166518183992</v>
      </c>
      <c r="G4004" s="100">
        <v>-547.25338000258716</v>
      </c>
      <c r="H4004" s="100">
        <v>4417.5867915994331</v>
      </c>
      <c r="I4004" s="100">
        <v>411.00284105077378</v>
      </c>
      <c r="J4004" s="100">
        <v>5288.852904466019</v>
      </c>
    </row>
    <row r="4005" spans="1:10" x14ac:dyDescent="0.25">
      <c r="A4005">
        <v>3988</v>
      </c>
      <c r="B4005" s="100">
        <v>89.663634541602079</v>
      </c>
      <c r="C4005" s="100">
        <v>96.105149954994701</v>
      </c>
      <c r="D4005" s="100">
        <v>93.954195419051459</v>
      </c>
      <c r="E4005" s="100">
        <v>93.011240627431704</v>
      </c>
      <c r="F4005" s="100">
        <v>-362.97738357733067</v>
      </c>
      <c r="G4005" s="100">
        <v>3157.109327451124</v>
      </c>
      <c r="H4005" s="100">
        <v>-2276.2306271297066</v>
      </c>
      <c r="I4005" s="100">
        <v>369.39902726952312</v>
      </c>
      <c r="J4005" s="100">
        <v>887.30034401360979</v>
      </c>
    </row>
    <row r="4006" spans="1:10" x14ac:dyDescent="0.25">
      <c r="A4006">
        <v>3989</v>
      </c>
      <c r="B4006" s="100">
        <v>89.636013038011811</v>
      </c>
      <c r="C4006" s="100">
        <v>99.005499244360848</v>
      </c>
      <c r="D4006" s="100">
        <v>92.361694143607622</v>
      </c>
      <c r="E4006" s="100">
        <v>94.26492947620018</v>
      </c>
      <c r="F4006" s="100">
        <v>-271.82642172944611</v>
      </c>
      <c r="G4006" s="100">
        <v>-1193.4146065980967</v>
      </c>
      <c r="H4006" s="100">
        <v>908.77192375796767</v>
      </c>
      <c r="I4006" s="100">
        <v>-884.28982149895319</v>
      </c>
      <c r="J4006" s="100">
        <v>-1440.7589260685284</v>
      </c>
    </row>
    <row r="4007" spans="1:10" x14ac:dyDescent="0.25">
      <c r="A4007">
        <v>3990</v>
      </c>
      <c r="B4007" s="100">
        <v>88.689864660584561</v>
      </c>
      <c r="C4007" s="100">
        <v>98.552540045644989</v>
      </c>
      <c r="D4007" s="100">
        <v>90.610331419216052</v>
      </c>
      <c r="E4007" s="100">
        <v>91.869758749618057</v>
      </c>
      <c r="F4007" s="100">
        <v>2850.4632237804772</v>
      </c>
      <c r="G4007" s="100">
        <v>-513.97580852430735</v>
      </c>
      <c r="H4007" s="100">
        <v>4411.4973725411064</v>
      </c>
      <c r="I4007" s="100">
        <v>1510.8809050831696</v>
      </c>
      <c r="J4007" s="100">
        <v>8258.8656928804448</v>
      </c>
    </row>
    <row r="4008" spans="1:10" x14ac:dyDescent="0.25">
      <c r="A4008">
        <v>3991</v>
      </c>
      <c r="B4008" s="100">
        <v>89.787989271169707</v>
      </c>
      <c r="C4008" s="100">
        <v>96.432312308393179</v>
      </c>
      <c r="D4008" s="100">
        <v>94.905876225869832</v>
      </c>
      <c r="E4008" s="100">
        <v>92.812288441122959</v>
      </c>
      <c r="F4008" s="100">
        <v>-773.34799115050282</v>
      </c>
      <c r="G4008" s="100">
        <v>2666.3657973534073</v>
      </c>
      <c r="H4008" s="100">
        <v>-4179.592240766453</v>
      </c>
      <c r="I4008" s="100">
        <v>568.35121357826779</v>
      </c>
      <c r="J4008" s="100">
        <v>-1718.2232209852807</v>
      </c>
    </row>
    <row r="4009" spans="1:10" x14ac:dyDescent="0.25">
      <c r="A4009">
        <v>3992</v>
      </c>
      <c r="B4009" s="100">
        <v>89.175417864020389</v>
      </c>
      <c r="C4009" s="100">
        <v>99.386517473485569</v>
      </c>
      <c r="D4009" s="100">
        <v>91.561258217739706</v>
      </c>
      <c r="E4009" s="100">
        <v>93.840061963467264</v>
      </c>
      <c r="F4009" s="100">
        <v>1248.1376524422458</v>
      </c>
      <c r="G4009" s="100">
        <v>-1764.941950285177</v>
      </c>
      <c r="H4009" s="100">
        <v>2509.6437754937997</v>
      </c>
      <c r="I4009" s="100">
        <v>-459.42230876603674</v>
      </c>
      <c r="J4009" s="100">
        <v>1533.4171688848319</v>
      </c>
    </row>
    <row r="4010" spans="1:10" x14ac:dyDescent="0.25">
      <c r="A4010">
        <v>3993</v>
      </c>
      <c r="B4010" s="100">
        <v>90.183529774823626</v>
      </c>
      <c r="C4010" s="100">
        <v>97.993295854977774</v>
      </c>
      <c r="D4010" s="100">
        <v>94.237916232197435</v>
      </c>
      <c r="E4010" s="100">
        <v>94.825114837600395</v>
      </c>
      <c r="F4010" s="100">
        <v>-2078.6316532084356</v>
      </c>
      <c r="G4010" s="100">
        <v>324.89047747651512</v>
      </c>
      <c r="H4010" s="100">
        <v>-2843.6722534216588</v>
      </c>
      <c r="I4010" s="100">
        <v>-1444.4751828991684</v>
      </c>
      <c r="J4010" s="100">
        <v>-6041.8886120527477</v>
      </c>
    </row>
    <row r="4011" spans="1:10" x14ac:dyDescent="0.25">
      <c r="A4011">
        <v>3994</v>
      </c>
      <c r="B4011" s="100">
        <v>89.133294239975541</v>
      </c>
      <c r="C4011" s="100">
        <v>96.294331383043342</v>
      </c>
      <c r="D4011" s="100">
        <v>93.334196159017381</v>
      </c>
      <c r="E4011" s="100">
        <v>94.304245625628283</v>
      </c>
      <c r="F4011" s="100">
        <v>1387.1456117902439</v>
      </c>
      <c r="G4011" s="100">
        <v>2873.3371853781618</v>
      </c>
      <c r="H4011" s="100">
        <v>-1036.2321070615508</v>
      </c>
      <c r="I4011" s="100">
        <v>-923.60597092705632</v>
      </c>
      <c r="J4011" s="100">
        <v>2300.6447191797993</v>
      </c>
    </row>
    <row r="4012" spans="1:10" x14ac:dyDescent="0.25">
      <c r="A4012">
        <v>3995</v>
      </c>
      <c r="B4012" s="100">
        <v>89.773561317410284</v>
      </c>
      <c r="C4012" s="100">
        <v>97.872183501625159</v>
      </c>
      <c r="D4012" s="100">
        <v>93.99775512795685</v>
      </c>
      <c r="E4012" s="100">
        <v>91.873393359697744</v>
      </c>
      <c r="F4012" s="100">
        <v>-725.73574374440705</v>
      </c>
      <c r="G4012" s="100">
        <v>506.55900750543736</v>
      </c>
      <c r="H4012" s="100">
        <v>-2363.3500449404892</v>
      </c>
      <c r="I4012" s="100">
        <v>1507.2462950034833</v>
      </c>
      <c r="J4012" s="100">
        <v>-1075.2804861759755</v>
      </c>
    </row>
    <row r="4013" spans="1:10" x14ac:dyDescent="0.25">
      <c r="A4013">
        <v>3996</v>
      </c>
      <c r="B4013" s="100">
        <v>88.648715835743317</v>
      </c>
      <c r="C4013" s="100">
        <v>97.937729848262819</v>
      </c>
      <c r="D4013" s="100">
        <v>94.995644584623179</v>
      </c>
      <c r="E4013" s="100">
        <v>94.249858524096496</v>
      </c>
      <c r="F4013" s="100">
        <v>2986.2543457565821</v>
      </c>
      <c r="G4013" s="100">
        <v>408.23948754894701</v>
      </c>
      <c r="H4013" s="100">
        <v>-4359.1289582731461</v>
      </c>
      <c r="I4013" s="100">
        <v>-869.21886939526871</v>
      </c>
      <c r="J4013" s="100">
        <v>-1833.8539943628855</v>
      </c>
    </row>
    <row r="4014" spans="1:10" x14ac:dyDescent="0.25">
      <c r="A4014">
        <v>3997</v>
      </c>
      <c r="B4014" s="100">
        <v>88.94294335568884</v>
      </c>
      <c r="C4014" s="100">
        <v>97.761133804173213</v>
      </c>
      <c r="D4014" s="100">
        <v>92.443551740585477</v>
      </c>
      <c r="E4014" s="100">
        <v>94.297061016618159</v>
      </c>
      <c r="F4014" s="100">
        <v>2015.303529936358</v>
      </c>
      <c r="G4014" s="100">
        <v>673.13355368335692</v>
      </c>
      <c r="H4014" s="100">
        <v>745.05672980225768</v>
      </c>
      <c r="I4014" s="100">
        <v>-916.42136191693169</v>
      </c>
      <c r="J4014" s="100">
        <v>2517.072451505041</v>
      </c>
    </row>
    <row r="4015" spans="1:10" x14ac:dyDescent="0.25">
      <c r="A4015">
        <v>3998</v>
      </c>
      <c r="B4015" s="100">
        <v>89.1148749792806</v>
      </c>
      <c r="C4015" s="100">
        <v>99.025633450580315</v>
      </c>
      <c r="D4015" s="100">
        <v>94.864275128406049</v>
      </c>
      <c r="E4015" s="100">
        <v>92.629128774323718</v>
      </c>
      <c r="F4015" s="100">
        <v>1447.929172083549</v>
      </c>
      <c r="G4015" s="100">
        <v>-1223.6159159272972</v>
      </c>
      <c r="H4015" s="100">
        <v>-4096.390045838888</v>
      </c>
      <c r="I4015" s="100">
        <v>751.51088037750924</v>
      </c>
      <c r="J4015" s="100">
        <v>-3120.5659093051272</v>
      </c>
    </row>
    <row r="4016" spans="1:10" x14ac:dyDescent="0.25">
      <c r="A4016">
        <v>3999</v>
      </c>
      <c r="B4016" s="100">
        <v>89.380593120696361</v>
      </c>
      <c r="C4016" s="100">
        <v>99.509553614043725</v>
      </c>
      <c r="D4016" s="100">
        <v>92.332187662946154</v>
      </c>
      <c r="E4016" s="100">
        <v>92.12379436197925</v>
      </c>
      <c r="F4016" s="100">
        <v>571.0593054115393</v>
      </c>
      <c r="G4016" s="100">
        <v>-1949.4961611224112</v>
      </c>
      <c r="H4016" s="100">
        <v>967.78488508090277</v>
      </c>
      <c r="I4016" s="100">
        <v>1256.8452927219766</v>
      </c>
      <c r="J4016" s="100">
        <v>846.19332209200752</v>
      </c>
    </row>
    <row r="4017" spans="1:10" x14ac:dyDescent="0.25">
      <c r="A4017">
        <v>4000</v>
      </c>
      <c r="B4017" s="100">
        <v>90.360725210858647</v>
      </c>
      <c r="C4017" s="100">
        <v>97.969218672207333</v>
      </c>
      <c r="D4017" s="100">
        <v>92.972237544904672</v>
      </c>
      <c r="E4017" s="100">
        <v>90.699781626873303</v>
      </c>
      <c r="F4017" s="100">
        <v>-2663.3765921240042</v>
      </c>
      <c r="G4017" s="100">
        <v>361.00625163217614</v>
      </c>
      <c r="H4017" s="100">
        <v>-312.3148788361334</v>
      </c>
      <c r="I4017" s="100">
        <v>2680.8580278279237</v>
      </c>
      <c r="J4017" s="100">
        <v>66.172808499962684</v>
      </c>
    </row>
    <row r="4018" spans="1:10" x14ac:dyDescent="0.25">
      <c r="A4018">
        <v>4001</v>
      </c>
      <c r="B4018" s="100">
        <v>89.388340006959965</v>
      </c>
      <c r="C4018" s="100">
        <v>98.294949824932218</v>
      </c>
      <c r="D4018" s="100">
        <v>92.210331017495037</v>
      </c>
      <c r="E4018" s="100">
        <v>93.160755381415242</v>
      </c>
      <c r="F4018" s="100">
        <v>545.49458074164647</v>
      </c>
      <c r="G4018" s="100">
        <v>-127.59047745515062</v>
      </c>
      <c r="H4018" s="100">
        <v>1211.498175983138</v>
      </c>
      <c r="I4018" s="100">
        <v>219.88427328598448</v>
      </c>
      <c r="J4018" s="100">
        <v>1849.2865525556185</v>
      </c>
    </row>
    <row r="4019" spans="1:10" x14ac:dyDescent="0.25">
      <c r="A4019">
        <v>4002</v>
      </c>
      <c r="B4019" s="100">
        <v>89.807189010643143</v>
      </c>
      <c r="C4019" s="100">
        <v>97.650029051974172</v>
      </c>
      <c r="D4019" s="100">
        <v>94.42325557732147</v>
      </c>
      <c r="E4019" s="100">
        <v>92.220417363525939</v>
      </c>
      <c r="F4019" s="100">
        <v>-836.70713141284091</v>
      </c>
      <c r="G4019" s="100">
        <v>839.79068198191703</v>
      </c>
      <c r="H4019" s="100">
        <v>-3214.3509436697286</v>
      </c>
      <c r="I4019" s="100">
        <v>1160.2222911752874</v>
      </c>
      <c r="J4019" s="100">
        <v>-2051.0451019253651</v>
      </c>
    </row>
    <row r="4020" spans="1:10" x14ac:dyDescent="0.25">
      <c r="A4020">
        <v>4003</v>
      </c>
      <c r="B4020" s="100">
        <v>89.007967516845753</v>
      </c>
      <c r="C4020" s="100">
        <v>97.302835483613791</v>
      </c>
      <c r="D4020" s="100">
        <v>92.550794702041713</v>
      </c>
      <c r="E4020" s="100">
        <v>94.806342286722042</v>
      </c>
      <c r="F4020" s="100">
        <v>1800.7237981185453</v>
      </c>
      <c r="G4020" s="100">
        <v>1360.5810345224895</v>
      </c>
      <c r="H4020" s="100">
        <v>530.57080688978431</v>
      </c>
      <c r="I4020" s="100">
        <v>-1425.7026320208156</v>
      </c>
      <c r="J4020" s="100">
        <v>2266.1730075100036</v>
      </c>
    </row>
    <row r="4021" spans="1:10" x14ac:dyDescent="0.25">
      <c r="A4021">
        <v>4004</v>
      </c>
      <c r="B4021" s="100">
        <v>89.7911035730138</v>
      </c>
      <c r="C4021" s="100">
        <v>98.228308136590357</v>
      </c>
      <c r="D4021" s="100">
        <v>92.26515467243388</v>
      </c>
      <c r="E4021" s="100">
        <v>94.96803888737783</v>
      </c>
      <c r="F4021" s="100">
        <v>-783.62518723600942</v>
      </c>
      <c r="G4021" s="100">
        <v>-27.627944942359761</v>
      </c>
      <c r="H4021" s="100">
        <v>1101.8508661054511</v>
      </c>
      <c r="I4021" s="100">
        <v>-1587.3992326766029</v>
      </c>
      <c r="J4021" s="100">
        <v>-1296.801498749521</v>
      </c>
    </row>
    <row r="4022" spans="1:10" x14ac:dyDescent="0.25">
      <c r="A4022">
        <v>4005</v>
      </c>
      <c r="B4022" s="100">
        <v>89.463268491966673</v>
      </c>
      <c r="C4022" s="100">
        <v>97.503190084278756</v>
      </c>
      <c r="D4022" s="100">
        <v>92.996210970293021</v>
      </c>
      <c r="E4022" s="100">
        <v>93.36838190375056</v>
      </c>
      <c r="F4022" s="100">
        <v>298.23058021950857</v>
      </c>
      <c r="G4022" s="100">
        <v>1060.049133525041</v>
      </c>
      <c r="H4022" s="100">
        <v>-360.26172961283009</v>
      </c>
      <c r="I4022" s="100">
        <v>12.257750950666946</v>
      </c>
      <c r="J4022" s="100">
        <v>1010.2757350823864</v>
      </c>
    </row>
    <row r="4023" spans="1:10" x14ac:dyDescent="0.25">
      <c r="A4023">
        <v>4006</v>
      </c>
      <c r="B4023" s="100">
        <v>88.436628844903268</v>
      </c>
      <c r="C4023" s="100">
        <v>97.297004173478854</v>
      </c>
      <c r="D4023" s="100">
        <v>94.093539498677501</v>
      </c>
      <c r="E4023" s="100">
        <v>90.850896109135533</v>
      </c>
      <c r="F4023" s="100">
        <v>3686.1414155287448</v>
      </c>
      <c r="G4023" s="100">
        <v>1369.3279997248951</v>
      </c>
      <c r="H4023" s="100">
        <v>-2554.9187863817906</v>
      </c>
      <c r="I4023" s="100">
        <v>2529.7435455656937</v>
      </c>
      <c r="J4023" s="100">
        <v>5030.2941744375421</v>
      </c>
    </row>
    <row r="4024" spans="1:10" x14ac:dyDescent="0.25">
      <c r="A4024">
        <v>4007</v>
      </c>
      <c r="B4024" s="100">
        <v>89.635106351015466</v>
      </c>
      <c r="C4024" s="100">
        <v>99.128152139177814</v>
      </c>
      <c r="D4024" s="100">
        <v>92.73376466006161</v>
      </c>
      <c r="E4024" s="100">
        <v>94.487484683414166</v>
      </c>
      <c r="F4024" s="100">
        <v>-268.83435464150836</v>
      </c>
      <c r="G4024" s="100">
        <v>-1377.3939488235455</v>
      </c>
      <c r="H4024" s="100">
        <v>164.63089084999183</v>
      </c>
      <c r="I4024" s="100">
        <v>-1106.8450287129394</v>
      </c>
      <c r="J4024" s="100">
        <v>-2588.4424413280012</v>
      </c>
    </row>
    <row r="4025" spans="1:10" x14ac:dyDescent="0.25">
      <c r="A4025">
        <v>4008</v>
      </c>
      <c r="B4025" s="100">
        <v>90.534751285125509</v>
      </c>
      <c r="C4025" s="100">
        <v>96.613702293175976</v>
      </c>
      <c r="D4025" s="100">
        <v>93.605959303468552</v>
      </c>
      <c r="E4025" s="100">
        <v>93.051485439132421</v>
      </c>
      <c r="F4025" s="100">
        <v>-3237.6626372046503</v>
      </c>
      <c r="G4025" s="100">
        <v>2394.2808201792118</v>
      </c>
      <c r="H4025" s="100">
        <v>-1579.7583959638928</v>
      </c>
      <c r="I4025" s="100">
        <v>329.15421556880631</v>
      </c>
      <c r="J4025" s="100">
        <v>-2093.9859974205251</v>
      </c>
    </row>
    <row r="4026" spans="1:10" x14ac:dyDescent="0.25">
      <c r="A4026">
        <v>4009</v>
      </c>
      <c r="B4026" s="100">
        <v>89.251276306822547</v>
      </c>
      <c r="C4026" s="100">
        <v>98.05542135078511</v>
      </c>
      <c r="D4026" s="100">
        <v>93.739775253970336</v>
      </c>
      <c r="E4026" s="100">
        <v>93.599841996784136</v>
      </c>
      <c r="F4026" s="100">
        <v>997.80479119512506</v>
      </c>
      <c r="G4026" s="100">
        <v>231.70223376551036</v>
      </c>
      <c r="H4026" s="100">
        <v>-1847.3902969674612</v>
      </c>
      <c r="I4026" s="100">
        <v>-219.20234208290879</v>
      </c>
      <c r="J4026" s="100">
        <v>-837.08561408973458</v>
      </c>
    </row>
    <row r="4027" spans="1:10" x14ac:dyDescent="0.25">
      <c r="A4027">
        <v>4010</v>
      </c>
      <c r="B4027" s="100">
        <v>89.911406381247446</v>
      </c>
      <c r="C4027" s="100">
        <v>98.188931102986999</v>
      </c>
      <c r="D4027" s="100">
        <v>94.666897028969544</v>
      </c>
      <c r="E4027" s="100">
        <v>95.676890920417506</v>
      </c>
      <c r="F4027" s="100">
        <v>-1180.624454407041</v>
      </c>
      <c r="G4027" s="100">
        <v>31.437605462677709</v>
      </c>
      <c r="H4027" s="100">
        <v>-3701.6338469658763</v>
      </c>
      <c r="I4027" s="100">
        <v>-2296.2512657162788</v>
      </c>
      <c r="J4027" s="100">
        <v>-7147.0719616265178</v>
      </c>
    </row>
    <row r="4028" spans="1:10" x14ac:dyDescent="0.25">
      <c r="A4028">
        <v>4011</v>
      </c>
      <c r="B4028" s="100">
        <v>89.070255351790109</v>
      </c>
      <c r="C4028" s="100">
        <v>99.046629293268452</v>
      </c>
      <c r="D4028" s="100">
        <v>94.510006234345227</v>
      </c>
      <c r="E4028" s="100">
        <v>94.896331816237236</v>
      </c>
      <c r="F4028" s="100">
        <v>1595.1739428021683</v>
      </c>
      <c r="G4028" s="100">
        <v>-1255.109679959503</v>
      </c>
      <c r="H4028" s="100">
        <v>-3387.8522577172416</v>
      </c>
      <c r="I4028" s="100">
        <v>-1515.6921615360091</v>
      </c>
      <c r="J4028" s="100">
        <v>-4563.4801564105856</v>
      </c>
    </row>
    <row r="4029" spans="1:10" x14ac:dyDescent="0.25">
      <c r="A4029">
        <v>4012</v>
      </c>
      <c r="B4029" s="100">
        <v>89.256978823182962</v>
      </c>
      <c r="C4029" s="100">
        <v>96.842186564540015</v>
      </c>
      <c r="D4029" s="100">
        <v>93.400701642690436</v>
      </c>
      <c r="E4029" s="100">
        <v>94.152961370301554</v>
      </c>
      <c r="F4029" s="100">
        <v>978.98648720575488</v>
      </c>
      <c r="G4029" s="100">
        <v>2051.554413133154</v>
      </c>
      <c r="H4029" s="100">
        <v>-1169.2430744076603</v>
      </c>
      <c r="I4029" s="100">
        <v>-772.32171560032725</v>
      </c>
      <c r="J4029" s="100">
        <v>1088.9761103309211</v>
      </c>
    </row>
    <row r="4030" spans="1:10" x14ac:dyDescent="0.25">
      <c r="A4030">
        <v>4013</v>
      </c>
      <c r="B4030" s="100">
        <v>90.189341419753546</v>
      </c>
      <c r="C4030" s="100">
        <v>97.411058106301738</v>
      </c>
      <c r="D4030" s="100">
        <v>91.129594607209015</v>
      </c>
      <c r="E4030" s="100">
        <v>94.097081676199366</v>
      </c>
      <c r="F4030" s="100">
        <v>-2097.8100814771738</v>
      </c>
      <c r="G4030" s="100">
        <v>1198.247100490569</v>
      </c>
      <c r="H4030" s="100">
        <v>3372.970996555182</v>
      </c>
      <c r="I4030" s="100">
        <v>-716.44202149813907</v>
      </c>
      <c r="J4030" s="100">
        <v>1756.9659940704378</v>
      </c>
    </row>
    <row r="4031" spans="1:10" x14ac:dyDescent="0.25">
      <c r="A4031">
        <v>4014</v>
      </c>
      <c r="B4031" s="100">
        <v>89.302082574527844</v>
      </c>
      <c r="C4031" s="100">
        <v>97.536787782615761</v>
      </c>
      <c r="D4031" s="100">
        <v>92.979265963249361</v>
      </c>
      <c r="E4031" s="100">
        <v>94.424874520160273</v>
      </c>
      <c r="F4031" s="100">
        <v>830.14410776764294</v>
      </c>
      <c r="G4031" s="100">
        <v>1009.6525860195343</v>
      </c>
      <c r="H4031" s="100">
        <v>-326.37171552551081</v>
      </c>
      <c r="I4031" s="100">
        <v>-1044.234865459046</v>
      </c>
      <c r="J4031" s="100">
        <v>469.19011280262043</v>
      </c>
    </row>
    <row r="4032" spans="1:10" x14ac:dyDescent="0.25">
      <c r="A4032">
        <v>4015</v>
      </c>
      <c r="B4032" s="100">
        <v>89.032889784278353</v>
      </c>
      <c r="C4032" s="100">
        <v>97.640650434905339</v>
      </c>
      <c r="D4032" s="100">
        <v>91.841668927830284</v>
      </c>
      <c r="E4032" s="100">
        <v>93.982871361639042</v>
      </c>
      <c r="F4032" s="100">
        <v>1718.4803155909635</v>
      </c>
      <c r="G4032" s="100">
        <v>853.85860758516685</v>
      </c>
      <c r="H4032" s="100">
        <v>1948.8223553126431</v>
      </c>
      <c r="I4032" s="100">
        <v>-602.23170693781469</v>
      </c>
      <c r="J4032" s="100">
        <v>3918.9295715509584</v>
      </c>
    </row>
    <row r="4033" spans="1:10" x14ac:dyDescent="0.25">
      <c r="A4033">
        <v>4016</v>
      </c>
      <c r="B4033" s="100">
        <v>89.366129651750072</v>
      </c>
      <c r="C4033" s="100">
        <v>99.758220682698322</v>
      </c>
      <c r="D4033" s="100">
        <v>91.696822090966336</v>
      </c>
      <c r="E4033" s="100">
        <v>93.099404485240925</v>
      </c>
      <c r="F4033" s="100">
        <v>618.78875293429303</v>
      </c>
      <c r="G4033" s="100">
        <v>-2322.4967641043081</v>
      </c>
      <c r="H4033" s="100">
        <v>2238.5160290405393</v>
      </c>
      <c r="I4033" s="100">
        <v>281.23516946030236</v>
      </c>
      <c r="J4033" s="100">
        <v>816.04318733082641</v>
      </c>
    </row>
    <row r="4034" spans="1:10" x14ac:dyDescent="0.25">
      <c r="A4034">
        <v>4017</v>
      </c>
      <c r="B4034" s="100">
        <v>89.428033954033779</v>
      </c>
      <c r="C4034" s="100">
        <v>98.132502236341466</v>
      </c>
      <c r="D4034" s="100">
        <v>93.651971863203599</v>
      </c>
      <c r="E4034" s="100">
        <v>94.544537869031529</v>
      </c>
      <c r="F4034" s="100">
        <v>414.50455539805802</v>
      </c>
      <c r="G4034" s="100">
        <v>116.0809054309766</v>
      </c>
      <c r="H4034" s="100">
        <v>-1671.7835154339866</v>
      </c>
      <c r="I4034" s="100">
        <v>-1163.8982143303024</v>
      </c>
      <c r="J4034" s="100">
        <v>-2305.0962689352546</v>
      </c>
    </row>
    <row r="4035" spans="1:10" x14ac:dyDescent="0.25">
      <c r="A4035">
        <v>4018</v>
      </c>
      <c r="B4035" s="100">
        <v>89.15098583174975</v>
      </c>
      <c r="C4035" s="100">
        <v>96.515960735818993</v>
      </c>
      <c r="D4035" s="100">
        <v>93.147461594135379</v>
      </c>
      <c r="E4035" s="100">
        <v>94.256384986967788</v>
      </c>
      <c r="F4035" s="100">
        <v>1328.7633589353532</v>
      </c>
      <c r="G4035" s="100">
        <v>2540.8931562146863</v>
      </c>
      <c r="H4035" s="100">
        <v>-662.76297729754674</v>
      </c>
      <c r="I4035" s="100">
        <v>-875.74533226656115</v>
      </c>
      <c r="J4035" s="100">
        <v>2331.1482055859319</v>
      </c>
    </row>
    <row r="4036" spans="1:10" x14ac:dyDescent="0.25">
      <c r="A4036">
        <v>4019</v>
      </c>
      <c r="B4036" s="100">
        <v>89.986021765409788</v>
      </c>
      <c r="C4036" s="100">
        <v>98.893659738872216</v>
      </c>
      <c r="D4036" s="100">
        <v>93.489909177439216</v>
      </c>
      <c r="E4036" s="100">
        <v>89.983883834634341</v>
      </c>
      <c r="F4036" s="100">
        <v>-1426.8552221427713</v>
      </c>
      <c r="G4036" s="100">
        <v>-1025.6553483651487</v>
      </c>
      <c r="H4036" s="100">
        <v>-1347.6581439052211</v>
      </c>
      <c r="I4036" s="100">
        <v>3396.7558200668864</v>
      </c>
      <c r="J4036" s="100">
        <v>-403.41289434625469</v>
      </c>
    </row>
    <row r="4037" spans="1:10" x14ac:dyDescent="0.25">
      <c r="A4037">
        <v>4020</v>
      </c>
      <c r="B4037" s="100">
        <v>89.213543584181679</v>
      </c>
      <c r="C4037" s="100">
        <v>98.167177879199031</v>
      </c>
      <c r="D4037" s="100">
        <v>91.813056358730975</v>
      </c>
      <c r="E4037" s="100">
        <v>93.379433077236527</v>
      </c>
      <c r="F4037" s="100">
        <v>1122.32277590999</v>
      </c>
      <c r="G4037" s="100">
        <v>64.067441144629811</v>
      </c>
      <c r="H4037" s="100">
        <v>2006.0474935112609</v>
      </c>
      <c r="I4037" s="100">
        <v>1.2065774646998761</v>
      </c>
      <c r="J4037" s="100">
        <v>3193.6442880305804</v>
      </c>
    </row>
    <row r="4038" spans="1:10" x14ac:dyDescent="0.25">
      <c r="A4038">
        <v>4021</v>
      </c>
      <c r="B4038" s="100">
        <v>89.83359128641618</v>
      </c>
      <c r="C4038" s="100">
        <v>97.014861673121629</v>
      </c>
      <c r="D4038" s="100">
        <v>94.150662697314544</v>
      </c>
      <c r="E4038" s="100">
        <v>92.388386085462173</v>
      </c>
      <c r="F4038" s="100">
        <v>-923.83464146386416</v>
      </c>
      <c r="G4038" s="100">
        <v>1792.5417502607318</v>
      </c>
      <c r="H4038" s="100">
        <v>-2669.1651836558776</v>
      </c>
      <c r="I4038" s="100">
        <v>992.25356923905395</v>
      </c>
      <c r="J4038" s="100">
        <v>-808.20450561995619</v>
      </c>
    </row>
    <row r="4039" spans="1:10" x14ac:dyDescent="0.25">
      <c r="A4039">
        <v>4022</v>
      </c>
      <c r="B4039" s="100">
        <v>89.640327937419258</v>
      </c>
      <c r="C4039" s="100">
        <v>99.140862324246967</v>
      </c>
      <c r="D4039" s="100">
        <v>93.195848735079196</v>
      </c>
      <c r="E4039" s="100">
        <v>93.835709989758158</v>
      </c>
      <c r="F4039" s="100">
        <v>-286.06558977402159</v>
      </c>
      <c r="G4039" s="100">
        <v>-1396.4592264272753</v>
      </c>
      <c r="H4039" s="100">
        <v>-759.53725918517989</v>
      </c>
      <c r="I4039" s="100">
        <v>-455.07033505693073</v>
      </c>
      <c r="J4039" s="100">
        <v>-2897.1324104434075</v>
      </c>
    </row>
    <row r="4040" spans="1:10" x14ac:dyDescent="0.25">
      <c r="A4040">
        <v>4023</v>
      </c>
      <c r="B4040" s="100">
        <v>89.769343206538736</v>
      </c>
      <c r="C4040" s="100">
        <v>99.051957135520595</v>
      </c>
      <c r="D4040" s="100">
        <v>91.210388310438546</v>
      </c>
      <c r="E4040" s="100">
        <v>90.344989104768302</v>
      </c>
      <c r="F4040" s="100">
        <v>-711.81597786829798</v>
      </c>
      <c r="G4040" s="100">
        <v>-1263.1014433377175</v>
      </c>
      <c r="H4040" s="100">
        <v>3211.3835900961194</v>
      </c>
      <c r="I4040" s="100">
        <v>3035.6505499329246</v>
      </c>
      <c r="J4040" s="100">
        <v>4272.1167188230284</v>
      </c>
    </row>
    <row r="4041" spans="1:10" x14ac:dyDescent="0.25">
      <c r="A4041">
        <v>4024</v>
      </c>
      <c r="B4041" s="100">
        <v>88.930197718704292</v>
      </c>
      <c r="C4041" s="100">
        <v>97.564654941906284</v>
      </c>
      <c r="D4041" s="100">
        <v>92.487117836612327</v>
      </c>
      <c r="E4041" s="100">
        <v>92.662361786036897</v>
      </c>
      <c r="F4041" s="100">
        <v>2057.364131985365</v>
      </c>
      <c r="G4041" s="100">
        <v>967.85184708375027</v>
      </c>
      <c r="H4041" s="100">
        <v>657.9245377485563</v>
      </c>
      <c r="I4041" s="100">
        <v>718.2778686643303</v>
      </c>
      <c r="J4041" s="100">
        <v>4401.4183854820021</v>
      </c>
    </row>
    <row r="4042" spans="1:10" x14ac:dyDescent="0.25">
      <c r="A4042">
        <v>4025</v>
      </c>
      <c r="B4042" s="100">
        <v>89.252214668541072</v>
      </c>
      <c r="C4042" s="100">
        <v>99.168091553395598</v>
      </c>
      <c r="D4042" s="100">
        <v>92.302393078552228</v>
      </c>
      <c r="E4042" s="100">
        <v>91.899501611850553</v>
      </c>
      <c r="F4042" s="100">
        <v>994.70819752399257</v>
      </c>
      <c r="G4042" s="100">
        <v>-1437.3030701502216</v>
      </c>
      <c r="H4042" s="100">
        <v>1027.3740538687548</v>
      </c>
      <c r="I4042" s="100">
        <v>1481.1380428506736</v>
      </c>
      <c r="J4042" s="100">
        <v>2065.9172240931994</v>
      </c>
    </row>
    <row r="4043" spans="1:10" x14ac:dyDescent="0.25">
      <c r="A4043">
        <v>4026</v>
      </c>
      <c r="B4043" s="100">
        <v>89.711570499480857</v>
      </c>
      <c r="C4043" s="100">
        <v>99.18613492675091</v>
      </c>
      <c r="D4043" s="100">
        <v>91.644815424445071</v>
      </c>
      <c r="E4043" s="100">
        <v>91.834294863015216</v>
      </c>
      <c r="F4043" s="100">
        <v>-521.16604457729773</v>
      </c>
      <c r="G4043" s="100">
        <v>-1464.3681301831889</v>
      </c>
      <c r="H4043" s="100">
        <v>2342.5293620830698</v>
      </c>
      <c r="I4043" s="100">
        <v>1546.3447916860105</v>
      </c>
      <c r="J4043" s="100">
        <v>1903.3399790085937</v>
      </c>
    </row>
    <row r="4044" spans="1:10" x14ac:dyDescent="0.25">
      <c r="A4044">
        <v>4027</v>
      </c>
      <c r="B4044" s="100">
        <v>89.801741550791931</v>
      </c>
      <c r="C4044" s="100">
        <v>98.243058910325743</v>
      </c>
      <c r="D4044" s="100">
        <v>90.463684443023581</v>
      </c>
      <c r="E4044" s="100">
        <v>94.505428480485179</v>
      </c>
      <c r="F4044" s="100">
        <v>-818.73051390384285</v>
      </c>
      <c r="G4044" s="100">
        <v>-49.754105545439131</v>
      </c>
      <c r="H4044" s="100">
        <v>4704.7913249260491</v>
      </c>
      <c r="I4044" s="100">
        <v>-1124.788825783952</v>
      </c>
      <c r="J4044" s="100">
        <v>2711.5178796928149</v>
      </c>
    </row>
    <row r="4045" spans="1:10" x14ac:dyDescent="0.25">
      <c r="A4045">
        <v>4028</v>
      </c>
      <c r="B4045" s="100">
        <v>89.480797989047034</v>
      </c>
      <c r="C4045" s="100">
        <v>97.576526052325505</v>
      </c>
      <c r="D4045" s="100">
        <v>91.763175787557799</v>
      </c>
      <c r="E4045" s="100">
        <v>94.40260939950069</v>
      </c>
      <c r="F4045" s="100">
        <v>240.38323985431873</v>
      </c>
      <c r="G4045" s="100">
        <v>950.04518145491807</v>
      </c>
      <c r="H4045" s="100">
        <v>2105.8086358576134</v>
      </c>
      <c r="I4045" s="100">
        <v>-1021.9697447994633</v>
      </c>
      <c r="J4045" s="100">
        <v>2274.2673123673867</v>
      </c>
    </row>
    <row r="4046" spans="1:10" x14ac:dyDescent="0.25">
      <c r="A4046">
        <v>4029</v>
      </c>
      <c r="B4046" s="100">
        <v>88.487588694491578</v>
      </c>
      <c r="C4046" s="100">
        <v>98.260464411514889</v>
      </c>
      <c r="D4046" s="100">
        <v>92.200972910035517</v>
      </c>
      <c r="E4046" s="100">
        <v>94.245732533925519</v>
      </c>
      <c r="F4046" s="100">
        <v>3517.9739118873231</v>
      </c>
      <c r="G4046" s="100">
        <v>-75.862357329157248</v>
      </c>
      <c r="H4046" s="100">
        <v>1230.2143909021765</v>
      </c>
      <c r="I4046" s="100">
        <v>-865.09287922429223</v>
      </c>
      <c r="J4046" s="100">
        <v>3807.2330662360509</v>
      </c>
    </row>
    <row r="4047" spans="1:10" x14ac:dyDescent="0.25">
      <c r="A4047">
        <v>4030</v>
      </c>
      <c r="B4047" s="100">
        <v>89.705625818184757</v>
      </c>
      <c r="C4047" s="100">
        <v>98.961187507923725</v>
      </c>
      <c r="D4047" s="100">
        <v>92.857707001460525</v>
      </c>
      <c r="E4047" s="100">
        <v>93.258259215420921</v>
      </c>
      <c r="F4047" s="100">
        <v>-501.54859630016801</v>
      </c>
      <c r="G4047" s="100">
        <v>-1126.947001942412</v>
      </c>
      <c r="H4047" s="100">
        <v>-83.253791947839773</v>
      </c>
      <c r="I4047" s="100">
        <v>122.38043928030606</v>
      </c>
      <c r="J4047" s="100">
        <v>-1589.3689509101137</v>
      </c>
    </row>
    <row r="4048" spans="1:10" x14ac:dyDescent="0.25">
      <c r="A4048">
        <v>4031</v>
      </c>
      <c r="B4048" s="100">
        <v>89.5013217577105</v>
      </c>
      <c r="C4048" s="100">
        <v>98.492060864372576</v>
      </c>
      <c r="D4048" s="100">
        <v>93.992425412342868</v>
      </c>
      <c r="E4048" s="100">
        <v>92.474001149523687</v>
      </c>
      <c r="F4048" s="100">
        <v>172.65480326488074</v>
      </c>
      <c r="G4048" s="100">
        <v>-423.25703661568781</v>
      </c>
      <c r="H4048" s="100">
        <v>-2352.6906137125252</v>
      </c>
      <c r="I4048" s="100">
        <v>906.63850517753986</v>
      </c>
      <c r="J4048" s="100">
        <v>-1696.6543418857925</v>
      </c>
    </row>
    <row r="4049" spans="1:10" x14ac:dyDescent="0.25">
      <c r="A4049">
        <v>4032</v>
      </c>
      <c r="B4049" s="100">
        <v>88.287358903934773</v>
      </c>
      <c r="C4049" s="100">
        <v>97.705812701187583</v>
      </c>
      <c r="D4049" s="100">
        <v>93.945771510100172</v>
      </c>
      <c r="E4049" s="100">
        <v>94.111016646209293</v>
      </c>
      <c r="F4049" s="100">
        <v>4178.7322207247771</v>
      </c>
      <c r="G4049" s="100">
        <v>756.11520816180189</v>
      </c>
      <c r="H4049" s="100">
        <v>-2259.3828092271337</v>
      </c>
      <c r="I4049" s="100">
        <v>-730.37699150806645</v>
      </c>
      <c r="J4049" s="100">
        <v>1945.0876281513788</v>
      </c>
    </row>
    <row r="4050" spans="1:10" x14ac:dyDescent="0.25">
      <c r="A4050">
        <v>4033</v>
      </c>
      <c r="B4050" s="100">
        <v>88.635587057632506</v>
      </c>
      <c r="C4050" s="100">
        <v>97.145167145713415</v>
      </c>
      <c r="D4050" s="100">
        <v>91.841368675929147</v>
      </c>
      <c r="E4050" s="100">
        <v>90.882851205200851</v>
      </c>
      <c r="F4050" s="100">
        <v>3029.5793135222593</v>
      </c>
      <c r="G4050" s="100">
        <v>1597.0835413730526</v>
      </c>
      <c r="H4050" s="100">
        <v>1949.4228591149181</v>
      </c>
      <c r="I4050" s="100">
        <v>2497.7884495003764</v>
      </c>
      <c r="J4050" s="100">
        <v>9073.8741635106071</v>
      </c>
    </row>
    <row r="4051" spans="1:10" x14ac:dyDescent="0.25">
      <c r="A4051">
        <v>4034</v>
      </c>
      <c r="B4051" s="100">
        <v>89.990075366788915</v>
      </c>
      <c r="C4051" s="100">
        <v>97.07184277661139</v>
      </c>
      <c r="D4051" s="100">
        <v>92.118586944349872</v>
      </c>
      <c r="E4051" s="100">
        <v>94.34929004024805</v>
      </c>
      <c r="F4051" s="100">
        <v>-1440.2321066938896</v>
      </c>
      <c r="G4051" s="100">
        <v>1707.07009502609</v>
      </c>
      <c r="H4051" s="100">
        <v>1394.9863222734677</v>
      </c>
      <c r="I4051" s="100">
        <v>-968.65038554682314</v>
      </c>
      <c r="J4051" s="100">
        <v>693.17392505884504</v>
      </c>
    </row>
    <row r="4052" spans="1:10" x14ac:dyDescent="0.25">
      <c r="A4052">
        <v>4035</v>
      </c>
      <c r="B4052" s="100">
        <v>89.895705554310652</v>
      </c>
      <c r="C4052" s="100">
        <v>98.500792023802759</v>
      </c>
      <c r="D4052" s="100">
        <v>93.234929022341561</v>
      </c>
      <c r="E4052" s="100">
        <v>92.363700740074407</v>
      </c>
      <c r="F4052" s="100">
        <v>-1128.8117255156224</v>
      </c>
      <c r="G4052" s="100">
        <v>-436.35377576096346</v>
      </c>
      <c r="H4052" s="100">
        <v>-837.69783370991036</v>
      </c>
      <c r="I4052" s="100">
        <v>1016.9389146268202</v>
      </c>
      <c r="J4052" s="100">
        <v>-1385.9244203596761</v>
      </c>
    </row>
    <row r="4053" spans="1:10" x14ac:dyDescent="0.25">
      <c r="A4053">
        <v>4036</v>
      </c>
      <c r="B4053" s="100">
        <v>88.855062315141012</v>
      </c>
      <c r="C4053" s="100">
        <v>97.985963632470245</v>
      </c>
      <c r="D4053" s="100">
        <v>93.661737661424254</v>
      </c>
      <c r="E4053" s="100">
        <v>92.699704766602565</v>
      </c>
      <c r="F4053" s="100">
        <v>2305.3109637441894</v>
      </c>
      <c r="G4053" s="100">
        <v>335.88881123780823</v>
      </c>
      <c r="H4053" s="100">
        <v>-1691.3151118752978</v>
      </c>
      <c r="I4053" s="100">
        <v>680.93488809866187</v>
      </c>
      <c r="J4053" s="100">
        <v>1630.8195512053617</v>
      </c>
    </row>
    <row r="4054" spans="1:10" x14ac:dyDescent="0.25">
      <c r="A4054">
        <v>4037</v>
      </c>
      <c r="B4054" s="100">
        <v>89.480636026237278</v>
      </c>
      <c r="C4054" s="100">
        <v>100.04734570269123</v>
      </c>
      <c r="D4054" s="100">
        <v>90.92853869442213</v>
      </c>
      <c r="E4054" s="100">
        <v>93.826372351714156</v>
      </c>
      <c r="F4054" s="100">
        <v>240.9177171265128</v>
      </c>
      <c r="G4054" s="100">
        <v>-2756.1842940936713</v>
      </c>
      <c r="H4054" s="100">
        <v>3775.0828221289512</v>
      </c>
      <c r="I4054" s="100">
        <v>-445.73269701292872</v>
      </c>
      <c r="J4054" s="100">
        <v>814.083548148864</v>
      </c>
    </row>
    <row r="4055" spans="1:10" x14ac:dyDescent="0.25">
      <c r="A4055">
        <v>4038</v>
      </c>
      <c r="B4055" s="100">
        <v>88.969750575060218</v>
      </c>
      <c r="C4055" s="100">
        <v>97.821495471723622</v>
      </c>
      <c r="D4055" s="100">
        <v>93.297379296126437</v>
      </c>
      <c r="E4055" s="100">
        <v>91.332847841025199</v>
      </c>
      <c r="F4055" s="100">
        <v>1926.8397060108114</v>
      </c>
      <c r="G4055" s="100">
        <v>582.591052357742</v>
      </c>
      <c r="H4055" s="100">
        <v>-962.59838127966191</v>
      </c>
      <c r="I4055" s="100">
        <v>2047.7918136760281</v>
      </c>
      <c r="J4055" s="100">
        <v>3594.6241907649191</v>
      </c>
    </row>
    <row r="4056" spans="1:10" x14ac:dyDescent="0.25">
      <c r="A4056">
        <v>4039</v>
      </c>
      <c r="B4056" s="100">
        <v>89.954706130082968</v>
      </c>
      <c r="C4056" s="100">
        <v>96.613188848643631</v>
      </c>
      <c r="D4056" s="100">
        <v>92.703076562180641</v>
      </c>
      <c r="E4056" s="100">
        <v>92.303741463684432</v>
      </c>
      <c r="F4056" s="100">
        <v>-1323.5136255642658</v>
      </c>
      <c r="G4056" s="100">
        <v>2395.0509869777293</v>
      </c>
      <c r="H4056" s="100">
        <v>226.00708661192925</v>
      </c>
      <c r="I4056" s="100">
        <v>1076.8981910167952</v>
      </c>
      <c r="J4056" s="100">
        <v>2374.4426390421877</v>
      </c>
    </row>
    <row r="4057" spans="1:10" x14ac:dyDescent="0.25">
      <c r="A4057">
        <v>4040</v>
      </c>
      <c r="B4057" s="100">
        <v>88.991743834847711</v>
      </c>
      <c r="C4057" s="100">
        <v>97.800587866079098</v>
      </c>
      <c r="D4057" s="100">
        <v>93.282582772785958</v>
      </c>
      <c r="E4057" s="100">
        <v>95.535056078576616</v>
      </c>
      <c r="F4057" s="100">
        <v>1854.2619487120846</v>
      </c>
      <c r="G4057" s="100">
        <v>613.95246082452809</v>
      </c>
      <c r="H4057" s="100">
        <v>-933.00533459870394</v>
      </c>
      <c r="I4057" s="100">
        <v>-2154.4164238753892</v>
      </c>
      <c r="J4057" s="100">
        <v>-619.20734893748022</v>
      </c>
    </row>
    <row r="4058" spans="1:10" x14ac:dyDescent="0.25">
      <c r="A4058">
        <v>4041</v>
      </c>
      <c r="B4058" s="100">
        <v>89.862188805832346</v>
      </c>
      <c r="C4058" s="100">
        <v>99.740638155846383</v>
      </c>
      <c r="D4058" s="100">
        <v>92.428107504800593</v>
      </c>
      <c r="E4058" s="100">
        <v>96.368683538808227</v>
      </c>
      <c r="F4058" s="100">
        <v>-1018.2064555372136</v>
      </c>
      <c r="G4058" s="100">
        <v>-2296.1229738263996</v>
      </c>
      <c r="H4058" s="100">
        <v>775.94520137202494</v>
      </c>
      <c r="I4058" s="100">
        <v>-2988.0438841070004</v>
      </c>
      <c r="J4058" s="100">
        <v>-5526.4281120985888</v>
      </c>
    </row>
    <row r="4059" spans="1:10" x14ac:dyDescent="0.25">
      <c r="A4059">
        <v>4042</v>
      </c>
      <c r="B4059" s="100">
        <v>89.433507334438559</v>
      </c>
      <c r="C4059" s="100">
        <v>98.772867424611746</v>
      </c>
      <c r="D4059" s="100">
        <v>91.989549447645786</v>
      </c>
      <c r="E4059" s="100">
        <v>93.297439937879616</v>
      </c>
      <c r="F4059" s="100">
        <v>396.44240006228415</v>
      </c>
      <c r="G4059" s="100">
        <v>-844.46687697444395</v>
      </c>
      <c r="H4059" s="100">
        <v>1653.0613156816401</v>
      </c>
      <c r="I4059" s="100">
        <v>83.199716821610536</v>
      </c>
      <c r="J4059" s="100">
        <v>1288.2365555910908</v>
      </c>
    </row>
    <row r="4060" spans="1:10" x14ac:dyDescent="0.25">
      <c r="A4060">
        <v>4043</v>
      </c>
      <c r="B4060" s="100">
        <v>89.112495667893143</v>
      </c>
      <c r="C4060" s="100">
        <v>97.171139198830943</v>
      </c>
      <c r="D4060" s="100">
        <v>91.240206142840293</v>
      </c>
      <c r="E4060" s="100">
        <v>94.94223791756076</v>
      </c>
      <c r="F4060" s="100">
        <v>1455.7808996621588</v>
      </c>
      <c r="G4060" s="100">
        <v>1558.1254616967612</v>
      </c>
      <c r="H4060" s="100">
        <v>3151.747925292625</v>
      </c>
      <c r="I4060" s="100">
        <v>-1561.5982628595334</v>
      </c>
      <c r="J4060" s="100">
        <v>4604.0560237920108</v>
      </c>
    </row>
    <row r="4061" spans="1:10" x14ac:dyDescent="0.25">
      <c r="A4061">
        <v>4044</v>
      </c>
      <c r="B4061" s="100">
        <v>89.530797685222325</v>
      </c>
      <c r="C4061" s="100">
        <v>97.118993027052795</v>
      </c>
      <c r="D4061" s="100">
        <v>91.828286021177874</v>
      </c>
      <c r="E4061" s="100">
        <v>93.833135544955709</v>
      </c>
      <c r="F4061" s="100">
        <v>75.384242475857377</v>
      </c>
      <c r="G4061" s="100">
        <v>1636.3447193639829</v>
      </c>
      <c r="H4061" s="100">
        <v>1975.5881686174632</v>
      </c>
      <c r="I4061" s="100">
        <v>-452.49589025448245</v>
      </c>
      <c r="J4061" s="100">
        <v>3234.8212402028212</v>
      </c>
    </row>
    <row r="4062" spans="1:10" x14ac:dyDescent="0.25">
      <c r="A4062">
        <v>4045</v>
      </c>
      <c r="B4062" s="100">
        <v>89.960991483254162</v>
      </c>
      <c r="C4062" s="100">
        <v>96.910788140839145</v>
      </c>
      <c r="D4062" s="100">
        <v>93.449158874259226</v>
      </c>
      <c r="E4062" s="100">
        <v>94.607430201832159</v>
      </c>
      <c r="F4062" s="100">
        <v>-1344.2552910292052</v>
      </c>
      <c r="G4062" s="100">
        <v>1948.6520486844584</v>
      </c>
      <c r="H4062" s="100">
        <v>-1266.1575375452401</v>
      </c>
      <c r="I4062" s="100">
        <v>-1226.7905471309318</v>
      </c>
      <c r="J4062" s="100">
        <v>-1888.5513270209187</v>
      </c>
    </row>
    <row r="4063" spans="1:10" x14ac:dyDescent="0.25">
      <c r="A4063">
        <v>4046</v>
      </c>
      <c r="B4063" s="100">
        <v>89.157407277120441</v>
      </c>
      <c r="C4063" s="100">
        <v>98.283808541336768</v>
      </c>
      <c r="D4063" s="100">
        <v>94.608028484584494</v>
      </c>
      <c r="E4063" s="100">
        <v>92.527614590024399</v>
      </c>
      <c r="F4063" s="100">
        <v>1307.5725892120729</v>
      </c>
      <c r="G4063" s="100">
        <v>-110.87855206197617</v>
      </c>
      <c r="H4063" s="100">
        <v>-3583.8967581957777</v>
      </c>
      <c r="I4063" s="100">
        <v>853.02506467682804</v>
      </c>
      <c r="J4063" s="100">
        <v>-1534.1776563688527</v>
      </c>
    </row>
    <row r="4064" spans="1:10" x14ac:dyDescent="0.25">
      <c r="A4064">
        <v>4047</v>
      </c>
      <c r="B4064" s="100">
        <v>89.643862493435037</v>
      </c>
      <c r="C4064" s="100">
        <v>99.014880758925514</v>
      </c>
      <c r="D4064" s="100">
        <v>93.187171233823179</v>
      </c>
      <c r="E4064" s="100">
        <v>95.515373242622431</v>
      </c>
      <c r="F4064" s="100">
        <v>-297.72962462609343</v>
      </c>
      <c r="G4064" s="100">
        <v>-1207.4868784450955</v>
      </c>
      <c r="H4064" s="100">
        <v>-742.18225667314641</v>
      </c>
      <c r="I4064" s="100">
        <v>-2134.7335879212042</v>
      </c>
      <c r="J4064" s="100">
        <v>-4382.1323476655398</v>
      </c>
    </row>
    <row r="4065" spans="1:10" x14ac:dyDescent="0.25">
      <c r="A4065">
        <v>4048</v>
      </c>
      <c r="B4065" s="100">
        <v>89.201614165898221</v>
      </c>
      <c r="C4065" s="100">
        <v>99.105359286624562</v>
      </c>
      <c r="D4065" s="100">
        <v>93.061525338180957</v>
      </c>
      <c r="E4065" s="100">
        <v>90.985172097190826</v>
      </c>
      <c r="F4065" s="100">
        <v>1161.6898562454012</v>
      </c>
      <c r="G4065" s="100">
        <v>-1343.2046699936677</v>
      </c>
      <c r="H4065" s="100">
        <v>-490.89046538870207</v>
      </c>
      <c r="I4065" s="100">
        <v>2395.4675575104006</v>
      </c>
      <c r="J4065" s="100">
        <v>1723.062278373432</v>
      </c>
    </row>
    <row r="4066" spans="1:10" x14ac:dyDescent="0.25">
      <c r="A4066">
        <v>4049</v>
      </c>
      <c r="B4066" s="100">
        <v>90.341400879267695</v>
      </c>
      <c r="C4066" s="100">
        <v>96.838635281773264</v>
      </c>
      <c r="D4066" s="100">
        <v>91.663481319069419</v>
      </c>
      <c r="E4066" s="100">
        <v>96.410975167446011</v>
      </c>
      <c r="F4066" s="100">
        <v>-2599.6062978738651</v>
      </c>
      <c r="G4066" s="100">
        <v>2056.8813372832792</v>
      </c>
      <c r="H4066" s="100">
        <v>2305.1975728343732</v>
      </c>
      <c r="I4066" s="100">
        <v>-3030.3355127447844</v>
      </c>
      <c r="J4066" s="100">
        <v>-1267.8629005009971</v>
      </c>
    </row>
    <row r="4067" spans="1:10" x14ac:dyDescent="0.25">
      <c r="A4067">
        <v>4050</v>
      </c>
      <c r="B4067" s="100">
        <v>89.573483961036075</v>
      </c>
      <c r="C4067" s="100">
        <v>97.891663525108584</v>
      </c>
      <c r="D4067" s="100">
        <v>91.416992418067565</v>
      </c>
      <c r="E4067" s="100">
        <v>95.076169347605756</v>
      </c>
      <c r="F4067" s="100">
        <v>-65.480467709518564</v>
      </c>
      <c r="G4067" s="100">
        <v>477.33897228030031</v>
      </c>
      <c r="H4067" s="100">
        <v>2798.1753748380811</v>
      </c>
      <c r="I4067" s="100">
        <v>-1695.5296929045289</v>
      </c>
      <c r="J4067" s="100">
        <v>1514.504186504334</v>
      </c>
    </row>
    <row r="4068" spans="1:10" x14ac:dyDescent="0.25">
      <c r="A4068">
        <v>4051</v>
      </c>
      <c r="B4068" s="100">
        <v>88.817665805704408</v>
      </c>
      <c r="C4068" s="100">
        <v>98.584375115817906</v>
      </c>
      <c r="D4068" s="100">
        <v>93.859616780449016</v>
      </c>
      <c r="E4068" s="100">
        <v>90.975356236534793</v>
      </c>
      <c r="F4068" s="100">
        <v>2428.7194448849832</v>
      </c>
      <c r="G4068" s="100">
        <v>-561.72841378368332</v>
      </c>
      <c r="H4068" s="100">
        <v>-2087.0733499248217</v>
      </c>
      <c r="I4068" s="100">
        <v>2405.2834181664339</v>
      </c>
      <c r="J4068" s="100">
        <v>2185.2010993429121</v>
      </c>
    </row>
    <row r="4069" spans="1:10" x14ac:dyDescent="0.25">
      <c r="A4069">
        <v>4052</v>
      </c>
      <c r="B4069" s="100">
        <v>89.666647637112945</v>
      </c>
      <c r="C4069" s="100">
        <v>98.492029036647054</v>
      </c>
      <c r="D4069" s="100">
        <v>94.808724988715127</v>
      </c>
      <c r="E4069" s="100">
        <v>92.686947109371587</v>
      </c>
      <c r="F4069" s="100">
        <v>-372.92059876318859</v>
      </c>
      <c r="G4069" s="100">
        <v>-423.20929502740512</v>
      </c>
      <c r="H4069" s="100">
        <v>-3985.2897664570437</v>
      </c>
      <c r="I4069" s="100">
        <v>693.69254532963964</v>
      </c>
      <c r="J4069" s="100">
        <v>-4087.7271149179978</v>
      </c>
    </row>
    <row r="4070" spans="1:10" x14ac:dyDescent="0.25">
      <c r="A4070">
        <v>4053</v>
      </c>
      <c r="B4070" s="100">
        <v>90.267883629765194</v>
      </c>
      <c r="C4070" s="100">
        <v>97.967780554507414</v>
      </c>
      <c r="D4070" s="100">
        <v>94.525432431947593</v>
      </c>
      <c r="E4070" s="100">
        <v>94.41993938750565</v>
      </c>
      <c r="F4070" s="100">
        <v>-2356.9993745156112</v>
      </c>
      <c r="G4070" s="100">
        <v>363.16342818205527</v>
      </c>
      <c r="H4070" s="100">
        <v>-3418.7046529219742</v>
      </c>
      <c r="I4070" s="100">
        <v>-1039.299732804423</v>
      </c>
      <c r="J4070" s="100">
        <v>-6451.8403320599527</v>
      </c>
    </row>
    <row r="4071" spans="1:10" x14ac:dyDescent="0.25">
      <c r="A4071">
        <v>4054</v>
      </c>
      <c r="B4071" s="100">
        <v>89.893083973650178</v>
      </c>
      <c r="C4071" s="100">
        <v>99.342475727985345</v>
      </c>
      <c r="D4071" s="100">
        <v>92.845915010576192</v>
      </c>
      <c r="E4071" s="100">
        <v>93.212242253943657</v>
      </c>
      <c r="F4071" s="100">
        <v>-1120.1605093360583</v>
      </c>
      <c r="G4071" s="100">
        <v>-1698.879332034842</v>
      </c>
      <c r="H4071" s="100">
        <v>-59.669810179173055</v>
      </c>
      <c r="I4071" s="100">
        <v>168.39740075756993</v>
      </c>
      <c r="J4071" s="100">
        <v>-2710.3122507925036</v>
      </c>
    </row>
    <row r="4072" spans="1:10" x14ac:dyDescent="0.25">
      <c r="A4072">
        <v>4055</v>
      </c>
      <c r="B4072" s="100">
        <v>90.400429062060681</v>
      </c>
      <c r="C4072" s="100">
        <v>99.214356969623068</v>
      </c>
      <c r="D4072" s="100">
        <v>92.562216512432173</v>
      </c>
      <c r="E4072" s="100">
        <v>93.411331257225669</v>
      </c>
      <c r="F4072" s="100">
        <v>-2794.3993010907179</v>
      </c>
      <c r="G4072" s="100">
        <v>-1506.701194491427</v>
      </c>
      <c r="H4072" s="100">
        <v>507.72718610886614</v>
      </c>
      <c r="I4072" s="100">
        <v>-30.691602524441919</v>
      </c>
      <c r="J4072" s="100">
        <v>-3824.0649119977202</v>
      </c>
    </row>
    <row r="4073" spans="1:10" x14ac:dyDescent="0.25">
      <c r="A4073">
        <v>4056</v>
      </c>
      <c r="B4073" s="100">
        <v>89.225489680017148</v>
      </c>
      <c r="C4073" s="100">
        <v>97.848567511111852</v>
      </c>
      <c r="D4073" s="100">
        <v>93.206491789333498</v>
      </c>
      <c r="E4073" s="100">
        <v>92.289438832881885</v>
      </c>
      <c r="F4073" s="100">
        <v>1082.9006596529412</v>
      </c>
      <c r="G4073" s="100">
        <v>541.98299327539701</v>
      </c>
      <c r="H4073" s="100">
        <v>-780.82336769378458</v>
      </c>
      <c r="I4073" s="100">
        <v>1091.2008218193421</v>
      </c>
      <c r="J4073" s="100">
        <v>1935.2611070538956</v>
      </c>
    </row>
    <row r="4074" spans="1:10" x14ac:dyDescent="0.25">
      <c r="A4074">
        <v>4057</v>
      </c>
      <c r="B4074" s="100">
        <v>89.602734790086942</v>
      </c>
      <c r="C4074" s="100">
        <v>100.2270089734678</v>
      </c>
      <c r="D4074" s="100">
        <v>91.192310323605255</v>
      </c>
      <c r="E4074" s="100">
        <v>92.463405339880111</v>
      </c>
      <c r="F4074" s="100">
        <v>-162.00820357737769</v>
      </c>
      <c r="G4074" s="100">
        <v>-3025.6792002585298</v>
      </c>
      <c r="H4074" s="100">
        <v>3247.5395637627003</v>
      </c>
      <c r="I4074" s="100">
        <v>917.2343148211155</v>
      </c>
      <c r="J4074" s="100">
        <v>977.08647474790837</v>
      </c>
    </row>
    <row r="4075" spans="1:10" x14ac:dyDescent="0.25">
      <c r="A4075">
        <v>4058</v>
      </c>
      <c r="B4075" s="100">
        <v>89.557403445716176</v>
      </c>
      <c r="C4075" s="100">
        <v>98.49406776205312</v>
      </c>
      <c r="D4075" s="100">
        <v>92.681646796013553</v>
      </c>
      <c r="E4075" s="100">
        <v>95.667372135953883</v>
      </c>
      <c r="F4075" s="100">
        <v>-12.414767153850903</v>
      </c>
      <c r="G4075" s="100">
        <v>-426.26738313650492</v>
      </c>
      <c r="H4075" s="100">
        <v>268.86661894610597</v>
      </c>
      <c r="I4075" s="100">
        <v>-2286.7324812526563</v>
      </c>
      <c r="J4075" s="100">
        <v>-2456.5480125969061</v>
      </c>
    </row>
    <row r="4076" spans="1:10" x14ac:dyDescent="0.25">
      <c r="A4076">
        <v>4059</v>
      </c>
      <c r="B4076" s="100">
        <v>89.863240150450679</v>
      </c>
      <c r="C4076" s="100">
        <v>99.311682952995938</v>
      </c>
      <c r="D4076" s="100">
        <v>92.810193200242594</v>
      </c>
      <c r="E4076" s="100">
        <v>92.001082680463966</v>
      </c>
      <c r="F4076" s="100">
        <v>-1021.6758927777107</v>
      </c>
      <c r="G4076" s="100">
        <v>-1652.6901695507306</v>
      </c>
      <c r="H4076" s="100">
        <v>11.773810488023173</v>
      </c>
      <c r="I4076" s="100">
        <v>1379.5569742372606</v>
      </c>
      <c r="J4076" s="100">
        <v>-1283.0352776031575</v>
      </c>
    </row>
    <row r="4077" spans="1:10" x14ac:dyDescent="0.25">
      <c r="A4077">
        <v>4060</v>
      </c>
      <c r="B4077" s="100">
        <v>89.917364634824906</v>
      </c>
      <c r="C4077" s="100">
        <v>97.794024244420612</v>
      </c>
      <c r="D4077" s="100">
        <v>93.702702929010655</v>
      </c>
      <c r="E4077" s="100">
        <v>92.184553754484028</v>
      </c>
      <c r="F4077" s="100">
        <v>-1200.2866912126619</v>
      </c>
      <c r="G4077" s="100">
        <v>623.79789331225766</v>
      </c>
      <c r="H4077" s="100">
        <v>-1773.2456470480997</v>
      </c>
      <c r="I4077" s="100">
        <v>1196.0859002171987</v>
      </c>
      <c r="J4077" s="100">
        <v>-1153.6485447313053</v>
      </c>
    </row>
    <row r="4078" spans="1:10" x14ac:dyDescent="0.25">
      <c r="A4078">
        <v>4061</v>
      </c>
      <c r="B4078" s="100">
        <v>90.697646925989318</v>
      </c>
      <c r="C4078" s="100">
        <v>98.391929165868149</v>
      </c>
      <c r="D4078" s="100">
        <v>92.852519568783322</v>
      </c>
      <c r="E4078" s="100">
        <v>93.151334932249384</v>
      </c>
      <c r="F4078" s="100">
        <v>-3775.2182520552196</v>
      </c>
      <c r="G4078" s="100">
        <v>-273.05948885904741</v>
      </c>
      <c r="H4078" s="100">
        <v>-72.878926593432425</v>
      </c>
      <c r="I4078" s="100">
        <v>229.30472245184319</v>
      </c>
      <c r="J4078" s="100">
        <v>-3891.851945055856</v>
      </c>
    </row>
    <row r="4079" spans="1:10" x14ac:dyDescent="0.25">
      <c r="A4079">
        <v>4062</v>
      </c>
      <c r="B4079" s="100">
        <v>89.875715221098787</v>
      </c>
      <c r="C4079" s="100">
        <v>98.062730149025356</v>
      </c>
      <c r="D4079" s="100">
        <v>92.454400840814316</v>
      </c>
      <c r="E4079" s="100">
        <v>92.404604648141074</v>
      </c>
      <c r="F4079" s="100">
        <v>-1062.8436259164673</v>
      </c>
      <c r="G4079" s="100">
        <v>220.73903640514203</v>
      </c>
      <c r="H4079" s="100">
        <v>723.35852934457989</v>
      </c>
      <c r="I4079" s="100">
        <v>976.03500656015285</v>
      </c>
      <c r="J4079" s="100">
        <v>857.28894639340751</v>
      </c>
    </row>
    <row r="4080" spans="1:10" x14ac:dyDescent="0.25">
      <c r="A4080">
        <v>4063</v>
      </c>
      <c r="B4080" s="100">
        <v>90.7427019335084</v>
      </c>
      <c r="C4080" s="100">
        <v>99.597029218425206</v>
      </c>
      <c r="D4080" s="100">
        <v>93.651285696791192</v>
      </c>
      <c r="E4080" s="100">
        <v>92.051821690547214</v>
      </c>
      <c r="F4080" s="100">
        <v>-3923.8997768681897</v>
      </c>
      <c r="G4080" s="100">
        <v>-2080.7095676946333</v>
      </c>
      <c r="H4080" s="100">
        <v>-1670.4111826091719</v>
      </c>
      <c r="I4080" s="100">
        <v>1328.8179641540125</v>
      </c>
      <c r="J4080" s="100">
        <v>-6346.2025630179824</v>
      </c>
    </row>
    <row r="4081" spans="1:10" x14ac:dyDescent="0.25">
      <c r="A4081">
        <v>4064</v>
      </c>
      <c r="B4081" s="100">
        <v>88.480590451156871</v>
      </c>
      <c r="C4081" s="100">
        <v>98.312324687726871</v>
      </c>
      <c r="D4081" s="100">
        <v>92.775178769247773</v>
      </c>
      <c r="E4081" s="100">
        <v>93.999671723675618</v>
      </c>
      <c r="F4081" s="100">
        <v>3541.0681148918543</v>
      </c>
      <c r="G4081" s="100">
        <v>-153.6527716471312</v>
      </c>
      <c r="H4081" s="100">
        <v>81.802672477664373</v>
      </c>
      <c r="I4081" s="100">
        <v>-619.03206897439134</v>
      </c>
      <c r="J4081" s="100">
        <v>2850.1859467479962</v>
      </c>
    </row>
    <row r="4082" spans="1:10" x14ac:dyDescent="0.25">
      <c r="A4082">
        <v>4065</v>
      </c>
      <c r="B4082" s="100">
        <v>89.853676538184217</v>
      </c>
      <c r="C4082" s="100">
        <v>98.321329522270517</v>
      </c>
      <c r="D4082" s="100">
        <v>93.506376118915782</v>
      </c>
      <c r="E4082" s="100">
        <v>93.232569665141881</v>
      </c>
      <c r="F4082" s="100">
        <v>-990.11597229838776</v>
      </c>
      <c r="G4082" s="100">
        <v>-167.16002346259984</v>
      </c>
      <c r="H4082" s="100">
        <v>-1380.592026858352</v>
      </c>
      <c r="I4082" s="100">
        <v>148.06998955934603</v>
      </c>
      <c r="J4082" s="100">
        <v>-2389.7980330599935</v>
      </c>
    </row>
    <row r="4083" spans="1:10" x14ac:dyDescent="0.25">
      <c r="A4083">
        <v>4066</v>
      </c>
      <c r="B4083" s="100">
        <v>89.934754233204799</v>
      </c>
      <c r="C4083" s="100">
        <v>97.86031899281727</v>
      </c>
      <c r="D4083" s="100">
        <v>93.907488246528501</v>
      </c>
      <c r="E4083" s="100">
        <v>93.23505652828149</v>
      </c>
      <c r="F4083" s="100">
        <v>-1257.6723658663084</v>
      </c>
      <c r="G4083" s="100">
        <v>524.3557707172713</v>
      </c>
      <c r="H4083" s="100">
        <v>-2182.8162820837915</v>
      </c>
      <c r="I4083" s="100">
        <v>145.58312641973714</v>
      </c>
      <c r="J4083" s="100">
        <v>-2770.5497508130916</v>
      </c>
    </row>
    <row r="4084" spans="1:10" x14ac:dyDescent="0.25">
      <c r="A4084">
        <v>4067</v>
      </c>
      <c r="B4084" s="100">
        <v>89.161507711171964</v>
      </c>
      <c r="C4084" s="100">
        <v>98.02786598442384</v>
      </c>
      <c r="D4084" s="100">
        <v>92.445319833658004</v>
      </c>
      <c r="E4084" s="100">
        <v>93.311077238412082</v>
      </c>
      <c r="F4084" s="100">
        <v>1294.0411568420473</v>
      </c>
      <c r="G4084" s="100">
        <v>273.035283307415</v>
      </c>
      <c r="H4084" s="100">
        <v>741.52054365720232</v>
      </c>
      <c r="I4084" s="100">
        <v>69.562416289144835</v>
      </c>
      <c r="J4084" s="100">
        <v>2378.1594000958098</v>
      </c>
    </row>
    <row r="4085" spans="1:10" x14ac:dyDescent="0.25">
      <c r="A4085">
        <v>4068</v>
      </c>
      <c r="B4085" s="100">
        <v>90.027518828458227</v>
      </c>
      <c r="C4085" s="100">
        <v>97.199525870831252</v>
      </c>
      <c r="D4085" s="100">
        <v>92.573282898587138</v>
      </c>
      <c r="E4085" s="100">
        <v>92.883514788078784</v>
      </c>
      <c r="F4085" s="100">
        <v>-1563.7955302026198</v>
      </c>
      <c r="G4085" s="100">
        <v>1515.5454536962977</v>
      </c>
      <c r="H4085" s="100">
        <v>485.59441379893542</v>
      </c>
      <c r="I4085" s="100">
        <v>497.1248666224426</v>
      </c>
      <c r="J4085" s="100">
        <v>934.46920391505591</v>
      </c>
    </row>
    <row r="4086" spans="1:10" x14ac:dyDescent="0.25">
      <c r="A4086">
        <v>4069</v>
      </c>
      <c r="B4086" s="100">
        <v>89.230393767013837</v>
      </c>
      <c r="C4086" s="100">
        <v>97.581473248113241</v>
      </c>
      <c r="D4086" s="100">
        <v>91.398724118367539</v>
      </c>
      <c r="E4086" s="100">
        <v>92.41518995363937</v>
      </c>
      <c r="F4086" s="100">
        <v>1066.7171725638682</v>
      </c>
      <c r="G4086" s="100">
        <v>942.62438777331431</v>
      </c>
      <c r="H4086" s="100">
        <v>2834.7119742381324</v>
      </c>
      <c r="I4086" s="100">
        <v>965.44970106185701</v>
      </c>
      <c r="J4086" s="100">
        <v>5809.5032356371721</v>
      </c>
    </row>
    <row r="4087" spans="1:10" x14ac:dyDescent="0.25">
      <c r="A4087">
        <v>4070</v>
      </c>
      <c r="B4087" s="100">
        <v>89.305814981658315</v>
      </c>
      <c r="C4087" s="100">
        <v>98.223946651746473</v>
      </c>
      <c r="D4087" s="100">
        <v>93.124075449347629</v>
      </c>
      <c r="E4087" s="100">
        <v>93.950578104061151</v>
      </c>
      <c r="F4087" s="100">
        <v>817.82716423708871</v>
      </c>
      <c r="G4087" s="100">
        <v>-21.085717676534443</v>
      </c>
      <c r="H4087" s="100">
        <v>-615.99068772204646</v>
      </c>
      <c r="I4087" s="100">
        <v>-569.93844935992399</v>
      </c>
      <c r="J4087" s="100">
        <v>-389.18769052141613</v>
      </c>
    </row>
    <row r="4088" spans="1:10" x14ac:dyDescent="0.25">
      <c r="A4088">
        <v>4071</v>
      </c>
      <c r="B4088" s="100">
        <v>90.237939137639273</v>
      </c>
      <c r="C4088" s="100">
        <v>97.800253791044554</v>
      </c>
      <c r="D4088" s="100">
        <v>92.813552074138414</v>
      </c>
      <c r="E4088" s="100">
        <v>91.06859498344248</v>
      </c>
      <c r="F4088" s="100">
        <v>-2258.1825505000725</v>
      </c>
      <c r="G4088" s="100">
        <v>614.45357337634482</v>
      </c>
      <c r="H4088" s="100">
        <v>5.0560626963829236</v>
      </c>
      <c r="I4088" s="100">
        <v>2312.0446712587463</v>
      </c>
      <c r="J4088" s="100">
        <v>673.37175683140163</v>
      </c>
    </row>
    <row r="4089" spans="1:10" x14ac:dyDescent="0.25">
      <c r="A4089">
        <v>4072</v>
      </c>
      <c r="B4089" s="100">
        <v>89.040723442694272</v>
      </c>
      <c r="C4089" s="100">
        <v>98.02528086718327</v>
      </c>
      <c r="D4089" s="100">
        <v>92.590988434754152</v>
      </c>
      <c r="E4089" s="100">
        <v>92.972541081283637</v>
      </c>
      <c r="F4089" s="100">
        <v>1692.6292428184311</v>
      </c>
      <c r="G4089" s="100">
        <v>276.9129591682713</v>
      </c>
      <c r="H4089" s="100">
        <v>450.18334146490702</v>
      </c>
      <c r="I4089" s="100">
        <v>408.09857341758971</v>
      </c>
      <c r="J4089" s="100">
        <v>2827.8241168691989</v>
      </c>
    </row>
    <row r="4090" spans="1:10" x14ac:dyDescent="0.25">
      <c r="A4090">
        <v>4073</v>
      </c>
      <c r="B4090" s="100">
        <v>89.783541822507075</v>
      </c>
      <c r="C4090" s="100">
        <v>99.022573680468128</v>
      </c>
      <c r="D4090" s="100">
        <v>93.140102513206955</v>
      </c>
      <c r="E4090" s="100">
        <v>93.702348541273551</v>
      </c>
      <c r="F4090" s="100">
        <v>-758.67141056381934</v>
      </c>
      <c r="G4090" s="100">
        <v>-1219.0262607590157</v>
      </c>
      <c r="H4090" s="100">
        <v>-648.04481544069859</v>
      </c>
      <c r="I4090" s="100">
        <v>-321.7088865723241</v>
      </c>
      <c r="J4090" s="100">
        <v>-2947.4513733358576</v>
      </c>
    </row>
    <row r="4091" spans="1:10" x14ac:dyDescent="0.25">
      <c r="A4091">
        <v>4074</v>
      </c>
      <c r="B4091" s="100">
        <v>89.503550861241408</v>
      </c>
      <c r="C4091" s="100">
        <v>98.186988220091166</v>
      </c>
      <c r="D4091" s="100">
        <v>90.725330879699882</v>
      </c>
      <c r="E4091" s="100">
        <v>92.155662474857351</v>
      </c>
      <c r="F4091" s="100">
        <v>165.29876161288399</v>
      </c>
      <c r="G4091" s="100">
        <v>34.35192980642654</v>
      </c>
      <c r="H4091" s="100">
        <v>4181.4984515734468</v>
      </c>
      <c r="I4091" s="100">
        <v>1224.9771798438758</v>
      </c>
      <c r="J4091" s="100">
        <v>5606.1263228366333</v>
      </c>
    </row>
    <row r="4092" spans="1:10" x14ac:dyDescent="0.25">
      <c r="A4092">
        <v>4075</v>
      </c>
      <c r="B4092" s="100">
        <v>89.946181246411996</v>
      </c>
      <c r="C4092" s="100">
        <v>96.965131816645709</v>
      </c>
      <c r="D4092" s="100">
        <v>93.620275883180469</v>
      </c>
      <c r="E4092" s="100">
        <v>93.901889376282412</v>
      </c>
      <c r="F4092" s="100">
        <v>-1295.3815094500569</v>
      </c>
      <c r="G4092" s="100">
        <v>1867.1365349746125</v>
      </c>
      <c r="H4092" s="100">
        <v>-1608.3915553877262</v>
      </c>
      <c r="I4092" s="100">
        <v>-521.2497215811851</v>
      </c>
      <c r="J4092" s="100">
        <v>-1557.8862514443558</v>
      </c>
    </row>
    <row r="4093" spans="1:10" x14ac:dyDescent="0.25">
      <c r="A4093">
        <v>4076</v>
      </c>
      <c r="B4093" s="100">
        <v>89.474731581859587</v>
      </c>
      <c r="C4093" s="100">
        <v>98.489276320285185</v>
      </c>
      <c r="D4093" s="100">
        <v>92.395514766853893</v>
      </c>
      <c r="E4093" s="100">
        <v>92.336260462087907</v>
      </c>
      <c r="F4093" s="100">
        <v>260.40238357289383</v>
      </c>
      <c r="G4093" s="100">
        <v>-419.08022048460225</v>
      </c>
      <c r="H4093" s="100">
        <v>841.13067726542567</v>
      </c>
      <c r="I4093" s="100">
        <v>1044.3791926133201</v>
      </c>
      <c r="J4093" s="100">
        <v>1726.8320329670373</v>
      </c>
    </row>
    <row r="4094" spans="1:10" x14ac:dyDescent="0.25">
      <c r="A4094">
        <v>4077</v>
      </c>
      <c r="B4094" s="100">
        <v>90.055302800511484</v>
      </c>
      <c r="C4094" s="100">
        <v>98.066696946626209</v>
      </c>
      <c r="D4094" s="100">
        <v>92.577007724123092</v>
      </c>
      <c r="E4094" s="100">
        <v>91.297701856292747</v>
      </c>
      <c r="F4094" s="100">
        <v>-1655.4826379783676</v>
      </c>
      <c r="G4094" s="100">
        <v>214.78884000386245</v>
      </c>
      <c r="H4094" s="100">
        <v>478.14476272702677</v>
      </c>
      <c r="I4094" s="100">
        <v>2082.9377984084799</v>
      </c>
      <c r="J4094" s="100">
        <v>1120.3887631610014</v>
      </c>
    </row>
    <row r="4095" spans="1:10" x14ac:dyDescent="0.25">
      <c r="A4095">
        <v>4078</v>
      </c>
      <c r="B4095" s="100">
        <v>90.16166185961761</v>
      </c>
      <c r="C4095" s="100">
        <v>99.566625793275946</v>
      </c>
      <c r="D4095" s="100">
        <v>92.576171279084136</v>
      </c>
      <c r="E4095" s="100">
        <v>94.133309096081561</v>
      </c>
      <c r="F4095" s="100">
        <v>-2006.4675330285822</v>
      </c>
      <c r="G4095" s="100">
        <v>-2035.1044299707439</v>
      </c>
      <c r="H4095" s="100">
        <v>479.8176528049396</v>
      </c>
      <c r="I4095" s="100">
        <v>-752.66944138033409</v>
      </c>
      <c r="J4095" s="100">
        <v>-4314.4237515747209</v>
      </c>
    </row>
    <row r="4096" spans="1:10" x14ac:dyDescent="0.25">
      <c r="A4096">
        <v>4079</v>
      </c>
      <c r="B4096" s="100">
        <v>88.74045953272676</v>
      </c>
      <c r="C4096" s="100">
        <v>96.539200411734925</v>
      </c>
      <c r="D4096" s="100">
        <v>91.605558082975151</v>
      </c>
      <c r="E4096" s="100">
        <v>91.231633360960515</v>
      </c>
      <c r="F4096" s="100">
        <v>2683.5001457112212</v>
      </c>
      <c r="G4096" s="100">
        <v>2506.0336423407889</v>
      </c>
      <c r="H4096" s="100">
        <v>2421.0440450229098</v>
      </c>
      <c r="I4096" s="100">
        <v>2149.006293740712</v>
      </c>
      <c r="J4096" s="100">
        <v>9759.5841268156328</v>
      </c>
    </row>
    <row r="4097" spans="1:10" x14ac:dyDescent="0.25">
      <c r="A4097">
        <v>4080</v>
      </c>
      <c r="B4097" s="100">
        <v>89.724773751540056</v>
      </c>
      <c r="C4097" s="100">
        <v>97.754936232103901</v>
      </c>
      <c r="D4097" s="100">
        <v>92.696202830073162</v>
      </c>
      <c r="E4097" s="100">
        <v>95.041666196828956</v>
      </c>
      <c r="F4097" s="100">
        <v>-564.73677637265496</v>
      </c>
      <c r="G4097" s="100">
        <v>682.42991178732382</v>
      </c>
      <c r="H4097" s="100">
        <v>239.75455082688768</v>
      </c>
      <c r="I4097" s="100">
        <v>-1661.026542127729</v>
      </c>
      <c r="J4097" s="100">
        <v>-1303.5788558861725</v>
      </c>
    </row>
    <row r="4098" spans="1:10" x14ac:dyDescent="0.25">
      <c r="A4098">
        <v>4081</v>
      </c>
      <c r="B4098" s="100">
        <v>89.702707048159212</v>
      </c>
      <c r="C4098" s="100">
        <v>98.541225890488178</v>
      </c>
      <c r="D4098" s="100">
        <v>91.311884582410585</v>
      </c>
      <c r="E4098" s="100">
        <v>93.489251988160191</v>
      </c>
      <c r="F4098" s="100">
        <v>-491.91665521586998</v>
      </c>
      <c r="G4098" s="100">
        <v>-497.00457578909152</v>
      </c>
      <c r="H4098" s="100">
        <v>3008.3910461520418</v>
      </c>
      <c r="I4098" s="100">
        <v>-108.61233345896437</v>
      </c>
      <c r="J4098" s="100">
        <v>1910.857481688116</v>
      </c>
    </row>
    <row r="4099" spans="1:10" x14ac:dyDescent="0.25">
      <c r="A4099">
        <v>4082</v>
      </c>
      <c r="B4099" s="100">
        <v>89.267733422505174</v>
      </c>
      <c r="C4099" s="100">
        <v>98.287208272432636</v>
      </c>
      <c r="D4099" s="100">
        <v>94.221091646250386</v>
      </c>
      <c r="E4099" s="100">
        <v>93.300174219312126</v>
      </c>
      <c r="F4099" s="100">
        <v>943.49630944245609</v>
      </c>
      <c r="G4099" s="100">
        <v>-115.97814870577849</v>
      </c>
      <c r="H4099" s="100">
        <v>-2810.0230815275609</v>
      </c>
      <c r="I4099" s="100">
        <v>80.465435389101003</v>
      </c>
      <c r="J4099" s="100">
        <v>-1902.0394854017823</v>
      </c>
    </row>
    <row r="4100" spans="1:10" x14ac:dyDescent="0.25">
      <c r="A4100">
        <v>4083</v>
      </c>
      <c r="B4100" s="100">
        <v>89.598136251896122</v>
      </c>
      <c r="C4100" s="100">
        <v>99.406991913463074</v>
      </c>
      <c r="D4100" s="100">
        <v>91.575276828772132</v>
      </c>
      <c r="E4100" s="100">
        <v>93.958900609281656</v>
      </c>
      <c r="F4100" s="100">
        <v>-146.83302754767311</v>
      </c>
      <c r="G4100" s="100">
        <v>-1795.6536102514349</v>
      </c>
      <c r="H4100" s="100">
        <v>2481.6065534289464</v>
      </c>
      <c r="I4100" s="100">
        <v>-578.26095458042914</v>
      </c>
      <c r="J4100" s="100">
        <v>-39.141038950590655</v>
      </c>
    </row>
    <row r="4101" spans="1:10" x14ac:dyDescent="0.25">
      <c r="A4101">
        <v>4084</v>
      </c>
      <c r="B4101" s="100">
        <v>89.876294482632815</v>
      </c>
      <c r="C4101" s="100">
        <v>99.679052380925086</v>
      </c>
      <c r="D4101" s="100">
        <v>93.342959319665837</v>
      </c>
      <c r="E4101" s="100">
        <v>90.442043927101537</v>
      </c>
      <c r="F4101" s="100">
        <v>-1064.7551889787608</v>
      </c>
      <c r="G4101" s="100">
        <v>-2203.7443114444527</v>
      </c>
      <c r="H4101" s="100">
        <v>-1053.7584283584636</v>
      </c>
      <c r="I4101" s="100">
        <v>2938.5957275996902</v>
      </c>
      <c r="J4101" s="100">
        <v>-1383.6622011819868</v>
      </c>
    </row>
    <row r="4102" spans="1:10" x14ac:dyDescent="0.25">
      <c r="A4102">
        <v>4085</v>
      </c>
      <c r="B4102" s="100">
        <v>90.00266779697634</v>
      </c>
      <c r="C4102" s="100">
        <v>100.22522644713321</v>
      </c>
      <c r="D4102" s="100">
        <v>93.611784285508364</v>
      </c>
      <c r="E4102" s="100">
        <v>93.447075114828621</v>
      </c>
      <c r="F4102" s="100">
        <v>-1481.787126312392</v>
      </c>
      <c r="G4102" s="100">
        <v>-3023.0054107566389</v>
      </c>
      <c r="H4102" s="100">
        <v>-1591.4083600435163</v>
      </c>
      <c r="I4102" s="100">
        <v>-66.435460127394208</v>
      </c>
      <c r="J4102" s="100">
        <v>-6162.6363572399414</v>
      </c>
    </row>
    <row r="4103" spans="1:10" x14ac:dyDescent="0.25">
      <c r="A4103">
        <v>4086</v>
      </c>
      <c r="B4103" s="100">
        <v>89.958150335101635</v>
      </c>
      <c r="C4103" s="100">
        <v>98.365632111666457</v>
      </c>
      <c r="D4103" s="100">
        <v>92.006814428274723</v>
      </c>
      <c r="E4103" s="100">
        <v>91.441530138757329</v>
      </c>
      <c r="F4103" s="100">
        <v>-1334.8795021258666</v>
      </c>
      <c r="G4103" s="100">
        <v>-233.61390755651001</v>
      </c>
      <c r="H4103" s="100">
        <v>1618.5313544237658</v>
      </c>
      <c r="I4103" s="100">
        <v>1939.1095159438976</v>
      </c>
      <c r="J4103" s="100">
        <v>1989.1474606852869</v>
      </c>
    </row>
    <row r="4104" spans="1:10" x14ac:dyDescent="0.25">
      <c r="A4104">
        <v>4087</v>
      </c>
      <c r="B4104" s="100">
        <v>89.757876845531484</v>
      </c>
      <c r="C4104" s="100">
        <v>99.592291070526073</v>
      </c>
      <c r="D4104" s="100">
        <v>94.845075535532558</v>
      </c>
      <c r="E4104" s="100">
        <v>93.158468893616941</v>
      </c>
      <c r="F4104" s="100">
        <v>-673.97698654436908</v>
      </c>
      <c r="G4104" s="100">
        <v>-2073.6023458459345</v>
      </c>
      <c r="H4104" s="100">
        <v>-4057.9908600919052</v>
      </c>
      <c r="I4104" s="100">
        <v>222.17076108428557</v>
      </c>
      <c r="J4104" s="100">
        <v>-6583.3994313979229</v>
      </c>
    </row>
    <row r="4105" spans="1:10" x14ac:dyDescent="0.25">
      <c r="A4105">
        <v>4088</v>
      </c>
      <c r="B4105" s="100">
        <v>88.60619134913172</v>
      </c>
      <c r="C4105" s="100">
        <v>99.003779983627695</v>
      </c>
      <c r="D4105" s="100">
        <v>90.377060358279209</v>
      </c>
      <c r="E4105" s="100">
        <v>93.257237908158928</v>
      </c>
      <c r="F4105" s="100">
        <v>3126.5851515748536</v>
      </c>
      <c r="G4105" s="100">
        <v>-1190.8357154983662</v>
      </c>
      <c r="H4105" s="100">
        <v>4878.0394944147929</v>
      </c>
      <c r="I4105" s="100">
        <v>123.40174654229941</v>
      </c>
      <c r="J4105" s="100">
        <v>6937.19067703358</v>
      </c>
    </row>
    <row r="4106" spans="1:10" x14ac:dyDescent="0.25">
      <c r="A4106">
        <v>4089</v>
      </c>
      <c r="B4106" s="100">
        <v>88.890961110460736</v>
      </c>
      <c r="C4106" s="100">
        <v>98.349010860636326</v>
      </c>
      <c r="D4106" s="100">
        <v>92.034916678960542</v>
      </c>
      <c r="E4106" s="100">
        <v>94.686456286808493</v>
      </c>
      <c r="F4106" s="100">
        <v>2186.844939189099</v>
      </c>
      <c r="G4106" s="100">
        <v>-208.682031011314</v>
      </c>
      <c r="H4106" s="100">
        <v>1562.3268530521273</v>
      </c>
      <c r="I4106" s="100">
        <v>-1305.8166321072663</v>
      </c>
      <c r="J4106" s="100">
        <v>2234.6731291226461</v>
      </c>
    </row>
    <row r="4107" spans="1:10" x14ac:dyDescent="0.25">
      <c r="A4107">
        <v>4090</v>
      </c>
      <c r="B4107" s="100">
        <v>89.927159830687856</v>
      </c>
      <c r="C4107" s="100">
        <v>98.709387233483795</v>
      </c>
      <c r="D4107" s="100">
        <v>94.467989061435787</v>
      </c>
      <c r="E4107" s="100">
        <v>92.607629336491684</v>
      </c>
      <c r="F4107" s="100">
        <v>-1232.6108375603951</v>
      </c>
      <c r="G4107" s="100">
        <v>-749.24659028251745</v>
      </c>
      <c r="H4107" s="100">
        <v>-3303.8179118983635</v>
      </c>
      <c r="I4107" s="100">
        <v>773.01031820954336</v>
      </c>
      <c r="J4107" s="100">
        <v>-4512.6650215317322</v>
      </c>
    </row>
    <row r="4108" spans="1:10" x14ac:dyDescent="0.25">
      <c r="A4108">
        <v>4091</v>
      </c>
      <c r="B4108" s="100">
        <v>88.854447293926981</v>
      </c>
      <c r="C4108" s="100">
        <v>98.637315889625626</v>
      </c>
      <c r="D4108" s="100">
        <v>92.810777883793364</v>
      </c>
      <c r="E4108" s="100">
        <v>94.054701132128457</v>
      </c>
      <c r="F4108" s="100">
        <v>2307.3405337504923</v>
      </c>
      <c r="G4108" s="100">
        <v>-641.13957449526288</v>
      </c>
      <c r="H4108" s="100">
        <v>10.604443386483808</v>
      </c>
      <c r="I4108" s="100">
        <v>-674.06147742723022</v>
      </c>
      <c r="J4108" s="100">
        <v>1002.7439252144831</v>
      </c>
    </row>
    <row r="4109" spans="1:10" x14ac:dyDescent="0.25">
      <c r="A4109">
        <v>4092</v>
      </c>
      <c r="B4109" s="100">
        <v>90.254132973787648</v>
      </c>
      <c r="C4109" s="100">
        <v>99.261006707241108</v>
      </c>
      <c r="D4109" s="100">
        <v>93.780664451268962</v>
      </c>
      <c r="E4109" s="100">
        <v>93.075601833768445</v>
      </c>
      <c r="F4109" s="100">
        <v>-2311.6222097897094</v>
      </c>
      <c r="G4109" s="100">
        <v>-1576.6758009184869</v>
      </c>
      <c r="H4109" s="100">
        <v>-1929.1686915647119</v>
      </c>
      <c r="I4109" s="100">
        <v>305.03782093278176</v>
      </c>
      <c r="J4109" s="100">
        <v>-5512.4288813401263</v>
      </c>
    </row>
    <row r="4110" spans="1:10" x14ac:dyDescent="0.25">
      <c r="A4110">
        <v>4093</v>
      </c>
      <c r="B4110" s="100">
        <v>88.6294735638742</v>
      </c>
      <c r="C4110" s="100">
        <v>97.163659785921155</v>
      </c>
      <c r="D4110" s="100">
        <v>91.448214223316057</v>
      </c>
      <c r="E4110" s="100">
        <v>92.138456926046061</v>
      </c>
      <c r="F4110" s="100">
        <v>3049.7538429246702</v>
      </c>
      <c r="G4110" s="100">
        <v>1569.3445810614435</v>
      </c>
      <c r="H4110" s="100">
        <v>2735.7317643410966</v>
      </c>
      <c r="I4110" s="100">
        <v>1242.1827286551661</v>
      </c>
      <c r="J4110" s="100">
        <v>8597.0129169823776</v>
      </c>
    </row>
    <row r="4111" spans="1:10" x14ac:dyDescent="0.25">
      <c r="A4111">
        <v>4094</v>
      </c>
      <c r="B4111" s="100">
        <v>89.070610361082714</v>
      </c>
      <c r="C4111" s="100">
        <v>97.354943843455118</v>
      </c>
      <c r="D4111" s="100">
        <v>93.593204936319239</v>
      </c>
      <c r="E4111" s="100">
        <v>94.554017977409103</v>
      </c>
      <c r="F4111" s="100">
        <v>1594.0024121365723</v>
      </c>
      <c r="G4111" s="100">
        <v>1282.418494760499</v>
      </c>
      <c r="H4111" s="100">
        <v>-1554.249661665267</v>
      </c>
      <c r="I4111" s="100">
        <v>-1173.3783227078761</v>
      </c>
      <c r="J4111" s="100">
        <v>148.79292252392815</v>
      </c>
    </row>
    <row r="4112" spans="1:10" x14ac:dyDescent="0.25">
      <c r="A4112">
        <v>4095</v>
      </c>
      <c r="B4112" s="100">
        <v>89.631890033063712</v>
      </c>
      <c r="C4112" s="100">
        <v>98.623308113978808</v>
      </c>
      <c r="D4112" s="100">
        <v>91.489330254172444</v>
      </c>
      <c r="E4112" s="100">
        <v>91.149100060682272</v>
      </c>
      <c r="F4112" s="100">
        <v>-258.22050540072041</v>
      </c>
      <c r="G4112" s="100">
        <v>-620.12791102503684</v>
      </c>
      <c r="H4112" s="100">
        <v>2653.4997026283236</v>
      </c>
      <c r="I4112" s="100">
        <v>2231.5395940189546</v>
      </c>
      <c r="J4112" s="100">
        <v>4006.6908802215212</v>
      </c>
    </row>
    <row r="4113" spans="1:10" x14ac:dyDescent="0.25">
      <c r="A4113">
        <v>4096</v>
      </c>
      <c r="B4113" s="100">
        <v>90.329469008730314</v>
      </c>
      <c r="C4113" s="100">
        <v>98.292823204229066</v>
      </c>
      <c r="D4113" s="100">
        <v>91.910779955272687</v>
      </c>
      <c r="E4113" s="100">
        <v>97.485505686878852</v>
      </c>
      <c r="F4113" s="100">
        <v>-2560.2311251005062</v>
      </c>
      <c r="G4113" s="100">
        <v>-124.4005464004232</v>
      </c>
      <c r="H4113" s="100">
        <v>1810.6003004278364</v>
      </c>
      <c r="I4113" s="100">
        <v>-4104.8660321776251</v>
      </c>
      <c r="J4113" s="100">
        <v>-4978.8974032507176</v>
      </c>
    </row>
    <row r="4114" spans="1:10" x14ac:dyDescent="0.25">
      <c r="A4114">
        <v>4097</v>
      </c>
      <c r="B4114" s="100">
        <v>89.515258211565339</v>
      </c>
      <c r="C4114" s="100">
        <v>99.301238962613169</v>
      </c>
      <c r="D4114" s="100">
        <v>92.978378000926355</v>
      </c>
      <c r="E4114" s="100">
        <v>95.409535094066698</v>
      </c>
      <c r="F4114" s="100">
        <v>126.66450554391133</v>
      </c>
      <c r="G4114" s="100">
        <v>-1637.0241839765781</v>
      </c>
      <c r="H4114" s="100">
        <v>-324.59579087949919</v>
      </c>
      <c r="I4114" s="100">
        <v>-2028.8954393654706</v>
      </c>
      <c r="J4114" s="100">
        <v>-3863.8509086776367</v>
      </c>
    </row>
    <row r="4115" spans="1:10" x14ac:dyDescent="0.25">
      <c r="A4115">
        <v>4098</v>
      </c>
      <c r="B4115" s="100">
        <v>89.932347522642829</v>
      </c>
      <c r="C4115" s="100">
        <v>98.86523725133344</v>
      </c>
      <c r="D4115" s="100">
        <v>91.503647623562955</v>
      </c>
      <c r="E4115" s="100">
        <v>94.063239039848938</v>
      </c>
      <c r="F4115" s="100">
        <v>-1249.730221011805</v>
      </c>
      <c r="G4115" s="100">
        <v>-983.02161705698404</v>
      </c>
      <c r="H4115" s="100">
        <v>2624.8649638473012</v>
      </c>
      <c r="I4115" s="100">
        <v>-682.59938514771079</v>
      </c>
      <c r="J4115" s="100">
        <v>-290.48625936919848</v>
      </c>
    </row>
    <row r="4116" spans="1:10" x14ac:dyDescent="0.25">
      <c r="A4116">
        <v>4099</v>
      </c>
      <c r="B4116" s="100">
        <v>89.942976499493483</v>
      </c>
      <c r="C4116" s="100">
        <v>100.33635162285134</v>
      </c>
      <c r="D4116" s="100">
        <v>94.447559183349512</v>
      </c>
      <c r="E4116" s="100">
        <v>92.098149120101695</v>
      </c>
      <c r="F4116" s="100">
        <v>-1284.8058446189639</v>
      </c>
      <c r="G4116" s="100">
        <v>-3189.6931743338328</v>
      </c>
      <c r="H4116" s="100">
        <v>-3262.958155725812</v>
      </c>
      <c r="I4116" s="100">
        <v>1282.4905345995319</v>
      </c>
      <c r="J4116" s="100">
        <v>-6454.9666400790757</v>
      </c>
    </row>
    <row r="4117" spans="1:10" x14ac:dyDescent="0.25">
      <c r="A4117">
        <v>4100</v>
      </c>
      <c r="B4117" s="100">
        <v>89.786479065214891</v>
      </c>
      <c r="C4117" s="100">
        <v>98.007422555421044</v>
      </c>
      <c r="D4117" s="100">
        <v>92.344268598294946</v>
      </c>
      <c r="E4117" s="100">
        <v>92.712789529460181</v>
      </c>
      <c r="F4117" s="100">
        <v>-768.36431149961163</v>
      </c>
      <c r="G4117" s="100">
        <v>303.70042681160925</v>
      </c>
      <c r="H4117" s="100">
        <v>943.62301438331997</v>
      </c>
      <c r="I4117" s="100">
        <v>667.85012524104559</v>
      </c>
      <c r="J4117" s="100">
        <v>1146.8092549363632</v>
      </c>
    </row>
    <row r="4118" spans="1:10" x14ac:dyDescent="0.25">
      <c r="A4118">
        <v>4101</v>
      </c>
      <c r="B4118" s="100">
        <v>89.249568986111427</v>
      </c>
      <c r="C4118" s="100">
        <v>96.985850693119502</v>
      </c>
      <c r="D4118" s="100">
        <v>89.601299209430664</v>
      </c>
      <c r="E4118" s="100">
        <v>95.621341118130573</v>
      </c>
      <c r="F4118" s="100">
        <v>1003.4389495418196</v>
      </c>
      <c r="G4118" s="100">
        <v>1836.0582202639221</v>
      </c>
      <c r="H4118" s="100">
        <v>6429.5617921118828</v>
      </c>
      <c r="I4118" s="100">
        <v>-2240.7014634293459</v>
      </c>
      <c r="J4118" s="100">
        <v>7028.357498488278</v>
      </c>
    </row>
    <row r="4119" spans="1:10" x14ac:dyDescent="0.25">
      <c r="A4119">
        <v>4102</v>
      </c>
      <c r="B4119" s="100">
        <v>89.173513811047968</v>
      </c>
      <c r="C4119" s="100">
        <v>98.183662727032342</v>
      </c>
      <c r="D4119" s="100">
        <v>92.324323037066463</v>
      </c>
      <c r="E4119" s="100">
        <v>92.051687023172022</v>
      </c>
      <c r="F4119" s="100">
        <v>1254.4210272512346</v>
      </c>
      <c r="G4119" s="100">
        <v>39.340169394662894</v>
      </c>
      <c r="H4119" s="100">
        <v>983.51413684028444</v>
      </c>
      <c r="I4119" s="100">
        <v>1328.9526315292051</v>
      </c>
      <c r="J4119" s="100">
        <v>3606.2279650153869</v>
      </c>
    </row>
    <row r="4120" spans="1:10" x14ac:dyDescent="0.25">
      <c r="A4120">
        <v>4103</v>
      </c>
      <c r="B4120" s="100">
        <v>89.805362552996243</v>
      </c>
      <c r="C4120" s="100">
        <v>97.070577154207498</v>
      </c>
      <c r="D4120" s="100">
        <v>93.246483960204259</v>
      </c>
      <c r="E4120" s="100">
        <v>93.484801678492644</v>
      </c>
      <c r="F4120" s="100">
        <v>-830.6798211780731</v>
      </c>
      <c r="G4120" s="100">
        <v>1708.9685286319282</v>
      </c>
      <c r="H4120" s="100">
        <v>-860.80770943530638</v>
      </c>
      <c r="I4120" s="100">
        <v>-104.16202379141737</v>
      </c>
      <c r="J4120" s="100">
        <v>-86.681025772868679</v>
      </c>
    </row>
    <row r="4121" spans="1:10" x14ac:dyDescent="0.25">
      <c r="A4121">
        <v>4104</v>
      </c>
      <c r="B4121" s="100">
        <v>89.411600540416188</v>
      </c>
      <c r="C4121" s="100">
        <v>98.612003162930293</v>
      </c>
      <c r="D4121" s="100">
        <v>94.842589330173325</v>
      </c>
      <c r="E4121" s="100">
        <v>93.453630842368185</v>
      </c>
      <c r="F4121" s="100">
        <v>468.73482033610827</v>
      </c>
      <c r="G4121" s="100">
        <v>-603.17048445226362</v>
      </c>
      <c r="H4121" s="100">
        <v>-4053.0184493734396</v>
      </c>
      <c r="I4121" s="100">
        <v>-72.991187666957558</v>
      </c>
      <c r="J4121" s="100">
        <v>-4260.4453011565529</v>
      </c>
    </row>
    <row r="4122" spans="1:10" x14ac:dyDescent="0.25">
      <c r="A4122">
        <v>4105</v>
      </c>
      <c r="B4122" s="100">
        <v>89.71078957489911</v>
      </c>
      <c r="C4122" s="100">
        <v>98.632416114805991</v>
      </c>
      <c r="D4122" s="100">
        <v>92.838230183873591</v>
      </c>
      <c r="E4122" s="100">
        <v>91.676606975974551</v>
      </c>
      <c r="F4122" s="100">
        <v>-518.58899345753287</v>
      </c>
      <c r="G4122" s="100">
        <v>-633.78991226581149</v>
      </c>
      <c r="H4122" s="100">
        <v>-44.300156773971366</v>
      </c>
      <c r="I4122" s="100">
        <v>1704.0326787266763</v>
      </c>
      <c r="J4122" s="100">
        <v>507.35361622936057</v>
      </c>
    </row>
    <row r="4123" spans="1:10" x14ac:dyDescent="0.25">
      <c r="A4123">
        <v>4106</v>
      </c>
      <c r="B4123" s="100">
        <v>90.301555400396211</v>
      </c>
      <c r="C4123" s="100">
        <v>98.577271819625906</v>
      </c>
      <c r="D4123" s="100">
        <v>93.351526216178186</v>
      </c>
      <c r="E4123" s="100">
        <v>94.531688073799643</v>
      </c>
      <c r="F4123" s="100">
        <v>-2468.1162175979666</v>
      </c>
      <c r="G4123" s="100">
        <v>-551.07346949568387</v>
      </c>
      <c r="H4123" s="100">
        <v>-1070.8922213831613</v>
      </c>
      <c r="I4123" s="100">
        <v>-1151.0484190984157</v>
      </c>
      <c r="J4123" s="100">
        <v>-5241.1303275752271</v>
      </c>
    </row>
    <row r="4124" spans="1:10" x14ac:dyDescent="0.25">
      <c r="A4124">
        <v>4107</v>
      </c>
      <c r="B4124" s="100">
        <v>90.293336504941934</v>
      </c>
      <c r="C4124" s="100">
        <v>97.091503129163613</v>
      </c>
      <c r="D4124" s="100">
        <v>94.161638160966788</v>
      </c>
      <c r="E4124" s="100">
        <v>92.215372018969163</v>
      </c>
      <c r="F4124" s="100">
        <v>-2440.9938625988516</v>
      </c>
      <c r="G4124" s="100">
        <v>1677.5795661977568</v>
      </c>
      <c r="H4124" s="100">
        <v>-2691.1161109603654</v>
      </c>
      <c r="I4124" s="100">
        <v>1165.2676357320643</v>
      </c>
      <c r="J4124" s="100">
        <v>-2289.262771629396</v>
      </c>
    </row>
    <row r="4125" spans="1:10" x14ac:dyDescent="0.25">
      <c r="A4125">
        <v>4108</v>
      </c>
      <c r="B4125" s="100">
        <v>89.521378141271128</v>
      </c>
      <c r="C4125" s="100">
        <v>99.339236481204367</v>
      </c>
      <c r="D4125" s="100">
        <v>93.746600733390395</v>
      </c>
      <c r="E4125" s="100">
        <v>93.774215437130067</v>
      </c>
      <c r="F4125" s="100">
        <v>106.46873751480541</v>
      </c>
      <c r="G4125" s="100">
        <v>-1694.0204618633743</v>
      </c>
      <c r="H4125" s="100">
        <v>-1861.041255807578</v>
      </c>
      <c r="I4125" s="100">
        <v>-393.57578242884017</v>
      </c>
      <c r="J4125" s="100">
        <v>-3842.1687625849872</v>
      </c>
    </row>
    <row r="4126" spans="1:10" x14ac:dyDescent="0.25">
      <c r="A4126">
        <v>4109</v>
      </c>
      <c r="B4126" s="100">
        <v>90.050681803010136</v>
      </c>
      <c r="C4126" s="100">
        <v>98.46440762165328</v>
      </c>
      <c r="D4126" s="100">
        <v>94.054418943894902</v>
      </c>
      <c r="E4126" s="100">
        <v>94.223481866319247</v>
      </c>
      <c r="F4126" s="100">
        <v>-1640.2333462239185</v>
      </c>
      <c r="G4126" s="100">
        <v>-381.77717253674359</v>
      </c>
      <c r="H4126" s="100">
        <v>-2476.6776768165928</v>
      </c>
      <c r="I4126" s="100">
        <v>-842.84221161802009</v>
      </c>
      <c r="J4126" s="100">
        <v>-5341.5304071952751</v>
      </c>
    </row>
    <row r="4127" spans="1:10" x14ac:dyDescent="0.25">
      <c r="A4127">
        <v>4110</v>
      </c>
      <c r="B4127" s="100">
        <v>89.597780147519913</v>
      </c>
      <c r="C4127" s="100">
        <v>99.593248295068449</v>
      </c>
      <c r="D4127" s="100">
        <v>93.249944183294105</v>
      </c>
      <c r="E4127" s="100">
        <v>93.663282374555038</v>
      </c>
      <c r="F4127" s="100">
        <v>-145.65788310618331</v>
      </c>
      <c r="G4127" s="100">
        <v>-2075.0381826594976</v>
      </c>
      <c r="H4127" s="100">
        <v>-867.72815561499783</v>
      </c>
      <c r="I4127" s="100">
        <v>-282.64271985381129</v>
      </c>
      <c r="J4127" s="100">
        <v>-3371.0669412344901</v>
      </c>
    </row>
    <row r="4128" spans="1:10" x14ac:dyDescent="0.25">
      <c r="A4128">
        <v>4111</v>
      </c>
      <c r="B4128" s="100">
        <v>90.227809687007266</v>
      </c>
      <c r="C4128" s="100">
        <v>98.98236704809338</v>
      </c>
      <c r="D4128" s="100">
        <v>91.505292576165232</v>
      </c>
      <c r="E4128" s="100">
        <v>95.488692165143618</v>
      </c>
      <c r="F4128" s="100">
        <v>-2224.7553634144479</v>
      </c>
      <c r="G4128" s="100">
        <v>-1158.7163121968943</v>
      </c>
      <c r="H4128" s="100">
        <v>2621.5750586427475</v>
      </c>
      <c r="I4128" s="100">
        <v>-2108.0525104423914</v>
      </c>
      <c r="J4128" s="100">
        <v>-2869.949127410986</v>
      </c>
    </row>
    <row r="4129" spans="1:10" x14ac:dyDescent="0.25">
      <c r="A4129">
        <v>4112</v>
      </c>
      <c r="B4129" s="100">
        <v>90.22605854990239</v>
      </c>
      <c r="C4129" s="100">
        <v>98.509588513657548</v>
      </c>
      <c r="D4129" s="100">
        <v>93.436615597684849</v>
      </c>
      <c r="E4129" s="100">
        <v>94.038153347692614</v>
      </c>
      <c r="F4129" s="100">
        <v>-2218.9766109683587</v>
      </c>
      <c r="G4129" s="100">
        <v>-449.5485105431456</v>
      </c>
      <c r="H4129" s="100">
        <v>-1241.0709843964867</v>
      </c>
      <c r="I4129" s="100">
        <v>-657.51369299138673</v>
      </c>
      <c r="J4129" s="100">
        <v>-4567.1097988993779</v>
      </c>
    </row>
    <row r="4130" spans="1:10" x14ac:dyDescent="0.25">
      <c r="A4130">
        <v>4113</v>
      </c>
      <c r="B4130" s="100">
        <v>90.007029847965015</v>
      </c>
      <c r="C4130" s="100">
        <v>99.230758214135719</v>
      </c>
      <c r="D4130" s="100">
        <v>93.394841855303966</v>
      </c>
      <c r="E4130" s="100">
        <v>92.508237330142251</v>
      </c>
      <c r="F4130" s="100">
        <v>-1496.1818945750197</v>
      </c>
      <c r="G4130" s="100">
        <v>-1531.3030612604025</v>
      </c>
      <c r="H4130" s="100">
        <v>-1157.5234996347206</v>
      </c>
      <c r="I4130" s="100">
        <v>872.40232455897626</v>
      </c>
      <c r="J4130" s="100">
        <v>-3312.6061309111665</v>
      </c>
    </row>
    <row r="4131" spans="1:10" x14ac:dyDescent="0.25">
      <c r="A4131">
        <v>4114</v>
      </c>
      <c r="B4131" s="100">
        <v>89.396479226378645</v>
      </c>
      <c r="C4131" s="100">
        <v>98.473148430071817</v>
      </c>
      <c r="D4131" s="100">
        <v>93.031762842656292</v>
      </c>
      <c r="E4131" s="100">
        <v>94.14274106534711</v>
      </c>
      <c r="F4131" s="100">
        <v>518.63515666000103</v>
      </c>
      <c r="G4131" s="100">
        <v>-394.88838516454905</v>
      </c>
      <c r="H4131" s="100">
        <v>-431.36547433937267</v>
      </c>
      <c r="I4131" s="100">
        <v>-762.10141064588299</v>
      </c>
      <c r="J4131" s="100">
        <v>-1069.7201134898037</v>
      </c>
    </row>
    <row r="4132" spans="1:10" x14ac:dyDescent="0.25">
      <c r="A4132">
        <v>4115</v>
      </c>
      <c r="B4132" s="100">
        <v>89.752309519886893</v>
      </c>
      <c r="C4132" s="100">
        <v>99.447931849322771</v>
      </c>
      <c r="D4132" s="100">
        <v>91.840909711300739</v>
      </c>
      <c r="E4132" s="100">
        <v>93.47061333077427</v>
      </c>
      <c r="F4132" s="100">
        <v>-655.60481191721749</v>
      </c>
      <c r="G4132" s="100">
        <v>-1857.0635140409806</v>
      </c>
      <c r="H4132" s="100">
        <v>1950.340788371733</v>
      </c>
      <c r="I4132" s="100">
        <v>-89.973676073043407</v>
      </c>
      <c r="J4132" s="100">
        <v>-652.30121365950868</v>
      </c>
    </row>
    <row r="4133" spans="1:10" x14ac:dyDescent="0.25">
      <c r="A4133">
        <v>4116</v>
      </c>
      <c r="B4133" s="100">
        <v>89.992741435047634</v>
      </c>
      <c r="C4133" s="100">
        <v>99.647664466332898</v>
      </c>
      <c r="D4133" s="100">
        <v>91.248879157263346</v>
      </c>
      <c r="E4133" s="100">
        <v>95.55155204472419</v>
      </c>
      <c r="F4133" s="100">
        <v>-1449.030131947663</v>
      </c>
      <c r="G4133" s="100">
        <v>-2156.6624395561716</v>
      </c>
      <c r="H4133" s="100">
        <v>3134.4018964465195</v>
      </c>
      <c r="I4133" s="100">
        <v>-2170.9123900229629</v>
      </c>
      <c r="J4133" s="100">
        <v>-2642.2030650802781</v>
      </c>
    </row>
    <row r="4134" spans="1:10" x14ac:dyDescent="0.25">
      <c r="A4134">
        <v>4117</v>
      </c>
      <c r="B4134" s="100">
        <v>88.828799971688539</v>
      </c>
      <c r="C4134" s="100">
        <v>99.483662574283244</v>
      </c>
      <c r="D4134" s="100">
        <v>94.553460875307465</v>
      </c>
      <c r="E4134" s="100">
        <v>94.542339027648538</v>
      </c>
      <c r="F4134" s="100">
        <v>2391.9766971373492</v>
      </c>
      <c r="G4134" s="100">
        <v>-1910.6596014816901</v>
      </c>
      <c r="H4134" s="100">
        <v>-3474.7615396417186</v>
      </c>
      <c r="I4134" s="100">
        <v>-1161.6993729473108</v>
      </c>
      <c r="J4134" s="100">
        <v>-4155.1438169333705</v>
      </c>
    </row>
    <row r="4135" spans="1:10" x14ac:dyDescent="0.25">
      <c r="A4135">
        <v>4118</v>
      </c>
      <c r="B4135" s="100">
        <v>89.71010998300396</v>
      </c>
      <c r="C4135" s="100">
        <v>96.812567864376405</v>
      </c>
      <c r="D4135" s="100">
        <v>92.145807372429488</v>
      </c>
      <c r="E4135" s="100">
        <v>93.762352954356757</v>
      </c>
      <c r="F4135" s="100">
        <v>-516.34634020353906</v>
      </c>
      <c r="G4135" s="100">
        <v>2095.9824633785688</v>
      </c>
      <c r="H4135" s="100">
        <v>1340.5454661142358</v>
      </c>
      <c r="I4135" s="100">
        <v>-381.71329965553014</v>
      </c>
      <c r="J4135" s="100">
        <v>2538.4682896337354</v>
      </c>
    </row>
    <row r="4136" spans="1:10" x14ac:dyDescent="0.25">
      <c r="A4136">
        <v>4119</v>
      </c>
      <c r="B4136" s="100">
        <v>89.967882233102671</v>
      </c>
      <c r="C4136" s="100">
        <v>98.525122565430237</v>
      </c>
      <c r="D4136" s="100">
        <v>92.319094297924536</v>
      </c>
      <c r="E4136" s="100">
        <v>92.6038247725931</v>
      </c>
      <c r="F4136" s="100">
        <v>-1366.9947655292845</v>
      </c>
      <c r="G4136" s="100">
        <v>-472.84958820218037</v>
      </c>
      <c r="H4136" s="100">
        <v>993.97161512413845</v>
      </c>
      <c r="I4136" s="100">
        <v>776.81488210812688</v>
      </c>
      <c r="J4136" s="100">
        <v>-69.057856499199374</v>
      </c>
    </row>
    <row r="4137" spans="1:10" x14ac:dyDescent="0.25">
      <c r="A4137">
        <v>4120</v>
      </c>
      <c r="B4137" s="100">
        <v>89.069185349138635</v>
      </c>
      <c r="C4137" s="100">
        <v>97.664963410811396</v>
      </c>
      <c r="D4137" s="100">
        <v>92.236453674899323</v>
      </c>
      <c r="E4137" s="100">
        <v>93.202659219751141</v>
      </c>
      <c r="F4137" s="100">
        <v>1598.7049515520325</v>
      </c>
      <c r="G4137" s="100">
        <v>817.38914372608201</v>
      </c>
      <c r="H4137" s="100">
        <v>1159.2528611745649</v>
      </c>
      <c r="I4137" s="100">
        <v>177.98043495008642</v>
      </c>
      <c r="J4137" s="100">
        <v>3753.3273914027659</v>
      </c>
    </row>
    <row r="4138" spans="1:10" x14ac:dyDescent="0.25">
      <c r="A4138">
        <v>4121</v>
      </c>
      <c r="B4138" s="100">
        <v>88.681865705828997</v>
      </c>
      <c r="C4138" s="100">
        <v>98.090222915389475</v>
      </c>
      <c r="D4138" s="100">
        <v>93.572837996704749</v>
      </c>
      <c r="E4138" s="100">
        <v>93.503696545638746</v>
      </c>
      <c r="F4138" s="100">
        <v>2876.8597744738386</v>
      </c>
      <c r="G4138" s="100">
        <v>179.49988685896301</v>
      </c>
      <c r="H4138" s="100">
        <v>-1513.5157824362864</v>
      </c>
      <c r="I4138" s="100">
        <v>-123.05689093751937</v>
      </c>
      <c r="J4138" s="100">
        <v>1419.7869879589962</v>
      </c>
    </row>
    <row r="4139" spans="1:10" x14ac:dyDescent="0.25">
      <c r="A4139">
        <v>4122</v>
      </c>
      <c r="B4139" s="100">
        <v>89.804092492612867</v>
      </c>
      <c r="C4139" s="100">
        <v>98.231467290985421</v>
      </c>
      <c r="D4139" s="100">
        <v>92.142175915385266</v>
      </c>
      <c r="E4139" s="100">
        <v>94.379262797718994</v>
      </c>
      <c r="F4139" s="100">
        <v>-826.48862191293097</v>
      </c>
      <c r="G4139" s="100">
        <v>-32.366676534955729</v>
      </c>
      <c r="H4139" s="100">
        <v>1347.8083802026788</v>
      </c>
      <c r="I4139" s="100">
        <v>-998.62314301776678</v>
      </c>
      <c r="J4139" s="100">
        <v>-509.67006126297474</v>
      </c>
    </row>
    <row r="4140" spans="1:10" x14ac:dyDescent="0.25">
      <c r="A4140">
        <v>4123</v>
      </c>
      <c r="B4140" s="100">
        <v>89.135458725642891</v>
      </c>
      <c r="C4140" s="100">
        <v>97.169543377922565</v>
      </c>
      <c r="D4140" s="100">
        <v>91.896534880047554</v>
      </c>
      <c r="E4140" s="100">
        <v>95.014371848591693</v>
      </c>
      <c r="F4140" s="100">
        <v>1380.0028090879878</v>
      </c>
      <c r="G4140" s="100">
        <v>1560.5191930593278</v>
      </c>
      <c r="H4140" s="100">
        <v>1839.0904508781034</v>
      </c>
      <c r="I4140" s="100">
        <v>-1633.7321938904665</v>
      </c>
      <c r="J4140" s="100">
        <v>3145.8802591349527</v>
      </c>
    </row>
    <row r="4141" spans="1:10" x14ac:dyDescent="0.25">
      <c r="A4141">
        <v>4124</v>
      </c>
      <c r="B4141" s="100">
        <v>88.352465161076282</v>
      </c>
      <c r="C4141" s="100">
        <v>98.057724119274894</v>
      </c>
      <c r="D4141" s="100">
        <v>92.163577854453294</v>
      </c>
      <c r="E4141" s="100">
        <v>94.791502775909834</v>
      </c>
      <c r="F4141" s="100">
        <v>3963.8815721577998</v>
      </c>
      <c r="G4141" s="100">
        <v>228.24808103083427</v>
      </c>
      <c r="H4141" s="100">
        <v>1305.0045020666232</v>
      </c>
      <c r="I4141" s="100">
        <v>-1410.8631212086066</v>
      </c>
      <c r="J4141" s="100">
        <v>4086.2710340466501</v>
      </c>
    </row>
    <row r="4142" spans="1:10" x14ac:dyDescent="0.25">
      <c r="A4142">
        <v>4125</v>
      </c>
      <c r="B4142" s="100">
        <v>88.953000382543394</v>
      </c>
      <c r="C4142" s="100">
        <v>97.64702501253538</v>
      </c>
      <c r="D4142" s="100">
        <v>92.684841533621849</v>
      </c>
      <c r="E4142" s="100">
        <v>93.367077808960815</v>
      </c>
      <c r="F4142" s="100">
        <v>1982.1153413163302</v>
      </c>
      <c r="G4142" s="100">
        <v>844.29674114010572</v>
      </c>
      <c r="H4142" s="100">
        <v>262.47714372951236</v>
      </c>
      <c r="I4142" s="100">
        <v>13.561845740412082</v>
      </c>
      <c r="J4142" s="100">
        <v>3102.4510719263603</v>
      </c>
    </row>
    <row r="4143" spans="1:10" x14ac:dyDescent="0.25">
      <c r="A4143">
        <v>4126</v>
      </c>
      <c r="B4143" s="100">
        <v>90.290455463076029</v>
      </c>
      <c r="C4143" s="100">
        <v>97.58448134710838</v>
      </c>
      <c r="D4143" s="100">
        <v>92.432787076299164</v>
      </c>
      <c r="E4143" s="100">
        <v>93.634317571420183</v>
      </c>
      <c r="F4143" s="100">
        <v>-2431.4864244413657</v>
      </c>
      <c r="G4143" s="100">
        <v>938.11223928060622</v>
      </c>
      <c r="H4143" s="100">
        <v>766.58605837488381</v>
      </c>
      <c r="I4143" s="100">
        <v>-253.67791671895645</v>
      </c>
      <c r="J4143" s="100">
        <v>-980.4660435048321</v>
      </c>
    </row>
    <row r="4144" spans="1:10" x14ac:dyDescent="0.25">
      <c r="A4144">
        <v>4127</v>
      </c>
      <c r="B4144" s="100">
        <v>89.05611723621962</v>
      </c>
      <c r="C4144" s="100">
        <v>97.63214791562369</v>
      </c>
      <c r="D4144" s="100">
        <v>91.123571854130688</v>
      </c>
      <c r="E4144" s="100">
        <v>93.18894588808503</v>
      </c>
      <c r="F4144" s="100">
        <v>1641.8297241847824</v>
      </c>
      <c r="G4144" s="100">
        <v>866.61238650764005</v>
      </c>
      <c r="H4144" s="100">
        <v>3385.0165027118351</v>
      </c>
      <c r="I4144" s="100">
        <v>191.69376661619708</v>
      </c>
      <c r="J4144" s="100">
        <v>6085.1523800204541</v>
      </c>
    </row>
    <row r="4145" spans="1:10" x14ac:dyDescent="0.25">
      <c r="A4145">
        <v>4128</v>
      </c>
      <c r="B4145" s="100">
        <v>90.470029451601192</v>
      </c>
      <c r="C4145" s="100">
        <v>98.448824693909074</v>
      </c>
      <c r="D4145" s="100">
        <v>93.298389162631935</v>
      </c>
      <c r="E4145" s="100">
        <v>93.199481016904315</v>
      </c>
      <c r="F4145" s="100">
        <v>-3024.0805865744051</v>
      </c>
      <c r="G4145" s="100">
        <v>-358.40278092043576</v>
      </c>
      <c r="H4145" s="100">
        <v>-964.61811429065847</v>
      </c>
      <c r="I4145" s="100">
        <v>181.1586377969121</v>
      </c>
      <c r="J4145" s="100">
        <v>-4165.9428439885869</v>
      </c>
    </row>
    <row r="4146" spans="1:10" x14ac:dyDescent="0.25">
      <c r="A4146">
        <v>4129</v>
      </c>
      <c r="B4146" s="100">
        <v>89.350956197210976</v>
      </c>
      <c r="C4146" s="100">
        <v>98.188816097054641</v>
      </c>
      <c r="D4146" s="100">
        <v>92.889223348878758</v>
      </c>
      <c r="E4146" s="100">
        <v>92.606203344055587</v>
      </c>
      <c r="F4146" s="100">
        <v>668.86115291330702</v>
      </c>
      <c r="G4146" s="100">
        <v>31.610114361214414</v>
      </c>
      <c r="H4146" s="100">
        <v>-146.28648678430523</v>
      </c>
      <c r="I4146" s="100">
        <v>774.43631064564045</v>
      </c>
      <c r="J4146" s="100">
        <v>1328.6210911358567</v>
      </c>
    </row>
    <row r="4147" spans="1:10" x14ac:dyDescent="0.25">
      <c r="A4147">
        <v>4130</v>
      </c>
      <c r="B4147" s="100">
        <v>89.440886065930599</v>
      </c>
      <c r="C4147" s="100">
        <v>98.638390111879588</v>
      </c>
      <c r="D4147" s="100">
        <v>93.171097302152788</v>
      </c>
      <c r="E4147" s="100">
        <v>93.335677912260238</v>
      </c>
      <c r="F4147" s="100">
        <v>372.09258613855383</v>
      </c>
      <c r="G4147" s="100">
        <v>-642.7509078762057</v>
      </c>
      <c r="H4147" s="100">
        <v>-710.03439333236429</v>
      </c>
      <c r="I4147" s="100">
        <v>44.961742440989383</v>
      </c>
      <c r="J4147" s="100">
        <v>-935.73097262902684</v>
      </c>
    </row>
    <row r="4148" spans="1:10" x14ac:dyDescent="0.25">
      <c r="A4148">
        <v>4131</v>
      </c>
      <c r="B4148" s="100">
        <v>90.107064256784966</v>
      </c>
      <c r="C4148" s="100">
        <v>97.916351566643485</v>
      </c>
      <c r="D4148" s="100">
        <v>92.319051963955957</v>
      </c>
      <c r="E4148" s="100">
        <v>94.292455319734799</v>
      </c>
      <c r="F4148" s="100">
        <v>-1826.2954436808584</v>
      </c>
      <c r="G4148" s="100">
        <v>440.30690997794864</v>
      </c>
      <c r="H4148" s="100">
        <v>994.05628306129756</v>
      </c>
      <c r="I4148" s="100">
        <v>-911.81566503357203</v>
      </c>
      <c r="J4148" s="100">
        <v>-1303.7479156751842</v>
      </c>
    </row>
    <row r="4149" spans="1:10" x14ac:dyDescent="0.25">
      <c r="A4149">
        <v>4132</v>
      </c>
      <c r="B4149" s="100">
        <v>89.646557320541064</v>
      </c>
      <c r="C4149" s="100">
        <v>96.589441961119206</v>
      </c>
      <c r="D4149" s="100">
        <v>94.186169656829065</v>
      </c>
      <c r="E4149" s="100">
        <v>94.838749937290046</v>
      </c>
      <c r="F4149" s="100">
        <v>-306.62255407598025</v>
      </c>
      <c r="G4149" s="100">
        <v>2430.6713182643662</v>
      </c>
      <c r="H4149" s="100">
        <v>-2740.1791026849196</v>
      </c>
      <c r="I4149" s="100">
        <v>-1458.1102825888195</v>
      </c>
      <c r="J4149" s="100">
        <v>-2074.2406210853533</v>
      </c>
    </row>
    <row r="4150" spans="1:10" x14ac:dyDescent="0.25">
      <c r="A4150">
        <v>4133</v>
      </c>
      <c r="B4150" s="100">
        <v>90.273280962454251</v>
      </c>
      <c r="C4150" s="100">
        <v>98.109312674812486</v>
      </c>
      <c r="D4150" s="100">
        <v>93.175254740215152</v>
      </c>
      <c r="E4150" s="100">
        <v>92.356549610483981</v>
      </c>
      <c r="F4150" s="100">
        <v>-2374.8105723894996</v>
      </c>
      <c r="G4150" s="100">
        <v>150.86524772444676</v>
      </c>
      <c r="H4150" s="100">
        <v>-718.34926945709299</v>
      </c>
      <c r="I4150" s="100">
        <v>1024.090044217246</v>
      </c>
      <c r="J4150" s="100">
        <v>-1918.2045499049</v>
      </c>
    </row>
    <row r="4151" spans="1:10" x14ac:dyDescent="0.25">
      <c r="A4151">
        <v>4134</v>
      </c>
      <c r="B4151" s="100">
        <v>90.275042626413722</v>
      </c>
      <c r="C4151" s="100">
        <v>98.74512010531538</v>
      </c>
      <c r="D4151" s="100">
        <v>92.594870301826461</v>
      </c>
      <c r="E4151" s="100">
        <v>92.86521931402342</v>
      </c>
      <c r="F4151" s="100">
        <v>-2380.6240634557525</v>
      </c>
      <c r="G4151" s="100">
        <v>-802.84589802989353</v>
      </c>
      <c r="H4151" s="100">
        <v>442.41960732028929</v>
      </c>
      <c r="I4151" s="100">
        <v>515.42034067780662</v>
      </c>
      <c r="J4151" s="100">
        <v>-2225.6300134875505</v>
      </c>
    </row>
    <row r="4152" spans="1:10" x14ac:dyDescent="0.25">
      <c r="A4152">
        <v>4135</v>
      </c>
      <c r="B4152" s="100">
        <v>88.898182797106401</v>
      </c>
      <c r="C4152" s="100">
        <v>98.065459363568394</v>
      </c>
      <c r="D4152" s="100">
        <v>93.213475009039371</v>
      </c>
      <c r="E4152" s="100">
        <v>91.502582734783715</v>
      </c>
      <c r="F4152" s="100">
        <v>2163.0133732584072</v>
      </c>
      <c r="G4152" s="100">
        <v>216.64521459058506</v>
      </c>
      <c r="H4152" s="100">
        <v>-794.7898071055306</v>
      </c>
      <c r="I4152" s="100">
        <v>1878.056919917512</v>
      </c>
      <c r="J4152" s="100">
        <v>3462.9257006609737</v>
      </c>
    </row>
    <row r="4153" spans="1:10" x14ac:dyDescent="0.25">
      <c r="A4153">
        <v>4136</v>
      </c>
      <c r="B4153" s="100">
        <v>89.835215992466132</v>
      </c>
      <c r="C4153" s="100">
        <v>97.724502187773382</v>
      </c>
      <c r="D4153" s="100">
        <v>93.877516631771968</v>
      </c>
      <c r="E4153" s="100">
        <v>92.456140760423423</v>
      </c>
      <c r="F4153" s="100">
        <v>-929.19617142870698</v>
      </c>
      <c r="G4153" s="100">
        <v>728.08097828310281</v>
      </c>
      <c r="H4153" s="100">
        <v>-2122.8730525707251</v>
      </c>
      <c r="I4153" s="100">
        <v>924.49889427780363</v>
      </c>
      <c r="J4153" s="100">
        <v>-1399.4893514385258</v>
      </c>
    </row>
    <row r="4154" spans="1:10" x14ac:dyDescent="0.25">
      <c r="A4154">
        <v>4137</v>
      </c>
      <c r="B4154" s="100">
        <v>88.963344643361083</v>
      </c>
      <c r="C4154" s="100">
        <v>98.98975950701346</v>
      </c>
      <c r="D4154" s="100">
        <v>93.817794431126501</v>
      </c>
      <c r="E4154" s="100">
        <v>92.338329572642792</v>
      </c>
      <c r="F4154" s="100">
        <v>1947.979280617956</v>
      </c>
      <c r="G4154" s="100">
        <v>-1169.8050005770142</v>
      </c>
      <c r="H4154" s="100">
        <v>-2003.4286512797905</v>
      </c>
      <c r="I4154" s="100">
        <v>1042.3100820584352</v>
      </c>
      <c r="J4154" s="100">
        <v>-182.94428918041353</v>
      </c>
    </row>
    <row r="4155" spans="1:10" x14ac:dyDescent="0.25">
      <c r="A4155">
        <v>4138</v>
      </c>
      <c r="B4155" s="100">
        <v>89.621652812381996</v>
      </c>
      <c r="C4155" s="100">
        <v>100.08653825363909</v>
      </c>
      <c r="D4155" s="100">
        <v>91.522662114633405</v>
      </c>
      <c r="E4155" s="100">
        <v>92.480250915150094</v>
      </c>
      <c r="F4155" s="100">
        <v>-224.43767715105594</v>
      </c>
      <c r="G4155" s="100">
        <v>-2814.9731205154608</v>
      </c>
      <c r="H4155" s="100">
        <v>2586.8359817064002</v>
      </c>
      <c r="I4155" s="100">
        <v>900.38873955113274</v>
      </c>
      <c r="J4155" s="100">
        <v>447.81392359101608</v>
      </c>
    </row>
    <row r="4156" spans="1:10" x14ac:dyDescent="0.25">
      <c r="A4156">
        <v>4139</v>
      </c>
      <c r="B4156" s="100">
        <v>88.858406204327878</v>
      </c>
      <c r="C4156" s="100">
        <v>97.30783418146045</v>
      </c>
      <c r="D4156" s="100">
        <v>93.409065566678393</v>
      </c>
      <c r="E4156" s="100">
        <v>96.107276810119956</v>
      </c>
      <c r="F4156" s="100">
        <v>2294.2761294275329</v>
      </c>
      <c r="G4156" s="100">
        <v>1353.0829877525007</v>
      </c>
      <c r="H4156" s="100">
        <v>-1185.970922383575</v>
      </c>
      <c r="I4156" s="100">
        <v>-2726.637155418729</v>
      </c>
      <c r="J4156" s="100">
        <v>-265.24896062227072</v>
      </c>
    </row>
    <row r="4157" spans="1:10" x14ac:dyDescent="0.25">
      <c r="A4157">
        <v>4140</v>
      </c>
      <c r="B4157" s="100">
        <v>88.92817743299382</v>
      </c>
      <c r="C4157" s="100">
        <v>98.946401712284015</v>
      </c>
      <c r="D4157" s="100">
        <v>93.461417469522189</v>
      </c>
      <c r="E4157" s="100">
        <v>92.284326819723319</v>
      </c>
      <c r="F4157" s="100">
        <v>2064.031074829923</v>
      </c>
      <c r="G4157" s="100">
        <v>-1104.7683084828464</v>
      </c>
      <c r="H4157" s="100">
        <v>-1290.674728071167</v>
      </c>
      <c r="I4157" s="100">
        <v>1096.3128349779083</v>
      </c>
      <c r="J4157" s="100">
        <v>764.90087325381796</v>
      </c>
    </row>
    <row r="4158" spans="1:10" x14ac:dyDescent="0.25">
      <c r="A4158">
        <v>4141</v>
      </c>
      <c r="B4158" s="100">
        <v>89.670173877448477</v>
      </c>
      <c r="C4158" s="100">
        <v>97.114957884903646</v>
      </c>
      <c r="D4158" s="100">
        <v>92.89681882321743</v>
      </c>
      <c r="E4158" s="100">
        <v>93.863024261408285</v>
      </c>
      <c r="F4158" s="100">
        <v>-384.55719187044366</v>
      </c>
      <c r="G4158" s="100">
        <v>1642.3974325877068</v>
      </c>
      <c r="H4158" s="100">
        <v>-161.47743546164861</v>
      </c>
      <c r="I4158" s="100">
        <v>-482.38460670705763</v>
      </c>
      <c r="J4158" s="100">
        <v>613.97819854855697</v>
      </c>
    </row>
    <row r="4159" spans="1:10" x14ac:dyDescent="0.25">
      <c r="A4159">
        <v>4142</v>
      </c>
      <c r="B4159" s="100">
        <v>88.868969922678559</v>
      </c>
      <c r="C4159" s="100">
        <v>96.971277115352947</v>
      </c>
      <c r="D4159" s="100">
        <v>91.772188405066061</v>
      </c>
      <c r="E4159" s="100">
        <v>93.408319396687617</v>
      </c>
      <c r="F4159" s="100">
        <v>2259.415858870284</v>
      </c>
      <c r="G4159" s="100">
        <v>1857.9185869137546</v>
      </c>
      <c r="H4159" s="100">
        <v>2087.78340084109</v>
      </c>
      <c r="I4159" s="100">
        <v>-27.679741986389672</v>
      </c>
      <c r="J4159" s="100">
        <v>6177.4381046387389</v>
      </c>
    </row>
    <row r="4160" spans="1:10" x14ac:dyDescent="0.25">
      <c r="A4160">
        <v>4143</v>
      </c>
      <c r="B4160" s="100">
        <v>89.441098354196285</v>
      </c>
      <c r="C4160" s="100">
        <v>98.229137315536533</v>
      </c>
      <c r="D4160" s="100">
        <v>92.178220959077748</v>
      </c>
      <c r="E4160" s="100">
        <v>92.550043102667814</v>
      </c>
      <c r="F4160" s="100">
        <v>371.392034861789</v>
      </c>
      <c r="G4160" s="100">
        <v>-28.871713361624529</v>
      </c>
      <c r="H4160" s="100">
        <v>1275.7182928177144</v>
      </c>
      <c r="I4160" s="100">
        <v>830.59655203341265</v>
      </c>
      <c r="J4160" s="100">
        <v>2448.8351663512917</v>
      </c>
    </row>
    <row r="4161" spans="1:10" x14ac:dyDescent="0.25">
      <c r="A4161">
        <v>4144</v>
      </c>
      <c r="B4161" s="100">
        <v>89.995869538596622</v>
      </c>
      <c r="C4161" s="100">
        <v>98.36903786736913</v>
      </c>
      <c r="D4161" s="100">
        <v>93.504256125476786</v>
      </c>
      <c r="E4161" s="100">
        <v>94.360312440998783</v>
      </c>
      <c r="F4161" s="100">
        <v>-1459.3528736593244</v>
      </c>
      <c r="G4161" s="100">
        <v>-238.72254111051916</v>
      </c>
      <c r="H4161" s="100">
        <v>-1376.352039980361</v>
      </c>
      <c r="I4161" s="100">
        <v>-979.67278629755583</v>
      </c>
      <c r="J4161" s="100">
        <v>-4054.1002410477604</v>
      </c>
    </row>
    <row r="4162" spans="1:10" x14ac:dyDescent="0.25">
      <c r="A4162">
        <v>4145</v>
      </c>
      <c r="B4162" s="100">
        <v>90.108057631891711</v>
      </c>
      <c r="C4162" s="100">
        <v>97.667369133715383</v>
      </c>
      <c r="D4162" s="100">
        <v>91.928077995948442</v>
      </c>
      <c r="E4162" s="100">
        <v>93.243382354099253</v>
      </c>
      <c r="F4162" s="100">
        <v>-1829.573581533117</v>
      </c>
      <c r="G4162" s="100">
        <v>813.78055937010174</v>
      </c>
      <c r="H4162" s="100">
        <v>1776.0042190763272</v>
      </c>
      <c r="I4162" s="100">
        <v>137.2573006019735</v>
      </c>
      <c r="J4162" s="100">
        <v>897.46849751528543</v>
      </c>
    </row>
    <row r="4163" spans="1:10" x14ac:dyDescent="0.25">
      <c r="A4163">
        <v>4146</v>
      </c>
      <c r="B4163" s="100">
        <v>90.296270345446302</v>
      </c>
      <c r="C4163" s="100">
        <v>99.343189303522948</v>
      </c>
      <c r="D4163" s="100">
        <v>93.030702078928542</v>
      </c>
      <c r="E4163" s="100">
        <v>94.366365713564846</v>
      </c>
      <c r="F4163" s="100">
        <v>-2450.6755362632689</v>
      </c>
      <c r="G4163" s="100">
        <v>-1699.9496953412461</v>
      </c>
      <c r="H4163" s="100">
        <v>-429.24394688387224</v>
      </c>
      <c r="I4163" s="100">
        <v>-985.72605886361941</v>
      </c>
      <c r="J4163" s="100">
        <v>-5565.5952373520058</v>
      </c>
    </row>
    <row r="4164" spans="1:10" x14ac:dyDescent="0.25">
      <c r="A4164">
        <v>4147</v>
      </c>
      <c r="B4164" s="100">
        <v>89.137324904768249</v>
      </c>
      <c r="C4164" s="100">
        <v>98.929056644105458</v>
      </c>
      <c r="D4164" s="100">
        <v>94.573567342776542</v>
      </c>
      <c r="E4164" s="100">
        <v>94.904012036707954</v>
      </c>
      <c r="F4164" s="100">
        <v>1373.8444179743069</v>
      </c>
      <c r="G4164" s="100">
        <v>-1078.7507062150112</v>
      </c>
      <c r="H4164" s="100">
        <v>-3514.9744745798725</v>
      </c>
      <c r="I4164" s="100">
        <v>-1523.3723820067269</v>
      </c>
      <c r="J4164" s="100">
        <v>-4743.2531448273039</v>
      </c>
    </row>
    <row r="4165" spans="1:10" x14ac:dyDescent="0.25">
      <c r="A4165">
        <v>4148</v>
      </c>
      <c r="B4165" s="100">
        <v>90.01468812664281</v>
      </c>
      <c r="C4165" s="100">
        <v>98.90166158963109</v>
      </c>
      <c r="D4165" s="100">
        <v>91.274404824625876</v>
      </c>
      <c r="E4165" s="100">
        <v>92.966820350283854</v>
      </c>
      <c r="F4165" s="100">
        <v>-1521.4542142117423</v>
      </c>
      <c r="G4165" s="100">
        <v>-1037.6581245034586</v>
      </c>
      <c r="H4165" s="100">
        <v>3083.3505617214596</v>
      </c>
      <c r="I4165" s="100">
        <v>413.81930441737325</v>
      </c>
      <c r="J4165" s="100">
        <v>938.05752742363177</v>
      </c>
    </row>
    <row r="4166" spans="1:10" x14ac:dyDescent="0.25">
      <c r="A4166">
        <v>4149</v>
      </c>
      <c r="B4166" s="100">
        <v>89.236994755342153</v>
      </c>
      <c r="C4166" s="100">
        <v>98.996211137732743</v>
      </c>
      <c r="D4166" s="100">
        <v>90.622674063933843</v>
      </c>
      <c r="E4166" s="100">
        <v>94.572799629265774</v>
      </c>
      <c r="F4166" s="100">
        <v>1044.933911080426</v>
      </c>
      <c r="G4166" s="100">
        <v>-1179.4824466559389</v>
      </c>
      <c r="H4166" s="100">
        <v>4386.8120831055248</v>
      </c>
      <c r="I4166" s="100">
        <v>-1192.1599745645467</v>
      </c>
      <c r="J4166" s="100">
        <v>3060.1035729654654</v>
      </c>
    </row>
    <row r="4167" spans="1:10" x14ac:dyDescent="0.25">
      <c r="A4167">
        <v>4150</v>
      </c>
      <c r="B4167" s="100">
        <v>89.781567931236566</v>
      </c>
      <c r="C4167" s="100">
        <v>99.054652306369107</v>
      </c>
      <c r="D4167" s="100">
        <v>93.007475003359616</v>
      </c>
      <c r="E4167" s="100">
        <v>94.871778876231957</v>
      </c>
      <c r="F4167" s="100">
        <v>-752.15756937113838</v>
      </c>
      <c r="G4167" s="100">
        <v>-1267.1441996104845</v>
      </c>
      <c r="H4167" s="100">
        <v>-382.7897957460209</v>
      </c>
      <c r="I4167" s="100">
        <v>-1491.1392215307301</v>
      </c>
      <c r="J4167" s="100">
        <v>-3893.2307862583739</v>
      </c>
    </row>
    <row r="4168" spans="1:10" x14ac:dyDescent="0.25">
      <c r="A4168">
        <v>4151</v>
      </c>
      <c r="B4168" s="100">
        <v>89.327413010422262</v>
      </c>
      <c r="C4168" s="100">
        <v>98.136891168713035</v>
      </c>
      <c r="D4168" s="100">
        <v>93.300126879957062</v>
      </c>
      <c r="E4168" s="100">
        <v>94.205428925885343</v>
      </c>
      <c r="F4168" s="100">
        <v>746.55366931606432</v>
      </c>
      <c r="G4168" s="100">
        <v>109.49750687362325</v>
      </c>
      <c r="H4168" s="100">
        <v>-968.09354894091371</v>
      </c>
      <c r="I4168" s="100">
        <v>-824.78927118411605</v>
      </c>
      <c r="J4168" s="100">
        <v>-936.83164393534219</v>
      </c>
    </row>
    <row r="4169" spans="1:10" x14ac:dyDescent="0.25">
      <c r="A4169">
        <v>4152</v>
      </c>
      <c r="B4169" s="100">
        <v>88.734932180108771</v>
      </c>
      <c r="C4169" s="100">
        <v>97.009801502991976</v>
      </c>
      <c r="D4169" s="100">
        <v>94.212741851697302</v>
      </c>
      <c r="E4169" s="100">
        <v>94.612503586354478</v>
      </c>
      <c r="F4169" s="100">
        <v>2701.7404093505847</v>
      </c>
      <c r="G4169" s="100">
        <v>1800.1320054552111</v>
      </c>
      <c r="H4169" s="100">
        <v>-2793.3234924213934</v>
      </c>
      <c r="I4169" s="100">
        <v>-1231.8639316532513</v>
      </c>
      <c r="J4169" s="100">
        <v>476.68499073115072</v>
      </c>
    </row>
    <row r="4170" spans="1:10" x14ac:dyDescent="0.25">
      <c r="A4170">
        <v>4153</v>
      </c>
      <c r="B4170" s="100">
        <v>90.618115233822053</v>
      </c>
      <c r="C4170" s="100">
        <v>97.936717896566648</v>
      </c>
      <c r="D4170" s="100">
        <v>93.157380541474538</v>
      </c>
      <c r="E4170" s="100">
        <v>95.985803675317356</v>
      </c>
      <c r="F4170" s="100">
        <v>-3512.7636679032448</v>
      </c>
      <c r="G4170" s="100">
        <v>409.75741509320329</v>
      </c>
      <c r="H4170" s="100">
        <v>-682.60087197586472</v>
      </c>
      <c r="I4170" s="100">
        <v>-2605.1640206161296</v>
      </c>
      <c r="J4170" s="100">
        <v>-6390.7711454020355</v>
      </c>
    </row>
    <row r="4171" spans="1:10" x14ac:dyDescent="0.25">
      <c r="A4171">
        <v>4154</v>
      </c>
      <c r="B4171" s="100">
        <v>88.730090424519304</v>
      </c>
      <c r="C4171" s="100">
        <v>98.122392806717414</v>
      </c>
      <c r="D4171" s="100">
        <v>92.797463915176166</v>
      </c>
      <c r="E4171" s="100">
        <v>93.860346011679908</v>
      </c>
      <c r="F4171" s="100">
        <v>2717.7182027958265</v>
      </c>
      <c r="G4171" s="100">
        <v>131.24504986705432</v>
      </c>
      <c r="H4171" s="100">
        <v>37.232380620878303</v>
      </c>
      <c r="I4171" s="100">
        <v>-479.70635697868147</v>
      </c>
      <c r="J4171" s="100">
        <v>2406.4892763050775</v>
      </c>
    </row>
    <row r="4172" spans="1:10" x14ac:dyDescent="0.25">
      <c r="A4172">
        <v>4155</v>
      </c>
      <c r="B4172" s="100">
        <v>89.625109703153171</v>
      </c>
      <c r="C4172" s="100">
        <v>99.582335513984205</v>
      </c>
      <c r="D4172" s="100">
        <v>91.800484644644257</v>
      </c>
      <c r="E4172" s="100">
        <v>93.964312762554741</v>
      </c>
      <c r="F4172" s="100">
        <v>-235.84541669593619</v>
      </c>
      <c r="G4172" s="100">
        <v>-2058.6690110331319</v>
      </c>
      <c r="H4172" s="100">
        <v>2031.1909216846971</v>
      </c>
      <c r="I4172" s="100">
        <v>-583.67310785351378</v>
      </c>
      <c r="J4172" s="100">
        <v>-846.99661389788503</v>
      </c>
    </row>
    <row r="4173" spans="1:10" x14ac:dyDescent="0.25">
      <c r="A4173">
        <v>4156</v>
      </c>
      <c r="B4173" s="100">
        <v>89.631279926090414</v>
      </c>
      <c r="C4173" s="100">
        <v>98.002101819132875</v>
      </c>
      <c r="D4173" s="100">
        <v>94.720378653883955</v>
      </c>
      <c r="E4173" s="100">
        <v>94.625130658081474</v>
      </c>
      <c r="F4173" s="100">
        <v>-256.20715238883776</v>
      </c>
      <c r="G4173" s="100">
        <v>311.68153124386322</v>
      </c>
      <c r="H4173" s="100">
        <v>-3808.5970967946992</v>
      </c>
      <c r="I4173" s="100">
        <v>-1244.4910033802471</v>
      </c>
      <c r="J4173" s="100">
        <v>-4997.6137213199208</v>
      </c>
    </row>
    <row r="4174" spans="1:10" x14ac:dyDescent="0.25">
      <c r="A4174">
        <v>4157</v>
      </c>
      <c r="B4174" s="100">
        <v>89.083171112261724</v>
      </c>
      <c r="C4174" s="100">
        <v>98.169306113479863</v>
      </c>
      <c r="D4174" s="100">
        <v>93.640112462248609</v>
      </c>
      <c r="E4174" s="100">
        <v>93.230323149499966</v>
      </c>
      <c r="F4174" s="100">
        <v>1552.5519332458416</v>
      </c>
      <c r="G4174" s="100">
        <v>60.875089723381848</v>
      </c>
      <c r="H4174" s="100">
        <v>-1648.0647135240076</v>
      </c>
      <c r="I4174" s="100">
        <v>150.3165052012605</v>
      </c>
      <c r="J4174" s="100">
        <v>115.67881464647621</v>
      </c>
    </row>
    <row r="4175" spans="1:10" x14ac:dyDescent="0.25">
      <c r="A4175">
        <v>4158</v>
      </c>
      <c r="B4175" s="100">
        <v>88.6583522217541</v>
      </c>
      <c r="C4175" s="100">
        <v>98.686977766287868</v>
      </c>
      <c r="D4175" s="100">
        <v>92.243378766722657</v>
      </c>
      <c r="E4175" s="100">
        <v>93.242794408367175</v>
      </c>
      <c r="F4175" s="100">
        <v>2954.4542719209985</v>
      </c>
      <c r="G4175" s="100">
        <v>-715.63238948862568</v>
      </c>
      <c r="H4175" s="100">
        <v>1145.4026775278976</v>
      </c>
      <c r="I4175" s="100">
        <v>137.84524633405226</v>
      </c>
      <c r="J4175" s="100">
        <v>3522.0698062943229</v>
      </c>
    </row>
    <row r="4176" spans="1:10" x14ac:dyDescent="0.25">
      <c r="A4176">
        <v>4159</v>
      </c>
      <c r="B4176" s="100">
        <v>89.39442691649738</v>
      </c>
      <c r="C4176" s="100">
        <v>98.074729197038977</v>
      </c>
      <c r="D4176" s="100">
        <v>93.55209942459247</v>
      </c>
      <c r="E4176" s="100">
        <v>94.005940170238219</v>
      </c>
      <c r="F4176" s="100">
        <v>525.40777926817418</v>
      </c>
      <c r="G4176" s="100">
        <v>202.74046438471061</v>
      </c>
      <c r="H4176" s="100">
        <v>-1472.0386382117283</v>
      </c>
      <c r="I4176" s="100">
        <v>-625.30051553699195</v>
      </c>
      <c r="J4176" s="100">
        <v>-1369.1909100958355</v>
      </c>
    </row>
    <row r="4177" spans="1:10" x14ac:dyDescent="0.25">
      <c r="A4177">
        <v>4160</v>
      </c>
      <c r="B4177" s="100">
        <v>89.060782706592903</v>
      </c>
      <c r="C4177" s="100">
        <v>96.408192812166334</v>
      </c>
      <c r="D4177" s="100">
        <v>93.37915089344402</v>
      </c>
      <c r="E4177" s="100">
        <v>92.293591344022076</v>
      </c>
      <c r="F4177" s="100">
        <v>1626.4336719529497</v>
      </c>
      <c r="G4177" s="100">
        <v>2702.5450416936751</v>
      </c>
      <c r="H4177" s="100">
        <v>-1126.1415759148292</v>
      </c>
      <c r="I4177" s="100">
        <v>1087.0483106791512</v>
      </c>
      <c r="J4177" s="100">
        <v>4289.885448410947</v>
      </c>
    </row>
    <row r="4178" spans="1:10" x14ac:dyDescent="0.25">
      <c r="A4178">
        <v>4161</v>
      </c>
      <c r="B4178" s="100">
        <v>89.983846960336408</v>
      </c>
      <c r="C4178" s="100">
        <v>98.436341772347632</v>
      </c>
      <c r="D4178" s="100">
        <v>92.60389070103858</v>
      </c>
      <c r="E4178" s="100">
        <v>93.482801650425003</v>
      </c>
      <c r="F4178" s="100">
        <v>-1419.6783654006153</v>
      </c>
      <c r="G4178" s="100">
        <v>-339.67839857827187</v>
      </c>
      <c r="H4178" s="100">
        <v>424.3788088960514</v>
      </c>
      <c r="I4178" s="100">
        <v>-102.16199572377604</v>
      </c>
      <c r="J4178" s="100">
        <v>-1437.1399508066118</v>
      </c>
    </row>
    <row r="4179" spans="1:10" x14ac:dyDescent="0.25">
      <c r="A4179">
        <v>4162</v>
      </c>
      <c r="B4179" s="100">
        <v>89.087957621043827</v>
      </c>
      <c r="C4179" s="100">
        <v>98.342326686373539</v>
      </c>
      <c r="D4179" s="100">
        <v>94.473399512129703</v>
      </c>
      <c r="E4179" s="100">
        <v>92.497421991211041</v>
      </c>
      <c r="F4179" s="100">
        <v>1536.7564542648993</v>
      </c>
      <c r="G4179" s="100">
        <v>-198.65576961713316</v>
      </c>
      <c r="H4179" s="100">
        <v>-3314.6388132861944</v>
      </c>
      <c r="I4179" s="100">
        <v>883.2176634901856</v>
      </c>
      <c r="J4179" s="100">
        <v>-1093.3204651482424</v>
      </c>
    </row>
    <row r="4180" spans="1:10" x14ac:dyDescent="0.25">
      <c r="A4180">
        <v>4163</v>
      </c>
      <c r="B4180" s="100">
        <v>89.643367922138225</v>
      </c>
      <c r="C4180" s="100">
        <v>99.128272433985188</v>
      </c>
      <c r="D4180" s="100">
        <v>92.571002002410395</v>
      </c>
      <c r="E4180" s="100">
        <v>90.790984687669024</v>
      </c>
      <c r="F4180" s="100">
        <v>-296.09753934661285</v>
      </c>
      <c r="G4180" s="100">
        <v>-1377.5743910346066</v>
      </c>
      <c r="H4180" s="100">
        <v>490.15620615242028</v>
      </c>
      <c r="I4180" s="100">
        <v>2589.6549670322029</v>
      </c>
      <c r="J4180" s="100">
        <v>1406.1392428034037</v>
      </c>
    </row>
    <row r="4181" spans="1:10" x14ac:dyDescent="0.25">
      <c r="A4181">
        <v>4164</v>
      </c>
      <c r="B4181" s="100">
        <v>89.927435689197779</v>
      </c>
      <c r="C4181" s="100">
        <v>97.984026784365398</v>
      </c>
      <c r="D4181" s="100">
        <v>92.415811313564461</v>
      </c>
      <c r="E4181" s="100">
        <v>93.104836158998367</v>
      </c>
      <c r="F4181" s="100">
        <v>-1233.521170643141</v>
      </c>
      <c r="G4181" s="100">
        <v>338.79408339507933</v>
      </c>
      <c r="H4181" s="100">
        <v>800.53758384428875</v>
      </c>
      <c r="I4181" s="100">
        <v>275.80349570285989</v>
      </c>
      <c r="J4181" s="100">
        <v>181.61399229908693</v>
      </c>
    </row>
    <row r="4182" spans="1:10" x14ac:dyDescent="0.25">
      <c r="A4182">
        <v>4165</v>
      </c>
      <c r="B4182" s="100">
        <v>89.062156246229264</v>
      </c>
      <c r="C4182" s="100">
        <v>98.316286591498383</v>
      </c>
      <c r="D4182" s="100">
        <v>95.176964057080852</v>
      </c>
      <c r="E4182" s="100">
        <v>92.02127282445241</v>
      </c>
      <c r="F4182" s="100">
        <v>1621.9009911529567</v>
      </c>
      <c r="G4182" s="100">
        <v>-159.59562730439814</v>
      </c>
      <c r="H4182" s="100">
        <v>-4721.7679031884927</v>
      </c>
      <c r="I4182" s="100">
        <v>1359.3668302488168</v>
      </c>
      <c r="J4182" s="100">
        <v>-1900.0957090911174</v>
      </c>
    </row>
    <row r="4183" spans="1:10" x14ac:dyDescent="0.25">
      <c r="A4183">
        <v>4166</v>
      </c>
      <c r="B4183" s="100">
        <v>90.407951881899223</v>
      </c>
      <c r="C4183" s="100">
        <v>98.27824192924227</v>
      </c>
      <c r="D4183" s="100">
        <v>91.671104233643547</v>
      </c>
      <c r="E4183" s="100">
        <v>90.97631836167416</v>
      </c>
      <c r="F4183" s="100">
        <v>-2819.2246065579056</v>
      </c>
      <c r="G4183" s="100">
        <v>-102.52863392022959</v>
      </c>
      <c r="H4183" s="100">
        <v>2289.9517436861174</v>
      </c>
      <c r="I4183" s="100">
        <v>2404.321293027067</v>
      </c>
      <c r="J4183" s="100">
        <v>1772.5197962350494</v>
      </c>
    </row>
    <row r="4184" spans="1:10" x14ac:dyDescent="0.25">
      <c r="A4184">
        <v>4167</v>
      </c>
      <c r="B4184" s="100">
        <v>89.680848343461463</v>
      </c>
      <c r="C4184" s="100">
        <v>99.053115030714764</v>
      </c>
      <c r="D4184" s="100">
        <v>93.120496616200498</v>
      </c>
      <c r="E4184" s="100">
        <v>92.326163072557577</v>
      </c>
      <c r="F4184" s="100">
        <v>-419.78292971329836</v>
      </c>
      <c r="G4184" s="100">
        <v>-1264.8382861289704</v>
      </c>
      <c r="H4184" s="100">
        <v>-608.83302142778462</v>
      </c>
      <c r="I4184" s="100">
        <v>1054.4765821436499</v>
      </c>
      <c r="J4184" s="100">
        <v>-1238.9776551264035</v>
      </c>
    </row>
    <row r="4185" spans="1:10" x14ac:dyDescent="0.25">
      <c r="A4185">
        <v>4168</v>
      </c>
      <c r="B4185" s="100">
        <v>89.548153950363655</v>
      </c>
      <c r="C4185" s="100">
        <v>97.441224327292588</v>
      </c>
      <c r="D4185" s="100">
        <v>94.268680597927386</v>
      </c>
      <c r="E4185" s="100">
        <v>93.530797198192815</v>
      </c>
      <c r="F4185" s="100">
        <v>18.108567509466411</v>
      </c>
      <c r="G4185" s="100">
        <v>1152.997769004294</v>
      </c>
      <c r="H4185" s="100">
        <v>-2905.2009848815601</v>
      </c>
      <c r="I4185" s="100">
        <v>-150.15754349158783</v>
      </c>
      <c r="J4185" s="100">
        <v>-1884.2521918593875</v>
      </c>
    </row>
    <row r="4186" spans="1:10" x14ac:dyDescent="0.25">
      <c r="A4186">
        <v>4169</v>
      </c>
      <c r="B4186" s="100">
        <v>89.257850995485143</v>
      </c>
      <c r="C4186" s="100">
        <v>98.732824486262174</v>
      </c>
      <c r="D4186" s="100">
        <v>92.297258484064088</v>
      </c>
      <c r="E4186" s="100">
        <v>93.584271481149571</v>
      </c>
      <c r="F4186" s="100">
        <v>976.10831860855853</v>
      </c>
      <c r="G4186" s="100">
        <v>-784.40246945008596</v>
      </c>
      <c r="H4186" s="100">
        <v>1037.6432428450357</v>
      </c>
      <c r="I4186" s="100">
        <v>-203.6318264483441</v>
      </c>
      <c r="J4186" s="100">
        <v>1025.7172655551642</v>
      </c>
    </row>
    <row r="4187" spans="1:10" x14ac:dyDescent="0.25">
      <c r="A4187">
        <v>4170</v>
      </c>
      <c r="B4187" s="100">
        <v>89.479979554148741</v>
      </c>
      <c r="C4187" s="100">
        <v>98.186840359270334</v>
      </c>
      <c r="D4187" s="100">
        <v>93.146072075099468</v>
      </c>
      <c r="E4187" s="100">
        <v>94.032851358966667</v>
      </c>
      <c r="F4187" s="100">
        <v>243.08407501868317</v>
      </c>
      <c r="G4187" s="100">
        <v>34.573721037673977</v>
      </c>
      <c r="H4187" s="100">
        <v>-659.98393922572518</v>
      </c>
      <c r="I4187" s="100">
        <v>-652.21170426544006</v>
      </c>
      <c r="J4187" s="100">
        <v>-1034.5378474348081</v>
      </c>
    </row>
    <row r="4188" spans="1:10" x14ac:dyDescent="0.25">
      <c r="A4188">
        <v>4171</v>
      </c>
      <c r="B4188" s="100">
        <v>89.727134131697539</v>
      </c>
      <c r="C4188" s="100">
        <v>97.447095159324633</v>
      </c>
      <c r="D4188" s="100">
        <v>93.867889745915647</v>
      </c>
      <c r="E4188" s="100">
        <v>92.723164855389427</v>
      </c>
      <c r="F4188" s="100">
        <v>-572.52603089235095</v>
      </c>
      <c r="G4188" s="100">
        <v>1144.1915209562267</v>
      </c>
      <c r="H4188" s="100">
        <v>-2103.6192808580836</v>
      </c>
      <c r="I4188" s="100">
        <v>657.47479931179953</v>
      </c>
      <c r="J4188" s="100">
        <v>-874.47899148240833</v>
      </c>
    </row>
    <row r="4189" spans="1:10" x14ac:dyDescent="0.25">
      <c r="A4189">
        <v>4172</v>
      </c>
      <c r="B4189" s="100">
        <v>89.377434029395658</v>
      </c>
      <c r="C4189" s="100">
        <v>97.991040254192825</v>
      </c>
      <c r="D4189" s="100">
        <v>93.243917345899547</v>
      </c>
      <c r="E4189" s="100">
        <v>94.438601806808052</v>
      </c>
      <c r="F4189" s="100">
        <v>581.48430670385665</v>
      </c>
      <c r="G4189" s="100">
        <v>328.27387865393831</v>
      </c>
      <c r="H4189" s="100">
        <v>-855.67448082588271</v>
      </c>
      <c r="I4189" s="100">
        <v>-1057.9621521068248</v>
      </c>
      <c r="J4189" s="100">
        <v>-1003.8784475749126</v>
      </c>
    </row>
    <row r="4190" spans="1:10" x14ac:dyDescent="0.25">
      <c r="A4190">
        <v>4173</v>
      </c>
      <c r="B4190" s="100">
        <v>89.412154597023488</v>
      </c>
      <c r="C4190" s="100">
        <v>98.289757602542167</v>
      </c>
      <c r="D4190" s="100">
        <v>94.313396200784467</v>
      </c>
      <c r="E4190" s="100">
        <v>92.068829894039979</v>
      </c>
      <c r="F4190" s="100">
        <v>466.90643353202006</v>
      </c>
      <c r="G4190" s="100">
        <v>-119.80214387007493</v>
      </c>
      <c r="H4190" s="100">
        <v>-2994.6321905957234</v>
      </c>
      <c r="I4190" s="100">
        <v>1311.809760661248</v>
      </c>
      <c r="J4190" s="100">
        <v>-1335.7181402725303</v>
      </c>
    </row>
    <row r="4191" spans="1:10" x14ac:dyDescent="0.25">
      <c r="A4191">
        <v>4174</v>
      </c>
      <c r="B4191" s="100">
        <v>88.993875311564864</v>
      </c>
      <c r="C4191" s="100">
        <v>97.849454366753079</v>
      </c>
      <c r="D4191" s="100">
        <v>93.148658989286943</v>
      </c>
      <c r="E4191" s="100">
        <v>92.3771060422918</v>
      </c>
      <c r="F4191" s="100">
        <v>1847.228075545479</v>
      </c>
      <c r="G4191" s="100">
        <v>540.65270981355695</v>
      </c>
      <c r="H4191" s="100">
        <v>-665.15776760067524</v>
      </c>
      <c r="I4191" s="100">
        <v>1003.5336124094272</v>
      </c>
      <c r="J4191" s="100">
        <v>2726.256630167788</v>
      </c>
    </row>
    <row r="4192" spans="1:10" x14ac:dyDescent="0.25">
      <c r="A4192">
        <v>4175</v>
      </c>
      <c r="B4192" s="100">
        <v>89.328397863446099</v>
      </c>
      <c r="C4192" s="100">
        <v>97.009665863879363</v>
      </c>
      <c r="D4192" s="100">
        <v>93.581120314687666</v>
      </c>
      <c r="E4192" s="100">
        <v>94.719945785564931</v>
      </c>
      <c r="F4192" s="100">
        <v>743.30365433740155</v>
      </c>
      <c r="G4192" s="100">
        <v>1800.3354641241317</v>
      </c>
      <c r="H4192" s="100">
        <v>-1530.0804184021217</v>
      </c>
      <c r="I4192" s="100">
        <v>-1339.3061308637043</v>
      </c>
      <c r="J4192" s="100">
        <v>-325.74743080429289</v>
      </c>
    </row>
    <row r="4193" spans="1:10" x14ac:dyDescent="0.25">
      <c r="A4193">
        <v>4176</v>
      </c>
      <c r="B4193" s="100">
        <v>89.560409186748146</v>
      </c>
      <c r="C4193" s="100">
        <v>97.773548113710291</v>
      </c>
      <c r="D4193" s="100">
        <v>91.869387292921232</v>
      </c>
      <c r="E4193" s="100">
        <v>91.750372275951548</v>
      </c>
      <c r="F4193" s="100">
        <v>-22.333712559351682</v>
      </c>
      <c r="G4193" s="100">
        <v>654.51208937773936</v>
      </c>
      <c r="H4193" s="100">
        <v>1893.3856251307475</v>
      </c>
      <c r="I4193" s="100">
        <v>1630.2673787496788</v>
      </c>
      <c r="J4193" s="100">
        <v>4155.8313806988135</v>
      </c>
    </row>
    <row r="4194" spans="1:10" x14ac:dyDescent="0.25">
      <c r="A4194">
        <v>4177</v>
      </c>
      <c r="B4194" s="100">
        <v>89.617343719398917</v>
      </c>
      <c r="C4194" s="100">
        <v>98.06699551489001</v>
      </c>
      <c r="D4194" s="100">
        <v>91.410838734058643</v>
      </c>
      <c r="E4194" s="100">
        <v>92.307194824646203</v>
      </c>
      <c r="F4194" s="100">
        <v>-210.21767030689773</v>
      </c>
      <c r="G4194" s="100">
        <v>214.34098760816056</v>
      </c>
      <c r="H4194" s="100">
        <v>2810.4827428559247</v>
      </c>
      <c r="I4194" s="100">
        <v>1073.4448300550241</v>
      </c>
      <c r="J4194" s="100">
        <v>3888.0508902122119</v>
      </c>
    </row>
    <row r="4195" spans="1:10" x14ac:dyDescent="0.25">
      <c r="A4195">
        <v>4178</v>
      </c>
      <c r="B4195" s="100">
        <v>89.813077921997731</v>
      </c>
      <c r="C4195" s="100">
        <v>98.007488321776592</v>
      </c>
      <c r="D4195" s="100">
        <v>94.400590589876131</v>
      </c>
      <c r="E4195" s="100">
        <v>94.738671957872086</v>
      </c>
      <c r="F4195" s="100">
        <v>-856.14053888298395</v>
      </c>
      <c r="G4195" s="100">
        <v>303.60177727828841</v>
      </c>
      <c r="H4195" s="100">
        <v>-3169.0209687790511</v>
      </c>
      <c r="I4195" s="100">
        <v>-1358.0323031708588</v>
      </c>
      <c r="J4195" s="100">
        <v>-5079.5920335546052</v>
      </c>
    </row>
    <row r="4196" spans="1:10" x14ac:dyDescent="0.25">
      <c r="A4196">
        <v>4179</v>
      </c>
      <c r="B4196" s="100">
        <v>89.605400045929187</v>
      </c>
      <c r="C4196" s="100">
        <v>100.07827531517475</v>
      </c>
      <c r="D4196" s="100">
        <v>93.38912772588634</v>
      </c>
      <c r="E4196" s="100">
        <v>95.242602045218035</v>
      </c>
      <c r="F4196" s="100">
        <v>-170.80354785678793</v>
      </c>
      <c r="G4196" s="100">
        <v>-2802.578712818949</v>
      </c>
      <c r="H4196" s="100">
        <v>-1146.0952407994682</v>
      </c>
      <c r="I4196" s="100">
        <v>-1861.9623905168082</v>
      </c>
      <c r="J4196" s="100">
        <v>-5981.4398919920131</v>
      </c>
    </row>
    <row r="4197" spans="1:10" x14ac:dyDescent="0.25">
      <c r="A4197">
        <v>4180</v>
      </c>
      <c r="B4197" s="100">
        <v>89.4459951178804</v>
      </c>
      <c r="C4197" s="100">
        <v>100.14889421241102</v>
      </c>
      <c r="D4197" s="100">
        <v>93.509961978986297</v>
      </c>
      <c r="E4197" s="100">
        <v>92.911098942984381</v>
      </c>
      <c r="F4197" s="100">
        <v>355.23271470420781</v>
      </c>
      <c r="G4197" s="100">
        <v>-2908.5070586733577</v>
      </c>
      <c r="H4197" s="100">
        <v>-1387.7637469993829</v>
      </c>
      <c r="I4197" s="100">
        <v>469.54071171684575</v>
      </c>
      <c r="J4197" s="100">
        <v>-3471.4973792516871</v>
      </c>
    </row>
    <row r="4198" spans="1:10" x14ac:dyDescent="0.25">
      <c r="A4198">
        <v>4181</v>
      </c>
      <c r="B4198" s="100">
        <v>89.701004244132974</v>
      </c>
      <c r="C4198" s="100">
        <v>98.532212557807071</v>
      </c>
      <c r="D4198" s="100">
        <v>93.225863683863949</v>
      </c>
      <c r="E4198" s="100">
        <v>92.784944336307547</v>
      </c>
      <c r="F4198" s="100">
        <v>-486.29740192928637</v>
      </c>
      <c r="G4198" s="100">
        <v>-483.48457676743095</v>
      </c>
      <c r="H4198" s="100">
        <v>-819.56715675468672</v>
      </c>
      <c r="I4198" s="100">
        <v>595.6953183936804</v>
      </c>
      <c r="J4198" s="100">
        <v>-1193.6538170577237</v>
      </c>
    </row>
    <row r="4199" spans="1:10" x14ac:dyDescent="0.25">
      <c r="A4199">
        <v>4182</v>
      </c>
      <c r="B4199" s="100">
        <v>90.046153944316856</v>
      </c>
      <c r="C4199" s="100">
        <v>98.378318214599446</v>
      </c>
      <c r="D4199" s="100">
        <v>90.910604045771663</v>
      </c>
      <c r="E4199" s="100">
        <v>94.820458008174185</v>
      </c>
      <c r="F4199" s="100">
        <v>-1625.291412536096</v>
      </c>
      <c r="G4199" s="100">
        <v>-252.64306195599318</v>
      </c>
      <c r="H4199" s="100">
        <v>3810.952119429885</v>
      </c>
      <c r="I4199" s="100">
        <v>-1439.8183534729583</v>
      </c>
      <c r="J4199" s="100">
        <v>493.19929146483764</v>
      </c>
    </row>
    <row r="4200" spans="1:10" x14ac:dyDescent="0.25">
      <c r="A4200">
        <v>4183</v>
      </c>
      <c r="B4200" s="100">
        <v>89.816314265858054</v>
      </c>
      <c r="C4200" s="100">
        <v>97.480296780038273</v>
      </c>
      <c r="D4200" s="100">
        <v>93.122696112479417</v>
      </c>
      <c r="E4200" s="100">
        <v>95.441059157555159</v>
      </c>
      <c r="F4200" s="100">
        <v>-866.82047362204889</v>
      </c>
      <c r="G4200" s="100">
        <v>1094.389089885766</v>
      </c>
      <c r="H4200" s="100">
        <v>-613.23201398562333</v>
      </c>
      <c r="I4200" s="100">
        <v>-2060.4195028539325</v>
      </c>
      <c r="J4200" s="100">
        <v>-2446.0829005758387</v>
      </c>
    </row>
    <row r="4201" spans="1:10" x14ac:dyDescent="0.25">
      <c r="A4201">
        <v>4184</v>
      </c>
      <c r="B4201" s="100">
        <v>89.199114747513519</v>
      </c>
      <c r="C4201" s="100">
        <v>99.564348249457652</v>
      </c>
      <c r="D4201" s="100">
        <v>92.950595460127118</v>
      </c>
      <c r="E4201" s="100">
        <v>93.027031654614973</v>
      </c>
      <c r="F4201" s="100">
        <v>1169.9379369149156</v>
      </c>
      <c r="G4201" s="100">
        <v>-2031.6881142433019</v>
      </c>
      <c r="H4201" s="100">
        <v>-269.03070928102579</v>
      </c>
      <c r="I4201" s="100">
        <v>353.60800008625404</v>
      </c>
      <c r="J4201" s="100">
        <v>-777.17288652315813</v>
      </c>
    </row>
    <row r="4202" spans="1:10" x14ac:dyDescent="0.25">
      <c r="A4202">
        <v>4185</v>
      </c>
      <c r="B4202" s="100">
        <v>88.662302885955683</v>
      </c>
      <c r="C4202" s="100">
        <v>98.01215456943774</v>
      </c>
      <c r="D4202" s="100">
        <v>91.772780718975426</v>
      </c>
      <c r="E4202" s="100">
        <v>95.269504806185722</v>
      </c>
      <c r="F4202" s="100">
        <v>2941.4170800557768</v>
      </c>
      <c r="G4202" s="100">
        <v>296.60240578656527</v>
      </c>
      <c r="H4202" s="100">
        <v>2086.5987730223596</v>
      </c>
      <c r="I4202" s="100">
        <v>-1888.8651514844951</v>
      </c>
      <c r="J4202" s="100">
        <v>3435.7531073802065</v>
      </c>
    </row>
    <row r="4203" spans="1:10" x14ac:dyDescent="0.25">
      <c r="A4203">
        <v>4186</v>
      </c>
      <c r="B4203" s="100">
        <v>89.46570266071393</v>
      </c>
      <c r="C4203" s="100">
        <v>99.988282480283672</v>
      </c>
      <c r="D4203" s="100">
        <v>93.286378617739757</v>
      </c>
      <c r="E4203" s="100">
        <v>94.72459632536075</v>
      </c>
      <c r="F4203" s="100">
        <v>290.19782335356012</v>
      </c>
      <c r="G4203" s="100">
        <v>-2667.5894604823325</v>
      </c>
      <c r="H4203" s="100">
        <v>-940.59702450630311</v>
      </c>
      <c r="I4203" s="100">
        <v>-1343.9566706595228</v>
      </c>
      <c r="J4203" s="100">
        <v>-4661.9453322945983</v>
      </c>
    </row>
    <row r="4204" spans="1:10" x14ac:dyDescent="0.25">
      <c r="A4204">
        <v>4187</v>
      </c>
      <c r="B4204" s="100">
        <v>89.441270259784957</v>
      </c>
      <c r="C4204" s="100">
        <v>97.224845420587855</v>
      </c>
      <c r="D4204" s="100">
        <v>92.485277261972115</v>
      </c>
      <c r="E4204" s="100">
        <v>94.445379255368564</v>
      </c>
      <c r="F4204" s="100">
        <v>370.82474641917003</v>
      </c>
      <c r="G4204" s="100">
        <v>1477.5661290613939</v>
      </c>
      <c r="H4204" s="100">
        <v>661.60568702898104</v>
      </c>
      <c r="I4204" s="100">
        <v>-1064.7396006673375</v>
      </c>
      <c r="J4204" s="100">
        <v>1445.2569618422071</v>
      </c>
    </row>
    <row r="4205" spans="1:10" x14ac:dyDescent="0.25">
      <c r="A4205">
        <v>4188</v>
      </c>
      <c r="B4205" s="100">
        <v>89.068978400493066</v>
      </c>
      <c r="C4205" s="100">
        <v>97.601385957269599</v>
      </c>
      <c r="D4205" s="100">
        <v>92.871152497465062</v>
      </c>
      <c r="E4205" s="100">
        <v>95.189304933643982</v>
      </c>
      <c r="F4205" s="100">
        <v>1599.3878820824123</v>
      </c>
      <c r="G4205" s="100">
        <v>912.75532403877696</v>
      </c>
      <c r="H4205" s="100">
        <v>-110.14478395691185</v>
      </c>
      <c r="I4205" s="100">
        <v>-1808.6652789427546</v>
      </c>
      <c r="J4205" s="100">
        <v>593.3331432215225</v>
      </c>
    </row>
    <row r="4206" spans="1:10" x14ac:dyDescent="0.25">
      <c r="A4206">
        <v>4189</v>
      </c>
      <c r="B4206" s="100">
        <v>89.621188880070235</v>
      </c>
      <c r="C4206" s="100">
        <v>98.248663877687079</v>
      </c>
      <c r="D4206" s="100">
        <v>92.211593877586793</v>
      </c>
      <c r="E4206" s="100">
        <v>93.43940827012247</v>
      </c>
      <c r="F4206" s="100">
        <v>-222.90670052224755</v>
      </c>
      <c r="G4206" s="100">
        <v>-58.161556587442931</v>
      </c>
      <c r="H4206" s="100">
        <v>1208.9724557996249</v>
      </c>
      <c r="I4206" s="100">
        <v>-58.768615421243453</v>
      </c>
      <c r="J4206" s="100">
        <v>869.13558326869099</v>
      </c>
    </row>
    <row r="4207" spans="1:10" x14ac:dyDescent="0.25">
      <c r="A4207">
        <v>4190</v>
      </c>
      <c r="B4207" s="100">
        <v>89.34829039365377</v>
      </c>
      <c r="C4207" s="100">
        <v>97.710901216880004</v>
      </c>
      <c r="D4207" s="100">
        <v>94.204483889747877</v>
      </c>
      <c r="E4207" s="100">
        <v>91.46363225205846</v>
      </c>
      <c r="F4207" s="100">
        <v>677.65830465208978</v>
      </c>
      <c r="G4207" s="100">
        <v>748.48243462317043</v>
      </c>
      <c r="H4207" s="100">
        <v>-2776.8075685225426</v>
      </c>
      <c r="I4207" s="100">
        <v>1917.0074026427669</v>
      </c>
      <c r="J4207" s="100">
        <v>566.34057339548463</v>
      </c>
    </row>
    <row r="4208" spans="1:10" x14ac:dyDescent="0.25">
      <c r="A4208">
        <v>4191</v>
      </c>
      <c r="B4208" s="100">
        <v>89.742356909747883</v>
      </c>
      <c r="C4208" s="100">
        <v>96.194274055670704</v>
      </c>
      <c r="D4208" s="100">
        <v>93.546702425923925</v>
      </c>
      <c r="E4208" s="100">
        <v>91.25742609698932</v>
      </c>
      <c r="F4208" s="100">
        <v>-622.76119845848541</v>
      </c>
      <c r="G4208" s="100">
        <v>3023.4231764371202</v>
      </c>
      <c r="H4208" s="100">
        <v>-1461.2446408746393</v>
      </c>
      <c r="I4208" s="100">
        <v>2123.2135577119066</v>
      </c>
      <c r="J4208" s="100">
        <v>3062.6308948159021</v>
      </c>
    </row>
    <row r="4209" spans="1:10" x14ac:dyDescent="0.25">
      <c r="A4209">
        <v>4192</v>
      </c>
      <c r="B4209" s="100">
        <v>89.372067169448528</v>
      </c>
      <c r="C4209" s="100">
        <v>98.404810873656459</v>
      </c>
      <c r="D4209" s="100">
        <v>93.186354239739316</v>
      </c>
      <c r="E4209" s="100">
        <v>93.321452556567351</v>
      </c>
      <c r="F4209" s="100">
        <v>599.19494452938829</v>
      </c>
      <c r="G4209" s="100">
        <v>-292.38205054151223</v>
      </c>
      <c r="H4209" s="100">
        <v>-740.54826850542099</v>
      </c>
      <c r="I4209" s="100">
        <v>59.187098133875793</v>
      </c>
      <c r="J4209" s="100">
        <v>-374.54827638366913</v>
      </c>
    </row>
    <row r="4210" spans="1:10" x14ac:dyDescent="0.25">
      <c r="A4210">
        <v>4193</v>
      </c>
      <c r="B4210" s="100">
        <v>89.79113883955732</v>
      </c>
      <c r="C4210" s="100">
        <v>98.013161835979645</v>
      </c>
      <c r="D4210" s="100">
        <v>92.719741774052068</v>
      </c>
      <c r="E4210" s="100">
        <v>92.427084926134242</v>
      </c>
      <c r="F4210" s="100">
        <v>-783.74156682962598</v>
      </c>
      <c r="G4210" s="100">
        <v>295.09150597370848</v>
      </c>
      <c r="H4210" s="100">
        <v>192.6766628690757</v>
      </c>
      <c r="I4210" s="100">
        <v>953.55472856698498</v>
      </c>
      <c r="J4210" s="100">
        <v>657.58133058014323</v>
      </c>
    </row>
    <row r="4211" spans="1:10" x14ac:dyDescent="0.25">
      <c r="A4211">
        <v>4194</v>
      </c>
      <c r="B4211" s="100">
        <v>89.40125397707223</v>
      </c>
      <c r="C4211" s="100">
        <v>98.395988007973017</v>
      </c>
      <c r="D4211" s="100">
        <v>92.388549320345504</v>
      </c>
      <c r="E4211" s="100">
        <v>92.456694735369695</v>
      </c>
      <c r="F4211" s="100">
        <v>502.87847937117078</v>
      </c>
      <c r="G4211" s="100">
        <v>-279.14775201634967</v>
      </c>
      <c r="H4211" s="100">
        <v>855.06157028220287</v>
      </c>
      <c r="I4211" s="100">
        <v>923.94491933153233</v>
      </c>
      <c r="J4211" s="100">
        <v>2002.7372169685564</v>
      </c>
    </row>
    <row r="4212" spans="1:10" x14ac:dyDescent="0.25">
      <c r="A4212">
        <v>4195</v>
      </c>
      <c r="B4212" s="100">
        <v>89.489868325790127</v>
      </c>
      <c r="C4212" s="100">
        <v>98.171460240009168</v>
      </c>
      <c r="D4212" s="100">
        <v>93.936837753275242</v>
      </c>
      <c r="E4212" s="100">
        <v>92.459074205957137</v>
      </c>
      <c r="F4212" s="100">
        <v>210.45112860211077</v>
      </c>
      <c r="G4212" s="100">
        <v>57.643899929423981</v>
      </c>
      <c r="H4212" s="100">
        <v>-2241.5152955772728</v>
      </c>
      <c r="I4212" s="100">
        <v>921.56544874409008</v>
      </c>
      <c r="J4212" s="100">
        <v>-1051.8548183016478</v>
      </c>
    </row>
    <row r="4213" spans="1:10" x14ac:dyDescent="0.25">
      <c r="A4213">
        <v>4196</v>
      </c>
      <c r="B4213" s="100">
        <v>89.415479268237135</v>
      </c>
      <c r="C4213" s="100">
        <v>97.668841489101496</v>
      </c>
      <c r="D4213" s="100">
        <v>93.322243138097903</v>
      </c>
      <c r="E4213" s="100">
        <v>91.611038537541262</v>
      </c>
      <c r="F4213" s="100">
        <v>455.93501852698353</v>
      </c>
      <c r="G4213" s="100">
        <v>811.57202629093206</v>
      </c>
      <c r="H4213" s="100">
        <v>-1012.3260652225952</v>
      </c>
      <c r="I4213" s="100">
        <v>1769.601117159965</v>
      </c>
      <c r="J4213" s="100">
        <v>2024.7820967552855</v>
      </c>
    </row>
    <row r="4214" spans="1:10" x14ac:dyDescent="0.25">
      <c r="A4214">
        <v>4197</v>
      </c>
      <c r="B4214" s="100">
        <v>89.05494853749677</v>
      </c>
      <c r="C4214" s="100">
        <v>98.22663355776119</v>
      </c>
      <c r="D4214" s="100">
        <v>93.683439113532401</v>
      </c>
      <c r="E4214" s="100">
        <v>91.563262723833958</v>
      </c>
      <c r="F4214" s="100">
        <v>1645.6864299701876</v>
      </c>
      <c r="G4214" s="100">
        <v>-25.116076698608936</v>
      </c>
      <c r="H4214" s="100">
        <v>-1734.7180160915912</v>
      </c>
      <c r="I4214" s="100">
        <v>1817.376930867269</v>
      </c>
      <c r="J4214" s="100">
        <v>1703.2292680472567</v>
      </c>
    </row>
    <row r="4215" spans="1:10" x14ac:dyDescent="0.25">
      <c r="A4215">
        <v>4198</v>
      </c>
      <c r="B4215" s="100">
        <v>89.395754024366695</v>
      </c>
      <c r="C4215" s="100">
        <v>98.791488507924484</v>
      </c>
      <c r="D4215" s="100">
        <v>91.374163861851642</v>
      </c>
      <c r="E4215" s="100">
        <v>93.586743868984811</v>
      </c>
      <c r="F4215" s="100">
        <v>521.02832329943431</v>
      </c>
      <c r="G4215" s="100">
        <v>-872.39850194355029</v>
      </c>
      <c r="H4215" s="100">
        <v>2883.8324872699277</v>
      </c>
      <c r="I4215" s="100">
        <v>-206.1042142835845</v>
      </c>
      <c r="J4215" s="100">
        <v>2326.3580943422271</v>
      </c>
    </row>
    <row r="4216" spans="1:10" x14ac:dyDescent="0.25">
      <c r="A4216">
        <v>4199</v>
      </c>
      <c r="B4216" s="100">
        <v>89.82961931605638</v>
      </c>
      <c r="C4216" s="100">
        <v>96.781303355152303</v>
      </c>
      <c r="D4216" s="100">
        <v>93.152815745774561</v>
      </c>
      <c r="E4216" s="100">
        <v>91.972740749640636</v>
      </c>
      <c r="F4216" s="100">
        <v>-910.72713927652558</v>
      </c>
      <c r="G4216" s="100">
        <v>2142.8792272147207</v>
      </c>
      <c r="H4216" s="100">
        <v>-673.47128057591021</v>
      </c>
      <c r="I4216" s="100">
        <v>1407.8989050605912</v>
      </c>
      <c r="J4216" s="100">
        <v>1966.5797124228761</v>
      </c>
    </row>
    <row r="4217" spans="1:10" x14ac:dyDescent="0.25">
      <c r="A4217">
        <v>4200</v>
      </c>
      <c r="B4217" s="100">
        <v>89.770183632929601</v>
      </c>
      <c r="C4217" s="100">
        <v>98.112894382565983</v>
      </c>
      <c r="D4217" s="100">
        <v>92.059536847188966</v>
      </c>
      <c r="E4217" s="100">
        <v>95.534552499678497</v>
      </c>
      <c r="F4217" s="100">
        <v>-714.58938495815551</v>
      </c>
      <c r="G4217" s="100">
        <v>145.49268609420096</v>
      </c>
      <c r="H4217" s="100">
        <v>1513.0865165952798</v>
      </c>
      <c r="I4217" s="100">
        <v>-2153.9128449772707</v>
      </c>
      <c r="J4217" s="100">
        <v>-1209.9230272459454</v>
      </c>
    </row>
    <row r="4218" spans="1:10" x14ac:dyDescent="0.25">
      <c r="A4218">
        <v>4201</v>
      </c>
      <c r="B4218" s="100">
        <v>89.754288808868409</v>
      </c>
      <c r="C4218" s="100">
        <v>97.726928115482082</v>
      </c>
      <c r="D4218" s="100">
        <v>92.564859100655909</v>
      </c>
      <c r="E4218" s="100">
        <v>95.185261112420093</v>
      </c>
      <c r="F4218" s="100">
        <v>-662.13646555622176</v>
      </c>
      <c r="G4218" s="100">
        <v>724.44208672005311</v>
      </c>
      <c r="H4218" s="100">
        <v>502.44200966139374</v>
      </c>
      <c r="I4218" s="100">
        <v>-1804.6214577188664</v>
      </c>
      <c r="J4218" s="100">
        <v>-1239.8738268936413</v>
      </c>
    </row>
    <row r="4219" spans="1:10" x14ac:dyDescent="0.25">
      <c r="A4219">
        <v>4202</v>
      </c>
      <c r="B4219" s="100">
        <v>89.920520337750688</v>
      </c>
      <c r="C4219" s="100">
        <v>99.109609633195817</v>
      </c>
      <c r="D4219" s="100">
        <v>92.375603302085793</v>
      </c>
      <c r="E4219" s="100">
        <v>92.740958162505535</v>
      </c>
      <c r="F4219" s="100">
        <v>-1210.7005108677399</v>
      </c>
      <c r="G4219" s="100">
        <v>-1349.580189850549</v>
      </c>
      <c r="H4219" s="100">
        <v>880.95360680162571</v>
      </c>
      <c r="I4219" s="100">
        <v>639.6814921956917</v>
      </c>
      <c r="J4219" s="100">
        <v>-1039.6456017209716</v>
      </c>
    </row>
    <row r="4220" spans="1:10" x14ac:dyDescent="0.25">
      <c r="A4220">
        <v>4203</v>
      </c>
      <c r="B4220" s="100">
        <v>89.795828046097995</v>
      </c>
      <c r="C4220" s="100">
        <v>98.761370410077447</v>
      </c>
      <c r="D4220" s="100">
        <v>93.872438021433922</v>
      </c>
      <c r="E4220" s="100">
        <v>91.523822684442763</v>
      </c>
      <c r="F4220" s="100">
        <v>-799.21594841385399</v>
      </c>
      <c r="G4220" s="100">
        <v>-827.22135517299478</v>
      </c>
      <c r="H4220" s="100">
        <v>-2112.7158318946331</v>
      </c>
      <c r="I4220" s="100">
        <v>1856.8169702584642</v>
      </c>
      <c r="J4220" s="100">
        <v>-1882.3361652230178</v>
      </c>
    </row>
    <row r="4221" spans="1:10" x14ac:dyDescent="0.25">
      <c r="A4221">
        <v>4204</v>
      </c>
      <c r="B4221" s="100">
        <v>88.540131363547729</v>
      </c>
      <c r="C4221" s="100">
        <v>97.565589965626941</v>
      </c>
      <c r="D4221" s="100">
        <v>92.218530756528637</v>
      </c>
      <c r="E4221" s="100">
        <v>90.086628963017105</v>
      </c>
      <c r="F4221" s="100">
        <v>3344.5831040020225</v>
      </c>
      <c r="G4221" s="100">
        <v>966.44931150276398</v>
      </c>
      <c r="H4221" s="100">
        <v>1195.0986979159381</v>
      </c>
      <c r="I4221" s="100">
        <v>3294.0106916841214</v>
      </c>
      <c r="J4221" s="100">
        <v>8800.1418051048458</v>
      </c>
    </row>
    <row r="4222" spans="1:10" x14ac:dyDescent="0.25">
      <c r="A4222">
        <v>4205</v>
      </c>
      <c r="B4222" s="100">
        <v>89.729146696114569</v>
      </c>
      <c r="C4222" s="100">
        <v>99.358579535372755</v>
      </c>
      <c r="D4222" s="100">
        <v>93.495798273918268</v>
      </c>
      <c r="E4222" s="100">
        <v>94.466343382922759</v>
      </c>
      <c r="F4222" s="100">
        <v>-579.16749346854749</v>
      </c>
      <c r="G4222" s="100">
        <v>-1723.0350431159563</v>
      </c>
      <c r="H4222" s="100">
        <v>-1359.4363368633253</v>
      </c>
      <c r="I4222" s="100">
        <v>-1085.7037282215315</v>
      </c>
      <c r="J4222" s="100">
        <v>-4747.3426016693611</v>
      </c>
    </row>
    <row r="4223" spans="1:10" x14ac:dyDescent="0.25">
      <c r="A4223">
        <v>4206</v>
      </c>
      <c r="B4223" s="100">
        <v>89.676037331956422</v>
      </c>
      <c r="C4223" s="100">
        <v>97.979356216877122</v>
      </c>
      <c r="D4223" s="100">
        <v>93.758574437279947</v>
      </c>
      <c r="E4223" s="100">
        <v>94.262107446995969</v>
      </c>
      <c r="F4223" s="100">
        <v>-403.90659174666439</v>
      </c>
      <c r="G4223" s="100">
        <v>345.79993462749314</v>
      </c>
      <c r="H4223" s="100">
        <v>-1884.9886635866824</v>
      </c>
      <c r="I4223" s="100">
        <v>-881.46779229474248</v>
      </c>
      <c r="J4223" s="100">
        <v>-2824.5631130005963</v>
      </c>
    </row>
    <row r="4224" spans="1:10" x14ac:dyDescent="0.25">
      <c r="A4224">
        <v>4207</v>
      </c>
      <c r="B4224" s="100">
        <v>89.341108739821735</v>
      </c>
      <c r="C4224" s="100">
        <v>97.888221424370528</v>
      </c>
      <c r="D4224" s="100">
        <v>90.604841167861039</v>
      </c>
      <c r="E4224" s="100">
        <v>94.724709837177102</v>
      </c>
      <c r="F4224" s="100">
        <v>701.35776229780481</v>
      </c>
      <c r="G4224" s="100">
        <v>482.50212338738407</v>
      </c>
      <c r="H4224" s="100">
        <v>4422.4778752511329</v>
      </c>
      <c r="I4224" s="100">
        <v>-1344.0701824758748</v>
      </c>
      <c r="J4224" s="100">
        <v>4262.2675784604471</v>
      </c>
    </row>
    <row r="4225" spans="1:10" x14ac:dyDescent="0.25">
      <c r="A4225">
        <v>4208</v>
      </c>
      <c r="B4225" s="100">
        <v>90.898142199788708</v>
      </c>
      <c r="C4225" s="100">
        <v>97.994032899691547</v>
      </c>
      <c r="D4225" s="100">
        <v>93.649155919431124</v>
      </c>
      <c r="E4225" s="100">
        <v>94.124009911582945</v>
      </c>
      <c r="F4225" s="100">
        <v>-4436.8526555932076</v>
      </c>
      <c r="G4225" s="100">
        <v>323.78491040585544</v>
      </c>
      <c r="H4225" s="100">
        <v>-1666.151627889036</v>
      </c>
      <c r="I4225" s="100">
        <v>-743.37025688171821</v>
      </c>
      <c r="J4225" s="100">
        <v>-6522.5896299581063</v>
      </c>
    </row>
    <row r="4226" spans="1:10" x14ac:dyDescent="0.25">
      <c r="A4226">
        <v>4209</v>
      </c>
      <c r="B4226" s="100">
        <v>90.544382984178299</v>
      </c>
      <c r="C4226" s="100">
        <v>98.539737770736934</v>
      </c>
      <c r="D4226" s="100">
        <v>91.733915030191369</v>
      </c>
      <c r="E4226" s="100">
        <v>91.425735627662419</v>
      </c>
      <c r="F4226" s="100">
        <v>-3269.4472440788559</v>
      </c>
      <c r="G4226" s="100">
        <v>-494.7723961622259</v>
      </c>
      <c r="H4226" s="100">
        <v>2164.3301505904728</v>
      </c>
      <c r="I4226" s="100">
        <v>1954.9040270388077</v>
      </c>
      <c r="J4226" s="100">
        <v>355.01453738819873</v>
      </c>
    </row>
    <row r="4227" spans="1:10" x14ac:dyDescent="0.25">
      <c r="A4227">
        <v>4210</v>
      </c>
      <c r="B4227" s="100">
        <v>89.028005540612753</v>
      </c>
      <c r="C4227" s="100">
        <v>97.561848509626813</v>
      </c>
      <c r="D4227" s="100">
        <v>92.433338854196066</v>
      </c>
      <c r="E4227" s="100">
        <v>94.442457925366739</v>
      </c>
      <c r="F4227" s="100">
        <v>1734.5983196874442</v>
      </c>
      <c r="G4227" s="100">
        <v>972.06149550295606</v>
      </c>
      <c r="H4227" s="100">
        <v>765.48250258107942</v>
      </c>
      <c r="I4227" s="100">
        <v>-1061.818270665512</v>
      </c>
      <c r="J4227" s="100">
        <v>2410.3240471059676</v>
      </c>
    </row>
    <row r="4228" spans="1:10" x14ac:dyDescent="0.25">
      <c r="A4228">
        <v>4211</v>
      </c>
      <c r="B4228" s="100">
        <v>89.225128487382406</v>
      </c>
      <c r="C4228" s="100">
        <v>98.781278925487726</v>
      </c>
      <c r="D4228" s="100">
        <v>91.9239381529556</v>
      </c>
      <c r="E4228" s="100">
        <v>93.083392986835506</v>
      </c>
      <c r="F4228" s="100">
        <v>1084.0925953475889</v>
      </c>
      <c r="G4228" s="100">
        <v>-857.08412828841324</v>
      </c>
      <c r="H4228" s="100">
        <v>1784.2839050620114</v>
      </c>
      <c r="I4228" s="100">
        <v>297.24666786572129</v>
      </c>
      <c r="J4228" s="100">
        <v>2308.5390399869084</v>
      </c>
    </row>
    <row r="4229" spans="1:10" x14ac:dyDescent="0.25">
      <c r="A4229">
        <v>4212</v>
      </c>
      <c r="B4229" s="100">
        <v>89.429557097962899</v>
      </c>
      <c r="C4229" s="100">
        <v>99.568018768720407</v>
      </c>
      <c r="D4229" s="100">
        <v>93.072123314497915</v>
      </c>
      <c r="E4229" s="100">
        <v>94.781242285174926</v>
      </c>
      <c r="F4229" s="100">
        <v>409.47818043196236</v>
      </c>
      <c r="G4229" s="100">
        <v>-2037.1938931374345</v>
      </c>
      <c r="H4229" s="100">
        <v>-512.08641802261923</v>
      </c>
      <c r="I4229" s="100">
        <v>-1400.6026304736993</v>
      </c>
      <c r="J4229" s="100">
        <v>-3540.4047612017907</v>
      </c>
    </row>
    <row r="4230" spans="1:10" x14ac:dyDescent="0.25">
      <c r="A4230">
        <v>4213</v>
      </c>
      <c r="B4230" s="100">
        <v>89.730328031289204</v>
      </c>
      <c r="C4230" s="100">
        <v>99.225041301691348</v>
      </c>
      <c r="D4230" s="100">
        <v>93.940070272450839</v>
      </c>
      <c r="E4230" s="100">
        <v>95.41868574940375</v>
      </c>
      <c r="F4230" s="100">
        <v>-583.06589954484457</v>
      </c>
      <c r="G4230" s="100">
        <v>-1522.7276925938468</v>
      </c>
      <c r="H4230" s="100">
        <v>-2247.9803339284672</v>
      </c>
      <c r="I4230" s="100">
        <v>-2038.0460947025226</v>
      </c>
      <c r="J4230" s="100">
        <v>-6391.8200207696809</v>
      </c>
    </row>
    <row r="4231" spans="1:10" x14ac:dyDescent="0.25">
      <c r="A4231">
        <v>4214</v>
      </c>
      <c r="B4231" s="100">
        <v>89.808812897849336</v>
      </c>
      <c r="C4231" s="100">
        <v>98.165810511415131</v>
      </c>
      <c r="D4231" s="100">
        <v>93.909175700392183</v>
      </c>
      <c r="E4231" s="100">
        <v>90.067780719325427</v>
      </c>
      <c r="F4231" s="100">
        <v>-842.06595919327901</v>
      </c>
      <c r="G4231" s="100">
        <v>66.118492820478991</v>
      </c>
      <c r="H4231" s="100">
        <v>-2186.1911898111543</v>
      </c>
      <c r="I4231" s="100">
        <v>3312.8589353758002</v>
      </c>
      <c r="J4231" s="100">
        <v>350.72027919184575</v>
      </c>
    </row>
    <row r="4232" spans="1:10" x14ac:dyDescent="0.25">
      <c r="A4232">
        <v>4215</v>
      </c>
      <c r="B4232" s="100">
        <v>89.639289584435573</v>
      </c>
      <c r="C4232" s="100">
        <v>99.07509463280023</v>
      </c>
      <c r="D4232" s="100">
        <v>93.024122069979128</v>
      </c>
      <c r="E4232" s="100">
        <v>91.14547319852673</v>
      </c>
      <c r="F4232" s="100">
        <v>-282.63902492786315</v>
      </c>
      <c r="G4232" s="100">
        <v>-1297.8076892571694</v>
      </c>
      <c r="H4232" s="100">
        <v>-416.08392898504576</v>
      </c>
      <c r="I4232" s="100">
        <v>2235.1664561744969</v>
      </c>
      <c r="J4232" s="100">
        <v>238.63581300441865</v>
      </c>
    </row>
    <row r="4233" spans="1:10" x14ac:dyDescent="0.25">
      <c r="A4233">
        <v>4216</v>
      </c>
      <c r="B4233" s="100">
        <v>89.388198750896407</v>
      </c>
      <c r="C4233" s="100">
        <v>99.064357289484519</v>
      </c>
      <c r="D4233" s="100">
        <v>91.846612840850284</v>
      </c>
      <c r="E4233" s="100">
        <v>93.095081523698084</v>
      </c>
      <c r="F4233" s="100">
        <v>545.96072575138521</v>
      </c>
      <c r="G4233" s="100">
        <v>-1281.7016742836031</v>
      </c>
      <c r="H4233" s="100">
        <v>1938.9345292726432</v>
      </c>
      <c r="I4233" s="100">
        <v>285.55813100314253</v>
      </c>
      <c r="J4233" s="100">
        <v>1488.7517117435677</v>
      </c>
    </row>
    <row r="4234" spans="1:10" x14ac:dyDescent="0.25">
      <c r="A4234">
        <v>4217</v>
      </c>
      <c r="B4234" s="100">
        <v>90.347048852841937</v>
      </c>
      <c r="C4234" s="100">
        <v>97.88286079489113</v>
      </c>
      <c r="D4234" s="100">
        <v>93.28449031705577</v>
      </c>
      <c r="E4234" s="100">
        <v>93.745828941646465</v>
      </c>
      <c r="F4234" s="100">
        <v>-2618.2446106688617</v>
      </c>
      <c r="G4234" s="100">
        <v>490.54306760648103</v>
      </c>
      <c r="H4234" s="100">
        <v>-936.82042313832881</v>
      </c>
      <c r="I4234" s="100">
        <v>-365.18928694523822</v>
      </c>
      <c r="J4234" s="100">
        <v>-3429.7112531459475</v>
      </c>
    </row>
    <row r="4235" spans="1:10" x14ac:dyDescent="0.25">
      <c r="A4235">
        <v>4218</v>
      </c>
      <c r="B4235" s="100">
        <v>90.143704857434784</v>
      </c>
      <c r="C4235" s="100">
        <v>98.432967687688262</v>
      </c>
      <c r="D4235" s="100">
        <v>92.708871520542246</v>
      </c>
      <c r="E4235" s="100">
        <v>95.196906261205328</v>
      </c>
      <c r="F4235" s="100">
        <v>-1947.2094258252582</v>
      </c>
      <c r="G4235" s="100">
        <v>-334.61727158921661</v>
      </c>
      <c r="H4235" s="100">
        <v>214.41716988871917</v>
      </c>
      <c r="I4235" s="100">
        <v>-1816.2666065041008</v>
      </c>
      <c r="J4235" s="100">
        <v>-3883.6761340298567</v>
      </c>
    </row>
    <row r="4236" spans="1:10" x14ac:dyDescent="0.25">
      <c r="A4236">
        <v>4219</v>
      </c>
      <c r="B4236" s="100">
        <v>89.059827643054774</v>
      </c>
      <c r="C4236" s="100">
        <v>97.543305787016564</v>
      </c>
      <c r="D4236" s="100">
        <v>93.632852534377776</v>
      </c>
      <c r="E4236" s="100">
        <v>95.516353773186367</v>
      </c>
      <c r="F4236" s="100">
        <v>1629.5853816287745</v>
      </c>
      <c r="G4236" s="100">
        <v>999.87557941832961</v>
      </c>
      <c r="H4236" s="100">
        <v>-1633.5448577823399</v>
      </c>
      <c r="I4236" s="100">
        <v>-2135.7141184851398</v>
      </c>
      <c r="J4236" s="100">
        <v>-1139.7980152203754</v>
      </c>
    </row>
    <row r="4237" spans="1:10" x14ac:dyDescent="0.25">
      <c r="A4237">
        <v>4220</v>
      </c>
      <c r="B4237" s="100">
        <v>89.647594882644484</v>
      </c>
      <c r="C4237" s="100">
        <v>98.79543679388722</v>
      </c>
      <c r="D4237" s="100">
        <v>93.074595935255957</v>
      </c>
      <c r="E4237" s="100">
        <v>94.948083953128915</v>
      </c>
      <c r="F4237" s="100">
        <v>-310.0465090172662</v>
      </c>
      <c r="G4237" s="100">
        <v>-878.32093088765362</v>
      </c>
      <c r="H4237" s="100">
        <v>-517.03165953870212</v>
      </c>
      <c r="I4237" s="100">
        <v>-1567.444298427688</v>
      </c>
      <c r="J4237" s="100">
        <v>-3272.8433978713101</v>
      </c>
    </row>
    <row r="4238" spans="1:10" x14ac:dyDescent="0.25">
      <c r="A4238">
        <v>4221</v>
      </c>
      <c r="B4238" s="100">
        <v>90.239375394933049</v>
      </c>
      <c r="C4238" s="100">
        <v>97.313087905199012</v>
      </c>
      <c r="D4238" s="100">
        <v>93.752829767724435</v>
      </c>
      <c r="E4238" s="100">
        <v>95.453516346576151</v>
      </c>
      <c r="F4238" s="100">
        <v>-2262.9221995695316</v>
      </c>
      <c r="G4238" s="100">
        <v>1345.2024021446575</v>
      </c>
      <c r="H4238" s="100">
        <v>-1873.4993244756595</v>
      </c>
      <c r="I4238" s="100">
        <v>-2072.8766918749243</v>
      </c>
      <c r="J4238" s="100">
        <v>-4864.0958137754578</v>
      </c>
    </row>
    <row r="4239" spans="1:10" x14ac:dyDescent="0.25">
      <c r="A4239">
        <v>4222</v>
      </c>
      <c r="B4239" s="100">
        <v>89.624736224239072</v>
      </c>
      <c r="C4239" s="100">
        <v>98.562343959691887</v>
      </c>
      <c r="D4239" s="100">
        <v>96.086327798774477</v>
      </c>
      <c r="E4239" s="100">
        <v>92.662138695525798</v>
      </c>
      <c r="F4239" s="100">
        <v>-234.61293627940876</v>
      </c>
      <c r="G4239" s="100">
        <v>-528.68167959465495</v>
      </c>
      <c r="H4239" s="100">
        <v>-6540.4953865757416</v>
      </c>
      <c r="I4239" s="100">
        <v>718.50095917542944</v>
      </c>
      <c r="J4239" s="100">
        <v>-6585.2890432743752</v>
      </c>
    </row>
    <row r="4240" spans="1:10" x14ac:dyDescent="0.25">
      <c r="A4240">
        <v>4223</v>
      </c>
      <c r="B4240" s="100">
        <v>88.769502974610489</v>
      </c>
      <c r="C4240" s="100">
        <v>98.396014850339625</v>
      </c>
      <c r="D4240" s="100">
        <v>93.682890812864784</v>
      </c>
      <c r="E4240" s="100">
        <v>94.967408398519837</v>
      </c>
      <c r="F4240" s="100">
        <v>2587.6567874949146</v>
      </c>
      <c r="G4240" s="100">
        <v>-279.18801556626249</v>
      </c>
      <c r="H4240" s="100">
        <v>-1733.6214147563567</v>
      </c>
      <c r="I4240" s="100">
        <v>-1586.7687438186094</v>
      </c>
      <c r="J4240" s="100">
        <v>-1011.921386646314</v>
      </c>
    </row>
    <row r="4241" spans="1:10" x14ac:dyDescent="0.25">
      <c r="A4241">
        <v>4224</v>
      </c>
      <c r="B4241" s="100">
        <v>90.221016086872268</v>
      </c>
      <c r="C4241" s="100">
        <v>98.783720724168106</v>
      </c>
      <c r="D4241" s="100">
        <v>92.16401004237116</v>
      </c>
      <c r="E4241" s="100">
        <v>95.825096707980762</v>
      </c>
      <c r="F4241" s="100">
        <v>-2202.3364829689554</v>
      </c>
      <c r="G4241" s="100">
        <v>-860.7468263089828</v>
      </c>
      <c r="H4241" s="100">
        <v>1304.1401262308909</v>
      </c>
      <c r="I4241" s="100">
        <v>-2444.4570532795351</v>
      </c>
      <c r="J4241" s="100">
        <v>-4203.4002363265827</v>
      </c>
    </row>
    <row r="4242" spans="1:10" x14ac:dyDescent="0.25">
      <c r="A4242">
        <v>4225</v>
      </c>
      <c r="B4242" s="100">
        <v>88.954655076849605</v>
      </c>
      <c r="C4242" s="100">
        <v>99.20104387957609</v>
      </c>
      <c r="D4242" s="100">
        <v>91.833355963297421</v>
      </c>
      <c r="E4242" s="100">
        <v>93.860740228048826</v>
      </c>
      <c r="F4242" s="100">
        <v>1976.6548501058337</v>
      </c>
      <c r="G4242" s="100">
        <v>-1486.7315594209599</v>
      </c>
      <c r="H4242" s="100">
        <v>1965.4482843783683</v>
      </c>
      <c r="I4242" s="100">
        <v>-480.10057334759892</v>
      </c>
      <c r="J4242" s="100">
        <v>1975.2710017156428</v>
      </c>
    </row>
    <row r="4243" spans="1:10" x14ac:dyDescent="0.25">
      <c r="A4243">
        <v>4226</v>
      </c>
      <c r="B4243" s="100">
        <v>89.630832945607651</v>
      </c>
      <c r="C4243" s="100">
        <v>97.265622544446003</v>
      </c>
      <c r="D4243" s="100">
        <v>94.290960775671095</v>
      </c>
      <c r="E4243" s="100">
        <v>92.649328334059504</v>
      </c>
      <c r="F4243" s="100">
        <v>-254.7321167957179</v>
      </c>
      <c r="G4243" s="100">
        <v>1416.4004432741706</v>
      </c>
      <c r="H4243" s="100">
        <v>-2949.7613403689797</v>
      </c>
      <c r="I4243" s="100">
        <v>731.31132064172277</v>
      </c>
      <c r="J4243" s="100">
        <v>-1056.7816932488045</v>
      </c>
    </row>
    <row r="4244" spans="1:10" x14ac:dyDescent="0.25">
      <c r="A4244">
        <v>4227</v>
      </c>
      <c r="B4244" s="100">
        <v>89.226488096889994</v>
      </c>
      <c r="C4244" s="100">
        <v>98.860047067149253</v>
      </c>
      <c r="D4244" s="100">
        <v>92.1693550744899</v>
      </c>
      <c r="E4244" s="100">
        <v>92.824015794190913</v>
      </c>
      <c r="F4244" s="100">
        <v>1079.6058839725474</v>
      </c>
      <c r="G4244" s="100">
        <v>-975.23634078070381</v>
      </c>
      <c r="H4244" s="100">
        <v>1293.4500619934113</v>
      </c>
      <c r="I4244" s="100">
        <v>556.62386051031376</v>
      </c>
      <c r="J4244" s="100">
        <v>1954.4434656955686</v>
      </c>
    </row>
    <row r="4245" spans="1:10" x14ac:dyDescent="0.25">
      <c r="A4245">
        <v>4228</v>
      </c>
      <c r="B4245" s="100">
        <v>89.650963764162313</v>
      </c>
      <c r="C4245" s="100">
        <v>98.605761684794814</v>
      </c>
      <c r="D4245" s="100">
        <v>92.606654140161524</v>
      </c>
      <c r="E4245" s="100">
        <v>92.449538063879629</v>
      </c>
      <c r="F4245" s="100">
        <v>-321.16381802610334</v>
      </c>
      <c r="G4245" s="100">
        <v>-593.80826724904523</v>
      </c>
      <c r="H4245" s="100">
        <v>418.85193065016324</v>
      </c>
      <c r="I4245" s="100">
        <v>931.10159082159782</v>
      </c>
      <c r="J4245" s="100">
        <v>434.98143619661244</v>
      </c>
    </row>
    <row r="4246" spans="1:10" x14ac:dyDescent="0.25">
      <c r="A4246">
        <v>4229</v>
      </c>
      <c r="B4246" s="100">
        <v>90.26582711193636</v>
      </c>
      <c r="C4246" s="100">
        <v>99.906434270381141</v>
      </c>
      <c r="D4246" s="100">
        <v>93.835827315071214</v>
      </c>
      <c r="E4246" s="100">
        <v>92.916134509845932</v>
      </c>
      <c r="F4246" s="100">
        <v>-2350.2128656804603</v>
      </c>
      <c r="G4246" s="100">
        <v>-2544.8171456285349</v>
      </c>
      <c r="H4246" s="100">
        <v>-2039.4944191692161</v>
      </c>
      <c r="I4246" s="100">
        <v>464.50514485529482</v>
      </c>
      <c r="J4246" s="100">
        <v>-6470.0192856229169</v>
      </c>
    </row>
    <row r="4247" spans="1:10" x14ac:dyDescent="0.25">
      <c r="A4247">
        <v>4230</v>
      </c>
      <c r="B4247" s="100">
        <v>89.803763968790918</v>
      </c>
      <c r="C4247" s="100">
        <v>98.174756264067938</v>
      </c>
      <c r="D4247" s="100">
        <v>92.281280878331003</v>
      </c>
      <c r="E4247" s="100">
        <v>95.008850604699688</v>
      </c>
      <c r="F4247" s="100">
        <v>-825.4044933004991</v>
      </c>
      <c r="G4247" s="100">
        <v>52.699863841269234</v>
      </c>
      <c r="H4247" s="100">
        <v>1069.5984543112047</v>
      </c>
      <c r="I4247" s="100">
        <v>-1628.2109499984613</v>
      </c>
      <c r="J4247" s="100">
        <v>-1331.3171251464864</v>
      </c>
    </row>
    <row r="4248" spans="1:10" x14ac:dyDescent="0.25">
      <c r="A4248">
        <v>4231</v>
      </c>
      <c r="B4248" s="100">
        <v>88.850062073710447</v>
      </c>
      <c r="C4248" s="100">
        <v>98.944030948236289</v>
      </c>
      <c r="D4248" s="100">
        <v>92.15939989044648</v>
      </c>
      <c r="E4248" s="100">
        <v>93.329977459211619</v>
      </c>
      <c r="F4248" s="100">
        <v>2321.8117604650542</v>
      </c>
      <c r="G4248" s="100">
        <v>-1101.2121624112581</v>
      </c>
      <c r="H4248" s="100">
        <v>1313.3604300802517</v>
      </c>
      <c r="I4248" s="100">
        <v>50.662195489607598</v>
      </c>
      <c r="J4248" s="100">
        <v>2584.6222236236558</v>
      </c>
    </row>
    <row r="4249" spans="1:10" x14ac:dyDescent="0.25">
      <c r="A4249">
        <v>4232</v>
      </c>
      <c r="B4249" s="100">
        <v>91.130674845942167</v>
      </c>
      <c r="C4249" s="100">
        <v>98.830331180827685</v>
      </c>
      <c r="D4249" s="100">
        <v>92.665741064470964</v>
      </c>
      <c r="E4249" s="100">
        <v>93.244843064164641</v>
      </c>
      <c r="F4249" s="100">
        <v>-5204.2103878996213</v>
      </c>
      <c r="G4249" s="100">
        <v>-930.66251129835109</v>
      </c>
      <c r="H4249" s="100">
        <v>300.67808203128266</v>
      </c>
      <c r="I4249" s="100">
        <v>135.79659053658588</v>
      </c>
      <c r="J4249" s="100">
        <v>-5698.3982266301045</v>
      </c>
    </row>
    <row r="4250" spans="1:10" x14ac:dyDescent="0.25">
      <c r="A4250">
        <v>4233</v>
      </c>
      <c r="B4250" s="100">
        <v>89.856392971623151</v>
      </c>
      <c r="C4250" s="100">
        <v>99.194600137133605</v>
      </c>
      <c r="D4250" s="100">
        <v>92.295688649582985</v>
      </c>
      <c r="E4250" s="100">
        <v>92.728825868796704</v>
      </c>
      <c r="F4250" s="100">
        <v>-999.08020264687002</v>
      </c>
      <c r="G4250" s="100">
        <v>-1477.0659457572322</v>
      </c>
      <c r="H4250" s="100">
        <v>1040.7829118072414</v>
      </c>
      <c r="I4250" s="100">
        <v>651.81378590452255</v>
      </c>
      <c r="J4250" s="100">
        <v>-783.54945069233804</v>
      </c>
    </row>
    <row r="4251" spans="1:10" x14ac:dyDescent="0.25">
      <c r="A4251">
        <v>4234</v>
      </c>
      <c r="B4251" s="100">
        <v>90.006018429230053</v>
      </c>
      <c r="C4251" s="100">
        <v>97.905629248596085</v>
      </c>
      <c r="D4251" s="100">
        <v>93.053388735511717</v>
      </c>
      <c r="E4251" s="100">
        <v>92.651780731009865</v>
      </c>
      <c r="F4251" s="100">
        <v>-1492.8442127496467</v>
      </c>
      <c r="G4251" s="100">
        <v>456.39038704904777</v>
      </c>
      <c r="H4251" s="100">
        <v>-474.61726005022342</v>
      </c>
      <c r="I4251" s="100">
        <v>728.85892369136229</v>
      </c>
      <c r="J4251" s="100">
        <v>-782.21216205945996</v>
      </c>
    </row>
    <row r="4252" spans="1:10" x14ac:dyDescent="0.25">
      <c r="A4252">
        <v>4235</v>
      </c>
      <c r="B4252" s="100">
        <v>89.110878541804126</v>
      </c>
      <c r="C4252" s="100">
        <v>97.94157147316551</v>
      </c>
      <c r="D4252" s="100">
        <v>92.649628220343018</v>
      </c>
      <c r="E4252" s="100">
        <v>94.369782437071592</v>
      </c>
      <c r="F4252" s="100">
        <v>1461.1174157559119</v>
      </c>
      <c r="G4252" s="100">
        <v>402.47705019491065</v>
      </c>
      <c r="H4252" s="100">
        <v>332.90377028717444</v>
      </c>
      <c r="I4252" s="100">
        <v>-989.14278237036513</v>
      </c>
      <c r="J4252" s="100">
        <v>1207.3554538676317</v>
      </c>
    </row>
    <row r="4253" spans="1:10" x14ac:dyDescent="0.25">
      <c r="A4253">
        <v>4236</v>
      </c>
      <c r="B4253" s="100">
        <v>89.901713051456326</v>
      </c>
      <c r="C4253" s="100">
        <v>98.409662049482833</v>
      </c>
      <c r="D4253" s="100">
        <v>91.027218775193958</v>
      </c>
      <c r="E4253" s="100">
        <v>93.155559188824242</v>
      </c>
      <c r="F4253" s="100">
        <v>-1148.6364660963475</v>
      </c>
      <c r="G4253" s="100">
        <v>-299.65881428107366</v>
      </c>
      <c r="H4253" s="100">
        <v>3577.7226605852948</v>
      </c>
      <c r="I4253" s="100">
        <v>225.08046587698516</v>
      </c>
      <c r="J4253" s="100">
        <v>2354.507846084859</v>
      </c>
    </row>
    <row r="4254" spans="1:10" x14ac:dyDescent="0.25">
      <c r="A4254">
        <v>4237</v>
      </c>
      <c r="B4254" s="100">
        <v>89.685366289660791</v>
      </c>
      <c r="C4254" s="100">
        <v>97.261422242226388</v>
      </c>
      <c r="D4254" s="100">
        <v>91.096672348470165</v>
      </c>
      <c r="E4254" s="100">
        <v>94.563342740202359</v>
      </c>
      <c r="F4254" s="100">
        <v>-434.69215217108257</v>
      </c>
      <c r="G4254" s="100">
        <v>1422.7008966035939</v>
      </c>
      <c r="H4254" s="100">
        <v>3438.8155140328818</v>
      </c>
      <c r="I4254" s="100">
        <v>-1182.7030855011317</v>
      </c>
      <c r="J4254" s="100">
        <v>3244.1211729642609</v>
      </c>
    </row>
    <row r="4255" spans="1:10" x14ac:dyDescent="0.25">
      <c r="A4255">
        <v>4238</v>
      </c>
      <c r="B4255" s="100">
        <v>90.156311244554701</v>
      </c>
      <c r="C4255" s="100">
        <v>98.478427542164326</v>
      </c>
      <c r="D4255" s="100">
        <v>94.235805437535717</v>
      </c>
      <c r="E4255" s="100">
        <v>90.257406606051276</v>
      </c>
      <c r="F4255" s="100">
        <v>-1988.8105033209827</v>
      </c>
      <c r="G4255" s="100">
        <v>-402.80705330331301</v>
      </c>
      <c r="H4255" s="100">
        <v>-2839.4506640982227</v>
      </c>
      <c r="I4255" s="100">
        <v>3123.2330486499504</v>
      </c>
      <c r="J4255" s="100">
        <v>-2107.8351720725677</v>
      </c>
    </row>
    <row r="4256" spans="1:10" x14ac:dyDescent="0.25">
      <c r="A4256">
        <v>4239</v>
      </c>
      <c r="B4256" s="100">
        <v>90.064789178045601</v>
      </c>
      <c r="C4256" s="100">
        <v>98.576017903717513</v>
      </c>
      <c r="D4256" s="100">
        <v>92.045068624223163</v>
      </c>
      <c r="E4256" s="100">
        <v>91.581741953374177</v>
      </c>
      <c r="F4256" s="100">
        <v>-1686.7876838409529</v>
      </c>
      <c r="G4256" s="100">
        <v>-549.19259563309447</v>
      </c>
      <c r="H4256" s="100">
        <v>1542.022962526886</v>
      </c>
      <c r="I4256" s="100">
        <v>1798.8977013270501</v>
      </c>
      <c r="J4256" s="100">
        <v>1104.9403843798889</v>
      </c>
    </row>
    <row r="4257" spans="1:10" x14ac:dyDescent="0.25">
      <c r="A4257">
        <v>4240</v>
      </c>
      <c r="B4257" s="100">
        <v>90.315691487179919</v>
      </c>
      <c r="C4257" s="100">
        <v>97.774430654478508</v>
      </c>
      <c r="D4257" s="100">
        <v>91.870340275764775</v>
      </c>
      <c r="E4257" s="100">
        <v>92.760487185698324</v>
      </c>
      <c r="F4257" s="100">
        <v>-2514.7653039842025</v>
      </c>
      <c r="G4257" s="100">
        <v>653.18827822541436</v>
      </c>
      <c r="H4257" s="100">
        <v>1891.4796594436609</v>
      </c>
      <c r="I4257" s="100">
        <v>620.15246900290322</v>
      </c>
      <c r="J4257" s="100">
        <v>650.05510268777584</v>
      </c>
    </row>
    <row r="4258" spans="1:10" x14ac:dyDescent="0.25">
      <c r="A4258">
        <v>4241</v>
      </c>
      <c r="B4258" s="100">
        <v>90.359599382993707</v>
      </c>
      <c r="C4258" s="100">
        <v>96.10506971370387</v>
      </c>
      <c r="D4258" s="100">
        <v>93.320671997150157</v>
      </c>
      <c r="E4258" s="100">
        <v>93.408636136037771</v>
      </c>
      <c r="F4258" s="100">
        <v>-2659.6613601697045</v>
      </c>
      <c r="G4258" s="100">
        <v>3157.2296893873713</v>
      </c>
      <c r="H4258" s="100">
        <v>-1009.1837833271029</v>
      </c>
      <c r="I4258" s="100">
        <v>-27.996481336543866</v>
      </c>
      <c r="J4258" s="100">
        <v>-539.61193544597995</v>
      </c>
    </row>
    <row r="4259" spans="1:10" x14ac:dyDescent="0.25">
      <c r="A4259">
        <v>4242</v>
      </c>
      <c r="B4259" s="100">
        <v>89.849206953908521</v>
      </c>
      <c r="C4259" s="100">
        <v>96.14603531941485</v>
      </c>
      <c r="D4259" s="100">
        <v>91.442114202862001</v>
      </c>
      <c r="E4259" s="100">
        <v>94.711358884590524</v>
      </c>
      <c r="F4259" s="100">
        <v>-975.3663441885891</v>
      </c>
      <c r="G4259" s="100">
        <v>3095.7812808209014</v>
      </c>
      <c r="H4259" s="100">
        <v>2747.931805249209</v>
      </c>
      <c r="I4259" s="100">
        <v>-1330.7192298892971</v>
      </c>
      <c r="J4259" s="100">
        <v>3537.6275119922248</v>
      </c>
    </row>
    <row r="4260" spans="1:10" x14ac:dyDescent="0.25">
      <c r="A4260">
        <v>4243</v>
      </c>
      <c r="B4260" s="100">
        <v>89.177903056431944</v>
      </c>
      <c r="C4260" s="100">
        <v>97.968230315561925</v>
      </c>
      <c r="D4260" s="100">
        <v>93.320820948372429</v>
      </c>
      <c r="E4260" s="100">
        <v>94.339242568969439</v>
      </c>
      <c r="F4260" s="100">
        <v>1239.9365174841137</v>
      </c>
      <c r="G4260" s="100">
        <v>362.48878660028794</v>
      </c>
      <c r="H4260" s="100">
        <v>-1009.4816857716467</v>
      </c>
      <c r="I4260" s="100">
        <v>-958.6029142682122</v>
      </c>
      <c r="J4260" s="100">
        <v>-365.6592959554572</v>
      </c>
    </row>
    <row r="4261" spans="1:10" x14ac:dyDescent="0.25">
      <c r="A4261">
        <v>4244</v>
      </c>
      <c r="B4261" s="100">
        <v>89.173399713252493</v>
      </c>
      <c r="C4261" s="100">
        <v>98.632520251622807</v>
      </c>
      <c r="D4261" s="100">
        <v>92.157654307270221</v>
      </c>
      <c r="E4261" s="100">
        <v>93.06376531520452</v>
      </c>
      <c r="F4261" s="100">
        <v>1254.7975499763013</v>
      </c>
      <c r="G4261" s="100">
        <v>-633.94611749103547</v>
      </c>
      <c r="H4261" s="100">
        <v>1316.8515964327696</v>
      </c>
      <c r="I4261" s="100">
        <v>316.87433949670663</v>
      </c>
      <c r="J4261" s="100">
        <v>2254.5773684147421</v>
      </c>
    </row>
    <row r="4262" spans="1:10" x14ac:dyDescent="0.25">
      <c r="A4262">
        <v>4245</v>
      </c>
      <c r="B4262" s="100">
        <v>88.819502704595948</v>
      </c>
      <c r="C4262" s="100">
        <v>99.205354180681866</v>
      </c>
      <c r="D4262" s="100">
        <v>93.060077104650418</v>
      </c>
      <c r="E4262" s="100">
        <v>94.755920331220565</v>
      </c>
      <c r="F4262" s="100">
        <v>2422.6576785429015</v>
      </c>
      <c r="G4262" s="100">
        <v>-1493.1970110796228</v>
      </c>
      <c r="H4262" s="100">
        <v>-487.99399832762447</v>
      </c>
      <c r="I4262" s="100">
        <v>-1375.2806765193384</v>
      </c>
      <c r="J4262" s="100">
        <v>-933.81400738368416</v>
      </c>
    </row>
    <row r="4263" spans="1:10" x14ac:dyDescent="0.25">
      <c r="A4263">
        <v>4246</v>
      </c>
      <c r="B4263" s="100">
        <v>89.403461068930412</v>
      </c>
      <c r="C4263" s="100">
        <v>99.800121632988549</v>
      </c>
      <c r="D4263" s="100">
        <v>91.479437849379181</v>
      </c>
      <c r="E4263" s="100">
        <v>93.418176482588564</v>
      </c>
      <c r="F4263" s="100">
        <v>495.59507623917085</v>
      </c>
      <c r="G4263" s="100">
        <v>-2385.3481895396485</v>
      </c>
      <c r="H4263" s="100">
        <v>2673.2845122148492</v>
      </c>
      <c r="I4263" s="100">
        <v>-37.536827887336699</v>
      </c>
      <c r="J4263" s="100">
        <v>745.99457102703479</v>
      </c>
    </row>
    <row r="4264" spans="1:10" x14ac:dyDescent="0.25">
      <c r="A4264">
        <v>4247</v>
      </c>
      <c r="B4264" s="100">
        <v>90.117290839213638</v>
      </c>
      <c r="C4264" s="100">
        <v>97.031782068844038</v>
      </c>
      <c r="D4264" s="100">
        <v>93.520948094954292</v>
      </c>
      <c r="E4264" s="100">
        <v>92.70909302106304</v>
      </c>
      <c r="F4264" s="100">
        <v>-1860.0431656954754</v>
      </c>
      <c r="G4264" s="100">
        <v>1767.1611566771189</v>
      </c>
      <c r="H4264" s="100">
        <v>-1409.7359789353732</v>
      </c>
      <c r="I4264" s="100">
        <v>671.54663363818656</v>
      </c>
      <c r="J4264" s="100">
        <v>-831.07135431554309</v>
      </c>
    </row>
    <row r="4265" spans="1:10" x14ac:dyDescent="0.25">
      <c r="A4265">
        <v>4248</v>
      </c>
      <c r="B4265" s="100">
        <v>90.39044292899645</v>
      </c>
      <c r="C4265" s="100">
        <v>96.238727462829488</v>
      </c>
      <c r="D4265" s="100">
        <v>92.127047467373259</v>
      </c>
      <c r="E4265" s="100">
        <v>94.680554452301337</v>
      </c>
      <c r="F4265" s="100">
        <v>-2761.4450619787549</v>
      </c>
      <c r="G4265" s="100">
        <v>2956.7430656989445</v>
      </c>
      <c r="H4265" s="100">
        <v>1378.0652762266925</v>
      </c>
      <c r="I4265" s="100">
        <v>-1299.9147976001098</v>
      </c>
      <c r="J4265" s="100">
        <v>273.44848234677238</v>
      </c>
    </row>
    <row r="4266" spans="1:10" x14ac:dyDescent="0.25">
      <c r="A4266">
        <v>4249</v>
      </c>
      <c r="B4266" s="100">
        <v>88.80068685018027</v>
      </c>
      <c r="C4266" s="100">
        <v>98.058405259929302</v>
      </c>
      <c r="D4266" s="100">
        <v>91.603871517704292</v>
      </c>
      <c r="E4266" s="100">
        <v>94.925245187608368</v>
      </c>
      <c r="F4266" s="100">
        <v>2484.7499981146384</v>
      </c>
      <c r="G4266" s="100">
        <v>227.22637004922319</v>
      </c>
      <c r="H4266" s="100">
        <v>2424.4171755646275</v>
      </c>
      <c r="I4266" s="100">
        <v>-1544.6055329071414</v>
      </c>
      <c r="J4266" s="100">
        <v>3591.7880108213476</v>
      </c>
    </row>
    <row r="4267" spans="1:10" x14ac:dyDescent="0.25">
      <c r="A4267">
        <v>4250</v>
      </c>
      <c r="B4267" s="100">
        <v>89.897551052477368</v>
      </c>
      <c r="C4267" s="100">
        <v>97.479145764356517</v>
      </c>
      <c r="D4267" s="100">
        <v>93.759689893545939</v>
      </c>
      <c r="E4267" s="100">
        <v>96.125299404787455</v>
      </c>
      <c r="F4267" s="100">
        <v>-1134.9018694657857</v>
      </c>
      <c r="G4267" s="100">
        <v>1096.1156134084008</v>
      </c>
      <c r="H4267" s="100">
        <v>-1887.2195761186674</v>
      </c>
      <c r="I4267" s="100">
        <v>-2744.6597500862281</v>
      </c>
      <c r="J4267" s="100">
        <v>-4670.6655822622806</v>
      </c>
    </row>
    <row r="4268" spans="1:10" x14ac:dyDescent="0.25">
      <c r="A4268">
        <v>4251</v>
      </c>
      <c r="B4268" s="100">
        <v>89.097090710027558</v>
      </c>
      <c r="C4268" s="100">
        <v>97.329528939920394</v>
      </c>
      <c r="D4268" s="100">
        <v>94.726511985172451</v>
      </c>
      <c r="E4268" s="100">
        <v>94.313007585077699</v>
      </c>
      <c r="F4268" s="100">
        <v>1506.6172606185874</v>
      </c>
      <c r="G4268" s="100">
        <v>1320.5408500625849</v>
      </c>
      <c r="H4268" s="100">
        <v>-3820.8637593716903</v>
      </c>
      <c r="I4268" s="100">
        <v>-932.36793037647203</v>
      </c>
      <c r="J4268" s="100">
        <v>-1926.0735790669901</v>
      </c>
    </row>
    <row r="4269" spans="1:10" x14ac:dyDescent="0.25">
      <c r="A4269">
        <v>4252</v>
      </c>
      <c r="B4269" s="100">
        <v>89.7466604210219</v>
      </c>
      <c r="C4269" s="100">
        <v>98.890148123769066</v>
      </c>
      <c r="D4269" s="100">
        <v>94.335355876543488</v>
      </c>
      <c r="E4269" s="100">
        <v>93.480258516041047</v>
      </c>
      <c r="F4269" s="100">
        <v>-636.96278566274168</v>
      </c>
      <c r="G4269" s="100">
        <v>-1020.3879257104234</v>
      </c>
      <c r="H4269" s="100">
        <v>-3038.5515421137652</v>
      </c>
      <c r="I4269" s="100">
        <v>-99.618861339820342</v>
      </c>
      <c r="J4269" s="100">
        <v>-4795.5211148267499</v>
      </c>
    </row>
    <row r="4270" spans="1:10" x14ac:dyDescent="0.25">
      <c r="A4270">
        <v>4253</v>
      </c>
      <c r="B4270" s="100">
        <v>89.10487326075102</v>
      </c>
      <c r="C4270" s="100">
        <v>97.725536756655387</v>
      </c>
      <c r="D4270" s="100">
        <v>93.640922554964902</v>
      </c>
      <c r="E4270" s="100">
        <v>91.750232814711538</v>
      </c>
      <c r="F4270" s="100">
        <v>1480.9348432311622</v>
      </c>
      <c r="G4270" s="100">
        <v>726.52912496009492</v>
      </c>
      <c r="H4270" s="100">
        <v>-1649.6848989565933</v>
      </c>
      <c r="I4270" s="100">
        <v>1630.4068399896892</v>
      </c>
      <c r="J4270" s="100">
        <v>2188.1859092243531</v>
      </c>
    </row>
    <row r="4271" spans="1:10" x14ac:dyDescent="0.25">
      <c r="A4271">
        <v>4254</v>
      </c>
      <c r="B4271" s="100">
        <v>89.191881662299735</v>
      </c>
      <c r="C4271" s="100">
        <v>98.033364718567853</v>
      </c>
      <c r="D4271" s="100">
        <v>91.813671182345246</v>
      </c>
      <c r="E4271" s="100">
        <v>93.626360500923425</v>
      </c>
      <c r="F4271" s="100">
        <v>1193.8071181204023</v>
      </c>
      <c r="G4271" s="100">
        <v>264.78718209139629</v>
      </c>
      <c r="H4271" s="100">
        <v>2004.8178462827195</v>
      </c>
      <c r="I4271" s="100">
        <v>-245.72084622219847</v>
      </c>
      <c r="J4271" s="100">
        <v>3217.6913002723199</v>
      </c>
    </row>
    <row r="4272" spans="1:10" x14ac:dyDescent="0.25">
      <c r="A4272">
        <v>4255</v>
      </c>
      <c r="B4272" s="100">
        <v>89.629967247474525</v>
      </c>
      <c r="C4272" s="100">
        <v>97.184673630444181</v>
      </c>
      <c r="D4272" s="100">
        <v>93.91543399661451</v>
      </c>
      <c r="E4272" s="100">
        <v>91.997540546590386</v>
      </c>
      <c r="F4272" s="100">
        <v>-251.87531295640326</v>
      </c>
      <c r="G4272" s="100">
        <v>1537.8238142769051</v>
      </c>
      <c r="H4272" s="100">
        <v>-2198.7077822558094</v>
      </c>
      <c r="I4272" s="100">
        <v>1383.0991081108409</v>
      </c>
      <c r="J4272" s="100">
        <v>470.33982717553317</v>
      </c>
    </row>
    <row r="4273" spans="1:10" x14ac:dyDescent="0.25">
      <c r="A4273">
        <v>4256</v>
      </c>
      <c r="B4273" s="100">
        <v>88.970356012943597</v>
      </c>
      <c r="C4273" s="100">
        <v>98.80777499582743</v>
      </c>
      <c r="D4273" s="100">
        <v>93.699041181297019</v>
      </c>
      <c r="E4273" s="100">
        <v>95.885348878667614</v>
      </c>
      <c r="F4273" s="100">
        <v>1924.8417609956591</v>
      </c>
      <c r="G4273" s="100">
        <v>-896.82823379796878</v>
      </c>
      <c r="H4273" s="100">
        <v>-1765.9221516208277</v>
      </c>
      <c r="I4273" s="100">
        <v>-2504.7092239663871</v>
      </c>
      <c r="J4273" s="100">
        <v>-3242.6178483895246</v>
      </c>
    </row>
    <row r="4274" spans="1:10" x14ac:dyDescent="0.25">
      <c r="A4274">
        <v>4257</v>
      </c>
      <c r="B4274" s="100">
        <v>89.30665832606158</v>
      </c>
      <c r="C4274" s="100">
        <v>97.199857838468716</v>
      </c>
      <c r="D4274" s="100">
        <v>93.640611519449322</v>
      </c>
      <c r="E4274" s="100">
        <v>93.626836122131621</v>
      </c>
      <c r="F4274" s="100">
        <v>815.04412770631518</v>
      </c>
      <c r="G4274" s="100">
        <v>1515.047502240101</v>
      </c>
      <c r="H4274" s="100">
        <v>-1649.0628279254338</v>
      </c>
      <c r="I4274" s="100">
        <v>-246.19646743039425</v>
      </c>
      <c r="J4274" s="100">
        <v>434.83233459058806</v>
      </c>
    </row>
    <row r="4275" spans="1:10" x14ac:dyDescent="0.25">
      <c r="A4275">
        <v>4258</v>
      </c>
      <c r="B4275" s="100">
        <v>89.823542518928321</v>
      </c>
      <c r="C4275" s="100">
        <v>98.885917323689071</v>
      </c>
      <c r="D4275" s="100">
        <v>92.361291097036968</v>
      </c>
      <c r="E4275" s="100">
        <v>94.672729053928407</v>
      </c>
      <c r="F4275" s="100">
        <v>-890.67370875392839</v>
      </c>
      <c r="G4275" s="100">
        <v>-1014.041725590431</v>
      </c>
      <c r="H4275" s="100">
        <v>909.57801689927464</v>
      </c>
      <c r="I4275" s="100">
        <v>-1292.0893992271799</v>
      </c>
      <c r="J4275" s="100">
        <v>-2287.2268166722647</v>
      </c>
    </row>
    <row r="4276" spans="1:10" x14ac:dyDescent="0.25">
      <c r="A4276">
        <v>4259</v>
      </c>
      <c r="B4276" s="100">
        <v>89.40160918031691</v>
      </c>
      <c r="C4276" s="100">
        <v>98.874679130399159</v>
      </c>
      <c r="D4276" s="100">
        <v>93.611988278523214</v>
      </c>
      <c r="E4276" s="100">
        <v>92.761994354797565</v>
      </c>
      <c r="F4276" s="100">
        <v>501.70630866372505</v>
      </c>
      <c r="G4276" s="100">
        <v>-997.18443565556208</v>
      </c>
      <c r="H4276" s="100">
        <v>-1591.816346073216</v>
      </c>
      <c r="I4276" s="100">
        <v>618.64529990366179</v>
      </c>
      <c r="J4276" s="100">
        <v>-1468.649173161391</v>
      </c>
    </row>
    <row r="4277" spans="1:10" x14ac:dyDescent="0.25">
      <c r="A4277">
        <v>4260</v>
      </c>
      <c r="B4277" s="100">
        <v>89.480297549841453</v>
      </c>
      <c r="C4277" s="100">
        <v>98.3374754514914</v>
      </c>
      <c r="D4277" s="100">
        <v>93.714854688929876</v>
      </c>
      <c r="E4277" s="100">
        <v>93.29345838639415</v>
      </c>
      <c r="F4277" s="100">
        <v>242.0346892327359</v>
      </c>
      <c r="G4277" s="100">
        <v>-191.37891729392464</v>
      </c>
      <c r="H4277" s="100">
        <v>-1797.5491668865402</v>
      </c>
      <c r="I4277" s="100">
        <v>87.181268307077175</v>
      </c>
      <c r="J4277" s="100">
        <v>-1659.7121266406516</v>
      </c>
    </row>
    <row r="4278" spans="1:10" x14ac:dyDescent="0.25">
      <c r="A4278">
        <v>4261</v>
      </c>
      <c r="B4278" s="100">
        <v>90.096743106865958</v>
      </c>
      <c r="C4278" s="100">
        <v>98.040600204413465</v>
      </c>
      <c r="D4278" s="100">
        <v>92.009253733718353</v>
      </c>
      <c r="E4278" s="100">
        <v>91.422395904745542</v>
      </c>
      <c r="F4278" s="100">
        <v>-1792.2356489481317</v>
      </c>
      <c r="G4278" s="100">
        <v>253.93395332297786</v>
      </c>
      <c r="H4278" s="100">
        <v>1613.6527435365053</v>
      </c>
      <c r="I4278" s="100">
        <v>1958.2437499556845</v>
      </c>
      <c r="J4278" s="100">
        <v>2033.594797867036</v>
      </c>
    </row>
    <row r="4279" spans="1:10" x14ac:dyDescent="0.25">
      <c r="A4279">
        <v>4262</v>
      </c>
      <c r="B4279" s="100">
        <v>90.109878080514505</v>
      </c>
      <c r="C4279" s="100">
        <v>97.99908383839967</v>
      </c>
      <c r="D4279" s="100">
        <v>92.940144311972318</v>
      </c>
      <c r="E4279" s="100">
        <v>95.075116892527092</v>
      </c>
      <c r="F4279" s="100">
        <v>-1835.5810619883387</v>
      </c>
      <c r="G4279" s="100">
        <v>316.20850234367026</v>
      </c>
      <c r="H4279" s="100">
        <v>-248.1284129714254</v>
      </c>
      <c r="I4279" s="100">
        <v>-1694.4772378258649</v>
      </c>
      <c r="J4279" s="100">
        <v>-3461.9782104419587</v>
      </c>
    </row>
    <row r="4280" spans="1:10" x14ac:dyDescent="0.25">
      <c r="A4280">
        <v>4263</v>
      </c>
      <c r="B4280" s="100">
        <v>89.773042094453871</v>
      </c>
      <c r="C4280" s="100">
        <v>98.399723936289021</v>
      </c>
      <c r="D4280" s="100">
        <v>93.385275819340748</v>
      </c>
      <c r="E4280" s="100">
        <v>96.183672505074824</v>
      </c>
      <c r="F4280" s="100">
        <v>-724.02230798824405</v>
      </c>
      <c r="G4280" s="100">
        <v>-284.75164449035617</v>
      </c>
      <c r="H4280" s="100">
        <v>-1138.3914277082852</v>
      </c>
      <c r="I4280" s="100">
        <v>-2803.0328503735973</v>
      </c>
      <c r="J4280" s="100">
        <v>-4950.1982305604824</v>
      </c>
    </row>
    <row r="4281" spans="1:10" x14ac:dyDescent="0.25">
      <c r="A4281">
        <v>4264</v>
      </c>
      <c r="B4281" s="100">
        <v>89.874541693119653</v>
      </c>
      <c r="C4281" s="100">
        <v>99.396113612300482</v>
      </c>
      <c r="D4281" s="100">
        <v>92.321483504804348</v>
      </c>
      <c r="E4281" s="100">
        <v>95.004757457491309</v>
      </c>
      <c r="F4281" s="100">
        <v>-1058.9709835853255</v>
      </c>
      <c r="G4281" s="100">
        <v>-1779.3361585075472</v>
      </c>
      <c r="H4281" s="100">
        <v>989.19320136451461</v>
      </c>
      <c r="I4281" s="100">
        <v>-1624.1178027900814</v>
      </c>
      <c r="J4281" s="100">
        <v>-3473.2317435184395</v>
      </c>
    </row>
    <row r="4282" spans="1:10" x14ac:dyDescent="0.25">
      <c r="A4282">
        <v>4265</v>
      </c>
      <c r="B4282" s="100">
        <v>89.496244786533254</v>
      </c>
      <c r="C4282" s="100">
        <v>97.40836306427893</v>
      </c>
      <c r="D4282" s="100">
        <v>90.824500282830883</v>
      </c>
      <c r="E4282" s="100">
        <v>95.58439284678245</v>
      </c>
      <c r="F4282" s="100">
        <v>189.40880814979266</v>
      </c>
      <c r="G4282" s="100">
        <v>1202.2896635247803</v>
      </c>
      <c r="H4282" s="100">
        <v>3983.1596453114457</v>
      </c>
      <c r="I4282" s="100">
        <v>-2203.7531920812226</v>
      </c>
      <c r="J4282" s="100">
        <v>3171.1049249047965</v>
      </c>
    </row>
    <row r="4283" spans="1:10" x14ac:dyDescent="0.25">
      <c r="A4283">
        <v>4266</v>
      </c>
      <c r="B4283" s="100">
        <v>89.89737068115403</v>
      </c>
      <c r="C4283" s="100">
        <v>96.864266503697223</v>
      </c>
      <c r="D4283" s="100">
        <v>93.275696801421844</v>
      </c>
      <c r="E4283" s="100">
        <v>93.985149614207629</v>
      </c>
      <c r="F4283" s="100">
        <v>-1134.3066440987684</v>
      </c>
      <c r="G4283" s="100">
        <v>2018.4345043973408</v>
      </c>
      <c r="H4283" s="100">
        <v>-919.23339187047759</v>
      </c>
      <c r="I4283" s="100">
        <v>-604.50995950640163</v>
      </c>
      <c r="J4283" s="100">
        <v>-639.61549107830683</v>
      </c>
    </row>
    <row r="4284" spans="1:10" x14ac:dyDescent="0.25">
      <c r="A4284">
        <v>4267</v>
      </c>
      <c r="B4284" s="100">
        <v>89.509275166894327</v>
      </c>
      <c r="C4284" s="100">
        <v>99.106283362399537</v>
      </c>
      <c r="D4284" s="100">
        <v>91.396644588037361</v>
      </c>
      <c r="E4284" s="100">
        <v>93.265471916070112</v>
      </c>
      <c r="F4284" s="100">
        <v>146.4085529582519</v>
      </c>
      <c r="G4284" s="100">
        <v>-1344.5907836561305</v>
      </c>
      <c r="H4284" s="100">
        <v>2838.8710348984887</v>
      </c>
      <c r="I4284" s="100">
        <v>115.16773863111496</v>
      </c>
      <c r="J4284" s="100">
        <v>1755.8565428317252</v>
      </c>
    </row>
    <row r="4285" spans="1:10" x14ac:dyDescent="0.25">
      <c r="A4285">
        <v>4268</v>
      </c>
      <c r="B4285" s="100">
        <v>89.224856369560456</v>
      </c>
      <c r="C4285" s="100">
        <v>99.371361061175378</v>
      </c>
      <c r="D4285" s="100">
        <v>92.426848705699328</v>
      </c>
      <c r="E4285" s="100">
        <v>94.845777452891213</v>
      </c>
      <c r="F4285" s="100">
        <v>1084.9905841600248</v>
      </c>
      <c r="G4285" s="100">
        <v>-1742.2073318198911</v>
      </c>
      <c r="H4285" s="100">
        <v>778.46279957455522</v>
      </c>
      <c r="I4285" s="100">
        <v>-1465.1377981899855</v>
      </c>
      <c r="J4285" s="100">
        <v>-1343.8917462752966</v>
      </c>
    </row>
    <row r="4286" spans="1:10" x14ac:dyDescent="0.25">
      <c r="A4286">
        <v>4269</v>
      </c>
      <c r="B4286" s="100">
        <v>88.946218946268715</v>
      </c>
      <c r="C4286" s="100">
        <v>96.69979178836445</v>
      </c>
      <c r="D4286" s="100">
        <v>93.087125432174886</v>
      </c>
      <c r="E4286" s="100">
        <v>94.40670205944194</v>
      </c>
      <c r="F4286" s="100">
        <v>2004.4940810227699</v>
      </c>
      <c r="G4286" s="100">
        <v>2265.1465773965001</v>
      </c>
      <c r="H4286" s="100">
        <v>-542.0906533765617</v>
      </c>
      <c r="I4286" s="100">
        <v>-1026.0624047407134</v>
      </c>
      <c r="J4286" s="100">
        <v>2701.4876003019945</v>
      </c>
    </row>
    <row r="4287" spans="1:10" x14ac:dyDescent="0.25">
      <c r="A4287">
        <v>4270</v>
      </c>
      <c r="B4287" s="100">
        <v>90.383240901583122</v>
      </c>
      <c r="C4287" s="100">
        <v>97.99030723718414</v>
      </c>
      <c r="D4287" s="100">
        <v>92.864363812561109</v>
      </c>
      <c r="E4287" s="100">
        <v>93.263439648294977</v>
      </c>
      <c r="F4287" s="100">
        <v>-2737.6783715147722</v>
      </c>
      <c r="G4287" s="100">
        <v>329.37340416696514</v>
      </c>
      <c r="H4287" s="100">
        <v>-96.567414149006936</v>
      </c>
      <c r="I4287" s="100">
        <v>117.20000640625017</v>
      </c>
      <c r="J4287" s="100">
        <v>-2387.6723750905639</v>
      </c>
    </row>
    <row r="4288" spans="1:10" x14ac:dyDescent="0.25">
      <c r="A4288">
        <v>4271</v>
      </c>
      <c r="B4288" s="100">
        <v>89.302719297077942</v>
      </c>
      <c r="C4288" s="100">
        <v>99.505461052235631</v>
      </c>
      <c r="D4288" s="100">
        <v>96.301802722059222</v>
      </c>
      <c r="E4288" s="100">
        <v>94.37707128717966</v>
      </c>
      <c r="F4288" s="100">
        <v>828.04292335231935</v>
      </c>
      <c r="G4288" s="100">
        <v>-1943.3573184102713</v>
      </c>
      <c r="H4288" s="100">
        <v>-6971.4452331452321</v>
      </c>
      <c r="I4288" s="100">
        <v>-996.43163247843347</v>
      </c>
      <c r="J4288" s="100">
        <v>-9083.1912606816186</v>
      </c>
    </row>
    <row r="4289" spans="1:10" x14ac:dyDescent="0.25">
      <c r="A4289">
        <v>4272</v>
      </c>
      <c r="B4289" s="100">
        <v>89.088504134170648</v>
      </c>
      <c r="C4289" s="100">
        <v>97.328756411277581</v>
      </c>
      <c r="D4289" s="100">
        <v>92.600826385614354</v>
      </c>
      <c r="E4289" s="100">
        <v>90.645587874818489</v>
      </c>
      <c r="F4289" s="100">
        <v>1534.95296094639</v>
      </c>
      <c r="G4289" s="100">
        <v>1321.6996430268041</v>
      </c>
      <c r="H4289" s="100">
        <v>430.50743974450256</v>
      </c>
      <c r="I4289" s="100">
        <v>2735.0517798827382</v>
      </c>
      <c r="J4289" s="100">
        <v>6022.2118236004353</v>
      </c>
    </row>
    <row r="4290" spans="1:10" x14ac:dyDescent="0.25">
      <c r="A4290">
        <v>4273</v>
      </c>
      <c r="B4290" s="100">
        <v>89.25034025546546</v>
      </c>
      <c r="C4290" s="100">
        <v>98.824172216639127</v>
      </c>
      <c r="D4290" s="100">
        <v>95.324729065564526</v>
      </c>
      <c r="E4290" s="100">
        <v>92.904516352303858</v>
      </c>
      <c r="F4290" s="100">
        <v>1000.8937606735117</v>
      </c>
      <c r="G4290" s="100">
        <v>-921.42406501551477</v>
      </c>
      <c r="H4290" s="100">
        <v>-5017.297920155841</v>
      </c>
      <c r="I4290" s="100">
        <v>476.12330239736878</v>
      </c>
      <c r="J4290" s="100">
        <v>-4461.7049221004745</v>
      </c>
    </row>
    <row r="4291" spans="1:10" x14ac:dyDescent="0.25">
      <c r="A4291">
        <v>4274</v>
      </c>
      <c r="B4291" s="100">
        <v>89.792024749573358</v>
      </c>
      <c r="C4291" s="100">
        <v>96.861080917715256</v>
      </c>
      <c r="D4291" s="100">
        <v>91.185487504842513</v>
      </c>
      <c r="E4291" s="100">
        <v>92.968015956350825</v>
      </c>
      <c r="F4291" s="100">
        <v>-786.66506988255094</v>
      </c>
      <c r="G4291" s="100">
        <v>2023.2128833702916</v>
      </c>
      <c r="H4291" s="100">
        <v>3261.1852012881855</v>
      </c>
      <c r="I4291" s="100">
        <v>412.62369835040147</v>
      </c>
      <c r="J4291" s="100">
        <v>4910.3567131263271</v>
      </c>
    </row>
    <row r="4292" spans="1:10" x14ac:dyDescent="0.25">
      <c r="A4292">
        <v>4275</v>
      </c>
      <c r="B4292" s="100">
        <v>89.615835128351222</v>
      </c>
      <c r="C4292" s="100">
        <v>97.322948211327088</v>
      </c>
      <c r="D4292" s="100">
        <v>91.868753093457727</v>
      </c>
      <c r="E4292" s="100">
        <v>95.013441430279201</v>
      </c>
      <c r="F4292" s="100">
        <v>-205.23931984950252</v>
      </c>
      <c r="G4292" s="100">
        <v>1330.4119429525442</v>
      </c>
      <c r="H4292" s="100">
        <v>1894.6540240577576</v>
      </c>
      <c r="I4292" s="100">
        <v>-1632.801775577974</v>
      </c>
      <c r="J4292" s="100">
        <v>1387.0248715828254</v>
      </c>
    </row>
    <row r="4293" spans="1:10" x14ac:dyDescent="0.25">
      <c r="A4293">
        <v>4276</v>
      </c>
      <c r="B4293" s="100">
        <v>89.576011425253753</v>
      </c>
      <c r="C4293" s="100">
        <v>97.696054401158136</v>
      </c>
      <c r="D4293" s="100">
        <v>93.642129984134868</v>
      </c>
      <c r="E4293" s="100">
        <v>93.37544359256573</v>
      </c>
      <c r="F4293" s="100">
        <v>-73.821099627856768</v>
      </c>
      <c r="G4293" s="100">
        <v>770.75265820597133</v>
      </c>
      <c r="H4293" s="100">
        <v>-1652.0997572965257</v>
      </c>
      <c r="I4293" s="100">
        <v>5.1960621354965042</v>
      </c>
      <c r="J4293" s="100">
        <v>-949.97213658291457</v>
      </c>
    </row>
    <row r="4294" spans="1:10" x14ac:dyDescent="0.25">
      <c r="A4294">
        <v>4277</v>
      </c>
      <c r="B4294" s="100">
        <v>88.521650994046837</v>
      </c>
      <c r="C4294" s="100">
        <v>98.750415781197702</v>
      </c>
      <c r="D4294" s="100">
        <v>94.11325189967522</v>
      </c>
      <c r="E4294" s="100">
        <v>95.095680196486626</v>
      </c>
      <c r="F4294" s="100">
        <v>3405.5683233549671</v>
      </c>
      <c r="G4294" s="100">
        <v>-810.78941185337783</v>
      </c>
      <c r="H4294" s="100">
        <v>-2594.3435883772281</v>
      </c>
      <c r="I4294" s="100">
        <v>-1715.040541785399</v>
      </c>
      <c r="J4294" s="100">
        <v>-1714.6052186610377</v>
      </c>
    </row>
    <row r="4295" spans="1:10" x14ac:dyDescent="0.25">
      <c r="A4295">
        <v>4278</v>
      </c>
      <c r="B4295" s="100">
        <v>88.567199334208084</v>
      </c>
      <c r="C4295" s="100">
        <v>97.499781542371323</v>
      </c>
      <c r="D4295" s="100">
        <v>93.129108782955882</v>
      </c>
      <c r="E4295" s="100">
        <v>94.522688123210159</v>
      </c>
      <c r="F4295" s="100">
        <v>3255.2588008228527</v>
      </c>
      <c r="G4295" s="100">
        <v>1065.1619463861905</v>
      </c>
      <c r="H4295" s="100">
        <v>-626.05735493855263</v>
      </c>
      <c r="I4295" s="100">
        <v>-1142.048468508932</v>
      </c>
      <c r="J4295" s="100">
        <v>2552.314923761558</v>
      </c>
    </row>
    <row r="4296" spans="1:10" x14ac:dyDescent="0.25">
      <c r="A4296">
        <v>4279</v>
      </c>
      <c r="B4296" s="100">
        <v>89.099231634955217</v>
      </c>
      <c r="C4296" s="100">
        <v>96.942657491457922</v>
      </c>
      <c r="D4296" s="100">
        <v>94.485763620377057</v>
      </c>
      <c r="E4296" s="100">
        <v>95.202355612185926</v>
      </c>
      <c r="F4296" s="100">
        <v>1499.5522083573135</v>
      </c>
      <c r="G4296" s="100">
        <v>1900.8480227562927</v>
      </c>
      <c r="H4296" s="100">
        <v>-3339.3670297809022</v>
      </c>
      <c r="I4296" s="100">
        <v>-1821.7159574846987</v>
      </c>
      <c r="J4296" s="100">
        <v>-1760.6827561519945</v>
      </c>
    </row>
    <row r="4297" spans="1:10" x14ac:dyDescent="0.25">
      <c r="A4297">
        <v>4280</v>
      </c>
      <c r="B4297" s="100">
        <v>89.98168579054547</v>
      </c>
      <c r="C4297" s="100">
        <v>98.357698151710892</v>
      </c>
      <c r="D4297" s="100">
        <v>91.235976947450837</v>
      </c>
      <c r="E4297" s="100">
        <v>92.356985619338374</v>
      </c>
      <c r="F4297" s="100">
        <v>-1412.5465050905204</v>
      </c>
      <c r="G4297" s="100">
        <v>-221.71296762316217</v>
      </c>
      <c r="H4297" s="100">
        <v>3160.2063160715375</v>
      </c>
      <c r="I4297" s="100">
        <v>1023.6540353628527</v>
      </c>
      <c r="J4297" s="100">
        <v>2549.6008787207074</v>
      </c>
    </row>
    <row r="4298" spans="1:10" x14ac:dyDescent="0.25">
      <c r="A4298">
        <v>4281</v>
      </c>
      <c r="B4298" s="100">
        <v>89.517630995424696</v>
      </c>
      <c r="C4298" s="100">
        <v>98.517743473320564</v>
      </c>
      <c r="D4298" s="100">
        <v>91.241991056584652</v>
      </c>
      <c r="E4298" s="100">
        <v>93.19775364048823</v>
      </c>
      <c r="F4298" s="100">
        <v>118.83431880803244</v>
      </c>
      <c r="G4298" s="100">
        <v>-461.78095003767083</v>
      </c>
      <c r="H4298" s="100">
        <v>3148.1780978039069</v>
      </c>
      <c r="I4298" s="100">
        <v>182.88601421299688</v>
      </c>
      <c r="J4298" s="100">
        <v>2988.1174807872653</v>
      </c>
    </row>
    <row r="4299" spans="1:10" x14ac:dyDescent="0.25">
      <c r="A4299">
        <v>4282</v>
      </c>
      <c r="B4299" s="100">
        <v>89.708294043661539</v>
      </c>
      <c r="C4299" s="100">
        <v>98.224464352513849</v>
      </c>
      <c r="D4299" s="100">
        <v>92.95653401259294</v>
      </c>
      <c r="E4299" s="100">
        <v>91.909590687104455</v>
      </c>
      <c r="F4299" s="100">
        <v>-510.3537403735487</v>
      </c>
      <c r="G4299" s="100">
        <v>-21.86226882759712</v>
      </c>
      <c r="H4299" s="100">
        <v>-280.90781421266797</v>
      </c>
      <c r="I4299" s="100">
        <v>1471.0489675967722</v>
      </c>
      <c r="J4299" s="100">
        <v>657.92514418295832</v>
      </c>
    </row>
    <row r="4300" spans="1:10" x14ac:dyDescent="0.25">
      <c r="A4300">
        <v>4283</v>
      </c>
      <c r="B4300" s="100">
        <v>89.066365525260466</v>
      </c>
      <c r="C4300" s="100">
        <v>97.706490296043228</v>
      </c>
      <c r="D4300" s="100">
        <v>92.341861342468633</v>
      </c>
      <c r="E4300" s="100">
        <v>94.269659782262877</v>
      </c>
      <c r="F4300" s="100">
        <v>1608.0103703499931</v>
      </c>
      <c r="G4300" s="100">
        <v>755.09881587833411</v>
      </c>
      <c r="H4300" s="100">
        <v>948.43752603594567</v>
      </c>
      <c r="I4300" s="100">
        <v>-889.0201275616505</v>
      </c>
      <c r="J4300" s="100">
        <v>2422.5265847026226</v>
      </c>
    </row>
    <row r="4301" spans="1:10" x14ac:dyDescent="0.25">
      <c r="A4301">
        <v>4284</v>
      </c>
      <c r="B4301" s="100">
        <v>88.936530968584734</v>
      </c>
      <c r="C4301" s="100">
        <v>97.514968249877413</v>
      </c>
      <c r="D4301" s="100">
        <v>91.974860731726707</v>
      </c>
      <c r="E4301" s="100">
        <v>93.071658661433588</v>
      </c>
      <c r="F4301" s="100">
        <v>2036.4644073799084</v>
      </c>
      <c r="G4301" s="100">
        <v>1042.3818851270566</v>
      </c>
      <c r="H4301" s="100">
        <v>1682.4387475197966</v>
      </c>
      <c r="I4301" s="100">
        <v>308.98099326763884</v>
      </c>
      <c r="J4301" s="100">
        <v>5070.2660332944006</v>
      </c>
    </row>
    <row r="4302" spans="1:10" x14ac:dyDescent="0.25">
      <c r="A4302">
        <v>4285</v>
      </c>
      <c r="B4302" s="100">
        <v>90.146532796461969</v>
      </c>
      <c r="C4302" s="100">
        <v>97.562217340238178</v>
      </c>
      <c r="D4302" s="100">
        <v>91.949680844301142</v>
      </c>
      <c r="E4302" s="100">
        <v>89.585031919295375</v>
      </c>
      <c r="F4302" s="100">
        <v>-1956.541624614968</v>
      </c>
      <c r="G4302" s="100">
        <v>971.50824958590931</v>
      </c>
      <c r="H4302" s="100">
        <v>1732.7985223709277</v>
      </c>
      <c r="I4302" s="100">
        <v>3795.6077354058521</v>
      </c>
      <c r="J4302" s="100">
        <v>4543.3728827477207</v>
      </c>
    </row>
    <row r="4303" spans="1:10" x14ac:dyDescent="0.25">
      <c r="A4303">
        <v>4286</v>
      </c>
      <c r="B4303" s="100">
        <v>88.805106788821277</v>
      </c>
      <c r="C4303" s="100">
        <v>98.692503568303167</v>
      </c>
      <c r="D4303" s="100">
        <v>92.440147614743182</v>
      </c>
      <c r="E4303" s="100">
        <v>89.867498657636915</v>
      </c>
      <c r="F4303" s="100">
        <v>2470.1642005993149</v>
      </c>
      <c r="G4303" s="100">
        <v>-723.92109251157422</v>
      </c>
      <c r="H4303" s="100">
        <v>751.86498148684677</v>
      </c>
      <c r="I4303" s="100">
        <v>3513.1409970643117</v>
      </c>
      <c r="J4303" s="100">
        <v>6011.2490866388989</v>
      </c>
    </row>
    <row r="4304" spans="1:10" x14ac:dyDescent="0.25">
      <c r="A4304">
        <v>4287</v>
      </c>
      <c r="B4304" s="100">
        <v>88.654153202453045</v>
      </c>
      <c r="C4304" s="100">
        <v>97.206765315020277</v>
      </c>
      <c r="D4304" s="100">
        <v>92.989182075657453</v>
      </c>
      <c r="E4304" s="100">
        <v>91.869124237795774</v>
      </c>
      <c r="F4304" s="100">
        <v>2968.3110356144794</v>
      </c>
      <c r="G4304" s="100">
        <v>1504.6862874127598</v>
      </c>
      <c r="H4304" s="100">
        <v>-346.20394034169522</v>
      </c>
      <c r="I4304" s="100">
        <v>1511.5154169054535</v>
      </c>
      <c r="J4304" s="100">
        <v>5638.3087995909973</v>
      </c>
    </row>
    <row r="4305" spans="1:10" x14ac:dyDescent="0.25">
      <c r="A4305">
        <v>4288</v>
      </c>
      <c r="B4305" s="100">
        <v>89.25826504143005</v>
      </c>
      <c r="C4305" s="100">
        <v>96.597018953028424</v>
      </c>
      <c r="D4305" s="100">
        <v>94.371957103688899</v>
      </c>
      <c r="E4305" s="100">
        <v>92.893355045668869</v>
      </c>
      <c r="F4305" s="100">
        <v>974.74196699036361</v>
      </c>
      <c r="G4305" s="100">
        <v>2419.305830400539</v>
      </c>
      <c r="H4305" s="100">
        <v>-3111.7539964045873</v>
      </c>
      <c r="I4305" s="100">
        <v>487.28460903235771</v>
      </c>
      <c r="J4305" s="100">
        <v>769.57841001867325</v>
      </c>
    </row>
    <row r="4306" spans="1:10" x14ac:dyDescent="0.25">
      <c r="A4306">
        <v>4289</v>
      </c>
      <c r="B4306" s="100">
        <v>88.885906585820791</v>
      </c>
      <c r="C4306" s="100">
        <v>98.033293548112653</v>
      </c>
      <c r="D4306" s="100">
        <v>92.869392851076</v>
      </c>
      <c r="E4306" s="100">
        <v>91.936695226471556</v>
      </c>
      <c r="F4306" s="100">
        <v>2203.524870500918</v>
      </c>
      <c r="G4306" s="100">
        <v>264.89393777419679</v>
      </c>
      <c r="H4306" s="100">
        <v>-106.62549117878939</v>
      </c>
      <c r="I4306" s="100">
        <v>1443.9444282296704</v>
      </c>
      <c r="J4306" s="100">
        <v>3805.7377453259955</v>
      </c>
    </row>
    <row r="4307" spans="1:10" x14ac:dyDescent="0.25">
      <c r="A4307">
        <v>4290</v>
      </c>
      <c r="B4307" s="100">
        <v>90.409799010116117</v>
      </c>
      <c r="C4307" s="100">
        <v>97.365948912465981</v>
      </c>
      <c r="D4307" s="100">
        <v>93.875037697522913</v>
      </c>
      <c r="E4307" s="100">
        <v>93.133739020443301</v>
      </c>
      <c r="F4307" s="100">
        <v>-2825.3201296736579</v>
      </c>
      <c r="G4307" s="100">
        <v>1265.9108912442036</v>
      </c>
      <c r="H4307" s="100">
        <v>-2117.9151840726149</v>
      </c>
      <c r="I4307" s="100">
        <v>246.9006342579263</v>
      </c>
      <c r="J4307" s="100">
        <v>-3430.4237882441425</v>
      </c>
    </row>
    <row r="4308" spans="1:10" x14ac:dyDescent="0.25">
      <c r="A4308">
        <v>4291</v>
      </c>
      <c r="B4308" s="100">
        <v>90.712391992134101</v>
      </c>
      <c r="C4308" s="100">
        <v>97.576950294657493</v>
      </c>
      <c r="D4308" s="100">
        <v>93.915571890090604</v>
      </c>
      <c r="E4308" s="100">
        <v>93.124208540689651</v>
      </c>
      <c r="F4308" s="100">
        <v>-3823.8769703330049</v>
      </c>
      <c r="G4308" s="100">
        <v>949.40881795693599</v>
      </c>
      <c r="H4308" s="100">
        <v>-2198.9835692079964</v>
      </c>
      <c r="I4308" s="100">
        <v>256.43111401157626</v>
      </c>
      <c r="J4308" s="100">
        <v>-4817.02060757249</v>
      </c>
    </row>
    <row r="4309" spans="1:10" x14ac:dyDescent="0.25">
      <c r="A4309">
        <v>4292</v>
      </c>
      <c r="B4309" s="100">
        <v>90.033345763111427</v>
      </c>
      <c r="C4309" s="100">
        <v>97.702459022131876</v>
      </c>
      <c r="D4309" s="100">
        <v>91.442701288875185</v>
      </c>
      <c r="E4309" s="100">
        <v>95.212511321004698</v>
      </c>
      <c r="F4309" s="100">
        <v>-1583.0244145581801</v>
      </c>
      <c r="G4309" s="100">
        <v>761.14572674536157</v>
      </c>
      <c r="H4309" s="100">
        <v>2746.7576332228418</v>
      </c>
      <c r="I4309" s="100">
        <v>-1831.8716663034706</v>
      </c>
      <c r="J4309" s="100">
        <v>93.007279106552687</v>
      </c>
    </row>
    <row r="4310" spans="1:10" x14ac:dyDescent="0.25">
      <c r="A4310">
        <v>4293</v>
      </c>
      <c r="B4310" s="100">
        <v>90.186239798538097</v>
      </c>
      <c r="C4310" s="100">
        <v>96.471225110007737</v>
      </c>
      <c r="D4310" s="100">
        <v>92.862149887000356</v>
      </c>
      <c r="E4310" s="100">
        <v>95.105529493692529</v>
      </c>
      <c r="F4310" s="100">
        <v>-2087.5747314661894</v>
      </c>
      <c r="G4310" s="100">
        <v>2607.9965949315706</v>
      </c>
      <c r="H4310" s="100">
        <v>-92.139563027501481</v>
      </c>
      <c r="I4310" s="100">
        <v>-1724.8898389913024</v>
      </c>
      <c r="J4310" s="100">
        <v>-1296.6075385534227</v>
      </c>
    </row>
    <row r="4311" spans="1:10" x14ac:dyDescent="0.25">
      <c r="A4311">
        <v>4294</v>
      </c>
      <c r="B4311" s="100">
        <v>89.766884451893873</v>
      </c>
      <c r="C4311" s="100">
        <v>98.637016404873734</v>
      </c>
      <c r="D4311" s="100">
        <v>92.060859321746477</v>
      </c>
      <c r="E4311" s="100">
        <v>93.815080817311937</v>
      </c>
      <c r="F4311" s="100">
        <v>-703.70208754025043</v>
      </c>
      <c r="G4311" s="100">
        <v>-640.69034736742481</v>
      </c>
      <c r="H4311" s="100">
        <v>1510.4415674802567</v>
      </c>
      <c r="I4311" s="100">
        <v>-434.44116261071031</v>
      </c>
      <c r="J4311" s="100">
        <v>-268.39203003812872</v>
      </c>
    </row>
    <row r="4312" spans="1:10" x14ac:dyDescent="0.25">
      <c r="A4312">
        <v>4295</v>
      </c>
      <c r="B4312" s="100">
        <v>90.094369904700457</v>
      </c>
      <c r="C4312" s="100">
        <v>98.035317206240521</v>
      </c>
      <c r="D4312" s="100">
        <v>92.108878508543569</v>
      </c>
      <c r="E4312" s="100">
        <v>94.361478221404326</v>
      </c>
      <c r="F4312" s="100">
        <v>-1784.4040818019791</v>
      </c>
      <c r="G4312" s="100">
        <v>261.85845058239465</v>
      </c>
      <c r="H4312" s="100">
        <v>1414.4031938860735</v>
      </c>
      <c r="I4312" s="100">
        <v>-980.83856670309899</v>
      </c>
      <c r="J4312" s="100">
        <v>-1088.9810040366101</v>
      </c>
    </row>
    <row r="4313" spans="1:10" x14ac:dyDescent="0.25">
      <c r="A4313">
        <v>4296</v>
      </c>
      <c r="B4313" s="100">
        <v>90.297492939557316</v>
      </c>
      <c r="C4313" s="100">
        <v>98.35908584684347</v>
      </c>
      <c r="D4313" s="100">
        <v>93.194637501045435</v>
      </c>
      <c r="E4313" s="100">
        <v>93.516328677871698</v>
      </c>
      <c r="F4313" s="100">
        <v>-2454.7100968296122</v>
      </c>
      <c r="G4313" s="100">
        <v>-223.79451032202979</v>
      </c>
      <c r="H4313" s="100">
        <v>-757.11479111765811</v>
      </c>
      <c r="I4313" s="100">
        <v>-135.68902317047105</v>
      </c>
      <c r="J4313" s="100">
        <v>-3571.3084214397713</v>
      </c>
    </row>
    <row r="4314" spans="1:10" x14ac:dyDescent="0.25">
      <c r="A4314">
        <v>4297</v>
      </c>
      <c r="B4314" s="100">
        <v>89.416097213981885</v>
      </c>
      <c r="C4314" s="100">
        <v>98.360348766313763</v>
      </c>
      <c r="D4314" s="100">
        <v>90.968306994004706</v>
      </c>
      <c r="E4314" s="100">
        <v>95.280962421931321</v>
      </c>
      <c r="F4314" s="100">
        <v>453.895797569308</v>
      </c>
      <c r="G4314" s="100">
        <v>-225.68888952746846</v>
      </c>
      <c r="H4314" s="100">
        <v>3695.5462229637988</v>
      </c>
      <c r="I4314" s="100">
        <v>-1900.3227672300936</v>
      </c>
      <c r="J4314" s="100">
        <v>2023.4303637755447</v>
      </c>
    </row>
    <row r="4315" spans="1:10" x14ac:dyDescent="0.25">
      <c r="A4315">
        <v>4298</v>
      </c>
      <c r="B4315" s="100">
        <v>89.87207894388041</v>
      </c>
      <c r="C4315" s="100">
        <v>100.30820297394263</v>
      </c>
      <c r="D4315" s="100">
        <v>92.131379411461282</v>
      </c>
      <c r="E4315" s="100">
        <v>92.82034065636438</v>
      </c>
      <c r="F4315" s="100">
        <v>-1050.843911095825</v>
      </c>
      <c r="G4315" s="100">
        <v>-3147.4702009707657</v>
      </c>
      <c r="H4315" s="100">
        <v>1369.4013880506475</v>
      </c>
      <c r="I4315" s="100">
        <v>560.29899833684738</v>
      </c>
      <c r="J4315" s="100">
        <v>-2268.6137256790958</v>
      </c>
    </row>
    <row r="4316" spans="1:10" x14ac:dyDescent="0.25">
      <c r="A4316">
        <v>4299</v>
      </c>
      <c r="B4316" s="100">
        <v>89.772245319789192</v>
      </c>
      <c r="C4316" s="100">
        <v>98.998918857939373</v>
      </c>
      <c r="D4316" s="100">
        <v>92.09516856996666</v>
      </c>
      <c r="E4316" s="100">
        <v>91.009120900715757</v>
      </c>
      <c r="F4316" s="100">
        <v>-721.39295159480525</v>
      </c>
      <c r="G4316" s="100">
        <v>-1183.5440269658832</v>
      </c>
      <c r="H4316" s="100">
        <v>1441.8230710398916</v>
      </c>
      <c r="I4316" s="100">
        <v>2371.5187539854696</v>
      </c>
      <c r="J4316" s="100">
        <v>1908.4048464646728</v>
      </c>
    </row>
    <row r="4317" spans="1:10" x14ac:dyDescent="0.25">
      <c r="A4317">
        <v>4300</v>
      </c>
      <c r="B4317" s="100">
        <v>89.056859457136298</v>
      </c>
      <c r="C4317" s="100">
        <v>99.524113650279105</v>
      </c>
      <c r="D4317" s="100">
        <v>93.579093269708579</v>
      </c>
      <c r="E4317" s="100">
        <v>91.974252075453094</v>
      </c>
      <c r="F4317" s="100">
        <v>1639.3803951597463</v>
      </c>
      <c r="G4317" s="100">
        <v>-1971.3362154754818</v>
      </c>
      <c r="H4317" s="100">
        <v>-1526.0263284439475</v>
      </c>
      <c r="I4317" s="100">
        <v>1406.3875792481326</v>
      </c>
      <c r="J4317" s="100">
        <v>-451.59456951155039</v>
      </c>
    </row>
    <row r="4318" spans="1:10" x14ac:dyDescent="0.25">
      <c r="A4318">
        <v>4301</v>
      </c>
      <c r="B4318" s="100">
        <v>89.632380848739771</v>
      </c>
      <c r="C4318" s="100">
        <v>97.016344439379907</v>
      </c>
      <c r="D4318" s="100">
        <v>90.390725232393834</v>
      </c>
      <c r="E4318" s="100">
        <v>94.61261656195704</v>
      </c>
      <c r="F4318" s="100">
        <v>-259.84019713171591</v>
      </c>
      <c r="G4318" s="100">
        <v>1790.3176008733155</v>
      </c>
      <c r="H4318" s="100">
        <v>4850.7097461855437</v>
      </c>
      <c r="I4318" s="100">
        <v>-1231.9769072558131</v>
      </c>
      <c r="J4318" s="100">
        <v>5149.2102426713309</v>
      </c>
    </row>
    <row r="4319" spans="1:10" x14ac:dyDescent="0.25">
      <c r="A4319">
        <v>4302</v>
      </c>
      <c r="B4319" s="100">
        <v>89.188349485975252</v>
      </c>
      <c r="C4319" s="100">
        <v>98.527454151149215</v>
      </c>
      <c r="D4319" s="100">
        <v>95.565899929632451</v>
      </c>
      <c r="E4319" s="100">
        <v>92.646900529903178</v>
      </c>
      <c r="F4319" s="100">
        <v>1205.4632999911987</v>
      </c>
      <c r="G4319" s="100">
        <v>-476.34696678064614</v>
      </c>
      <c r="H4319" s="100">
        <v>-5499.6396482916907</v>
      </c>
      <c r="I4319" s="100">
        <v>733.73912479804915</v>
      </c>
      <c r="J4319" s="100">
        <v>-4036.7841902830892</v>
      </c>
    </row>
    <row r="4320" spans="1:10" x14ac:dyDescent="0.25">
      <c r="A4320">
        <v>4303</v>
      </c>
      <c r="B4320" s="100">
        <v>89.100090448043332</v>
      </c>
      <c r="C4320" s="100">
        <v>98.240993536385915</v>
      </c>
      <c r="D4320" s="100">
        <v>93.751745813128039</v>
      </c>
      <c r="E4320" s="100">
        <v>92.76822522948693</v>
      </c>
      <c r="F4320" s="100">
        <v>1496.7181251665338</v>
      </c>
      <c r="G4320" s="100">
        <v>-46.656044635696503</v>
      </c>
      <c r="H4320" s="100">
        <v>-1871.3314152828673</v>
      </c>
      <c r="I4320" s="100">
        <v>612.4144252142969</v>
      </c>
      <c r="J4320" s="100">
        <v>191.14509046226681</v>
      </c>
    </row>
    <row r="4321" spans="1:10" x14ac:dyDescent="0.25">
      <c r="A4321">
        <v>4304</v>
      </c>
      <c r="B4321" s="100">
        <v>90.177088727125081</v>
      </c>
      <c r="C4321" s="100">
        <v>99.672537346973115</v>
      </c>
      <c r="D4321" s="100">
        <v>92.930354534530707</v>
      </c>
      <c r="E4321" s="100">
        <v>93.980737595487284</v>
      </c>
      <c r="F4321" s="100">
        <v>-2057.3761958032392</v>
      </c>
      <c r="G4321" s="100">
        <v>-2193.9717605164974</v>
      </c>
      <c r="H4321" s="100">
        <v>-228.54885808820313</v>
      </c>
      <c r="I4321" s="100">
        <v>-600.09794078605694</v>
      </c>
      <c r="J4321" s="100">
        <v>-5079.9947551939958</v>
      </c>
    </row>
    <row r="4322" spans="1:10" x14ac:dyDescent="0.25">
      <c r="A4322">
        <v>4305</v>
      </c>
      <c r="B4322" s="100">
        <v>89.298828126550816</v>
      </c>
      <c r="C4322" s="100">
        <v>98.360941969608831</v>
      </c>
      <c r="D4322" s="100">
        <v>92.416431253911782</v>
      </c>
      <c r="E4322" s="100">
        <v>92.699034972142897</v>
      </c>
      <c r="F4322" s="100">
        <v>840.88378609183542</v>
      </c>
      <c r="G4322" s="100">
        <v>-226.57869447007073</v>
      </c>
      <c r="H4322" s="100">
        <v>799.29770314964799</v>
      </c>
      <c r="I4322" s="100">
        <v>681.60468255832996</v>
      </c>
      <c r="J4322" s="100">
        <v>2095.2074773297427</v>
      </c>
    </row>
    <row r="4323" spans="1:10" x14ac:dyDescent="0.25">
      <c r="A4323">
        <v>4306</v>
      </c>
      <c r="B4323" s="100">
        <v>88.028506993596551</v>
      </c>
      <c r="C4323" s="100">
        <v>98.690852654627122</v>
      </c>
      <c r="D4323" s="100">
        <v>92.342716695842512</v>
      </c>
      <c r="E4323" s="100">
        <v>95.244939977163639</v>
      </c>
      <c r="F4323" s="100">
        <v>5032.9435248409109</v>
      </c>
      <c r="G4323" s="100">
        <v>-721.44472199750703</v>
      </c>
      <c r="H4323" s="100">
        <v>946.72681928818747</v>
      </c>
      <c r="I4323" s="100">
        <v>-1864.3003224624124</v>
      </c>
      <c r="J4323" s="100">
        <v>3393.9252996691785</v>
      </c>
    </row>
    <row r="4324" spans="1:10" x14ac:dyDescent="0.25">
      <c r="A4324">
        <v>4307</v>
      </c>
      <c r="B4324" s="100">
        <v>89.837705373344093</v>
      </c>
      <c r="C4324" s="100">
        <v>98.635482398154736</v>
      </c>
      <c r="D4324" s="100">
        <v>93.755468759710922</v>
      </c>
      <c r="E4324" s="100">
        <v>91.912181893429292</v>
      </c>
      <c r="F4324" s="100">
        <v>-937.41112832597787</v>
      </c>
      <c r="G4324" s="100">
        <v>-638.38933728892755</v>
      </c>
      <c r="H4324" s="100">
        <v>-1878.7773084486332</v>
      </c>
      <c r="I4324" s="100">
        <v>1468.4577612719352</v>
      </c>
      <c r="J4324" s="100">
        <v>-1986.1200127916034</v>
      </c>
    </row>
    <row r="4325" spans="1:10" x14ac:dyDescent="0.25">
      <c r="A4325">
        <v>4308</v>
      </c>
      <c r="B4325" s="100">
        <v>89.228047381424631</v>
      </c>
      <c r="C4325" s="100">
        <v>98.154040512369875</v>
      </c>
      <c r="D4325" s="100">
        <v>93.20804347045457</v>
      </c>
      <c r="E4325" s="100">
        <v>93.734075516083493</v>
      </c>
      <c r="F4325" s="100">
        <v>1074.4602450082482</v>
      </c>
      <c r="G4325" s="100">
        <v>83.773491388363652</v>
      </c>
      <c r="H4325" s="100">
        <v>-783.92672993592782</v>
      </c>
      <c r="I4325" s="100">
        <v>-353.43586138226613</v>
      </c>
      <c r="J4325" s="100">
        <v>20.871145078417953</v>
      </c>
    </row>
    <row r="4326" spans="1:10" x14ac:dyDescent="0.25">
      <c r="A4326">
        <v>4309</v>
      </c>
      <c r="B4326" s="100">
        <v>89.45117897365553</v>
      </c>
      <c r="C4326" s="100">
        <v>97.948157198258158</v>
      </c>
      <c r="D4326" s="100">
        <v>93.5809931613868</v>
      </c>
      <c r="E4326" s="100">
        <v>91.198718841049171</v>
      </c>
      <c r="F4326" s="100">
        <v>338.12599064628017</v>
      </c>
      <c r="G4326" s="100">
        <v>392.598462555938</v>
      </c>
      <c r="H4326" s="100">
        <v>-1529.8261118003893</v>
      </c>
      <c r="I4326" s="100">
        <v>2181.9208136520556</v>
      </c>
      <c r="J4326" s="100">
        <v>1382.8191550538845</v>
      </c>
    </row>
    <row r="4327" spans="1:10" x14ac:dyDescent="0.25">
      <c r="A4327">
        <v>4310</v>
      </c>
      <c r="B4327" s="100">
        <v>89.219952512921438</v>
      </c>
      <c r="C4327" s="100">
        <v>98.481733115514061</v>
      </c>
      <c r="D4327" s="100">
        <v>94.432034560906303</v>
      </c>
      <c r="E4327" s="100">
        <v>95.301076708973298</v>
      </c>
      <c r="F4327" s="100">
        <v>1101.1733110687842</v>
      </c>
      <c r="G4327" s="100">
        <v>-407.76541332791538</v>
      </c>
      <c r="H4327" s="100">
        <v>-3231.9089108393937</v>
      </c>
      <c r="I4327" s="100">
        <v>-1920.437054272071</v>
      </c>
      <c r="J4327" s="100">
        <v>-4458.9380673705955</v>
      </c>
    </row>
    <row r="4328" spans="1:10" x14ac:dyDescent="0.25">
      <c r="A4328">
        <v>4311</v>
      </c>
      <c r="B4328" s="100">
        <v>90.689245324857595</v>
      </c>
      <c r="C4328" s="100">
        <v>99.043521080450347</v>
      </c>
      <c r="D4328" s="100">
        <v>91.911868716618073</v>
      </c>
      <c r="E4328" s="100">
        <v>93.863300541667314</v>
      </c>
      <c r="F4328" s="100">
        <v>-3747.4929683205332</v>
      </c>
      <c r="G4328" s="100">
        <v>-1250.4473607323448</v>
      </c>
      <c r="H4328" s="100">
        <v>1808.4227777370643</v>
      </c>
      <c r="I4328" s="100">
        <v>-482.66088696608733</v>
      </c>
      <c r="J4328" s="100">
        <v>-3672.178438281901</v>
      </c>
    </row>
    <row r="4329" spans="1:10" x14ac:dyDescent="0.25">
      <c r="A4329">
        <v>4312</v>
      </c>
      <c r="B4329" s="100">
        <v>89.765272867492541</v>
      </c>
      <c r="C4329" s="100">
        <v>98.819292135338159</v>
      </c>
      <c r="D4329" s="100">
        <v>94.691747409662597</v>
      </c>
      <c r="E4329" s="100">
        <v>92.551834618482602</v>
      </c>
      <c r="F4329" s="100">
        <v>-698.38385901585696</v>
      </c>
      <c r="G4329" s="100">
        <v>-914.10394306406317</v>
      </c>
      <c r="H4329" s="100">
        <v>-3751.3346083519818</v>
      </c>
      <c r="I4329" s="100">
        <v>828.80503621862545</v>
      </c>
      <c r="J4329" s="100">
        <v>-4535.0173742132756</v>
      </c>
    </row>
    <row r="4330" spans="1:10" x14ac:dyDescent="0.25">
      <c r="A4330">
        <v>4313</v>
      </c>
      <c r="B4330" s="100">
        <v>89.077272469643475</v>
      </c>
      <c r="C4330" s="100">
        <v>98.273198763184851</v>
      </c>
      <c r="D4330" s="100">
        <v>94.54528712137224</v>
      </c>
      <c r="E4330" s="100">
        <v>92.607763025345776</v>
      </c>
      <c r="F4330" s="100">
        <v>1572.017453886062</v>
      </c>
      <c r="G4330" s="100">
        <v>-94.963884834101009</v>
      </c>
      <c r="H4330" s="100">
        <v>-3458.4140317712695</v>
      </c>
      <c r="I4330" s="100">
        <v>772.87662935545143</v>
      </c>
      <c r="J4330" s="100">
        <v>-1208.4838333638572</v>
      </c>
    </row>
    <row r="4331" spans="1:10" x14ac:dyDescent="0.25">
      <c r="A4331">
        <v>4314</v>
      </c>
      <c r="B4331" s="100">
        <v>89.694401533310597</v>
      </c>
      <c r="C4331" s="100">
        <v>98.227632984400913</v>
      </c>
      <c r="D4331" s="100">
        <v>93.075220367381377</v>
      </c>
      <c r="E4331" s="100">
        <v>91.510049847828626</v>
      </c>
      <c r="F4331" s="100">
        <v>-464.50845621543948</v>
      </c>
      <c r="G4331" s="100">
        <v>-26.615216658193219</v>
      </c>
      <c r="H4331" s="100">
        <v>-518.28052378954226</v>
      </c>
      <c r="I4331" s="100">
        <v>1870.5898068726015</v>
      </c>
      <c r="J4331" s="100">
        <v>861.1856102094265</v>
      </c>
    </row>
    <row r="4332" spans="1:10" x14ac:dyDescent="0.25">
      <c r="A4332">
        <v>4315</v>
      </c>
      <c r="B4332" s="100">
        <v>90.127657549238094</v>
      </c>
      <c r="C4332" s="100">
        <v>98.418775715239192</v>
      </c>
      <c r="D4332" s="100">
        <v>93.020332533380085</v>
      </c>
      <c r="E4332" s="100">
        <v>93.992871447288081</v>
      </c>
      <c r="F4332" s="100">
        <v>-1894.2533087761817</v>
      </c>
      <c r="G4332" s="100">
        <v>-313.32931291561295</v>
      </c>
      <c r="H4332" s="100">
        <v>-408.50485578695839</v>
      </c>
      <c r="I4332" s="100">
        <v>-612.23179258685434</v>
      </c>
      <c r="J4332" s="100">
        <v>-3228.3192700656077</v>
      </c>
    </row>
    <row r="4333" spans="1:10" x14ac:dyDescent="0.25">
      <c r="A4333">
        <v>4316</v>
      </c>
      <c r="B4333" s="100">
        <v>90.094187817325604</v>
      </c>
      <c r="C4333" s="100">
        <v>98.730053917227906</v>
      </c>
      <c r="D4333" s="100">
        <v>90.839620912960285</v>
      </c>
      <c r="E4333" s="100">
        <v>93.04649709686889</v>
      </c>
      <c r="F4333" s="100">
        <v>-1783.8031934649648</v>
      </c>
      <c r="G4333" s="100">
        <v>-780.2466158986831</v>
      </c>
      <c r="H4333" s="100">
        <v>3952.9183850526406</v>
      </c>
      <c r="I4333" s="100">
        <v>334.14255783233671</v>
      </c>
      <c r="J4333" s="100">
        <v>1723.0111335213294</v>
      </c>
    </row>
    <row r="4334" spans="1:10" x14ac:dyDescent="0.25">
      <c r="A4334">
        <v>4317</v>
      </c>
      <c r="B4334" s="100">
        <v>90.366430686425886</v>
      </c>
      <c r="C4334" s="100">
        <v>98.216933890268606</v>
      </c>
      <c r="D4334" s="100">
        <v>91.80869854429784</v>
      </c>
      <c r="E4334" s="100">
        <v>92.415759058877626</v>
      </c>
      <c r="F4334" s="100">
        <v>-2682.2046614958949</v>
      </c>
      <c r="G4334" s="100">
        <v>-10.56657545973394</v>
      </c>
      <c r="H4334" s="100">
        <v>2014.7631223775306</v>
      </c>
      <c r="I4334" s="100">
        <v>964.88059582360108</v>
      </c>
      <c r="J4334" s="100">
        <v>286.87248124550285</v>
      </c>
    </row>
    <row r="4335" spans="1:10" x14ac:dyDescent="0.25">
      <c r="A4335">
        <v>4318</v>
      </c>
      <c r="B4335" s="100">
        <v>89.767188314279863</v>
      </c>
      <c r="C4335" s="100">
        <v>98.646378628279834</v>
      </c>
      <c r="D4335" s="100">
        <v>92.136593305075692</v>
      </c>
      <c r="E4335" s="100">
        <v>91.860082963984851</v>
      </c>
      <c r="F4335" s="100">
        <v>-704.70483341401996</v>
      </c>
      <c r="G4335" s="100">
        <v>-654.73368247657504</v>
      </c>
      <c r="H4335" s="100">
        <v>1358.9736008218267</v>
      </c>
      <c r="I4335" s="100">
        <v>1520.5566907163757</v>
      </c>
      <c r="J4335" s="100">
        <v>1520.0917756476074</v>
      </c>
    </row>
    <row r="4336" spans="1:10" x14ac:dyDescent="0.25">
      <c r="A4336">
        <v>4319</v>
      </c>
      <c r="B4336" s="100">
        <v>89.491561637829832</v>
      </c>
      <c r="C4336" s="100">
        <v>95.857377846878805</v>
      </c>
      <c r="D4336" s="100">
        <v>93.186150131382789</v>
      </c>
      <c r="E4336" s="100">
        <v>92.418916351591847</v>
      </c>
      <c r="F4336" s="100">
        <v>204.86319887108237</v>
      </c>
      <c r="G4336" s="100">
        <v>3528.7674896249682</v>
      </c>
      <c r="H4336" s="100">
        <v>-740.14005179236619</v>
      </c>
      <c r="I4336" s="100">
        <v>961.72330310938037</v>
      </c>
      <c r="J4336" s="100">
        <v>3955.2139398130648</v>
      </c>
    </row>
    <row r="4337" spans="1:10" x14ac:dyDescent="0.25">
      <c r="A4337">
        <v>4320</v>
      </c>
      <c r="B4337" s="100">
        <v>90.367405063251312</v>
      </c>
      <c r="C4337" s="100">
        <v>98.588589208119615</v>
      </c>
      <c r="D4337" s="100">
        <v>91.661075308788242</v>
      </c>
      <c r="E4337" s="100">
        <v>94.720061886719947</v>
      </c>
      <c r="F4337" s="100">
        <v>-2685.4201050197985</v>
      </c>
      <c r="G4337" s="100">
        <v>-568.04955223624631</v>
      </c>
      <c r="H4337" s="100">
        <v>2310.0095933967282</v>
      </c>
      <c r="I4337" s="100">
        <v>-1339.4222320187196</v>
      </c>
      <c r="J4337" s="100">
        <v>-2282.8822958780361</v>
      </c>
    </row>
    <row r="4338" spans="1:10" x14ac:dyDescent="0.25">
      <c r="A4338">
        <v>4321</v>
      </c>
      <c r="B4338" s="100">
        <v>89.601557220471094</v>
      </c>
      <c r="C4338" s="100">
        <v>97.305728377889025</v>
      </c>
      <c r="D4338" s="100">
        <v>94.010708527304644</v>
      </c>
      <c r="E4338" s="100">
        <v>90.261428414455111</v>
      </c>
      <c r="F4338" s="100">
        <v>-158.12222384507919</v>
      </c>
      <c r="G4338" s="100">
        <v>1356.2416931096379</v>
      </c>
      <c r="H4338" s="100">
        <v>-2389.2568436360762</v>
      </c>
      <c r="I4338" s="100">
        <v>3119.2112402461162</v>
      </c>
      <c r="J4338" s="100">
        <v>1928.0738658745988</v>
      </c>
    </row>
    <row r="4339" spans="1:10" x14ac:dyDescent="0.25">
      <c r="A4339">
        <v>4322</v>
      </c>
      <c r="B4339" s="100">
        <v>89.795727977231934</v>
      </c>
      <c r="C4339" s="100">
        <v>97.481748890547308</v>
      </c>
      <c r="D4339" s="100">
        <v>93.438773292659405</v>
      </c>
      <c r="E4339" s="100">
        <v>92.421567205454934</v>
      </c>
      <c r="F4339" s="100">
        <v>-798.88572115585248</v>
      </c>
      <c r="G4339" s="100">
        <v>1092.2109241222131</v>
      </c>
      <c r="H4339" s="100">
        <v>-1245.3863743455997</v>
      </c>
      <c r="I4339" s="100">
        <v>959.07244924629254</v>
      </c>
      <c r="J4339" s="100">
        <v>7.0112778670534226</v>
      </c>
    </row>
    <row r="4340" spans="1:10" x14ac:dyDescent="0.25">
      <c r="A4340">
        <v>4323</v>
      </c>
      <c r="B4340" s="100">
        <v>89.9103994154014</v>
      </c>
      <c r="C4340" s="100">
        <v>99.185962312434256</v>
      </c>
      <c r="D4340" s="100">
        <v>92.819118356370154</v>
      </c>
      <c r="E4340" s="100">
        <v>96.104335374178206</v>
      </c>
      <c r="F4340" s="100">
        <v>-1177.3014671150918</v>
      </c>
      <c r="G4340" s="100">
        <v>-1464.1092087082086</v>
      </c>
      <c r="H4340" s="100">
        <v>-6.0765017670973975</v>
      </c>
      <c r="I4340" s="100">
        <v>-2723.6957194769784</v>
      </c>
      <c r="J4340" s="100">
        <v>-5371.182897067376</v>
      </c>
    </row>
    <row r="4341" spans="1:10" x14ac:dyDescent="0.25">
      <c r="A4341">
        <v>4324</v>
      </c>
      <c r="B4341" s="100">
        <v>89.45449642037967</v>
      </c>
      <c r="C4341" s="100">
        <v>96.707331308094524</v>
      </c>
      <c r="D4341" s="100">
        <v>91.879754820138501</v>
      </c>
      <c r="E4341" s="100">
        <v>92.468443766891241</v>
      </c>
      <c r="F4341" s="100">
        <v>327.17841645661991</v>
      </c>
      <c r="G4341" s="100">
        <v>2253.8372978013895</v>
      </c>
      <c r="H4341" s="100">
        <v>1872.6505706962087</v>
      </c>
      <c r="I4341" s="100">
        <v>912.19588780998606</v>
      </c>
      <c r="J4341" s="100">
        <v>5365.8621727642039</v>
      </c>
    </row>
    <row r="4342" spans="1:10" x14ac:dyDescent="0.25">
      <c r="A4342">
        <v>4325</v>
      </c>
      <c r="B4342" s="100">
        <v>89.971561407797864</v>
      </c>
      <c r="C4342" s="100">
        <v>98.076096552330938</v>
      </c>
      <c r="D4342" s="100">
        <v>93.834388776285593</v>
      </c>
      <c r="E4342" s="100">
        <v>90.844148907949929</v>
      </c>
      <c r="F4342" s="100">
        <v>-1379.1360420234228</v>
      </c>
      <c r="G4342" s="100">
        <v>200.68943144676865</v>
      </c>
      <c r="H4342" s="100">
        <v>-2036.6173415979745</v>
      </c>
      <c r="I4342" s="100">
        <v>2536.4907467512976</v>
      </c>
      <c r="J4342" s="100">
        <v>-678.57320542333127</v>
      </c>
    </row>
    <row r="4343" spans="1:10" x14ac:dyDescent="0.25">
      <c r="A4343">
        <v>4326</v>
      </c>
      <c r="B4343" s="100">
        <v>89.890133100492932</v>
      </c>
      <c r="C4343" s="100">
        <v>97.262644921604817</v>
      </c>
      <c r="D4343" s="100">
        <v>93.323424349903988</v>
      </c>
      <c r="E4343" s="100">
        <v>92.768727023388692</v>
      </c>
      <c r="F4343" s="100">
        <v>-1110.4226279171457</v>
      </c>
      <c r="G4343" s="100">
        <v>1420.8668775359499</v>
      </c>
      <c r="H4343" s="100">
        <v>-1014.6884888347643</v>
      </c>
      <c r="I4343" s="100">
        <v>611.91263131253493</v>
      </c>
      <c r="J4343" s="100">
        <v>-92.331607903425152</v>
      </c>
    </row>
    <row r="4344" spans="1:10" x14ac:dyDescent="0.25">
      <c r="A4344">
        <v>4327</v>
      </c>
      <c r="B4344" s="100">
        <v>89.858632757299361</v>
      </c>
      <c r="C4344" s="100">
        <v>99.111538773910311</v>
      </c>
      <c r="D4344" s="100">
        <v>92.546425974868342</v>
      </c>
      <c r="E4344" s="100">
        <v>95.950056105291154</v>
      </c>
      <c r="F4344" s="100">
        <v>-1006.4714953783621</v>
      </c>
      <c r="G4344" s="100">
        <v>-1352.4739009222913</v>
      </c>
      <c r="H4344" s="100">
        <v>539.30826123652764</v>
      </c>
      <c r="I4344" s="100">
        <v>-2569.4164505899266</v>
      </c>
      <c r="J4344" s="100">
        <v>-4389.0535856540528</v>
      </c>
    </row>
    <row r="4345" spans="1:10" x14ac:dyDescent="0.25">
      <c r="A4345">
        <v>4328</v>
      </c>
      <c r="B4345" s="100">
        <v>89.038583415968816</v>
      </c>
      <c r="C4345" s="100">
        <v>98.8477354365168</v>
      </c>
      <c r="D4345" s="100">
        <v>92.439887227648768</v>
      </c>
      <c r="E4345" s="100">
        <v>94.20619148665206</v>
      </c>
      <c r="F4345" s="100">
        <v>1699.6913310124369</v>
      </c>
      <c r="G4345" s="100">
        <v>-956.76889483202388</v>
      </c>
      <c r="H4345" s="100">
        <v>752.38575567567523</v>
      </c>
      <c r="I4345" s="100">
        <v>-825.55183195083259</v>
      </c>
      <c r="J4345" s="100">
        <v>669.75635990525575</v>
      </c>
    </row>
    <row r="4346" spans="1:10" x14ac:dyDescent="0.25">
      <c r="A4346">
        <v>4329</v>
      </c>
      <c r="B4346" s="100">
        <v>89.652464804495693</v>
      </c>
      <c r="C4346" s="100">
        <v>97.10845212445652</v>
      </c>
      <c r="D4346" s="100">
        <v>91.25781279128762</v>
      </c>
      <c r="E4346" s="100">
        <v>94.371349668239844</v>
      </c>
      <c r="F4346" s="100">
        <v>-326.11725112625862</v>
      </c>
      <c r="G4346" s="100">
        <v>1652.1560732583964</v>
      </c>
      <c r="H4346" s="100">
        <v>3116.5346283979716</v>
      </c>
      <c r="I4346" s="100">
        <v>-990.71001353861732</v>
      </c>
      <c r="J4346" s="100">
        <v>3451.8634369914926</v>
      </c>
    </row>
    <row r="4347" spans="1:10" x14ac:dyDescent="0.25">
      <c r="A4347">
        <v>4330</v>
      </c>
      <c r="B4347" s="100">
        <v>89.59046981859575</v>
      </c>
      <c r="C4347" s="100">
        <v>98.518746629156865</v>
      </c>
      <c r="D4347" s="100">
        <v>92.919861029636323</v>
      </c>
      <c r="E4347" s="100">
        <v>94.785824606840833</v>
      </c>
      <c r="F4347" s="100">
        <v>-121.53379765644559</v>
      </c>
      <c r="G4347" s="100">
        <v>-463.28568379212243</v>
      </c>
      <c r="H4347" s="100">
        <v>-207.56184829943436</v>
      </c>
      <c r="I4347" s="100">
        <v>-1405.1849521396066</v>
      </c>
      <c r="J4347" s="100">
        <v>-2197.566281887609</v>
      </c>
    </row>
    <row r="4348" spans="1:10" x14ac:dyDescent="0.25">
      <c r="A4348">
        <v>4331</v>
      </c>
      <c r="B4348" s="100">
        <v>89.324333388017749</v>
      </c>
      <c r="C4348" s="100">
        <v>97.175440744081001</v>
      </c>
      <c r="D4348" s="100">
        <v>92.830885674569657</v>
      </c>
      <c r="E4348" s="100">
        <v>96.166391894115478</v>
      </c>
      <c r="F4348" s="100">
        <v>756.71642325095831</v>
      </c>
      <c r="G4348" s="100">
        <v>1551.6731438216739</v>
      </c>
      <c r="H4348" s="100">
        <v>-29.611138166103501</v>
      </c>
      <c r="I4348" s="100">
        <v>-2785.7522394142507</v>
      </c>
      <c r="J4348" s="100">
        <v>-506.97381050772174</v>
      </c>
    </row>
    <row r="4349" spans="1:10" x14ac:dyDescent="0.25">
      <c r="A4349">
        <v>4332</v>
      </c>
      <c r="B4349" s="100">
        <v>88.984838516599467</v>
      </c>
      <c r="C4349" s="100">
        <v>98.352273497122425</v>
      </c>
      <c r="D4349" s="100">
        <v>93.933136660231725</v>
      </c>
      <c r="E4349" s="100">
        <v>92.809329811279881</v>
      </c>
      <c r="F4349" s="100">
        <v>1877.0494989312879</v>
      </c>
      <c r="G4349" s="100">
        <v>-213.57598574046222</v>
      </c>
      <c r="H4349" s="100">
        <v>-2234.113109490238</v>
      </c>
      <c r="I4349" s="100">
        <v>571.30984342134639</v>
      </c>
      <c r="J4349" s="100">
        <v>0.67024712193392588</v>
      </c>
    </row>
    <row r="4350" spans="1:10" x14ac:dyDescent="0.25">
      <c r="A4350">
        <v>4333</v>
      </c>
      <c r="B4350" s="100">
        <v>89.761698149138638</v>
      </c>
      <c r="C4350" s="100">
        <v>97.79565325200808</v>
      </c>
      <c r="D4350" s="100">
        <v>91.69980580837462</v>
      </c>
      <c r="E4350" s="100">
        <v>94.60068122710679</v>
      </c>
      <c r="F4350" s="100">
        <v>-686.58728844797702</v>
      </c>
      <c r="G4350" s="100">
        <v>621.35438193105585</v>
      </c>
      <c r="H4350" s="100">
        <v>2232.5485942239711</v>
      </c>
      <c r="I4350" s="100">
        <v>-1220.0415724055631</v>
      </c>
      <c r="J4350" s="100">
        <v>947.27411530148697</v>
      </c>
    </row>
    <row r="4351" spans="1:10" x14ac:dyDescent="0.25">
      <c r="A4351">
        <v>4334</v>
      </c>
      <c r="B4351" s="100">
        <v>88.772346999609056</v>
      </c>
      <c r="C4351" s="100">
        <v>98.096673528252381</v>
      </c>
      <c r="D4351" s="100">
        <v>90.978944326443127</v>
      </c>
      <c r="E4351" s="100">
        <v>92.310572987359066</v>
      </c>
      <c r="F4351" s="100">
        <v>2578.2715049996455</v>
      </c>
      <c r="G4351" s="100">
        <v>169.82396756460361</v>
      </c>
      <c r="H4351" s="100">
        <v>3674.2715580869572</v>
      </c>
      <c r="I4351" s="100">
        <v>1070.0666673421608</v>
      </c>
      <c r="J4351" s="100">
        <v>7492.4336979933678</v>
      </c>
    </row>
    <row r="4352" spans="1:10" x14ac:dyDescent="0.25">
      <c r="A4352">
        <v>4335</v>
      </c>
      <c r="B4352" s="100">
        <v>89.481625935600889</v>
      </c>
      <c r="C4352" s="100">
        <v>96.557143667513415</v>
      </c>
      <c r="D4352" s="100">
        <v>92.725174665268753</v>
      </c>
      <c r="E4352" s="100">
        <v>93.695202110620897</v>
      </c>
      <c r="F4352" s="100">
        <v>237.65101622659728</v>
      </c>
      <c r="G4352" s="100">
        <v>2479.118758673053</v>
      </c>
      <c r="H4352" s="100">
        <v>181.81088043570526</v>
      </c>
      <c r="I4352" s="100">
        <v>-314.56245591967047</v>
      </c>
      <c r="J4352" s="100">
        <v>2584.0181994156851</v>
      </c>
    </row>
    <row r="4353" spans="1:10" x14ac:dyDescent="0.25">
      <c r="A4353">
        <v>4336</v>
      </c>
      <c r="B4353" s="100">
        <v>89.0277040320629</v>
      </c>
      <c r="C4353" s="100">
        <v>99.192322635916867</v>
      </c>
      <c r="D4353" s="100">
        <v>93.737144263248155</v>
      </c>
      <c r="E4353" s="100">
        <v>91.987846218271585</v>
      </c>
      <c r="F4353" s="100">
        <v>1735.5932979019599</v>
      </c>
      <c r="G4353" s="100">
        <v>-1473.6496939321241</v>
      </c>
      <c r="H4353" s="100">
        <v>-1842.1283155230981</v>
      </c>
      <c r="I4353" s="100">
        <v>1392.793436429642</v>
      </c>
      <c r="J4353" s="100">
        <v>-187.39127512362029</v>
      </c>
    </row>
    <row r="4354" spans="1:10" x14ac:dyDescent="0.25">
      <c r="A4354">
        <v>4337</v>
      </c>
      <c r="B4354" s="100">
        <v>89.839178168137565</v>
      </c>
      <c r="C4354" s="100">
        <v>96.669564744298327</v>
      </c>
      <c r="D4354" s="100">
        <v>93.093052736534318</v>
      </c>
      <c r="E4354" s="100">
        <v>94.438459576122554</v>
      </c>
      <c r="F4354" s="100">
        <v>-942.27135114443422</v>
      </c>
      <c r="G4354" s="100">
        <v>2310.4871434956849</v>
      </c>
      <c r="H4354" s="100">
        <v>-553.94526209542505</v>
      </c>
      <c r="I4354" s="100">
        <v>-1057.8199214213271</v>
      </c>
      <c r="J4354" s="100">
        <v>-243.54939116550145</v>
      </c>
    </row>
    <row r="4355" spans="1:10" x14ac:dyDescent="0.25">
      <c r="A4355">
        <v>4338</v>
      </c>
      <c r="B4355" s="100">
        <v>88.954957279960055</v>
      </c>
      <c r="C4355" s="100">
        <v>97.780332591689501</v>
      </c>
      <c r="D4355" s="100">
        <v>91.171346652938681</v>
      </c>
      <c r="E4355" s="100">
        <v>94.155537572442611</v>
      </c>
      <c r="F4355" s="100">
        <v>1975.6575798413464</v>
      </c>
      <c r="G4355" s="100">
        <v>644.33537240892497</v>
      </c>
      <c r="H4355" s="100">
        <v>3289.4669050958501</v>
      </c>
      <c r="I4355" s="100">
        <v>-774.89791774138439</v>
      </c>
      <c r="J4355" s="100">
        <v>5134.5619396047368</v>
      </c>
    </row>
    <row r="4356" spans="1:10" x14ac:dyDescent="0.25">
      <c r="A4356">
        <v>4339</v>
      </c>
      <c r="B4356" s="100">
        <v>90.172150273907533</v>
      </c>
      <c r="C4356" s="100">
        <v>97.382855235938962</v>
      </c>
      <c r="D4356" s="100">
        <v>93.494724788137844</v>
      </c>
      <c r="E4356" s="100">
        <v>92.360739828720483</v>
      </c>
      <c r="F4356" s="100">
        <v>-2041.0793001853308</v>
      </c>
      <c r="G4356" s="100">
        <v>1240.551406034733</v>
      </c>
      <c r="H4356" s="100">
        <v>-1357.2893653024778</v>
      </c>
      <c r="I4356" s="100">
        <v>1019.8998259807439</v>
      </c>
      <c r="J4356" s="100">
        <v>-1137.9174334723316</v>
      </c>
    </row>
    <row r="4357" spans="1:10" x14ac:dyDescent="0.25">
      <c r="A4357">
        <v>4340</v>
      </c>
      <c r="B4357" s="100">
        <v>89.969884341070724</v>
      </c>
      <c r="C4357" s="100">
        <v>97.858154120559291</v>
      </c>
      <c r="D4357" s="100">
        <v>92.473156467987565</v>
      </c>
      <c r="E4357" s="100">
        <v>94.524342759267</v>
      </c>
      <c r="F4357" s="100">
        <v>-1373.6017218238601</v>
      </c>
      <c r="G4357" s="100">
        <v>527.60307910423876</v>
      </c>
      <c r="H4357" s="100">
        <v>685.84727499808196</v>
      </c>
      <c r="I4357" s="100">
        <v>-1143.7031045657732</v>
      </c>
      <c r="J4357" s="100">
        <v>-1303.8544722873125</v>
      </c>
    </row>
    <row r="4358" spans="1:10" x14ac:dyDescent="0.25">
      <c r="A4358">
        <v>4341</v>
      </c>
      <c r="B4358" s="100">
        <v>90.084000926693093</v>
      </c>
      <c r="C4358" s="100">
        <v>98.489421994154526</v>
      </c>
      <c r="D4358" s="100">
        <v>91.953699301422176</v>
      </c>
      <c r="E4358" s="100">
        <v>93.818950264110185</v>
      </c>
      <c r="F4358" s="100">
        <v>-1750.186454377679</v>
      </c>
      <c r="G4358" s="100">
        <v>-419.29873128861317</v>
      </c>
      <c r="H4358" s="100">
        <v>1724.7616081288584</v>
      </c>
      <c r="I4358" s="100">
        <v>-438.31060940895838</v>
      </c>
      <c r="J4358" s="100">
        <v>-883.0341869463922</v>
      </c>
    </row>
    <row r="4359" spans="1:10" x14ac:dyDescent="0.25">
      <c r="A4359">
        <v>4342</v>
      </c>
      <c r="B4359" s="100">
        <v>89.745208717500361</v>
      </c>
      <c r="C4359" s="100">
        <v>98.132704850905426</v>
      </c>
      <c r="D4359" s="100">
        <v>92.896043676667503</v>
      </c>
      <c r="E4359" s="100">
        <v>94.064021866239202</v>
      </c>
      <c r="F4359" s="100">
        <v>-632.17216404166265</v>
      </c>
      <c r="G4359" s="100">
        <v>115.77698358503596</v>
      </c>
      <c r="H4359" s="100">
        <v>-159.92714236179495</v>
      </c>
      <c r="I4359" s="100">
        <v>-683.38221153797463</v>
      </c>
      <c r="J4359" s="100">
        <v>-1359.7045343563964</v>
      </c>
    </row>
    <row r="4360" spans="1:10" x14ac:dyDescent="0.25">
      <c r="A4360">
        <v>4343</v>
      </c>
      <c r="B4360" s="100">
        <v>88.837404446793826</v>
      </c>
      <c r="C4360" s="100">
        <v>99.031252676026057</v>
      </c>
      <c r="D4360" s="100">
        <v>92.764782592955726</v>
      </c>
      <c r="E4360" s="100">
        <v>90.253548794105527</v>
      </c>
      <c r="F4360" s="100">
        <v>2363.5819292899027</v>
      </c>
      <c r="G4360" s="100">
        <v>-1232.0447540959094</v>
      </c>
      <c r="H4360" s="100">
        <v>102.59502506175977</v>
      </c>
      <c r="I4360" s="100">
        <v>3127.0908605957002</v>
      </c>
      <c r="J4360" s="100">
        <v>4361.2230608514528</v>
      </c>
    </row>
    <row r="4361" spans="1:10" x14ac:dyDescent="0.25">
      <c r="A4361">
        <v>4344</v>
      </c>
      <c r="B4361" s="100">
        <v>88.776260752238429</v>
      </c>
      <c r="C4361" s="100">
        <v>98.52235248740142</v>
      </c>
      <c r="D4361" s="100">
        <v>92.48999296990543</v>
      </c>
      <c r="E4361" s="100">
        <v>90.933299586642747</v>
      </c>
      <c r="F4361" s="100">
        <v>2565.3561213227149</v>
      </c>
      <c r="G4361" s="100">
        <v>-468.69447115895468</v>
      </c>
      <c r="H4361" s="100">
        <v>652.17427116235172</v>
      </c>
      <c r="I4361" s="100">
        <v>2447.34006805848</v>
      </c>
      <c r="J4361" s="100">
        <v>5196.175989384592</v>
      </c>
    </row>
    <row r="4362" spans="1:10" x14ac:dyDescent="0.25">
      <c r="A4362">
        <v>4345</v>
      </c>
      <c r="B4362" s="100">
        <v>89.443841635493129</v>
      </c>
      <c r="C4362" s="100">
        <v>97.334975502864182</v>
      </c>
      <c r="D4362" s="100">
        <v>93.143237159904857</v>
      </c>
      <c r="E4362" s="100">
        <v>93.599224846527903</v>
      </c>
      <c r="F4362" s="100">
        <v>362.33920658220313</v>
      </c>
      <c r="G4362" s="100">
        <v>1312.3710056469022</v>
      </c>
      <c r="H4362" s="100">
        <v>-654.31410883650187</v>
      </c>
      <c r="I4362" s="100">
        <v>-218.58519182667635</v>
      </c>
      <c r="J4362" s="100">
        <v>801.81091156592709</v>
      </c>
    </row>
    <row r="4363" spans="1:10" x14ac:dyDescent="0.25">
      <c r="A4363">
        <v>4346</v>
      </c>
      <c r="B4363" s="100">
        <v>89.117755542182792</v>
      </c>
      <c r="C4363" s="100">
        <v>97.128848862357742</v>
      </c>
      <c r="D4363" s="100">
        <v>91.618921347705765</v>
      </c>
      <c r="E4363" s="100">
        <v>92.884560410236915</v>
      </c>
      <c r="F4363" s="100">
        <v>1438.4233145063163</v>
      </c>
      <c r="G4363" s="100">
        <v>1621.5609664065623</v>
      </c>
      <c r="H4363" s="100">
        <v>2394.3175155616814</v>
      </c>
      <c r="I4363" s="100">
        <v>496.07924446431184</v>
      </c>
      <c r="J4363" s="100">
        <v>5950.3810409388716</v>
      </c>
    </row>
    <row r="4364" spans="1:10" x14ac:dyDescent="0.25">
      <c r="A4364">
        <v>4347</v>
      </c>
      <c r="B4364" s="100">
        <v>90.197928331932673</v>
      </c>
      <c r="C4364" s="100">
        <v>99.028448505118106</v>
      </c>
      <c r="D4364" s="100">
        <v>91.17508742655977</v>
      </c>
      <c r="E4364" s="100">
        <v>94.698771480073674</v>
      </c>
      <c r="F4364" s="100">
        <v>-2126.1468916682902</v>
      </c>
      <c r="G4364" s="100">
        <v>-1227.838497733984</v>
      </c>
      <c r="H4364" s="100">
        <v>3281.9853578536708</v>
      </c>
      <c r="I4364" s="100">
        <v>-1318.1318253724471</v>
      </c>
      <c r="J4364" s="100">
        <v>-1390.1318569210507</v>
      </c>
    </row>
    <row r="4365" spans="1:10" x14ac:dyDescent="0.25">
      <c r="A4365">
        <v>4348</v>
      </c>
      <c r="B4365" s="100">
        <v>89.083751515762572</v>
      </c>
      <c r="C4365" s="100">
        <v>98.375789021169837</v>
      </c>
      <c r="D4365" s="100">
        <v>93.528707712077704</v>
      </c>
      <c r="E4365" s="100">
        <v>93.148728785894136</v>
      </c>
      <c r="F4365" s="100">
        <v>1550.6366016930428</v>
      </c>
      <c r="G4365" s="100">
        <v>-248.84927181157934</v>
      </c>
      <c r="H4365" s="100">
        <v>-1425.2552131821972</v>
      </c>
      <c r="I4365" s="100">
        <v>231.91086880709122</v>
      </c>
      <c r="J4365" s="100">
        <v>108.44298550635745</v>
      </c>
    </row>
    <row r="4366" spans="1:10" x14ac:dyDescent="0.25">
      <c r="A4366">
        <v>4349</v>
      </c>
      <c r="B4366" s="100">
        <v>89.14694993485395</v>
      </c>
      <c r="C4366" s="100">
        <v>97.352730540432105</v>
      </c>
      <c r="D4366" s="100">
        <v>92.849945441796166</v>
      </c>
      <c r="E4366" s="100">
        <v>95.934779859366856</v>
      </c>
      <c r="F4366" s="100">
        <v>1342.0818186914944</v>
      </c>
      <c r="G4366" s="100">
        <v>1285.7384492950175</v>
      </c>
      <c r="H4366" s="100">
        <v>-67.730672619120469</v>
      </c>
      <c r="I4366" s="100">
        <v>-2554.1402046656285</v>
      </c>
      <c r="J4366" s="100">
        <v>5.9493907017626952</v>
      </c>
    </row>
    <row r="4367" spans="1:10" x14ac:dyDescent="0.25">
      <c r="A4367">
        <v>4350</v>
      </c>
      <c r="B4367" s="100">
        <v>89.70979474157204</v>
      </c>
      <c r="C4367" s="100">
        <v>98.992073718788433</v>
      </c>
      <c r="D4367" s="100">
        <v>93.218800131101176</v>
      </c>
      <c r="E4367" s="100">
        <v>90.983404207749118</v>
      </c>
      <c r="F4367" s="100">
        <v>-515.30604347820201</v>
      </c>
      <c r="G4367" s="100">
        <v>-1173.2763182394733</v>
      </c>
      <c r="H4367" s="100">
        <v>-805.44005122914086</v>
      </c>
      <c r="I4367" s="100">
        <v>2397.2354469521092</v>
      </c>
      <c r="J4367" s="100">
        <v>-96.786965994706861</v>
      </c>
    </row>
    <row r="4368" spans="1:10" x14ac:dyDescent="0.25">
      <c r="A4368">
        <v>4351</v>
      </c>
      <c r="B4368" s="100">
        <v>89.467255252632825</v>
      </c>
      <c r="C4368" s="100">
        <v>97.249682757046941</v>
      </c>
      <c r="D4368" s="100">
        <v>91.584046779163558</v>
      </c>
      <c r="E4368" s="100">
        <v>93.254651921266671</v>
      </c>
      <c r="F4368" s="100">
        <v>285.07427002120806</v>
      </c>
      <c r="G4368" s="100">
        <v>1440.3101243727647</v>
      </c>
      <c r="H4368" s="100">
        <v>2464.0666526460964</v>
      </c>
      <c r="I4368" s="100">
        <v>125.98773343455605</v>
      </c>
      <c r="J4368" s="100">
        <v>4315.4387804746257</v>
      </c>
    </row>
    <row r="4369" spans="1:10" x14ac:dyDescent="0.25">
      <c r="A4369">
        <v>4352</v>
      </c>
      <c r="B4369" s="100">
        <v>89.594124895344578</v>
      </c>
      <c r="C4369" s="100">
        <v>99.082224714181308</v>
      </c>
      <c r="D4369" s="100">
        <v>94.505663404026492</v>
      </c>
      <c r="E4369" s="100">
        <v>95.951753453537563</v>
      </c>
      <c r="F4369" s="100">
        <v>-133.59555092757773</v>
      </c>
      <c r="G4369" s="100">
        <v>-1308.5028113287863</v>
      </c>
      <c r="H4369" s="100">
        <v>-3379.166597079774</v>
      </c>
      <c r="I4369" s="100">
        <v>-2571.1137988363362</v>
      </c>
      <c r="J4369" s="100">
        <v>-7392.3787581724746</v>
      </c>
    </row>
    <row r="4370" spans="1:10" x14ac:dyDescent="0.25">
      <c r="A4370">
        <v>4353</v>
      </c>
      <c r="B4370" s="100">
        <v>89.536446745774882</v>
      </c>
      <c r="C4370" s="100">
        <v>99.13972832990963</v>
      </c>
      <c r="D4370" s="100">
        <v>93.048414126726541</v>
      </c>
      <c r="E4370" s="100">
        <v>95.081349409169761</v>
      </c>
      <c r="F4370" s="100">
        <v>56.742342652420064</v>
      </c>
      <c r="G4370" s="100">
        <v>-1394.7582349212694</v>
      </c>
      <c r="H4370" s="100">
        <v>-464.6680424798717</v>
      </c>
      <c r="I4370" s="100">
        <v>-1700.7097544685337</v>
      </c>
      <c r="J4370" s="100">
        <v>-3503.3936892172546</v>
      </c>
    </row>
    <row r="4371" spans="1:10" x14ac:dyDescent="0.25">
      <c r="A4371">
        <v>4354</v>
      </c>
      <c r="B4371" s="100">
        <v>88.993539709088736</v>
      </c>
      <c r="C4371" s="100">
        <v>96.917539022455387</v>
      </c>
      <c r="D4371" s="100">
        <v>93.858771994406936</v>
      </c>
      <c r="E4371" s="100">
        <v>94.093223392798478</v>
      </c>
      <c r="F4371" s="100">
        <v>1848.3355637166994</v>
      </c>
      <c r="G4371" s="100">
        <v>1938.5257262600958</v>
      </c>
      <c r="H4371" s="100">
        <v>-2085.3837778406614</v>
      </c>
      <c r="I4371" s="100">
        <v>-712.58373809725128</v>
      </c>
      <c r="J4371" s="100">
        <v>988.89377403888227</v>
      </c>
    </row>
    <row r="4372" spans="1:10" x14ac:dyDescent="0.25">
      <c r="A4372">
        <v>4355</v>
      </c>
      <c r="B4372" s="100">
        <v>89.47939373004472</v>
      </c>
      <c r="C4372" s="100">
        <v>98.283981150322518</v>
      </c>
      <c r="D4372" s="100">
        <v>93.556215917018861</v>
      </c>
      <c r="E4372" s="100">
        <v>92.097286683558465</v>
      </c>
      <c r="F4372" s="100">
        <v>245.0172945619542</v>
      </c>
      <c r="G4372" s="100">
        <v>-111.137465540601</v>
      </c>
      <c r="H4372" s="100">
        <v>-1480.2716230645103</v>
      </c>
      <c r="I4372" s="100">
        <v>1283.3529711427616</v>
      </c>
      <c r="J4372" s="100">
        <v>-63.038822900395417</v>
      </c>
    </row>
    <row r="4373" spans="1:10" x14ac:dyDescent="0.25">
      <c r="A4373">
        <v>4356</v>
      </c>
      <c r="B4373" s="100">
        <v>89.923262365669203</v>
      </c>
      <c r="C4373" s="100">
        <v>97.572564705598765</v>
      </c>
      <c r="D4373" s="100">
        <v>91.721348327419534</v>
      </c>
      <c r="E4373" s="100">
        <v>92.611105191667548</v>
      </c>
      <c r="F4373" s="100">
        <v>-1219.7492029988396</v>
      </c>
      <c r="G4373" s="100">
        <v>955.98720154502814</v>
      </c>
      <c r="H4373" s="100">
        <v>2189.4635561341429</v>
      </c>
      <c r="I4373" s="100">
        <v>769.53446303367912</v>
      </c>
      <c r="J4373" s="100">
        <v>2695.2360177140104</v>
      </c>
    </row>
    <row r="4374" spans="1:10" x14ac:dyDescent="0.25">
      <c r="A4374">
        <v>4357</v>
      </c>
      <c r="B4374" s="100">
        <v>89.158512161522225</v>
      </c>
      <c r="C4374" s="100">
        <v>98.013245246536229</v>
      </c>
      <c r="D4374" s="100">
        <v>92.726728071179991</v>
      </c>
      <c r="E4374" s="100">
        <v>94.583403253726289</v>
      </c>
      <c r="F4374" s="100">
        <v>1303.9264706861873</v>
      </c>
      <c r="G4374" s="100">
        <v>294.96639013883197</v>
      </c>
      <c r="H4374" s="100">
        <v>178.70406861322863</v>
      </c>
      <c r="I4374" s="100">
        <v>-1202.7635990250615</v>
      </c>
      <c r="J4374" s="100">
        <v>574.83333041318633</v>
      </c>
    </row>
    <row r="4375" spans="1:10" x14ac:dyDescent="0.25">
      <c r="A4375">
        <v>4358</v>
      </c>
      <c r="B4375" s="100">
        <v>89.345721811765273</v>
      </c>
      <c r="C4375" s="100">
        <v>96.550726124662475</v>
      </c>
      <c r="D4375" s="100">
        <v>92.607511963223644</v>
      </c>
      <c r="E4375" s="100">
        <v>95.250399945021584</v>
      </c>
      <c r="F4375" s="100">
        <v>686.1346248841287</v>
      </c>
      <c r="G4375" s="100">
        <v>2488.7450729494631</v>
      </c>
      <c r="H4375" s="100">
        <v>417.13628452592388</v>
      </c>
      <c r="I4375" s="100">
        <v>-1869.7602903203574</v>
      </c>
      <c r="J4375" s="100">
        <v>1722.2556920391585</v>
      </c>
    </row>
    <row r="4376" spans="1:10" x14ac:dyDescent="0.25">
      <c r="A4376">
        <v>4359</v>
      </c>
      <c r="B4376" s="100">
        <v>89.531686438634466</v>
      </c>
      <c r="C4376" s="100">
        <v>98.399498579738975</v>
      </c>
      <c r="D4376" s="100">
        <v>93.831571865608311</v>
      </c>
      <c r="E4376" s="100">
        <v>92.76009900509527</v>
      </c>
      <c r="F4376" s="100">
        <v>72.451356215790952</v>
      </c>
      <c r="G4376" s="100">
        <v>-284.41360966528606</v>
      </c>
      <c r="H4376" s="100">
        <v>-2030.9835202434101</v>
      </c>
      <c r="I4376" s="100">
        <v>620.54064960595667</v>
      </c>
      <c r="J4376" s="100">
        <v>-1622.4051240869485</v>
      </c>
    </row>
    <row r="4377" spans="1:10" x14ac:dyDescent="0.25">
      <c r="A4377">
        <v>4360</v>
      </c>
      <c r="B4377" s="100">
        <v>89.229415774276177</v>
      </c>
      <c r="C4377" s="100">
        <v>98.093498475493334</v>
      </c>
      <c r="D4377" s="100">
        <v>93.780315058132331</v>
      </c>
      <c r="E4377" s="100">
        <v>91.678294467632327</v>
      </c>
      <c r="F4377" s="100">
        <v>1069.9445485981457</v>
      </c>
      <c r="G4377" s="100">
        <v>174.58654670317486</v>
      </c>
      <c r="H4377" s="100">
        <v>-1928.4699052914505</v>
      </c>
      <c r="I4377" s="100">
        <v>1702.3451870689</v>
      </c>
      <c r="J4377" s="100">
        <v>1018.4063770787702</v>
      </c>
    </row>
    <row r="4378" spans="1:10" x14ac:dyDescent="0.25">
      <c r="A4378">
        <v>4361</v>
      </c>
      <c r="B4378" s="100">
        <v>89.506247283216652</v>
      </c>
      <c r="C4378" s="100">
        <v>98.740582249400205</v>
      </c>
      <c r="D4378" s="100">
        <v>95.312709372530804</v>
      </c>
      <c r="E4378" s="100">
        <v>89.952619607129606</v>
      </c>
      <c r="F4378" s="100">
        <v>156.40056909457769</v>
      </c>
      <c r="G4378" s="100">
        <v>-796.03911415713219</v>
      </c>
      <c r="H4378" s="100">
        <v>-4993.2585340883979</v>
      </c>
      <c r="I4378" s="100">
        <v>3428.0200475716215</v>
      </c>
      <c r="J4378" s="100">
        <v>-2204.8770315793313</v>
      </c>
    </row>
    <row r="4379" spans="1:10" x14ac:dyDescent="0.25">
      <c r="A4379">
        <v>4362</v>
      </c>
      <c r="B4379" s="100">
        <v>89.936337602805111</v>
      </c>
      <c r="C4379" s="100">
        <v>98.571298461548977</v>
      </c>
      <c r="D4379" s="100">
        <v>93.460599888380784</v>
      </c>
      <c r="E4379" s="100">
        <v>95.409449774268495</v>
      </c>
      <c r="F4379" s="100">
        <v>-1262.8974855473359</v>
      </c>
      <c r="G4379" s="100">
        <v>-542.11343238029031</v>
      </c>
      <c r="H4379" s="100">
        <v>-1289.0395657883573</v>
      </c>
      <c r="I4379" s="100">
        <v>-2028.810119567268</v>
      </c>
      <c r="J4379" s="100">
        <v>-5122.8606032832513</v>
      </c>
    </row>
    <row r="4380" spans="1:10" x14ac:dyDescent="0.25">
      <c r="A4380">
        <v>4363</v>
      </c>
      <c r="B4380" s="100">
        <v>88.896730749083844</v>
      </c>
      <c r="C4380" s="100">
        <v>98.682191219866326</v>
      </c>
      <c r="D4380" s="100">
        <v>92.921875804666271</v>
      </c>
      <c r="E4380" s="100">
        <v>90.807901636436156</v>
      </c>
      <c r="F4380" s="100">
        <v>2167.8051317328454</v>
      </c>
      <c r="G4380" s="100">
        <v>-708.45256985631272</v>
      </c>
      <c r="H4380" s="100">
        <v>-211.59139835933161</v>
      </c>
      <c r="I4380" s="100">
        <v>2572.7380182650704</v>
      </c>
      <c r="J4380" s="100">
        <v>3820.4991817822715</v>
      </c>
    </row>
    <row r="4381" spans="1:10" x14ac:dyDescent="0.25">
      <c r="A4381">
        <v>4364</v>
      </c>
      <c r="B4381" s="100">
        <v>90.17658860225454</v>
      </c>
      <c r="C4381" s="100">
        <v>98.61961608649041</v>
      </c>
      <c r="D4381" s="100">
        <v>93.237028383567306</v>
      </c>
      <c r="E4381" s="100">
        <v>94.329981449769278</v>
      </c>
      <c r="F4381" s="100">
        <v>-2055.7257837304533</v>
      </c>
      <c r="G4381" s="100">
        <v>-614.58986979243946</v>
      </c>
      <c r="H4381" s="100">
        <v>-841.89655616140158</v>
      </c>
      <c r="I4381" s="100">
        <v>-949.34179506805094</v>
      </c>
      <c r="J4381" s="100">
        <v>-4461.5540047523446</v>
      </c>
    </row>
    <row r="4382" spans="1:10" x14ac:dyDescent="0.25">
      <c r="A4382">
        <v>4365</v>
      </c>
      <c r="B4382" s="100">
        <v>89.274960017637184</v>
      </c>
      <c r="C4382" s="100">
        <v>98.921958084401723</v>
      </c>
      <c r="D4382" s="100">
        <v>93.216478041295801</v>
      </c>
      <c r="E4382" s="100">
        <v>94.198758984389684</v>
      </c>
      <c r="F4382" s="100">
        <v>919.64854550682139</v>
      </c>
      <c r="G4382" s="100">
        <v>-1068.1028666594088</v>
      </c>
      <c r="H4382" s="100">
        <v>-800.79587161839072</v>
      </c>
      <c r="I4382" s="100">
        <v>-818.11932968845724</v>
      </c>
      <c r="J4382" s="100">
        <v>-1767.3695224594353</v>
      </c>
    </row>
    <row r="4383" spans="1:10" x14ac:dyDescent="0.25">
      <c r="A4383">
        <v>4366</v>
      </c>
      <c r="B4383" s="100">
        <v>89.126260402317484</v>
      </c>
      <c r="C4383" s="100">
        <v>98.435273882974798</v>
      </c>
      <c r="D4383" s="100">
        <v>94.485202274298231</v>
      </c>
      <c r="E4383" s="100">
        <v>95.051042564986076</v>
      </c>
      <c r="F4383" s="100">
        <v>1410.3572760618306</v>
      </c>
      <c r="G4383" s="100">
        <v>-338.07656451902091</v>
      </c>
      <c r="H4383" s="100">
        <v>-3338.2443376232513</v>
      </c>
      <c r="I4383" s="100">
        <v>-1670.4029102848494</v>
      </c>
      <c r="J4383" s="100">
        <v>-3936.3665363652913</v>
      </c>
    </row>
    <row r="4384" spans="1:10" x14ac:dyDescent="0.25">
      <c r="A4384">
        <v>4367</v>
      </c>
      <c r="B4384" s="100">
        <v>89.265004935526235</v>
      </c>
      <c r="C4384" s="100">
        <v>98.566732006427259</v>
      </c>
      <c r="D4384" s="100">
        <v>92.81238121710048</v>
      </c>
      <c r="E4384" s="100">
        <v>92.352520677588402</v>
      </c>
      <c r="F4384" s="100">
        <v>952.50031647295259</v>
      </c>
      <c r="G4384" s="100">
        <v>-535.26374969771246</v>
      </c>
      <c r="H4384" s="100">
        <v>7.3977767722510634</v>
      </c>
      <c r="I4384" s="100">
        <v>1028.1189771128254</v>
      </c>
      <c r="J4384" s="100">
        <v>1452.7533206603166</v>
      </c>
    </row>
    <row r="4385" spans="1:10" x14ac:dyDescent="0.25">
      <c r="A4385">
        <v>4368</v>
      </c>
      <c r="B4385" s="100">
        <v>90.072031610767951</v>
      </c>
      <c r="C4385" s="100">
        <v>98.055723776654489</v>
      </c>
      <c r="D4385" s="100">
        <v>94.737569635914809</v>
      </c>
      <c r="E4385" s="100">
        <v>92.847228953682261</v>
      </c>
      <c r="F4385" s="100">
        <v>-1710.6877118247085</v>
      </c>
      <c r="G4385" s="100">
        <v>231.24859496144268</v>
      </c>
      <c r="H4385" s="100">
        <v>-3842.9790608564076</v>
      </c>
      <c r="I4385" s="100">
        <v>533.41070101896548</v>
      </c>
      <c r="J4385" s="100">
        <v>-4789.0074767007081</v>
      </c>
    </row>
    <row r="4386" spans="1:10" x14ac:dyDescent="0.25">
      <c r="A4386">
        <v>4369</v>
      </c>
      <c r="B4386" s="100">
        <v>88.893783938652163</v>
      </c>
      <c r="C4386" s="100">
        <v>97.71631555282768</v>
      </c>
      <c r="D4386" s="100">
        <v>93.413466374681732</v>
      </c>
      <c r="E4386" s="100">
        <v>94.111698949416876</v>
      </c>
      <c r="F4386" s="100">
        <v>2177.5296061573913</v>
      </c>
      <c r="G4386" s="100">
        <v>740.36093070165521</v>
      </c>
      <c r="H4386" s="100">
        <v>-1194.7725383902537</v>
      </c>
      <c r="I4386" s="100">
        <v>-731.05929471564934</v>
      </c>
      <c r="J4386" s="100">
        <v>992.05870375314373</v>
      </c>
    </row>
    <row r="4387" spans="1:10" x14ac:dyDescent="0.25">
      <c r="A4387">
        <v>4370</v>
      </c>
      <c r="B4387" s="100">
        <v>89.698793721303616</v>
      </c>
      <c r="C4387" s="100">
        <v>97.677792796455179</v>
      </c>
      <c r="D4387" s="100">
        <v>93.292909910423717</v>
      </c>
      <c r="E4387" s="100">
        <v>89.846238903613596</v>
      </c>
      <c r="F4387" s="100">
        <v>-479.00267659240399</v>
      </c>
      <c r="G4387" s="100">
        <v>798.14506526040668</v>
      </c>
      <c r="H4387" s="100">
        <v>-953.65960987422227</v>
      </c>
      <c r="I4387" s="100">
        <v>3534.4007510876309</v>
      </c>
      <c r="J4387" s="100">
        <v>2899.8835298814111</v>
      </c>
    </row>
    <row r="4388" spans="1:10" x14ac:dyDescent="0.25">
      <c r="A4388">
        <v>4371</v>
      </c>
      <c r="B4388" s="100">
        <v>89.640903943788217</v>
      </c>
      <c r="C4388" s="100">
        <v>97.441654959486797</v>
      </c>
      <c r="D4388" s="100">
        <v>93.883998945610472</v>
      </c>
      <c r="E4388" s="100">
        <v>93.222651043105657</v>
      </c>
      <c r="F4388" s="100">
        <v>-287.96641079158718</v>
      </c>
      <c r="G4388" s="100">
        <v>1152.3518207129796</v>
      </c>
      <c r="H4388" s="100">
        <v>-2135.8376802477324</v>
      </c>
      <c r="I4388" s="100">
        <v>157.98861159557021</v>
      </c>
      <c r="J4388" s="100">
        <v>-1113.4636587307696</v>
      </c>
    </row>
    <row r="4389" spans="1:10" x14ac:dyDescent="0.25">
      <c r="A4389">
        <v>4372</v>
      </c>
      <c r="B4389" s="100">
        <v>89.046230799069818</v>
      </c>
      <c r="C4389" s="100">
        <v>99.243899678600414</v>
      </c>
      <c r="D4389" s="100">
        <v>92.870799630553577</v>
      </c>
      <c r="E4389" s="100">
        <v>90.558022630985548</v>
      </c>
      <c r="F4389" s="100">
        <v>1674.4549667791305</v>
      </c>
      <c r="G4389" s="100">
        <v>-1551.0152579574451</v>
      </c>
      <c r="H4389" s="100">
        <v>-109.43905013394328</v>
      </c>
      <c r="I4389" s="100">
        <v>2822.6170237156794</v>
      </c>
      <c r="J4389" s="100">
        <v>2836.6176824034214</v>
      </c>
    </row>
    <row r="4390" spans="1:10" x14ac:dyDescent="0.25">
      <c r="A4390">
        <v>4373</v>
      </c>
      <c r="B4390" s="100">
        <v>90.436245106239213</v>
      </c>
      <c r="C4390" s="100">
        <v>99.022322474102424</v>
      </c>
      <c r="D4390" s="100">
        <v>92.885187423062888</v>
      </c>
      <c r="E4390" s="100">
        <v>92.659874449027484</v>
      </c>
      <c r="F4390" s="100">
        <v>-2912.5922468798722</v>
      </c>
      <c r="G4390" s="100">
        <v>-1218.6494512104603</v>
      </c>
      <c r="H4390" s="100">
        <v>-138.21463515256482</v>
      </c>
      <c r="I4390" s="100">
        <v>720.76520567374303</v>
      </c>
      <c r="J4390" s="100">
        <v>-3548.6911275691541</v>
      </c>
    </row>
    <row r="4391" spans="1:10" x14ac:dyDescent="0.25">
      <c r="A4391">
        <v>4374</v>
      </c>
      <c r="B4391" s="100">
        <v>89.340070680607923</v>
      </c>
      <c r="C4391" s="100">
        <v>97.873344219680789</v>
      </c>
      <c r="D4391" s="100">
        <v>93.487870671626908</v>
      </c>
      <c r="E4391" s="100">
        <v>91.279854465416577</v>
      </c>
      <c r="F4391" s="100">
        <v>704.78335770338413</v>
      </c>
      <c r="G4391" s="100">
        <v>504.81793042199286</v>
      </c>
      <c r="H4391" s="100">
        <v>-1343.5811322806046</v>
      </c>
      <c r="I4391" s="100">
        <v>2100.7851892846502</v>
      </c>
      <c r="J4391" s="100">
        <v>1966.8053451294224</v>
      </c>
    </row>
    <row r="4392" spans="1:10" x14ac:dyDescent="0.25">
      <c r="A4392">
        <v>4375</v>
      </c>
      <c r="B4392" s="100">
        <v>89.481423275674686</v>
      </c>
      <c r="C4392" s="100">
        <v>98.604062708319717</v>
      </c>
      <c r="D4392" s="100">
        <v>92.214503344436395</v>
      </c>
      <c r="E4392" s="100">
        <v>93.531334480904647</v>
      </c>
      <c r="F4392" s="100">
        <v>238.31979398306515</v>
      </c>
      <c r="G4392" s="100">
        <v>-591.25980253639909</v>
      </c>
      <c r="H4392" s="100">
        <v>1203.1535221004219</v>
      </c>
      <c r="I4392" s="100">
        <v>-150.69482620342001</v>
      </c>
      <c r="J4392" s="100">
        <v>699.51868734366803</v>
      </c>
    </row>
    <row r="4393" spans="1:10" x14ac:dyDescent="0.25">
      <c r="A4393">
        <v>4376</v>
      </c>
      <c r="B4393" s="100">
        <v>89.167886971760112</v>
      </c>
      <c r="C4393" s="100">
        <v>97.842487739934896</v>
      </c>
      <c r="D4393" s="100">
        <v>92.081983786803661</v>
      </c>
      <c r="E4393" s="100">
        <v>90.557852446319458</v>
      </c>
      <c r="F4393" s="100">
        <v>1272.9895969011609</v>
      </c>
      <c r="G4393" s="100">
        <v>551.10265004083203</v>
      </c>
      <c r="H4393" s="100">
        <v>1468.1926373658882</v>
      </c>
      <c r="I4393" s="100">
        <v>2822.7872083817688</v>
      </c>
      <c r="J4393" s="100">
        <v>6115.0720926896502</v>
      </c>
    </row>
    <row r="4394" spans="1:10" x14ac:dyDescent="0.25">
      <c r="A4394">
        <v>4377</v>
      </c>
      <c r="B4394" s="100">
        <v>89.852682273786371</v>
      </c>
      <c r="C4394" s="100">
        <v>96.75465695571981</v>
      </c>
      <c r="D4394" s="100">
        <v>91.711471868351325</v>
      </c>
      <c r="E4394" s="100">
        <v>94.874706420561026</v>
      </c>
      <c r="F4394" s="100">
        <v>-986.83489978549517</v>
      </c>
      <c r="G4394" s="100">
        <v>2182.8488263634613</v>
      </c>
      <c r="H4394" s="100">
        <v>2209.2164742705618</v>
      </c>
      <c r="I4394" s="100">
        <v>-1494.0667658597988</v>
      </c>
      <c r="J4394" s="100">
        <v>1911.1636349887292</v>
      </c>
    </row>
    <row r="4395" spans="1:10" x14ac:dyDescent="0.25">
      <c r="A4395">
        <v>4378</v>
      </c>
      <c r="B4395" s="100">
        <v>89.054718129180685</v>
      </c>
      <c r="C4395" s="100">
        <v>97.836049382670396</v>
      </c>
      <c r="D4395" s="100">
        <v>92.247162886962627</v>
      </c>
      <c r="E4395" s="100">
        <v>92.390899628563545</v>
      </c>
      <c r="F4395" s="100">
        <v>1646.4467774132686</v>
      </c>
      <c r="G4395" s="100">
        <v>560.76018593758192</v>
      </c>
      <c r="H4395" s="100">
        <v>1137.8344370479567</v>
      </c>
      <c r="I4395" s="100">
        <v>989.74002613768164</v>
      </c>
      <c r="J4395" s="100">
        <v>4334.7814265364887</v>
      </c>
    </row>
    <row r="4396" spans="1:10" x14ac:dyDescent="0.25">
      <c r="A4396">
        <v>4379</v>
      </c>
      <c r="B4396" s="100">
        <v>89.759491707739954</v>
      </c>
      <c r="C4396" s="100">
        <v>98.317943281144139</v>
      </c>
      <c r="D4396" s="100">
        <v>92.421982671832865</v>
      </c>
      <c r="E4396" s="100">
        <v>93.930066659907908</v>
      </c>
      <c r="F4396" s="100">
        <v>-679.30603183231995</v>
      </c>
      <c r="G4396" s="100">
        <v>-162.08066177303238</v>
      </c>
      <c r="H4396" s="100">
        <v>788.19486730748167</v>
      </c>
      <c r="I4396" s="100">
        <v>-549.42700520668097</v>
      </c>
      <c r="J4396" s="100">
        <v>-602.61883150455162</v>
      </c>
    </row>
    <row r="4397" spans="1:10" x14ac:dyDescent="0.25">
      <c r="A4397">
        <v>4380</v>
      </c>
      <c r="B4397" s="100">
        <v>89.57043638123811</v>
      </c>
      <c r="C4397" s="100">
        <v>98.853931990634266</v>
      </c>
      <c r="D4397" s="100">
        <v>91.668786377907949</v>
      </c>
      <c r="E4397" s="100">
        <v>93.969588345609878</v>
      </c>
      <c r="F4397" s="100">
        <v>-55.423454376234815</v>
      </c>
      <c r="G4397" s="100">
        <v>-966.0637260082226</v>
      </c>
      <c r="H4397" s="100">
        <v>2294.5874551573124</v>
      </c>
      <c r="I4397" s="100">
        <v>-588.94869090865143</v>
      </c>
      <c r="J4397" s="100">
        <v>684.15158386420364</v>
      </c>
    </row>
    <row r="4398" spans="1:10" x14ac:dyDescent="0.25">
      <c r="A4398">
        <v>4381</v>
      </c>
      <c r="B4398" s="100">
        <v>89.154682746256881</v>
      </c>
      <c r="C4398" s="100">
        <v>99.577626746898332</v>
      </c>
      <c r="D4398" s="100">
        <v>92.857191562976865</v>
      </c>
      <c r="E4398" s="100">
        <v>91.811810966610082</v>
      </c>
      <c r="F4398" s="100">
        <v>1316.5635410618208</v>
      </c>
      <c r="G4398" s="100">
        <v>-2051.6058604043224</v>
      </c>
      <c r="H4398" s="100">
        <v>-82.22291498051959</v>
      </c>
      <c r="I4398" s="100">
        <v>1568.8286880911448</v>
      </c>
      <c r="J4398" s="100">
        <v>751.56345376812374</v>
      </c>
    </row>
    <row r="4399" spans="1:10" x14ac:dyDescent="0.25">
      <c r="A4399">
        <v>4382</v>
      </c>
      <c r="B4399" s="100">
        <v>90.14871489066968</v>
      </c>
      <c r="C4399" s="100">
        <v>99.027765973955539</v>
      </c>
      <c r="D4399" s="100">
        <v>92.043319324783297</v>
      </c>
      <c r="E4399" s="100">
        <v>92.738887865121939</v>
      </c>
      <c r="F4399" s="100">
        <v>-1963.7425355004154</v>
      </c>
      <c r="G4399" s="100">
        <v>-1226.8147009901327</v>
      </c>
      <c r="H4399" s="100">
        <v>1545.5215614066162</v>
      </c>
      <c r="I4399" s="100">
        <v>641.75178957928836</v>
      </c>
      <c r="J4399" s="100">
        <v>-1003.2838855046438</v>
      </c>
    </row>
    <row r="4400" spans="1:10" x14ac:dyDescent="0.25">
      <c r="A4400">
        <v>4383</v>
      </c>
      <c r="B4400" s="100">
        <v>89.033873312649277</v>
      </c>
      <c r="C4400" s="100">
        <v>99.571717083446941</v>
      </c>
      <c r="D4400" s="100">
        <v>91.510189744888194</v>
      </c>
      <c r="E4400" s="100">
        <v>93.725634211074038</v>
      </c>
      <c r="F4400" s="100">
        <v>1715.2346719669154</v>
      </c>
      <c r="G4400" s="100">
        <v>-2042.7413652272364</v>
      </c>
      <c r="H4400" s="100">
        <v>2611.7807211968229</v>
      </c>
      <c r="I4400" s="100">
        <v>-344.99455637281073</v>
      </c>
      <c r="J4400" s="100">
        <v>1939.279471563691</v>
      </c>
    </row>
    <row r="4401" spans="1:10" x14ac:dyDescent="0.25">
      <c r="A4401">
        <v>4384</v>
      </c>
      <c r="B4401" s="100">
        <v>89.154613034781903</v>
      </c>
      <c r="C4401" s="100">
        <v>97.366781145208847</v>
      </c>
      <c r="D4401" s="100">
        <v>93.674288069783188</v>
      </c>
      <c r="E4401" s="100">
        <v>92.446824170125055</v>
      </c>
      <c r="F4401" s="100">
        <v>1316.7935889292494</v>
      </c>
      <c r="G4401" s="100">
        <v>1264.662542129905</v>
      </c>
      <c r="H4401" s="100">
        <v>-1716.4159285931646</v>
      </c>
      <c r="I4401" s="100">
        <v>933.81548457617214</v>
      </c>
      <c r="J4401" s="100">
        <v>1798.8556870421619</v>
      </c>
    </row>
    <row r="4402" spans="1:10" x14ac:dyDescent="0.25">
      <c r="A4402">
        <v>4385</v>
      </c>
      <c r="B4402" s="100">
        <v>89.394959872133441</v>
      </c>
      <c r="C4402" s="100">
        <v>98.357743360017182</v>
      </c>
      <c r="D4402" s="100">
        <v>91.622247452852164</v>
      </c>
      <c r="E4402" s="100">
        <v>95.106428449647794</v>
      </c>
      <c r="F4402" s="100">
        <v>523.64902566917385</v>
      </c>
      <c r="G4402" s="100">
        <v>-221.78078008259661</v>
      </c>
      <c r="H4402" s="100">
        <v>2387.6653052688825</v>
      </c>
      <c r="I4402" s="100">
        <v>-1725.7887949465669</v>
      </c>
      <c r="J4402" s="100">
        <v>963.74475590889301</v>
      </c>
    </row>
    <row r="4403" spans="1:10" x14ac:dyDescent="0.25">
      <c r="A4403">
        <v>4386</v>
      </c>
      <c r="B4403" s="100">
        <v>88.94603564491463</v>
      </c>
      <c r="C4403" s="100">
        <v>99.492212411166207</v>
      </c>
      <c r="D4403" s="100">
        <v>93.343950395660016</v>
      </c>
      <c r="E4403" s="100">
        <v>91.180759563370259</v>
      </c>
      <c r="F4403" s="100">
        <v>2005.0989754912493</v>
      </c>
      <c r="G4403" s="100">
        <v>-1923.4843568061351</v>
      </c>
      <c r="H4403" s="100">
        <v>-1055.7405803468214</v>
      </c>
      <c r="I4403" s="100">
        <v>2199.8800913309678</v>
      </c>
      <c r="J4403" s="100">
        <v>1225.7541296692607</v>
      </c>
    </row>
    <row r="4404" spans="1:10" x14ac:dyDescent="0.25">
      <c r="A4404">
        <v>4387</v>
      </c>
      <c r="B4404" s="100">
        <v>89.950057578421351</v>
      </c>
      <c r="C4404" s="100">
        <v>96.917654074013697</v>
      </c>
      <c r="D4404" s="100">
        <v>93.636004182392512</v>
      </c>
      <c r="E4404" s="100">
        <v>93.807408975768809</v>
      </c>
      <c r="F4404" s="100">
        <v>-1308.1734050809289</v>
      </c>
      <c r="G4404" s="100">
        <v>1938.35314892263</v>
      </c>
      <c r="H4404" s="100">
        <v>-1639.8481538118119</v>
      </c>
      <c r="I4404" s="100">
        <v>-426.76932106758159</v>
      </c>
      <c r="J4404" s="100">
        <v>-1436.4377310376924</v>
      </c>
    </row>
    <row r="4405" spans="1:10" x14ac:dyDescent="0.25">
      <c r="A4405">
        <v>4388</v>
      </c>
      <c r="B4405" s="100">
        <v>89.763152960615386</v>
      </c>
      <c r="C4405" s="100">
        <v>98.85436754706005</v>
      </c>
      <c r="D4405" s="100">
        <v>94.370415236848757</v>
      </c>
      <c r="E4405" s="100">
        <v>95.137871608553041</v>
      </c>
      <c r="F4405" s="100">
        <v>-691.38816632124508</v>
      </c>
      <c r="G4405" s="100">
        <v>-966.71706064689999</v>
      </c>
      <c r="H4405" s="100">
        <v>-3108.670262724303</v>
      </c>
      <c r="I4405" s="100">
        <v>-1757.2319538518145</v>
      </c>
      <c r="J4405" s="100">
        <v>-6524.0074435442621</v>
      </c>
    </row>
    <row r="4406" spans="1:10" x14ac:dyDescent="0.25">
      <c r="A4406">
        <v>4389</v>
      </c>
      <c r="B4406" s="100">
        <v>89.531544519623196</v>
      </c>
      <c r="C4406" s="100">
        <v>98.197280244957952</v>
      </c>
      <c r="D4406" s="100">
        <v>93.045686074449762</v>
      </c>
      <c r="E4406" s="100">
        <v>93.827664121252354</v>
      </c>
      <c r="F4406" s="100">
        <v>72.919688952981687</v>
      </c>
      <c r="G4406" s="100">
        <v>18.913892506247976</v>
      </c>
      <c r="H4406" s="100">
        <v>-459.21193792631243</v>
      </c>
      <c r="I4406" s="100">
        <v>-447.02446655112738</v>
      </c>
      <c r="J4406" s="100">
        <v>-814.40282301821014</v>
      </c>
    </row>
    <row r="4407" spans="1:10" x14ac:dyDescent="0.25">
      <c r="A4407">
        <v>4390</v>
      </c>
      <c r="B4407" s="100">
        <v>89.063025128355292</v>
      </c>
      <c r="C4407" s="100">
        <v>97.703212680743505</v>
      </c>
      <c r="D4407" s="100">
        <v>92.608112415318658</v>
      </c>
      <c r="E4407" s="100">
        <v>94.443495774811907</v>
      </c>
      <c r="F4407" s="100">
        <v>1619.0336801370649</v>
      </c>
      <c r="G4407" s="100">
        <v>760.01523882791844</v>
      </c>
      <c r="H4407" s="100">
        <v>415.93538033589539</v>
      </c>
      <c r="I4407" s="100">
        <v>-1062.8561201106804</v>
      </c>
      <c r="J4407" s="100">
        <v>1732.1281791901984</v>
      </c>
    </row>
    <row r="4408" spans="1:10" x14ac:dyDescent="0.25">
      <c r="A4408">
        <v>4391</v>
      </c>
      <c r="B4408" s="100">
        <v>88.928713385484855</v>
      </c>
      <c r="C4408" s="100">
        <v>97.6389967836746</v>
      </c>
      <c r="D4408" s="100">
        <v>91.914674475770099</v>
      </c>
      <c r="E4408" s="100">
        <v>92.489769379186981</v>
      </c>
      <c r="F4408" s="100">
        <v>2062.2624316095084</v>
      </c>
      <c r="G4408" s="100">
        <v>856.33908443127643</v>
      </c>
      <c r="H4408" s="100">
        <v>1802.8112594330139</v>
      </c>
      <c r="I4408" s="100">
        <v>890.87027551424569</v>
      </c>
      <c r="J4408" s="100">
        <v>5612.283050988045</v>
      </c>
    </row>
    <row r="4409" spans="1:10" x14ac:dyDescent="0.25">
      <c r="A4409">
        <v>4392</v>
      </c>
      <c r="B4409" s="100">
        <v>90.056597875208183</v>
      </c>
      <c r="C4409" s="100">
        <v>98.692186057008655</v>
      </c>
      <c r="D4409" s="100">
        <v>93.926119996602637</v>
      </c>
      <c r="E4409" s="100">
        <v>93.428421384052839</v>
      </c>
      <c r="F4409" s="100">
        <v>-1659.7563844774754</v>
      </c>
      <c r="G4409" s="100">
        <v>-723.44482556980688</v>
      </c>
      <c r="H4409" s="100">
        <v>-2220.0797822320624</v>
      </c>
      <c r="I4409" s="100">
        <v>-47.781729351612512</v>
      </c>
      <c r="J4409" s="100">
        <v>-4651.0627216309567</v>
      </c>
    </row>
    <row r="4410" spans="1:10" x14ac:dyDescent="0.25">
      <c r="A4410">
        <v>4393</v>
      </c>
      <c r="B4410" s="100">
        <v>89.553046349004475</v>
      </c>
      <c r="C4410" s="100">
        <v>99.278854440308962</v>
      </c>
      <c r="D4410" s="100">
        <v>93.694008179303893</v>
      </c>
      <c r="E4410" s="100">
        <v>91.029057756705711</v>
      </c>
      <c r="F4410" s="100">
        <v>1.9636519947610509</v>
      </c>
      <c r="G4410" s="100">
        <v>-1603.4474005202669</v>
      </c>
      <c r="H4410" s="100">
        <v>-1755.8561476345744</v>
      </c>
      <c r="I4410" s="100">
        <v>2351.5818979955156</v>
      </c>
      <c r="J4410" s="100">
        <v>-1005.7579981645649</v>
      </c>
    </row>
    <row r="4411" spans="1:10" x14ac:dyDescent="0.25">
      <c r="A4411">
        <v>4394</v>
      </c>
      <c r="B4411" s="100">
        <v>88.977530034954896</v>
      </c>
      <c r="C4411" s="100">
        <v>97.799387293798318</v>
      </c>
      <c r="D4411" s="100">
        <v>92.77598935750693</v>
      </c>
      <c r="E4411" s="100">
        <v>93.019555793584345</v>
      </c>
      <c r="F4411" s="100">
        <v>1901.1674883583737</v>
      </c>
      <c r="G4411" s="100">
        <v>615.75331924569809</v>
      </c>
      <c r="H4411" s="100">
        <v>80.181495959351423</v>
      </c>
      <c r="I4411" s="100">
        <v>361.08386111688162</v>
      </c>
      <c r="J4411" s="100">
        <v>2958.186164680305</v>
      </c>
    </row>
    <row r="4412" spans="1:10" x14ac:dyDescent="0.25">
      <c r="A4412">
        <v>4395</v>
      </c>
      <c r="B4412" s="100">
        <v>90.162490717955649</v>
      </c>
      <c r="C4412" s="100">
        <v>98.817696681011043</v>
      </c>
      <c r="D4412" s="100">
        <v>92.457373587034226</v>
      </c>
      <c r="E4412" s="100">
        <v>93.759731046031987</v>
      </c>
      <c r="F4412" s="100">
        <v>-2009.2027655441116</v>
      </c>
      <c r="G4412" s="100">
        <v>-911.7107615733886</v>
      </c>
      <c r="H4412" s="100">
        <v>717.41303690475888</v>
      </c>
      <c r="I4412" s="100">
        <v>-379.09139133076053</v>
      </c>
      <c r="J4412" s="100">
        <v>-2582.5918815435016</v>
      </c>
    </row>
    <row r="4413" spans="1:10" x14ac:dyDescent="0.25">
      <c r="A4413">
        <v>4396</v>
      </c>
      <c r="B4413" s="100">
        <v>89.224798279440094</v>
      </c>
      <c r="C4413" s="100">
        <v>98.702163994548329</v>
      </c>
      <c r="D4413" s="100">
        <v>94.411993849079423</v>
      </c>
      <c r="E4413" s="100">
        <v>93.47018538334116</v>
      </c>
      <c r="F4413" s="100">
        <v>1085.1822815572191</v>
      </c>
      <c r="G4413" s="100">
        <v>-738.41173187931736</v>
      </c>
      <c r="H4413" s="100">
        <v>-3191.8274871856338</v>
      </c>
      <c r="I4413" s="100">
        <v>-89.545728639933486</v>
      </c>
      <c r="J4413" s="100">
        <v>-2934.6026661476653</v>
      </c>
    </row>
    <row r="4414" spans="1:10" x14ac:dyDescent="0.25">
      <c r="A4414">
        <v>4397</v>
      </c>
      <c r="B4414" s="100">
        <v>89.303410040642191</v>
      </c>
      <c r="C4414" s="100">
        <v>98.085816921153722</v>
      </c>
      <c r="D4414" s="100">
        <v>92.391163695670045</v>
      </c>
      <c r="E4414" s="100">
        <v>95.649154920405437</v>
      </c>
      <c r="F4414" s="100">
        <v>825.76346959029797</v>
      </c>
      <c r="G4414" s="100">
        <v>186.10887821259325</v>
      </c>
      <c r="H4414" s="100">
        <v>849.83281963312152</v>
      </c>
      <c r="I4414" s="100">
        <v>-2268.5152657042095</v>
      </c>
      <c r="J4414" s="100">
        <v>-406.81009826819673</v>
      </c>
    </row>
    <row r="4415" spans="1:10" x14ac:dyDescent="0.25">
      <c r="A4415">
        <v>4398</v>
      </c>
      <c r="B4415" s="100">
        <v>89.1301301721779</v>
      </c>
      <c r="C4415" s="100">
        <v>98.994706563234601</v>
      </c>
      <c r="D4415" s="100">
        <v>94.389250151003225</v>
      </c>
      <c r="E4415" s="100">
        <v>94.413366515392624</v>
      </c>
      <c r="F4415" s="100">
        <v>1397.5870355224602</v>
      </c>
      <c r="G4415" s="100">
        <v>-1177.225584908726</v>
      </c>
      <c r="H4415" s="100">
        <v>-3146.3400910332384</v>
      </c>
      <c r="I4415" s="100">
        <v>-1032.7268606913976</v>
      </c>
      <c r="J4415" s="100">
        <v>-3958.7055011109019</v>
      </c>
    </row>
    <row r="4416" spans="1:10" x14ac:dyDescent="0.25">
      <c r="A4416">
        <v>4399</v>
      </c>
      <c r="B4416" s="100">
        <v>89.279700729471685</v>
      </c>
      <c r="C4416" s="100">
        <v>97.855062274410287</v>
      </c>
      <c r="D4416" s="100">
        <v>91.293137990537275</v>
      </c>
      <c r="E4416" s="100">
        <v>93.039095131235712</v>
      </c>
      <c r="F4416" s="100">
        <v>904.00419645296915</v>
      </c>
      <c r="G4416" s="100">
        <v>532.24084832774565</v>
      </c>
      <c r="H4416" s="100">
        <v>3045.884229898661</v>
      </c>
      <c r="I4416" s="100">
        <v>341.54452346551523</v>
      </c>
      <c r="J4416" s="100">
        <v>4823.6737981448914</v>
      </c>
    </row>
    <row r="4417" spans="1:10" x14ac:dyDescent="0.25">
      <c r="A4417">
        <v>4400</v>
      </c>
      <c r="B4417" s="100">
        <v>88.781559406765311</v>
      </c>
      <c r="C4417" s="100">
        <v>98.600115932783922</v>
      </c>
      <c r="D4417" s="100">
        <v>92.710671786057233</v>
      </c>
      <c r="E4417" s="100">
        <v>95.760135505911009</v>
      </c>
      <c r="F4417" s="100">
        <v>2547.8705613840034</v>
      </c>
      <c r="G4417" s="100">
        <v>-585.33963923270699</v>
      </c>
      <c r="H4417" s="100">
        <v>210.81663885874491</v>
      </c>
      <c r="I4417" s="100">
        <v>-2379.4958512097819</v>
      </c>
      <c r="J4417" s="100">
        <v>-206.14829019974059</v>
      </c>
    </row>
    <row r="4418" spans="1:10" x14ac:dyDescent="0.25">
      <c r="A4418">
        <v>4401</v>
      </c>
      <c r="B4418" s="100">
        <v>88.882964522019805</v>
      </c>
      <c r="C4418" s="100">
        <v>98.209560805854736</v>
      </c>
      <c r="D4418" s="100">
        <v>91.981688649012654</v>
      </c>
      <c r="E4418" s="100">
        <v>93.603022192595972</v>
      </c>
      <c r="F4418" s="100">
        <v>2213.2336810441743</v>
      </c>
      <c r="G4418" s="100">
        <v>0.49305116107234426</v>
      </c>
      <c r="H4418" s="100">
        <v>1668.7829129479042</v>
      </c>
      <c r="I4418" s="100">
        <v>-222.38253789474527</v>
      </c>
      <c r="J4418" s="100">
        <v>3660.1271072584054</v>
      </c>
    </row>
    <row r="4419" spans="1:10" x14ac:dyDescent="0.25">
      <c r="A4419">
        <v>4402</v>
      </c>
      <c r="B4419" s="100">
        <v>89.803043821556173</v>
      </c>
      <c r="C4419" s="100">
        <v>98.745717635842823</v>
      </c>
      <c r="D4419" s="100">
        <v>93.331915136364699</v>
      </c>
      <c r="E4419" s="100">
        <v>93.625431725846099</v>
      </c>
      <c r="F4419" s="100">
        <v>-823.02800742584168</v>
      </c>
      <c r="G4419" s="100">
        <v>-803.74219382105844</v>
      </c>
      <c r="H4419" s="100">
        <v>-1031.6700617561878</v>
      </c>
      <c r="I4419" s="100">
        <v>-244.79207114487167</v>
      </c>
      <c r="J4419" s="100">
        <v>-2903.2323341479596</v>
      </c>
    </row>
    <row r="4420" spans="1:10" x14ac:dyDescent="0.25">
      <c r="A4420">
        <v>4403</v>
      </c>
      <c r="B4420" s="100">
        <v>90.564477056368162</v>
      </c>
      <c r="C4420" s="100">
        <v>97.7191459931704</v>
      </c>
      <c r="D4420" s="100">
        <v>92.386629240730485</v>
      </c>
      <c r="E4420" s="100">
        <v>90.500796130326819</v>
      </c>
      <c r="F4420" s="100">
        <v>-3335.7576823054046</v>
      </c>
      <c r="G4420" s="100">
        <v>736.11527018757533</v>
      </c>
      <c r="H4420" s="100">
        <v>858.90172951224031</v>
      </c>
      <c r="I4420" s="100">
        <v>2879.8435243744079</v>
      </c>
      <c r="J4420" s="100">
        <v>1139.102841768819</v>
      </c>
    </row>
    <row r="4421" spans="1:10" x14ac:dyDescent="0.25">
      <c r="A4421">
        <v>4404</v>
      </c>
      <c r="B4421" s="100">
        <v>89.155109520605109</v>
      </c>
      <c r="C4421" s="100">
        <v>98.670957784790929</v>
      </c>
      <c r="D4421" s="100">
        <v>93.480680560380151</v>
      </c>
      <c r="E4421" s="100">
        <v>90.538729811553722</v>
      </c>
      <c r="F4421" s="100">
        <v>1315.1551857126706</v>
      </c>
      <c r="G4421" s="100">
        <v>-691.60241724321736</v>
      </c>
      <c r="H4421" s="100">
        <v>-1329.2009097870903</v>
      </c>
      <c r="I4421" s="100">
        <v>2841.9098431475049</v>
      </c>
      <c r="J4421" s="100">
        <v>2136.2617018298679</v>
      </c>
    </row>
    <row r="4422" spans="1:10" x14ac:dyDescent="0.25">
      <c r="A4422">
        <v>4405</v>
      </c>
      <c r="B4422" s="100">
        <v>89.425980587195752</v>
      </c>
      <c r="C4422" s="100">
        <v>97.653236551488632</v>
      </c>
      <c r="D4422" s="100">
        <v>92.409408304233807</v>
      </c>
      <c r="E4422" s="100">
        <v>93.053321633068506</v>
      </c>
      <c r="F4422" s="100">
        <v>421.28066596354614</v>
      </c>
      <c r="G4422" s="100">
        <v>834.97943271022734</v>
      </c>
      <c r="H4422" s="100">
        <v>813.34360250559712</v>
      </c>
      <c r="I4422" s="100">
        <v>327.3180216327205</v>
      </c>
      <c r="J4422" s="100">
        <v>2396.921722812091</v>
      </c>
    </row>
    <row r="4423" spans="1:10" x14ac:dyDescent="0.25">
      <c r="A4423">
        <v>4406</v>
      </c>
      <c r="B4423" s="100">
        <v>89.120172953424841</v>
      </c>
      <c r="C4423" s="100">
        <v>97.936867469299898</v>
      </c>
      <c r="D4423" s="100">
        <v>91.430063316059531</v>
      </c>
      <c r="E4423" s="100">
        <v>94.871334024683534</v>
      </c>
      <c r="F4423" s="100">
        <v>1430.4458574075525</v>
      </c>
      <c r="G4423" s="100">
        <v>409.53305599332879</v>
      </c>
      <c r="H4423" s="100">
        <v>2772.0335788541488</v>
      </c>
      <c r="I4423" s="100">
        <v>-1490.6943699823073</v>
      </c>
      <c r="J4423" s="100">
        <v>3121.318122272723</v>
      </c>
    </row>
    <row r="4424" spans="1:10" x14ac:dyDescent="0.25">
      <c r="A4424">
        <v>4407</v>
      </c>
      <c r="B4424" s="100">
        <v>90.04120584267865</v>
      </c>
      <c r="C4424" s="100">
        <v>99.174481528214557</v>
      </c>
      <c r="D4424" s="100">
        <v>91.69040145174111</v>
      </c>
      <c r="E4424" s="100">
        <v>94.269235359986823</v>
      </c>
      <c r="F4424" s="100">
        <v>-1608.9626771300161</v>
      </c>
      <c r="G4424" s="100">
        <v>-1446.8880323786593</v>
      </c>
      <c r="H4424" s="100">
        <v>2251.3573074909914</v>
      </c>
      <c r="I4424" s="100">
        <v>-888.59570528559573</v>
      </c>
      <c r="J4424" s="100">
        <v>-1693.0891073032794</v>
      </c>
    </row>
    <row r="4425" spans="1:10" x14ac:dyDescent="0.25">
      <c r="A4425">
        <v>4408</v>
      </c>
      <c r="B4425" s="100">
        <v>88.598442833381341</v>
      </c>
      <c r="C4425" s="100">
        <v>99.028300658698129</v>
      </c>
      <c r="D4425" s="100">
        <v>92.150721471242662</v>
      </c>
      <c r="E4425" s="100">
        <v>91.681930332245628</v>
      </c>
      <c r="F4425" s="100">
        <v>3152.1552535511037</v>
      </c>
      <c r="G4425" s="100">
        <v>-1227.6167281040173</v>
      </c>
      <c r="H4425" s="100">
        <v>1330.7172684878878</v>
      </c>
      <c r="I4425" s="100">
        <v>1698.7093224555992</v>
      </c>
      <c r="J4425" s="100">
        <v>4953.9651163905737</v>
      </c>
    </row>
    <row r="4426" spans="1:10" x14ac:dyDescent="0.25">
      <c r="A4426">
        <v>4409</v>
      </c>
      <c r="B4426" s="100">
        <v>89.140941365890143</v>
      </c>
      <c r="C4426" s="100">
        <v>96.731063037765622</v>
      </c>
      <c r="D4426" s="100">
        <v>93.37277204749229</v>
      </c>
      <c r="E4426" s="100">
        <v>93.213442723381547</v>
      </c>
      <c r="F4426" s="100">
        <v>1361.9100962720581</v>
      </c>
      <c r="G4426" s="100">
        <v>2218.239703294742</v>
      </c>
      <c r="H4426" s="100">
        <v>-1113.3838840113697</v>
      </c>
      <c r="I4426" s="100">
        <v>167.19693131967972</v>
      </c>
      <c r="J4426" s="100">
        <v>2633.9628468751098</v>
      </c>
    </row>
    <row r="4427" spans="1:10" x14ac:dyDescent="0.25">
      <c r="A4427">
        <v>4410</v>
      </c>
      <c r="B4427" s="100">
        <v>89.207135012930593</v>
      </c>
      <c r="C4427" s="100">
        <v>97.887871993795429</v>
      </c>
      <c r="D4427" s="100">
        <v>93.566487539217405</v>
      </c>
      <c r="E4427" s="100">
        <v>91.829192828239982</v>
      </c>
      <c r="F4427" s="100">
        <v>1143.4710610385737</v>
      </c>
      <c r="G4427" s="100">
        <v>483.02626925003267</v>
      </c>
      <c r="H4427" s="100">
        <v>-1500.8148674615995</v>
      </c>
      <c r="I4427" s="100">
        <v>1551.4468264612447</v>
      </c>
      <c r="J4427" s="100">
        <v>1677.1292892882516</v>
      </c>
    </row>
    <row r="4428" spans="1:10" x14ac:dyDescent="0.25">
      <c r="A4428">
        <v>4411</v>
      </c>
      <c r="B4428" s="100">
        <v>89.262583869393495</v>
      </c>
      <c r="C4428" s="100">
        <v>98.300064148566221</v>
      </c>
      <c r="D4428" s="100">
        <v>92.039197783840763</v>
      </c>
      <c r="E4428" s="100">
        <v>90.234358850481144</v>
      </c>
      <c r="F4428" s="100">
        <v>960.48983471099518</v>
      </c>
      <c r="G4428" s="100">
        <v>-135.26196290615644</v>
      </c>
      <c r="H4428" s="100">
        <v>1553.7646432916858</v>
      </c>
      <c r="I4428" s="100">
        <v>3146.2808042200832</v>
      </c>
      <c r="J4428" s="100">
        <v>5525.2733193166077</v>
      </c>
    </row>
    <row r="4429" spans="1:10" x14ac:dyDescent="0.25">
      <c r="A4429">
        <v>4412</v>
      </c>
      <c r="B4429" s="100">
        <v>89.580320502693453</v>
      </c>
      <c r="C4429" s="100">
        <v>97.673625473250681</v>
      </c>
      <c r="D4429" s="100">
        <v>92.296168329728602</v>
      </c>
      <c r="E4429" s="100">
        <v>94.96492784876429</v>
      </c>
      <c r="F4429" s="100">
        <v>-88.041055178867111</v>
      </c>
      <c r="G4429" s="100">
        <v>804.39605006715453</v>
      </c>
      <c r="H4429" s="100">
        <v>1039.8235515160081</v>
      </c>
      <c r="I4429" s="100">
        <v>-1584.2881940630632</v>
      </c>
      <c r="J4429" s="100">
        <v>171.8903523412323</v>
      </c>
    </row>
    <row r="4430" spans="1:10" x14ac:dyDescent="0.25">
      <c r="A4430">
        <v>4413</v>
      </c>
      <c r="B4430" s="100">
        <v>90.441639538496489</v>
      </c>
      <c r="C4430" s="100">
        <v>96.992009004303512</v>
      </c>
      <c r="D4430" s="100">
        <v>92.607310794958138</v>
      </c>
      <c r="E4430" s="100">
        <v>94.113059708938778</v>
      </c>
      <c r="F4430" s="100">
        <v>-2930.3938733288833</v>
      </c>
      <c r="G4430" s="100">
        <v>1826.8207534879082</v>
      </c>
      <c r="H4430" s="100">
        <v>417.53862105693429</v>
      </c>
      <c r="I4430" s="100">
        <v>-732.42005423755074</v>
      </c>
      <c r="J4430" s="100">
        <v>-1418.4545530215914</v>
      </c>
    </row>
    <row r="4431" spans="1:10" x14ac:dyDescent="0.25">
      <c r="A4431">
        <v>4414</v>
      </c>
      <c r="B4431" s="100">
        <v>89.709989860438483</v>
      </c>
      <c r="C4431" s="100">
        <v>96.675412417125287</v>
      </c>
      <c r="D4431" s="100">
        <v>92.854200974746959</v>
      </c>
      <c r="E4431" s="100">
        <v>93.292731093855863</v>
      </c>
      <c r="F4431" s="100">
        <v>-515.94993573746569</v>
      </c>
      <c r="G4431" s="100">
        <v>2301.7156342552453</v>
      </c>
      <c r="H4431" s="100">
        <v>-76.241738520707258</v>
      </c>
      <c r="I4431" s="100">
        <v>87.908560845363581</v>
      </c>
      <c r="J4431" s="100">
        <v>1797.4325208424359</v>
      </c>
    </row>
    <row r="4432" spans="1:10" x14ac:dyDescent="0.25">
      <c r="A4432">
        <v>4415</v>
      </c>
      <c r="B4432" s="100">
        <v>89.457214660646486</v>
      </c>
      <c r="C4432" s="100">
        <v>97.652656626673405</v>
      </c>
      <c r="D4432" s="100">
        <v>91.097768264814022</v>
      </c>
      <c r="E4432" s="100">
        <v>91.264389878420303</v>
      </c>
      <c r="F4432" s="100">
        <v>318.20822357612712</v>
      </c>
      <c r="G4432" s="100">
        <v>835.84931993306805</v>
      </c>
      <c r="H4432" s="100">
        <v>3436.6236813451678</v>
      </c>
      <c r="I4432" s="100">
        <v>2116.2497762809239</v>
      </c>
      <c r="J4432" s="100">
        <v>6706.9310011352864</v>
      </c>
    </row>
    <row r="4433" spans="1:10" x14ac:dyDescent="0.25">
      <c r="A4433">
        <v>4416</v>
      </c>
      <c r="B4433" s="100">
        <v>89.88732459414922</v>
      </c>
      <c r="C4433" s="100">
        <v>97.78032732581184</v>
      </c>
      <c r="D4433" s="100">
        <v>92.773533528317259</v>
      </c>
      <c r="E4433" s="100">
        <v>92.931769699964747</v>
      </c>
      <c r="F4433" s="100">
        <v>-1101.1545569828968</v>
      </c>
      <c r="G4433" s="100">
        <v>644.3432712254164</v>
      </c>
      <c r="H4433" s="100">
        <v>85.093154338693466</v>
      </c>
      <c r="I4433" s="100">
        <v>448.86995473648028</v>
      </c>
      <c r="J4433" s="100">
        <v>77.151823317693356</v>
      </c>
    </row>
    <row r="4434" spans="1:10" x14ac:dyDescent="0.25">
      <c r="A4434">
        <v>4417</v>
      </c>
      <c r="B4434" s="100">
        <v>90.506791304336417</v>
      </c>
      <c r="C4434" s="100">
        <v>96.748595563942601</v>
      </c>
      <c r="D4434" s="100">
        <v>91.522885733537848</v>
      </c>
      <c r="E4434" s="100">
        <v>92.983888245067774</v>
      </c>
      <c r="F4434" s="100">
        <v>-3145.3947006006474</v>
      </c>
      <c r="G4434" s="100">
        <v>2191.9409140292742</v>
      </c>
      <c r="H4434" s="100">
        <v>2586.3887438975153</v>
      </c>
      <c r="I4434" s="100">
        <v>396.75140963345257</v>
      </c>
      <c r="J4434" s="100">
        <v>2029.6863669595946</v>
      </c>
    </row>
    <row r="4435" spans="1:10" x14ac:dyDescent="0.25">
      <c r="A4435">
        <v>4418</v>
      </c>
      <c r="B4435" s="100">
        <v>88.821892381548409</v>
      </c>
      <c r="C4435" s="100">
        <v>97.949306158260981</v>
      </c>
      <c r="D4435" s="100">
        <v>92.703925631963074</v>
      </c>
      <c r="E4435" s="100">
        <v>91.953594652017614</v>
      </c>
      <c r="F4435" s="100">
        <v>2414.77174459978</v>
      </c>
      <c r="G4435" s="100">
        <v>390.87502255170392</v>
      </c>
      <c r="H4435" s="100">
        <v>224.30894704706361</v>
      </c>
      <c r="I4435" s="100">
        <v>1427.0450026836129</v>
      </c>
      <c r="J4435" s="100">
        <v>4457.0007168821603</v>
      </c>
    </row>
    <row r="4436" spans="1:10" x14ac:dyDescent="0.25">
      <c r="A4436">
        <v>4419</v>
      </c>
      <c r="B4436" s="100">
        <v>88.927617003568486</v>
      </c>
      <c r="C4436" s="100">
        <v>98.9209843841804</v>
      </c>
      <c r="D4436" s="100">
        <v>92.86662425832867</v>
      </c>
      <c r="E4436" s="100">
        <v>94.600543735504218</v>
      </c>
      <c r="F4436" s="100">
        <v>2065.8804919335266</v>
      </c>
      <c r="G4436" s="100">
        <v>-1066.6423163274246</v>
      </c>
      <c r="H4436" s="100">
        <v>-101.08830568412941</v>
      </c>
      <c r="I4436" s="100">
        <v>-1219.9040808029906</v>
      </c>
      <c r="J4436" s="100">
        <v>-321.75421088101803</v>
      </c>
    </row>
    <row r="4437" spans="1:10" x14ac:dyDescent="0.25">
      <c r="A4437">
        <v>4420</v>
      </c>
      <c r="B4437" s="100">
        <v>90.242616423085153</v>
      </c>
      <c r="C4437" s="100">
        <v>96.923225065734826</v>
      </c>
      <c r="D4437" s="100">
        <v>91.903646509616664</v>
      </c>
      <c r="E4437" s="100">
        <v>91.846135446653562</v>
      </c>
      <c r="F4437" s="100">
        <v>-2273.6175924714744</v>
      </c>
      <c r="G4437" s="100">
        <v>1929.9966613409367</v>
      </c>
      <c r="H4437" s="100">
        <v>1824.8671917398838</v>
      </c>
      <c r="I4437" s="100">
        <v>1534.5042080476646</v>
      </c>
      <c r="J4437" s="100">
        <v>3015.750468657011</v>
      </c>
    </row>
    <row r="4438" spans="1:10" x14ac:dyDescent="0.25">
      <c r="A4438">
        <v>4421</v>
      </c>
      <c r="B4438" s="100">
        <v>90.115972888197319</v>
      </c>
      <c r="C4438" s="100">
        <v>99.11790508044318</v>
      </c>
      <c r="D4438" s="100">
        <v>94.205768416665279</v>
      </c>
      <c r="E4438" s="100">
        <v>95.259394173841372</v>
      </c>
      <c r="F4438" s="100">
        <v>-1855.6939273416247</v>
      </c>
      <c r="G4438" s="100">
        <v>-1362.0233607215937</v>
      </c>
      <c r="H4438" s="100">
        <v>-2779.3766223573471</v>
      </c>
      <c r="I4438" s="100">
        <v>-1878.754519140145</v>
      </c>
      <c r="J4438" s="100">
        <v>-7875.8484295607104</v>
      </c>
    </row>
    <row r="4439" spans="1:10" x14ac:dyDescent="0.25">
      <c r="A4439">
        <v>4422</v>
      </c>
      <c r="B4439" s="100">
        <v>89.045207413096563</v>
      </c>
      <c r="C4439" s="100">
        <v>98.587671083578755</v>
      </c>
      <c r="D4439" s="100">
        <v>92.4340346281016</v>
      </c>
      <c r="E4439" s="100">
        <v>91.994504513047787</v>
      </c>
      <c r="F4439" s="100">
        <v>1677.8321404908725</v>
      </c>
      <c r="G4439" s="100">
        <v>-566.67236542495652</v>
      </c>
      <c r="H4439" s="100">
        <v>764.09095477001188</v>
      </c>
      <c r="I4439" s="100">
        <v>1386.1351416534403</v>
      </c>
      <c r="J4439" s="100">
        <v>3261.3858714893681</v>
      </c>
    </row>
    <row r="4440" spans="1:10" x14ac:dyDescent="0.25">
      <c r="A4440">
        <v>4423</v>
      </c>
      <c r="B4440" s="100">
        <v>89.014603275576746</v>
      </c>
      <c r="C4440" s="100">
        <v>98.80112674506374</v>
      </c>
      <c r="D4440" s="100">
        <v>94.826709394652937</v>
      </c>
      <c r="E4440" s="100">
        <v>95.558809597831257</v>
      </c>
      <c r="F4440" s="100">
        <v>1778.8257943062661</v>
      </c>
      <c r="G4440" s="100">
        <v>-886.85585765243502</v>
      </c>
      <c r="H4440" s="100">
        <v>-4021.2585783326631</v>
      </c>
      <c r="I4440" s="100">
        <v>-2178.1699431300294</v>
      </c>
      <c r="J4440" s="100">
        <v>-5307.4585848088609</v>
      </c>
    </row>
    <row r="4441" spans="1:10" x14ac:dyDescent="0.25">
      <c r="A4441">
        <v>4424</v>
      </c>
      <c r="B4441" s="100">
        <v>90.534429179315765</v>
      </c>
      <c r="C4441" s="100">
        <v>98.23519283320438</v>
      </c>
      <c r="D4441" s="100">
        <v>91.144540823747704</v>
      </c>
      <c r="E4441" s="100">
        <v>92.884342374284273</v>
      </c>
      <c r="F4441" s="100">
        <v>-3236.5996880324956</v>
      </c>
      <c r="G4441" s="100">
        <v>-37.954989863393962</v>
      </c>
      <c r="H4441" s="100">
        <v>3343.0785634778031</v>
      </c>
      <c r="I4441" s="100">
        <v>496.29728041695387</v>
      </c>
      <c r="J4441" s="100">
        <v>564.82116599886729</v>
      </c>
    </row>
    <row r="4442" spans="1:10" x14ac:dyDescent="0.25">
      <c r="A4442">
        <v>4425</v>
      </c>
      <c r="B4442" s="100">
        <v>89.504573817441539</v>
      </c>
      <c r="C4442" s="100">
        <v>98.290680612568011</v>
      </c>
      <c r="D4442" s="100">
        <v>93.39374188401159</v>
      </c>
      <c r="E4442" s="100">
        <v>93.302793399465486</v>
      </c>
      <c r="F4442" s="100">
        <v>161.92300615245045</v>
      </c>
      <c r="G4442" s="100">
        <v>-121.18665890884017</v>
      </c>
      <c r="H4442" s="100">
        <v>-1155.323557049968</v>
      </c>
      <c r="I4442" s="100">
        <v>77.846255235741069</v>
      </c>
      <c r="J4442" s="100">
        <v>-1036.7409545706169</v>
      </c>
    </row>
    <row r="4443" spans="1:10" x14ac:dyDescent="0.25">
      <c r="A4443">
        <v>4426</v>
      </c>
      <c r="B4443" s="100">
        <v>89.985351976343878</v>
      </c>
      <c r="C4443" s="100">
        <v>97.697205343401933</v>
      </c>
      <c r="D4443" s="100">
        <v>93.447804140272297</v>
      </c>
      <c r="E4443" s="100">
        <v>94.33851698292257</v>
      </c>
      <c r="F4443" s="100">
        <v>-1424.6449182252691</v>
      </c>
      <c r="G4443" s="100">
        <v>769.02624484027626</v>
      </c>
      <c r="H4443" s="100">
        <v>-1263.4480695713819</v>
      </c>
      <c r="I4443" s="100">
        <v>-957.8773282213433</v>
      </c>
      <c r="J4443" s="100">
        <v>-2876.9440711777179</v>
      </c>
    </row>
    <row r="4444" spans="1:10" x14ac:dyDescent="0.25">
      <c r="A4444">
        <v>4427</v>
      </c>
      <c r="B4444" s="100">
        <v>89.332039412428429</v>
      </c>
      <c r="C4444" s="100">
        <v>97.685876293488192</v>
      </c>
      <c r="D4444" s="100">
        <v>91.352284753859095</v>
      </c>
      <c r="E4444" s="100">
        <v>94.292465922550392</v>
      </c>
      <c r="F4444" s="100">
        <v>731.28654269571314</v>
      </c>
      <c r="G4444" s="100">
        <v>786.01981971088719</v>
      </c>
      <c r="H4444" s="100">
        <v>2927.5907032550208</v>
      </c>
      <c r="I4444" s="100">
        <v>-911.82626784916465</v>
      </c>
      <c r="J4444" s="100">
        <v>3533.0707978124565</v>
      </c>
    </row>
    <row r="4445" spans="1:10" x14ac:dyDescent="0.25">
      <c r="A4445">
        <v>4428</v>
      </c>
      <c r="B4445" s="100">
        <v>89.907480656385502</v>
      </c>
      <c r="C4445" s="100">
        <v>98.225220513490513</v>
      </c>
      <c r="D4445" s="100">
        <v>92.75305214362831</v>
      </c>
      <c r="E4445" s="100">
        <v>89.804822726375775</v>
      </c>
      <c r="F4445" s="100">
        <v>-1167.6695623626274</v>
      </c>
      <c r="G4445" s="100">
        <v>-22.996510292593086</v>
      </c>
      <c r="H4445" s="100">
        <v>126.05592371659213</v>
      </c>
      <c r="I4445" s="100">
        <v>3575.816928325452</v>
      </c>
      <c r="J4445" s="100">
        <v>2511.2067793868237</v>
      </c>
    </row>
    <row r="4446" spans="1:10" x14ac:dyDescent="0.25">
      <c r="A4446">
        <v>4429</v>
      </c>
      <c r="B4446" s="100">
        <v>90.261099857012312</v>
      </c>
      <c r="C4446" s="100">
        <v>97.479790694408166</v>
      </c>
      <c r="D4446" s="100">
        <v>93.659824304025392</v>
      </c>
      <c r="E4446" s="100">
        <v>93.824779105298489</v>
      </c>
      <c r="F4446" s="100">
        <v>-2334.6129244310987</v>
      </c>
      <c r="G4446" s="100">
        <v>1095.1482183309267</v>
      </c>
      <c r="H4446" s="100">
        <v>-1687.4883970775727</v>
      </c>
      <c r="I4446" s="100">
        <v>-444.13945059726245</v>
      </c>
      <c r="J4446" s="100">
        <v>-3371.0925537750072</v>
      </c>
    </row>
    <row r="4447" spans="1:10" x14ac:dyDescent="0.25">
      <c r="A4447">
        <v>4430</v>
      </c>
      <c r="B4447" s="100">
        <v>90.021459841383489</v>
      </c>
      <c r="C4447" s="100">
        <v>98.264293593222447</v>
      </c>
      <c r="D4447" s="100">
        <v>94.659081097765664</v>
      </c>
      <c r="E4447" s="100">
        <v>92.670467808626512</v>
      </c>
      <c r="F4447" s="100">
        <v>-1543.8008728559851</v>
      </c>
      <c r="G4447" s="100">
        <v>-81.606129890495538</v>
      </c>
      <c r="H4447" s="100">
        <v>-3686.0019845581178</v>
      </c>
      <c r="I4447" s="100">
        <v>710.17184607471506</v>
      </c>
      <c r="J4447" s="100">
        <v>-4601.2371412298835</v>
      </c>
    </row>
    <row r="4448" spans="1:10" x14ac:dyDescent="0.25">
      <c r="A4448">
        <v>4431</v>
      </c>
      <c r="B4448" s="100">
        <v>88.734195269052194</v>
      </c>
      <c r="C4448" s="100">
        <v>98.809468238728059</v>
      </c>
      <c r="D4448" s="100">
        <v>91.43562763027046</v>
      </c>
      <c r="E4448" s="100">
        <v>91.734862960099107</v>
      </c>
      <c r="F4448" s="100">
        <v>2704.1722158372904</v>
      </c>
      <c r="G4448" s="100">
        <v>-899.36809814891205</v>
      </c>
      <c r="H4448" s="100">
        <v>2760.9049504322911</v>
      </c>
      <c r="I4448" s="100">
        <v>1645.7766946021195</v>
      </c>
      <c r="J4448" s="100">
        <v>6211.4857627227893</v>
      </c>
    </row>
    <row r="4449" spans="1:10" x14ac:dyDescent="0.25">
      <c r="A4449">
        <v>4432</v>
      </c>
      <c r="B4449" s="100">
        <v>90.702479528338316</v>
      </c>
      <c r="C4449" s="100">
        <v>100.33257330481004</v>
      </c>
      <c r="D4449" s="100">
        <v>92.093035101224089</v>
      </c>
      <c r="E4449" s="100">
        <v>94.452096190195192</v>
      </c>
      <c r="F4449" s="100">
        <v>-3791.1658398069121</v>
      </c>
      <c r="G4449" s="100">
        <v>-3184.0256972718848</v>
      </c>
      <c r="H4449" s="100">
        <v>1446.090008525033</v>
      </c>
      <c r="I4449" s="100">
        <v>-1071.456535493965</v>
      </c>
      <c r="J4449" s="100">
        <v>-6600.5580640477292</v>
      </c>
    </row>
    <row r="4450" spans="1:10" x14ac:dyDescent="0.25">
      <c r="A4450">
        <v>4433</v>
      </c>
      <c r="B4450" s="100">
        <v>89.144550553080236</v>
      </c>
      <c r="C4450" s="100">
        <v>98.38844722289906</v>
      </c>
      <c r="D4450" s="100">
        <v>91.361517519088892</v>
      </c>
      <c r="E4450" s="100">
        <v>94.317113402569859</v>
      </c>
      <c r="F4450" s="100">
        <v>1349.999778544749</v>
      </c>
      <c r="G4450" s="100">
        <v>-267.83657440541475</v>
      </c>
      <c r="H4450" s="100">
        <v>2909.1251727954273</v>
      </c>
      <c r="I4450" s="100">
        <v>-936.47374786863224</v>
      </c>
      <c r="J4450" s="100">
        <v>3054.8146290661298</v>
      </c>
    </row>
    <row r="4451" spans="1:10" x14ac:dyDescent="0.25">
      <c r="A4451">
        <v>4434</v>
      </c>
      <c r="B4451" s="100">
        <v>89.465729568452247</v>
      </c>
      <c r="C4451" s="100">
        <v>98.543119833272073</v>
      </c>
      <c r="D4451" s="100">
        <v>93.135513925291164</v>
      </c>
      <c r="E4451" s="100">
        <v>92.926374725711923</v>
      </c>
      <c r="F4451" s="100">
        <v>290.10902781711536</v>
      </c>
      <c r="G4451" s="100">
        <v>-499.84548996493317</v>
      </c>
      <c r="H4451" s="100">
        <v>-638.86763960911708</v>
      </c>
      <c r="I4451" s="100">
        <v>454.26492898930348</v>
      </c>
      <c r="J4451" s="100">
        <v>-394.33917276763134</v>
      </c>
    </row>
    <row r="4452" spans="1:10" x14ac:dyDescent="0.25">
      <c r="A4452">
        <v>4435</v>
      </c>
      <c r="B4452" s="100">
        <v>89.123434029230552</v>
      </c>
      <c r="C4452" s="100">
        <v>97.699398166551475</v>
      </c>
      <c r="D4452" s="100">
        <v>93.246389186262107</v>
      </c>
      <c r="E4452" s="100">
        <v>94.472024746703184</v>
      </c>
      <c r="F4452" s="100">
        <v>1419.6843072487084</v>
      </c>
      <c r="G4452" s="100">
        <v>765.7370101159629</v>
      </c>
      <c r="H4452" s="100">
        <v>-860.61816155100246</v>
      </c>
      <c r="I4452" s="100">
        <v>-1091.385092001957</v>
      </c>
      <c r="J4452" s="100">
        <v>233.41806381171182</v>
      </c>
    </row>
    <row r="4453" spans="1:10" x14ac:dyDescent="0.25">
      <c r="A4453">
        <v>4436</v>
      </c>
      <c r="B4453" s="100">
        <v>89.168792651983708</v>
      </c>
      <c r="C4453" s="100">
        <v>97.253350566663926</v>
      </c>
      <c r="D4453" s="100">
        <v>92.645055398921897</v>
      </c>
      <c r="E4453" s="100">
        <v>93.672949135639627</v>
      </c>
      <c r="F4453" s="100">
        <v>1270.0008521632938</v>
      </c>
      <c r="G4453" s="100">
        <v>1434.8084099472871</v>
      </c>
      <c r="H4453" s="100">
        <v>342.04941312941628</v>
      </c>
      <c r="I4453" s="100">
        <v>-292.3094809383997</v>
      </c>
      <c r="J4453" s="100">
        <v>2754.5491943015973</v>
      </c>
    </row>
    <row r="4454" spans="1:10" x14ac:dyDescent="0.25">
      <c r="A4454">
        <v>4437</v>
      </c>
      <c r="B4454" s="100">
        <v>89.284808365819998</v>
      </c>
      <c r="C4454" s="100">
        <v>98.947052162348186</v>
      </c>
      <c r="D4454" s="100">
        <v>93.350919689561962</v>
      </c>
      <c r="E4454" s="100">
        <v>93.98264381660718</v>
      </c>
      <c r="F4454" s="100">
        <v>887.14899650353516</v>
      </c>
      <c r="G4454" s="100">
        <v>-1105.7439835791029</v>
      </c>
      <c r="H4454" s="100">
        <v>-1069.6791681507136</v>
      </c>
      <c r="I4454" s="100">
        <v>-602.00416190595263</v>
      </c>
      <c r="J4454" s="100">
        <v>-1890.278317132234</v>
      </c>
    </row>
    <row r="4455" spans="1:10" x14ac:dyDescent="0.25">
      <c r="A4455">
        <v>4438</v>
      </c>
      <c r="B4455" s="100">
        <v>89.444481945827022</v>
      </c>
      <c r="C4455" s="100">
        <v>99.085750353691779</v>
      </c>
      <c r="D4455" s="100">
        <v>94.105799950986949</v>
      </c>
      <c r="E4455" s="100">
        <v>95.100856705419858</v>
      </c>
      <c r="F4455" s="100">
        <v>360.22618248035769</v>
      </c>
      <c r="G4455" s="100">
        <v>-1313.7912705944927</v>
      </c>
      <c r="H4455" s="100">
        <v>-2579.4396910006867</v>
      </c>
      <c r="I4455" s="100">
        <v>-1720.2170507186311</v>
      </c>
      <c r="J4455" s="100">
        <v>-5253.2218298334528</v>
      </c>
    </row>
    <row r="4456" spans="1:10" x14ac:dyDescent="0.25">
      <c r="A4456">
        <v>4439</v>
      </c>
      <c r="B4456" s="100">
        <v>88.852780618117507</v>
      </c>
      <c r="C4456" s="100">
        <v>98.031644190969359</v>
      </c>
      <c r="D4456" s="100">
        <v>93.8468196143413</v>
      </c>
      <c r="E4456" s="100">
        <v>91.082519817718989</v>
      </c>
      <c r="F4456" s="100">
        <v>2312.8405639217576</v>
      </c>
      <c r="G4456" s="100">
        <v>267.36797348913655</v>
      </c>
      <c r="H4456" s="100">
        <v>-2061.4790177093882</v>
      </c>
      <c r="I4456" s="100">
        <v>2298.1198369822378</v>
      </c>
      <c r="J4456" s="100">
        <v>2816.8493566837437</v>
      </c>
    </row>
    <row r="4457" spans="1:10" x14ac:dyDescent="0.25">
      <c r="A4457">
        <v>4440</v>
      </c>
      <c r="B4457" s="100">
        <v>89.656630873050545</v>
      </c>
      <c r="C4457" s="100">
        <v>99.54959382444369</v>
      </c>
      <c r="D4457" s="100">
        <v>93.48085829032766</v>
      </c>
      <c r="E4457" s="100">
        <v>96.825779302472938</v>
      </c>
      <c r="F4457" s="100">
        <v>-339.86527735727066</v>
      </c>
      <c r="G4457" s="100">
        <v>-2009.5564767223593</v>
      </c>
      <c r="H4457" s="100">
        <v>-1329.5563696821091</v>
      </c>
      <c r="I4457" s="100">
        <v>-3445.1396477717112</v>
      </c>
      <c r="J4457" s="100">
        <v>-7124.1177715334507</v>
      </c>
    </row>
    <row r="4458" spans="1:10" x14ac:dyDescent="0.25">
      <c r="A4458">
        <v>4441</v>
      </c>
      <c r="B4458" s="100">
        <v>89.937864737112832</v>
      </c>
      <c r="C4458" s="100">
        <v>97.565009063374205</v>
      </c>
      <c r="D4458" s="100">
        <v>92.399066545891799</v>
      </c>
      <c r="E4458" s="100">
        <v>94.729291903022713</v>
      </c>
      <c r="F4458" s="100">
        <v>-1267.9370287628174</v>
      </c>
      <c r="G4458" s="100">
        <v>967.32066488186774</v>
      </c>
      <c r="H4458" s="100">
        <v>834.02711918961359</v>
      </c>
      <c r="I4458" s="100">
        <v>-1348.6522483214856</v>
      </c>
      <c r="J4458" s="100">
        <v>-815.24149301282159</v>
      </c>
    </row>
    <row r="4459" spans="1:10" x14ac:dyDescent="0.25">
      <c r="A4459">
        <v>4442</v>
      </c>
      <c r="B4459" s="100">
        <v>88.754277454759247</v>
      </c>
      <c r="C4459" s="100">
        <v>98.625153761911903</v>
      </c>
      <c r="D4459" s="100">
        <v>94.217206760671374</v>
      </c>
      <c r="E4459" s="100">
        <v>94.099183554772267</v>
      </c>
      <c r="F4459" s="100">
        <v>2637.9010030040135</v>
      </c>
      <c r="G4459" s="100">
        <v>-622.89638292467941</v>
      </c>
      <c r="H4459" s="100">
        <v>-2802.2533103695368</v>
      </c>
      <c r="I4459" s="100">
        <v>-718.5439000710403</v>
      </c>
      <c r="J4459" s="100">
        <v>-1505.7925903612431</v>
      </c>
    </row>
    <row r="4460" spans="1:10" x14ac:dyDescent="0.25">
      <c r="A4460">
        <v>4443</v>
      </c>
      <c r="B4460" s="100">
        <v>89.29410683738277</v>
      </c>
      <c r="C4460" s="100">
        <v>98.160810535805311</v>
      </c>
      <c r="D4460" s="100">
        <v>93.681674674496634</v>
      </c>
      <c r="E4460" s="100">
        <v>93.486468201802353</v>
      </c>
      <c r="F4460" s="100">
        <v>856.46404034638692</v>
      </c>
      <c r="G4460" s="100">
        <v>73.618456235209351</v>
      </c>
      <c r="H4460" s="100">
        <v>-1731.1891380200564</v>
      </c>
      <c r="I4460" s="100">
        <v>-105.82854710112599</v>
      </c>
      <c r="J4460" s="100">
        <v>-906.93518853958608</v>
      </c>
    </row>
    <row r="4461" spans="1:10" x14ac:dyDescent="0.25">
      <c r="A4461">
        <v>4444</v>
      </c>
      <c r="B4461" s="100">
        <v>89.876473951732933</v>
      </c>
      <c r="C4461" s="100">
        <v>97.207090888013028</v>
      </c>
      <c r="D4461" s="100">
        <v>94.006968850983142</v>
      </c>
      <c r="E4461" s="100">
        <v>93.27378451471678</v>
      </c>
      <c r="F4461" s="100">
        <v>-1065.3474370091501</v>
      </c>
      <c r="G4461" s="100">
        <v>1504.1979279236343</v>
      </c>
      <c r="H4461" s="100">
        <v>-2381.7774909930731</v>
      </c>
      <c r="I4461" s="100">
        <v>106.85513998444662</v>
      </c>
      <c r="J4461" s="100">
        <v>-1836.0718600941423</v>
      </c>
    </row>
    <row r="4462" spans="1:10" x14ac:dyDescent="0.25">
      <c r="A4462">
        <v>4445</v>
      </c>
      <c r="B4462" s="100">
        <v>89.699607045950259</v>
      </c>
      <c r="C4462" s="100">
        <v>97.026142440548497</v>
      </c>
      <c r="D4462" s="100">
        <v>91.787257731636998</v>
      </c>
      <c r="E4462" s="100">
        <v>92.961300718009483</v>
      </c>
      <c r="F4462" s="100">
        <v>-481.68664792632541</v>
      </c>
      <c r="G4462" s="100">
        <v>1775.6205991204297</v>
      </c>
      <c r="H4462" s="100">
        <v>2057.6447476992143</v>
      </c>
      <c r="I4462" s="100">
        <v>419.33893669174438</v>
      </c>
      <c r="J4462" s="100">
        <v>3770.9176355850632</v>
      </c>
    </row>
    <row r="4463" spans="1:10" x14ac:dyDescent="0.25">
      <c r="A4463">
        <v>4446</v>
      </c>
      <c r="B4463" s="100">
        <v>88.502266684546456</v>
      </c>
      <c r="C4463" s="100">
        <v>100.24570823779015</v>
      </c>
      <c r="D4463" s="100">
        <v>91.93470215700205</v>
      </c>
      <c r="E4463" s="100">
        <v>93.569322758289587</v>
      </c>
      <c r="F4463" s="100">
        <v>3469.5365447062259</v>
      </c>
      <c r="G4463" s="100">
        <v>-3053.7280967420556</v>
      </c>
      <c r="H4463" s="100">
        <v>1762.7558969691108</v>
      </c>
      <c r="I4463" s="100">
        <v>-188.68310358836027</v>
      </c>
      <c r="J4463" s="100">
        <v>1989.8812413449209</v>
      </c>
    </row>
    <row r="4464" spans="1:10" x14ac:dyDescent="0.25">
      <c r="A4464">
        <v>4447</v>
      </c>
      <c r="B4464" s="100">
        <v>90.409141150600718</v>
      </c>
      <c r="C4464" s="100">
        <v>99.929332225911708</v>
      </c>
      <c r="D4464" s="100">
        <v>93.876326443692491</v>
      </c>
      <c r="E4464" s="100">
        <v>96.311741812991798</v>
      </c>
      <c r="F4464" s="100">
        <v>-2823.1491932728391</v>
      </c>
      <c r="G4464" s="100">
        <v>-2579.1640789243856</v>
      </c>
      <c r="H4464" s="100">
        <v>-2120.4926764117718</v>
      </c>
      <c r="I4464" s="100">
        <v>-2931.102158290571</v>
      </c>
      <c r="J4464" s="100">
        <v>-10453.908106899567</v>
      </c>
    </row>
    <row r="4465" spans="1:10" x14ac:dyDescent="0.25">
      <c r="A4465">
        <v>4448</v>
      </c>
      <c r="B4465" s="100">
        <v>89.801765355149044</v>
      </c>
      <c r="C4465" s="100">
        <v>98.014075465581527</v>
      </c>
      <c r="D4465" s="100">
        <v>94.797750162521197</v>
      </c>
      <c r="E4465" s="100">
        <v>92.642403456441983</v>
      </c>
      <c r="F4465" s="100">
        <v>-818.80906828231582</v>
      </c>
      <c r="G4465" s="100">
        <v>293.72106157088496</v>
      </c>
      <c r="H4465" s="100">
        <v>-3963.3401140691831</v>
      </c>
      <c r="I4465" s="100">
        <v>738.23619825924425</v>
      </c>
      <c r="J4465" s="100">
        <v>-3750.1919225213701</v>
      </c>
    </row>
    <row r="4466" spans="1:10" x14ac:dyDescent="0.25">
      <c r="A4466">
        <v>4449</v>
      </c>
      <c r="B4466" s="100">
        <v>89.896052117078298</v>
      </c>
      <c r="C4466" s="100">
        <v>96.928571271389629</v>
      </c>
      <c r="D4466" s="100">
        <v>93.041007668923498</v>
      </c>
      <c r="E4466" s="100">
        <v>91.179888707989335</v>
      </c>
      <c r="F4466" s="100">
        <v>-1129.9553826488548</v>
      </c>
      <c r="G4466" s="100">
        <v>1921.9773528587325</v>
      </c>
      <c r="H4466" s="100">
        <v>-449.85512687378559</v>
      </c>
      <c r="I4466" s="100">
        <v>2200.7509467118921</v>
      </c>
      <c r="J4466" s="100">
        <v>2542.9177900479845</v>
      </c>
    </row>
    <row r="4467" spans="1:10" x14ac:dyDescent="0.25">
      <c r="A4467">
        <v>4450</v>
      </c>
      <c r="B4467" s="100">
        <v>89.756918986445356</v>
      </c>
      <c r="C4467" s="100">
        <v>98.02022036046354</v>
      </c>
      <c r="D4467" s="100">
        <v>95.661635687059231</v>
      </c>
      <c r="E4467" s="100">
        <v>95.012919266547016</v>
      </c>
      <c r="F4467" s="100">
        <v>-670.81605156014632</v>
      </c>
      <c r="G4467" s="100">
        <v>284.50371924786566</v>
      </c>
      <c r="H4467" s="100">
        <v>-5691.1111631452513</v>
      </c>
      <c r="I4467" s="100">
        <v>-1632.2796118457886</v>
      </c>
      <c r="J4467" s="100">
        <v>-7709.7031073033213</v>
      </c>
    </row>
    <row r="4468" spans="1:10" x14ac:dyDescent="0.25">
      <c r="A4468">
        <v>4451</v>
      </c>
      <c r="B4468" s="100">
        <v>89.627380099140396</v>
      </c>
      <c r="C4468" s="100">
        <v>99.385652255663018</v>
      </c>
      <c r="D4468" s="100">
        <v>91.987847906305149</v>
      </c>
      <c r="E4468" s="100">
        <v>90.472999843195936</v>
      </c>
      <c r="F4468" s="100">
        <v>-243.33772345377724</v>
      </c>
      <c r="G4468" s="100">
        <v>-1763.6441235513516</v>
      </c>
      <c r="H4468" s="100">
        <v>1656.4643983629139</v>
      </c>
      <c r="I4468" s="100">
        <v>2907.6398115052912</v>
      </c>
      <c r="J4468" s="100">
        <v>2557.122362863076</v>
      </c>
    </row>
    <row r="4469" spans="1:10" x14ac:dyDescent="0.25">
      <c r="A4469">
        <v>4452</v>
      </c>
      <c r="B4469" s="100">
        <v>89.728510818712763</v>
      </c>
      <c r="C4469" s="100">
        <v>98.395408246127985</v>
      </c>
      <c r="D4469" s="100">
        <v>91.767440367588875</v>
      </c>
      <c r="E4469" s="100">
        <v>92.293817902756288</v>
      </c>
      <c r="F4469" s="100">
        <v>-577.06909804258976</v>
      </c>
      <c r="G4469" s="100">
        <v>-278.27810924880225</v>
      </c>
      <c r="H4469" s="100">
        <v>2097.2794757954603</v>
      </c>
      <c r="I4469" s="100">
        <v>1086.8217519449388</v>
      </c>
      <c r="J4469" s="100">
        <v>2328.7540204490069</v>
      </c>
    </row>
    <row r="4470" spans="1:10" x14ac:dyDescent="0.25">
      <c r="A4470">
        <v>4453</v>
      </c>
      <c r="B4470" s="100">
        <v>89.478006082639851</v>
      </c>
      <c r="C4470" s="100">
        <v>100.07734314085239</v>
      </c>
      <c r="D4470" s="100">
        <v>93.67724267676617</v>
      </c>
      <c r="E4470" s="100">
        <v>89.382556004149492</v>
      </c>
      <c r="F4470" s="100">
        <v>249.59653099802068</v>
      </c>
      <c r="G4470" s="100">
        <v>-2801.1804513354123</v>
      </c>
      <c r="H4470" s="100">
        <v>-1722.3251425591286</v>
      </c>
      <c r="I4470" s="100">
        <v>3998.0836505517345</v>
      </c>
      <c r="J4470" s="100">
        <v>-275.82541234478595</v>
      </c>
    </row>
    <row r="4471" spans="1:10" x14ac:dyDescent="0.25">
      <c r="A4471">
        <v>4454</v>
      </c>
      <c r="B4471" s="100">
        <v>89.977741016325936</v>
      </c>
      <c r="C4471" s="100">
        <v>97.651964632320301</v>
      </c>
      <c r="D4471" s="100">
        <v>94.495076385506465</v>
      </c>
      <c r="E4471" s="100">
        <v>91.123475952966402</v>
      </c>
      <c r="F4471" s="100">
        <v>-1399.5287501660598</v>
      </c>
      <c r="G4471" s="100">
        <v>836.88731146272494</v>
      </c>
      <c r="H4471" s="100">
        <v>-3357.9925600397191</v>
      </c>
      <c r="I4471" s="100">
        <v>2257.1637017348253</v>
      </c>
      <c r="J4471" s="100">
        <v>-1663.4702970082285</v>
      </c>
    </row>
    <row r="4472" spans="1:10" x14ac:dyDescent="0.25">
      <c r="A4472">
        <v>4455</v>
      </c>
      <c r="B4472" s="100">
        <v>90.183832286003422</v>
      </c>
      <c r="C4472" s="100">
        <v>97.610875989097522</v>
      </c>
      <c r="D4472" s="100">
        <v>92.773958067112304</v>
      </c>
      <c r="E4472" s="100">
        <v>91.816827555289976</v>
      </c>
      <c r="F4472" s="100">
        <v>-2079.629940101765</v>
      </c>
      <c r="G4472" s="100">
        <v>898.52027629689246</v>
      </c>
      <c r="H4472" s="100">
        <v>84.244076748603902</v>
      </c>
      <c r="I4472" s="100">
        <v>1563.8120994112512</v>
      </c>
      <c r="J4472" s="100">
        <v>466.94651235498259</v>
      </c>
    </row>
    <row r="4473" spans="1:10" x14ac:dyDescent="0.25">
      <c r="A4473">
        <v>4456</v>
      </c>
      <c r="B4473" s="100">
        <v>89.911072393091118</v>
      </c>
      <c r="C4473" s="100">
        <v>99.234841205851552</v>
      </c>
      <c r="D4473" s="100">
        <v>94.0615051865189</v>
      </c>
      <c r="E4473" s="100">
        <v>91.146383731756657</v>
      </c>
      <c r="F4473" s="100">
        <v>-1179.5222934911592</v>
      </c>
      <c r="G4473" s="100">
        <v>-1537.4275488341525</v>
      </c>
      <c r="H4473" s="100">
        <v>-2490.8501620645893</v>
      </c>
      <c r="I4473" s="100">
        <v>2234.2559229445696</v>
      </c>
      <c r="J4473" s="100">
        <v>-2973.5440814453314</v>
      </c>
    </row>
    <row r="4474" spans="1:10" x14ac:dyDescent="0.25">
      <c r="A4474">
        <v>4457</v>
      </c>
      <c r="B4474" s="100">
        <v>89.217636795337611</v>
      </c>
      <c r="C4474" s="100">
        <v>97.346173393970219</v>
      </c>
      <c r="D4474" s="100">
        <v>92.939633361258331</v>
      </c>
      <c r="E4474" s="100">
        <v>92.91090417560585</v>
      </c>
      <c r="F4474" s="100">
        <v>1108.8151790954114</v>
      </c>
      <c r="G4474" s="100">
        <v>1295.574168987848</v>
      </c>
      <c r="H4474" s="100">
        <v>-247.10651154344987</v>
      </c>
      <c r="I4474" s="100">
        <v>469.73547909537672</v>
      </c>
      <c r="J4474" s="100">
        <v>2627.0183156351864</v>
      </c>
    </row>
    <row r="4475" spans="1:10" x14ac:dyDescent="0.25">
      <c r="A4475">
        <v>4458</v>
      </c>
      <c r="B4475" s="100">
        <v>89.26539372373017</v>
      </c>
      <c r="C4475" s="100">
        <v>98.960687576432605</v>
      </c>
      <c r="D4475" s="100">
        <v>94.07642262995482</v>
      </c>
      <c r="E4475" s="100">
        <v>93.670536309587277</v>
      </c>
      <c r="F4475" s="100">
        <v>951.21731539996688</v>
      </c>
      <c r="G4475" s="100">
        <v>-1126.1971047057316</v>
      </c>
      <c r="H4475" s="100">
        <v>-2520.6850489364288</v>
      </c>
      <c r="I4475" s="100">
        <v>-289.89665488604999</v>
      </c>
      <c r="J4475" s="100">
        <v>-2985.5614931282435</v>
      </c>
    </row>
    <row r="4476" spans="1:10" x14ac:dyDescent="0.25">
      <c r="A4476">
        <v>4459</v>
      </c>
      <c r="B4476" s="100">
        <v>89.402672140588379</v>
      </c>
      <c r="C4476" s="100">
        <v>98.139542037528088</v>
      </c>
      <c r="D4476" s="100">
        <v>93.316878568369333</v>
      </c>
      <c r="E4476" s="100">
        <v>92.926311177857002</v>
      </c>
      <c r="F4476" s="100">
        <v>498.1985397678784</v>
      </c>
      <c r="G4476" s="100">
        <v>105.521203651044</v>
      </c>
      <c r="H4476" s="100">
        <v>-1001.5969257654547</v>
      </c>
      <c r="I4476" s="100">
        <v>454.32847684422484</v>
      </c>
      <c r="J4476" s="100">
        <v>56.451294497692629</v>
      </c>
    </row>
    <row r="4477" spans="1:10" x14ac:dyDescent="0.25">
      <c r="A4477">
        <v>4460</v>
      </c>
      <c r="B4477" s="100">
        <v>89.266214576861273</v>
      </c>
      <c r="C4477" s="100">
        <v>98.405318971768878</v>
      </c>
      <c r="D4477" s="100">
        <v>92.453363245831994</v>
      </c>
      <c r="E4477" s="100">
        <v>90.508158359964327</v>
      </c>
      <c r="F4477" s="100">
        <v>948.50850006732799</v>
      </c>
      <c r="G4477" s="100">
        <v>-293.14419771014144</v>
      </c>
      <c r="H4477" s="100">
        <v>725.43371930922262</v>
      </c>
      <c r="I4477" s="100">
        <v>2872.4812947369001</v>
      </c>
      <c r="J4477" s="100">
        <v>4253.2793164033092</v>
      </c>
    </row>
    <row r="4478" spans="1:10" x14ac:dyDescent="0.25">
      <c r="A4478">
        <v>4461</v>
      </c>
      <c r="B4478" s="100">
        <v>89.671613633036017</v>
      </c>
      <c r="C4478" s="100">
        <v>98.831330898142326</v>
      </c>
      <c r="D4478" s="100">
        <v>93.234709958168011</v>
      </c>
      <c r="E4478" s="100">
        <v>93.922128306204684</v>
      </c>
      <c r="F4478" s="100">
        <v>-389.30838530932732</v>
      </c>
      <c r="G4478" s="100">
        <v>-932.16208727031358</v>
      </c>
      <c r="H4478" s="100">
        <v>-837.25970536281125</v>
      </c>
      <c r="I4478" s="100">
        <v>-541.48865150345671</v>
      </c>
      <c r="J4478" s="100">
        <v>-2700.2188294459093</v>
      </c>
    </row>
    <row r="4479" spans="1:10" x14ac:dyDescent="0.25">
      <c r="A4479">
        <v>4462</v>
      </c>
      <c r="B4479" s="100">
        <v>90.236002450575413</v>
      </c>
      <c r="C4479" s="100">
        <v>98.080402292297634</v>
      </c>
      <c r="D4479" s="100">
        <v>93.530616705928182</v>
      </c>
      <c r="E4479" s="100">
        <v>90.285342781418564</v>
      </c>
      <c r="F4479" s="100">
        <v>-2251.7914831893322</v>
      </c>
      <c r="G4479" s="100">
        <v>194.2308214967241</v>
      </c>
      <c r="H4479" s="100">
        <v>-1429.0732008831526</v>
      </c>
      <c r="I4479" s="100">
        <v>3095.2968732826635</v>
      </c>
      <c r="J4479" s="100">
        <v>-391.3369892930973</v>
      </c>
    </row>
    <row r="4480" spans="1:10" x14ac:dyDescent="0.25">
      <c r="A4480">
        <v>4463</v>
      </c>
      <c r="B4480" s="100">
        <v>89.654287840527132</v>
      </c>
      <c r="C4480" s="100">
        <v>98.969734472902061</v>
      </c>
      <c r="D4480" s="100">
        <v>94.426732642566833</v>
      </c>
      <c r="E4480" s="100">
        <v>91.159740471031142</v>
      </c>
      <c r="F4480" s="100">
        <v>-332.13327003000757</v>
      </c>
      <c r="G4480" s="100">
        <v>-1139.7674494099165</v>
      </c>
      <c r="H4480" s="100">
        <v>-3221.3050741604548</v>
      </c>
      <c r="I4480" s="100">
        <v>2220.8991836700848</v>
      </c>
      <c r="J4480" s="100">
        <v>-2472.3066099302937</v>
      </c>
    </row>
    <row r="4481" spans="1:10" x14ac:dyDescent="0.25">
      <c r="A4481">
        <v>4464</v>
      </c>
      <c r="B4481" s="100">
        <v>89.363014283532777</v>
      </c>
      <c r="C4481" s="100">
        <v>98.213705831695364</v>
      </c>
      <c r="D4481" s="100">
        <v>92.598034462206016</v>
      </c>
      <c r="E4481" s="100">
        <v>93.20236869530379</v>
      </c>
      <c r="F4481" s="100">
        <v>629.06946805136386</v>
      </c>
      <c r="G4481" s="100">
        <v>-5.7244875998705425</v>
      </c>
      <c r="H4481" s="100">
        <v>436.09128656117946</v>
      </c>
      <c r="I4481" s="100">
        <v>178.27095939743742</v>
      </c>
      <c r="J4481" s="100">
        <v>1237.7072264101103</v>
      </c>
    </row>
    <row r="4482" spans="1:10" x14ac:dyDescent="0.25">
      <c r="A4482">
        <v>4465</v>
      </c>
      <c r="B4482" s="100">
        <v>89.251045769656912</v>
      </c>
      <c r="C4482" s="100">
        <v>98.709823233844574</v>
      </c>
      <c r="D4482" s="100">
        <v>94.274315714842302</v>
      </c>
      <c r="E4482" s="100">
        <v>93.686666201470558</v>
      </c>
      <c r="F4482" s="100">
        <v>998.56556384171995</v>
      </c>
      <c r="G4482" s="100">
        <v>-749.90059082368532</v>
      </c>
      <c r="H4482" s="100">
        <v>-2916.4712187113937</v>
      </c>
      <c r="I4482" s="100">
        <v>-306.02654676933128</v>
      </c>
      <c r="J4482" s="100">
        <v>-2973.8327924626901</v>
      </c>
    </row>
    <row r="4483" spans="1:10" x14ac:dyDescent="0.25">
      <c r="A4483">
        <v>4466</v>
      </c>
      <c r="B4483" s="100">
        <v>89.520533546466339</v>
      </c>
      <c r="C4483" s="100">
        <v>99.321843529326941</v>
      </c>
      <c r="D4483" s="100">
        <v>93.316600480082485</v>
      </c>
      <c r="E4483" s="100">
        <v>93.28468971355197</v>
      </c>
      <c r="F4483" s="100">
        <v>109.25590037060999</v>
      </c>
      <c r="G4483" s="100">
        <v>-1667.9310340472355</v>
      </c>
      <c r="H4483" s="100">
        <v>-1001.040749191759</v>
      </c>
      <c r="I4483" s="100">
        <v>95.949941149257256</v>
      </c>
      <c r="J4483" s="100">
        <v>-2463.7659417191271</v>
      </c>
    </row>
    <row r="4484" spans="1:10" x14ac:dyDescent="0.25">
      <c r="A4484">
        <v>4467</v>
      </c>
      <c r="B4484" s="100">
        <v>89.864652714823137</v>
      </c>
      <c r="C4484" s="100">
        <v>97.980461649415915</v>
      </c>
      <c r="D4484" s="100">
        <v>93.380857547115312</v>
      </c>
      <c r="E4484" s="100">
        <v>97.005409991854805</v>
      </c>
      <c r="F4484" s="100">
        <v>-1026.3373552068231</v>
      </c>
      <c r="G4484" s="100">
        <v>344.14178581930344</v>
      </c>
      <c r="H4484" s="100">
        <v>-1129.5548832574127</v>
      </c>
      <c r="I4484" s="100">
        <v>-3624.7703371535777</v>
      </c>
      <c r="J4484" s="100">
        <v>-5436.5207897985101</v>
      </c>
    </row>
    <row r="4485" spans="1:10" x14ac:dyDescent="0.25">
      <c r="A4485">
        <v>4468</v>
      </c>
      <c r="B4485" s="100">
        <v>89.050263607195134</v>
      </c>
      <c r="C4485" s="100">
        <v>99.775656357406078</v>
      </c>
      <c r="D4485" s="100">
        <v>92.121709228369582</v>
      </c>
      <c r="E4485" s="100">
        <v>94.039091144059086</v>
      </c>
      <c r="F4485" s="100">
        <v>1661.1466999655861</v>
      </c>
      <c r="G4485" s="100">
        <v>-2348.6502761659408</v>
      </c>
      <c r="H4485" s="100">
        <v>1388.7417542340472</v>
      </c>
      <c r="I4485" s="100">
        <v>-658.45148935785858</v>
      </c>
      <c r="J4485" s="100">
        <v>42.786688675833943</v>
      </c>
    </row>
    <row r="4486" spans="1:10" x14ac:dyDescent="0.25">
      <c r="A4486">
        <v>4469</v>
      </c>
      <c r="B4486" s="100">
        <v>89.758218538593738</v>
      </c>
      <c r="C4486" s="100">
        <v>99.271483776511474</v>
      </c>
      <c r="D4486" s="100">
        <v>93.588975159654694</v>
      </c>
      <c r="E4486" s="100">
        <v>93.268561253961636</v>
      </c>
      <c r="F4486" s="100">
        <v>-675.10457364980562</v>
      </c>
      <c r="G4486" s="100">
        <v>-1592.3914048240349</v>
      </c>
      <c r="H4486" s="100">
        <v>-1545.7901083361776</v>
      </c>
      <c r="I4486" s="100">
        <v>112.07840073959119</v>
      </c>
      <c r="J4486" s="100">
        <v>-3701.2076860704265</v>
      </c>
    </row>
    <row r="4487" spans="1:10" x14ac:dyDescent="0.25">
      <c r="A4487">
        <v>4470</v>
      </c>
      <c r="B4487" s="100">
        <v>89.118171775445589</v>
      </c>
      <c r="C4487" s="100">
        <v>97.640179457936114</v>
      </c>
      <c r="D4487" s="100">
        <v>92.583482464245861</v>
      </c>
      <c r="E4487" s="100">
        <v>92.881236330460183</v>
      </c>
      <c r="F4487" s="100">
        <v>1437.049744739086</v>
      </c>
      <c r="G4487" s="100">
        <v>854.56507303900503</v>
      </c>
      <c r="H4487" s="100">
        <v>465.19528248148845</v>
      </c>
      <c r="I4487" s="100">
        <v>499.40332424104383</v>
      </c>
      <c r="J4487" s="100">
        <v>3256.2134245006232</v>
      </c>
    </row>
    <row r="4488" spans="1:10" x14ac:dyDescent="0.25">
      <c r="A4488">
        <v>4471</v>
      </c>
      <c r="B4488" s="100">
        <v>89.662737546296029</v>
      </c>
      <c r="C4488" s="100">
        <v>98.577525296097974</v>
      </c>
      <c r="D4488" s="100">
        <v>92.653053184740088</v>
      </c>
      <c r="E4488" s="100">
        <v>96.093702497784108</v>
      </c>
      <c r="F4488" s="100">
        <v>-360.01729906736557</v>
      </c>
      <c r="G4488" s="100">
        <v>-551.45368420378554</v>
      </c>
      <c r="H4488" s="100">
        <v>326.05384149303518</v>
      </c>
      <c r="I4488" s="100">
        <v>-2713.0628430828806</v>
      </c>
      <c r="J4488" s="100">
        <v>-3298.4799848609964</v>
      </c>
    </row>
    <row r="4489" spans="1:10" x14ac:dyDescent="0.25">
      <c r="A4489">
        <v>4472</v>
      </c>
      <c r="B4489" s="100">
        <v>89.968983883488988</v>
      </c>
      <c r="C4489" s="100">
        <v>97.877982012879343</v>
      </c>
      <c r="D4489" s="100">
        <v>92.394217895063377</v>
      </c>
      <c r="E4489" s="100">
        <v>88.841815119306048</v>
      </c>
      <c r="F4489" s="100">
        <v>-1370.6302118041322</v>
      </c>
      <c r="G4489" s="100">
        <v>497.86124062416093</v>
      </c>
      <c r="H4489" s="100">
        <v>843.72442084645627</v>
      </c>
      <c r="I4489" s="100">
        <v>4538.8245353951788</v>
      </c>
      <c r="J4489" s="100">
        <v>4509.7799850616639</v>
      </c>
    </row>
    <row r="4490" spans="1:10" x14ac:dyDescent="0.25">
      <c r="A4490">
        <v>4473</v>
      </c>
      <c r="B4490" s="100">
        <v>89.566148863703603</v>
      </c>
      <c r="C4490" s="100">
        <v>101.20046839949941</v>
      </c>
      <c r="D4490" s="100">
        <v>93.506066649652041</v>
      </c>
      <c r="E4490" s="100">
        <v>93.28288929628431</v>
      </c>
      <c r="F4490" s="100">
        <v>-41.274646512360391</v>
      </c>
      <c r="G4490" s="100">
        <v>-4485.8683393059455</v>
      </c>
      <c r="H4490" s="100">
        <v>-1379.9730883308712</v>
      </c>
      <c r="I4490" s="100">
        <v>97.750358416917038</v>
      </c>
      <c r="J4490" s="100">
        <v>-5809.3657157322596</v>
      </c>
    </row>
    <row r="4491" spans="1:10" x14ac:dyDescent="0.25">
      <c r="A4491">
        <v>4474</v>
      </c>
      <c r="B4491" s="100">
        <v>89.809227949532229</v>
      </c>
      <c r="C4491" s="100">
        <v>96.941841148398424</v>
      </c>
      <c r="D4491" s="100">
        <v>90.426059548760776</v>
      </c>
      <c r="E4491" s="100">
        <v>92.860021120869931</v>
      </c>
      <c r="F4491" s="100">
        <v>-843.4356297468255</v>
      </c>
      <c r="G4491" s="100">
        <v>1902.0725373455391</v>
      </c>
      <c r="H4491" s="100">
        <v>4780.0411134516598</v>
      </c>
      <c r="I4491" s="100">
        <v>520.6185338312963</v>
      </c>
      <c r="J4491" s="100">
        <v>6359.2965548816692</v>
      </c>
    </row>
    <row r="4492" spans="1:10" x14ac:dyDescent="0.25">
      <c r="A4492">
        <v>4475</v>
      </c>
      <c r="B4492" s="100">
        <v>89.06017677940558</v>
      </c>
      <c r="C4492" s="100">
        <v>98.846408698375768</v>
      </c>
      <c r="D4492" s="100">
        <v>91.378236886015401</v>
      </c>
      <c r="E4492" s="100">
        <v>90.856971249853686</v>
      </c>
      <c r="F4492" s="100">
        <v>1628.4332316711143</v>
      </c>
      <c r="G4492" s="100">
        <v>-954.77878762047658</v>
      </c>
      <c r="H4492" s="100">
        <v>2875.6864389424095</v>
      </c>
      <c r="I4492" s="100">
        <v>2523.6684048475408</v>
      </c>
      <c r="J4492" s="100">
        <v>6073.0092878405885</v>
      </c>
    </row>
    <row r="4493" spans="1:10" x14ac:dyDescent="0.25">
      <c r="A4493">
        <v>4476</v>
      </c>
      <c r="B4493" s="100">
        <v>88.789527679705898</v>
      </c>
      <c r="C4493" s="100">
        <v>99.00492138351332</v>
      </c>
      <c r="D4493" s="100">
        <v>93.858439953567895</v>
      </c>
      <c r="E4493" s="100">
        <v>92.493736782252029</v>
      </c>
      <c r="F4493" s="100">
        <v>2521.5752606800647</v>
      </c>
      <c r="G4493" s="100">
        <v>-1192.5478153268045</v>
      </c>
      <c r="H4493" s="100">
        <v>-2084.7196961625796</v>
      </c>
      <c r="I4493" s="100">
        <v>886.9028724491983</v>
      </c>
      <c r="J4493" s="100">
        <v>131.21062163987892</v>
      </c>
    </row>
    <row r="4494" spans="1:10" x14ac:dyDescent="0.25">
      <c r="A4494">
        <v>4477</v>
      </c>
      <c r="B4494" s="100">
        <v>89.613727460845013</v>
      </c>
      <c r="C4494" s="100">
        <v>97.852781242972469</v>
      </c>
      <c r="D4494" s="100">
        <v>90.519618297970311</v>
      </c>
      <c r="E4494" s="100">
        <v>94.00391266560905</v>
      </c>
      <c r="F4494" s="100">
        <v>-198.28401707901264</v>
      </c>
      <c r="G4494" s="100">
        <v>535.6623954844722</v>
      </c>
      <c r="H4494" s="100">
        <v>4592.9236150325887</v>
      </c>
      <c r="I4494" s="100">
        <v>-623.27301090782328</v>
      </c>
      <c r="J4494" s="100">
        <v>4307.0289825302252</v>
      </c>
    </row>
    <row r="4495" spans="1:10" x14ac:dyDescent="0.25">
      <c r="A4495">
        <v>4478</v>
      </c>
      <c r="B4495" s="100">
        <v>89.486431051835524</v>
      </c>
      <c r="C4495" s="100">
        <v>98.345750666160512</v>
      </c>
      <c r="D4495" s="100">
        <v>92.830093288098766</v>
      </c>
      <c r="E4495" s="100">
        <v>94.649594406531733</v>
      </c>
      <c r="F4495" s="100">
        <v>221.79413265230039</v>
      </c>
      <c r="G4495" s="100">
        <v>-203.79173929759276</v>
      </c>
      <c r="H4495" s="100">
        <v>-28.026365224320671</v>
      </c>
      <c r="I4495" s="100">
        <v>-1268.9547518305062</v>
      </c>
      <c r="J4495" s="100">
        <v>-1278.9787237001192</v>
      </c>
    </row>
    <row r="4496" spans="1:10" x14ac:dyDescent="0.25">
      <c r="A4496">
        <v>4479</v>
      </c>
      <c r="B4496" s="100">
        <v>89.359013208737636</v>
      </c>
      <c r="C4496" s="100">
        <v>97.366531953513046</v>
      </c>
      <c r="D4496" s="100">
        <v>92.995922448697087</v>
      </c>
      <c r="E4496" s="100">
        <v>91.536426388064186</v>
      </c>
      <c r="F4496" s="100">
        <v>642.27301487533032</v>
      </c>
      <c r="G4496" s="100">
        <v>1265.0363296736059</v>
      </c>
      <c r="H4496" s="100">
        <v>-359.68468642096241</v>
      </c>
      <c r="I4496" s="100">
        <v>1844.2132666370412</v>
      </c>
      <c r="J4496" s="100">
        <v>3391.837924765015</v>
      </c>
    </row>
    <row r="4497" spans="1:10" x14ac:dyDescent="0.25">
      <c r="A4497">
        <v>4480</v>
      </c>
      <c r="B4497" s="100">
        <v>89.742772665714995</v>
      </c>
      <c r="C4497" s="100">
        <v>97.723994486357995</v>
      </c>
      <c r="D4497" s="100">
        <v>92.732515945512418</v>
      </c>
      <c r="E4497" s="100">
        <v>91.521893581481706</v>
      </c>
      <c r="F4497" s="100">
        <v>-624.13319314995306</v>
      </c>
      <c r="G4497" s="100">
        <v>728.84253040618319</v>
      </c>
      <c r="H4497" s="100">
        <v>167.12831994837529</v>
      </c>
      <c r="I4497" s="100">
        <v>1858.7460732195211</v>
      </c>
      <c r="J4497" s="100">
        <v>2130.5837304241268</v>
      </c>
    </row>
    <row r="4498" spans="1:10" x14ac:dyDescent="0.25">
      <c r="A4498">
        <v>4481</v>
      </c>
      <c r="B4498" s="100">
        <v>89.762447688925207</v>
      </c>
      <c r="C4498" s="100">
        <v>100.48150023174441</v>
      </c>
      <c r="D4498" s="100">
        <v>91.871299217675116</v>
      </c>
      <c r="E4498" s="100">
        <v>92.76604599151915</v>
      </c>
      <c r="F4498" s="100">
        <v>-689.06076974365214</v>
      </c>
      <c r="G4498" s="100">
        <v>-3407.4160876734327</v>
      </c>
      <c r="H4498" s="100">
        <v>1889.5617756229797</v>
      </c>
      <c r="I4498" s="100">
        <v>614.59366318207742</v>
      </c>
      <c r="J4498" s="100">
        <v>-1592.3214186120281</v>
      </c>
    </row>
    <row r="4499" spans="1:10" x14ac:dyDescent="0.25">
      <c r="A4499">
        <v>4482</v>
      </c>
      <c r="B4499" s="100">
        <v>89.636454927216832</v>
      </c>
      <c r="C4499" s="100">
        <v>98.1528351248066</v>
      </c>
      <c r="D4499" s="100">
        <v>93.613621957975212</v>
      </c>
      <c r="E4499" s="100">
        <v>91.131665756878562</v>
      </c>
      <c r="F4499" s="100">
        <v>-273.28465610601569</v>
      </c>
      <c r="G4499" s="100">
        <v>85.58157273327538</v>
      </c>
      <c r="H4499" s="100">
        <v>-1595.0837049772133</v>
      </c>
      <c r="I4499" s="100">
        <v>2248.9738978226655</v>
      </c>
      <c r="J4499" s="100">
        <v>466.18710947271188</v>
      </c>
    </row>
    <row r="4500" spans="1:10" x14ac:dyDescent="0.25">
      <c r="A4500">
        <v>4483</v>
      </c>
      <c r="B4500" s="100">
        <v>89.06920299685487</v>
      </c>
      <c r="C4500" s="100">
        <v>99.446041125622813</v>
      </c>
      <c r="D4500" s="100">
        <v>93.939004310127871</v>
      </c>
      <c r="E4500" s="100">
        <v>91.91299888206261</v>
      </c>
      <c r="F4500" s="100">
        <v>1598.6467140884599</v>
      </c>
      <c r="G4500" s="100">
        <v>-1854.2274284910434</v>
      </c>
      <c r="H4500" s="100">
        <v>-2245.8484092825302</v>
      </c>
      <c r="I4500" s="100">
        <v>1467.6407726386174</v>
      </c>
      <c r="J4500" s="100">
        <v>-1033.7883510464962</v>
      </c>
    </row>
    <row r="4501" spans="1:10" x14ac:dyDescent="0.25">
      <c r="A4501">
        <v>4484</v>
      </c>
      <c r="B4501" s="100">
        <v>89.336822727924002</v>
      </c>
      <c r="C4501" s="100">
        <v>98.501210794381024</v>
      </c>
      <c r="D4501" s="100">
        <v>91.286045691942647</v>
      </c>
      <c r="E4501" s="100">
        <v>95.71700672391232</v>
      </c>
      <c r="F4501" s="100">
        <v>715.50160156032371</v>
      </c>
      <c r="G4501" s="100">
        <v>-436.98193162835963</v>
      </c>
      <c r="H4501" s="100">
        <v>3060.0688270879173</v>
      </c>
      <c r="I4501" s="100">
        <v>-2336.3670692110927</v>
      </c>
      <c r="J4501" s="100">
        <v>1002.2214278087886</v>
      </c>
    </row>
    <row r="4502" spans="1:10" x14ac:dyDescent="0.25">
      <c r="A4502">
        <v>4485</v>
      </c>
      <c r="B4502" s="100">
        <v>89.661031443588797</v>
      </c>
      <c r="C4502" s="100">
        <v>97.883344747205726</v>
      </c>
      <c r="D4502" s="100">
        <v>93.509480419374597</v>
      </c>
      <c r="E4502" s="100">
        <v>91.992182426432365</v>
      </c>
      <c r="F4502" s="100">
        <v>-354.38716013350131</v>
      </c>
      <c r="G4502" s="100">
        <v>489.81713913458691</v>
      </c>
      <c r="H4502" s="100">
        <v>-1386.8006277759832</v>
      </c>
      <c r="I4502" s="100">
        <v>1388.4572282688623</v>
      </c>
      <c r="J4502" s="100">
        <v>137.08657949396456</v>
      </c>
    </row>
    <row r="4503" spans="1:10" x14ac:dyDescent="0.25">
      <c r="A4503">
        <v>4486</v>
      </c>
      <c r="B4503" s="100">
        <v>90.023583723860668</v>
      </c>
      <c r="C4503" s="100">
        <v>97.117989819445313</v>
      </c>
      <c r="D4503" s="100">
        <v>91.265520261590112</v>
      </c>
      <c r="E4503" s="100">
        <v>93.259406831759065</v>
      </c>
      <c r="F4503" s="100">
        <v>-1550.8096850306742</v>
      </c>
      <c r="G4503" s="100">
        <v>1637.8495307752062</v>
      </c>
      <c r="H4503" s="100">
        <v>3101.1196877929879</v>
      </c>
      <c r="I4503" s="100">
        <v>121.23282294216153</v>
      </c>
      <c r="J4503" s="100">
        <v>3309.392356479681</v>
      </c>
    </row>
    <row r="4504" spans="1:10" x14ac:dyDescent="0.25">
      <c r="A4504">
        <v>4487</v>
      </c>
      <c r="B4504" s="100">
        <v>89.91042539378752</v>
      </c>
      <c r="C4504" s="100">
        <v>98.762852452127731</v>
      </c>
      <c r="D4504" s="100">
        <v>93.256824390185827</v>
      </c>
      <c r="E4504" s="100">
        <v>94.762114458588897</v>
      </c>
      <c r="F4504" s="100">
        <v>-1177.3871957892866</v>
      </c>
      <c r="G4504" s="100">
        <v>-829.44441824842124</v>
      </c>
      <c r="H4504" s="100">
        <v>-881.48856939844222</v>
      </c>
      <c r="I4504" s="100">
        <v>-1381.4748038876701</v>
      </c>
      <c r="J4504" s="100">
        <v>-4269.7949873238194</v>
      </c>
    </row>
    <row r="4505" spans="1:10" x14ac:dyDescent="0.25">
      <c r="A4505">
        <v>4488</v>
      </c>
      <c r="B4505" s="100">
        <v>90.286110421666166</v>
      </c>
      <c r="C4505" s="100">
        <v>97.67676200745511</v>
      </c>
      <c r="D4505" s="100">
        <v>92.740550952681204</v>
      </c>
      <c r="E4505" s="100">
        <v>94.18323917157052</v>
      </c>
      <c r="F4505" s="100">
        <v>-2417.1477877888178</v>
      </c>
      <c r="G4505" s="100">
        <v>799.69124876051012</v>
      </c>
      <c r="H4505" s="100">
        <v>151.05830561080325</v>
      </c>
      <c r="I4505" s="100">
        <v>-802.59951686929298</v>
      </c>
      <c r="J4505" s="100">
        <v>-2268.9977502867978</v>
      </c>
    </row>
    <row r="4506" spans="1:10" x14ac:dyDescent="0.25">
      <c r="A4506">
        <v>4489</v>
      </c>
      <c r="B4506" s="100">
        <v>89.316910512657088</v>
      </c>
      <c r="C4506" s="100">
        <v>97.304201193424376</v>
      </c>
      <c r="D4506" s="100">
        <v>94.02518521127449</v>
      </c>
      <c r="E4506" s="100">
        <v>93.269212521692225</v>
      </c>
      <c r="F4506" s="100">
        <v>781.21191194113771</v>
      </c>
      <c r="G4506" s="100">
        <v>1358.5324698066117</v>
      </c>
      <c r="H4506" s="100">
        <v>-2418.2102115757689</v>
      </c>
      <c r="I4506" s="100">
        <v>111.42713300900198</v>
      </c>
      <c r="J4506" s="100">
        <v>-167.03869681901722</v>
      </c>
    </row>
    <row r="4507" spans="1:10" x14ac:dyDescent="0.25">
      <c r="A4507">
        <v>4490</v>
      </c>
      <c r="B4507" s="100">
        <v>89.459249650497625</v>
      </c>
      <c r="C4507" s="100">
        <v>97.980080541357466</v>
      </c>
      <c r="D4507" s="100">
        <v>93.472259543944972</v>
      </c>
      <c r="E4507" s="100">
        <v>89.709862095058341</v>
      </c>
      <c r="F4507" s="100">
        <v>311.49275706736574</v>
      </c>
      <c r="G4507" s="100">
        <v>344.713447906976</v>
      </c>
      <c r="H4507" s="100">
        <v>-1312.3588769167327</v>
      </c>
      <c r="I4507" s="100">
        <v>3670.777559642886</v>
      </c>
      <c r="J4507" s="100">
        <v>3014.624887700495</v>
      </c>
    </row>
    <row r="4508" spans="1:10" x14ac:dyDescent="0.25">
      <c r="A4508">
        <v>4491</v>
      </c>
      <c r="B4508" s="100">
        <v>90.261245158389301</v>
      </c>
      <c r="C4508" s="100">
        <v>97.480738722495715</v>
      </c>
      <c r="D4508" s="100">
        <v>91.167655762085829</v>
      </c>
      <c r="E4508" s="100">
        <v>93.463332563892791</v>
      </c>
      <c r="F4508" s="100">
        <v>-2335.0924189751622</v>
      </c>
      <c r="G4508" s="100">
        <v>1093.7261761996026</v>
      </c>
      <c r="H4508" s="100">
        <v>3296.8486868015534</v>
      </c>
      <c r="I4508" s="100">
        <v>-82.692909191564468</v>
      </c>
      <c r="J4508" s="100">
        <v>1972.7895348344291</v>
      </c>
    </row>
    <row r="4509" spans="1:10" x14ac:dyDescent="0.25">
      <c r="A4509">
        <v>4492</v>
      </c>
      <c r="B4509" s="100">
        <v>89.312023253542463</v>
      </c>
      <c r="C4509" s="100">
        <v>97.987279428667065</v>
      </c>
      <c r="D4509" s="100">
        <v>92.68636062267619</v>
      </c>
      <c r="E4509" s="100">
        <v>93.280120404128979</v>
      </c>
      <c r="F4509" s="100">
        <v>797.33986701940012</v>
      </c>
      <c r="G4509" s="100">
        <v>333.91511694257758</v>
      </c>
      <c r="H4509" s="100">
        <v>259.43896562083069</v>
      </c>
      <c r="I4509" s="100">
        <v>100.51925057224764</v>
      </c>
      <c r="J4509" s="100">
        <v>1491.2132001550563</v>
      </c>
    </row>
    <row r="4510" spans="1:10" x14ac:dyDescent="0.25">
      <c r="A4510">
        <v>4493</v>
      </c>
      <c r="B4510" s="100">
        <v>89.493383723172101</v>
      </c>
      <c r="C4510" s="100">
        <v>98.919348904189647</v>
      </c>
      <c r="D4510" s="100">
        <v>92.395422637087435</v>
      </c>
      <c r="E4510" s="100">
        <v>95.735058710550959</v>
      </c>
      <c r="F4510" s="100">
        <v>198.85031724159461</v>
      </c>
      <c r="G4510" s="100">
        <v>-1064.1890963412948</v>
      </c>
      <c r="H4510" s="100">
        <v>841.3149367983408</v>
      </c>
      <c r="I4510" s="100">
        <v>-2354.4190558497321</v>
      </c>
      <c r="J4510" s="100">
        <v>-2378.4428981510914</v>
      </c>
    </row>
    <row r="4511" spans="1:10" x14ac:dyDescent="0.25">
      <c r="A4511">
        <v>4494</v>
      </c>
      <c r="B4511" s="100">
        <v>89.659973179391713</v>
      </c>
      <c r="C4511" s="100">
        <v>98.245984938609723</v>
      </c>
      <c r="D4511" s="100">
        <v>92.745465062512281</v>
      </c>
      <c r="E4511" s="100">
        <v>97.061078332136873</v>
      </c>
      <c r="F4511" s="100">
        <v>-350.89488828312341</v>
      </c>
      <c r="G4511" s="100">
        <v>-54.143147971409178</v>
      </c>
      <c r="H4511" s="100">
        <v>141.23008594864928</v>
      </c>
      <c r="I4511" s="100">
        <v>-3680.4386774356458</v>
      </c>
      <c r="J4511" s="100">
        <v>-3944.2466277415292</v>
      </c>
    </row>
    <row r="4512" spans="1:10" x14ac:dyDescent="0.25">
      <c r="A4512">
        <v>4495</v>
      </c>
      <c r="B4512" s="100">
        <v>88.931523880333756</v>
      </c>
      <c r="C4512" s="100">
        <v>98.107812658298712</v>
      </c>
      <c r="D4512" s="100">
        <v>92.787431508438999</v>
      </c>
      <c r="E4512" s="100">
        <v>95.450721905939091</v>
      </c>
      <c r="F4512" s="100">
        <v>2052.9877986081333</v>
      </c>
      <c r="G4512" s="100">
        <v>153.11527249510704</v>
      </c>
      <c r="H4512" s="100">
        <v>57.297194095212944</v>
      </c>
      <c r="I4512" s="100">
        <v>-2070.0822512378636</v>
      </c>
      <c r="J4512" s="100">
        <v>193.31801396058972</v>
      </c>
    </row>
    <row r="4513" spans="1:10" x14ac:dyDescent="0.25">
      <c r="A4513">
        <v>4496</v>
      </c>
      <c r="B4513" s="100">
        <v>88.669058159464328</v>
      </c>
      <c r="C4513" s="100">
        <v>98.577840847330478</v>
      </c>
      <c r="D4513" s="100">
        <v>94.261769478424839</v>
      </c>
      <c r="E4513" s="100">
        <v>95.284344796823433</v>
      </c>
      <c r="F4513" s="100">
        <v>2919.124677477248</v>
      </c>
      <c r="G4513" s="100">
        <v>-551.92701105254116</v>
      </c>
      <c r="H4513" s="100">
        <v>-2891.3787458764659</v>
      </c>
      <c r="I4513" s="100">
        <v>-1903.7051421222059</v>
      </c>
      <c r="J4513" s="100">
        <v>-2427.886221573965</v>
      </c>
    </row>
    <row r="4514" spans="1:10" x14ac:dyDescent="0.25">
      <c r="A4514">
        <v>4497</v>
      </c>
      <c r="B4514" s="100">
        <v>89.992923160127063</v>
      </c>
      <c r="C4514" s="100">
        <v>98.969341262122839</v>
      </c>
      <c r="D4514" s="100">
        <v>93.124482535788559</v>
      </c>
      <c r="E4514" s="100">
        <v>94.118132169836187</v>
      </c>
      <c r="F4514" s="100">
        <v>-1449.6298247097784</v>
      </c>
      <c r="G4514" s="100">
        <v>-1139.1776332410827</v>
      </c>
      <c r="H4514" s="100">
        <v>-616.80486060390649</v>
      </c>
      <c r="I4514" s="100">
        <v>-737.49251513496006</v>
      </c>
      <c r="J4514" s="100">
        <v>-3943.1048336897275</v>
      </c>
    </row>
    <row r="4515" spans="1:10" x14ac:dyDescent="0.25">
      <c r="A4515">
        <v>4498</v>
      </c>
      <c r="B4515" s="100">
        <v>90.45342531586769</v>
      </c>
      <c r="C4515" s="100">
        <v>98.529133613789881</v>
      </c>
      <c r="D4515" s="100">
        <v>92.718570955409675</v>
      </c>
      <c r="E4515" s="100">
        <v>93.353066172532721</v>
      </c>
      <c r="F4515" s="100">
        <v>-2969.2869386538491</v>
      </c>
      <c r="G4515" s="100">
        <v>-478.86616074164579</v>
      </c>
      <c r="H4515" s="100">
        <v>195.0183001538619</v>
      </c>
      <c r="I4515" s="100">
        <v>27.573482168506303</v>
      </c>
      <c r="J4515" s="100">
        <v>-3225.5613170731267</v>
      </c>
    </row>
    <row r="4516" spans="1:10" x14ac:dyDescent="0.25">
      <c r="A4516">
        <v>4499</v>
      </c>
      <c r="B4516" s="100">
        <v>89.280434381339916</v>
      </c>
      <c r="C4516" s="100">
        <v>98.472504855969333</v>
      </c>
      <c r="D4516" s="100">
        <v>93.320330130482461</v>
      </c>
      <c r="E4516" s="100">
        <v>92.112852002927482</v>
      </c>
      <c r="F4516" s="100">
        <v>901.5831452878075</v>
      </c>
      <c r="G4516" s="100">
        <v>-393.92302401082446</v>
      </c>
      <c r="H4516" s="100">
        <v>-1008.5000499917101</v>
      </c>
      <c r="I4516" s="100">
        <v>1267.7876517737445</v>
      </c>
      <c r="J4516" s="100">
        <v>766.94772305901756</v>
      </c>
    </row>
    <row r="4517" spans="1:10" x14ac:dyDescent="0.25">
      <c r="A4517">
        <v>4500</v>
      </c>
      <c r="B4517" s="100">
        <v>89.250559482740854</v>
      </c>
      <c r="C4517" s="100">
        <v>99.122108415353267</v>
      </c>
      <c r="D4517" s="100">
        <v>93.284892661107932</v>
      </c>
      <c r="E4517" s="100">
        <v>92.273843087274585</v>
      </c>
      <c r="F4517" s="100">
        <v>1000.1703106647099</v>
      </c>
      <c r="G4517" s="100">
        <v>-1368.3283630867252</v>
      </c>
      <c r="H4517" s="100">
        <v>-937.62511124265302</v>
      </c>
      <c r="I4517" s="100">
        <v>1106.7965674266418</v>
      </c>
      <c r="J4517" s="100">
        <v>-198.98659623802655</v>
      </c>
    </row>
    <row r="4518" spans="1:10" x14ac:dyDescent="0.25">
      <c r="A4518">
        <v>4501</v>
      </c>
      <c r="B4518" s="100">
        <v>89.560305443391641</v>
      </c>
      <c r="C4518" s="100">
        <v>98.423142104906006</v>
      </c>
      <c r="D4518" s="100">
        <v>92.340003392019852</v>
      </c>
      <c r="E4518" s="100">
        <v>94.025879593923221</v>
      </c>
      <c r="F4518" s="100">
        <v>-21.991359482886708</v>
      </c>
      <c r="G4518" s="100">
        <v>-319.87889741583331</v>
      </c>
      <c r="H4518" s="100">
        <v>952.15342693350635</v>
      </c>
      <c r="I4518" s="100">
        <v>-645.23993922199452</v>
      </c>
      <c r="J4518" s="100">
        <v>-34.956769187208238</v>
      </c>
    </row>
    <row r="4519" spans="1:10" x14ac:dyDescent="0.25">
      <c r="A4519">
        <v>4502</v>
      </c>
      <c r="B4519" s="100">
        <v>89.404676491473751</v>
      </c>
      <c r="C4519" s="100">
        <v>99.043932880832941</v>
      </c>
      <c r="D4519" s="100">
        <v>94.384646668635241</v>
      </c>
      <c r="E4519" s="100">
        <v>94.055474795392726</v>
      </c>
      <c r="F4519" s="100">
        <v>491.58418184615158</v>
      </c>
      <c r="G4519" s="100">
        <v>-1251.0650613062353</v>
      </c>
      <c r="H4519" s="100">
        <v>-3137.1331262972717</v>
      </c>
      <c r="I4519" s="100">
        <v>-674.83514069149919</v>
      </c>
      <c r="J4519" s="100">
        <v>-4571.4491464488547</v>
      </c>
    </row>
    <row r="4520" spans="1:10" x14ac:dyDescent="0.25">
      <c r="A4520">
        <v>4503</v>
      </c>
      <c r="B4520" s="100">
        <v>88.748527192402292</v>
      </c>
      <c r="C4520" s="100">
        <v>96.505794956453357</v>
      </c>
      <c r="D4520" s="100">
        <v>93.295920509786598</v>
      </c>
      <c r="E4520" s="100">
        <v>94.287692719529034</v>
      </c>
      <c r="F4520" s="100">
        <v>2656.8768687819643</v>
      </c>
      <c r="G4520" s="100">
        <v>2556.1418252631397</v>
      </c>
      <c r="H4520" s="100">
        <v>-959.68080859998395</v>
      </c>
      <c r="I4520" s="100">
        <v>-907.05306482780657</v>
      </c>
      <c r="J4520" s="100">
        <v>3346.2848206173139</v>
      </c>
    </row>
    <row r="4521" spans="1:10" x14ac:dyDescent="0.25">
      <c r="A4521">
        <v>4504</v>
      </c>
      <c r="B4521" s="100">
        <v>89.277719356482393</v>
      </c>
      <c r="C4521" s="100">
        <v>98.180154448451844</v>
      </c>
      <c r="D4521" s="100">
        <v>92.542537593327992</v>
      </c>
      <c r="E4521" s="100">
        <v>91.889998984232975</v>
      </c>
      <c r="F4521" s="100">
        <v>910.54272731763172</v>
      </c>
      <c r="G4521" s="100">
        <v>44.602587265408999</v>
      </c>
      <c r="H4521" s="100">
        <v>547.0850243172265</v>
      </c>
      <c r="I4521" s="100">
        <v>1490.6406704682524</v>
      </c>
      <c r="J4521" s="100">
        <v>2992.8710093685195</v>
      </c>
    </row>
    <row r="4522" spans="1:10" x14ac:dyDescent="0.25">
      <c r="A4522">
        <v>4505</v>
      </c>
      <c r="B4522" s="100">
        <v>89.487999746595207</v>
      </c>
      <c r="C4522" s="100">
        <v>98.96140571753736</v>
      </c>
      <c r="D4522" s="100">
        <v>90.793789014213829</v>
      </c>
      <c r="E4522" s="100">
        <v>93.173095011276743</v>
      </c>
      <c r="F4522" s="100">
        <v>216.61743994534532</v>
      </c>
      <c r="G4522" s="100">
        <v>-1127.2743163628647</v>
      </c>
      <c r="H4522" s="100">
        <v>4044.5821825455541</v>
      </c>
      <c r="I4522" s="100">
        <v>207.54464342448387</v>
      </c>
      <c r="J4522" s="100">
        <v>3341.4699495525183</v>
      </c>
    </row>
    <row r="4523" spans="1:10" x14ac:dyDescent="0.25">
      <c r="A4523">
        <v>4506</v>
      </c>
      <c r="B4523" s="100">
        <v>89.444114892151177</v>
      </c>
      <c r="C4523" s="100">
        <v>97.707717422124901</v>
      </c>
      <c r="D4523" s="100">
        <v>93.707096031581443</v>
      </c>
      <c r="E4523" s="100">
        <v>93.436613322629455</v>
      </c>
      <c r="F4523" s="100">
        <v>361.43745961064582</v>
      </c>
      <c r="G4523" s="100">
        <v>753.25812675582426</v>
      </c>
      <c r="H4523" s="100">
        <v>-1782.0318521896752</v>
      </c>
      <c r="I4523" s="100">
        <v>-55.97366792822811</v>
      </c>
      <c r="J4523" s="100">
        <v>-723.30993375143328</v>
      </c>
    </row>
    <row r="4524" spans="1:10" x14ac:dyDescent="0.25">
      <c r="A4524">
        <v>4507</v>
      </c>
      <c r="B4524" s="100">
        <v>89.411935140653725</v>
      </c>
      <c r="C4524" s="100">
        <v>99.391582730792393</v>
      </c>
      <c r="D4524" s="100">
        <v>92.612363612227526</v>
      </c>
      <c r="E4524" s="100">
        <v>91.612818923116279</v>
      </c>
      <c r="F4524" s="100">
        <v>467.63063955223743</v>
      </c>
      <c r="G4524" s="100">
        <v>-1772.5398362454143</v>
      </c>
      <c r="H4524" s="100">
        <v>407.43298651815962</v>
      </c>
      <c r="I4524" s="100">
        <v>1767.8207315849477</v>
      </c>
      <c r="J4524" s="100">
        <v>870.34452140993039</v>
      </c>
    </row>
    <row r="4525" spans="1:10" x14ac:dyDescent="0.25">
      <c r="A4525">
        <v>4508</v>
      </c>
      <c r="B4525" s="100">
        <v>89.641007148855905</v>
      </c>
      <c r="C4525" s="100">
        <v>98.245645471370935</v>
      </c>
      <c r="D4525" s="100">
        <v>93.004848251727353</v>
      </c>
      <c r="E4525" s="100">
        <v>93.948388501996135</v>
      </c>
      <c r="F4525" s="100">
        <v>-288.30698751495873</v>
      </c>
      <c r="G4525" s="100">
        <v>-53.633947113226554</v>
      </c>
      <c r="H4525" s="100">
        <v>-377.53629248149423</v>
      </c>
      <c r="I4525" s="100">
        <v>-567.74884729490793</v>
      </c>
      <c r="J4525" s="100">
        <v>-1287.2260744045875</v>
      </c>
    </row>
    <row r="4526" spans="1:10" x14ac:dyDescent="0.25">
      <c r="A4526">
        <v>4509</v>
      </c>
      <c r="B4526" s="100">
        <v>89.189656418413009</v>
      </c>
      <c r="C4526" s="100">
        <v>98.287004363847004</v>
      </c>
      <c r="D4526" s="100">
        <v>92.271923549513801</v>
      </c>
      <c r="E4526" s="100">
        <v>92.805662181744665</v>
      </c>
      <c r="F4526" s="100">
        <v>1201.1504229466013</v>
      </c>
      <c r="G4526" s="100">
        <v>-115.6722858273298</v>
      </c>
      <c r="H4526" s="100">
        <v>1088.3131119456095</v>
      </c>
      <c r="I4526" s="100">
        <v>574.97747295656154</v>
      </c>
      <c r="J4526" s="100">
        <v>2748.768722021443</v>
      </c>
    </row>
    <row r="4527" spans="1:10" x14ac:dyDescent="0.25">
      <c r="A4527">
        <v>4510</v>
      </c>
      <c r="B4527" s="100">
        <v>89.383863542964789</v>
      </c>
      <c r="C4527" s="100">
        <v>99.007186674651493</v>
      </c>
      <c r="D4527" s="100">
        <v>93.197822862411016</v>
      </c>
      <c r="E4527" s="100">
        <v>93.332458855532749</v>
      </c>
      <c r="F4527" s="100">
        <v>560.26691192572434</v>
      </c>
      <c r="G4527" s="100">
        <v>-1195.9457520340634</v>
      </c>
      <c r="H4527" s="100">
        <v>-763.48551384882057</v>
      </c>
      <c r="I4527" s="100">
        <v>48.180799168477506</v>
      </c>
      <c r="J4527" s="100">
        <v>-1350.9835547886821</v>
      </c>
    </row>
    <row r="4528" spans="1:10" x14ac:dyDescent="0.25">
      <c r="A4528">
        <v>4511</v>
      </c>
      <c r="B4528" s="100">
        <v>89.678736897852815</v>
      </c>
      <c r="C4528" s="100">
        <v>99.809663668687776</v>
      </c>
      <c r="D4528" s="100">
        <v>91.353660497261828</v>
      </c>
      <c r="E4528" s="100">
        <v>94.193117322713888</v>
      </c>
      <c r="F4528" s="100">
        <v>-412.81515920476011</v>
      </c>
      <c r="G4528" s="100">
        <v>-2399.6612430884879</v>
      </c>
      <c r="H4528" s="100">
        <v>2924.8392164495554</v>
      </c>
      <c r="I4528" s="100">
        <v>-812.47766801266152</v>
      </c>
      <c r="J4528" s="100">
        <v>-700.11485385635433</v>
      </c>
    </row>
    <row r="4529" spans="1:10" x14ac:dyDescent="0.25">
      <c r="A4529">
        <v>4512</v>
      </c>
      <c r="B4529" s="100">
        <v>89.345451113332501</v>
      </c>
      <c r="C4529" s="100">
        <v>97.473505499041437</v>
      </c>
      <c r="D4529" s="100">
        <v>94.847602440750151</v>
      </c>
      <c r="E4529" s="100">
        <v>93.676965842693875</v>
      </c>
      <c r="F4529" s="100">
        <v>687.02792971227495</v>
      </c>
      <c r="G4529" s="100">
        <v>1104.5760113810204</v>
      </c>
      <c r="H4529" s="100">
        <v>-4063.0446705270915</v>
      </c>
      <c r="I4529" s="100">
        <v>-296.32618799264776</v>
      </c>
      <c r="J4529" s="100">
        <v>-2567.7669174264438</v>
      </c>
    </row>
    <row r="4530" spans="1:10" x14ac:dyDescent="0.25">
      <c r="A4530">
        <v>4513</v>
      </c>
      <c r="B4530" s="100">
        <v>89.460910756601507</v>
      </c>
      <c r="C4530" s="100">
        <v>98.119987286871648</v>
      </c>
      <c r="D4530" s="100">
        <v>92.726525610749562</v>
      </c>
      <c r="E4530" s="100">
        <v>91.517982252897426</v>
      </c>
      <c r="F4530" s="100">
        <v>306.01110692455649</v>
      </c>
      <c r="G4530" s="100">
        <v>134.85332963570329</v>
      </c>
      <c r="H4530" s="100">
        <v>179.10898947408782</v>
      </c>
      <c r="I4530" s="100">
        <v>1862.6574018038013</v>
      </c>
      <c r="J4530" s="100">
        <v>2482.6308278381489</v>
      </c>
    </row>
    <row r="4531" spans="1:10" x14ac:dyDescent="0.25">
      <c r="A4531">
        <v>4514</v>
      </c>
      <c r="B4531" s="100">
        <v>89.488392245464837</v>
      </c>
      <c r="C4531" s="100">
        <v>97.488107444826426</v>
      </c>
      <c r="D4531" s="100">
        <v>91.248224718245581</v>
      </c>
      <c r="E4531" s="100">
        <v>94.388805867559967</v>
      </c>
      <c r="F4531" s="100">
        <v>215.32219367556706</v>
      </c>
      <c r="G4531" s="100">
        <v>1082.6730927035371</v>
      </c>
      <c r="H4531" s="100">
        <v>3135.7107744820496</v>
      </c>
      <c r="I4531" s="100">
        <v>-1008.1662128587396</v>
      </c>
      <c r="J4531" s="100">
        <v>3425.5398480024141</v>
      </c>
    </row>
    <row r="4532" spans="1:10" x14ac:dyDescent="0.25">
      <c r="A4532">
        <v>4515</v>
      </c>
      <c r="B4532" s="100">
        <v>89.201036105169308</v>
      </c>
      <c r="C4532" s="100">
        <v>98.717323873204506</v>
      </c>
      <c r="D4532" s="100">
        <v>91.836218352931468</v>
      </c>
      <c r="E4532" s="100">
        <v>93.594078842905418</v>
      </c>
      <c r="F4532" s="100">
        <v>1163.5974566508125</v>
      </c>
      <c r="G4532" s="100">
        <v>-761.15154986358391</v>
      </c>
      <c r="H4532" s="100">
        <v>1959.7235051102757</v>
      </c>
      <c r="I4532" s="100">
        <v>-213.43918820419105</v>
      </c>
      <c r="J4532" s="100">
        <v>2148.7302236933133</v>
      </c>
    </row>
    <row r="4533" spans="1:10" x14ac:dyDescent="0.25">
      <c r="A4533">
        <v>4516</v>
      </c>
      <c r="B4533" s="100">
        <v>89.469960045630145</v>
      </c>
      <c r="C4533" s="100">
        <v>97.812379471470081</v>
      </c>
      <c r="D4533" s="100">
        <v>93.359660870511476</v>
      </c>
      <c r="E4533" s="100">
        <v>95.706504294629468</v>
      </c>
      <c r="F4533" s="100">
        <v>276.14845313004963</v>
      </c>
      <c r="G4533" s="100">
        <v>596.26505273805469</v>
      </c>
      <c r="H4533" s="100">
        <v>-1087.161530049741</v>
      </c>
      <c r="I4533" s="100">
        <v>-2325.8646399282411</v>
      </c>
      <c r="J4533" s="100">
        <v>-2540.6126641098781</v>
      </c>
    </row>
    <row r="4534" spans="1:10" x14ac:dyDescent="0.25">
      <c r="A4534">
        <v>4517</v>
      </c>
      <c r="B4534" s="100">
        <v>90.736201459308361</v>
      </c>
      <c r="C4534" s="100">
        <v>97.343105851752171</v>
      </c>
      <c r="D4534" s="100">
        <v>93.353107478154598</v>
      </c>
      <c r="E4534" s="100">
        <v>95.939146248752792</v>
      </c>
      <c r="F4534" s="100">
        <v>-3902.4482120080634</v>
      </c>
      <c r="G4534" s="100">
        <v>1300.1754823149199</v>
      </c>
      <c r="H4534" s="100">
        <v>-1074.0547453359852</v>
      </c>
      <c r="I4534" s="100">
        <v>-2558.5065940515647</v>
      </c>
      <c r="J4534" s="100">
        <v>-6234.8340690806926</v>
      </c>
    </row>
    <row r="4535" spans="1:10" x14ac:dyDescent="0.25">
      <c r="A4535">
        <v>4518</v>
      </c>
      <c r="B4535" s="100">
        <v>89.33309976634105</v>
      </c>
      <c r="C4535" s="100">
        <v>97.619023853308718</v>
      </c>
      <c r="D4535" s="100">
        <v>93.845649328521219</v>
      </c>
      <c r="E4535" s="100">
        <v>92.95551467412966</v>
      </c>
      <c r="F4535" s="100">
        <v>727.78737478406447</v>
      </c>
      <c r="G4535" s="100">
        <v>886.29847998009836</v>
      </c>
      <c r="H4535" s="100">
        <v>-2059.138446069227</v>
      </c>
      <c r="I4535" s="100">
        <v>425.12498057156733</v>
      </c>
      <c r="J4535" s="100">
        <v>-19.927610733496863</v>
      </c>
    </row>
    <row r="4536" spans="1:10" x14ac:dyDescent="0.25">
      <c r="A4536">
        <v>4519</v>
      </c>
      <c r="B4536" s="100">
        <v>89.600693575736955</v>
      </c>
      <c r="C4536" s="100">
        <v>98.414796984051065</v>
      </c>
      <c r="D4536" s="100">
        <v>91.673251403872527</v>
      </c>
      <c r="E4536" s="100">
        <v>93.755691246478335</v>
      </c>
      <c r="F4536" s="100">
        <v>-155.27219622242114</v>
      </c>
      <c r="G4536" s="100">
        <v>-307.36121613342249</v>
      </c>
      <c r="H4536" s="100">
        <v>2285.6574032281569</v>
      </c>
      <c r="I4536" s="100">
        <v>-375.05159177710823</v>
      </c>
      <c r="J4536" s="100">
        <v>1447.9723990952052</v>
      </c>
    </row>
    <row r="4537" spans="1:10" x14ac:dyDescent="0.25">
      <c r="A4537">
        <v>4520</v>
      </c>
      <c r="B4537" s="100">
        <v>89.617769101837837</v>
      </c>
      <c r="C4537" s="100">
        <v>98.749775172419206</v>
      </c>
      <c r="D4537" s="100">
        <v>92.052540229739662</v>
      </c>
      <c r="E4537" s="100">
        <v>91.869247089835056</v>
      </c>
      <c r="F4537" s="100">
        <v>-211.62143235533222</v>
      </c>
      <c r="G4537" s="100">
        <v>-809.82849868563278</v>
      </c>
      <c r="H4537" s="100">
        <v>1527.0797514938863</v>
      </c>
      <c r="I4537" s="100">
        <v>1511.3925648661707</v>
      </c>
      <c r="J4537" s="100">
        <v>2017.0223853190919</v>
      </c>
    </row>
    <row r="4538" spans="1:10" x14ac:dyDescent="0.25">
      <c r="A4538">
        <v>4521</v>
      </c>
      <c r="B4538" s="100">
        <v>89.900135238208762</v>
      </c>
      <c r="C4538" s="100">
        <v>98.929588852627717</v>
      </c>
      <c r="D4538" s="100">
        <v>92.450269163816159</v>
      </c>
      <c r="E4538" s="100">
        <v>94.820244736908222</v>
      </c>
      <c r="F4538" s="100">
        <v>-1143.4296823793843</v>
      </c>
      <c r="G4538" s="100">
        <v>-1079.5490189983993</v>
      </c>
      <c r="H4538" s="100">
        <v>731.62188334089251</v>
      </c>
      <c r="I4538" s="100">
        <v>-1439.6050822069951</v>
      </c>
      <c r="J4538" s="100">
        <v>-2930.9619002438862</v>
      </c>
    </row>
    <row r="4539" spans="1:10" x14ac:dyDescent="0.25">
      <c r="A4539">
        <v>4522</v>
      </c>
      <c r="B4539" s="100">
        <v>89.293209908787304</v>
      </c>
      <c r="C4539" s="100">
        <v>98.306742607881134</v>
      </c>
      <c r="D4539" s="100">
        <v>92.912584579146099</v>
      </c>
      <c r="E4539" s="100">
        <v>93.893284988784004</v>
      </c>
      <c r="F4539" s="100">
        <v>859.42390471142573</v>
      </c>
      <c r="G4539" s="100">
        <v>-145.27965187852487</v>
      </c>
      <c r="H4539" s="100">
        <v>-193.00894731898666</v>
      </c>
      <c r="I4539" s="100">
        <v>-512.64533408277657</v>
      </c>
      <c r="J4539" s="100">
        <v>8.4899714311376329</v>
      </c>
    </row>
    <row r="4540" spans="1:10" x14ac:dyDescent="0.25">
      <c r="A4540">
        <v>4523</v>
      </c>
      <c r="B4540" s="100">
        <v>89.600545857276984</v>
      </c>
      <c r="C4540" s="100">
        <v>98.055847755575982</v>
      </c>
      <c r="D4540" s="100">
        <v>91.944986218594892</v>
      </c>
      <c r="E4540" s="100">
        <v>92.859335662222037</v>
      </c>
      <c r="F4540" s="100">
        <v>-154.78472530451768</v>
      </c>
      <c r="G4540" s="100">
        <v>231.0626265792024</v>
      </c>
      <c r="H4540" s="100">
        <v>1742.1877737834279</v>
      </c>
      <c r="I4540" s="100">
        <v>521.30399247919001</v>
      </c>
      <c r="J4540" s="100">
        <v>2339.7696675373027</v>
      </c>
    </row>
    <row r="4541" spans="1:10" x14ac:dyDescent="0.25">
      <c r="A4541">
        <v>4524</v>
      </c>
      <c r="B4541" s="100">
        <v>89.678779488139085</v>
      </c>
      <c r="C4541" s="100">
        <v>98.95675203162638</v>
      </c>
      <c r="D4541" s="100">
        <v>93.870210926139748</v>
      </c>
      <c r="E4541" s="100">
        <v>96.549167737384124</v>
      </c>
      <c r="F4541" s="100">
        <v>-412.95570714945171</v>
      </c>
      <c r="G4541" s="100">
        <v>-1120.2937874963936</v>
      </c>
      <c r="H4541" s="100">
        <v>-2108.2616413062851</v>
      </c>
      <c r="I4541" s="100">
        <v>-3168.5280826828971</v>
      </c>
      <c r="J4541" s="100">
        <v>-6810.0392186350273</v>
      </c>
    </row>
    <row r="4542" spans="1:10" x14ac:dyDescent="0.25">
      <c r="A4542">
        <v>4525</v>
      </c>
      <c r="B4542" s="100">
        <v>89.500302370549122</v>
      </c>
      <c r="C4542" s="100">
        <v>99.015059094438229</v>
      </c>
      <c r="D4542" s="100">
        <v>91.849327533061384</v>
      </c>
      <c r="E4542" s="100">
        <v>93.151241084593138</v>
      </c>
      <c r="F4542" s="100">
        <v>176.01878089742797</v>
      </c>
      <c r="G4542" s="100">
        <v>-1207.7543817141673</v>
      </c>
      <c r="H4542" s="100">
        <v>1933.505144850443</v>
      </c>
      <c r="I4542" s="100">
        <v>229.39857010808851</v>
      </c>
      <c r="J4542" s="100">
        <v>1131.1681141417921</v>
      </c>
    </row>
    <row r="4543" spans="1:10" x14ac:dyDescent="0.25">
      <c r="A4543">
        <v>4526</v>
      </c>
      <c r="B4543" s="100">
        <v>89.292970132125788</v>
      </c>
      <c r="C4543" s="100">
        <v>97.482316471991851</v>
      </c>
      <c r="D4543" s="100">
        <v>92.583294418336649</v>
      </c>
      <c r="E4543" s="100">
        <v>95.504645074101461</v>
      </c>
      <c r="F4543" s="100">
        <v>860.21516769442883</v>
      </c>
      <c r="G4543" s="100">
        <v>1091.3595519553994</v>
      </c>
      <c r="H4543" s="100">
        <v>465.57137429991258</v>
      </c>
      <c r="I4543" s="100">
        <v>-2124.0054194002341</v>
      </c>
      <c r="J4543" s="100">
        <v>293.14067454950691</v>
      </c>
    </row>
    <row r="4544" spans="1:10" x14ac:dyDescent="0.25">
      <c r="A4544">
        <v>4527</v>
      </c>
      <c r="B4544" s="100">
        <v>89.301903308290619</v>
      </c>
      <c r="C4544" s="100">
        <v>97.8122598133655</v>
      </c>
      <c r="D4544" s="100">
        <v>93.503081589205053</v>
      </c>
      <c r="E4544" s="100">
        <v>93.521115210075862</v>
      </c>
      <c r="F4544" s="100">
        <v>830.7356863504865</v>
      </c>
      <c r="G4544" s="100">
        <v>596.44453989492513</v>
      </c>
      <c r="H4544" s="100">
        <v>-1374.0029674368941</v>
      </c>
      <c r="I4544" s="100">
        <v>-140.47555537463552</v>
      </c>
      <c r="J4544" s="100">
        <v>-87.298296566117983</v>
      </c>
    </row>
    <row r="4545" spans="1:10" x14ac:dyDescent="0.25">
      <c r="A4545">
        <v>4528</v>
      </c>
      <c r="B4545" s="100">
        <v>89.847844845176922</v>
      </c>
      <c r="C4545" s="100">
        <v>97.962938182989348</v>
      </c>
      <c r="D4545" s="100">
        <v>92.44007480325611</v>
      </c>
      <c r="E4545" s="100">
        <v>90.012352306126118</v>
      </c>
      <c r="F4545" s="100">
        <v>-970.87138537431485</v>
      </c>
      <c r="G4545" s="100">
        <v>370.42698545915442</v>
      </c>
      <c r="H4545" s="100">
        <v>752.01060446099177</v>
      </c>
      <c r="I4545" s="100">
        <v>3368.2873485751088</v>
      </c>
      <c r="J4545" s="100">
        <v>3519.85355312094</v>
      </c>
    </row>
    <row r="4546" spans="1:10" x14ac:dyDescent="0.25">
      <c r="A4546">
        <v>4529</v>
      </c>
      <c r="B4546" s="100">
        <v>89.231361651394266</v>
      </c>
      <c r="C4546" s="100">
        <v>96.642013973639891</v>
      </c>
      <c r="D4546" s="100">
        <v>93.829216312602355</v>
      </c>
      <c r="E4546" s="100">
        <v>93.564126653684681</v>
      </c>
      <c r="F4546" s="100">
        <v>1063.5231541084509</v>
      </c>
      <c r="G4546" s="100">
        <v>2351.8132994833395</v>
      </c>
      <c r="H4546" s="100">
        <v>-2026.2724142314994</v>
      </c>
      <c r="I4546" s="100">
        <v>-183.48699898345444</v>
      </c>
      <c r="J4546" s="100">
        <v>1205.5770403768365</v>
      </c>
    </row>
    <row r="4547" spans="1:10" x14ac:dyDescent="0.25">
      <c r="A4547">
        <v>4530</v>
      </c>
      <c r="B4547" s="100">
        <v>90.718478817661264</v>
      </c>
      <c r="C4547" s="100">
        <v>97.084009275698293</v>
      </c>
      <c r="D4547" s="100">
        <v>92.542421365650156</v>
      </c>
      <c r="E4547" s="100">
        <v>93.002747163158915</v>
      </c>
      <c r="F4547" s="100">
        <v>-3843.9634945726425</v>
      </c>
      <c r="G4547" s="100">
        <v>1688.8203463957368</v>
      </c>
      <c r="H4547" s="100">
        <v>547.31747967289834</v>
      </c>
      <c r="I4547" s="100">
        <v>377.89249154231186</v>
      </c>
      <c r="J4547" s="100">
        <v>-1229.9331769616956</v>
      </c>
    </row>
    <row r="4548" spans="1:10" x14ac:dyDescent="0.25">
      <c r="A4548">
        <v>4531</v>
      </c>
      <c r="B4548" s="100">
        <v>89.875097618199803</v>
      </c>
      <c r="C4548" s="100">
        <v>96.611937058730447</v>
      </c>
      <c r="D4548" s="100">
        <v>92.802194781189215</v>
      </c>
      <c r="E4548" s="100">
        <v>93.573031865945396</v>
      </c>
      <c r="F4548" s="100">
        <v>-1060.8055363498195</v>
      </c>
      <c r="G4548" s="100">
        <v>2396.9286718475046</v>
      </c>
      <c r="H4548" s="100">
        <v>27.770648594781733</v>
      </c>
      <c r="I4548" s="100">
        <v>-192.39221124416872</v>
      </c>
      <c r="J4548" s="100">
        <v>1171.5015728482981</v>
      </c>
    </row>
    <row r="4549" spans="1:10" x14ac:dyDescent="0.25">
      <c r="A4549">
        <v>4532</v>
      </c>
      <c r="B4549" s="100">
        <v>89.630021190288232</v>
      </c>
      <c r="C4549" s="100">
        <v>98.190260304196357</v>
      </c>
      <c r="D4549" s="100">
        <v>92.224627072857629</v>
      </c>
      <c r="E4549" s="100">
        <v>92.999655331306684</v>
      </c>
      <c r="F4549" s="100">
        <v>-252.05332424163771</v>
      </c>
      <c r="G4549" s="100">
        <v>29.443803648639744</v>
      </c>
      <c r="H4549" s="100">
        <v>1182.9060652579528</v>
      </c>
      <c r="I4549" s="100">
        <v>380.98432339454291</v>
      </c>
      <c r="J4549" s="100">
        <v>1341.2808680594976</v>
      </c>
    </row>
    <row r="4550" spans="1:10" x14ac:dyDescent="0.25">
      <c r="A4550">
        <v>4533</v>
      </c>
      <c r="B4550" s="100">
        <v>89.302985835288624</v>
      </c>
      <c r="C4550" s="100">
        <v>98.174981305495834</v>
      </c>
      <c r="D4550" s="100">
        <v>92.685318679643402</v>
      </c>
      <c r="E4550" s="100">
        <v>92.508135977815812</v>
      </c>
      <c r="F4550" s="100">
        <v>827.16334725707134</v>
      </c>
      <c r="G4550" s="100">
        <v>52.362301699425018</v>
      </c>
      <c r="H4550" s="100">
        <v>261.52285168640788</v>
      </c>
      <c r="I4550" s="100">
        <v>872.5036768854153</v>
      </c>
      <c r="J4550" s="100">
        <v>2013.5521775283196</v>
      </c>
    </row>
    <row r="4551" spans="1:10" x14ac:dyDescent="0.25">
      <c r="A4551">
        <v>4534</v>
      </c>
      <c r="B4551" s="100">
        <v>89.210868004888169</v>
      </c>
      <c r="C4551" s="100">
        <v>98.346321734208871</v>
      </c>
      <c r="D4551" s="100">
        <v>92.815282546092547</v>
      </c>
      <c r="E4551" s="100">
        <v>89.929301483515871</v>
      </c>
      <c r="F4551" s="100">
        <v>1131.1521875785702</v>
      </c>
      <c r="G4551" s="100">
        <v>-204.64834137013099</v>
      </c>
      <c r="H4551" s="100">
        <v>1.5951187881171336</v>
      </c>
      <c r="I4551" s="100">
        <v>3451.3381711853553</v>
      </c>
      <c r="J4551" s="100">
        <v>4379.4371361819121</v>
      </c>
    </row>
    <row r="4552" spans="1:10" x14ac:dyDescent="0.25">
      <c r="A4552">
        <v>4535</v>
      </c>
      <c r="B4552" s="100">
        <v>90.514032946060851</v>
      </c>
      <c r="C4552" s="100">
        <v>97.401434083847121</v>
      </c>
      <c r="D4552" s="100">
        <v>92.372242125060893</v>
      </c>
      <c r="E4552" s="100">
        <v>94.063359874828521</v>
      </c>
      <c r="F4552" s="100">
        <v>-3169.2921182912796</v>
      </c>
      <c r="G4552" s="100">
        <v>1212.6831341724937</v>
      </c>
      <c r="H4552" s="100">
        <v>887.67596085142486</v>
      </c>
      <c r="I4552" s="100">
        <v>-682.72022012729394</v>
      </c>
      <c r="J4552" s="100">
        <v>-1751.653243394655</v>
      </c>
    </row>
    <row r="4553" spans="1:10" x14ac:dyDescent="0.25">
      <c r="A4553">
        <v>4536</v>
      </c>
      <c r="B4553" s="100">
        <v>89.787880856835699</v>
      </c>
      <c r="C4553" s="100">
        <v>97.246442297619723</v>
      </c>
      <c r="D4553" s="100">
        <v>93.939172170885882</v>
      </c>
      <c r="E4553" s="100">
        <v>92.725350033038097</v>
      </c>
      <c r="F4553" s="100">
        <v>-772.99022384827651</v>
      </c>
      <c r="G4553" s="100">
        <v>1445.1708135135916</v>
      </c>
      <c r="H4553" s="100">
        <v>-2246.1841307985537</v>
      </c>
      <c r="I4553" s="100">
        <v>655.28962166312965</v>
      </c>
      <c r="J4553" s="100">
        <v>-918.71391947010909</v>
      </c>
    </row>
    <row r="4554" spans="1:10" x14ac:dyDescent="0.25">
      <c r="A4554">
        <v>4537</v>
      </c>
      <c r="B4554" s="100">
        <v>89.723313634792021</v>
      </c>
      <c r="C4554" s="100">
        <v>98.598891031137782</v>
      </c>
      <c r="D4554" s="100">
        <v>93.154264924824275</v>
      </c>
      <c r="E4554" s="100">
        <v>96.337729511912002</v>
      </c>
      <c r="F4554" s="100">
        <v>-559.91839110413935</v>
      </c>
      <c r="G4554" s="100">
        <v>-583.50228676349752</v>
      </c>
      <c r="H4554" s="100">
        <v>-676.3696386753395</v>
      </c>
      <c r="I4554" s="100">
        <v>-2957.0898572107753</v>
      </c>
      <c r="J4554" s="100">
        <v>-4776.8801737537515</v>
      </c>
    </row>
    <row r="4555" spans="1:10" x14ac:dyDescent="0.25">
      <c r="A4555">
        <v>4538</v>
      </c>
      <c r="B4555" s="100">
        <v>89.350564666839716</v>
      </c>
      <c r="C4555" s="100">
        <v>98.502982222425857</v>
      </c>
      <c r="D4555" s="100">
        <v>92.776317153800989</v>
      </c>
      <c r="E4555" s="100">
        <v>94.076557147074809</v>
      </c>
      <c r="F4555" s="100">
        <v>670.15320313846587</v>
      </c>
      <c r="G4555" s="100">
        <v>-439.63907369560928</v>
      </c>
      <c r="H4555" s="100">
        <v>79.525903371234108</v>
      </c>
      <c r="I4555" s="100">
        <v>-695.91749237358158</v>
      </c>
      <c r="J4555" s="100">
        <v>-385.87745955949089</v>
      </c>
    </row>
    <row r="4556" spans="1:10" x14ac:dyDescent="0.25">
      <c r="A4556">
        <v>4539</v>
      </c>
      <c r="B4556" s="100">
        <v>89.29391760079028</v>
      </c>
      <c r="C4556" s="100">
        <v>97.894795886820546</v>
      </c>
      <c r="D4556" s="100">
        <v>94.404842492419746</v>
      </c>
      <c r="E4556" s="100">
        <v>91.770672931455209</v>
      </c>
      <c r="F4556" s="100">
        <v>857.08852110160478</v>
      </c>
      <c r="G4556" s="100">
        <v>472.64042971235654</v>
      </c>
      <c r="H4556" s="100">
        <v>-3177.5247738662811</v>
      </c>
      <c r="I4556" s="100">
        <v>1609.9667232460179</v>
      </c>
      <c r="J4556" s="100">
        <v>-237.82909980630188</v>
      </c>
    </row>
    <row r="4557" spans="1:10" x14ac:dyDescent="0.25">
      <c r="A4557">
        <v>4540</v>
      </c>
      <c r="B4557" s="100">
        <v>89.125174730586963</v>
      </c>
      <c r="C4557" s="100">
        <v>98.528012016730301</v>
      </c>
      <c r="D4557" s="100">
        <v>93.96110737621585</v>
      </c>
      <c r="E4557" s="100">
        <v>92.073077850027985</v>
      </c>
      <c r="F4557" s="100">
        <v>1413.9399927725522</v>
      </c>
      <c r="G4557" s="100">
        <v>-477.1837651522759</v>
      </c>
      <c r="H4557" s="100">
        <v>-2290.0545414584885</v>
      </c>
      <c r="I4557" s="100">
        <v>1307.5618046732416</v>
      </c>
      <c r="J4557" s="100">
        <v>-45.736509164970812</v>
      </c>
    </row>
    <row r="4558" spans="1:10" x14ac:dyDescent="0.25">
      <c r="A4558">
        <v>4541</v>
      </c>
      <c r="B4558" s="100">
        <v>89.881784996441311</v>
      </c>
      <c r="C4558" s="100">
        <v>99.919631048186304</v>
      </c>
      <c r="D4558" s="100">
        <v>91.816637078023803</v>
      </c>
      <c r="E4558" s="100">
        <v>93.022495746551058</v>
      </c>
      <c r="F4558" s="100">
        <v>-1082.8738845467981</v>
      </c>
      <c r="G4558" s="100">
        <v>-2564.61231233628</v>
      </c>
      <c r="H4558" s="100">
        <v>1998.886054925606</v>
      </c>
      <c r="I4558" s="100">
        <v>358.1439081501685</v>
      </c>
      <c r="J4558" s="100">
        <v>-1290.4562338073038</v>
      </c>
    </row>
    <row r="4559" spans="1:10" x14ac:dyDescent="0.25">
      <c r="A4559">
        <v>4542</v>
      </c>
      <c r="B4559" s="100">
        <v>90.334381688627573</v>
      </c>
      <c r="C4559" s="100">
        <v>98.256461034909535</v>
      </c>
      <c r="D4559" s="100">
        <v>92.129644694058868</v>
      </c>
      <c r="E4559" s="100">
        <v>91.973203114193879</v>
      </c>
      <c r="F4559" s="100">
        <v>-2576.4429687614625</v>
      </c>
      <c r="G4559" s="100">
        <v>-69.85729242112626</v>
      </c>
      <c r="H4559" s="100">
        <v>1372.8708228554751</v>
      </c>
      <c r="I4559" s="100">
        <v>1407.4365405073479</v>
      </c>
      <c r="J4559" s="100">
        <v>134.00710218023437</v>
      </c>
    </row>
    <row r="4560" spans="1:10" x14ac:dyDescent="0.25">
      <c r="A4560">
        <v>4543</v>
      </c>
      <c r="B4560" s="100">
        <v>90.152287437148289</v>
      </c>
      <c r="C4560" s="100">
        <v>96.103020637584592</v>
      </c>
      <c r="D4560" s="100">
        <v>93.890824800133743</v>
      </c>
      <c r="E4560" s="100">
        <v>94.131880680083142</v>
      </c>
      <c r="F4560" s="100">
        <v>-1975.5319388798227</v>
      </c>
      <c r="G4560" s="100">
        <v>3160.3033035662875</v>
      </c>
      <c r="H4560" s="100">
        <v>-2149.4893892942741</v>
      </c>
      <c r="I4560" s="100">
        <v>-751.24102538191551</v>
      </c>
      <c r="J4560" s="100">
        <v>-1715.9590499897249</v>
      </c>
    </row>
    <row r="4561" spans="1:10" x14ac:dyDescent="0.25">
      <c r="A4561">
        <v>4544</v>
      </c>
      <c r="B4561" s="100">
        <v>89.306425262988938</v>
      </c>
      <c r="C4561" s="100">
        <v>97.279577918068071</v>
      </c>
      <c r="D4561" s="100">
        <v>92.197876704045868</v>
      </c>
      <c r="E4561" s="100">
        <v>90.057486018367328</v>
      </c>
      <c r="F4561" s="100">
        <v>815.81323584603354</v>
      </c>
      <c r="G4561" s="100">
        <v>1395.4673828410691</v>
      </c>
      <c r="H4561" s="100">
        <v>1236.4068028814756</v>
      </c>
      <c r="I4561" s="100">
        <v>3323.1536363338992</v>
      </c>
      <c r="J4561" s="100">
        <v>6770.8410579024776</v>
      </c>
    </row>
    <row r="4562" spans="1:10" x14ac:dyDescent="0.25">
      <c r="A4562">
        <v>4545</v>
      </c>
      <c r="B4562" s="100">
        <v>88.807099132934155</v>
      </c>
      <c r="C4562" s="100">
        <v>97.622904931077827</v>
      </c>
      <c r="D4562" s="100">
        <v>93.151057429048521</v>
      </c>
      <c r="E4562" s="100">
        <v>92.998591252202615</v>
      </c>
      <c r="F4562" s="100">
        <v>2463.5894650268169</v>
      </c>
      <c r="G4562" s="100">
        <v>880.47686332643593</v>
      </c>
      <c r="H4562" s="100">
        <v>-669.95464712383068</v>
      </c>
      <c r="I4562" s="100">
        <v>382.04840249861149</v>
      </c>
      <c r="J4562" s="100">
        <v>3056.1600837280339</v>
      </c>
    </row>
    <row r="4563" spans="1:10" x14ac:dyDescent="0.25">
      <c r="A4563">
        <v>4546</v>
      </c>
      <c r="B4563" s="100">
        <v>89.626528226339659</v>
      </c>
      <c r="C4563" s="100">
        <v>98.15844592007393</v>
      </c>
      <c r="D4563" s="100">
        <v>93.010402625652461</v>
      </c>
      <c r="E4563" s="100">
        <v>94.232116820670399</v>
      </c>
      <c r="F4563" s="100">
        <v>-240.52654321134384</v>
      </c>
      <c r="G4563" s="100">
        <v>77.165379832280223</v>
      </c>
      <c r="H4563" s="100">
        <v>-388.64504033170988</v>
      </c>
      <c r="I4563" s="100">
        <v>-851.47716596917178</v>
      </c>
      <c r="J4563" s="100">
        <v>-1403.4833696799451</v>
      </c>
    </row>
    <row r="4564" spans="1:10" x14ac:dyDescent="0.25">
      <c r="A4564">
        <v>4547</v>
      </c>
      <c r="B4564" s="100">
        <v>90.201907509931715</v>
      </c>
      <c r="C4564" s="100">
        <v>97.330082963439565</v>
      </c>
      <c r="D4564" s="100">
        <v>91.566715606221521</v>
      </c>
      <c r="E4564" s="100">
        <v>92.853785028575743</v>
      </c>
      <c r="F4564" s="100">
        <v>-2139.2781790651297</v>
      </c>
      <c r="G4564" s="100">
        <v>1319.7098147838276</v>
      </c>
      <c r="H4564" s="100">
        <v>2498.7289985301686</v>
      </c>
      <c r="I4564" s="100">
        <v>526.85462612548406</v>
      </c>
      <c r="J4564" s="100">
        <v>2206.0152603743504</v>
      </c>
    </row>
    <row r="4565" spans="1:10" x14ac:dyDescent="0.25">
      <c r="A4565">
        <v>4548</v>
      </c>
      <c r="B4565" s="100">
        <v>90.252503987837173</v>
      </c>
      <c r="C4565" s="100">
        <v>97.158559245139955</v>
      </c>
      <c r="D4565" s="100">
        <v>94.121496082191086</v>
      </c>
      <c r="E4565" s="100">
        <v>96.396812308249082</v>
      </c>
      <c r="F4565" s="100">
        <v>-2306.2465561531412</v>
      </c>
      <c r="G4565" s="100">
        <v>1576.9953922332434</v>
      </c>
      <c r="H4565" s="100">
        <v>-2610.8319534089615</v>
      </c>
      <c r="I4565" s="100">
        <v>-3016.1726535478551</v>
      </c>
      <c r="J4565" s="100">
        <v>-6356.2557708767145</v>
      </c>
    </row>
    <row r="4566" spans="1:10" x14ac:dyDescent="0.25">
      <c r="A4566">
        <v>4549</v>
      </c>
      <c r="B4566" s="100">
        <v>89.683686270183131</v>
      </c>
      <c r="C4566" s="100">
        <v>99.563627941590894</v>
      </c>
      <c r="D4566" s="100">
        <v>92.294170759301991</v>
      </c>
      <c r="E4566" s="100">
        <v>93.389713823236733</v>
      </c>
      <c r="F4566" s="100">
        <v>-429.14808789480219</v>
      </c>
      <c r="G4566" s="100">
        <v>-2030.607652443166</v>
      </c>
      <c r="H4566" s="100">
        <v>1043.8186923692285</v>
      </c>
      <c r="I4566" s="100">
        <v>-9.0741685355055779</v>
      </c>
      <c r="J4566" s="100">
        <v>-1425.0112165042453</v>
      </c>
    </row>
    <row r="4567" spans="1:10" x14ac:dyDescent="0.25">
      <c r="A4567">
        <v>4550</v>
      </c>
      <c r="B4567" s="100">
        <v>89.311965202033733</v>
      </c>
      <c r="C4567" s="100">
        <v>97.276706735966386</v>
      </c>
      <c r="D4567" s="100">
        <v>92.744174420189168</v>
      </c>
      <c r="E4567" s="100">
        <v>94.834384646162732</v>
      </c>
      <c r="F4567" s="100">
        <v>797.53143699821157</v>
      </c>
      <c r="G4567" s="100">
        <v>1399.7741559935976</v>
      </c>
      <c r="H4567" s="100">
        <v>143.81137059487514</v>
      </c>
      <c r="I4567" s="100">
        <v>-1453.7449914615054</v>
      </c>
      <c r="J4567" s="100">
        <v>887.37197212517913</v>
      </c>
    </row>
    <row r="4568" spans="1:10" x14ac:dyDescent="0.25">
      <c r="A4568">
        <v>4551</v>
      </c>
      <c r="B4568" s="100">
        <v>89.08430530044825</v>
      </c>
      <c r="C4568" s="100">
        <v>98.297906764062461</v>
      </c>
      <c r="D4568" s="100">
        <v>91.610551991559106</v>
      </c>
      <c r="E4568" s="100">
        <v>92.737348826595706</v>
      </c>
      <c r="F4568" s="100">
        <v>1548.8091122303047</v>
      </c>
      <c r="G4568" s="100">
        <v>-132.02588615051525</v>
      </c>
      <c r="H4568" s="100">
        <v>2411.0562278549992</v>
      </c>
      <c r="I4568" s="100">
        <v>643.29082810552052</v>
      </c>
      <c r="J4568" s="100">
        <v>4471.1302820403089</v>
      </c>
    </row>
    <row r="4569" spans="1:10" x14ac:dyDescent="0.25">
      <c r="A4569">
        <v>4552</v>
      </c>
      <c r="B4569" s="100">
        <v>89.464755116445147</v>
      </c>
      <c r="C4569" s="100">
        <v>97.798691146426151</v>
      </c>
      <c r="D4569" s="100">
        <v>91.498330534265804</v>
      </c>
      <c r="E4569" s="100">
        <v>95.251978185814878</v>
      </c>
      <c r="F4569" s="100">
        <v>293.3247194405439</v>
      </c>
      <c r="G4569" s="100">
        <v>616.79754030394918</v>
      </c>
      <c r="H4569" s="100">
        <v>2635.499142441603</v>
      </c>
      <c r="I4569" s="100">
        <v>-1871.3385311136506</v>
      </c>
      <c r="J4569" s="100">
        <v>1674.2828710724455</v>
      </c>
    </row>
    <row r="4570" spans="1:10" x14ac:dyDescent="0.25">
      <c r="A4570">
        <v>4553</v>
      </c>
      <c r="B4570" s="100">
        <v>89.106300427850286</v>
      </c>
      <c r="C4570" s="100">
        <v>97.065587222469048</v>
      </c>
      <c r="D4570" s="100">
        <v>93.720567168258754</v>
      </c>
      <c r="E4570" s="100">
        <v>96.718769921313111</v>
      </c>
      <c r="F4570" s="100">
        <v>1476.2251918035859</v>
      </c>
      <c r="G4570" s="100">
        <v>1716.4534262396032</v>
      </c>
      <c r="H4570" s="100">
        <v>-1808.9741255442959</v>
      </c>
      <c r="I4570" s="100">
        <v>-3338.1302666118841</v>
      </c>
      <c r="J4570" s="100">
        <v>-1954.4257741129909</v>
      </c>
    </row>
    <row r="4571" spans="1:10" x14ac:dyDescent="0.25">
      <c r="A4571">
        <v>4554</v>
      </c>
      <c r="B4571" s="100">
        <v>89.894593598753119</v>
      </c>
      <c r="C4571" s="100">
        <v>97.110453231100195</v>
      </c>
      <c r="D4571" s="100">
        <v>93.82810708448568</v>
      </c>
      <c r="E4571" s="100">
        <v>96.425836503387629</v>
      </c>
      <c r="F4571" s="100">
        <v>-1125.1422721757622</v>
      </c>
      <c r="G4571" s="100">
        <v>1649.1544132928836</v>
      </c>
      <c r="H4571" s="100">
        <v>-2024.0539579981487</v>
      </c>
      <c r="I4571" s="100">
        <v>-3045.1968486864016</v>
      </c>
      <c r="J4571" s="100">
        <v>-4545.2386655674291</v>
      </c>
    </row>
    <row r="4572" spans="1:10" x14ac:dyDescent="0.25">
      <c r="A4572">
        <v>4555</v>
      </c>
      <c r="B4572" s="100">
        <v>88.845208395325898</v>
      </c>
      <c r="C4572" s="100">
        <v>97.284604684872633</v>
      </c>
      <c r="D4572" s="100">
        <v>92.315327748095172</v>
      </c>
      <c r="E4572" s="100">
        <v>95.886918319040362</v>
      </c>
      <c r="F4572" s="100">
        <v>2337.8288991340669</v>
      </c>
      <c r="G4572" s="100">
        <v>1387.9272326342261</v>
      </c>
      <c r="H4572" s="100">
        <v>1001.5047147828682</v>
      </c>
      <c r="I4572" s="100">
        <v>-2506.2786643391346</v>
      </c>
      <c r="J4572" s="100">
        <v>2220.9821822120266</v>
      </c>
    </row>
    <row r="4573" spans="1:10" x14ac:dyDescent="0.25">
      <c r="A4573">
        <v>4556</v>
      </c>
      <c r="B4573" s="100">
        <v>89.795280469496944</v>
      </c>
      <c r="C4573" s="100">
        <v>98.045768697925425</v>
      </c>
      <c r="D4573" s="100">
        <v>92.88092092907192</v>
      </c>
      <c r="E4573" s="100">
        <v>92.597645329604816</v>
      </c>
      <c r="F4573" s="100">
        <v>-797.40894563038728</v>
      </c>
      <c r="G4573" s="100">
        <v>246.18121305503848</v>
      </c>
      <c r="H4573" s="100">
        <v>-129.68164717062791</v>
      </c>
      <c r="I4573" s="100">
        <v>782.99432509641065</v>
      </c>
      <c r="J4573" s="100">
        <v>102.08494535043394</v>
      </c>
    </row>
    <row r="4574" spans="1:10" x14ac:dyDescent="0.25">
      <c r="A4574">
        <v>4557</v>
      </c>
      <c r="B4574" s="100">
        <v>88.439442824726456</v>
      </c>
      <c r="C4574" s="100">
        <v>98.437060065878853</v>
      </c>
      <c r="D4574" s="100">
        <v>92.137494488255186</v>
      </c>
      <c r="E4574" s="100">
        <v>91.291798908442161</v>
      </c>
      <c r="F4574" s="100">
        <v>3676.8552821122257</v>
      </c>
      <c r="G4574" s="100">
        <v>-340.75583887510419</v>
      </c>
      <c r="H4574" s="100">
        <v>1357.1712344628395</v>
      </c>
      <c r="I4574" s="100">
        <v>2088.8407462590662</v>
      </c>
      <c r="J4574" s="100">
        <v>6782.1114239590279</v>
      </c>
    </row>
    <row r="4575" spans="1:10" x14ac:dyDescent="0.25">
      <c r="A4575">
        <v>4558</v>
      </c>
      <c r="B4575" s="100">
        <v>88.177094735444982</v>
      </c>
      <c r="C4575" s="100">
        <v>97.963692095751043</v>
      </c>
      <c r="D4575" s="100">
        <v>92.861506858233895</v>
      </c>
      <c r="E4575" s="100">
        <v>95.31342524264646</v>
      </c>
      <c r="F4575" s="100">
        <v>4542.6039767410903</v>
      </c>
      <c r="G4575" s="100">
        <v>369.29611631661174</v>
      </c>
      <c r="H4575" s="100">
        <v>-90.853505494578712</v>
      </c>
      <c r="I4575" s="100">
        <v>-1932.7855879452329</v>
      </c>
      <c r="J4575" s="100">
        <v>2888.2609996178908</v>
      </c>
    </row>
    <row r="4576" spans="1:10" x14ac:dyDescent="0.25">
      <c r="A4576">
        <v>4559</v>
      </c>
      <c r="B4576" s="100">
        <v>87.980232488216117</v>
      </c>
      <c r="C4576" s="100">
        <v>97.582580447112448</v>
      </c>
      <c r="D4576" s="100">
        <v>91.686336498281662</v>
      </c>
      <c r="E4576" s="100">
        <v>95.993929737974739</v>
      </c>
      <c r="F4576" s="100">
        <v>5192.2493925963427</v>
      </c>
      <c r="G4576" s="100">
        <v>940.96358927450297</v>
      </c>
      <c r="H4576" s="100">
        <v>2259.4872144098872</v>
      </c>
      <c r="I4576" s="100">
        <v>-2613.2900832735118</v>
      </c>
      <c r="J4576" s="100">
        <v>5779.4101130072213</v>
      </c>
    </row>
    <row r="4577" spans="1:10" x14ac:dyDescent="0.25">
      <c r="A4577">
        <v>4560</v>
      </c>
      <c r="B4577" s="100">
        <v>89.638630076742928</v>
      </c>
      <c r="C4577" s="100">
        <v>98.461668657715578</v>
      </c>
      <c r="D4577" s="100">
        <v>92.619694519735816</v>
      </c>
      <c r="E4577" s="100">
        <v>92.690037711721686</v>
      </c>
      <c r="F4577" s="100">
        <v>-280.46264954213171</v>
      </c>
      <c r="G4577" s="100">
        <v>-377.66872663019058</v>
      </c>
      <c r="H4577" s="100">
        <v>392.77117150157892</v>
      </c>
      <c r="I4577" s="100">
        <v>690.60194297954069</v>
      </c>
      <c r="J4577" s="100">
        <v>425.24173830879738</v>
      </c>
    </row>
    <row r="4578" spans="1:10" x14ac:dyDescent="0.25">
      <c r="A4578">
        <v>4561</v>
      </c>
      <c r="B4578" s="100">
        <v>89.492009554257052</v>
      </c>
      <c r="C4578" s="100">
        <v>96.657482952220761</v>
      </c>
      <c r="D4578" s="100">
        <v>93.260939822217324</v>
      </c>
      <c r="E4578" s="100">
        <v>93.561854907195226</v>
      </c>
      <c r="F4578" s="100">
        <v>203.38507466125719</v>
      </c>
      <c r="G4578" s="100">
        <v>2328.6098316120347</v>
      </c>
      <c r="H4578" s="100">
        <v>-889.71943346143689</v>
      </c>
      <c r="I4578" s="100">
        <v>-181.21525249399895</v>
      </c>
      <c r="J4578" s="100">
        <v>1461.060220317856</v>
      </c>
    </row>
    <row r="4579" spans="1:10" x14ac:dyDescent="0.25">
      <c r="A4579">
        <v>4562</v>
      </c>
      <c r="B4579" s="100">
        <v>89.471661861272736</v>
      </c>
      <c r="C4579" s="100">
        <v>97.519329902684646</v>
      </c>
      <c r="D4579" s="100">
        <v>92.087050602664704</v>
      </c>
      <c r="E4579" s="100">
        <v>94.989731772590446</v>
      </c>
      <c r="F4579" s="100">
        <v>270.53246150950088</v>
      </c>
      <c r="G4579" s="100">
        <v>1035.8394059162065</v>
      </c>
      <c r="H4579" s="100">
        <v>1458.0590056438041</v>
      </c>
      <c r="I4579" s="100">
        <v>-1609.0921178892188</v>
      </c>
      <c r="J4579" s="100">
        <v>1155.3387551802928</v>
      </c>
    </row>
    <row r="4580" spans="1:10" x14ac:dyDescent="0.25">
      <c r="A4580">
        <v>4563</v>
      </c>
      <c r="B4580" s="100">
        <v>90.132284030040481</v>
      </c>
      <c r="C4580" s="100">
        <v>98.404223111646289</v>
      </c>
      <c r="D4580" s="100">
        <v>93.049401423813123</v>
      </c>
      <c r="E4580" s="100">
        <v>93.150290906942047</v>
      </c>
      <c r="F4580" s="100">
        <v>-1909.5206954240566</v>
      </c>
      <c r="G4580" s="100">
        <v>-291.50040752625728</v>
      </c>
      <c r="H4580" s="100">
        <v>-466.64263665303451</v>
      </c>
      <c r="I4580" s="100">
        <v>230.34874775918013</v>
      </c>
      <c r="J4580" s="100">
        <v>-2437.3149918441682</v>
      </c>
    </row>
    <row r="4581" spans="1:10" x14ac:dyDescent="0.25">
      <c r="A4581">
        <v>4564</v>
      </c>
      <c r="B4581" s="100">
        <v>89.858464624004938</v>
      </c>
      <c r="C4581" s="100">
        <v>98.752235387501145</v>
      </c>
      <c r="D4581" s="100">
        <v>91.640193934655315</v>
      </c>
      <c r="E4581" s="100">
        <v>92.591063379805348</v>
      </c>
      <c r="F4581" s="100">
        <v>-1005.9166555067662</v>
      </c>
      <c r="G4581" s="100">
        <v>-813.51882130854142</v>
      </c>
      <c r="H4581" s="100">
        <v>2351.7723416625813</v>
      </c>
      <c r="I4581" s="100">
        <v>789.57627489587878</v>
      </c>
      <c r="J4581" s="100">
        <v>1321.9131397431524</v>
      </c>
    </row>
    <row r="4582" spans="1:10" x14ac:dyDescent="0.25">
      <c r="A4582">
        <v>4565</v>
      </c>
      <c r="B4582" s="100">
        <v>89.636607626026162</v>
      </c>
      <c r="C4582" s="100">
        <v>97.265571860930308</v>
      </c>
      <c r="D4582" s="100">
        <v>93.108605748340977</v>
      </c>
      <c r="E4582" s="100">
        <v>93.326918648037491</v>
      </c>
      <c r="F4582" s="100">
        <v>-273.78856217680578</v>
      </c>
      <c r="G4582" s="100">
        <v>1416.4764685477139</v>
      </c>
      <c r="H4582" s="100">
        <v>-585.05128570874376</v>
      </c>
      <c r="I4582" s="100">
        <v>53.721006663735693</v>
      </c>
      <c r="J4582" s="100">
        <v>611.35762732590013</v>
      </c>
    </row>
    <row r="4583" spans="1:10" x14ac:dyDescent="0.25">
      <c r="A4583">
        <v>4566</v>
      </c>
      <c r="B4583" s="100">
        <v>89.210952453892602</v>
      </c>
      <c r="C4583" s="100">
        <v>98.868433038478528</v>
      </c>
      <c r="D4583" s="100">
        <v>92.000562974468096</v>
      </c>
      <c r="E4583" s="100">
        <v>91.748320915031613</v>
      </c>
      <c r="F4583" s="100">
        <v>1130.8735058639413</v>
      </c>
      <c r="G4583" s="100">
        <v>-987.81529777461685</v>
      </c>
      <c r="H4583" s="100">
        <v>1631.0342620370193</v>
      </c>
      <c r="I4583" s="100">
        <v>1632.3187396696142</v>
      </c>
      <c r="J4583" s="100">
        <v>3406.4112097959578</v>
      </c>
    </row>
    <row r="4584" spans="1:10" x14ac:dyDescent="0.25">
      <c r="A4584">
        <v>4567</v>
      </c>
      <c r="B4584" s="100">
        <v>89.732210304035917</v>
      </c>
      <c r="C4584" s="100">
        <v>98.603628941857139</v>
      </c>
      <c r="D4584" s="100">
        <v>90.692381950372507</v>
      </c>
      <c r="E4584" s="100">
        <v>88.851115393545797</v>
      </c>
      <c r="F4584" s="100">
        <v>-589.27739960899567</v>
      </c>
      <c r="G4584" s="100">
        <v>-590.60915284253213</v>
      </c>
      <c r="H4584" s="100">
        <v>4247.3963102281969</v>
      </c>
      <c r="I4584" s="100">
        <v>4529.5242611554304</v>
      </c>
      <c r="J4584" s="100">
        <v>7597.0340189320996</v>
      </c>
    </row>
    <row r="4585" spans="1:10" x14ac:dyDescent="0.25">
      <c r="A4585">
        <v>4568</v>
      </c>
      <c r="B4585" s="100">
        <v>90.050410809829273</v>
      </c>
      <c r="C4585" s="100">
        <v>97.484624936780776</v>
      </c>
      <c r="D4585" s="100">
        <v>94.727318164901348</v>
      </c>
      <c r="E4585" s="100">
        <v>93.525995821343059</v>
      </c>
      <c r="F4585" s="100">
        <v>-1639.3390687270723</v>
      </c>
      <c r="G4585" s="100">
        <v>1087.8968547720119</v>
      </c>
      <c r="H4585" s="100">
        <v>-3822.4761188294851</v>
      </c>
      <c r="I4585" s="100">
        <v>-145.35616664183237</v>
      </c>
      <c r="J4585" s="100">
        <v>-4519.2744994263785</v>
      </c>
    </row>
    <row r="4586" spans="1:10" x14ac:dyDescent="0.25">
      <c r="A4586">
        <v>4569</v>
      </c>
      <c r="B4586" s="100">
        <v>88.391672330182885</v>
      </c>
      <c r="C4586" s="100">
        <v>97.694653572007482</v>
      </c>
      <c r="D4586" s="100">
        <v>92.823240633265215</v>
      </c>
      <c r="E4586" s="100">
        <v>93.2681603641376</v>
      </c>
      <c r="F4586" s="100">
        <v>3834.497914106008</v>
      </c>
      <c r="G4586" s="100">
        <v>772.85390193195269</v>
      </c>
      <c r="H4586" s="100">
        <v>-14.321055557218187</v>
      </c>
      <c r="I4586" s="100">
        <v>112.47929056362693</v>
      </c>
      <c r="J4586" s="100">
        <v>4705.510051044369</v>
      </c>
    </row>
    <row r="4587" spans="1:10" x14ac:dyDescent="0.25">
      <c r="A4587">
        <v>4570</v>
      </c>
      <c r="B4587" s="100">
        <v>88.574378819512745</v>
      </c>
      <c r="C4587" s="100">
        <v>99.713038028268443</v>
      </c>
      <c r="D4587" s="100">
        <v>93.108542512364409</v>
      </c>
      <c r="E4587" s="100">
        <v>94.2085441832931</v>
      </c>
      <c r="F4587" s="100">
        <v>3231.5664993174705</v>
      </c>
      <c r="G4587" s="100">
        <v>-2254.7227824594884</v>
      </c>
      <c r="H4587" s="100">
        <v>-584.92481375560601</v>
      </c>
      <c r="I4587" s="100">
        <v>-827.90452859187269</v>
      </c>
      <c r="J4587" s="100">
        <v>-435.98562548949656</v>
      </c>
    </row>
    <row r="4588" spans="1:10" x14ac:dyDescent="0.25">
      <c r="A4588">
        <v>4571</v>
      </c>
      <c r="B4588" s="100">
        <v>89.297929540099574</v>
      </c>
      <c r="C4588" s="100">
        <v>98.152764682069801</v>
      </c>
      <c r="D4588" s="100">
        <v>91.922566985924718</v>
      </c>
      <c r="E4588" s="100">
        <v>94.672878309445508</v>
      </c>
      <c r="F4588" s="100">
        <v>843.84912138093569</v>
      </c>
      <c r="G4588" s="100">
        <v>85.687236838474234</v>
      </c>
      <c r="H4588" s="100">
        <v>1787.0262391237759</v>
      </c>
      <c r="I4588" s="100">
        <v>-1292.2386547442811</v>
      </c>
      <c r="J4588" s="100">
        <v>1424.323942598905</v>
      </c>
    </row>
    <row r="4589" spans="1:10" x14ac:dyDescent="0.25">
      <c r="A4589">
        <v>4572</v>
      </c>
      <c r="B4589" s="100">
        <v>89.67714620811644</v>
      </c>
      <c r="C4589" s="100">
        <v>99.083861746572651</v>
      </c>
      <c r="D4589" s="100">
        <v>92.036807676062963</v>
      </c>
      <c r="E4589" s="100">
        <v>93.901691921049803</v>
      </c>
      <c r="F4589" s="100">
        <v>-407.56588307472299</v>
      </c>
      <c r="G4589" s="100">
        <v>-1310.9583599158013</v>
      </c>
      <c r="H4589" s="100">
        <v>1558.5448588472843</v>
      </c>
      <c r="I4589" s="100">
        <v>-521.05226634857615</v>
      </c>
      <c r="J4589" s="100">
        <v>-681.03165049181609</v>
      </c>
    </row>
    <row r="4590" spans="1:10" x14ac:dyDescent="0.25">
      <c r="A4590">
        <v>4573</v>
      </c>
      <c r="B4590" s="100">
        <v>90.182616248536618</v>
      </c>
      <c r="C4590" s="100">
        <v>99.515829310268217</v>
      </c>
      <c r="D4590" s="100">
        <v>91.342352104577287</v>
      </c>
      <c r="E4590" s="100">
        <v>94.4680471891389</v>
      </c>
      <c r="F4590" s="100">
        <v>-2075.6170164613109</v>
      </c>
      <c r="G4590" s="100">
        <v>-1958.9097054591491</v>
      </c>
      <c r="H4590" s="100">
        <v>2947.4560018186367</v>
      </c>
      <c r="I4590" s="100">
        <v>-1087.4075344376733</v>
      </c>
      <c r="J4590" s="100">
        <v>-2174.4782545394964</v>
      </c>
    </row>
    <row r="4591" spans="1:10" x14ac:dyDescent="0.25">
      <c r="A4591">
        <v>4574</v>
      </c>
      <c r="B4591" s="100">
        <v>89.520010159567576</v>
      </c>
      <c r="C4591" s="100">
        <v>98.496874678384032</v>
      </c>
      <c r="D4591" s="100">
        <v>94.372503021285979</v>
      </c>
      <c r="E4591" s="100">
        <v>93.798971496706599</v>
      </c>
      <c r="F4591" s="100">
        <v>110.98307713652815</v>
      </c>
      <c r="G4591" s="100">
        <v>-430.47775763287177</v>
      </c>
      <c r="H4591" s="100">
        <v>-3112.8458315987473</v>
      </c>
      <c r="I4591" s="100">
        <v>-418.33184200537232</v>
      </c>
      <c r="J4591" s="100">
        <v>-3850.6723541004635</v>
      </c>
    </row>
    <row r="4592" spans="1:10" x14ac:dyDescent="0.25">
      <c r="A4592">
        <v>4575</v>
      </c>
      <c r="B4592" s="100">
        <v>89.63565307062396</v>
      </c>
      <c r="C4592" s="100">
        <v>99.360072479310574</v>
      </c>
      <c r="D4592" s="100">
        <v>93.31776160743506</v>
      </c>
      <c r="E4592" s="100">
        <v>91.645168217927548</v>
      </c>
      <c r="F4592" s="100">
        <v>-270.63852934953729</v>
      </c>
      <c r="G4592" s="100">
        <v>-1725.2744590226853</v>
      </c>
      <c r="H4592" s="100">
        <v>-1003.3630038969079</v>
      </c>
      <c r="I4592" s="100">
        <v>1735.471436773679</v>
      </c>
      <c r="J4592" s="100">
        <v>-1263.8045554954513</v>
      </c>
    </row>
    <row r="4593" spans="1:10" x14ac:dyDescent="0.25">
      <c r="A4593">
        <v>4576</v>
      </c>
      <c r="B4593" s="100">
        <v>89.98382471422461</v>
      </c>
      <c r="C4593" s="100">
        <v>98.287697268768056</v>
      </c>
      <c r="D4593" s="100">
        <v>94.015505902160996</v>
      </c>
      <c r="E4593" s="100">
        <v>95.927312617560176</v>
      </c>
      <c r="F4593" s="100">
        <v>-1419.6049532316849</v>
      </c>
      <c r="G4593" s="100">
        <v>-116.71164320890881</v>
      </c>
      <c r="H4593" s="100">
        <v>-2398.8515933487806</v>
      </c>
      <c r="I4593" s="100">
        <v>-2546.6729628589492</v>
      </c>
      <c r="J4593" s="100">
        <v>-6481.8411526483233</v>
      </c>
    </row>
    <row r="4594" spans="1:10" x14ac:dyDescent="0.25">
      <c r="A4594">
        <v>4577</v>
      </c>
      <c r="B4594" s="100">
        <v>88.873430493056361</v>
      </c>
      <c r="C4594" s="100">
        <v>98.758488914711975</v>
      </c>
      <c r="D4594" s="100">
        <v>93.109377451241073</v>
      </c>
      <c r="E4594" s="100">
        <v>95.342075411374481</v>
      </c>
      <c r="F4594" s="100">
        <v>2244.6959766235382</v>
      </c>
      <c r="G4594" s="100">
        <v>-822.89911212478728</v>
      </c>
      <c r="H4594" s="100">
        <v>-586.59469150893528</v>
      </c>
      <c r="I4594" s="100">
        <v>-1961.4357566732538</v>
      </c>
      <c r="J4594" s="100">
        <v>-1126.2335836834382</v>
      </c>
    </row>
    <row r="4595" spans="1:10" x14ac:dyDescent="0.25">
      <c r="A4595">
        <v>4578</v>
      </c>
      <c r="B4595" s="100">
        <v>89.556614944392479</v>
      </c>
      <c r="C4595" s="100">
        <v>98.675341343948972</v>
      </c>
      <c r="D4595" s="100">
        <v>93.693876776845755</v>
      </c>
      <c r="E4595" s="100">
        <v>97.173220928147188</v>
      </c>
      <c r="F4595" s="100">
        <v>-9.8127127856500351</v>
      </c>
      <c r="G4595" s="100">
        <v>-698.1777559802822</v>
      </c>
      <c r="H4595" s="100">
        <v>-1755.5933427182993</v>
      </c>
      <c r="I4595" s="100">
        <v>-3792.5812734459614</v>
      </c>
      <c r="J4595" s="100">
        <v>-6256.1650849301932</v>
      </c>
    </row>
    <row r="4596" spans="1:10" x14ac:dyDescent="0.25">
      <c r="A4596">
        <v>4579</v>
      </c>
      <c r="B4596" s="100">
        <v>89.09181082791747</v>
      </c>
      <c r="C4596" s="100">
        <v>97.979413724027197</v>
      </c>
      <c r="D4596" s="100">
        <v>92.773571982267754</v>
      </c>
      <c r="E4596" s="100">
        <v>91.00040195055503</v>
      </c>
      <c r="F4596" s="100">
        <v>1524.0408715818774</v>
      </c>
      <c r="G4596" s="100">
        <v>345.71367390238095</v>
      </c>
      <c r="H4596" s="100">
        <v>85.016246437703558</v>
      </c>
      <c r="I4596" s="100">
        <v>2380.2377041461968</v>
      </c>
      <c r="J4596" s="100">
        <v>4335.0084960681588</v>
      </c>
    </row>
    <row r="4597" spans="1:10" x14ac:dyDescent="0.25">
      <c r="A4597">
        <v>4580</v>
      </c>
      <c r="B4597" s="100">
        <v>90.007074137983693</v>
      </c>
      <c r="C4597" s="100">
        <v>99.01673339255143</v>
      </c>
      <c r="D4597" s="100">
        <v>92.178088264382595</v>
      </c>
      <c r="E4597" s="100">
        <v>93.42984481285616</v>
      </c>
      <c r="F4597" s="100">
        <v>-1496.3280516366581</v>
      </c>
      <c r="G4597" s="100">
        <v>-1210.2658288839691</v>
      </c>
      <c r="H4597" s="100">
        <v>1275.9836822080217</v>
      </c>
      <c r="I4597" s="100">
        <v>-49.205158154933315</v>
      </c>
      <c r="J4597" s="100">
        <v>-1479.8153564675385</v>
      </c>
    </row>
    <row r="4598" spans="1:10" x14ac:dyDescent="0.25">
      <c r="A4598">
        <v>4581</v>
      </c>
      <c r="B4598" s="100">
        <v>89.699074705125227</v>
      </c>
      <c r="C4598" s="100">
        <v>99.295745252900517</v>
      </c>
      <c r="D4598" s="100">
        <v>93.995590536007754</v>
      </c>
      <c r="E4598" s="100">
        <v>92.496759498430677</v>
      </c>
      <c r="F4598" s="100">
        <v>-479.92992320371997</v>
      </c>
      <c r="G4598" s="100">
        <v>-1628.7836194075994</v>
      </c>
      <c r="H4598" s="100">
        <v>-2359.020861042296</v>
      </c>
      <c r="I4598" s="100">
        <v>883.88015627054983</v>
      </c>
      <c r="J4598" s="100">
        <v>-3583.8542473830662</v>
      </c>
    </row>
    <row r="4599" spans="1:10" x14ac:dyDescent="0.25">
      <c r="A4599">
        <v>4582</v>
      </c>
      <c r="B4599" s="100">
        <v>89.617554720567512</v>
      </c>
      <c r="C4599" s="100">
        <v>97.583908603170372</v>
      </c>
      <c r="D4599" s="100">
        <v>94.195432778214453</v>
      </c>
      <c r="E4599" s="100">
        <v>92.606153193968709</v>
      </c>
      <c r="F4599" s="100">
        <v>-210.9139741632589</v>
      </c>
      <c r="G4599" s="100">
        <v>938.97135518761843</v>
      </c>
      <c r="H4599" s="100">
        <v>-2758.7053454556954</v>
      </c>
      <c r="I4599" s="100">
        <v>774.48646073251837</v>
      </c>
      <c r="J4599" s="100">
        <v>-1256.1615036988173</v>
      </c>
    </row>
    <row r="4600" spans="1:10" x14ac:dyDescent="0.25">
      <c r="A4600">
        <v>4583</v>
      </c>
      <c r="B4600" s="100">
        <v>89.961638246911448</v>
      </c>
      <c r="C4600" s="100">
        <v>98.632143908326725</v>
      </c>
      <c r="D4600" s="100">
        <v>91.908201937092358</v>
      </c>
      <c r="E4600" s="100">
        <v>94.880599659333683</v>
      </c>
      <c r="F4600" s="100">
        <v>-1346.3896110982503</v>
      </c>
      <c r="G4600" s="100">
        <v>-633.38160254691184</v>
      </c>
      <c r="H4600" s="100">
        <v>1815.7563367884961</v>
      </c>
      <c r="I4600" s="100">
        <v>-1499.9600046324558</v>
      </c>
      <c r="J4600" s="100">
        <v>-1663.9748814891218</v>
      </c>
    </row>
    <row r="4601" spans="1:10" x14ac:dyDescent="0.25">
      <c r="A4601">
        <v>4584</v>
      </c>
      <c r="B4601" s="100">
        <v>88.993807873248898</v>
      </c>
      <c r="C4601" s="100">
        <v>99.88555385998049</v>
      </c>
      <c r="D4601" s="100">
        <v>91.905270432760886</v>
      </c>
      <c r="E4601" s="100">
        <v>95.464863176063403</v>
      </c>
      <c r="F4601" s="100">
        <v>1847.4506219881675</v>
      </c>
      <c r="G4601" s="100">
        <v>-2513.4965300275594</v>
      </c>
      <c r="H4601" s="100">
        <v>1821.6193454514382</v>
      </c>
      <c r="I4601" s="100">
        <v>-2084.2235213621761</v>
      </c>
      <c r="J4601" s="100">
        <v>-928.65008395012978</v>
      </c>
    </row>
    <row r="4602" spans="1:10" x14ac:dyDescent="0.25">
      <c r="A4602">
        <v>4585</v>
      </c>
      <c r="B4602" s="100">
        <v>89.739122829944577</v>
      </c>
      <c r="C4602" s="100">
        <v>98.989762677200915</v>
      </c>
      <c r="D4602" s="100">
        <v>94.133193869145913</v>
      </c>
      <c r="E4602" s="100">
        <v>93.041864094935235</v>
      </c>
      <c r="F4602" s="100">
        <v>-612.08873510757508</v>
      </c>
      <c r="G4602" s="100">
        <v>-1169.8097558581962</v>
      </c>
      <c r="H4602" s="100">
        <v>-2634.2275273186146</v>
      </c>
      <c r="I4602" s="100">
        <v>338.77555976599183</v>
      </c>
      <c r="J4602" s="100">
        <v>-4077.3504585183946</v>
      </c>
    </row>
    <row r="4603" spans="1:10" x14ac:dyDescent="0.25">
      <c r="A4603">
        <v>4586</v>
      </c>
      <c r="B4603" s="100">
        <v>89.297773794123117</v>
      </c>
      <c r="C4603" s="100">
        <v>98.885036229369533</v>
      </c>
      <c r="D4603" s="100">
        <v>91.888195587462192</v>
      </c>
      <c r="E4603" s="100">
        <v>91.90810041411072</v>
      </c>
      <c r="F4603" s="100">
        <v>844.36308310324364</v>
      </c>
      <c r="G4603" s="100">
        <v>-1012.7200841111232</v>
      </c>
      <c r="H4603" s="100">
        <v>1855.7690360488266</v>
      </c>
      <c r="I4603" s="100">
        <v>1472.5392405905068</v>
      </c>
      <c r="J4603" s="100">
        <v>3159.9512756314539</v>
      </c>
    </row>
    <row r="4604" spans="1:10" x14ac:dyDescent="0.25">
      <c r="A4604">
        <v>4587</v>
      </c>
      <c r="B4604" s="100">
        <v>89.478704827948121</v>
      </c>
      <c r="C4604" s="100">
        <v>97.275113056278528</v>
      </c>
      <c r="D4604" s="100">
        <v>94.041113172369535</v>
      </c>
      <c r="E4604" s="100">
        <v>97.266232467813225</v>
      </c>
      <c r="F4604" s="100">
        <v>247.29067148072943</v>
      </c>
      <c r="G4604" s="100">
        <v>1402.1646755253842</v>
      </c>
      <c r="H4604" s="100">
        <v>-2450.0661337658585</v>
      </c>
      <c r="I4604" s="100">
        <v>-3885.5928131119981</v>
      </c>
      <c r="J4604" s="100">
        <v>-4686.2035998717429</v>
      </c>
    </row>
    <row r="4605" spans="1:10" x14ac:dyDescent="0.25">
      <c r="A4605">
        <v>4588</v>
      </c>
      <c r="B4605" s="100">
        <v>88.500233774456646</v>
      </c>
      <c r="C4605" s="100">
        <v>100.24830017871074</v>
      </c>
      <c r="D4605" s="100">
        <v>91.840078983793703</v>
      </c>
      <c r="E4605" s="100">
        <v>91.815479185794246</v>
      </c>
      <c r="F4605" s="100">
        <v>3476.2451480025975</v>
      </c>
      <c r="G4605" s="100">
        <v>-3057.6160081229277</v>
      </c>
      <c r="H4605" s="100">
        <v>1952.002243385806</v>
      </c>
      <c r="I4605" s="100">
        <v>1565.1604689069814</v>
      </c>
      <c r="J4605" s="100">
        <v>3935.7918521724573</v>
      </c>
    </row>
    <row r="4606" spans="1:10" x14ac:dyDescent="0.25">
      <c r="A4606">
        <v>4589</v>
      </c>
      <c r="B4606" s="100">
        <v>88.910895920780277</v>
      </c>
      <c r="C4606" s="100">
        <v>97.932376866221816</v>
      </c>
      <c r="D4606" s="100">
        <v>91.909489773404246</v>
      </c>
      <c r="E4606" s="100">
        <v>93.861670852540072</v>
      </c>
      <c r="F4606" s="100">
        <v>2121.0600651346153</v>
      </c>
      <c r="G4606" s="100">
        <v>416.26896061045215</v>
      </c>
      <c r="H4606" s="100">
        <v>1813.1806641647188</v>
      </c>
      <c r="I4606" s="100">
        <v>-481.03119783884551</v>
      </c>
      <c r="J4606" s="100">
        <v>3869.4784920709408</v>
      </c>
    </row>
    <row r="4607" spans="1:10" x14ac:dyDescent="0.25">
      <c r="A4607">
        <v>4590</v>
      </c>
      <c r="B4607" s="100">
        <v>90.062603226663768</v>
      </c>
      <c r="C4607" s="100">
        <v>100.80019529462336</v>
      </c>
      <c r="D4607" s="100">
        <v>91.494326498021167</v>
      </c>
      <c r="E4607" s="100">
        <v>91.021750866876559</v>
      </c>
      <c r="F4607" s="100">
        <v>-1679.5740442809049</v>
      </c>
      <c r="G4607" s="100">
        <v>-3885.4586819918709</v>
      </c>
      <c r="H4607" s="100">
        <v>2643.507214930878</v>
      </c>
      <c r="I4607" s="100">
        <v>2358.8887878246678</v>
      </c>
      <c r="J4607" s="100">
        <v>-562.63672351723017</v>
      </c>
    </row>
    <row r="4608" spans="1:10" x14ac:dyDescent="0.25">
      <c r="A4608">
        <v>4591</v>
      </c>
      <c r="B4608" s="100">
        <v>88.338964909486734</v>
      </c>
      <c r="C4608" s="100">
        <v>97.690928552776612</v>
      </c>
      <c r="D4608" s="100">
        <v>92.592386917441829</v>
      </c>
      <c r="E4608" s="100">
        <v>93.317320124956339</v>
      </c>
      <c r="F4608" s="100">
        <v>4008.4324024033081</v>
      </c>
      <c r="G4608" s="100">
        <v>778.44143077825834</v>
      </c>
      <c r="H4608" s="100">
        <v>447.38637608955401</v>
      </c>
      <c r="I4608" s="100">
        <v>63.319529744887859</v>
      </c>
      <c r="J4608" s="100">
        <v>5297.5797390160078</v>
      </c>
    </row>
    <row r="4609" spans="1:10" x14ac:dyDescent="0.25">
      <c r="A4609">
        <v>4592</v>
      </c>
      <c r="B4609" s="100">
        <v>89.024243927445326</v>
      </c>
      <c r="C4609" s="100">
        <v>98.786050850473714</v>
      </c>
      <c r="D4609" s="100">
        <v>92.66840596305677</v>
      </c>
      <c r="E4609" s="100">
        <v>94.577451738189311</v>
      </c>
      <c r="F4609" s="100">
        <v>1747.0116431399533</v>
      </c>
      <c r="G4609" s="100">
        <v>-864.24201576739529</v>
      </c>
      <c r="H4609" s="100">
        <v>295.34828485967068</v>
      </c>
      <c r="I4609" s="100">
        <v>-1196.8120834880835</v>
      </c>
      <c r="J4609" s="100">
        <v>-18.694171255854826</v>
      </c>
    </row>
    <row r="4610" spans="1:10" x14ac:dyDescent="0.25">
      <c r="A4610">
        <v>4593</v>
      </c>
      <c r="B4610" s="100">
        <v>90.338223033593295</v>
      </c>
      <c r="C4610" s="100">
        <v>98.171687128858281</v>
      </c>
      <c r="D4610" s="100">
        <v>92.158792616827384</v>
      </c>
      <c r="E4610" s="100">
        <v>96.285689869408031</v>
      </c>
      <c r="F4610" s="100">
        <v>-2589.1194071483424</v>
      </c>
      <c r="G4610" s="100">
        <v>57.303566655754423</v>
      </c>
      <c r="H4610" s="100">
        <v>1314.5749773184434</v>
      </c>
      <c r="I4610" s="100">
        <v>-2905.0502147068046</v>
      </c>
      <c r="J4610" s="100">
        <v>-4122.2910778809492</v>
      </c>
    </row>
    <row r="4611" spans="1:10" x14ac:dyDescent="0.25">
      <c r="A4611">
        <v>4594</v>
      </c>
      <c r="B4611" s="100">
        <v>89.647258135224092</v>
      </c>
      <c r="C4611" s="100">
        <v>96.709122768584805</v>
      </c>
      <c r="D4611" s="100">
        <v>93.41322048983433</v>
      </c>
      <c r="E4611" s="100">
        <v>93.192827155922075</v>
      </c>
      <c r="F4611" s="100">
        <v>-308.93524252997508</v>
      </c>
      <c r="G4611" s="100">
        <v>2251.1501070659679</v>
      </c>
      <c r="H4611" s="100">
        <v>-1194.2807686954495</v>
      </c>
      <c r="I4611" s="100">
        <v>187.81249877915229</v>
      </c>
      <c r="J4611" s="100">
        <v>935.74659461969554</v>
      </c>
    </row>
    <row r="4612" spans="1:10" x14ac:dyDescent="0.25">
      <c r="A4612">
        <v>4595</v>
      </c>
      <c r="B4612" s="100">
        <v>89.746696844275192</v>
      </c>
      <c r="C4612" s="100">
        <v>97.098058843962619</v>
      </c>
      <c r="D4612" s="100">
        <v>92.792730187354849</v>
      </c>
      <c r="E4612" s="100">
        <v>93.319236545490398</v>
      </c>
      <c r="F4612" s="100">
        <v>-637.08298239860426</v>
      </c>
      <c r="G4612" s="100">
        <v>1667.7459939992473</v>
      </c>
      <c r="H4612" s="100">
        <v>46.699836263513816</v>
      </c>
      <c r="I4612" s="100">
        <v>61.403109210829143</v>
      </c>
      <c r="J4612" s="100">
        <v>1138.7659570749861</v>
      </c>
    </row>
    <row r="4613" spans="1:10" x14ac:dyDescent="0.25">
      <c r="A4613">
        <v>4596</v>
      </c>
      <c r="B4613" s="100">
        <v>88.750953924791759</v>
      </c>
      <c r="C4613" s="100">
        <v>100.84204152737672</v>
      </c>
      <c r="D4613" s="100">
        <v>94.091343915286018</v>
      </c>
      <c r="E4613" s="100">
        <v>93.689510898443643</v>
      </c>
      <c r="F4613" s="100">
        <v>2648.8686518967256</v>
      </c>
      <c r="G4613" s="100">
        <v>-3948.228031121907</v>
      </c>
      <c r="H4613" s="100">
        <v>-2550.5276195988245</v>
      </c>
      <c r="I4613" s="100">
        <v>-308.87124374241637</v>
      </c>
      <c r="J4613" s="100">
        <v>-4158.7582425664223</v>
      </c>
    </row>
    <row r="4614" spans="1:10" x14ac:dyDescent="0.25">
      <c r="A4614">
        <v>4597</v>
      </c>
      <c r="B4614" s="100">
        <v>88.5464325806022</v>
      </c>
      <c r="C4614" s="100">
        <v>98.560436600794233</v>
      </c>
      <c r="D4614" s="100">
        <v>91.408019927312679</v>
      </c>
      <c r="E4614" s="100">
        <v>90.83604278783956</v>
      </c>
      <c r="F4614" s="100">
        <v>3323.7890877222681</v>
      </c>
      <c r="G4614" s="100">
        <v>-525.82064124817407</v>
      </c>
      <c r="H4614" s="100">
        <v>2816.1203563478521</v>
      </c>
      <c r="I4614" s="100">
        <v>2544.596866861667</v>
      </c>
      <c r="J4614" s="100">
        <v>8158.685669683613</v>
      </c>
    </row>
    <row r="4615" spans="1:10" x14ac:dyDescent="0.25">
      <c r="A4615">
        <v>4598</v>
      </c>
      <c r="B4615" s="100">
        <v>89.914781487837871</v>
      </c>
      <c r="C4615" s="100">
        <v>97.813729213524425</v>
      </c>
      <c r="D4615" s="100">
        <v>92.417727455010265</v>
      </c>
      <c r="E4615" s="100">
        <v>93.144909469353635</v>
      </c>
      <c r="F4615" s="100">
        <v>-1191.762306155445</v>
      </c>
      <c r="G4615" s="100">
        <v>594.240439656538</v>
      </c>
      <c r="H4615" s="100">
        <v>796.70530095268077</v>
      </c>
      <c r="I4615" s="100">
        <v>235.73018534759171</v>
      </c>
      <c r="J4615" s="100">
        <v>434.91361980136548</v>
      </c>
    </row>
    <row r="4616" spans="1:10" x14ac:dyDescent="0.25">
      <c r="A4616">
        <v>4599</v>
      </c>
      <c r="B4616" s="100">
        <v>89.159734950187826</v>
      </c>
      <c r="C4616" s="100">
        <v>96.88776396701968</v>
      </c>
      <c r="D4616" s="100">
        <v>92.281480998565485</v>
      </c>
      <c r="E4616" s="100">
        <v>94.01741298607358</v>
      </c>
      <c r="F4616" s="100">
        <v>1299.8912680897049</v>
      </c>
      <c r="G4616" s="100">
        <v>1983.1883094136558</v>
      </c>
      <c r="H4616" s="100">
        <v>1069.1982138422418</v>
      </c>
      <c r="I4616" s="100">
        <v>-636.77333137235337</v>
      </c>
      <c r="J4616" s="100">
        <v>3715.5044599732496</v>
      </c>
    </row>
    <row r="4617" spans="1:10" x14ac:dyDescent="0.25">
      <c r="A4617">
        <v>4600</v>
      </c>
      <c r="B4617" s="100">
        <v>89.405554373499569</v>
      </c>
      <c r="C4617" s="100">
        <v>97.071777127510359</v>
      </c>
      <c r="D4617" s="100">
        <v>91.746005765685865</v>
      </c>
      <c r="E4617" s="100">
        <v>95.972485179037051</v>
      </c>
      <c r="F4617" s="100">
        <v>488.68717116095013</v>
      </c>
      <c r="G4617" s="100">
        <v>1707.1685686776377</v>
      </c>
      <c r="H4617" s="100">
        <v>2140.1486796014806</v>
      </c>
      <c r="I4617" s="100">
        <v>-2591.8455243358239</v>
      </c>
      <c r="J4617" s="100">
        <v>1744.1588951042449</v>
      </c>
    </row>
    <row r="4618" spans="1:10" x14ac:dyDescent="0.25">
      <c r="A4618">
        <v>4601</v>
      </c>
      <c r="B4618" s="100">
        <v>89.455378145420624</v>
      </c>
      <c r="C4618" s="100">
        <v>97.70566756256548</v>
      </c>
      <c r="D4618" s="100">
        <v>93.93177069518697</v>
      </c>
      <c r="E4618" s="100">
        <v>95.013610867519034</v>
      </c>
      <c r="F4618" s="100">
        <v>324.26872382146854</v>
      </c>
      <c r="G4618" s="100">
        <v>756.33291609495495</v>
      </c>
      <c r="H4618" s="100">
        <v>-2231.3811794007279</v>
      </c>
      <c r="I4618" s="100">
        <v>-1632.9712128178073</v>
      </c>
      <c r="J4618" s="100">
        <v>-2783.7507523021118</v>
      </c>
    </row>
    <row r="4619" spans="1:10" x14ac:dyDescent="0.25">
      <c r="A4619">
        <v>4602</v>
      </c>
      <c r="B4619" s="100">
        <v>89.217075561244243</v>
      </c>
      <c r="C4619" s="100">
        <v>100.54837899796375</v>
      </c>
      <c r="D4619" s="100">
        <v>92.609764479623564</v>
      </c>
      <c r="E4619" s="100">
        <v>92.554825287914454</v>
      </c>
      <c r="F4619" s="100">
        <v>1110.667251603526</v>
      </c>
      <c r="G4619" s="100">
        <v>-3507.7342370024526</v>
      </c>
      <c r="H4619" s="100">
        <v>412.63125172608284</v>
      </c>
      <c r="I4619" s="100">
        <v>825.81436678677278</v>
      </c>
      <c r="J4619" s="100">
        <v>-1158.621366886071</v>
      </c>
    </row>
    <row r="4620" spans="1:10" x14ac:dyDescent="0.25">
      <c r="A4620">
        <v>4603</v>
      </c>
      <c r="B4620" s="100">
        <v>89.558211226694496</v>
      </c>
      <c r="C4620" s="100">
        <v>97.796868606331898</v>
      </c>
      <c r="D4620" s="100">
        <v>93.606658929178394</v>
      </c>
      <c r="E4620" s="100">
        <v>93.769971409640291</v>
      </c>
      <c r="F4620" s="100">
        <v>-15.080444382307689</v>
      </c>
      <c r="G4620" s="100">
        <v>619.53135044532814</v>
      </c>
      <c r="H4620" s="100">
        <v>-1581.1576473835771</v>
      </c>
      <c r="I4620" s="100">
        <v>-389.33175493906447</v>
      </c>
      <c r="J4620" s="100">
        <v>-1366.0384962596211</v>
      </c>
    </row>
    <row r="4621" spans="1:10" x14ac:dyDescent="0.25">
      <c r="A4621">
        <v>4604</v>
      </c>
      <c r="B4621" s="100">
        <v>88.796166596294029</v>
      </c>
      <c r="C4621" s="100">
        <v>96.719928337683129</v>
      </c>
      <c r="D4621" s="100">
        <v>92.521319763515194</v>
      </c>
      <c r="E4621" s="100">
        <v>92.743601299613573</v>
      </c>
      <c r="F4621" s="100">
        <v>2499.6668359392343</v>
      </c>
      <c r="G4621" s="100">
        <v>2234.9417534184822</v>
      </c>
      <c r="H4621" s="100">
        <v>589.52068394282264</v>
      </c>
      <c r="I4621" s="100">
        <v>637.03835508765394</v>
      </c>
      <c r="J4621" s="100">
        <v>5961.1676283881934</v>
      </c>
    </row>
    <row r="4622" spans="1:10" x14ac:dyDescent="0.25">
      <c r="A4622">
        <v>4605</v>
      </c>
      <c r="B4622" s="100">
        <v>89.493039180024795</v>
      </c>
      <c r="C4622" s="100">
        <v>96.400927859406764</v>
      </c>
      <c r="D4622" s="100">
        <v>94.007792663226581</v>
      </c>
      <c r="E4622" s="100">
        <v>95.03261366780518</v>
      </c>
      <c r="F4622" s="100">
        <v>199.98730962770708</v>
      </c>
      <c r="G4622" s="100">
        <v>2713.4424708330298</v>
      </c>
      <c r="H4622" s="100">
        <v>-2383.4251154799517</v>
      </c>
      <c r="I4622" s="100">
        <v>-1651.9740131039525</v>
      </c>
      <c r="J4622" s="100">
        <v>-1121.9693481231675</v>
      </c>
    </row>
    <row r="4623" spans="1:10" x14ac:dyDescent="0.25">
      <c r="A4623">
        <v>4606</v>
      </c>
      <c r="B4623" s="100">
        <v>90.370054087052338</v>
      </c>
      <c r="C4623" s="100">
        <v>96.822317149550543</v>
      </c>
      <c r="D4623" s="100">
        <v>92.820462207070406</v>
      </c>
      <c r="E4623" s="100">
        <v>90.610730984145889</v>
      </c>
      <c r="F4623" s="100">
        <v>-2694.1618835631871</v>
      </c>
      <c r="G4623" s="100">
        <v>2081.3585356173617</v>
      </c>
      <c r="H4623" s="100">
        <v>-8.7642031676011811</v>
      </c>
      <c r="I4623" s="100">
        <v>2769.9086705553382</v>
      </c>
      <c r="J4623" s="100">
        <v>2148.3411194419114</v>
      </c>
    </row>
    <row r="4624" spans="1:10" x14ac:dyDescent="0.25">
      <c r="A4624">
        <v>4607</v>
      </c>
      <c r="B4624" s="100">
        <v>89.628393468032272</v>
      </c>
      <c r="C4624" s="100">
        <v>98.57684117813794</v>
      </c>
      <c r="D4624" s="100">
        <v>91.851025901557563</v>
      </c>
      <c r="E4624" s="100">
        <v>93.113169993043726</v>
      </c>
      <c r="F4624" s="100">
        <v>-246.68184079696687</v>
      </c>
      <c r="G4624" s="100">
        <v>-550.42750726373413</v>
      </c>
      <c r="H4624" s="100">
        <v>1930.1084078580857</v>
      </c>
      <c r="I4624" s="100">
        <v>267.46966165750052</v>
      </c>
      <c r="J4624" s="100">
        <v>1400.4687214548853</v>
      </c>
    </row>
    <row r="4625" spans="1:10" x14ac:dyDescent="0.25">
      <c r="A4625">
        <v>4608</v>
      </c>
      <c r="B4625" s="100">
        <v>89.900353474648639</v>
      </c>
      <c r="C4625" s="100">
        <v>97.120471628026792</v>
      </c>
      <c r="D4625" s="100">
        <v>90.737948264175415</v>
      </c>
      <c r="E4625" s="100">
        <v>96.369141710860575</v>
      </c>
      <c r="F4625" s="100">
        <v>-1144.1498626309808</v>
      </c>
      <c r="G4625" s="100">
        <v>1634.1268179029883</v>
      </c>
      <c r="H4625" s="100">
        <v>4156.2636826223807</v>
      </c>
      <c r="I4625" s="100">
        <v>-2988.5020561593478</v>
      </c>
      <c r="J4625" s="100">
        <v>1657.73858173504</v>
      </c>
    </row>
    <row r="4626" spans="1:10" x14ac:dyDescent="0.25">
      <c r="A4626">
        <v>4609</v>
      </c>
      <c r="B4626" s="100">
        <v>89.092969392474558</v>
      </c>
      <c r="C4626" s="100">
        <v>97.962550219567277</v>
      </c>
      <c r="D4626" s="100">
        <v>92.890249826664345</v>
      </c>
      <c r="E4626" s="100">
        <v>93.762732988964544</v>
      </c>
      <c r="F4626" s="100">
        <v>1520.2176085434885</v>
      </c>
      <c r="G4626" s="100">
        <v>371.00893059226081</v>
      </c>
      <c r="H4626" s="100">
        <v>-148.33944235547847</v>
      </c>
      <c r="I4626" s="100">
        <v>-382.09333426331682</v>
      </c>
      <c r="J4626" s="100">
        <v>1360.7937625169541</v>
      </c>
    </row>
    <row r="4627" spans="1:10" x14ac:dyDescent="0.25">
      <c r="A4627">
        <v>4610</v>
      </c>
      <c r="B4627" s="100">
        <v>89.795727158815481</v>
      </c>
      <c r="C4627" s="100">
        <v>98.708204848811405</v>
      </c>
      <c r="D4627" s="100">
        <v>92.700054019994582</v>
      </c>
      <c r="E4627" s="100">
        <v>91.182892339183667</v>
      </c>
      <c r="F4627" s="100">
        <v>-798.88302038155814</v>
      </c>
      <c r="G4627" s="100">
        <v>-747.47301327393245</v>
      </c>
      <c r="H4627" s="100">
        <v>232.05217098404773</v>
      </c>
      <c r="I4627" s="100">
        <v>2197.7473155175603</v>
      </c>
      <c r="J4627" s="100">
        <v>883.44345284611745</v>
      </c>
    </row>
    <row r="4628" spans="1:10" x14ac:dyDescent="0.25">
      <c r="A4628">
        <v>4611</v>
      </c>
      <c r="B4628" s="100">
        <v>89.244801552097655</v>
      </c>
      <c r="C4628" s="100">
        <v>99.112236554682184</v>
      </c>
      <c r="D4628" s="100">
        <v>90.358827269905305</v>
      </c>
      <c r="E4628" s="100">
        <v>94.986506152878292</v>
      </c>
      <c r="F4628" s="100">
        <v>1019.1714817872664</v>
      </c>
      <c r="G4628" s="100">
        <v>-1353.5205720801002</v>
      </c>
      <c r="H4628" s="100">
        <v>4914.5056711626012</v>
      </c>
      <c r="I4628" s="100">
        <v>-1605.8664981770648</v>
      </c>
      <c r="J4628" s="100">
        <v>2974.2900826927021</v>
      </c>
    </row>
    <row r="4629" spans="1:10" x14ac:dyDescent="0.25">
      <c r="A4629">
        <v>4612</v>
      </c>
      <c r="B4629" s="100">
        <v>90.361534906312357</v>
      </c>
      <c r="C4629" s="100">
        <v>97.401743869821843</v>
      </c>
      <c r="D4629" s="100">
        <v>91.751029571444306</v>
      </c>
      <c r="E4629" s="100">
        <v>92.526639609635637</v>
      </c>
      <c r="F4629" s="100">
        <v>-2666.04858712125</v>
      </c>
      <c r="G4629" s="100">
        <v>1212.2184552104115</v>
      </c>
      <c r="H4629" s="100">
        <v>2130.1010680845993</v>
      </c>
      <c r="I4629" s="100">
        <v>854.00004506558957</v>
      </c>
      <c r="J4629" s="100">
        <v>1530.2709812393505</v>
      </c>
    </row>
    <row r="4630" spans="1:10" x14ac:dyDescent="0.25">
      <c r="A4630">
        <v>4613</v>
      </c>
      <c r="B4630" s="100">
        <v>90.39853544827848</v>
      </c>
      <c r="C4630" s="100">
        <v>98.393921291464821</v>
      </c>
      <c r="D4630" s="100">
        <v>92.320667626982527</v>
      </c>
      <c r="E4630" s="100">
        <v>92.221073584411954</v>
      </c>
      <c r="F4630" s="100">
        <v>-2788.1503756094544</v>
      </c>
      <c r="G4630" s="100">
        <v>-276.04767725405566</v>
      </c>
      <c r="H4630" s="100">
        <v>990.82495700815798</v>
      </c>
      <c r="I4630" s="100">
        <v>1159.5660702892728</v>
      </c>
      <c r="J4630" s="100">
        <v>-913.80702556607912</v>
      </c>
    </row>
    <row r="4631" spans="1:10" x14ac:dyDescent="0.25">
      <c r="A4631">
        <v>4614</v>
      </c>
      <c r="B4631" s="100">
        <v>89.372577515206558</v>
      </c>
      <c r="C4631" s="100">
        <v>98.082552322380863</v>
      </c>
      <c r="D4631" s="100">
        <v>94.029742631979218</v>
      </c>
      <c r="E4631" s="100">
        <v>94.850596255917992</v>
      </c>
      <c r="F4631" s="100">
        <v>597.5108035278879</v>
      </c>
      <c r="G4631" s="100">
        <v>191.0057763718811</v>
      </c>
      <c r="H4631" s="100">
        <v>-2427.3250529852248</v>
      </c>
      <c r="I4631" s="100">
        <v>-1469.9566012167652</v>
      </c>
      <c r="J4631" s="100">
        <v>-3108.7650743022209</v>
      </c>
    </row>
    <row r="4632" spans="1:10" x14ac:dyDescent="0.25">
      <c r="A4632">
        <v>4615</v>
      </c>
      <c r="B4632" s="100">
        <v>89.117671647261659</v>
      </c>
      <c r="C4632" s="100">
        <v>98.961736643677227</v>
      </c>
      <c r="D4632" s="100">
        <v>94.082067837615327</v>
      </c>
      <c r="E4632" s="100">
        <v>95.283586286003157</v>
      </c>
      <c r="F4632" s="100">
        <v>1438.7001677460546</v>
      </c>
      <c r="G4632" s="100">
        <v>-1127.7707055726651</v>
      </c>
      <c r="H4632" s="100">
        <v>-2531.9754642574426</v>
      </c>
      <c r="I4632" s="100">
        <v>-1902.9466313019298</v>
      </c>
      <c r="J4632" s="100">
        <v>-4123.9926333859821</v>
      </c>
    </row>
    <row r="4633" spans="1:10" x14ac:dyDescent="0.25">
      <c r="A4633">
        <v>4616</v>
      </c>
      <c r="B4633" s="100">
        <v>89.039929037527813</v>
      </c>
      <c r="C4633" s="100">
        <v>98.116411267011159</v>
      </c>
      <c r="D4633" s="100">
        <v>93.782356479157571</v>
      </c>
      <c r="E4633" s="100">
        <v>91.278547215180041</v>
      </c>
      <c r="F4633" s="100">
        <v>1695.2507798677473</v>
      </c>
      <c r="G4633" s="100">
        <v>140.21735942643687</v>
      </c>
      <c r="H4633" s="100">
        <v>-1932.5527473419299</v>
      </c>
      <c r="I4633" s="100">
        <v>2102.0924395211864</v>
      </c>
      <c r="J4633" s="100">
        <v>2005.0078314734405</v>
      </c>
    </row>
    <row r="4634" spans="1:10" x14ac:dyDescent="0.25">
      <c r="A4634">
        <v>4617</v>
      </c>
      <c r="B4634" s="100">
        <v>89.725000440420985</v>
      </c>
      <c r="C4634" s="100">
        <v>98.154825255589444</v>
      </c>
      <c r="D4634" s="100">
        <v>92.689237295057509</v>
      </c>
      <c r="E4634" s="100">
        <v>92.907758168641109</v>
      </c>
      <c r="F4634" s="100">
        <v>-565.48484967972001</v>
      </c>
      <c r="G4634" s="100">
        <v>82.596376559010309</v>
      </c>
      <c r="H4634" s="100">
        <v>253.68562085819235</v>
      </c>
      <c r="I4634" s="100">
        <v>472.8814860601176</v>
      </c>
      <c r="J4634" s="100">
        <v>243.67863379760024</v>
      </c>
    </row>
    <row r="4635" spans="1:10" x14ac:dyDescent="0.25">
      <c r="A4635">
        <v>4618</v>
      </c>
      <c r="B4635" s="100">
        <v>89.586164910468383</v>
      </c>
      <c r="C4635" s="100">
        <v>98.414379419129844</v>
      </c>
      <c r="D4635" s="100">
        <v>92.771411385498666</v>
      </c>
      <c r="E4635" s="100">
        <v>92.892653373696987</v>
      </c>
      <c r="F4635" s="100">
        <v>-107.32760083613613</v>
      </c>
      <c r="G4635" s="100">
        <v>-306.73486875159028</v>
      </c>
      <c r="H4635" s="100">
        <v>89.337439975878397</v>
      </c>
      <c r="I4635" s="100">
        <v>487.98628100423969</v>
      </c>
      <c r="J4635" s="100">
        <v>163.26125139239167</v>
      </c>
    </row>
    <row r="4636" spans="1:10" x14ac:dyDescent="0.25">
      <c r="A4636">
        <v>4619</v>
      </c>
      <c r="B4636" s="100">
        <v>89.686156171656904</v>
      </c>
      <c r="C4636" s="100">
        <v>97.9132058655034</v>
      </c>
      <c r="D4636" s="100">
        <v>91.958155290541058</v>
      </c>
      <c r="E4636" s="100">
        <v>92.998289031096903</v>
      </c>
      <c r="F4636" s="100">
        <v>-437.29876275825461</v>
      </c>
      <c r="G4636" s="100">
        <v>445.02546168807555</v>
      </c>
      <c r="H4636" s="100">
        <v>1715.8496298910961</v>
      </c>
      <c r="I4636" s="100">
        <v>382.35062360432437</v>
      </c>
      <c r="J4636" s="100">
        <v>2105.9269524252413</v>
      </c>
    </row>
    <row r="4637" spans="1:10" x14ac:dyDescent="0.25">
      <c r="A4637">
        <v>4620</v>
      </c>
      <c r="B4637" s="100">
        <v>89.645483039329363</v>
      </c>
      <c r="C4637" s="100">
        <v>97.554580334679883</v>
      </c>
      <c r="D4637" s="100">
        <v>91.682499862216488</v>
      </c>
      <c r="E4637" s="100">
        <v>96.725324952359415</v>
      </c>
      <c r="F4637" s="100">
        <v>-303.07742607736969</v>
      </c>
      <c r="G4637" s="100">
        <v>982.96375792335061</v>
      </c>
      <c r="H4637" s="100">
        <v>2267.1604865402342</v>
      </c>
      <c r="I4637" s="100">
        <v>-3344.6852976581881</v>
      </c>
      <c r="J4637" s="100">
        <v>-397.63847927197321</v>
      </c>
    </row>
    <row r="4638" spans="1:10" x14ac:dyDescent="0.25">
      <c r="A4638">
        <v>4621</v>
      </c>
      <c r="B4638" s="100">
        <v>89.53890733706109</v>
      </c>
      <c r="C4638" s="100">
        <v>97.761957547754221</v>
      </c>
      <c r="D4638" s="100">
        <v>91.781859941334361</v>
      </c>
      <c r="E4638" s="100">
        <v>93.413634640690901</v>
      </c>
      <c r="F4638" s="100">
        <v>48.622391407931786</v>
      </c>
      <c r="G4638" s="100">
        <v>671.89793831184375</v>
      </c>
      <c r="H4638" s="100">
        <v>2068.4403283044903</v>
      </c>
      <c r="I4638" s="100">
        <v>-32.994985989674319</v>
      </c>
      <c r="J4638" s="100">
        <v>2755.9656720345915</v>
      </c>
    </row>
    <row r="4639" spans="1:10" x14ac:dyDescent="0.25">
      <c r="A4639">
        <v>4622</v>
      </c>
      <c r="B4639" s="100">
        <v>90.076234750120207</v>
      </c>
      <c r="C4639" s="100">
        <v>98.942018990957152</v>
      </c>
      <c r="D4639" s="100">
        <v>94.904944959207484</v>
      </c>
      <c r="E4639" s="100">
        <v>91.941822753894726</v>
      </c>
      <c r="F4639" s="100">
        <v>-1724.5580716871543</v>
      </c>
      <c r="G4639" s="100">
        <v>-1098.1942264925522</v>
      </c>
      <c r="H4639" s="100">
        <v>-4177.7297074417565</v>
      </c>
      <c r="I4639" s="100">
        <v>1438.8169008065006</v>
      </c>
      <c r="J4639" s="100">
        <v>-5561.6651048149624</v>
      </c>
    </row>
    <row r="4640" spans="1:10" x14ac:dyDescent="0.25">
      <c r="A4640">
        <v>4623</v>
      </c>
      <c r="B4640" s="100">
        <v>89.625586109910714</v>
      </c>
      <c r="C4640" s="100">
        <v>98.650453155399958</v>
      </c>
      <c r="D4640" s="100">
        <v>91.521208869233419</v>
      </c>
      <c r="E4640" s="100">
        <v>93.812834849801746</v>
      </c>
      <c r="F4640" s="100">
        <v>-237.41755899582557</v>
      </c>
      <c r="G4640" s="100">
        <v>-660.84547315676195</v>
      </c>
      <c r="H4640" s="100">
        <v>2589.7424725063729</v>
      </c>
      <c r="I4640" s="100">
        <v>-432.19519510051896</v>
      </c>
      <c r="J4640" s="100">
        <v>1259.2842452532664</v>
      </c>
    </row>
    <row r="4641" spans="1:10" x14ac:dyDescent="0.25">
      <c r="A4641">
        <v>4624</v>
      </c>
      <c r="B4641" s="100">
        <v>89.619183520200551</v>
      </c>
      <c r="C4641" s="100">
        <v>97.87394830029632</v>
      </c>
      <c r="D4641" s="100">
        <v>91.063797782457158</v>
      </c>
      <c r="E4641" s="100">
        <v>94.32107808235169</v>
      </c>
      <c r="F4641" s="100">
        <v>-216.28901295228786</v>
      </c>
      <c r="G4641" s="100">
        <v>503.91180949869607</v>
      </c>
      <c r="H4641" s="100">
        <v>3504.5646460588955</v>
      </c>
      <c r="I4641" s="100">
        <v>-940.43842765046293</v>
      </c>
      <c r="J4641" s="100">
        <v>2851.7490149548407</v>
      </c>
    </row>
    <row r="4642" spans="1:10" x14ac:dyDescent="0.25">
      <c r="A4642">
        <v>4625</v>
      </c>
      <c r="B4642" s="100">
        <v>89.793507953667401</v>
      </c>
      <c r="C4642" s="100">
        <v>98.810021196158132</v>
      </c>
      <c r="D4642" s="100">
        <v>92.60330272006864</v>
      </c>
      <c r="E4642" s="100">
        <v>95.694164443550477</v>
      </c>
      <c r="F4642" s="100">
        <v>-791.55964339289403</v>
      </c>
      <c r="G4642" s="100">
        <v>-900.19753429402272</v>
      </c>
      <c r="H4642" s="100">
        <v>425.55477083593019</v>
      </c>
      <c r="I4642" s="100">
        <v>-2313.5247888492499</v>
      </c>
      <c r="J4642" s="100">
        <v>-3579.7271957002367</v>
      </c>
    </row>
    <row r="4643" spans="1:10" x14ac:dyDescent="0.25">
      <c r="A4643">
        <v>4626</v>
      </c>
      <c r="B4643" s="100">
        <v>90.157903349331988</v>
      </c>
      <c r="C4643" s="100">
        <v>97.879630031198715</v>
      </c>
      <c r="D4643" s="100">
        <v>93.048104738337116</v>
      </c>
      <c r="E4643" s="100">
        <v>91.329837033548557</v>
      </c>
      <c r="F4643" s="100">
        <v>-1994.0644490860323</v>
      </c>
      <c r="G4643" s="100">
        <v>495.38921314510276</v>
      </c>
      <c r="H4643" s="100">
        <v>-464.04926570102134</v>
      </c>
      <c r="I4643" s="100">
        <v>2050.8026211526699</v>
      </c>
      <c r="J4643" s="100">
        <v>88.078119510719034</v>
      </c>
    </row>
    <row r="4644" spans="1:10" x14ac:dyDescent="0.25">
      <c r="A4644">
        <v>4627</v>
      </c>
      <c r="B4644" s="100">
        <v>89.613585334660968</v>
      </c>
      <c r="C4644" s="100">
        <v>99.022665523199052</v>
      </c>
      <c r="D4644" s="100">
        <v>93.404151136408004</v>
      </c>
      <c r="E4644" s="100">
        <v>92.783740330482814</v>
      </c>
      <c r="F4644" s="100">
        <v>-197.81500067166462</v>
      </c>
      <c r="G4644" s="100">
        <v>-1219.1640248554022</v>
      </c>
      <c r="H4644" s="100">
        <v>-1176.1420618427962</v>
      </c>
      <c r="I4644" s="100">
        <v>596.89932421841263</v>
      </c>
      <c r="J4644" s="100">
        <v>-1996.2217631514502</v>
      </c>
    </row>
    <row r="4645" spans="1:10" x14ac:dyDescent="0.25">
      <c r="A4645">
        <v>4628</v>
      </c>
      <c r="B4645" s="100">
        <v>89.722294834420921</v>
      </c>
      <c r="C4645" s="100">
        <v>97.518403535653547</v>
      </c>
      <c r="D4645" s="100">
        <v>94.213089606639528</v>
      </c>
      <c r="E4645" s="100">
        <v>93.100457665197467</v>
      </c>
      <c r="F4645" s="100">
        <v>-556.55634987951146</v>
      </c>
      <c r="G4645" s="100">
        <v>1037.2289564628545</v>
      </c>
      <c r="H4645" s="100">
        <v>-2794.0190023058449</v>
      </c>
      <c r="I4645" s="100">
        <v>280.18198950375961</v>
      </c>
      <c r="J4645" s="100">
        <v>-2033.164406218742</v>
      </c>
    </row>
    <row r="4646" spans="1:10" x14ac:dyDescent="0.25">
      <c r="A4646">
        <v>4629</v>
      </c>
      <c r="B4646" s="100">
        <v>90.002567216239385</v>
      </c>
      <c r="C4646" s="100">
        <v>99.965940517477179</v>
      </c>
      <c r="D4646" s="100">
        <v>93.221584135433773</v>
      </c>
      <c r="E4646" s="100">
        <v>92.203226244573784</v>
      </c>
      <c r="F4646" s="100">
        <v>-1481.4552098804397</v>
      </c>
      <c r="G4646" s="100">
        <v>-2634.0765162725929</v>
      </c>
      <c r="H4646" s="100">
        <v>-811.00805989433411</v>
      </c>
      <c r="I4646" s="100">
        <v>1177.4134101274426</v>
      </c>
      <c r="J4646" s="100">
        <v>-3749.1263759199242</v>
      </c>
    </row>
    <row r="4647" spans="1:10" x14ac:dyDescent="0.25">
      <c r="A4647">
        <v>4630</v>
      </c>
      <c r="B4647" s="100">
        <v>89.271089629548143</v>
      </c>
      <c r="C4647" s="100">
        <v>97.800497689040867</v>
      </c>
      <c r="D4647" s="100">
        <v>92.73290968795888</v>
      </c>
      <c r="E4647" s="100">
        <v>97.168390670766584</v>
      </c>
      <c r="F4647" s="100">
        <v>932.42082620065639</v>
      </c>
      <c r="G4647" s="100">
        <v>614.0877263818752</v>
      </c>
      <c r="H4647" s="100">
        <v>166.3408350554505</v>
      </c>
      <c r="I4647" s="100">
        <v>-3787.7510160653574</v>
      </c>
      <c r="J4647" s="100">
        <v>-2074.9016284273753</v>
      </c>
    </row>
    <row r="4648" spans="1:10" x14ac:dyDescent="0.25">
      <c r="A4648">
        <v>4631</v>
      </c>
      <c r="B4648" s="100">
        <v>89.298037647696418</v>
      </c>
      <c r="C4648" s="100">
        <v>95.751731179460663</v>
      </c>
      <c r="D4648" s="100">
        <v>92.488836699073659</v>
      </c>
      <c r="E4648" s="100">
        <v>92.068340143348081</v>
      </c>
      <c r="F4648" s="100">
        <v>843.49236631134943</v>
      </c>
      <c r="G4648" s="100">
        <v>3687.2374907521817</v>
      </c>
      <c r="H4648" s="100">
        <v>654.48681282589405</v>
      </c>
      <c r="I4648" s="100">
        <v>1312.299511353146</v>
      </c>
      <c r="J4648" s="100">
        <v>6497.5161812425713</v>
      </c>
    </row>
    <row r="4649" spans="1:10" x14ac:dyDescent="0.25">
      <c r="A4649">
        <v>4632</v>
      </c>
      <c r="B4649" s="100">
        <v>89.172231088836185</v>
      </c>
      <c r="C4649" s="100">
        <v>98.01353286574917</v>
      </c>
      <c r="D4649" s="100">
        <v>90.982945656271141</v>
      </c>
      <c r="E4649" s="100">
        <v>92.83650452643154</v>
      </c>
      <c r="F4649" s="100">
        <v>1258.6540105501199</v>
      </c>
      <c r="G4649" s="100">
        <v>294.53496131942103</v>
      </c>
      <c r="H4649" s="100">
        <v>3666.2688984309284</v>
      </c>
      <c r="I4649" s="100">
        <v>544.13512826968713</v>
      </c>
      <c r="J4649" s="100">
        <v>5763.5929985701559</v>
      </c>
    </row>
    <row r="4650" spans="1:10" x14ac:dyDescent="0.25">
      <c r="A4650">
        <v>4633</v>
      </c>
      <c r="B4650" s="100">
        <v>90.000925103217696</v>
      </c>
      <c r="C4650" s="100">
        <v>98.51893426057913</v>
      </c>
      <c r="D4650" s="100">
        <v>94.795236179252896</v>
      </c>
      <c r="E4650" s="100">
        <v>93.831359760131363</v>
      </c>
      <c r="F4650" s="100">
        <v>-1476.0362369088682</v>
      </c>
      <c r="G4650" s="100">
        <v>-463.56713092551871</v>
      </c>
      <c r="H4650" s="100">
        <v>-3958.3121475325811</v>
      </c>
      <c r="I4650" s="100">
        <v>-450.72010543013619</v>
      </c>
      <c r="J4650" s="100">
        <v>-6348.6356207971039</v>
      </c>
    </row>
    <row r="4651" spans="1:10" x14ac:dyDescent="0.25">
      <c r="A4651">
        <v>4634</v>
      </c>
      <c r="B4651" s="100">
        <v>89.299946031684613</v>
      </c>
      <c r="C4651" s="100">
        <v>97.615199337207159</v>
      </c>
      <c r="D4651" s="100">
        <v>92.377937651389985</v>
      </c>
      <c r="E4651" s="100">
        <v>91.585820334922005</v>
      </c>
      <c r="F4651" s="100">
        <v>837.194699150308</v>
      </c>
      <c r="G4651" s="100">
        <v>892.03525413243767</v>
      </c>
      <c r="H4651" s="100">
        <v>876.28490819324156</v>
      </c>
      <c r="I4651" s="100">
        <v>1794.819319779222</v>
      </c>
      <c r="J4651" s="100">
        <v>4400.3341812552098</v>
      </c>
    </row>
    <row r="4652" spans="1:10" x14ac:dyDescent="0.25">
      <c r="A4652">
        <v>4635</v>
      </c>
      <c r="B4652" s="100">
        <v>89.307302408534852</v>
      </c>
      <c r="C4652" s="100">
        <v>98.188356416828313</v>
      </c>
      <c r="D4652" s="100">
        <v>93.850122256544822</v>
      </c>
      <c r="E4652" s="100">
        <v>94.580684937486907</v>
      </c>
      <c r="F4652" s="100">
        <v>812.91865554451738</v>
      </c>
      <c r="G4652" s="100">
        <v>32.299634700706292</v>
      </c>
      <c r="H4652" s="100">
        <v>-2068.0843021164319</v>
      </c>
      <c r="I4652" s="100">
        <v>-1200.0452827856805</v>
      </c>
      <c r="J4652" s="100">
        <v>-2422.9112946568885</v>
      </c>
    </row>
    <row r="4653" spans="1:10" x14ac:dyDescent="0.25">
      <c r="A4653">
        <v>4636</v>
      </c>
      <c r="B4653" s="100">
        <v>89.198207189349219</v>
      </c>
      <c r="C4653" s="100">
        <v>96.993529238727376</v>
      </c>
      <c r="D4653" s="100">
        <v>93.875488638545789</v>
      </c>
      <c r="E4653" s="100">
        <v>93.183238461256195</v>
      </c>
      <c r="F4653" s="100">
        <v>1172.9328788571067</v>
      </c>
      <c r="G4653" s="100">
        <v>1824.5404018521115</v>
      </c>
      <c r="H4653" s="100">
        <v>-2118.8170661183676</v>
      </c>
      <c r="I4653" s="100">
        <v>197.40119344503171</v>
      </c>
      <c r="J4653" s="100">
        <v>1076.0574080358824</v>
      </c>
    </row>
    <row r="4654" spans="1:10" x14ac:dyDescent="0.25">
      <c r="A4654">
        <v>4637</v>
      </c>
      <c r="B4654" s="100">
        <v>89.44693642104717</v>
      </c>
      <c r="C4654" s="100">
        <v>99.671820225267993</v>
      </c>
      <c r="D4654" s="100">
        <v>92.96320756218617</v>
      </c>
      <c r="E4654" s="100">
        <v>92.745585254624459</v>
      </c>
      <c r="F4654" s="100">
        <v>352.12641425386977</v>
      </c>
      <c r="G4654" s="100">
        <v>-2192.8960779588137</v>
      </c>
      <c r="H4654" s="100">
        <v>-294.25491339912924</v>
      </c>
      <c r="I4654" s="100">
        <v>635.05440007676839</v>
      </c>
      <c r="J4654" s="100">
        <v>-1499.9701770273048</v>
      </c>
    </row>
    <row r="4655" spans="1:10" x14ac:dyDescent="0.25">
      <c r="A4655">
        <v>4638</v>
      </c>
      <c r="B4655" s="100">
        <v>90.071466708755381</v>
      </c>
      <c r="C4655" s="100">
        <v>98.122957766307564</v>
      </c>
      <c r="D4655" s="100">
        <v>91.789728677782975</v>
      </c>
      <c r="E4655" s="100">
        <v>94.626543526963559</v>
      </c>
      <c r="F4655" s="100">
        <v>-1708.8235351832268</v>
      </c>
      <c r="G4655" s="100">
        <v>130.39761048182896</v>
      </c>
      <c r="H4655" s="100">
        <v>2052.7028554072613</v>
      </c>
      <c r="I4655" s="100">
        <v>-1245.9038722623318</v>
      </c>
      <c r="J4655" s="100">
        <v>-771.62694155646841</v>
      </c>
    </row>
    <row r="4656" spans="1:10" x14ac:dyDescent="0.25">
      <c r="A4656">
        <v>4639</v>
      </c>
      <c r="B4656" s="100">
        <v>89.313172221527026</v>
      </c>
      <c r="C4656" s="100">
        <v>96.728836432079149</v>
      </c>
      <c r="D4656" s="100">
        <v>93.846181970038572</v>
      </c>
      <c r="E4656" s="100">
        <v>95.572302346036295</v>
      </c>
      <c r="F4656" s="100">
        <v>793.54827267034409</v>
      </c>
      <c r="G4656" s="100">
        <v>2221.5796118244525</v>
      </c>
      <c r="H4656" s="100">
        <v>-2060.2037291039323</v>
      </c>
      <c r="I4656" s="100">
        <v>-2191.6626913350683</v>
      </c>
      <c r="J4656" s="100">
        <v>-1236.7385359442042</v>
      </c>
    </row>
    <row r="4657" spans="1:10" x14ac:dyDescent="0.25">
      <c r="A4657">
        <v>4640</v>
      </c>
      <c r="B4657" s="100">
        <v>89.624066858335965</v>
      </c>
      <c r="C4657" s="100">
        <v>98.460968227620157</v>
      </c>
      <c r="D4657" s="100">
        <v>92.355516959519719</v>
      </c>
      <c r="E4657" s="100">
        <v>94.48598855107663</v>
      </c>
      <c r="F4657" s="100">
        <v>-232.40402879915507</v>
      </c>
      <c r="G4657" s="100">
        <v>-376.61808148705944</v>
      </c>
      <c r="H4657" s="100">
        <v>921.12629193377416</v>
      </c>
      <c r="I4657" s="100">
        <v>-1105.3488963754035</v>
      </c>
      <c r="J4657" s="100">
        <v>-793.24471472784376</v>
      </c>
    </row>
    <row r="4658" spans="1:10" x14ac:dyDescent="0.25">
      <c r="A4658">
        <v>4641</v>
      </c>
      <c r="B4658" s="100">
        <v>90.327475096638381</v>
      </c>
      <c r="C4658" s="100">
        <v>99.013798872972387</v>
      </c>
      <c r="D4658" s="100">
        <v>93.832900135449947</v>
      </c>
      <c r="E4658" s="100">
        <v>95.433132799888</v>
      </c>
      <c r="F4658" s="100">
        <v>-2553.6512151971265</v>
      </c>
      <c r="G4658" s="100">
        <v>-1205.8640495154052</v>
      </c>
      <c r="H4658" s="100">
        <v>-2033.6400599266824</v>
      </c>
      <c r="I4658" s="100">
        <v>-2052.4931451867728</v>
      </c>
      <c r="J4658" s="100">
        <v>-7845.6484698259865</v>
      </c>
    </row>
    <row r="4659" spans="1:10" x14ac:dyDescent="0.25">
      <c r="A4659">
        <v>4642</v>
      </c>
      <c r="B4659" s="100">
        <v>89.75012394935699</v>
      </c>
      <c r="C4659" s="100">
        <v>97.68506757948704</v>
      </c>
      <c r="D4659" s="100">
        <v>91.443700259480082</v>
      </c>
      <c r="E4659" s="100">
        <v>92.046744947541896</v>
      </c>
      <c r="F4659" s="100">
        <v>-648.39242916853686</v>
      </c>
      <c r="G4659" s="100">
        <v>787.23289071261604</v>
      </c>
      <c r="H4659" s="100">
        <v>2744.7596920130482</v>
      </c>
      <c r="I4659" s="100">
        <v>1333.8947071593311</v>
      </c>
      <c r="J4659" s="100">
        <v>4217.4948607164588</v>
      </c>
    </row>
    <row r="4660" spans="1:10" x14ac:dyDescent="0.25">
      <c r="A4660">
        <v>4643</v>
      </c>
      <c r="B4660" s="100">
        <v>90.425704118469312</v>
      </c>
      <c r="C4660" s="100">
        <v>96.764578175598444</v>
      </c>
      <c r="D4660" s="100">
        <v>93.654133615209659</v>
      </c>
      <c r="E4660" s="100">
        <v>91.497198197568949</v>
      </c>
      <c r="F4660" s="100">
        <v>-2877.8069872392011</v>
      </c>
      <c r="G4660" s="100">
        <v>2167.9669965455091</v>
      </c>
      <c r="H4660" s="100">
        <v>-1676.107019446107</v>
      </c>
      <c r="I4660" s="100">
        <v>1883.4414571322782</v>
      </c>
      <c r="J4660" s="100">
        <v>-502.50555300752103</v>
      </c>
    </row>
    <row r="4661" spans="1:10" x14ac:dyDescent="0.25">
      <c r="A4661">
        <v>4644</v>
      </c>
      <c r="B4661" s="100">
        <v>89.311373597778939</v>
      </c>
      <c r="C4661" s="100">
        <v>98.616778799288639</v>
      </c>
      <c r="D4661" s="100">
        <v>91.887787552694547</v>
      </c>
      <c r="E4661" s="100">
        <v>92.177753601778065</v>
      </c>
      <c r="F4661" s="100">
        <v>799.483731039031</v>
      </c>
      <c r="G4661" s="100">
        <v>-610.33393898978261</v>
      </c>
      <c r="H4661" s="100">
        <v>1856.5851055841165</v>
      </c>
      <c r="I4661" s="100">
        <v>1202.8860529231622</v>
      </c>
      <c r="J4661" s="100">
        <v>3248.6209505565271</v>
      </c>
    </row>
    <row r="4662" spans="1:10" x14ac:dyDescent="0.25">
      <c r="A4662">
        <v>4645</v>
      </c>
      <c r="B4662" s="100">
        <v>89.742770786742753</v>
      </c>
      <c r="C4662" s="100">
        <v>98.370641435020829</v>
      </c>
      <c r="D4662" s="100">
        <v>92.293432699472589</v>
      </c>
      <c r="E4662" s="100">
        <v>93.380536166232261</v>
      </c>
      <c r="F4662" s="100">
        <v>-624.12699254155518</v>
      </c>
      <c r="G4662" s="100">
        <v>-241.12789258806799</v>
      </c>
      <c r="H4662" s="100">
        <v>1045.2948120280325</v>
      </c>
      <c r="I4662" s="100">
        <v>0.10348846896590658</v>
      </c>
      <c r="J4662" s="100">
        <v>180.14341536737527</v>
      </c>
    </row>
    <row r="4663" spans="1:10" x14ac:dyDescent="0.25">
      <c r="A4663">
        <v>4646</v>
      </c>
      <c r="B4663" s="100">
        <v>89.101280375804862</v>
      </c>
      <c r="C4663" s="100">
        <v>98.552405468808033</v>
      </c>
      <c r="D4663" s="100">
        <v>93.934279479191019</v>
      </c>
      <c r="E4663" s="100">
        <v>92.216834218564031</v>
      </c>
      <c r="F4663" s="100">
        <v>1492.7913635534851</v>
      </c>
      <c r="G4663" s="100">
        <v>-513.77394326887327</v>
      </c>
      <c r="H4663" s="100">
        <v>-2236.3987474088276</v>
      </c>
      <c r="I4663" s="100">
        <v>1163.8054361371956</v>
      </c>
      <c r="J4663" s="100">
        <v>-93.575890987020102</v>
      </c>
    </row>
    <row r="4664" spans="1:10" x14ac:dyDescent="0.25">
      <c r="A4664">
        <v>4647</v>
      </c>
      <c r="B4664" s="100">
        <v>89.292279134248574</v>
      </c>
      <c r="C4664" s="100">
        <v>97.707352716342953</v>
      </c>
      <c r="D4664" s="100">
        <v>92.393384073443173</v>
      </c>
      <c r="E4664" s="100">
        <v>95.447087338751359</v>
      </c>
      <c r="F4664" s="100">
        <v>862.49546068923587</v>
      </c>
      <c r="G4664" s="100">
        <v>753.80518542874597</v>
      </c>
      <c r="H4664" s="100">
        <v>845.39206408686596</v>
      </c>
      <c r="I4664" s="100">
        <v>-2066.447684050132</v>
      </c>
      <c r="J4664" s="100">
        <v>395.24502615471556</v>
      </c>
    </row>
    <row r="4665" spans="1:10" x14ac:dyDescent="0.25">
      <c r="A4665">
        <v>4648</v>
      </c>
      <c r="B4665" s="100">
        <v>89.685577415809433</v>
      </c>
      <c r="C4665" s="100">
        <v>97.60063982657033</v>
      </c>
      <c r="D4665" s="100">
        <v>92.507600980624943</v>
      </c>
      <c r="E4665" s="100">
        <v>93.172336696630282</v>
      </c>
      <c r="F4665" s="100">
        <v>-435.38886846160096</v>
      </c>
      <c r="G4665" s="100">
        <v>913.87452008768128</v>
      </c>
      <c r="H4665" s="100">
        <v>616.95824972332503</v>
      </c>
      <c r="I4665" s="100">
        <v>208.30295807094501</v>
      </c>
      <c r="J4665" s="100">
        <v>1303.7468594203501</v>
      </c>
    </row>
    <row r="4666" spans="1:10" x14ac:dyDescent="0.25">
      <c r="A4666">
        <v>4649</v>
      </c>
      <c r="B4666" s="100">
        <v>89.403393929371575</v>
      </c>
      <c r="C4666" s="100">
        <v>99.996267695357488</v>
      </c>
      <c r="D4666" s="100">
        <v>93.097540896730933</v>
      </c>
      <c r="E4666" s="100">
        <v>91.610267595525912</v>
      </c>
      <c r="F4666" s="100">
        <v>495.81663678333285</v>
      </c>
      <c r="G4666" s="100">
        <v>-2679.5672830930571</v>
      </c>
      <c r="H4666" s="100">
        <v>-562.92158248865576</v>
      </c>
      <c r="I4666" s="100">
        <v>1770.3720591753154</v>
      </c>
      <c r="J4666" s="100">
        <v>-976.3001696230649</v>
      </c>
    </row>
    <row r="4667" spans="1:10" x14ac:dyDescent="0.25">
      <c r="A4667">
        <v>4650</v>
      </c>
      <c r="B4667" s="100">
        <v>88.792296401624853</v>
      </c>
      <c r="C4667" s="100">
        <v>96.9599499669621</v>
      </c>
      <c r="D4667" s="100">
        <v>92.319130820328809</v>
      </c>
      <c r="E4667" s="100">
        <v>91.316551408054067</v>
      </c>
      <c r="F4667" s="100">
        <v>2512.4384783475152</v>
      </c>
      <c r="G4667" s="100">
        <v>1874.9093095000262</v>
      </c>
      <c r="H4667" s="100">
        <v>993.89857031559359</v>
      </c>
      <c r="I4667" s="100">
        <v>2064.0882466471594</v>
      </c>
      <c r="J4667" s="100">
        <v>7445.334604810294</v>
      </c>
    </row>
    <row r="4668" spans="1:10" x14ac:dyDescent="0.25">
      <c r="A4668">
        <v>4651</v>
      </c>
      <c r="B4668" s="100">
        <v>88.993502007671111</v>
      </c>
      <c r="C4668" s="100">
        <v>97.440452490936266</v>
      </c>
      <c r="D4668" s="100">
        <v>92.868652976245656</v>
      </c>
      <c r="E4668" s="100">
        <v>96.460401587664549</v>
      </c>
      <c r="F4668" s="100">
        <v>1848.4599783948624</v>
      </c>
      <c r="G4668" s="100">
        <v>1154.1555235387762</v>
      </c>
      <c r="H4668" s="100">
        <v>-105.14574151810052</v>
      </c>
      <c r="I4668" s="100">
        <v>-3079.7619329633221</v>
      </c>
      <c r="J4668" s="100">
        <v>-182.29217254778405</v>
      </c>
    </row>
    <row r="4669" spans="1:10" x14ac:dyDescent="0.25">
      <c r="A4669">
        <v>4652</v>
      </c>
      <c r="B4669" s="100">
        <v>89.365934992565286</v>
      </c>
      <c r="C4669" s="100">
        <v>97.053749439808669</v>
      </c>
      <c r="D4669" s="100">
        <v>92.086108017518441</v>
      </c>
      <c r="E4669" s="100">
        <v>92.740194172730853</v>
      </c>
      <c r="F4669" s="100">
        <v>619.43112824408502</v>
      </c>
      <c r="G4669" s="100">
        <v>1734.2101002301717</v>
      </c>
      <c r="H4669" s="100">
        <v>1459.9441759363287</v>
      </c>
      <c r="I4669" s="100">
        <v>640.44548197037443</v>
      </c>
      <c r="J4669" s="100">
        <v>4454.0308863809596</v>
      </c>
    </row>
    <row r="4670" spans="1:10" x14ac:dyDescent="0.25">
      <c r="A4670">
        <v>4653</v>
      </c>
      <c r="B4670" s="100">
        <v>89.286877781627368</v>
      </c>
      <c r="C4670" s="100">
        <v>97.670730858349842</v>
      </c>
      <c r="D4670" s="100">
        <v>93.225261924943041</v>
      </c>
      <c r="E4670" s="100">
        <v>90.616495863511147</v>
      </c>
      <c r="F4670" s="100">
        <v>880.31992433921573</v>
      </c>
      <c r="G4670" s="100">
        <v>808.73797241841316</v>
      </c>
      <c r="H4670" s="100">
        <v>-818.36363891287078</v>
      </c>
      <c r="I4670" s="100">
        <v>2764.1437911900794</v>
      </c>
      <c r="J4670" s="100">
        <v>3634.8380490348372</v>
      </c>
    </row>
    <row r="4671" spans="1:10" x14ac:dyDescent="0.25">
      <c r="A4671">
        <v>4654</v>
      </c>
      <c r="B4671" s="100">
        <v>89.545573345906121</v>
      </c>
      <c r="C4671" s="100">
        <v>98.814201366906104</v>
      </c>
      <c r="D4671" s="100">
        <v>89.490002565193038</v>
      </c>
      <c r="E4671" s="100">
        <v>91.910263732559955</v>
      </c>
      <c r="F4671" s="100">
        <v>26.624562219330983</v>
      </c>
      <c r="G4671" s="100">
        <v>-906.46779041598074</v>
      </c>
      <c r="H4671" s="100">
        <v>6652.1550805871357</v>
      </c>
      <c r="I4671" s="100">
        <v>1470.3759221412724</v>
      </c>
      <c r="J4671" s="100">
        <v>7242.6877745317579</v>
      </c>
    </row>
    <row r="4672" spans="1:10" x14ac:dyDescent="0.25">
      <c r="A4672">
        <v>4655</v>
      </c>
      <c r="B4672" s="100">
        <v>88.900484600030325</v>
      </c>
      <c r="C4672" s="100">
        <v>97.055458391292959</v>
      </c>
      <c r="D4672" s="100">
        <v>93.02693782315491</v>
      </c>
      <c r="E4672" s="100">
        <v>93.242495740411087</v>
      </c>
      <c r="F4672" s="100">
        <v>2155.4174236094582</v>
      </c>
      <c r="G4672" s="100">
        <v>1731.6466730037378</v>
      </c>
      <c r="H4672" s="100">
        <v>-421.71543533660838</v>
      </c>
      <c r="I4672" s="100">
        <v>138.14391429013995</v>
      </c>
      <c r="J4672" s="100">
        <v>3603.4925755667273</v>
      </c>
    </row>
    <row r="4673" spans="1:10" x14ac:dyDescent="0.25">
      <c r="A4673">
        <v>4656</v>
      </c>
      <c r="B4673" s="100">
        <v>88.207807091619514</v>
      </c>
      <c r="C4673" s="100">
        <v>97.555697339102707</v>
      </c>
      <c r="D4673" s="100">
        <v>94.728636662710002</v>
      </c>
      <c r="E4673" s="100">
        <v>95.092222319315923</v>
      </c>
      <c r="F4673" s="100">
        <v>4441.2532013651316</v>
      </c>
      <c r="G4673" s="100">
        <v>981.28825128911501</v>
      </c>
      <c r="H4673" s="100">
        <v>-3825.1131144467936</v>
      </c>
      <c r="I4673" s="100">
        <v>-1711.5826646146957</v>
      </c>
      <c r="J4673" s="100">
        <v>-114.15432640724293</v>
      </c>
    </row>
    <row r="4674" spans="1:10" x14ac:dyDescent="0.25">
      <c r="A4674">
        <v>4657</v>
      </c>
      <c r="B4674" s="100">
        <v>89.861955535776033</v>
      </c>
      <c r="C4674" s="100">
        <v>99.71106210238375</v>
      </c>
      <c r="D4674" s="100">
        <v>92.310885170908819</v>
      </c>
      <c r="E4674" s="100">
        <v>93.130186346081402</v>
      </c>
      <c r="F4674" s="100">
        <v>-1017.4366643513806</v>
      </c>
      <c r="G4674" s="100">
        <v>-2251.7588936324487</v>
      </c>
      <c r="H4674" s="100">
        <v>1010.3898691555742</v>
      </c>
      <c r="I4674" s="100">
        <v>250.45330861982507</v>
      </c>
      <c r="J4674" s="100">
        <v>-2008.3523802084303</v>
      </c>
    </row>
    <row r="4675" spans="1:10" x14ac:dyDescent="0.25">
      <c r="A4675">
        <v>4658</v>
      </c>
      <c r="B4675" s="100">
        <v>89.443441988738158</v>
      </c>
      <c r="C4675" s="100">
        <v>96.722720895014092</v>
      </c>
      <c r="D4675" s="100">
        <v>92.602301606807245</v>
      </c>
      <c r="E4675" s="100">
        <v>92.667948172424531</v>
      </c>
      <c r="F4675" s="100">
        <v>363.658040873608</v>
      </c>
      <c r="G4675" s="100">
        <v>2230.7529174220376</v>
      </c>
      <c r="H4675" s="100">
        <v>427.55699735872099</v>
      </c>
      <c r="I4675" s="100">
        <v>712.69148227669632</v>
      </c>
      <c r="J4675" s="100">
        <v>3734.6594379310632</v>
      </c>
    </row>
    <row r="4676" spans="1:10" x14ac:dyDescent="0.25">
      <c r="A4676">
        <v>4659</v>
      </c>
      <c r="B4676" s="100">
        <v>88.998939683143092</v>
      </c>
      <c r="C4676" s="100">
        <v>98.645830038037744</v>
      </c>
      <c r="D4676" s="100">
        <v>92.301063615189719</v>
      </c>
      <c r="E4676" s="100">
        <v>91.677103425694241</v>
      </c>
      <c r="F4676" s="100">
        <v>1830.5156493373247</v>
      </c>
      <c r="G4676" s="100">
        <v>-653.91079711343991</v>
      </c>
      <c r="H4676" s="100">
        <v>1030.0329805937736</v>
      </c>
      <c r="I4676" s="100">
        <v>1703.5362290069856</v>
      </c>
      <c r="J4676" s="100">
        <v>3910.174061824644</v>
      </c>
    </row>
    <row r="4677" spans="1:10" x14ac:dyDescent="0.25">
      <c r="A4677">
        <v>4660</v>
      </c>
      <c r="B4677" s="100">
        <v>90.442218987860571</v>
      </c>
      <c r="C4677" s="100">
        <v>98.075210665417487</v>
      </c>
      <c r="D4677" s="100">
        <v>92.344954962789231</v>
      </c>
      <c r="E4677" s="100">
        <v>91.839374319960569</v>
      </c>
      <c r="F4677" s="100">
        <v>-2932.306056230354</v>
      </c>
      <c r="G4677" s="100">
        <v>202.01826181694571</v>
      </c>
      <c r="H4677" s="100">
        <v>942.2502853947492</v>
      </c>
      <c r="I4677" s="100">
        <v>1541.2653347406576</v>
      </c>
      <c r="J4677" s="100">
        <v>-246.77217427800156</v>
      </c>
    </row>
    <row r="4678" spans="1:10" x14ac:dyDescent="0.25">
      <c r="A4678">
        <v>4661</v>
      </c>
      <c r="B4678" s="100">
        <v>88.526791914985253</v>
      </c>
      <c r="C4678" s="100">
        <v>99.77184574065258</v>
      </c>
      <c r="D4678" s="100">
        <v>91.437718286400241</v>
      </c>
      <c r="E4678" s="100">
        <v>92.591495722688904</v>
      </c>
      <c r="F4678" s="100">
        <v>3388.603284258194</v>
      </c>
      <c r="G4678" s="100">
        <v>-2342.9343510356944</v>
      </c>
      <c r="H4678" s="100">
        <v>2756.7236381727298</v>
      </c>
      <c r="I4678" s="100">
        <v>789.14393201232258</v>
      </c>
      <c r="J4678" s="100">
        <v>4591.5365034075521</v>
      </c>
    </row>
    <row r="4679" spans="1:10" x14ac:dyDescent="0.25">
      <c r="A4679">
        <v>4662</v>
      </c>
      <c r="B4679" s="100">
        <v>89.83414181517692</v>
      </c>
      <c r="C4679" s="100">
        <v>97.841530554664416</v>
      </c>
      <c r="D4679" s="100">
        <v>94.107106279842242</v>
      </c>
      <c r="E4679" s="100">
        <v>94.131165109123131</v>
      </c>
      <c r="F4679" s="100">
        <v>-925.651386374308</v>
      </c>
      <c r="G4679" s="100">
        <v>552.53842794655134</v>
      </c>
      <c r="H4679" s="100">
        <v>-2582.0523487112723</v>
      </c>
      <c r="I4679" s="100">
        <v>-750.52545442190421</v>
      </c>
      <c r="J4679" s="100">
        <v>-3705.6907615609334</v>
      </c>
    </row>
    <row r="4680" spans="1:10" x14ac:dyDescent="0.25">
      <c r="A4680">
        <v>4663</v>
      </c>
      <c r="B4680" s="100">
        <v>90.05858381713108</v>
      </c>
      <c r="C4680" s="100">
        <v>99.258107569731706</v>
      </c>
      <c r="D4680" s="100">
        <v>94.550822581983127</v>
      </c>
      <c r="E4680" s="100">
        <v>95.096730555927721</v>
      </c>
      <c r="F4680" s="100">
        <v>-1666.3099928230338</v>
      </c>
      <c r="G4680" s="100">
        <v>-1572.3270946543835</v>
      </c>
      <c r="H4680" s="100">
        <v>-3469.4849529930425</v>
      </c>
      <c r="I4680" s="100">
        <v>-1716.0909012264938</v>
      </c>
      <c r="J4680" s="100">
        <v>-8424.2129416969547</v>
      </c>
    </row>
    <row r="4681" spans="1:10" x14ac:dyDescent="0.25">
      <c r="A4681">
        <v>4664</v>
      </c>
      <c r="B4681" s="100">
        <v>89.621512118781951</v>
      </c>
      <c r="C4681" s="100">
        <v>98.621495273031428</v>
      </c>
      <c r="D4681" s="100">
        <v>93.382797079650814</v>
      </c>
      <c r="E4681" s="100">
        <v>94.290970774079852</v>
      </c>
      <c r="F4681" s="100">
        <v>-223.97338827090749</v>
      </c>
      <c r="G4681" s="100">
        <v>-617.4086496039663</v>
      </c>
      <c r="H4681" s="100">
        <v>-1133.4339483284168</v>
      </c>
      <c r="I4681" s="100">
        <v>-910.33111937862543</v>
      </c>
      <c r="J4681" s="100">
        <v>-2885.1471055819161</v>
      </c>
    </row>
    <row r="4682" spans="1:10" x14ac:dyDescent="0.25">
      <c r="A4682">
        <v>4665</v>
      </c>
      <c r="B4682" s="100">
        <v>89.819887071955336</v>
      </c>
      <c r="C4682" s="100">
        <v>98.099289215417556</v>
      </c>
      <c r="D4682" s="100">
        <v>94.834282415220727</v>
      </c>
      <c r="E4682" s="100">
        <v>91.726815515863052</v>
      </c>
      <c r="F4682" s="100">
        <v>-878.61073374307784</v>
      </c>
      <c r="G4682" s="100">
        <v>165.90043681684108</v>
      </c>
      <c r="H4682" s="100">
        <v>-4036.4046194682433</v>
      </c>
      <c r="I4682" s="100">
        <v>1653.8241388381748</v>
      </c>
      <c r="J4682" s="100">
        <v>-3095.2907775563053</v>
      </c>
    </row>
    <row r="4683" spans="1:10" x14ac:dyDescent="0.25">
      <c r="A4683">
        <v>4666</v>
      </c>
      <c r="B4683" s="100">
        <v>89.608519787774398</v>
      </c>
      <c r="C4683" s="100">
        <v>97.584029133212866</v>
      </c>
      <c r="D4683" s="100">
        <v>92.833412882238747</v>
      </c>
      <c r="E4683" s="100">
        <v>91.350062598041021</v>
      </c>
      <c r="F4683" s="100">
        <v>-181.09869594598393</v>
      </c>
      <c r="G4683" s="100">
        <v>938.79056012387707</v>
      </c>
      <c r="H4683" s="100">
        <v>-34.665553504282798</v>
      </c>
      <c r="I4683" s="100">
        <v>2030.5770566602064</v>
      </c>
      <c r="J4683" s="100">
        <v>2753.603367333817</v>
      </c>
    </row>
    <row r="4684" spans="1:10" x14ac:dyDescent="0.25">
      <c r="A4684">
        <v>4667</v>
      </c>
      <c r="B4684" s="100">
        <v>89.802246315395038</v>
      </c>
      <c r="C4684" s="100">
        <v>97.659550954586337</v>
      </c>
      <c r="D4684" s="100">
        <v>93.604251816836552</v>
      </c>
      <c r="E4684" s="100">
        <v>92.57094872559459</v>
      </c>
      <c r="F4684" s="100">
        <v>-820.39623709409716</v>
      </c>
      <c r="G4684" s="100">
        <v>825.50782806367101</v>
      </c>
      <c r="H4684" s="100">
        <v>-1576.3434226998925</v>
      </c>
      <c r="I4684" s="100">
        <v>809.69092910663676</v>
      </c>
      <c r="J4684" s="100">
        <v>-761.54090262368186</v>
      </c>
    </row>
    <row r="4685" spans="1:10" x14ac:dyDescent="0.25">
      <c r="A4685">
        <v>4668</v>
      </c>
      <c r="B4685" s="100">
        <v>90.00812966052105</v>
      </c>
      <c r="C4685" s="100">
        <v>98.528898535437747</v>
      </c>
      <c r="D4685" s="100">
        <v>94.750228701253107</v>
      </c>
      <c r="E4685" s="100">
        <v>93.376844015657397</v>
      </c>
      <c r="F4685" s="100">
        <v>-1499.8112760099345</v>
      </c>
      <c r="G4685" s="100">
        <v>-478.5135432134453</v>
      </c>
      <c r="H4685" s="100">
        <v>-3868.2971915330027</v>
      </c>
      <c r="I4685" s="100">
        <v>3.7956390438296239</v>
      </c>
      <c r="J4685" s="100">
        <v>-5842.8263717125528</v>
      </c>
    </row>
    <row r="4686" spans="1:10" x14ac:dyDescent="0.25">
      <c r="A4686">
        <v>4669</v>
      </c>
      <c r="B4686" s="100">
        <v>89.155259669285329</v>
      </c>
      <c r="C4686" s="100">
        <v>97.671655201180144</v>
      </c>
      <c r="D4686" s="100">
        <v>94.343598477905473</v>
      </c>
      <c r="E4686" s="100">
        <v>94.153169449659188</v>
      </c>
      <c r="F4686" s="100">
        <v>1314.6596950679452</v>
      </c>
      <c r="G4686" s="100">
        <v>807.35145817295972</v>
      </c>
      <c r="H4686" s="100">
        <v>-3055.0367448377356</v>
      </c>
      <c r="I4686" s="100">
        <v>-772.52979495796126</v>
      </c>
      <c r="J4686" s="100">
        <v>-1705.5553865547918</v>
      </c>
    </row>
    <row r="4687" spans="1:10" x14ac:dyDescent="0.25">
      <c r="A4687">
        <v>4670</v>
      </c>
      <c r="B4687" s="100">
        <v>90.23600517318755</v>
      </c>
      <c r="C4687" s="100">
        <v>98.261024531088694</v>
      </c>
      <c r="D4687" s="100">
        <v>92.495082246204504</v>
      </c>
      <c r="E4687" s="100">
        <v>91.071535318821645</v>
      </c>
      <c r="F4687" s="100">
        <v>-2251.8004678093857</v>
      </c>
      <c r="G4687" s="100">
        <v>-76.702536689865042</v>
      </c>
      <c r="H4687" s="100">
        <v>641.99571856420334</v>
      </c>
      <c r="I4687" s="100">
        <v>2309.1043358795814</v>
      </c>
      <c r="J4687" s="100">
        <v>622.59704994453386</v>
      </c>
    </row>
    <row r="4688" spans="1:10" x14ac:dyDescent="0.25">
      <c r="A4688">
        <v>4671</v>
      </c>
      <c r="B4688" s="100">
        <v>88.557110398973109</v>
      </c>
      <c r="C4688" s="100">
        <v>98.081417851500206</v>
      </c>
      <c r="D4688" s="100">
        <v>89.850456541241741</v>
      </c>
      <c r="E4688" s="100">
        <v>92.897347087141867</v>
      </c>
      <c r="F4688" s="100">
        <v>3288.5522870982713</v>
      </c>
      <c r="G4688" s="100">
        <v>192.70748269286742</v>
      </c>
      <c r="H4688" s="100">
        <v>5931.2471284897301</v>
      </c>
      <c r="I4688" s="100">
        <v>483.29256755936001</v>
      </c>
      <c r="J4688" s="100">
        <v>9895.7994658402295</v>
      </c>
    </row>
    <row r="4689" spans="1:10" x14ac:dyDescent="0.25">
      <c r="A4689">
        <v>4672</v>
      </c>
      <c r="B4689" s="100">
        <v>89.737998232364873</v>
      </c>
      <c r="C4689" s="100">
        <v>98.162070904293529</v>
      </c>
      <c r="D4689" s="100">
        <v>93.185529522644657</v>
      </c>
      <c r="E4689" s="100">
        <v>94.595061876144513</v>
      </c>
      <c r="F4689" s="100">
        <v>-608.37756309455244</v>
      </c>
      <c r="G4689" s="100">
        <v>71.727903502882384</v>
      </c>
      <c r="H4689" s="100">
        <v>-738.89883431610315</v>
      </c>
      <c r="I4689" s="100">
        <v>-1214.4222214432857</v>
      </c>
      <c r="J4689" s="100">
        <v>-2489.970715351059</v>
      </c>
    </row>
    <row r="4690" spans="1:10" x14ac:dyDescent="0.25">
      <c r="A4690">
        <v>4673</v>
      </c>
      <c r="B4690" s="100">
        <v>89.694556981516072</v>
      </c>
      <c r="C4690" s="100">
        <v>97.550396240485213</v>
      </c>
      <c r="D4690" s="100">
        <v>93.15293790608979</v>
      </c>
      <c r="E4690" s="100">
        <v>91.759216229390901</v>
      </c>
      <c r="F4690" s="100">
        <v>-465.02143529350946</v>
      </c>
      <c r="G4690" s="100">
        <v>989.23989921535599</v>
      </c>
      <c r="H4690" s="100">
        <v>-673.71560120636786</v>
      </c>
      <c r="I4690" s="100">
        <v>1621.4234253103257</v>
      </c>
      <c r="J4690" s="100">
        <v>1471.9262880258043</v>
      </c>
    </row>
    <row r="4691" spans="1:10" x14ac:dyDescent="0.25">
      <c r="A4691">
        <v>4674</v>
      </c>
      <c r="B4691" s="100">
        <v>89.696233998316913</v>
      </c>
      <c r="C4691" s="100">
        <v>97.015072586409758</v>
      </c>
      <c r="D4691" s="100">
        <v>92.712575290133557</v>
      </c>
      <c r="E4691" s="100">
        <v>95.648783782023443</v>
      </c>
      <c r="F4691" s="100">
        <v>-470.55559073628359</v>
      </c>
      <c r="G4691" s="100">
        <v>1792.2253803285387</v>
      </c>
      <c r="H4691" s="100">
        <v>207.00963070609646</v>
      </c>
      <c r="I4691" s="100">
        <v>-2268.1441273222163</v>
      </c>
      <c r="J4691" s="100">
        <v>-739.46470702386478</v>
      </c>
    </row>
    <row r="4692" spans="1:10" x14ac:dyDescent="0.25">
      <c r="A4692">
        <v>4675</v>
      </c>
      <c r="B4692" s="100">
        <v>88.670756504396365</v>
      </c>
      <c r="C4692" s="100">
        <v>98.7175309581325</v>
      </c>
      <c r="D4692" s="100">
        <v>92.589154012036573</v>
      </c>
      <c r="E4692" s="100">
        <v>91.692765237646128</v>
      </c>
      <c r="F4692" s="100">
        <v>2913.5201392015233</v>
      </c>
      <c r="G4692" s="100">
        <v>-761.46217725557358</v>
      </c>
      <c r="H4692" s="100">
        <v>453.85218690006468</v>
      </c>
      <c r="I4692" s="100">
        <v>1687.8744170550988</v>
      </c>
      <c r="J4692" s="100">
        <v>4293.7845659011127</v>
      </c>
    </row>
    <row r="4693" spans="1:10" x14ac:dyDescent="0.25">
      <c r="A4693">
        <v>4676</v>
      </c>
      <c r="B4693" s="100">
        <v>90.761308105300515</v>
      </c>
      <c r="C4693" s="100">
        <v>98.29112674895967</v>
      </c>
      <c r="D4693" s="100">
        <v>92.296850623270316</v>
      </c>
      <c r="E4693" s="100">
        <v>93.074051839970693</v>
      </c>
      <c r="F4693" s="100">
        <v>-3985.300143782169</v>
      </c>
      <c r="G4693" s="100">
        <v>-121.85586349632871</v>
      </c>
      <c r="H4693" s="100">
        <v>1038.4589644325786</v>
      </c>
      <c r="I4693" s="100">
        <v>306.58781473053409</v>
      </c>
      <c r="J4693" s="100">
        <v>-2762.1092281153851</v>
      </c>
    </row>
    <row r="4694" spans="1:10" x14ac:dyDescent="0.25">
      <c r="A4694">
        <v>4677</v>
      </c>
      <c r="B4694" s="100">
        <v>90.589016453603122</v>
      </c>
      <c r="C4694" s="100">
        <v>100.1874785144856</v>
      </c>
      <c r="D4694" s="100">
        <v>91.174663095010288</v>
      </c>
      <c r="E4694" s="100">
        <v>95.054170667103648</v>
      </c>
      <c r="F4694" s="100">
        <v>-3416.7376931807739</v>
      </c>
      <c r="G4694" s="100">
        <v>-2966.3835117852313</v>
      </c>
      <c r="H4694" s="100">
        <v>3282.8340209526345</v>
      </c>
      <c r="I4694" s="100">
        <v>-1673.5310124024209</v>
      </c>
      <c r="J4694" s="100">
        <v>-4773.818196415792</v>
      </c>
    </row>
    <row r="4695" spans="1:10" x14ac:dyDescent="0.25">
      <c r="A4695">
        <v>4678</v>
      </c>
      <c r="B4695" s="100">
        <v>88.630124980152644</v>
      </c>
      <c r="C4695" s="100">
        <v>98.01825571911381</v>
      </c>
      <c r="D4695" s="100">
        <v>93.428397744521845</v>
      </c>
      <c r="E4695" s="100">
        <v>94.357274823750856</v>
      </c>
      <c r="F4695" s="100">
        <v>3047.6041692058047</v>
      </c>
      <c r="G4695" s="100">
        <v>287.45068127246043</v>
      </c>
      <c r="H4695" s="100">
        <v>-1224.6352780704797</v>
      </c>
      <c r="I4695" s="100">
        <v>-976.63516904962933</v>
      </c>
      <c r="J4695" s="100">
        <v>1133.7844033581559</v>
      </c>
    </row>
    <row r="4696" spans="1:10" x14ac:dyDescent="0.25">
      <c r="A4696">
        <v>4679</v>
      </c>
      <c r="B4696" s="100">
        <v>89.556903204406595</v>
      </c>
      <c r="C4696" s="100">
        <v>97.88031689226392</v>
      </c>
      <c r="D4696" s="100">
        <v>91.86407951149468</v>
      </c>
      <c r="E4696" s="100">
        <v>96.831637776940909</v>
      </c>
      <c r="F4696" s="100">
        <v>-10.763970832233838</v>
      </c>
      <c r="G4696" s="100">
        <v>494.35892154729544</v>
      </c>
      <c r="H4696" s="100">
        <v>1904.0011879838517</v>
      </c>
      <c r="I4696" s="100">
        <v>-3450.9981222396818</v>
      </c>
      <c r="J4696" s="100">
        <v>-1063.4019835407685</v>
      </c>
    </row>
    <row r="4697" spans="1:10" x14ac:dyDescent="0.25">
      <c r="A4697">
        <v>4680</v>
      </c>
      <c r="B4697" s="100">
        <v>89.267985160915757</v>
      </c>
      <c r="C4697" s="100">
        <v>96.84972392508277</v>
      </c>
      <c r="D4697" s="100">
        <v>91.620131782363543</v>
      </c>
      <c r="E4697" s="100">
        <v>94.092192389967764</v>
      </c>
      <c r="F4697" s="100">
        <v>942.6655726875324</v>
      </c>
      <c r="G4697" s="100">
        <v>2040.2483723190201</v>
      </c>
      <c r="H4697" s="100">
        <v>2391.896646246124</v>
      </c>
      <c r="I4697" s="100">
        <v>-711.55273526653673</v>
      </c>
      <c r="J4697" s="100">
        <v>4663.2578559861395</v>
      </c>
    </row>
    <row r="4698" spans="1:10" x14ac:dyDescent="0.25">
      <c r="A4698">
        <v>4681</v>
      </c>
      <c r="B4698" s="100">
        <v>89.329453968045769</v>
      </c>
      <c r="C4698" s="100">
        <v>98.36521202276235</v>
      </c>
      <c r="D4698" s="100">
        <v>91.369495084979192</v>
      </c>
      <c r="E4698" s="100">
        <v>88.959402486704292</v>
      </c>
      <c r="F4698" s="100">
        <v>739.81850915849213</v>
      </c>
      <c r="G4698" s="100">
        <v>-232.9837742003491</v>
      </c>
      <c r="H4698" s="100">
        <v>2893.1700410148269</v>
      </c>
      <c r="I4698" s="100">
        <v>4421.2371679969347</v>
      </c>
      <c r="J4698" s="100">
        <v>7821.2419439699042</v>
      </c>
    </row>
    <row r="4699" spans="1:10" x14ac:dyDescent="0.25">
      <c r="A4699">
        <v>4682</v>
      </c>
      <c r="B4699" s="100">
        <v>88.83222164814822</v>
      </c>
      <c r="C4699" s="100">
        <v>96.41876818942626</v>
      </c>
      <c r="D4699" s="100">
        <v>92.221272612717172</v>
      </c>
      <c r="E4699" s="100">
        <v>92.669738008618424</v>
      </c>
      <c r="F4699" s="100">
        <v>2380.6851648204029</v>
      </c>
      <c r="G4699" s="100">
        <v>2686.6819758037864</v>
      </c>
      <c r="H4699" s="100">
        <v>1189.6149855388671</v>
      </c>
      <c r="I4699" s="100">
        <v>710.90164608280304</v>
      </c>
      <c r="J4699" s="100">
        <v>6967.8837722458602</v>
      </c>
    </row>
    <row r="4700" spans="1:10" x14ac:dyDescent="0.25">
      <c r="A4700">
        <v>4683</v>
      </c>
      <c r="B4700" s="100">
        <v>89.981628730787534</v>
      </c>
      <c r="C4700" s="100">
        <v>98.062992486785262</v>
      </c>
      <c r="D4700" s="100">
        <v>92.43549440760134</v>
      </c>
      <c r="E4700" s="100">
        <v>94.347034217219004</v>
      </c>
      <c r="F4700" s="100">
        <v>-1412.3582078893335</v>
      </c>
      <c r="G4700" s="100">
        <v>220.34552976528232</v>
      </c>
      <c r="H4700" s="100">
        <v>761.17139577053194</v>
      </c>
      <c r="I4700" s="100">
        <v>-966.39456251777744</v>
      </c>
      <c r="J4700" s="100">
        <v>-1397.2358448712966</v>
      </c>
    </row>
    <row r="4701" spans="1:10" x14ac:dyDescent="0.25">
      <c r="A4701">
        <v>4684</v>
      </c>
      <c r="B4701" s="100">
        <v>90.059865329594629</v>
      </c>
      <c r="C4701" s="100">
        <v>99.374840231213284</v>
      </c>
      <c r="D4701" s="100">
        <v>94.957811514241328</v>
      </c>
      <c r="E4701" s="100">
        <v>93.844378622126371</v>
      </c>
      <c r="F4701" s="100">
        <v>-1670.538983952747</v>
      </c>
      <c r="G4701" s="100">
        <v>-1747.4260868767501</v>
      </c>
      <c r="H4701" s="100">
        <v>-4283.4628175094449</v>
      </c>
      <c r="I4701" s="100">
        <v>-463.73896742514376</v>
      </c>
      <c r="J4701" s="100">
        <v>-8165.1668557640851</v>
      </c>
    </row>
    <row r="4702" spans="1:10" x14ac:dyDescent="0.25">
      <c r="A4702">
        <v>4685</v>
      </c>
      <c r="B4702" s="100">
        <v>87.988348983320051</v>
      </c>
      <c r="C4702" s="100">
        <v>96.584541997758265</v>
      </c>
      <c r="D4702" s="100">
        <v>92.771697075487765</v>
      </c>
      <c r="E4702" s="100">
        <v>91.963733253304795</v>
      </c>
      <c r="F4702" s="100">
        <v>5165.4649587533595</v>
      </c>
      <c r="G4702" s="100">
        <v>2438.0212633057781</v>
      </c>
      <c r="H4702" s="100">
        <v>88.766059997681168</v>
      </c>
      <c r="I4702" s="100">
        <v>1416.9064013964316</v>
      </c>
      <c r="J4702" s="100">
        <v>9109.15868345325</v>
      </c>
    </row>
    <row r="4703" spans="1:10" x14ac:dyDescent="0.25">
      <c r="A4703">
        <v>4686</v>
      </c>
      <c r="B4703" s="100">
        <v>90.309398217817559</v>
      </c>
      <c r="C4703" s="100">
        <v>96.432061115963052</v>
      </c>
      <c r="D4703" s="100">
        <v>92.976601817028168</v>
      </c>
      <c r="E4703" s="100">
        <v>93.079383759238894</v>
      </c>
      <c r="F4703" s="100">
        <v>-2493.9975150884165</v>
      </c>
      <c r="G4703" s="100">
        <v>2666.7425859985983</v>
      </c>
      <c r="H4703" s="100">
        <v>-321.04342308312539</v>
      </c>
      <c r="I4703" s="100">
        <v>301.255895462333</v>
      </c>
      <c r="J4703" s="100">
        <v>152.95754328938938</v>
      </c>
    </row>
    <row r="4704" spans="1:10" x14ac:dyDescent="0.25">
      <c r="A4704">
        <v>4687</v>
      </c>
      <c r="B4704" s="100">
        <v>89.703961595983401</v>
      </c>
      <c r="C4704" s="100">
        <v>99.340117995195925</v>
      </c>
      <c r="D4704" s="100">
        <v>93.907661132275422</v>
      </c>
      <c r="E4704" s="100">
        <v>96.348855108228207</v>
      </c>
      <c r="F4704" s="100">
        <v>-496.05666303569365</v>
      </c>
      <c r="G4704" s="100">
        <v>-1695.3427328507119</v>
      </c>
      <c r="H4704" s="100">
        <v>-2183.1620535776324</v>
      </c>
      <c r="I4704" s="100">
        <v>-2968.2154535269801</v>
      </c>
      <c r="J4704" s="100">
        <v>-7342.7769029910178</v>
      </c>
    </row>
    <row r="4705" spans="1:10" x14ac:dyDescent="0.25">
      <c r="A4705">
        <v>4688</v>
      </c>
      <c r="B4705" s="100">
        <v>88.754656856453238</v>
      </c>
      <c r="C4705" s="100">
        <v>97.70030266577038</v>
      </c>
      <c r="D4705" s="100">
        <v>91.634920432684439</v>
      </c>
      <c r="E4705" s="100">
        <v>93.971547892222219</v>
      </c>
      <c r="F4705" s="100">
        <v>2636.6489774138445</v>
      </c>
      <c r="G4705" s="100">
        <v>764.38026128760589</v>
      </c>
      <c r="H4705" s="100">
        <v>2362.3193456043336</v>
      </c>
      <c r="I4705" s="100">
        <v>-590.90823752099197</v>
      </c>
      <c r="J4705" s="100">
        <v>5172.4403467847924</v>
      </c>
    </row>
    <row r="4706" spans="1:10" x14ac:dyDescent="0.25">
      <c r="A4706">
        <v>4689</v>
      </c>
      <c r="B4706" s="100">
        <v>89.863698391873513</v>
      </c>
      <c r="C4706" s="100">
        <v>97.527554148462528</v>
      </c>
      <c r="D4706" s="100">
        <v>92.859522551602865</v>
      </c>
      <c r="E4706" s="100">
        <v>93.628610825597434</v>
      </c>
      <c r="F4706" s="100">
        <v>-1023.1880894730623</v>
      </c>
      <c r="G4706" s="100">
        <v>1023.5030372493839</v>
      </c>
      <c r="H4706" s="100">
        <v>-86.884892232518496</v>
      </c>
      <c r="I4706" s="100">
        <v>-247.97117089620713</v>
      </c>
      <c r="J4706" s="100">
        <v>-334.54111535240406</v>
      </c>
    </row>
    <row r="4707" spans="1:10" x14ac:dyDescent="0.25">
      <c r="A4707">
        <v>4690</v>
      </c>
      <c r="B4707" s="100">
        <v>89.676522807722293</v>
      </c>
      <c r="C4707" s="100">
        <v>98.764576206054926</v>
      </c>
      <c r="D4707" s="100">
        <v>92.293102135287938</v>
      </c>
      <c r="E4707" s="100">
        <v>94.330787796831999</v>
      </c>
      <c r="F4707" s="100">
        <v>-405.50866177403719</v>
      </c>
      <c r="G4707" s="100">
        <v>-832.03004913921313</v>
      </c>
      <c r="H4707" s="100">
        <v>1045.9559403973344</v>
      </c>
      <c r="I4707" s="100">
        <v>-950.14814213077159</v>
      </c>
      <c r="J4707" s="100">
        <v>-1141.7309126466876</v>
      </c>
    </row>
    <row r="4708" spans="1:10" x14ac:dyDescent="0.25">
      <c r="A4708">
        <v>4691</v>
      </c>
      <c r="B4708" s="100">
        <v>89.578396196873697</v>
      </c>
      <c r="C4708" s="100">
        <v>97.696571282167142</v>
      </c>
      <c r="D4708" s="100">
        <v>91.719096528174745</v>
      </c>
      <c r="E4708" s="100">
        <v>92.917178851731506</v>
      </c>
      <c r="F4708" s="100">
        <v>-81.69084597367231</v>
      </c>
      <c r="G4708" s="100">
        <v>769.97733669246315</v>
      </c>
      <c r="H4708" s="100">
        <v>2193.9671546237205</v>
      </c>
      <c r="I4708" s="100">
        <v>463.46080296972048</v>
      </c>
      <c r="J4708" s="100">
        <v>3345.714448312232</v>
      </c>
    </row>
    <row r="4709" spans="1:10" x14ac:dyDescent="0.25">
      <c r="A4709">
        <v>4692</v>
      </c>
      <c r="B4709" s="100">
        <v>90.188665492763008</v>
      </c>
      <c r="C4709" s="100">
        <v>98.049501493501481</v>
      </c>
      <c r="D4709" s="100">
        <v>92.224299458001951</v>
      </c>
      <c r="E4709" s="100">
        <v>93.512716670867079</v>
      </c>
      <c r="F4709" s="100">
        <v>-2095.5795224083959</v>
      </c>
      <c r="G4709" s="100">
        <v>240.5820196909545</v>
      </c>
      <c r="H4709" s="100">
        <v>1183.5612949693086</v>
      </c>
      <c r="I4709" s="100">
        <v>-132.07701616585155</v>
      </c>
      <c r="J4709" s="100">
        <v>-803.51322391398435</v>
      </c>
    </row>
    <row r="4710" spans="1:10" x14ac:dyDescent="0.25">
      <c r="A4710">
        <v>4693</v>
      </c>
      <c r="B4710" s="100">
        <v>89.197087775621128</v>
      </c>
      <c r="C4710" s="100">
        <v>98.379665099832238</v>
      </c>
      <c r="D4710" s="100">
        <v>94.784395801611737</v>
      </c>
      <c r="E4710" s="100">
        <v>95.398970672295363</v>
      </c>
      <c r="F4710" s="100">
        <v>1176.626944159807</v>
      </c>
      <c r="G4710" s="100">
        <v>-254.66338980518088</v>
      </c>
      <c r="H4710" s="100">
        <v>-3936.6313922502627</v>
      </c>
      <c r="I4710" s="100">
        <v>-2018.3310175941358</v>
      </c>
      <c r="J4710" s="100">
        <v>-5032.9988554897727</v>
      </c>
    </row>
    <row r="4711" spans="1:10" x14ac:dyDescent="0.25">
      <c r="A4711">
        <v>4694</v>
      </c>
      <c r="B4711" s="100">
        <v>89.923824507336391</v>
      </c>
      <c r="C4711" s="100">
        <v>98.452155619512467</v>
      </c>
      <c r="D4711" s="100">
        <v>93.33562762545364</v>
      </c>
      <c r="E4711" s="100">
        <v>93.80803691273843</v>
      </c>
      <c r="F4711" s="100">
        <v>-1221.6042705005621</v>
      </c>
      <c r="G4711" s="100">
        <v>-363.39916932552541</v>
      </c>
      <c r="H4711" s="100">
        <v>-1039.0950399340682</v>
      </c>
      <c r="I4711" s="100">
        <v>-427.39725803720319</v>
      </c>
      <c r="J4711" s="100">
        <v>-3051.4957377973592</v>
      </c>
    </row>
    <row r="4712" spans="1:10" x14ac:dyDescent="0.25">
      <c r="A4712">
        <v>4695</v>
      </c>
      <c r="B4712" s="100">
        <v>89.72803828099569</v>
      </c>
      <c r="C4712" s="100">
        <v>98.444574702695718</v>
      </c>
      <c r="D4712" s="100">
        <v>93.116024231392387</v>
      </c>
      <c r="E4712" s="100">
        <v>93.09168261938683</v>
      </c>
      <c r="F4712" s="100">
        <v>-575.50972357624914</v>
      </c>
      <c r="G4712" s="100">
        <v>-352.02779410040108</v>
      </c>
      <c r="H4712" s="100">
        <v>-599.88825181156358</v>
      </c>
      <c r="I4712" s="100">
        <v>288.95703531439665</v>
      </c>
      <c r="J4712" s="100">
        <v>-1238.4687341738172</v>
      </c>
    </row>
    <row r="4713" spans="1:10" x14ac:dyDescent="0.25">
      <c r="A4713">
        <v>4696</v>
      </c>
      <c r="B4713" s="100">
        <v>89.941035568754856</v>
      </c>
      <c r="C4713" s="100">
        <v>97.23564499779674</v>
      </c>
      <c r="D4713" s="100">
        <v>93.634207873036885</v>
      </c>
      <c r="E4713" s="100">
        <v>94.44338857313214</v>
      </c>
      <c r="F4713" s="100">
        <v>-1278.4007731814952</v>
      </c>
      <c r="G4713" s="100">
        <v>1461.3667632480656</v>
      </c>
      <c r="H4713" s="100">
        <v>-1636.2555351005597</v>
      </c>
      <c r="I4713" s="100">
        <v>-1062.7489184309127</v>
      </c>
      <c r="J4713" s="100">
        <v>-2516.0384634649017</v>
      </c>
    </row>
    <row r="4714" spans="1:10" x14ac:dyDescent="0.25">
      <c r="A4714">
        <v>4697</v>
      </c>
      <c r="B4714" s="100">
        <v>89.582700455373995</v>
      </c>
      <c r="C4714" s="100">
        <v>98.180692035597332</v>
      </c>
      <c r="D4714" s="100">
        <v>92.961693422424077</v>
      </c>
      <c r="E4714" s="100">
        <v>93.161149288956295</v>
      </c>
      <c r="F4714" s="100">
        <v>-95.894899024655444</v>
      </c>
      <c r="G4714" s="100">
        <v>43.796206547177974</v>
      </c>
      <c r="H4714" s="100">
        <v>-291.22663387494185</v>
      </c>
      <c r="I4714" s="100">
        <v>219.49036574493164</v>
      </c>
      <c r="J4714" s="100">
        <v>-123.83496060748769</v>
      </c>
    </row>
    <row r="4715" spans="1:10" x14ac:dyDescent="0.25">
      <c r="A4715">
        <v>4698</v>
      </c>
      <c r="B4715" s="100">
        <v>89.507972444101284</v>
      </c>
      <c r="C4715" s="100">
        <v>97.184232840842583</v>
      </c>
      <c r="D4715" s="100">
        <v>92.618159954645961</v>
      </c>
      <c r="E4715" s="100">
        <v>96.340639486207039</v>
      </c>
      <c r="F4715" s="100">
        <v>150.70753817529123</v>
      </c>
      <c r="G4715" s="100">
        <v>1538.4849986793015</v>
      </c>
      <c r="H4715" s="100">
        <v>395.84030168128947</v>
      </c>
      <c r="I4715" s="100">
        <v>-2959.9998315058115</v>
      </c>
      <c r="J4715" s="100">
        <v>-874.96699296992938</v>
      </c>
    </row>
    <row r="4716" spans="1:10" x14ac:dyDescent="0.25">
      <c r="A4716">
        <v>4699</v>
      </c>
      <c r="B4716" s="100">
        <v>89.345354041579114</v>
      </c>
      <c r="C4716" s="100">
        <v>97.869579946951617</v>
      </c>
      <c r="D4716" s="100">
        <v>93.293336901904084</v>
      </c>
      <c r="E4716" s="100">
        <v>92.958025679450017</v>
      </c>
      <c r="F4716" s="100">
        <v>687.34826649845354</v>
      </c>
      <c r="G4716" s="100">
        <v>510.46433951574954</v>
      </c>
      <c r="H4716" s="100">
        <v>-954.51359283495663</v>
      </c>
      <c r="I4716" s="100">
        <v>422.61397525120969</v>
      </c>
      <c r="J4716" s="100">
        <v>665.91298843045615</v>
      </c>
    </row>
    <row r="4717" spans="1:10" x14ac:dyDescent="0.25">
      <c r="A4717">
        <v>4700</v>
      </c>
      <c r="B4717" s="100">
        <v>89.919641334282915</v>
      </c>
      <c r="C4717" s="100">
        <v>95.740938939139255</v>
      </c>
      <c r="D4717" s="100">
        <v>93.578358821133691</v>
      </c>
      <c r="E4717" s="100">
        <v>93.530478553474964</v>
      </c>
      <c r="F4717" s="100">
        <v>-1207.7997994240889</v>
      </c>
      <c r="G4717" s="100">
        <v>3703.4258512342931</v>
      </c>
      <c r="H4717" s="100">
        <v>-1524.5574312941699</v>
      </c>
      <c r="I4717" s="100">
        <v>-149.83889877373713</v>
      </c>
      <c r="J4717" s="100">
        <v>821.22972174229744</v>
      </c>
    </row>
    <row r="4718" spans="1:10" x14ac:dyDescent="0.25">
      <c r="A4718">
        <v>4701</v>
      </c>
      <c r="B4718" s="100">
        <v>89.313953255425929</v>
      </c>
      <c r="C4718" s="100">
        <v>97.766774228378566</v>
      </c>
      <c r="D4718" s="100">
        <v>93.557031080532411</v>
      </c>
      <c r="E4718" s="100">
        <v>92.86056726100162</v>
      </c>
      <c r="F4718" s="100">
        <v>790.97086080396366</v>
      </c>
      <c r="G4718" s="100">
        <v>664.67291737532719</v>
      </c>
      <c r="H4718" s="100">
        <v>-1481.9019500916113</v>
      </c>
      <c r="I4718" s="100">
        <v>520.07239369960701</v>
      </c>
      <c r="J4718" s="100">
        <v>493.81422178728656</v>
      </c>
    </row>
    <row r="4719" spans="1:10" x14ac:dyDescent="0.25">
      <c r="A4719">
        <v>4702</v>
      </c>
      <c r="B4719" s="100">
        <v>88.837174919605474</v>
      </c>
      <c r="C4719" s="100">
        <v>98.77665379019335</v>
      </c>
      <c r="D4719" s="100">
        <v>91.945898547796446</v>
      </c>
      <c r="E4719" s="100">
        <v>93.192046265623176</v>
      </c>
      <c r="F4719" s="100">
        <v>2364.3393690114663</v>
      </c>
      <c r="G4719" s="100">
        <v>-850.14642534684981</v>
      </c>
      <c r="H4719" s="100">
        <v>1740.363115380319</v>
      </c>
      <c r="I4719" s="100">
        <v>188.59338907805068</v>
      </c>
      <c r="J4719" s="100">
        <v>3443.1494481229861</v>
      </c>
    </row>
    <row r="4720" spans="1:10" x14ac:dyDescent="0.25">
      <c r="A4720">
        <v>4703</v>
      </c>
      <c r="B4720" s="100">
        <v>89.667057554581064</v>
      </c>
      <c r="C4720" s="100">
        <v>97.730360849277716</v>
      </c>
      <c r="D4720" s="100">
        <v>93.398024293602674</v>
      </c>
      <c r="E4720" s="100">
        <v>91.636071536683986</v>
      </c>
      <c r="F4720" s="100">
        <v>-374.27332640798028</v>
      </c>
      <c r="G4720" s="100">
        <v>719.29298602660197</v>
      </c>
      <c r="H4720" s="100">
        <v>-1163.888376232137</v>
      </c>
      <c r="I4720" s="100">
        <v>1744.5681180172414</v>
      </c>
      <c r="J4720" s="100">
        <v>925.69940140372614</v>
      </c>
    </row>
    <row r="4721" spans="1:10" x14ac:dyDescent="0.25">
      <c r="A4721">
        <v>4704</v>
      </c>
      <c r="B4721" s="100">
        <v>89.145671280394978</v>
      </c>
      <c r="C4721" s="100">
        <v>98.00905637701463</v>
      </c>
      <c r="D4721" s="100">
        <v>91.936080676486057</v>
      </c>
      <c r="E4721" s="100">
        <v>93.401798755748629</v>
      </c>
      <c r="F4721" s="100">
        <v>1346.3013784061004</v>
      </c>
      <c r="G4721" s="100">
        <v>301.24969442123017</v>
      </c>
      <c r="H4721" s="100">
        <v>1759.9988580010972</v>
      </c>
      <c r="I4721" s="100">
        <v>-21.159101047402373</v>
      </c>
      <c r="J4721" s="100">
        <v>3386.3908297810258</v>
      </c>
    </row>
    <row r="4722" spans="1:10" x14ac:dyDescent="0.25">
      <c r="A4722">
        <v>4705</v>
      </c>
      <c r="B4722" s="100">
        <v>89.317654809336361</v>
      </c>
      <c r="C4722" s="100">
        <v>97.453801935572571</v>
      </c>
      <c r="D4722" s="100">
        <v>94.208775411834836</v>
      </c>
      <c r="E4722" s="100">
        <v>94.682399677474777</v>
      </c>
      <c r="F4722" s="100">
        <v>778.755732899539</v>
      </c>
      <c r="G4722" s="100">
        <v>1134.1313565843193</v>
      </c>
      <c r="H4722" s="100">
        <v>-2785.3906126964603</v>
      </c>
      <c r="I4722" s="100">
        <v>-1301.76002277355</v>
      </c>
      <c r="J4722" s="100">
        <v>-2174.2635459861522</v>
      </c>
    </row>
    <row r="4723" spans="1:10" x14ac:dyDescent="0.25">
      <c r="A4723">
        <v>4706</v>
      </c>
      <c r="B4723" s="100">
        <v>89.608570210324473</v>
      </c>
      <c r="C4723" s="100">
        <v>98.910735842962239</v>
      </c>
      <c r="D4723" s="100">
        <v>92.432409269742521</v>
      </c>
      <c r="E4723" s="100">
        <v>92.073947814070792</v>
      </c>
      <c r="F4723" s="100">
        <v>-181.26509036123082</v>
      </c>
      <c r="G4723" s="100">
        <v>-1051.2695045001833</v>
      </c>
      <c r="H4723" s="100">
        <v>767.34167148816823</v>
      </c>
      <c r="I4723" s="100">
        <v>1306.6918406304353</v>
      </c>
      <c r="J4723" s="100">
        <v>841.49891725718953</v>
      </c>
    </row>
    <row r="4724" spans="1:10" x14ac:dyDescent="0.25">
      <c r="A4724">
        <v>4707</v>
      </c>
      <c r="B4724" s="100">
        <v>88.781773394161249</v>
      </c>
      <c r="C4724" s="100">
        <v>97.859953547089631</v>
      </c>
      <c r="D4724" s="100">
        <v>93.456423953980831</v>
      </c>
      <c r="E4724" s="100">
        <v>93.507989449577721</v>
      </c>
      <c r="F4724" s="100">
        <v>2547.1644029774084</v>
      </c>
      <c r="G4724" s="100">
        <v>524.9039393087287</v>
      </c>
      <c r="H4724" s="100">
        <v>-1280.6876969884513</v>
      </c>
      <c r="I4724" s="100">
        <v>-127.34979487649412</v>
      </c>
      <c r="J4724" s="100">
        <v>1664.0308504211916</v>
      </c>
    </row>
    <row r="4725" spans="1:10" x14ac:dyDescent="0.25">
      <c r="A4725">
        <v>4708</v>
      </c>
      <c r="B4725" s="100">
        <v>89.437995679904475</v>
      </c>
      <c r="C4725" s="100">
        <v>97.797326753901984</v>
      </c>
      <c r="D4725" s="100">
        <v>93.005163618358537</v>
      </c>
      <c r="E4725" s="100">
        <v>92.124332743590116</v>
      </c>
      <c r="F4725" s="100">
        <v>381.63086002476234</v>
      </c>
      <c r="G4725" s="100">
        <v>618.8441290901992</v>
      </c>
      <c r="H4725" s="100">
        <v>-378.16702574386341</v>
      </c>
      <c r="I4725" s="100">
        <v>1256.3069111111104</v>
      </c>
      <c r="J4725" s="100">
        <v>1878.6148744822085</v>
      </c>
    </row>
    <row r="4726" spans="1:10" x14ac:dyDescent="0.25">
      <c r="A4726">
        <v>4709</v>
      </c>
      <c r="B4726" s="100">
        <v>88.822194108782625</v>
      </c>
      <c r="C4726" s="100">
        <v>97.321362754980612</v>
      </c>
      <c r="D4726" s="100">
        <v>93.797609822197799</v>
      </c>
      <c r="E4726" s="100">
        <v>92.171428133441353</v>
      </c>
      <c r="F4726" s="100">
        <v>2413.7760447268661</v>
      </c>
      <c r="G4726" s="100">
        <v>1332.7901274722578</v>
      </c>
      <c r="H4726" s="100">
        <v>-1963.0594334223872</v>
      </c>
      <c r="I4726" s="100">
        <v>1209.2115212598742</v>
      </c>
      <c r="J4726" s="100">
        <v>2992.7182600366104</v>
      </c>
    </row>
    <row r="4727" spans="1:10" x14ac:dyDescent="0.25">
      <c r="A4727">
        <v>4710</v>
      </c>
      <c r="B4727" s="100">
        <v>89.73293897205177</v>
      </c>
      <c r="C4727" s="100">
        <v>97.363326351631386</v>
      </c>
      <c r="D4727" s="100">
        <v>92.57396522972283</v>
      </c>
      <c r="E4727" s="100">
        <v>92.003593792891778</v>
      </c>
      <c r="F4727" s="100">
        <v>-591.68200406131041</v>
      </c>
      <c r="G4727" s="100">
        <v>1269.8447324960966</v>
      </c>
      <c r="H4727" s="100">
        <v>484.22975152755043</v>
      </c>
      <c r="I4727" s="100">
        <v>1377.0458618094494</v>
      </c>
      <c r="J4727" s="100">
        <v>2539.4383417717863</v>
      </c>
    </row>
    <row r="4728" spans="1:10" x14ac:dyDescent="0.25">
      <c r="A4728">
        <v>4711</v>
      </c>
      <c r="B4728" s="100">
        <v>89.902779858502967</v>
      </c>
      <c r="C4728" s="100">
        <v>98.109965173354439</v>
      </c>
      <c r="D4728" s="100">
        <v>92.855126107398362</v>
      </c>
      <c r="E4728" s="100">
        <v>91.110285869503642</v>
      </c>
      <c r="F4728" s="100">
        <v>-1152.1569293502623</v>
      </c>
      <c r="G4728" s="100">
        <v>149.88649991151703</v>
      </c>
      <c r="H4728" s="100">
        <v>-78.092003823513778</v>
      </c>
      <c r="I4728" s="100">
        <v>2270.3537851975852</v>
      </c>
      <c r="J4728" s="100">
        <v>1189.9913519353263</v>
      </c>
    </row>
    <row r="4729" spans="1:10" x14ac:dyDescent="0.25">
      <c r="A4729">
        <v>4712</v>
      </c>
      <c r="B4729" s="100">
        <v>89.955272341678437</v>
      </c>
      <c r="C4729" s="100">
        <v>97.410008503608097</v>
      </c>
      <c r="D4729" s="100">
        <v>92.30769769457126</v>
      </c>
      <c r="E4729" s="100">
        <v>92.748702227952293</v>
      </c>
      <c r="F4729" s="100">
        <v>-1325.3821238293142</v>
      </c>
      <c r="G4729" s="100">
        <v>1199.8215045310303</v>
      </c>
      <c r="H4729" s="100">
        <v>1016.7648218306908</v>
      </c>
      <c r="I4729" s="100">
        <v>631.93742674893372</v>
      </c>
      <c r="J4729" s="100">
        <v>1523.1416292813406</v>
      </c>
    </row>
    <row r="4730" spans="1:10" x14ac:dyDescent="0.25">
      <c r="A4730">
        <v>4713</v>
      </c>
      <c r="B4730" s="100">
        <v>89.591994821946884</v>
      </c>
      <c r="C4730" s="100">
        <v>97.667377162503058</v>
      </c>
      <c r="D4730" s="100">
        <v>92.176529461419236</v>
      </c>
      <c r="E4730" s="100">
        <v>94.672553473298038</v>
      </c>
      <c r="F4730" s="100">
        <v>-126.56630871518644</v>
      </c>
      <c r="G4730" s="100">
        <v>813.76851618858836</v>
      </c>
      <c r="H4730" s="100">
        <v>1279.1012881347399</v>
      </c>
      <c r="I4730" s="100">
        <v>-1291.9138185968109</v>
      </c>
      <c r="J4730" s="100">
        <v>674.38967701133106</v>
      </c>
    </row>
    <row r="4731" spans="1:10" x14ac:dyDescent="0.25">
      <c r="A4731">
        <v>4714</v>
      </c>
      <c r="B4731" s="100">
        <v>88.874974985557472</v>
      </c>
      <c r="C4731" s="100">
        <v>97.517218521641055</v>
      </c>
      <c r="D4731" s="100">
        <v>92.802458146035093</v>
      </c>
      <c r="E4731" s="100">
        <v>94.006991578332546</v>
      </c>
      <c r="F4731" s="100">
        <v>2239.5991513698718</v>
      </c>
      <c r="G4731" s="100">
        <v>1039.0064774815926</v>
      </c>
      <c r="H4731" s="100">
        <v>27.243918903025133</v>
      </c>
      <c r="I4731" s="100">
        <v>-626.35192363131864</v>
      </c>
      <c r="J4731" s="100">
        <v>2679.4976241231711</v>
      </c>
    </row>
    <row r="4732" spans="1:10" x14ac:dyDescent="0.25">
      <c r="A4732">
        <v>4715</v>
      </c>
      <c r="B4732" s="100">
        <v>90.08401046984666</v>
      </c>
      <c r="C4732" s="100">
        <v>97.493576421624113</v>
      </c>
      <c r="D4732" s="100">
        <v>93.332051038126366</v>
      </c>
      <c r="E4732" s="100">
        <v>92.368486639459405</v>
      </c>
      <c r="F4732" s="100">
        <v>-1750.2179467844499</v>
      </c>
      <c r="G4732" s="100">
        <v>1074.4696275070069</v>
      </c>
      <c r="H4732" s="100">
        <v>-1031.9418652795207</v>
      </c>
      <c r="I4732" s="100">
        <v>1012.1530152418217</v>
      </c>
      <c r="J4732" s="100">
        <v>-695.53716931514202</v>
      </c>
    </row>
    <row r="4733" spans="1:10" x14ac:dyDescent="0.25">
      <c r="A4733">
        <v>4716</v>
      </c>
      <c r="B4733" s="100">
        <v>89.098598281150814</v>
      </c>
      <c r="C4733" s="100">
        <v>97.976461487982746</v>
      </c>
      <c r="D4733" s="100">
        <v>95.297768214834193</v>
      </c>
      <c r="E4733" s="100">
        <v>92.534839210373718</v>
      </c>
      <c r="F4733" s="100">
        <v>1501.6422759118441</v>
      </c>
      <c r="G4733" s="100">
        <v>350.14202796905636</v>
      </c>
      <c r="H4733" s="100">
        <v>-4963.3762186951744</v>
      </c>
      <c r="I4733" s="100">
        <v>845.80044432750867</v>
      </c>
      <c r="J4733" s="100">
        <v>-2265.7914704867653</v>
      </c>
    </row>
    <row r="4734" spans="1:10" x14ac:dyDescent="0.25">
      <c r="A4734">
        <v>4717</v>
      </c>
      <c r="B4734" s="100">
        <v>89.480326154810157</v>
      </c>
      <c r="C4734" s="100">
        <v>97.457210379929265</v>
      </c>
      <c r="D4734" s="100">
        <v>93.067912564921443</v>
      </c>
      <c r="E4734" s="100">
        <v>95.984095492732152</v>
      </c>
      <c r="F4734" s="100">
        <v>241.94029283600997</v>
      </c>
      <c r="G4734" s="100">
        <v>1129.0186900492786</v>
      </c>
      <c r="H4734" s="100">
        <v>-503.66491886967424</v>
      </c>
      <c r="I4734" s="100">
        <v>-2603.455838030925</v>
      </c>
      <c r="J4734" s="100">
        <v>-1736.1617740153106</v>
      </c>
    </row>
    <row r="4735" spans="1:10" x14ac:dyDescent="0.25">
      <c r="A4735">
        <v>4718</v>
      </c>
      <c r="B4735" s="100">
        <v>89.775494610851908</v>
      </c>
      <c r="C4735" s="100">
        <v>98.576791156724695</v>
      </c>
      <c r="D4735" s="100">
        <v>93.094562069570841</v>
      </c>
      <c r="E4735" s="100">
        <v>91.489999700029813</v>
      </c>
      <c r="F4735" s="100">
        <v>-732.1156121017666</v>
      </c>
      <c r="G4735" s="100">
        <v>-550.35247514386754</v>
      </c>
      <c r="H4735" s="100">
        <v>-556.96392816847151</v>
      </c>
      <c r="I4735" s="100">
        <v>1890.6399546714142</v>
      </c>
      <c r="J4735" s="100">
        <v>51.207939257308453</v>
      </c>
    </row>
    <row r="4736" spans="1:10" x14ac:dyDescent="0.25">
      <c r="A4736">
        <v>4719</v>
      </c>
      <c r="B4736" s="100">
        <v>89.729243941326445</v>
      </c>
      <c r="C4736" s="100">
        <v>96.244447444839992</v>
      </c>
      <c r="D4736" s="100">
        <v>93.588320938275729</v>
      </c>
      <c r="E4736" s="100">
        <v>94.485094403469404</v>
      </c>
      <c r="F4736" s="100">
        <v>-579.488402667738</v>
      </c>
      <c r="G4736" s="100">
        <v>2948.1630926831886</v>
      </c>
      <c r="H4736" s="100">
        <v>-1544.4816655782461</v>
      </c>
      <c r="I4736" s="100">
        <v>-1104.4547487681768</v>
      </c>
      <c r="J4736" s="100">
        <v>-280.26172433097258</v>
      </c>
    </row>
    <row r="4737" spans="1:10" x14ac:dyDescent="0.25">
      <c r="A4737">
        <v>4720</v>
      </c>
      <c r="B4737" s="100">
        <v>89.502270235366069</v>
      </c>
      <c r="C4737" s="100">
        <v>98.29214269430318</v>
      </c>
      <c r="D4737" s="100">
        <v>93.345920434667349</v>
      </c>
      <c r="E4737" s="100">
        <v>93.52222760388797</v>
      </c>
      <c r="F4737" s="100">
        <v>169.52482700150142</v>
      </c>
      <c r="G4737" s="100">
        <v>-123.3797815115949</v>
      </c>
      <c r="H4737" s="100">
        <v>-1059.6806583614864</v>
      </c>
      <c r="I4737" s="100">
        <v>-141.58794918674289</v>
      </c>
      <c r="J4737" s="100">
        <v>-1155.1235620583227</v>
      </c>
    </row>
    <row r="4738" spans="1:10" x14ac:dyDescent="0.25">
      <c r="A4738">
        <v>4721</v>
      </c>
      <c r="B4738" s="100">
        <v>89.431775735706168</v>
      </c>
      <c r="C4738" s="100">
        <v>98.240762573446531</v>
      </c>
      <c r="D4738" s="100">
        <v>92.866758484990768</v>
      </c>
      <c r="E4738" s="100">
        <v>94.114620889174063</v>
      </c>
      <c r="F4738" s="100">
        <v>402.15667587917494</v>
      </c>
      <c r="G4738" s="100">
        <v>-46.309600226621228</v>
      </c>
      <c r="H4738" s="100">
        <v>-101.35675900832553</v>
      </c>
      <c r="I4738" s="100">
        <v>-733.98123447283581</v>
      </c>
      <c r="J4738" s="100">
        <v>-479.49091782860762</v>
      </c>
    </row>
    <row r="4739" spans="1:10" x14ac:dyDescent="0.25">
      <c r="A4739">
        <v>4722</v>
      </c>
      <c r="B4739" s="100">
        <v>89.827370655152251</v>
      </c>
      <c r="C4739" s="100">
        <v>98.78974654717247</v>
      </c>
      <c r="D4739" s="100">
        <v>91.334697811259375</v>
      </c>
      <c r="E4739" s="100">
        <v>95.597335338274846</v>
      </c>
      <c r="F4739" s="100">
        <v>-903.30655829289844</v>
      </c>
      <c r="G4739" s="100">
        <v>-869.78556081552938</v>
      </c>
      <c r="H4739" s="100">
        <v>2962.7645884544618</v>
      </c>
      <c r="I4739" s="100">
        <v>-2216.6956835736187</v>
      </c>
      <c r="J4739" s="100">
        <v>-1027.0232142275847</v>
      </c>
    </row>
    <row r="4740" spans="1:10" x14ac:dyDescent="0.25">
      <c r="A4740">
        <v>4723</v>
      </c>
      <c r="B4740" s="100">
        <v>90.020905510081775</v>
      </c>
      <c r="C4740" s="100">
        <v>97.319145927385208</v>
      </c>
      <c r="D4740" s="100">
        <v>94.633020207146771</v>
      </c>
      <c r="E4740" s="100">
        <v>95.182275487446304</v>
      </c>
      <c r="F4740" s="100">
        <v>-1541.9715795603281</v>
      </c>
      <c r="G4740" s="100">
        <v>1336.1153688653644</v>
      </c>
      <c r="H4740" s="100">
        <v>-3633.880203320331</v>
      </c>
      <c r="I4740" s="100">
        <v>-1801.6358327450776</v>
      </c>
      <c r="J4740" s="100">
        <v>-5641.3722467603729</v>
      </c>
    </row>
    <row r="4741" spans="1:10" x14ac:dyDescent="0.25">
      <c r="A4741">
        <v>4724</v>
      </c>
      <c r="B4741" s="100">
        <v>89.385536076546742</v>
      </c>
      <c r="C4741" s="100">
        <v>96.143621399780272</v>
      </c>
      <c r="D4741" s="100">
        <v>94.103591003820952</v>
      </c>
      <c r="E4741" s="100">
        <v>94.758342350993104</v>
      </c>
      <c r="F4741" s="100">
        <v>554.74755110527951</v>
      </c>
      <c r="G4741" s="100">
        <v>3099.4021602727671</v>
      </c>
      <c r="H4741" s="100">
        <v>-2575.0217966686932</v>
      </c>
      <c r="I4741" s="100">
        <v>-1377.7026962918767</v>
      </c>
      <c r="J4741" s="100">
        <v>-298.57478158252343</v>
      </c>
    </row>
    <row r="4742" spans="1:10" x14ac:dyDescent="0.25">
      <c r="A4742">
        <v>4725</v>
      </c>
      <c r="B4742" s="100">
        <v>89.690520110530869</v>
      </c>
      <c r="C4742" s="100">
        <v>98.67388576400927</v>
      </c>
      <c r="D4742" s="100">
        <v>92.846080760697433</v>
      </c>
      <c r="E4742" s="100">
        <v>92.558275584091007</v>
      </c>
      <c r="F4742" s="100">
        <v>-451.69976104233882</v>
      </c>
      <c r="G4742" s="100">
        <v>-695.99438607072989</v>
      </c>
      <c r="H4742" s="100">
        <v>-60.001310421654352</v>
      </c>
      <c r="I4742" s="100">
        <v>822.36407061022021</v>
      </c>
      <c r="J4742" s="100">
        <v>-385.33138692450291</v>
      </c>
    </row>
    <row r="4743" spans="1:10" x14ac:dyDescent="0.25">
      <c r="A4743">
        <v>4726</v>
      </c>
      <c r="B4743" s="100">
        <v>89.499991046502231</v>
      </c>
      <c r="C4743" s="100">
        <v>96.891631757775656</v>
      </c>
      <c r="D4743" s="100">
        <v>93.745160765765817</v>
      </c>
      <c r="E4743" s="100">
        <v>93.110648595336187</v>
      </c>
      <c r="F4743" s="100">
        <v>177.04615025216697</v>
      </c>
      <c r="G4743" s="100">
        <v>1977.386623279692</v>
      </c>
      <c r="H4743" s="100">
        <v>-1858.1613205584233</v>
      </c>
      <c r="I4743" s="100">
        <v>269.99105936504009</v>
      </c>
      <c r="J4743" s="100">
        <v>566.26251233847563</v>
      </c>
    </row>
    <row r="4744" spans="1:10" x14ac:dyDescent="0.25">
      <c r="A4744">
        <v>4727</v>
      </c>
      <c r="B4744" s="100">
        <v>89.080587056050561</v>
      </c>
      <c r="C4744" s="100">
        <v>98.320636249533365</v>
      </c>
      <c r="D4744" s="100">
        <v>92.52171365803396</v>
      </c>
      <c r="E4744" s="100">
        <v>93.232824924775699</v>
      </c>
      <c r="F4744" s="100">
        <v>1561.079318742678</v>
      </c>
      <c r="G4744" s="100">
        <v>-166.1201143568718</v>
      </c>
      <c r="H4744" s="100">
        <v>588.73289490529146</v>
      </c>
      <c r="I4744" s="100">
        <v>147.81472992552835</v>
      </c>
      <c r="J4744" s="100">
        <v>2131.5068292166261</v>
      </c>
    </row>
    <row r="4745" spans="1:10" x14ac:dyDescent="0.25">
      <c r="A4745">
        <v>4728</v>
      </c>
      <c r="B4745" s="100">
        <v>88.616589780794087</v>
      </c>
      <c r="C4745" s="100">
        <v>99.26595989235912</v>
      </c>
      <c r="D4745" s="100">
        <v>92.206399449411165</v>
      </c>
      <c r="E4745" s="100">
        <v>92.231825544182769</v>
      </c>
      <c r="F4745" s="100">
        <v>3092.2703270890438</v>
      </c>
      <c r="G4745" s="100">
        <v>-1584.105578595505</v>
      </c>
      <c r="H4745" s="100">
        <v>1219.3613121508804</v>
      </c>
      <c r="I4745" s="100">
        <v>1148.8141105184582</v>
      </c>
      <c r="J4745" s="100">
        <v>3876.3401711628771</v>
      </c>
    </row>
    <row r="4746" spans="1:10" x14ac:dyDescent="0.25">
      <c r="A4746">
        <v>4729</v>
      </c>
      <c r="B4746" s="100">
        <v>90.158797693059029</v>
      </c>
      <c r="C4746" s="100">
        <v>97.660773610098317</v>
      </c>
      <c r="D4746" s="100">
        <v>92.79699774624487</v>
      </c>
      <c r="E4746" s="100">
        <v>92.034306593605393</v>
      </c>
      <c r="F4746" s="100">
        <v>-1997.0157833852654</v>
      </c>
      <c r="G4746" s="100">
        <v>823.67384479569955</v>
      </c>
      <c r="H4746" s="100">
        <v>38.164718483471916</v>
      </c>
      <c r="I4746" s="100">
        <v>1346.3330610958337</v>
      </c>
      <c r="J4746" s="100">
        <v>211.15584098973977</v>
      </c>
    </row>
    <row r="4747" spans="1:10" x14ac:dyDescent="0.25">
      <c r="A4747">
        <v>4730</v>
      </c>
      <c r="B4747" s="100">
        <v>89.936122093203764</v>
      </c>
      <c r="C4747" s="100">
        <v>97.067697272830557</v>
      </c>
      <c r="D4747" s="100">
        <v>92.818770166909999</v>
      </c>
      <c r="E4747" s="100">
        <v>93.987650154415093</v>
      </c>
      <c r="F4747" s="100">
        <v>-1262.1863038628917</v>
      </c>
      <c r="G4747" s="100">
        <v>1713.2883506973399</v>
      </c>
      <c r="H4747" s="100">
        <v>-5.3801228467875717</v>
      </c>
      <c r="I4747" s="100">
        <v>-607.01049971386567</v>
      </c>
      <c r="J4747" s="100">
        <v>-161.28857572620507</v>
      </c>
    </row>
    <row r="4748" spans="1:10" x14ac:dyDescent="0.25">
      <c r="A4748">
        <v>4731</v>
      </c>
      <c r="B4748" s="100">
        <v>89.762139412486036</v>
      </c>
      <c r="C4748" s="100">
        <v>98.12312637353277</v>
      </c>
      <c r="D4748" s="100">
        <v>93.643530414426309</v>
      </c>
      <c r="E4748" s="100">
        <v>94.130680299086094</v>
      </c>
      <c r="F4748" s="100">
        <v>-688.04345749438903</v>
      </c>
      <c r="G4748" s="100">
        <v>130.14469964402053</v>
      </c>
      <c r="H4748" s="100">
        <v>-1654.9006178794059</v>
      </c>
      <c r="I4748" s="100">
        <v>-750.04064438486751</v>
      </c>
      <c r="J4748" s="100">
        <v>-2962.8400201146419</v>
      </c>
    </row>
    <row r="4749" spans="1:10" x14ac:dyDescent="0.25">
      <c r="A4749">
        <v>4732</v>
      </c>
      <c r="B4749" s="100">
        <v>89.954359757403125</v>
      </c>
      <c r="C4749" s="100">
        <v>97.593960914697746</v>
      </c>
      <c r="D4749" s="100">
        <v>93.234307840602952</v>
      </c>
      <c r="E4749" s="100">
        <v>92.068490095011995</v>
      </c>
      <c r="F4749" s="100">
        <v>-1322.370595720784</v>
      </c>
      <c r="G4749" s="100">
        <v>923.89288789655666</v>
      </c>
      <c r="H4749" s="100">
        <v>-836.45547023269273</v>
      </c>
      <c r="I4749" s="100">
        <v>1312.1495596892316</v>
      </c>
      <c r="J4749" s="100">
        <v>77.216381632311595</v>
      </c>
    </row>
    <row r="4750" spans="1:10" x14ac:dyDescent="0.25">
      <c r="A4750">
        <v>4733</v>
      </c>
      <c r="B4750" s="100">
        <v>89.254830827663994</v>
      </c>
      <c r="C4750" s="100">
        <v>98.653813369387663</v>
      </c>
      <c r="D4750" s="100">
        <v>92.737297714103306</v>
      </c>
      <c r="E4750" s="100">
        <v>94.613704460034569</v>
      </c>
      <c r="F4750" s="100">
        <v>986.07487241834804</v>
      </c>
      <c r="G4750" s="100">
        <v>-665.88579413831894</v>
      </c>
      <c r="H4750" s="100">
        <v>157.56478276659891</v>
      </c>
      <c r="I4750" s="100">
        <v>-1233.0648053333421</v>
      </c>
      <c r="J4750" s="100">
        <v>-755.31094428671406</v>
      </c>
    </row>
    <row r="4751" spans="1:10" x14ac:dyDescent="0.25">
      <c r="A4751">
        <v>4734</v>
      </c>
      <c r="B4751" s="100">
        <v>89.115398772423589</v>
      </c>
      <c r="C4751" s="100">
        <v>97.799794771790786</v>
      </c>
      <c r="D4751" s="100">
        <v>90.92520290494096</v>
      </c>
      <c r="E4751" s="100">
        <v>91.848298795294141</v>
      </c>
      <c r="F4751" s="100">
        <v>1446.2006547116857</v>
      </c>
      <c r="G4751" s="100">
        <v>615.14210225699628</v>
      </c>
      <c r="H4751" s="100">
        <v>3781.7544010912911</v>
      </c>
      <c r="I4751" s="100">
        <v>1532.3408594070856</v>
      </c>
      <c r="J4751" s="100">
        <v>7375.4380174670587</v>
      </c>
    </row>
    <row r="4752" spans="1:10" x14ac:dyDescent="0.25">
      <c r="A4752">
        <v>4735</v>
      </c>
      <c r="B4752" s="100">
        <v>89.927908004620917</v>
      </c>
      <c r="C4752" s="100">
        <v>98.417641455432332</v>
      </c>
      <c r="D4752" s="100">
        <v>91.66364717458147</v>
      </c>
      <c r="E4752" s="100">
        <v>93.49889780601022</v>
      </c>
      <c r="F4752" s="100">
        <v>-1235.079811539498</v>
      </c>
      <c r="G4752" s="100">
        <v>-311.62792320532162</v>
      </c>
      <c r="H4752" s="100">
        <v>2304.8658618102709</v>
      </c>
      <c r="I4752" s="100">
        <v>-118.25815130899286</v>
      </c>
      <c r="J4752" s="100">
        <v>639.89997575645839</v>
      </c>
    </row>
    <row r="4753" spans="1:10" x14ac:dyDescent="0.25">
      <c r="A4753">
        <v>4736</v>
      </c>
      <c r="B4753" s="100">
        <v>89.434105439015752</v>
      </c>
      <c r="C4753" s="100">
        <v>98.261282361041239</v>
      </c>
      <c r="D4753" s="100">
        <v>92.318519297172074</v>
      </c>
      <c r="E4753" s="100">
        <v>93.608024988965596</v>
      </c>
      <c r="F4753" s="100">
        <v>394.46865495754651</v>
      </c>
      <c r="G4753" s="100">
        <v>-77.089281618683003</v>
      </c>
      <c r="H4753" s="100">
        <v>995.12161662906351</v>
      </c>
      <c r="I4753" s="100">
        <v>-227.38533426436902</v>
      </c>
      <c r="J4753" s="100">
        <v>1085.1156557035581</v>
      </c>
    </row>
    <row r="4754" spans="1:10" x14ac:dyDescent="0.25">
      <c r="A4754">
        <v>4737</v>
      </c>
      <c r="B4754" s="100">
        <v>89.837566165994517</v>
      </c>
      <c r="C4754" s="100">
        <v>98.592040031187111</v>
      </c>
      <c r="D4754" s="100">
        <v>90.987137884262168</v>
      </c>
      <c r="E4754" s="100">
        <v>93.127305904111992</v>
      </c>
      <c r="F4754" s="100">
        <v>-936.9517440723755</v>
      </c>
      <c r="G4754" s="100">
        <v>-573.2257868374902</v>
      </c>
      <c r="H4754" s="100">
        <v>3657.8844424488752</v>
      </c>
      <c r="I4754" s="100">
        <v>253.3337505892348</v>
      </c>
      <c r="J4754" s="100">
        <v>2401.0406621282445</v>
      </c>
    </row>
    <row r="4755" spans="1:10" x14ac:dyDescent="0.25">
      <c r="A4755">
        <v>4738</v>
      </c>
      <c r="B4755" s="100">
        <v>89.116359512314091</v>
      </c>
      <c r="C4755" s="100">
        <v>97.300828957952831</v>
      </c>
      <c r="D4755" s="100">
        <v>90.778632206781765</v>
      </c>
      <c r="E4755" s="100">
        <v>94.959163638327155</v>
      </c>
      <c r="F4755" s="100">
        <v>1443.0302130730297</v>
      </c>
      <c r="G4755" s="100">
        <v>1363.5908230139294</v>
      </c>
      <c r="H4755" s="100">
        <v>4074.8957974096811</v>
      </c>
      <c r="I4755" s="100">
        <v>-1578.5239836259279</v>
      </c>
      <c r="J4755" s="100">
        <v>5302.9928498707122</v>
      </c>
    </row>
    <row r="4756" spans="1:10" x14ac:dyDescent="0.25">
      <c r="A4756">
        <v>4739</v>
      </c>
      <c r="B4756" s="100">
        <v>89.168981333768158</v>
      </c>
      <c r="C4756" s="100">
        <v>98.035437693097279</v>
      </c>
      <c r="D4756" s="100">
        <v>93.017405570299957</v>
      </c>
      <c r="E4756" s="100">
        <v>92.419396797931498</v>
      </c>
      <c r="F4756" s="100">
        <v>1269.3782022746063</v>
      </c>
      <c r="G4756" s="100">
        <v>261.67772029725711</v>
      </c>
      <c r="H4756" s="100">
        <v>-402.65092962670224</v>
      </c>
      <c r="I4756" s="100">
        <v>961.24285676972931</v>
      </c>
      <c r="J4756" s="100">
        <v>2089.6478497148905</v>
      </c>
    </row>
    <row r="4757" spans="1:10" x14ac:dyDescent="0.25">
      <c r="A4757">
        <v>4740</v>
      </c>
      <c r="B4757" s="100">
        <v>89.538951236038756</v>
      </c>
      <c r="C4757" s="100">
        <v>98.563816306312631</v>
      </c>
      <c r="D4757" s="100">
        <v>92.783392701734712</v>
      </c>
      <c r="E4757" s="100">
        <v>94.863010494292567</v>
      </c>
      <c r="F4757" s="100">
        <v>48.47752478163585</v>
      </c>
      <c r="G4757" s="100">
        <v>-530.89019952577132</v>
      </c>
      <c r="H4757" s="100">
        <v>65.374807503786769</v>
      </c>
      <c r="I4757" s="100">
        <v>-1482.37083959134</v>
      </c>
      <c r="J4757" s="100">
        <v>-1899.4087068316887</v>
      </c>
    </row>
    <row r="4758" spans="1:10" x14ac:dyDescent="0.25">
      <c r="A4758">
        <v>4741</v>
      </c>
      <c r="B4758" s="100">
        <v>89.859941691630979</v>
      </c>
      <c r="C4758" s="100">
        <v>97.753214834834282</v>
      </c>
      <c r="D4758" s="100">
        <v>93.420878703017948</v>
      </c>
      <c r="E4758" s="100">
        <v>92.978770308135992</v>
      </c>
      <c r="F4758" s="100">
        <v>-1010.7909786727021</v>
      </c>
      <c r="G4758" s="100">
        <v>685.01200769175341</v>
      </c>
      <c r="H4758" s="100">
        <v>-1209.5971950626847</v>
      </c>
      <c r="I4758" s="100">
        <v>401.86934656523476</v>
      </c>
      <c r="J4758" s="100">
        <v>-1133.5068194783987</v>
      </c>
    </row>
    <row r="4759" spans="1:10" x14ac:dyDescent="0.25">
      <c r="A4759">
        <v>4742</v>
      </c>
      <c r="B4759" s="100">
        <v>89.003015849376823</v>
      </c>
      <c r="C4759" s="100">
        <v>98.700354764157979</v>
      </c>
      <c r="D4759" s="100">
        <v>93.840632180331255</v>
      </c>
      <c r="E4759" s="100">
        <v>92.454145812113524</v>
      </c>
      <c r="F4759" s="100">
        <v>1817.0643007660146</v>
      </c>
      <c r="G4759" s="100">
        <v>-735.69788629379218</v>
      </c>
      <c r="H4759" s="100">
        <v>-2049.104149689299</v>
      </c>
      <c r="I4759" s="100">
        <v>926.4938425877034</v>
      </c>
      <c r="J4759" s="100">
        <v>-41.243892629373136</v>
      </c>
    </row>
    <row r="4760" spans="1:10" x14ac:dyDescent="0.25">
      <c r="A4760">
        <v>4743</v>
      </c>
      <c r="B4760" s="100">
        <v>90.230118139117593</v>
      </c>
      <c r="C4760" s="100">
        <v>98.226735162326435</v>
      </c>
      <c r="D4760" s="100">
        <v>91.795246333240954</v>
      </c>
      <c r="E4760" s="100">
        <v>95.594893076922645</v>
      </c>
      <c r="F4760" s="100">
        <v>-2232.3732553785276</v>
      </c>
      <c r="G4760" s="100">
        <v>-25.268483546476261</v>
      </c>
      <c r="H4760" s="100">
        <v>2041.6675444913039</v>
      </c>
      <c r="I4760" s="100">
        <v>-2214.2534222214181</v>
      </c>
      <c r="J4760" s="100">
        <v>-2430.2276166551178</v>
      </c>
    </row>
    <row r="4761" spans="1:10" x14ac:dyDescent="0.25">
      <c r="A4761">
        <v>4744</v>
      </c>
      <c r="B4761" s="100">
        <v>90.167410675896619</v>
      </c>
      <c r="C4761" s="100">
        <v>98.422939646635029</v>
      </c>
      <c r="D4761" s="100">
        <v>92.805690981225169</v>
      </c>
      <c r="E4761" s="100">
        <v>94.034690606943684</v>
      </c>
      <c r="F4761" s="100">
        <v>-2025.4386267493132</v>
      </c>
      <c r="G4761" s="100">
        <v>-319.5752100093685</v>
      </c>
      <c r="H4761" s="100">
        <v>20.778248522873355</v>
      </c>
      <c r="I4761" s="100">
        <v>-654.05095224245713</v>
      </c>
      <c r="J4761" s="100">
        <v>-2978.286540478266</v>
      </c>
    </row>
    <row r="4762" spans="1:10" x14ac:dyDescent="0.25">
      <c r="A4762">
        <v>4745</v>
      </c>
      <c r="B4762" s="100">
        <v>89.47988710908605</v>
      </c>
      <c r="C4762" s="100">
        <v>98.041772924315666</v>
      </c>
      <c r="D4762" s="100">
        <v>92.064463566720733</v>
      </c>
      <c r="E4762" s="100">
        <v>94.929657660941501</v>
      </c>
      <c r="F4762" s="100">
        <v>243.38914372556388</v>
      </c>
      <c r="G4762" s="100">
        <v>252.17487346967715</v>
      </c>
      <c r="H4762" s="100">
        <v>1503.2330775317462</v>
      </c>
      <c r="I4762" s="100">
        <v>-1549.0180062402742</v>
      </c>
      <c r="J4762" s="100">
        <v>449.77908848671314</v>
      </c>
    </row>
    <row r="4763" spans="1:10" x14ac:dyDescent="0.25">
      <c r="A4763">
        <v>4746</v>
      </c>
      <c r="B4763" s="100">
        <v>89.417857874390307</v>
      </c>
      <c r="C4763" s="100">
        <v>98.505659458772712</v>
      </c>
      <c r="D4763" s="100">
        <v>93.125085722256586</v>
      </c>
      <c r="E4763" s="100">
        <v>93.99135379830247</v>
      </c>
      <c r="F4763" s="100">
        <v>448.08561822151489</v>
      </c>
      <c r="G4763" s="100">
        <v>-443.65492821589214</v>
      </c>
      <c r="H4763" s="100">
        <v>-618.0112335399599</v>
      </c>
      <c r="I4763" s="100">
        <v>-610.71414360124265</v>
      </c>
      <c r="J4763" s="100">
        <v>-1224.2946871355798</v>
      </c>
    </row>
    <row r="4764" spans="1:10" x14ac:dyDescent="0.25">
      <c r="A4764">
        <v>4747</v>
      </c>
      <c r="B4764" s="100">
        <v>90.167120095009224</v>
      </c>
      <c r="C4764" s="100">
        <v>97.710603569220851</v>
      </c>
      <c r="D4764" s="100">
        <v>91.482880526636094</v>
      </c>
      <c r="E4764" s="100">
        <v>92.096208327569997</v>
      </c>
      <c r="F4764" s="100">
        <v>-2024.4797098209106</v>
      </c>
      <c r="G4764" s="100">
        <v>748.92890611189955</v>
      </c>
      <c r="H4764" s="100">
        <v>2666.399157701022</v>
      </c>
      <c r="I4764" s="100">
        <v>1284.4313271312303</v>
      </c>
      <c r="J4764" s="100">
        <v>2675.2796811232411</v>
      </c>
    </row>
    <row r="4765" spans="1:10" x14ac:dyDescent="0.25">
      <c r="A4765">
        <v>4748</v>
      </c>
      <c r="B4765" s="100">
        <v>88.387570005955496</v>
      </c>
      <c r="C4765" s="100">
        <v>98.107140716893014</v>
      </c>
      <c r="D4765" s="100">
        <v>91.64128552520495</v>
      </c>
      <c r="E4765" s="100">
        <v>92.240757620159897</v>
      </c>
      <c r="F4765" s="100">
        <v>3848.035584056393</v>
      </c>
      <c r="G4765" s="100">
        <v>154.12318460365526</v>
      </c>
      <c r="H4765" s="100">
        <v>2349.5891605633119</v>
      </c>
      <c r="I4765" s="100">
        <v>1139.8820345413299</v>
      </c>
      <c r="J4765" s="100">
        <v>7491.6299637646898</v>
      </c>
    </row>
    <row r="4766" spans="1:10" x14ac:dyDescent="0.25">
      <c r="A4766">
        <v>4749</v>
      </c>
      <c r="B4766" s="100">
        <v>89.025625494707654</v>
      </c>
      <c r="C4766" s="100">
        <v>99.373684109285833</v>
      </c>
      <c r="D4766" s="100">
        <v>92.191675427465441</v>
      </c>
      <c r="E4766" s="100">
        <v>95.346803479511749</v>
      </c>
      <c r="F4766" s="100">
        <v>1742.4524711742706</v>
      </c>
      <c r="G4766" s="100">
        <v>-1745.6919039855734</v>
      </c>
      <c r="H4766" s="100">
        <v>1248.8093560423295</v>
      </c>
      <c r="I4766" s="100">
        <v>-1966.1638248105219</v>
      </c>
      <c r="J4766" s="100">
        <v>-720.5939015794952</v>
      </c>
    </row>
    <row r="4767" spans="1:10" x14ac:dyDescent="0.25">
      <c r="A4767">
        <v>4750</v>
      </c>
      <c r="B4767" s="100">
        <v>89.885791298720079</v>
      </c>
      <c r="C4767" s="100">
        <v>98.353284298208138</v>
      </c>
      <c r="D4767" s="100">
        <v>92.299405723239204</v>
      </c>
      <c r="E4767" s="100">
        <v>92.909766930606168</v>
      </c>
      <c r="F4767" s="100">
        <v>-1096.0946820667318</v>
      </c>
      <c r="G4767" s="100">
        <v>-215.0921873690308</v>
      </c>
      <c r="H4767" s="100">
        <v>1033.3487644948036</v>
      </c>
      <c r="I4767" s="100">
        <v>470.87272409505943</v>
      </c>
      <c r="J4767" s="100">
        <v>193.03461915410037</v>
      </c>
    </row>
    <row r="4768" spans="1:10" x14ac:dyDescent="0.25">
      <c r="A4768">
        <v>4751</v>
      </c>
      <c r="B4768" s="100">
        <v>89.41083043109434</v>
      </c>
      <c r="C4768" s="100">
        <v>98.380471517839581</v>
      </c>
      <c r="D4768" s="100">
        <v>91.456627151212544</v>
      </c>
      <c r="E4768" s="100">
        <v>93.505821951562965</v>
      </c>
      <c r="F4768" s="100">
        <v>471.27618109820872</v>
      </c>
      <c r="G4768" s="100">
        <v>-255.87301681619579</v>
      </c>
      <c r="H4768" s="100">
        <v>2718.9059085481231</v>
      </c>
      <c r="I4768" s="100">
        <v>-125.18229686173754</v>
      </c>
      <c r="J4768" s="100">
        <v>2809.1267759683983</v>
      </c>
    </row>
    <row r="4769" spans="1:10" x14ac:dyDescent="0.25">
      <c r="A4769">
        <v>4752</v>
      </c>
      <c r="B4769" s="100">
        <v>88.567769325375707</v>
      </c>
      <c r="C4769" s="100">
        <v>97.388742748630719</v>
      </c>
      <c r="D4769" s="100">
        <v>93.333452782959981</v>
      </c>
      <c r="E4769" s="100">
        <v>91.661206484950853</v>
      </c>
      <c r="F4769" s="100">
        <v>3253.377829969696</v>
      </c>
      <c r="G4769" s="100">
        <v>1231.7201369970974</v>
      </c>
      <c r="H4769" s="100">
        <v>-1034.7453549467502</v>
      </c>
      <c r="I4769" s="100">
        <v>1719.4331697503742</v>
      </c>
      <c r="J4769" s="100">
        <v>5169.7857817704171</v>
      </c>
    </row>
    <row r="4770" spans="1:10" x14ac:dyDescent="0.25">
      <c r="A4770">
        <v>4753</v>
      </c>
      <c r="B4770" s="100">
        <v>88.781701213868061</v>
      </c>
      <c r="C4770" s="100">
        <v>98.798848609415714</v>
      </c>
      <c r="D4770" s="100">
        <v>92.516694639607095</v>
      </c>
      <c r="E4770" s="100">
        <v>92.517383463060796</v>
      </c>
      <c r="F4770" s="100">
        <v>2547.4025979449279</v>
      </c>
      <c r="G4770" s="100">
        <v>-883.43865418039513</v>
      </c>
      <c r="H4770" s="100">
        <v>598.77093175902019</v>
      </c>
      <c r="I4770" s="100">
        <v>863.25619164043133</v>
      </c>
      <c r="J4770" s="100">
        <v>3125.9910671639846</v>
      </c>
    </row>
    <row r="4771" spans="1:10" x14ac:dyDescent="0.25">
      <c r="A4771">
        <v>4754</v>
      </c>
      <c r="B4771" s="100">
        <v>89.540135642698274</v>
      </c>
      <c r="C4771" s="100">
        <v>100.47498000352596</v>
      </c>
      <c r="D4771" s="100">
        <v>93.504211273310631</v>
      </c>
      <c r="E4771" s="100">
        <v>93.647260935169101</v>
      </c>
      <c r="F4771" s="100">
        <v>44.568982805223811</v>
      </c>
      <c r="G4771" s="100">
        <v>-3397.6357453457595</v>
      </c>
      <c r="H4771" s="100">
        <v>-1376.2623356480503</v>
      </c>
      <c r="I4771" s="100">
        <v>-266.62128046787359</v>
      </c>
      <c r="J4771" s="100">
        <v>-4995.9503786564592</v>
      </c>
    </row>
    <row r="4772" spans="1:10" x14ac:dyDescent="0.25">
      <c r="A4772">
        <v>4755</v>
      </c>
      <c r="B4772" s="100">
        <v>88.735951323422213</v>
      </c>
      <c r="C4772" s="100">
        <v>96.704813009526646</v>
      </c>
      <c r="D4772" s="100">
        <v>93.245706787698893</v>
      </c>
      <c r="E4772" s="100">
        <v>91.219643023731862</v>
      </c>
      <c r="F4772" s="100">
        <v>2698.3772364162251</v>
      </c>
      <c r="G4772" s="100">
        <v>2257.6147456532071</v>
      </c>
      <c r="H4772" s="100">
        <v>-859.25336442457478</v>
      </c>
      <c r="I4772" s="100">
        <v>2160.9966309693646</v>
      </c>
      <c r="J4772" s="100">
        <v>6257.7352486142217</v>
      </c>
    </row>
    <row r="4773" spans="1:10" x14ac:dyDescent="0.25">
      <c r="A4773">
        <v>4756</v>
      </c>
      <c r="B4773" s="100">
        <v>89.721245814371912</v>
      </c>
      <c r="C4773" s="100">
        <v>99.158495866586946</v>
      </c>
      <c r="D4773" s="100">
        <v>94.503980650815748</v>
      </c>
      <c r="E4773" s="100">
        <v>91.6969760577242</v>
      </c>
      <c r="F4773" s="100">
        <v>-553.09458371777964</v>
      </c>
      <c r="G4773" s="100">
        <v>-1422.9095399372441</v>
      </c>
      <c r="H4773" s="100">
        <v>-3375.8010906582854</v>
      </c>
      <c r="I4773" s="100">
        <v>1683.6635969770271</v>
      </c>
      <c r="J4773" s="100">
        <v>-3668.1416173362823</v>
      </c>
    </row>
    <row r="4774" spans="1:10" x14ac:dyDescent="0.25">
      <c r="A4774">
        <v>4757</v>
      </c>
      <c r="B4774" s="100">
        <v>88.550649265308621</v>
      </c>
      <c r="C4774" s="100">
        <v>98.64078845790992</v>
      </c>
      <c r="D4774" s="100">
        <v>92.722471417089352</v>
      </c>
      <c r="E4774" s="100">
        <v>94.792414928898438</v>
      </c>
      <c r="F4774" s="100">
        <v>3309.8740281910791</v>
      </c>
      <c r="G4774" s="100">
        <v>-646.3484269217048</v>
      </c>
      <c r="H4774" s="100">
        <v>187.21737679450712</v>
      </c>
      <c r="I4774" s="100">
        <v>-1411.7752741972113</v>
      </c>
      <c r="J4774" s="100">
        <v>1438.96770386667</v>
      </c>
    </row>
    <row r="4775" spans="1:10" x14ac:dyDescent="0.25">
      <c r="A4775">
        <v>4758</v>
      </c>
      <c r="B4775" s="100">
        <v>90.044412279935656</v>
      </c>
      <c r="C4775" s="100">
        <v>99.902540481085381</v>
      </c>
      <c r="D4775" s="100">
        <v>93.749106232432965</v>
      </c>
      <c r="E4775" s="100">
        <v>98.230265336170504</v>
      </c>
      <c r="F4775" s="100">
        <v>-1619.5439200781366</v>
      </c>
      <c r="G4775" s="100">
        <v>-2538.9764616848965</v>
      </c>
      <c r="H4775" s="100">
        <v>-1866.0522538927182</v>
      </c>
      <c r="I4775" s="100">
        <v>-4849.625681469277</v>
      </c>
      <c r="J4775" s="100">
        <v>-10874.198317125029</v>
      </c>
    </row>
    <row r="4776" spans="1:10" x14ac:dyDescent="0.25">
      <c r="A4776">
        <v>4759</v>
      </c>
      <c r="B4776" s="100">
        <v>89.630322979675213</v>
      </c>
      <c r="C4776" s="100">
        <v>99.200899036415308</v>
      </c>
      <c r="D4776" s="100">
        <v>93.614328151601171</v>
      </c>
      <c r="E4776" s="100">
        <v>94.858521517955609</v>
      </c>
      <c r="F4776" s="100">
        <v>-253.04922921867501</v>
      </c>
      <c r="G4776" s="100">
        <v>-1486.514294679786</v>
      </c>
      <c r="H4776" s="100">
        <v>-1596.4960922291311</v>
      </c>
      <c r="I4776" s="100">
        <v>-1477.8818632543816</v>
      </c>
      <c r="J4776" s="100">
        <v>-4813.9414793819742</v>
      </c>
    </row>
    <row r="4777" spans="1:10" x14ac:dyDescent="0.25">
      <c r="A4777">
        <v>4760</v>
      </c>
      <c r="B4777" s="100">
        <v>89.569816585139918</v>
      </c>
      <c r="C4777" s="100">
        <v>97.618988206901676</v>
      </c>
      <c r="D4777" s="100">
        <v>93.027803351275352</v>
      </c>
      <c r="E4777" s="100">
        <v>92.672679608169489</v>
      </c>
      <c r="F4777" s="100">
        <v>-53.378127252200613</v>
      </c>
      <c r="G4777" s="100">
        <v>886.35194959066155</v>
      </c>
      <c r="H4777" s="100">
        <v>-423.44649157749359</v>
      </c>
      <c r="I4777" s="100">
        <v>707.96004653173839</v>
      </c>
      <c r="J4777" s="100">
        <v>1117.4873772927058</v>
      </c>
    </row>
    <row r="4778" spans="1:10" x14ac:dyDescent="0.25">
      <c r="A4778">
        <v>4761</v>
      </c>
      <c r="B4778" s="100">
        <v>89.012004809333931</v>
      </c>
      <c r="C4778" s="100">
        <v>97.973856795225245</v>
      </c>
      <c r="D4778" s="100">
        <v>93.252249591550452</v>
      </c>
      <c r="E4778" s="100">
        <v>96.460630697319615</v>
      </c>
      <c r="F4778" s="100">
        <v>1787.4007329075582</v>
      </c>
      <c r="G4778" s="100">
        <v>354.04906710530781</v>
      </c>
      <c r="H4778" s="100">
        <v>-872.33897212769307</v>
      </c>
      <c r="I4778" s="100">
        <v>-3079.9910426183887</v>
      </c>
      <c r="J4778" s="100">
        <v>-1810.8802147332158</v>
      </c>
    </row>
    <row r="4779" spans="1:10" x14ac:dyDescent="0.25">
      <c r="A4779">
        <v>4762</v>
      </c>
      <c r="B4779" s="100">
        <v>89.180568972761463</v>
      </c>
      <c r="C4779" s="100">
        <v>98.854940331833959</v>
      </c>
      <c r="D4779" s="100">
        <v>93.69400656991462</v>
      </c>
      <c r="E4779" s="100">
        <v>91.973638832095617</v>
      </c>
      <c r="F4779" s="100">
        <v>1231.1389935966999</v>
      </c>
      <c r="G4779" s="100">
        <v>-967.57623780776214</v>
      </c>
      <c r="H4779" s="100">
        <v>-1755.8529288560294</v>
      </c>
      <c r="I4779" s="100">
        <v>1407.0008226056102</v>
      </c>
      <c r="J4779" s="100">
        <v>-85.289350461481263</v>
      </c>
    </row>
    <row r="4780" spans="1:10" x14ac:dyDescent="0.25">
      <c r="A4780">
        <v>4763</v>
      </c>
      <c r="B4780" s="100">
        <v>89.389671806136363</v>
      </c>
      <c r="C4780" s="100">
        <v>97.541820386005625</v>
      </c>
      <c r="D4780" s="100">
        <v>93.586961044397142</v>
      </c>
      <c r="E4780" s="100">
        <v>92.939561943405067</v>
      </c>
      <c r="F4780" s="100">
        <v>541.09964345953188</v>
      </c>
      <c r="G4780" s="100">
        <v>1002.1036809347379</v>
      </c>
      <c r="H4780" s="100">
        <v>-1541.7618778210738</v>
      </c>
      <c r="I4780" s="100">
        <v>441.07771129615969</v>
      </c>
      <c r="J4780" s="100">
        <v>442.51915786935558</v>
      </c>
    </row>
    <row r="4781" spans="1:10" x14ac:dyDescent="0.25">
      <c r="A4781">
        <v>4764</v>
      </c>
      <c r="B4781" s="100">
        <v>88.598152687894228</v>
      </c>
      <c r="C4781" s="100">
        <v>98.418449338934693</v>
      </c>
      <c r="D4781" s="100">
        <v>92.625632019038875</v>
      </c>
      <c r="E4781" s="100">
        <v>91.749279095265038</v>
      </c>
      <c r="F4781" s="100">
        <v>3153.1127336585782</v>
      </c>
      <c r="G4781" s="100">
        <v>-312.8397484588632</v>
      </c>
      <c r="H4781" s="100">
        <v>380.8961728954614</v>
      </c>
      <c r="I4781" s="100">
        <v>1631.3605594361889</v>
      </c>
      <c r="J4781" s="100">
        <v>4852.5297175313653</v>
      </c>
    </row>
    <row r="4782" spans="1:10" x14ac:dyDescent="0.25">
      <c r="A4782">
        <v>4765</v>
      </c>
      <c r="B4782" s="100">
        <v>89.394959643228802</v>
      </c>
      <c r="C4782" s="100">
        <v>98.043905095685687</v>
      </c>
      <c r="D4782" s="100">
        <v>94.300630589591691</v>
      </c>
      <c r="E4782" s="100">
        <v>94.43326135517934</v>
      </c>
      <c r="F4782" s="100">
        <v>523.64978105448336</v>
      </c>
      <c r="G4782" s="100">
        <v>248.97661641464452</v>
      </c>
      <c r="H4782" s="100">
        <v>-2969.1009682101708</v>
      </c>
      <c r="I4782" s="100">
        <v>-1052.6217004781131</v>
      </c>
      <c r="J4782" s="100">
        <v>-3249.0962712191558</v>
      </c>
    </row>
    <row r="4783" spans="1:10" x14ac:dyDescent="0.25">
      <c r="A4783">
        <v>4766</v>
      </c>
      <c r="B4783" s="100">
        <v>89.57185255538225</v>
      </c>
      <c r="C4783" s="100">
        <v>98.371833958489518</v>
      </c>
      <c r="D4783" s="100">
        <v>91.550285034750075</v>
      </c>
      <c r="E4783" s="100">
        <v>93.367631793769633</v>
      </c>
      <c r="F4783" s="100">
        <v>-60.09682905189635</v>
      </c>
      <c r="G4783" s="100">
        <v>-242.91667779110071</v>
      </c>
      <c r="H4783" s="100">
        <v>2531.5901414730606</v>
      </c>
      <c r="I4783" s="100">
        <v>13.00786093159445</v>
      </c>
      <c r="J4783" s="100">
        <v>2241.5844955616576</v>
      </c>
    </row>
    <row r="4784" spans="1:10" x14ac:dyDescent="0.25">
      <c r="A4784">
        <v>4767</v>
      </c>
      <c r="B4784" s="100">
        <v>88.885139197997049</v>
      </c>
      <c r="C4784" s="100">
        <v>97.182656865842432</v>
      </c>
      <c r="D4784" s="100">
        <v>93.098999478933322</v>
      </c>
      <c r="E4784" s="100">
        <v>95.356107037601859</v>
      </c>
      <c r="F4784" s="100">
        <v>2206.0572503192689</v>
      </c>
      <c r="G4784" s="100">
        <v>1540.8489611795276</v>
      </c>
      <c r="H4784" s="100">
        <v>-565.83874689343361</v>
      </c>
      <c r="I4784" s="100">
        <v>-1975.4673829006322</v>
      </c>
      <c r="J4784" s="100">
        <v>1205.6000817047309</v>
      </c>
    </row>
    <row r="4785" spans="1:10" x14ac:dyDescent="0.25">
      <c r="A4785">
        <v>4768</v>
      </c>
      <c r="B4785" s="100">
        <v>89.662367502421958</v>
      </c>
      <c r="C4785" s="100">
        <v>98.002803149110292</v>
      </c>
      <c r="D4785" s="100">
        <v>93.315377576552123</v>
      </c>
      <c r="E4785" s="100">
        <v>91.032724264256473</v>
      </c>
      <c r="F4785" s="100">
        <v>-358.79615428293192</v>
      </c>
      <c r="G4785" s="100">
        <v>310.62953627773737</v>
      </c>
      <c r="H4785" s="100">
        <v>-998.59494213103517</v>
      </c>
      <c r="I4785" s="100">
        <v>2347.9153904447544</v>
      </c>
      <c r="J4785" s="100">
        <v>1301.1538303085247</v>
      </c>
    </row>
    <row r="4786" spans="1:10" x14ac:dyDescent="0.25">
      <c r="A4786">
        <v>4769</v>
      </c>
      <c r="B4786" s="100">
        <v>90.200110685564724</v>
      </c>
      <c r="C4786" s="100">
        <v>98.248757856072004</v>
      </c>
      <c r="D4786" s="100">
        <v>92.962213089968515</v>
      </c>
      <c r="E4786" s="100">
        <v>93.029111838445019</v>
      </c>
      <c r="F4786" s="100">
        <v>-2133.3486586540589</v>
      </c>
      <c r="G4786" s="100">
        <v>-58.302524164830061</v>
      </c>
      <c r="H4786" s="100">
        <v>-292.26596896381807</v>
      </c>
      <c r="I4786" s="100">
        <v>351.52781625620833</v>
      </c>
      <c r="J4786" s="100">
        <v>-2132.3893355264991</v>
      </c>
    </row>
    <row r="4787" spans="1:10" x14ac:dyDescent="0.25">
      <c r="A4787">
        <v>4770</v>
      </c>
      <c r="B4787" s="100">
        <v>89.681408023509292</v>
      </c>
      <c r="C4787" s="100">
        <v>97.642503178574643</v>
      </c>
      <c r="D4787" s="100">
        <v>91.107896484230849</v>
      </c>
      <c r="E4787" s="100">
        <v>94.050620303558077</v>
      </c>
      <c r="F4787" s="100">
        <v>-421.62987387113304</v>
      </c>
      <c r="G4787" s="100">
        <v>851.0794920812117</v>
      </c>
      <c r="H4787" s="100">
        <v>3416.3672425115124</v>
      </c>
      <c r="I4787" s="100">
        <v>-669.98064885684983</v>
      </c>
      <c r="J4787" s="100">
        <v>3175.8362118647415</v>
      </c>
    </row>
    <row r="4788" spans="1:10" x14ac:dyDescent="0.25">
      <c r="A4788">
        <v>4771</v>
      </c>
      <c r="B4788" s="100">
        <v>89.528380737007723</v>
      </c>
      <c r="C4788" s="100">
        <v>98.838779504770869</v>
      </c>
      <c r="D4788" s="100">
        <v>89.967499709504665</v>
      </c>
      <c r="E4788" s="100">
        <v>93.111252685531852</v>
      </c>
      <c r="F4788" s="100">
        <v>83.360171584044451</v>
      </c>
      <c r="G4788" s="100">
        <v>-943.33499721312819</v>
      </c>
      <c r="H4788" s="100">
        <v>5697.1607919638809</v>
      </c>
      <c r="I4788" s="100">
        <v>269.38696916937488</v>
      </c>
      <c r="J4788" s="100">
        <v>5106.5729355041713</v>
      </c>
    </row>
    <row r="4789" spans="1:10" x14ac:dyDescent="0.25">
      <c r="A4789">
        <v>4772</v>
      </c>
      <c r="B4789" s="100">
        <v>89.607033999217222</v>
      </c>
      <c r="C4789" s="100">
        <v>98.62043986538724</v>
      </c>
      <c r="D4789" s="100">
        <v>92.302685489307024</v>
      </c>
      <c r="E4789" s="100">
        <v>94.846989388918232</v>
      </c>
      <c r="F4789" s="100">
        <v>-176.195593707304</v>
      </c>
      <c r="G4789" s="100">
        <v>-615.8255381376847</v>
      </c>
      <c r="H4789" s="100">
        <v>1026.7892323591639</v>
      </c>
      <c r="I4789" s="100">
        <v>-1466.3497342170047</v>
      </c>
      <c r="J4789" s="100">
        <v>-1231.5816337028295</v>
      </c>
    </row>
    <row r="4790" spans="1:10" x14ac:dyDescent="0.25">
      <c r="A4790">
        <v>4773</v>
      </c>
      <c r="B4790" s="100">
        <v>89.476816061792533</v>
      </c>
      <c r="C4790" s="100">
        <v>96.111950847330931</v>
      </c>
      <c r="D4790" s="100">
        <v>92.528689254770455</v>
      </c>
      <c r="E4790" s="100">
        <v>90.826453367325271</v>
      </c>
      <c r="F4790" s="100">
        <v>253.52359979416974</v>
      </c>
      <c r="G4790" s="100">
        <v>3146.9079889467794</v>
      </c>
      <c r="H4790" s="100">
        <v>574.78170143230045</v>
      </c>
      <c r="I4790" s="100">
        <v>2554.1862873759555</v>
      </c>
      <c r="J4790" s="100">
        <v>6529.3995775492058</v>
      </c>
    </row>
    <row r="4791" spans="1:10" x14ac:dyDescent="0.25">
      <c r="A4791">
        <v>4774</v>
      </c>
      <c r="B4791" s="100">
        <v>90.319800077968864</v>
      </c>
      <c r="C4791" s="100">
        <v>98.210064142711701</v>
      </c>
      <c r="D4791" s="100">
        <v>93.340021017954982</v>
      </c>
      <c r="E4791" s="100">
        <v>93.105970274308504</v>
      </c>
      <c r="F4791" s="100">
        <v>-2528.3236535877222</v>
      </c>
      <c r="G4791" s="100">
        <v>-0.26195412437601817</v>
      </c>
      <c r="H4791" s="100">
        <v>-1047.8818249367521</v>
      </c>
      <c r="I4791" s="100">
        <v>274.66938039272293</v>
      </c>
      <c r="J4791" s="100">
        <v>-3301.7980522561274</v>
      </c>
    </row>
    <row r="4792" spans="1:10" x14ac:dyDescent="0.25">
      <c r="A4792">
        <v>4775</v>
      </c>
      <c r="B4792" s="100">
        <v>89.600471580610062</v>
      </c>
      <c r="C4792" s="100">
        <v>98.080294885180209</v>
      </c>
      <c r="D4792" s="100">
        <v>92.233722412174728</v>
      </c>
      <c r="E4792" s="100">
        <v>95.69975232266944</v>
      </c>
      <c r="F4792" s="100">
        <v>-154.53961230367526</v>
      </c>
      <c r="G4792" s="100">
        <v>194.39193217286288</v>
      </c>
      <c r="H4792" s="100">
        <v>1164.7153866237545</v>
      </c>
      <c r="I4792" s="100">
        <v>-2319.1126679682129</v>
      </c>
      <c r="J4792" s="100">
        <v>-1114.5449614752708</v>
      </c>
    </row>
    <row r="4793" spans="1:10" x14ac:dyDescent="0.25">
      <c r="A4793">
        <v>4776</v>
      </c>
      <c r="B4793" s="100">
        <v>89.827667341474481</v>
      </c>
      <c r="C4793" s="100">
        <v>96.927290055225129</v>
      </c>
      <c r="D4793" s="100">
        <v>93.373353223802027</v>
      </c>
      <c r="E4793" s="100">
        <v>94.54390438727502</v>
      </c>
      <c r="F4793" s="100">
        <v>-904.28562315625663</v>
      </c>
      <c r="G4793" s="100">
        <v>1923.8991771054827</v>
      </c>
      <c r="H4793" s="100">
        <v>-1114.5462366308436</v>
      </c>
      <c r="I4793" s="100">
        <v>-1163.2647325737935</v>
      </c>
      <c r="J4793" s="100">
        <v>-1258.197415255411</v>
      </c>
    </row>
    <row r="4794" spans="1:10" x14ac:dyDescent="0.25">
      <c r="A4794">
        <v>4777</v>
      </c>
      <c r="B4794" s="100">
        <v>89.705826766071581</v>
      </c>
      <c r="C4794" s="100">
        <v>97.251808598880103</v>
      </c>
      <c r="D4794" s="100">
        <v>93.583402824790795</v>
      </c>
      <c r="E4794" s="100">
        <v>92.987780345700898</v>
      </c>
      <c r="F4794" s="100">
        <v>-502.21172432668908</v>
      </c>
      <c r="G4794" s="100">
        <v>1437.1213616230207</v>
      </c>
      <c r="H4794" s="100">
        <v>-1534.6454386083792</v>
      </c>
      <c r="I4794" s="100">
        <v>392.85930900032895</v>
      </c>
      <c r="J4794" s="100">
        <v>-206.87649231171872</v>
      </c>
    </row>
    <row r="4795" spans="1:10" x14ac:dyDescent="0.25">
      <c r="A4795">
        <v>4778</v>
      </c>
      <c r="B4795" s="100">
        <v>90.264100806844809</v>
      </c>
      <c r="C4795" s="100">
        <v>97.635038023693753</v>
      </c>
      <c r="D4795" s="100">
        <v>93.821063447749438</v>
      </c>
      <c r="E4795" s="100">
        <v>96.375605936410338</v>
      </c>
      <c r="F4795" s="100">
        <v>-2344.5160588783397</v>
      </c>
      <c r="G4795" s="100">
        <v>862.27722440254695</v>
      </c>
      <c r="H4795" s="100">
        <v>-2009.966684525665</v>
      </c>
      <c r="I4795" s="100">
        <v>-2994.9662817091112</v>
      </c>
      <c r="J4795" s="100">
        <v>-6487.1718007105692</v>
      </c>
    </row>
    <row r="4796" spans="1:10" x14ac:dyDescent="0.25">
      <c r="A4796">
        <v>4779</v>
      </c>
      <c r="B4796" s="100">
        <v>90.977229965379607</v>
      </c>
      <c r="C4796" s="100">
        <v>98.251068608311243</v>
      </c>
      <c r="D4796" s="100">
        <v>91.310611241001908</v>
      </c>
      <c r="E4796" s="100">
        <v>97.400745344052496</v>
      </c>
      <c r="F4796" s="100">
        <v>-4697.8422820431733</v>
      </c>
      <c r="G4796" s="100">
        <v>-61.768652523689127</v>
      </c>
      <c r="H4796" s="100">
        <v>3010.9377289693953</v>
      </c>
      <c r="I4796" s="100">
        <v>-4020.1056893512687</v>
      </c>
      <c r="J4796" s="100">
        <v>-5768.7788949487367</v>
      </c>
    </row>
    <row r="4797" spans="1:10" x14ac:dyDescent="0.25">
      <c r="A4797">
        <v>4780</v>
      </c>
      <c r="B4797" s="100">
        <v>89.47519031306534</v>
      </c>
      <c r="C4797" s="100">
        <v>99.21589775103665</v>
      </c>
      <c r="D4797" s="100">
        <v>92.781620258689728</v>
      </c>
      <c r="E4797" s="100">
        <v>97.040831422515623</v>
      </c>
      <c r="F4797" s="100">
        <v>258.88857059390631</v>
      </c>
      <c r="G4797" s="100">
        <v>-1509.0123666117988</v>
      </c>
      <c r="H4797" s="100">
        <v>68.919693593755937</v>
      </c>
      <c r="I4797" s="100">
        <v>-3660.1917678143964</v>
      </c>
      <c r="J4797" s="100">
        <v>-4841.3958702385335</v>
      </c>
    </row>
    <row r="4798" spans="1:10" x14ac:dyDescent="0.25">
      <c r="A4798">
        <v>4781</v>
      </c>
      <c r="B4798" s="100">
        <v>90.04165995623525</v>
      </c>
      <c r="C4798" s="100">
        <v>97.747903130247707</v>
      </c>
      <c r="D4798" s="100">
        <v>94.321557063858151</v>
      </c>
      <c r="E4798" s="100">
        <v>95.197059392846171</v>
      </c>
      <c r="F4798" s="100">
        <v>-1610.4612518667964</v>
      </c>
      <c r="G4798" s="100">
        <v>692.97956457161547</v>
      </c>
      <c r="H4798" s="100">
        <v>-3010.9539167430912</v>
      </c>
      <c r="I4798" s="100">
        <v>-1816.4197381449439</v>
      </c>
      <c r="J4798" s="100">
        <v>-5744.8553421832166</v>
      </c>
    </row>
    <row r="4799" spans="1:10" x14ac:dyDescent="0.25">
      <c r="A4799">
        <v>4782</v>
      </c>
      <c r="B4799" s="100">
        <v>89.664633516094426</v>
      </c>
      <c r="C4799" s="100">
        <v>96.734523370049786</v>
      </c>
      <c r="D4799" s="100">
        <v>92.730726812436245</v>
      </c>
      <c r="E4799" s="100">
        <v>93.39555488574068</v>
      </c>
      <c r="F4799" s="100">
        <v>-366.27399940207681</v>
      </c>
      <c r="G4799" s="100">
        <v>2213.0492048684973</v>
      </c>
      <c r="H4799" s="100">
        <v>170.70658610072087</v>
      </c>
      <c r="I4799" s="100">
        <v>-14.915231039452692</v>
      </c>
      <c r="J4799" s="100">
        <v>2002.5665605276888</v>
      </c>
    </row>
    <row r="4800" spans="1:10" x14ac:dyDescent="0.25">
      <c r="A4800">
        <v>4783</v>
      </c>
      <c r="B4800" s="100">
        <v>88.763895267608163</v>
      </c>
      <c r="C4800" s="100">
        <v>97.295824098483621</v>
      </c>
      <c r="D4800" s="100">
        <v>91.911183547268848</v>
      </c>
      <c r="E4800" s="100">
        <v>93.693651279933221</v>
      </c>
      <c r="F4800" s="100">
        <v>2606.1622206025918</v>
      </c>
      <c r="G4800" s="100">
        <v>1371.0981122177443</v>
      </c>
      <c r="H4800" s="100">
        <v>1809.7931164355145</v>
      </c>
      <c r="I4800" s="100">
        <v>-313.01162523199366</v>
      </c>
      <c r="J4800" s="100">
        <v>5474.0418240238569</v>
      </c>
    </row>
    <row r="4801" spans="1:10" x14ac:dyDescent="0.25">
      <c r="A4801">
        <v>4784</v>
      </c>
      <c r="B4801" s="100">
        <v>88.645778901316746</v>
      </c>
      <c r="C4801" s="100">
        <v>99.515598425302542</v>
      </c>
      <c r="D4801" s="100">
        <v>93.195063843175859</v>
      </c>
      <c r="E4801" s="100">
        <v>91.970177451977605</v>
      </c>
      <c r="F4801" s="100">
        <v>2995.9462293642687</v>
      </c>
      <c r="G4801" s="100">
        <v>-1958.5633780106377</v>
      </c>
      <c r="H4801" s="100">
        <v>-757.96747537850706</v>
      </c>
      <c r="I4801" s="100">
        <v>1410.4622027236219</v>
      </c>
      <c r="J4801" s="100">
        <v>1689.8775786987458</v>
      </c>
    </row>
    <row r="4802" spans="1:10" x14ac:dyDescent="0.25">
      <c r="A4802">
        <v>4785</v>
      </c>
      <c r="B4802" s="100">
        <v>89.174746447891351</v>
      </c>
      <c r="C4802" s="100">
        <v>98.83370692891728</v>
      </c>
      <c r="D4802" s="100">
        <v>93.09588115132351</v>
      </c>
      <c r="E4802" s="100">
        <v>93.325602855711679</v>
      </c>
      <c r="F4802" s="100">
        <v>1250.3533256680698</v>
      </c>
      <c r="G4802" s="100">
        <v>-935.72613343274475</v>
      </c>
      <c r="H4802" s="100">
        <v>-559.60209167380981</v>
      </c>
      <c r="I4802" s="100">
        <v>55.036798989547719</v>
      </c>
      <c r="J4802" s="100">
        <v>-189.93810044893701</v>
      </c>
    </row>
    <row r="4803" spans="1:10" x14ac:dyDescent="0.25">
      <c r="A4803">
        <v>4786</v>
      </c>
      <c r="B4803" s="100">
        <v>89.855621123255062</v>
      </c>
      <c r="C4803" s="100">
        <v>98.552776072567013</v>
      </c>
      <c r="D4803" s="100">
        <v>94.083220304623865</v>
      </c>
      <c r="E4803" s="100">
        <v>92.215324860778537</v>
      </c>
      <c r="F4803" s="100">
        <v>-996.53310303217631</v>
      </c>
      <c r="G4803" s="100">
        <v>-514.32984890734451</v>
      </c>
      <c r="H4803" s="100">
        <v>-2534.2803982745181</v>
      </c>
      <c r="I4803" s="100">
        <v>1165.3147939226897</v>
      </c>
      <c r="J4803" s="100">
        <v>-2879.8285562913493</v>
      </c>
    </row>
    <row r="4804" spans="1:10" x14ac:dyDescent="0.25">
      <c r="A4804">
        <v>4787</v>
      </c>
      <c r="B4804" s="100">
        <v>90.358493237976631</v>
      </c>
      <c r="C4804" s="100">
        <v>98.184000355525939</v>
      </c>
      <c r="D4804" s="100">
        <v>93.788628709766854</v>
      </c>
      <c r="E4804" s="100">
        <v>96.102826765107793</v>
      </c>
      <c r="F4804" s="100">
        <v>-2656.0110816133547</v>
      </c>
      <c r="G4804" s="100">
        <v>38.833726654267764</v>
      </c>
      <c r="H4804" s="100">
        <v>-1945.0972085604974</v>
      </c>
      <c r="I4804" s="100">
        <v>-2722.1871104065658</v>
      </c>
      <c r="J4804" s="100">
        <v>-7284.4616739261501</v>
      </c>
    </row>
    <row r="4805" spans="1:10" x14ac:dyDescent="0.25">
      <c r="A4805">
        <v>4788</v>
      </c>
      <c r="B4805" s="100">
        <v>88.451505445333169</v>
      </c>
      <c r="C4805" s="100">
        <v>97.554842962081864</v>
      </c>
      <c r="D4805" s="100">
        <v>92.436975288776196</v>
      </c>
      <c r="E4805" s="100">
        <v>93.139675326977269</v>
      </c>
      <c r="F4805" s="100">
        <v>3637.0486341100732</v>
      </c>
      <c r="G4805" s="100">
        <v>982.56981682038008</v>
      </c>
      <c r="H4805" s="100">
        <v>758.20963342081882</v>
      </c>
      <c r="I4805" s="100">
        <v>240.96432772395815</v>
      </c>
      <c r="J4805" s="100">
        <v>5618.7924120752305</v>
      </c>
    </row>
    <row r="4806" spans="1:10" x14ac:dyDescent="0.25">
      <c r="A4806">
        <v>4789</v>
      </c>
      <c r="B4806" s="100">
        <v>89.715106301856451</v>
      </c>
      <c r="C4806" s="100">
        <v>97.449616915327368</v>
      </c>
      <c r="D4806" s="100">
        <v>90.860822213590779</v>
      </c>
      <c r="E4806" s="100">
        <v>93.136648649386245</v>
      </c>
      <c r="F4806" s="100">
        <v>-532.83419241676029</v>
      </c>
      <c r="G4806" s="100">
        <v>1140.4088869521231</v>
      </c>
      <c r="H4806" s="100">
        <v>3910.5157837916522</v>
      </c>
      <c r="I4806" s="100">
        <v>243.99100531498163</v>
      </c>
      <c r="J4806" s="100">
        <v>4762.0814836419968</v>
      </c>
    </row>
    <row r="4807" spans="1:10" x14ac:dyDescent="0.25">
      <c r="A4807">
        <v>4790</v>
      </c>
      <c r="B4807" s="100">
        <v>89.725897630716517</v>
      </c>
      <c r="C4807" s="100">
        <v>97.247811204157145</v>
      </c>
      <c r="D4807" s="100">
        <v>94.508950007999914</v>
      </c>
      <c r="E4807" s="100">
        <v>94.547682431630989</v>
      </c>
      <c r="F4807" s="100">
        <v>-568.44557765497689</v>
      </c>
      <c r="G4807" s="100">
        <v>1443.1174537074583</v>
      </c>
      <c r="H4807" s="100">
        <v>-3385.739805026617</v>
      </c>
      <c r="I4807" s="100">
        <v>-1167.0427769297617</v>
      </c>
      <c r="J4807" s="100">
        <v>-3678.1107059038973</v>
      </c>
    </row>
    <row r="4808" spans="1:10" x14ac:dyDescent="0.25">
      <c r="A4808">
        <v>4791</v>
      </c>
      <c r="B4808" s="100">
        <v>89.644880993969778</v>
      </c>
      <c r="C4808" s="100">
        <v>97.484888682781587</v>
      </c>
      <c r="D4808" s="100">
        <v>93.230253727135107</v>
      </c>
      <c r="E4808" s="100">
        <v>91.456971630989827</v>
      </c>
      <c r="F4808" s="100">
        <v>-301.09067639073857</v>
      </c>
      <c r="G4808" s="100">
        <v>1087.5012357707944</v>
      </c>
      <c r="H4808" s="100">
        <v>-828.34724329700293</v>
      </c>
      <c r="I4808" s="100">
        <v>1923.6680237114001</v>
      </c>
      <c r="J4808" s="100">
        <v>1881.7313397944531</v>
      </c>
    </row>
    <row r="4809" spans="1:10" x14ac:dyDescent="0.25">
      <c r="A4809">
        <v>4792</v>
      </c>
      <c r="B4809" s="100">
        <v>88.942775815842765</v>
      </c>
      <c r="C4809" s="100">
        <v>98.896242045122591</v>
      </c>
      <c r="D4809" s="100">
        <v>91.792889830315175</v>
      </c>
      <c r="E4809" s="100">
        <v>94.425531521726654</v>
      </c>
      <c r="F4809" s="100">
        <v>2015.8564114284047</v>
      </c>
      <c r="G4809" s="100">
        <v>-1029.5288077407108</v>
      </c>
      <c r="H4809" s="100">
        <v>2046.3805503428603</v>
      </c>
      <c r="I4809" s="100">
        <v>-1044.8918670254272</v>
      </c>
      <c r="J4809" s="100">
        <v>1987.8162870051272</v>
      </c>
    </row>
    <row r="4810" spans="1:10" x14ac:dyDescent="0.25">
      <c r="A4810">
        <v>4793</v>
      </c>
      <c r="B4810" s="100">
        <v>89.934794307921649</v>
      </c>
      <c r="C4810" s="100">
        <v>96.307696515595723</v>
      </c>
      <c r="D4810" s="100">
        <v>93.367191141002294</v>
      </c>
      <c r="E4810" s="100">
        <v>92.813855164762515</v>
      </c>
      <c r="F4810" s="100">
        <v>-1257.804612431913</v>
      </c>
      <c r="G4810" s="100">
        <v>2853.2894865495919</v>
      </c>
      <c r="H4810" s="100">
        <v>-1102.2220710313775</v>
      </c>
      <c r="I4810" s="100">
        <v>566.784489938712</v>
      </c>
      <c r="J4810" s="100">
        <v>1060.0472930250135</v>
      </c>
    </row>
    <row r="4811" spans="1:10" x14ac:dyDescent="0.25">
      <c r="A4811">
        <v>4794</v>
      </c>
      <c r="B4811" s="100">
        <v>89.956697711461388</v>
      </c>
      <c r="C4811" s="100">
        <v>99.629625209655515</v>
      </c>
      <c r="D4811" s="100">
        <v>94.310305349078845</v>
      </c>
      <c r="E4811" s="100">
        <v>93.204281857597891</v>
      </c>
      <c r="F4811" s="100">
        <v>-1330.0858441130501</v>
      </c>
      <c r="G4811" s="100">
        <v>-2129.6035545400969</v>
      </c>
      <c r="H4811" s="100">
        <v>-2988.4504871844797</v>
      </c>
      <c r="I4811" s="100">
        <v>176.35779710333566</v>
      </c>
      <c r="J4811" s="100">
        <v>-6271.7820887342914</v>
      </c>
    </row>
    <row r="4812" spans="1:10" x14ac:dyDescent="0.25">
      <c r="A4812">
        <v>4795</v>
      </c>
      <c r="B4812" s="100">
        <v>89.882520768095034</v>
      </c>
      <c r="C4812" s="100">
        <v>99.063993487708657</v>
      </c>
      <c r="D4812" s="100">
        <v>93.506617125722201</v>
      </c>
      <c r="E4812" s="100">
        <v>95.093388291287525</v>
      </c>
      <c r="F4812" s="100">
        <v>-1085.3019310040836</v>
      </c>
      <c r="G4812" s="100">
        <v>-1281.1559716198103</v>
      </c>
      <c r="H4812" s="100">
        <v>-1381.0740404711908</v>
      </c>
      <c r="I4812" s="100">
        <v>-1712.7486365862978</v>
      </c>
      <c r="J4812" s="100">
        <v>-5460.2805796813827</v>
      </c>
    </row>
    <row r="4813" spans="1:10" x14ac:dyDescent="0.25">
      <c r="A4813">
        <v>4796</v>
      </c>
      <c r="B4813" s="100">
        <v>89.578185402557807</v>
      </c>
      <c r="C4813" s="100">
        <v>97.671743183480729</v>
      </c>
      <c r="D4813" s="100">
        <v>91.936702722119634</v>
      </c>
      <c r="E4813" s="100">
        <v>94.559506451801425</v>
      </c>
      <c r="F4813" s="100">
        <v>-80.995224731233861</v>
      </c>
      <c r="G4813" s="100">
        <v>807.21948472208283</v>
      </c>
      <c r="H4813" s="100">
        <v>1758.7547667339436</v>
      </c>
      <c r="I4813" s="100">
        <v>-1178.8667971001985</v>
      </c>
      <c r="J4813" s="100">
        <v>1306.1122296245942</v>
      </c>
    </row>
    <row r="4814" spans="1:10" x14ac:dyDescent="0.25">
      <c r="A4814">
        <v>4797</v>
      </c>
      <c r="B4814" s="100">
        <v>88.832753397592811</v>
      </c>
      <c r="C4814" s="100">
        <v>99.746241613262129</v>
      </c>
      <c r="D4814" s="100">
        <v>91.534170738581309</v>
      </c>
      <c r="E4814" s="100">
        <v>93.332399756509417</v>
      </c>
      <c r="F4814" s="100">
        <v>2378.9303916532544</v>
      </c>
      <c r="G4814" s="100">
        <v>-2304.5281599500172</v>
      </c>
      <c r="H4814" s="100">
        <v>2563.8187338105922</v>
      </c>
      <c r="I4814" s="100">
        <v>48.239898191809516</v>
      </c>
      <c r="J4814" s="100">
        <v>2686.460863705639</v>
      </c>
    </row>
    <row r="4815" spans="1:10" x14ac:dyDescent="0.25">
      <c r="A4815">
        <v>4798</v>
      </c>
      <c r="B4815" s="100">
        <v>89.68922141134037</v>
      </c>
      <c r="C4815" s="100">
        <v>98.919569424730668</v>
      </c>
      <c r="D4815" s="100">
        <v>92.108449657529135</v>
      </c>
      <c r="E4815" s="100">
        <v>94.299265194362846</v>
      </c>
      <c r="F4815" s="100">
        <v>-447.41405371369041</v>
      </c>
      <c r="G4815" s="100">
        <v>-1064.5198771528258</v>
      </c>
      <c r="H4815" s="100">
        <v>1415.2608959149404</v>
      </c>
      <c r="I4815" s="100">
        <v>-918.62553966161897</v>
      </c>
      <c r="J4815" s="100">
        <v>-1015.2985746131948</v>
      </c>
    </row>
    <row r="4816" spans="1:10" x14ac:dyDescent="0.25">
      <c r="A4816">
        <v>4799</v>
      </c>
      <c r="B4816" s="100">
        <v>89.782053390965601</v>
      </c>
      <c r="C4816" s="100">
        <v>97.359554740001158</v>
      </c>
      <c r="D4816" s="100">
        <v>93.073156549349548</v>
      </c>
      <c r="E4816" s="100">
        <v>95.567405449427099</v>
      </c>
      <c r="F4816" s="100">
        <v>-753.75958647695279</v>
      </c>
      <c r="G4816" s="100">
        <v>1275.5021499414383</v>
      </c>
      <c r="H4816" s="100">
        <v>-514.15288772588497</v>
      </c>
      <c r="I4816" s="100">
        <v>-2186.7657947258722</v>
      </c>
      <c r="J4816" s="100">
        <v>-2179.1761189872714</v>
      </c>
    </row>
    <row r="4817" spans="1:10" x14ac:dyDescent="0.25">
      <c r="A4817">
        <v>4800</v>
      </c>
      <c r="B4817" s="100">
        <v>89.394418668777277</v>
      </c>
      <c r="C4817" s="100">
        <v>97.937851141902385</v>
      </c>
      <c r="D4817" s="100">
        <v>93.422525266828032</v>
      </c>
      <c r="E4817" s="100">
        <v>94.988297908298236</v>
      </c>
      <c r="F4817" s="100">
        <v>525.43499674451505</v>
      </c>
      <c r="G4817" s="100">
        <v>408.05754708959796</v>
      </c>
      <c r="H4817" s="100">
        <v>-1212.8903226828527</v>
      </c>
      <c r="I4817" s="100">
        <v>-1607.658253597009</v>
      </c>
      <c r="J4817" s="100">
        <v>-1887.0560324457488</v>
      </c>
    </row>
    <row r="4818" spans="1:10" x14ac:dyDescent="0.25">
      <c r="A4818">
        <v>4801</v>
      </c>
      <c r="B4818" s="100">
        <v>89.682330241917185</v>
      </c>
      <c r="C4818" s="100">
        <v>98.861489651375436</v>
      </c>
      <c r="D4818" s="100">
        <v>93.614985841196187</v>
      </c>
      <c r="E4818" s="100">
        <v>93.757660911031707</v>
      </c>
      <c r="F4818" s="100">
        <v>-424.67319461718205</v>
      </c>
      <c r="G4818" s="100">
        <v>-977.40021711997827</v>
      </c>
      <c r="H4818" s="100">
        <v>-1597.8114714191634</v>
      </c>
      <c r="I4818" s="100">
        <v>-377.02125633047956</v>
      </c>
      <c r="J4818" s="100">
        <v>-3376.9061394868031</v>
      </c>
    </row>
    <row r="4819" spans="1:10" x14ac:dyDescent="0.25">
      <c r="A4819">
        <v>4802</v>
      </c>
      <c r="B4819" s="100">
        <v>89.278316232991955</v>
      </c>
      <c r="C4819" s="100">
        <v>98.220909507662583</v>
      </c>
      <c r="D4819" s="100">
        <v>93.70594408455618</v>
      </c>
      <c r="E4819" s="100">
        <v>92.333980988162736</v>
      </c>
      <c r="F4819" s="100">
        <v>908.57303483607836</v>
      </c>
      <c r="G4819" s="100">
        <v>-16.530001550698614</v>
      </c>
      <c r="H4819" s="100">
        <v>-1779.7279581391479</v>
      </c>
      <c r="I4819" s="100">
        <v>1046.6586665384909</v>
      </c>
      <c r="J4819" s="100">
        <v>158.97374168472288</v>
      </c>
    </row>
    <row r="4820" spans="1:10" x14ac:dyDescent="0.25">
      <c r="A4820">
        <v>4803</v>
      </c>
      <c r="B4820" s="100">
        <v>89.984172985069776</v>
      </c>
      <c r="C4820" s="100">
        <v>98.722747068043986</v>
      </c>
      <c r="D4820" s="100">
        <v>92.535846871939285</v>
      </c>
      <c r="E4820" s="100">
        <v>92.33082273221801</v>
      </c>
      <c r="F4820" s="100">
        <v>-1420.7542470207316</v>
      </c>
      <c r="G4820" s="100">
        <v>-769.28634212280394</v>
      </c>
      <c r="H4820" s="100">
        <v>560.46646709464198</v>
      </c>
      <c r="I4820" s="100">
        <v>1049.8169224832168</v>
      </c>
      <c r="J4820" s="100">
        <v>-579.75719956567696</v>
      </c>
    </row>
    <row r="4821" spans="1:10" x14ac:dyDescent="0.25">
      <c r="A4821">
        <v>4804</v>
      </c>
      <c r="B4821" s="100">
        <v>89.632289470990258</v>
      </c>
      <c r="C4821" s="100">
        <v>98.195779325978179</v>
      </c>
      <c r="D4821" s="100">
        <v>91.777148573196683</v>
      </c>
      <c r="E4821" s="100">
        <v>92.501549940667005</v>
      </c>
      <c r="F4821" s="100">
        <v>-259.53865055832352</v>
      </c>
      <c r="G4821" s="100">
        <v>21.165270975906481</v>
      </c>
      <c r="H4821" s="100">
        <v>2077.8630645798444</v>
      </c>
      <c r="I4821" s="100">
        <v>879.08971403422242</v>
      </c>
      <c r="J4821" s="100">
        <v>2718.5793990316497</v>
      </c>
    </row>
    <row r="4822" spans="1:10" x14ac:dyDescent="0.25">
      <c r="A4822">
        <v>4805</v>
      </c>
      <c r="B4822" s="100">
        <v>89.865095987353484</v>
      </c>
      <c r="C4822" s="100">
        <v>97.696938157913067</v>
      </c>
      <c r="D4822" s="100">
        <v>92.636066260675861</v>
      </c>
      <c r="E4822" s="100">
        <v>92.46464431593742</v>
      </c>
      <c r="F4822" s="100">
        <v>-1027.8001545569693</v>
      </c>
      <c r="G4822" s="100">
        <v>769.42702307357536</v>
      </c>
      <c r="H4822" s="100">
        <v>360.02768962148934</v>
      </c>
      <c r="I4822" s="100">
        <v>915.9953387638069</v>
      </c>
      <c r="J4822" s="100">
        <v>1017.6498969019023</v>
      </c>
    </row>
    <row r="4823" spans="1:10" x14ac:dyDescent="0.25">
      <c r="A4823">
        <v>4806</v>
      </c>
      <c r="B4823" s="100">
        <v>89.666067074249014</v>
      </c>
      <c r="C4823" s="100">
        <v>99.612744435951299</v>
      </c>
      <c r="D4823" s="100">
        <v>91.583855974092359</v>
      </c>
      <c r="E4823" s="100">
        <v>93.953069881045366</v>
      </c>
      <c r="F4823" s="100">
        <v>-371.00474131221688</v>
      </c>
      <c r="G4823" s="100">
        <v>-2104.2823939837731</v>
      </c>
      <c r="H4823" s="100">
        <v>2464.448262788494</v>
      </c>
      <c r="I4823" s="100">
        <v>-572.43022634413876</v>
      </c>
      <c r="J4823" s="100">
        <v>-583.26909885163479</v>
      </c>
    </row>
    <row r="4824" spans="1:10" x14ac:dyDescent="0.25">
      <c r="A4824">
        <v>4807</v>
      </c>
      <c r="B4824" s="100">
        <v>89.966979957381454</v>
      </c>
      <c r="C4824" s="100">
        <v>98.242635244632623</v>
      </c>
      <c r="D4824" s="100">
        <v>94.103974075199929</v>
      </c>
      <c r="E4824" s="100">
        <v>94.832321331079569</v>
      </c>
      <c r="F4824" s="100">
        <v>-1364.0172556492701</v>
      </c>
      <c r="G4824" s="100">
        <v>-49.118607005759429</v>
      </c>
      <c r="H4824" s="100">
        <v>-2575.7879394266465</v>
      </c>
      <c r="I4824" s="100">
        <v>-1451.6816763783424</v>
      </c>
      <c r="J4824" s="100">
        <v>-5440.6054784600183</v>
      </c>
    </row>
    <row r="4825" spans="1:10" x14ac:dyDescent="0.25">
      <c r="A4825">
        <v>4808</v>
      </c>
      <c r="B4825" s="100">
        <v>89.528816623018045</v>
      </c>
      <c r="C4825" s="100">
        <v>97.972597346542045</v>
      </c>
      <c r="D4825" s="100">
        <v>92.129645804712496</v>
      </c>
      <c r="E4825" s="100">
        <v>95.61934698986515</v>
      </c>
      <c r="F4825" s="100">
        <v>81.921747749980511</v>
      </c>
      <c r="G4825" s="100">
        <v>355.93824013010789</v>
      </c>
      <c r="H4825" s="100">
        <v>1372.8686015482197</v>
      </c>
      <c r="I4825" s="100">
        <v>-2238.7073351639228</v>
      </c>
      <c r="J4825" s="100">
        <v>-427.97874573561467</v>
      </c>
    </row>
    <row r="4826" spans="1:10" x14ac:dyDescent="0.25">
      <c r="A4826">
        <v>4809</v>
      </c>
      <c r="B4826" s="100">
        <v>90.062906473573207</v>
      </c>
      <c r="C4826" s="100">
        <v>98.417699113397219</v>
      </c>
      <c r="D4826" s="100">
        <v>91.648098689051579</v>
      </c>
      <c r="E4826" s="100">
        <v>92.427237108817607</v>
      </c>
      <c r="F4826" s="100">
        <v>-1680.5747590820545</v>
      </c>
      <c r="G4826" s="100">
        <v>-311.71441015265344</v>
      </c>
      <c r="H4826" s="100">
        <v>2335.9628328700524</v>
      </c>
      <c r="I4826" s="100">
        <v>953.40254588361972</v>
      </c>
      <c r="J4826" s="100">
        <v>1297.0762095189641</v>
      </c>
    </row>
    <row r="4827" spans="1:10" x14ac:dyDescent="0.25">
      <c r="A4827">
        <v>4810</v>
      </c>
      <c r="B4827" s="100">
        <v>90.659288168778701</v>
      </c>
      <c r="C4827" s="100">
        <v>99.032792285198681</v>
      </c>
      <c r="D4827" s="100">
        <v>93.489852710840694</v>
      </c>
      <c r="E4827" s="100">
        <v>93.470555866628658</v>
      </c>
      <c r="F4827" s="100">
        <v>-3648.634353260185</v>
      </c>
      <c r="G4827" s="100">
        <v>-1234.3541678548463</v>
      </c>
      <c r="H4827" s="100">
        <v>-1347.5452107081765</v>
      </c>
      <c r="I4827" s="100">
        <v>-89.916211927430822</v>
      </c>
      <c r="J4827" s="100">
        <v>-6320.4499437506383</v>
      </c>
    </row>
    <row r="4828" spans="1:10" x14ac:dyDescent="0.25">
      <c r="A4828">
        <v>4811</v>
      </c>
      <c r="B4828" s="100">
        <v>88.119662510463399</v>
      </c>
      <c r="C4828" s="100">
        <v>97.927462574977412</v>
      </c>
      <c r="D4828" s="100">
        <v>94.885221771443241</v>
      </c>
      <c r="E4828" s="100">
        <v>94.212697576034216</v>
      </c>
      <c r="F4828" s="100">
        <v>4732.1303191803108</v>
      </c>
      <c r="G4828" s="100">
        <v>423.64039747705817</v>
      </c>
      <c r="H4828" s="100">
        <v>-4138.2833319132715</v>
      </c>
      <c r="I4828" s="100">
        <v>-832.05792133298928</v>
      </c>
      <c r="J4828" s="100">
        <v>185.42946341110837</v>
      </c>
    </row>
    <row r="4829" spans="1:10" x14ac:dyDescent="0.25">
      <c r="A4829">
        <v>4812</v>
      </c>
      <c r="B4829" s="100">
        <v>90.464772402263918</v>
      </c>
      <c r="C4829" s="100">
        <v>96.914429923579931</v>
      </c>
      <c r="D4829" s="100">
        <v>91.49737824713965</v>
      </c>
      <c r="E4829" s="100">
        <v>94.503265547946626</v>
      </c>
      <c r="F4829" s="100">
        <v>-3006.7323237614005</v>
      </c>
      <c r="G4829" s="100">
        <v>1943.1893745732793</v>
      </c>
      <c r="H4829" s="100">
        <v>2637.4037166939106</v>
      </c>
      <c r="I4829" s="100">
        <v>-1122.6258932453989</v>
      </c>
      <c r="J4829" s="100">
        <v>451.2348742603906</v>
      </c>
    </row>
    <row r="4830" spans="1:10" x14ac:dyDescent="0.25">
      <c r="A4830">
        <v>4813</v>
      </c>
      <c r="B4830" s="100">
        <v>88.749683634388845</v>
      </c>
      <c r="C4830" s="100">
        <v>98.197535359543309</v>
      </c>
      <c r="D4830" s="100">
        <v>91.896610542926581</v>
      </c>
      <c r="E4830" s="100">
        <v>92.591561630898909</v>
      </c>
      <c r="F4830" s="100">
        <v>2653.0606102263419</v>
      </c>
      <c r="G4830" s="100">
        <v>18.531220628211997</v>
      </c>
      <c r="H4830" s="100">
        <v>1838.9391251200493</v>
      </c>
      <c r="I4830" s="100">
        <v>789.07802380231828</v>
      </c>
      <c r="J4830" s="100">
        <v>5299.6089797769209</v>
      </c>
    </row>
    <row r="4831" spans="1:10" x14ac:dyDescent="0.25">
      <c r="A4831">
        <v>4814</v>
      </c>
      <c r="B4831" s="100">
        <v>89.795636845270877</v>
      </c>
      <c r="C4831" s="100">
        <v>98.143844105627409</v>
      </c>
      <c r="D4831" s="100">
        <v>92.434279373538132</v>
      </c>
      <c r="E4831" s="100">
        <v>95.881822148414514</v>
      </c>
      <c r="F4831" s="100">
        <v>-798.58498568436573</v>
      </c>
      <c r="G4831" s="100">
        <v>99.068101502062689</v>
      </c>
      <c r="H4831" s="100">
        <v>763.60146389694705</v>
      </c>
      <c r="I4831" s="100">
        <v>-2501.1824937132869</v>
      </c>
      <c r="J4831" s="100">
        <v>-2437.097913998643</v>
      </c>
    </row>
    <row r="4832" spans="1:10" x14ac:dyDescent="0.25">
      <c r="A4832">
        <v>4815</v>
      </c>
      <c r="B4832" s="100">
        <v>89.631430792685904</v>
      </c>
      <c r="C4832" s="100">
        <v>98.077212361056169</v>
      </c>
      <c r="D4832" s="100">
        <v>91.982132714064633</v>
      </c>
      <c r="E4832" s="100">
        <v>91.470627193166877</v>
      </c>
      <c r="F4832" s="100">
        <v>-256.70501215395518</v>
      </c>
      <c r="G4832" s="100">
        <v>199.01571835892184</v>
      </c>
      <c r="H4832" s="100">
        <v>1667.8947828439448</v>
      </c>
      <c r="I4832" s="100">
        <v>1910.0124615343502</v>
      </c>
      <c r="J4832" s="100">
        <v>3520.2179505832619</v>
      </c>
    </row>
    <row r="4833" spans="1:10" x14ac:dyDescent="0.25">
      <c r="A4833">
        <v>4816</v>
      </c>
      <c r="B4833" s="100">
        <v>89.85265178887812</v>
      </c>
      <c r="C4833" s="100">
        <v>97.79728612133961</v>
      </c>
      <c r="D4833" s="100">
        <v>92.131073796585909</v>
      </c>
      <c r="E4833" s="100">
        <v>91.510655143207472</v>
      </c>
      <c r="F4833" s="100">
        <v>-986.73429958826659</v>
      </c>
      <c r="G4833" s="100">
        <v>618.90507793376059</v>
      </c>
      <c r="H4833" s="100">
        <v>1370.0126178013932</v>
      </c>
      <c r="I4833" s="100">
        <v>1869.9845114937546</v>
      </c>
      <c r="J4833" s="100">
        <v>2872.1679076406417</v>
      </c>
    </row>
    <row r="4834" spans="1:10" x14ac:dyDescent="0.25">
      <c r="A4834">
        <v>4817</v>
      </c>
      <c r="B4834" s="100">
        <v>89.684773501851524</v>
      </c>
      <c r="C4834" s="100">
        <v>97.231695195571191</v>
      </c>
      <c r="D4834" s="100">
        <v>92.822998199866547</v>
      </c>
      <c r="E4834" s="100">
        <v>94.589856450448352</v>
      </c>
      <c r="F4834" s="100">
        <v>-432.735952400499</v>
      </c>
      <c r="G4834" s="100">
        <v>1467.2914665863887</v>
      </c>
      <c r="H4834" s="100">
        <v>-13.836188759881907</v>
      </c>
      <c r="I4834" s="100">
        <v>-1209.2167957471247</v>
      </c>
      <c r="J4834" s="100">
        <v>-188.49747032111691</v>
      </c>
    </row>
    <row r="4835" spans="1:10" x14ac:dyDescent="0.25">
      <c r="A4835">
        <v>4818</v>
      </c>
      <c r="B4835" s="100">
        <v>88.666293720120848</v>
      </c>
      <c r="C4835" s="100">
        <v>97.086718157951509</v>
      </c>
      <c r="D4835" s="100">
        <v>93.369201509358078</v>
      </c>
      <c r="E4835" s="100">
        <v>91.91477182578933</v>
      </c>
      <c r="F4835" s="100">
        <v>2928.2473273107316</v>
      </c>
      <c r="G4835" s="100">
        <v>1684.7570230159122</v>
      </c>
      <c r="H4835" s="100">
        <v>-1106.2428077429445</v>
      </c>
      <c r="I4835" s="100">
        <v>1465.8678289118966</v>
      </c>
      <c r="J4835" s="100">
        <v>4972.6293714955964</v>
      </c>
    </row>
    <row r="4836" spans="1:10" x14ac:dyDescent="0.25">
      <c r="A4836">
        <v>4819</v>
      </c>
      <c r="B4836" s="100">
        <v>89.945822590669891</v>
      </c>
      <c r="C4836" s="100">
        <v>98.087563067851619</v>
      </c>
      <c r="D4836" s="100">
        <v>92.498940325364515</v>
      </c>
      <c r="E4836" s="100">
        <v>92.442041738863196</v>
      </c>
      <c r="F4836" s="100">
        <v>-1294.1979455011121</v>
      </c>
      <c r="G4836" s="100">
        <v>183.48965816574747</v>
      </c>
      <c r="H4836" s="100">
        <v>634.27956024418108</v>
      </c>
      <c r="I4836" s="100">
        <v>938.59791583803087</v>
      </c>
      <c r="J4836" s="100">
        <v>462.16918874684723</v>
      </c>
    </row>
    <row r="4837" spans="1:10" x14ac:dyDescent="0.25">
      <c r="A4837">
        <v>4820</v>
      </c>
      <c r="B4837" s="100">
        <v>89.918583100854363</v>
      </c>
      <c r="C4837" s="100">
        <v>97.319333595829008</v>
      </c>
      <c r="D4837" s="100">
        <v>93.357818284902507</v>
      </c>
      <c r="E4837" s="100">
        <v>98.360559490328029</v>
      </c>
      <c r="F4837" s="100">
        <v>-1204.3076291098687</v>
      </c>
      <c r="G4837" s="100">
        <v>1335.833866199664</v>
      </c>
      <c r="H4837" s="100">
        <v>-1083.4763588318026</v>
      </c>
      <c r="I4837" s="100">
        <v>-4979.9198356268025</v>
      </c>
      <c r="J4837" s="100">
        <v>-5931.86995736881</v>
      </c>
    </row>
    <row r="4838" spans="1:10" x14ac:dyDescent="0.25">
      <c r="A4838">
        <v>4821</v>
      </c>
      <c r="B4838" s="100">
        <v>89.201726721982951</v>
      </c>
      <c r="C4838" s="100">
        <v>97.992306804123999</v>
      </c>
      <c r="D4838" s="100">
        <v>93.465267086168922</v>
      </c>
      <c r="E4838" s="100">
        <v>97.540698989078507</v>
      </c>
      <c r="F4838" s="100">
        <v>1161.3184211657924</v>
      </c>
      <c r="G4838" s="100">
        <v>326.37405375717776</v>
      </c>
      <c r="H4838" s="100">
        <v>-1298.3739613646321</v>
      </c>
      <c r="I4838" s="100">
        <v>-4160.0593343772798</v>
      </c>
      <c r="J4838" s="100">
        <v>-3970.7408208189418</v>
      </c>
    </row>
    <row r="4839" spans="1:10" x14ac:dyDescent="0.25">
      <c r="A4839">
        <v>4822</v>
      </c>
      <c r="B4839" s="100">
        <v>90.266611694749415</v>
      </c>
      <c r="C4839" s="100">
        <v>98.367099383527446</v>
      </c>
      <c r="D4839" s="100">
        <v>92.251627703573376</v>
      </c>
      <c r="E4839" s="100">
        <v>95.027006679495386</v>
      </c>
      <c r="F4839" s="100">
        <v>-2352.8019889635389</v>
      </c>
      <c r="G4839" s="100">
        <v>-235.81481534799309</v>
      </c>
      <c r="H4839" s="100">
        <v>1128.9048038264582</v>
      </c>
      <c r="I4839" s="100">
        <v>-1646.3670247941593</v>
      </c>
      <c r="J4839" s="100">
        <v>-3106.0790252792331</v>
      </c>
    </row>
    <row r="4840" spans="1:10" x14ac:dyDescent="0.25">
      <c r="A4840">
        <v>4823</v>
      </c>
      <c r="B4840" s="100">
        <v>89.190786949771109</v>
      </c>
      <c r="C4840" s="100">
        <v>98.383714187354215</v>
      </c>
      <c r="D4840" s="100">
        <v>91.647304723770446</v>
      </c>
      <c r="E4840" s="100">
        <v>93.09075468964258</v>
      </c>
      <c r="F4840" s="100">
        <v>1197.4196694648697</v>
      </c>
      <c r="G4840" s="100">
        <v>-260.737021088147</v>
      </c>
      <c r="H4840" s="100">
        <v>2337.5507634323185</v>
      </c>
      <c r="I4840" s="100">
        <v>289.88496505864703</v>
      </c>
      <c r="J4840" s="100">
        <v>3564.1183768676883</v>
      </c>
    </row>
    <row r="4841" spans="1:10" x14ac:dyDescent="0.25">
      <c r="A4841">
        <v>4824</v>
      </c>
      <c r="B4841" s="100">
        <v>89.700460588530589</v>
      </c>
      <c r="C4841" s="100">
        <v>98.428985186064338</v>
      </c>
      <c r="D4841" s="100">
        <v>92.63803316756831</v>
      </c>
      <c r="E4841" s="100">
        <v>91.036981459017653</v>
      </c>
      <c r="F4841" s="100">
        <v>-484.50333844141511</v>
      </c>
      <c r="G4841" s="100">
        <v>-328.64351915333145</v>
      </c>
      <c r="H4841" s="100">
        <v>356.09387583659213</v>
      </c>
      <c r="I4841" s="100">
        <v>2343.6581956835739</v>
      </c>
      <c r="J4841" s="100">
        <v>1886.6052139254195</v>
      </c>
    </row>
    <row r="4842" spans="1:10" x14ac:dyDescent="0.25">
      <c r="A4842">
        <v>4825</v>
      </c>
      <c r="B4842" s="100">
        <v>88.607949911275512</v>
      </c>
      <c r="C4842" s="100">
        <v>98.169755872450494</v>
      </c>
      <c r="D4842" s="100">
        <v>93.555677101556142</v>
      </c>
      <c r="E4842" s="100">
        <v>95.019124626987903</v>
      </c>
      <c r="F4842" s="100">
        <v>3120.7818965003412</v>
      </c>
      <c r="G4842" s="100">
        <v>60.200451267434119</v>
      </c>
      <c r="H4842" s="100">
        <v>-1479.1939921390735</v>
      </c>
      <c r="I4842" s="100">
        <v>-1638.4849722866761</v>
      </c>
      <c r="J4842" s="100">
        <v>63.303383342025882</v>
      </c>
    </row>
    <row r="4843" spans="1:10" x14ac:dyDescent="0.25">
      <c r="A4843">
        <v>4826</v>
      </c>
      <c r="B4843" s="100">
        <v>89.733705144901876</v>
      </c>
      <c r="C4843" s="100">
        <v>97.386950094014409</v>
      </c>
      <c r="D4843" s="100">
        <v>93.969847891809465</v>
      </c>
      <c r="E4843" s="100">
        <v>93.950415075857094</v>
      </c>
      <c r="F4843" s="100">
        <v>-594.21037446666105</v>
      </c>
      <c r="G4843" s="100">
        <v>1234.4091189215619</v>
      </c>
      <c r="H4843" s="100">
        <v>-2307.5355726457192</v>
      </c>
      <c r="I4843" s="100">
        <v>-569.77542115586743</v>
      </c>
      <c r="J4843" s="100">
        <v>-2237.1122493466855</v>
      </c>
    </row>
    <row r="4844" spans="1:10" x14ac:dyDescent="0.25">
      <c r="A4844">
        <v>4827</v>
      </c>
      <c r="B4844" s="100">
        <v>90.282060570035142</v>
      </c>
      <c r="C4844" s="100">
        <v>98.53517427795596</v>
      </c>
      <c r="D4844" s="100">
        <v>92.97204798467466</v>
      </c>
      <c r="E4844" s="100">
        <v>94.294136850809835</v>
      </c>
      <c r="F4844" s="100">
        <v>-2403.78327740644</v>
      </c>
      <c r="G4844" s="100">
        <v>-487.92715699076439</v>
      </c>
      <c r="H4844" s="100">
        <v>-311.93575837610865</v>
      </c>
      <c r="I4844" s="100">
        <v>-913.49719610860802</v>
      </c>
      <c r="J4844" s="100">
        <v>-4117.1433888819211</v>
      </c>
    </row>
    <row r="4845" spans="1:10" x14ac:dyDescent="0.25">
      <c r="A4845">
        <v>4828</v>
      </c>
      <c r="B4845" s="100">
        <v>89.893570401767278</v>
      </c>
      <c r="C4845" s="100">
        <v>98.706845479954708</v>
      </c>
      <c r="D4845" s="100">
        <v>92.128443410217528</v>
      </c>
      <c r="E4845" s="100">
        <v>93.533808422144261</v>
      </c>
      <c r="F4845" s="100">
        <v>-1121.7657221224867</v>
      </c>
      <c r="G4845" s="100">
        <v>-745.43395998888684</v>
      </c>
      <c r="H4845" s="100">
        <v>1375.2733905381547</v>
      </c>
      <c r="I4845" s="100">
        <v>-153.16876744303443</v>
      </c>
      <c r="J4845" s="100">
        <v>-645.09505901625323</v>
      </c>
    </row>
    <row r="4846" spans="1:10" x14ac:dyDescent="0.25">
      <c r="A4846">
        <v>4829</v>
      </c>
      <c r="B4846" s="100">
        <v>89.898808988329407</v>
      </c>
      <c r="C4846" s="100">
        <v>97.912676240838437</v>
      </c>
      <c r="D4846" s="100">
        <v>93.466186099910814</v>
      </c>
      <c r="E4846" s="100">
        <v>94.959525137705313</v>
      </c>
      <c r="F4846" s="100">
        <v>-1139.0530577775123</v>
      </c>
      <c r="G4846" s="100">
        <v>445.81989868552085</v>
      </c>
      <c r="H4846" s="100">
        <v>-1300.2119888484174</v>
      </c>
      <c r="I4846" s="100">
        <v>-1578.8854830040862</v>
      </c>
      <c r="J4846" s="100">
        <v>-3572.3306309444952</v>
      </c>
    </row>
    <row r="4847" spans="1:10" x14ac:dyDescent="0.25">
      <c r="A4847">
        <v>4830</v>
      </c>
      <c r="B4847" s="100">
        <v>89.287896668149514</v>
      </c>
      <c r="C4847" s="100">
        <v>99.631968119302229</v>
      </c>
      <c r="D4847" s="100">
        <v>93.272391467619386</v>
      </c>
      <c r="E4847" s="100">
        <v>92.380336682015582</v>
      </c>
      <c r="F4847" s="100">
        <v>876.95759881613208</v>
      </c>
      <c r="G4847" s="100">
        <v>-2133.117919010168</v>
      </c>
      <c r="H4847" s="100">
        <v>-912.62272426556024</v>
      </c>
      <c r="I4847" s="100">
        <v>1000.3029726856454</v>
      </c>
      <c r="J4847" s="100">
        <v>-1168.4800717739508</v>
      </c>
    </row>
    <row r="4848" spans="1:10" x14ac:dyDescent="0.25">
      <c r="A4848">
        <v>4831</v>
      </c>
      <c r="B4848" s="100">
        <v>89.594830898369864</v>
      </c>
      <c r="C4848" s="100">
        <v>97.425796692610206</v>
      </c>
      <c r="D4848" s="100">
        <v>93.497182373726616</v>
      </c>
      <c r="E4848" s="100">
        <v>91.385196255054723</v>
      </c>
      <c r="F4848" s="100">
        <v>-135.92536091102119</v>
      </c>
      <c r="G4848" s="100">
        <v>1176.1392210278673</v>
      </c>
      <c r="H4848" s="100">
        <v>-1362.2045364800215</v>
      </c>
      <c r="I4848" s="100">
        <v>1995.4433996465041</v>
      </c>
      <c r="J4848" s="100">
        <v>1673.4527232833286</v>
      </c>
    </row>
    <row r="4849" spans="1:10" x14ac:dyDescent="0.25">
      <c r="A4849">
        <v>4832</v>
      </c>
      <c r="B4849" s="100">
        <v>88.709533501211098</v>
      </c>
      <c r="C4849" s="100">
        <v>97.384162406891775</v>
      </c>
      <c r="D4849" s="100">
        <v>93.74816557048598</v>
      </c>
      <c r="E4849" s="100">
        <v>94.473072369897224</v>
      </c>
      <c r="F4849" s="100">
        <v>2785.5560497129063</v>
      </c>
      <c r="G4849" s="100">
        <v>1238.5906496055127</v>
      </c>
      <c r="H4849" s="100">
        <v>-1864.1709299987497</v>
      </c>
      <c r="I4849" s="100">
        <v>-1092.4327151959972</v>
      </c>
      <c r="J4849" s="100">
        <v>1067.5430541236722</v>
      </c>
    </row>
    <row r="4850" spans="1:10" x14ac:dyDescent="0.25">
      <c r="A4850">
        <v>4833</v>
      </c>
      <c r="B4850" s="100">
        <v>90.481137353583151</v>
      </c>
      <c r="C4850" s="100">
        <v>97.908983867797758</v>
      </c>
      <c r="D4850" s="100">
        <v>90.844633498084121</v>
      </c>
      <c r="E4850" s="100">
        <v>92.002174903153616</v>
      </c>
      <c r="F4850" s="100">
        <v>-3060.736663114868</v>
      </c>
      <c r="G4850" s="100">
        <v>451.35845824653842</v>
      </c>
      <c r="H4850" s="100">
        <v>3942.893214804968</v>
      </c>
      <c r="I4850" s="100">
        <v>1378.4647515476108</v>
      </c>
      <c r="J4850" s="100">
        <v>2711.9797614842491</v>
      </c>
    </row>
    <row r="4851" spans="1:10" x14ac:dyDescent="0.25">
      <c r="A4851">
        <v>4834</v>
      </c>
      <c r="B4851" s="100">
        <v>89.455720245164173</v>
      </c>
      <c r="C4851" s="100">
        <v>98.809401289135536</v>
      </c>
      <c r="D4851" s="100">
        <v>92.545169661176629</v>
      </c>
      <c r="E4851" s="100">
        <v>93.338647569973489</v>
      </c>
      <c r="F4851" s="100">
        <v>323.13979466775891</v>
      </c>
      <c r="G4851" s="100">
        <v>-899.26767376012867</v>
      </c>
      <c r="H4851" s="100">
        <v>541.82088861995226</v>
      </c>
      <c r="I4851" s="100">
        <v>41.992084727738188</v>
      </c>
      <c r="J4851" s="100">
        <v>7.6850942553206778</v>
      </c>
    </row>
    <row r="4852" spans="1:10" x14ac:dyDescent="0.25">
      <c r="A4852">
        <v>4835</v>
      </c>
      <c r="B4852" s="100">
        <v>89.148565575974231</v>
      </c>
      <c r="C4852" s="100">
        <v>100.43765630486288</v>
      </c>
      <c r="D4852" s="100">
        <v>91.436255204795941</v>
      </c>
      <c r="E4852" s="100">
        <v>91.794587873710228</v>
      </c>
      <c r="F4852" s="100">
        <v>1336.7502029945654</v>
      </c>
      <c r="G4852" s="100">
        <v>-3341.6501973511499</v>
      </c>
      <c r="H4852" s="100">
        <v>2759.6498013813289</v>
      </c>
      <c r="I4852" s="100">
        <v>1586.0517809909993</v>
      </c>
      <c r="J4852" s="100">
        <v>2340.8015880157436</v>
      </c>
    </row>
    <row r="4853" spans="1:10" x14ac:dyDescent="0.25">
      <c r="A4853">
        <v>4836</v>
      </c>
      <c r="B4853" s="100">
        <v>89.133464766602074</v>
      </c>
      <c r="C4853" s="100">
        <v>99.211091850233259</v>
      </c>
      <c r="D4853" s="100">
        <v>92.263341859864312</v>
      </c>
      <c r="E4853" s="100">
        <v>95.029709863691835</v>
      </c>
      <c r="F4853" s="100">
        <v>1386.5828739226843</v>
      </c>
      <c r="G4853" s="100">
        <v>-1501.8035154067136</v>
      </c>
      <c r="H4853" s="100">
        <v>1105.4764912445876</v>
      </c>
      <c r="I4853" s="100">
        <v>-1649.0702089906081</v>
      </c>
      <c r="J4853" s="100">
        <v>-658.81435923004983</v>
      </c>
    </row>
    <row r="4854" spans="1:10" x14ac:dyDescent="0.25">
      <c r="A4854">
        <v>4837</v>
      </c>
      <c r="B4854" s="100">
        <v>89.263610887280151</v>
      </c>
      <c r="C4854" s="100">
        <v>99.727891535089185</v>
      </c>
      <c r="D4854" s="100">
        <v>91.999156583695566</v>
      </c>
      <c r="E4854" s="100">
        <v>91.810769849048114</v>
      </c>
      <c r="F4854" s="100">
        <v>957.1006756850295</v>
      </c>
      <c r="G4854" s="100">
        <v>-2277.0030426906019</v>
      </c>
      <c r="H4854" s="100">
        <v>1633.8470435820796</v>
      </c>
      <c r="I4854" s="100">
        <v>1569.869805653113</v>
      </c>
      <c r="J4854" s="100">
        <v>1883.8144822296201</v>
      </c>
    </row>
    <row r="4855" spans="1:10" x14ac:dyDescent="0.25">
      <c r="A4855">
        <v>4838</v>
      </c>
      <c r="B4855" s="100">
        <v>89.604976680985118</v>
      </c>
      <c r="C4855" s="100">
        <v>98.820437807988242</v>
      </c>
      <c r="D4855" s="100">
        <v>91.644439328292805</v>
      </c>
      <c r="E4855" s="100">
        <v>91.368017012368554</v>
      </c>
      <c r="F4855" s="100">
        <v>-169.40644354135941</v>
      </c>
      <c r="G4855" s="100">
        <v>-915.82245203918683</v>
      </c>
      <c r="H4855" s="100">
        <v>2343.2815543876018</v>
      </c>
      <c r="I4855" s="100">
        <v>2012.6226423326727</v>
      </c>
      <c r="J4855" s="100">
        <v>3270.6753011397286</v>
      </c>
    </row>
    <row r="4856" spans="1:10" x14ac:dyDescent="0.25">
      <c r="A4856">
        <v>4839</v>
      </c>
      <c r="B4856" s="100">
        <v>89.732233580563559</v>
      </c>
      <c r="C4856" s="100">
        <v>98.349010178986518</v>
      </c>
      <c r="D4856" s="100">
        <v>92.411735977707465</v>
      </c>
      <c r="E4856" s="100">
        <v>94.342743282528801</v>
      </c>
      <c r="F4856" s="100">
        <v>-589.35421215021506</v>
      </c>
      <c r="G4856" s="100">
        <v>-208.6810085366011</v>
      </c>
      <c r="H4856" s="100">
        <v>808.68825555828039</v>
      </c>
      <c r="I4856" s="100">
        <v>-962.10362782757386</v>
      </c>
      <c r="J4856" s="100">
        <v>-951.45059295610963</v>
      </c>
    </row>
    <row r="4857" spans="1:10" x14ac:dyDescent="0.25">
      <c r="A4857">
        <v>4840</v>
      </c>
      <c r="B4857" s="100">
        <v>89.490521584339817</v>
      </c>
      <c r="C4857" s="100">
        <v>98.086365499513164</v>
      </c>
      <c r="D4857" s="100">
        <v>92.013382630191103</v>
      </c>
      <c r="E4857" s="100">
        <v>91.587379399558372</v>
      </c>
      <c r="F4857" s="100">
        <v>208.29537538813412</v>
      </c>
      <c r="G4857" s="100">
        <v>185.28601067342976</v>
      </c>
      <c r="H4857" s="100">
        <v>1605.3949505910055</v>
      </c>
      <c r="I4857" s="100">
        <v>1793.2602551428545</v>
      </c>
      <c r="J4857" s="100">
        <v>3792.2365917954239</v>
      </c>
    </row>
    <row r="4858" spans="1:10" x14ac:dyDescent="0.25">
      <c r="A4858">
        <v>4841</v>
      </c>
      <c r="B4858" s="100">
        <v>89.187930882175209</v>
      </c>
      <c r="C4858" s="100">
        <v>98.758254578321839</v>
      </c>
      <c r="D4858" s="100">
        <v>95.348423268940749</v>
      </c>
      <c r="E4858" s="100">
        <v>93.320097520940536</v>
      </c>
      <c r="F4858" s="100">
        <v>1206.8446925313397</v>
      </c>
      <c r="G4858" s="100">
        <v>-822.54760753958317</v>
      </c>
      <c r="H4858" s="100">
        <v>-5064.6863269082869</v>
      </c>
      <c r="I4858" s="100">
        <v>60.542133760691286</v>
      </c>
      <c r="J4858" s="100">
        <v>-4619.8471081558391</v>
      </c>
    </row>
    <row r="4859" spans="1:10" x14ac:dyDescent="0.25">
      <c r="A4859">
        <v>4842</v>
      </c>
      <c r="B4859" s="100">
        <v>90.102508165098925</v>
      </c>
      <c r="C4859" s="100">
        <v>98.113263773820449</v>
      </c>
      <c r="D4859" s="100">
        <v>93.171993597724921</v>
      </c>
      <c r="E4859" s="100">
        <v>93.376872517485708</v>
      </c>
      <c r="F4859" s="100">
        <v>-1811.2603411169232</v>
      </c>
      <c r="G4859" s="100">
        <v>144.93859921250163</v>
      </c>
      <c r="H4859" s="100">
        <v>-711.82698447663029</v>
      </c>
      <c r="I4859" s="100">
        <v>3.767137215518801</v>
      </c>
      <c r="J4859" s="100">
        <v>-2374.3815891655331</v>
      </c>
    </row>
    <row r="4860" spans="1:10" x14ac:dyDescent="0.25">
      <c r="A4860">
        <v>4843</v>
      </c>
      <c r="B4860" s="100">
        <v>89.915477061179089</v>
      </c>
      <c r="C4860" s="100">
        <v>98.428689271380222</v>
      </c>
      <c r="D4860" s="100">
        <v>92.844950987543228</v>
      </c>
      <c r="E4860" s="100">
        <v>93.182516257518756</v>
      </c>
      <c r="F4860" s="100">
        <v>-1194.0576981814659</v>
      </c>
      <c r="G4860" s="100">
        <v>-328.19964712715688</v>
      </c>
      <c r="H4860" s="100">
        <v>-57.741764113245608</v>
      </c>
      <c r="I4860" s="100">
        <v>198.12339718247074</v>
      </c>
      <c r="J4860" s="100">
        <v>-1381.8757122393977</v>
      </c>
    </row>
    <row r="4861" spans="1:10" x14ac:dyDescent="0.25">
      <c r="A4861">
        <v>4844</v>
      </c>
      <c r="B4861" s="100">
        <v>89.877434536952038</v>
      </c>
      <c r="C4861" s="100">
        <v>98.177781381540569</v>
      </c>
      <c r="D4861" s="100">
        <v>92.761785762930671</v>
      </c>
      <c r="E4861" s="100">
        <v>90.71156469178959</v>
      </c>
      <c r="F4861" s="100">
        <v>-1068.5173682321945</v>
      </c>
      <c r="G4861" s="100">
        <v>48.162187632321718</v>
      </c>
      <c r="H4861" s="100">
        <v>108.5886851118687</v>
      </c>
      <c r="I4861" s="100">
        <v>2669.0749629116367</v>
      </c>
      <c r="J4861" s="100">
        <v>1757.3084674236327</v>
      </c>
    </row>
    <row r="4862" spans="1:10" x14ac:dyDescent="0.25">
      <c r="A4862">
        <v>4845</v>
      </c>
      <c r="B4862" s="100">
        <v>90.330449200335494</v>
      </c>
      <c r="C4862" s="100">
        <v>97.420360047092345</v>
      </c>
      <c r="D4862" s="100">
        <v>91.844980321483433</v>
      </c>
      <c r="E4862" s="100">
        <v>94.520797031819598</v>
      </c>
      <c r="F4862" s="100">
        <v>-2563.4657573976001</v>
      </c>
      <c r="G4862" s="100">
        <v>1184.2941893046586</v>
      </c>
      <c r="H4862" s="100">
        <v>1942.1995680063446</v>
      </c>
      <c r="I4862" s="100">
        <v>-1140.1573771183707</v>
      </c>
      <c r="J4862" s="100">
        <v>-577.12937720496757</v>
      </c>
    </row>
    <row r="4863" spans="1:10" x14ac:dyDescent="0.25">
      <c r="A4863">
        <v>4846</v>
      </c>
      <c r="B4863" s="100">
        <v>89.309977794736014</v>
      </c>
      <c r="C4863" s="100">
        <v>98.46971474442465</v>
      </c>
      <c r="D4863" s="100">
        <v>92.116776085596413</v>
      </c>
      <c r="E4863" s="100">
        <v>94.625585537989338</v>
      </c>
      <c r="F4863" s="100">
        <v>804.08988108068365</v>
      </c>
      <c r="G4863" s="100">
        <v>-389.73785669379879</v>
      </c>
      <c r="H4863" s="100">
        <v>1398.6080397803846</v>
      </c>
      <c r="I4863" s="100">
        <v>-1244.9458832881105</v>
      </c>
      <c r="J4863" s="100">
        <v>568.01418087915908</v>
      </c>
    </row>
    <row r="4864" spans="1:10" x14ac:dyDescent="0.25">
      <c r="A4864">
        <v>4847</v>
      </c>
      <c r="B4864" s="100">
        <v>90.044951199268553</v>
      </c>
      <c r="C4864" s="100">
        <v>97.887593902081065</v>
      </c>
      <c r="D4864" s="100">
        <v>91.370333053727563</v>
      </c>
      <c r="E4864" s="100">
        <v>94.042758851573481</v>
      </c>
      <c r="F4864" s="100">
        <v>-1621.3223538766954</v>
      </c>
      <c r="G4864" s="100">
        <v>483.44340682157849</v>
      </c>
      <c r="H4864" s="100">
        <v>2891.4941035180846</v>
      </c>
      <c r="I4864" s="100">
        <v>-662.11919687225418</v>
      </c>
      <c r="J4864" s="100">
        <v>1091.4959595907135</v>
      </c>
    </row>
    <row r="4865" spans="1:10" x14ac:dyDescent="0.25">
      <c r="A4865">
        <v>4848</v>
      </c>
      <c r="B4865" s="100">
        <v>89.500433496714635</v>
      </c>
      <c r="C4865" s="100">
        <v>98.450217885993411</v>
      </c>
      <c r="D4865" s="100">
        <v>92.838804692429434</v>
      </c>
      <c r="E4865" s="100">
        <v>91.52269830460591</v>
      </c>
      <c r="F4865" s="100">
        <v>175.58606455123424</v>
      </c>
      <c r="G4865" s="100">
        <v>-360.49256904694005</v>
      </c>
      <c r="H4865" s="100">
        <v>-45.449173885657501</v>
      </c>
      <c r="I4865" s="100">
        <v>1857.9413500953165</v>
      </c>
      <c r="J4865" s="100">
        <v>1627.5856717139532</v>
      </c>
    </row>
    <row r="4866" spans="1:10" x14ac:dyDescent="0.25">
      <c r="A4866">
        <v>4849</v>
      </c>
      <c r="B4866" s="100">
        <v>88.989045469347076</v>
      </c>
      <c r="C4866" s="100">
        <v>96.968916395844957</v>
      </c>
      <c r="D4866" s="100">
        <v>93.395584989290214</v>
      </c>
      <c r="E4866" s="100">
        <v>91.577507009198726</v>
      </c>
      <c r="F4866" s="100">
        <v>1863.166554864179</v>
      </c>
      <c r="G4866" s="100">
        <v>1861.4596661757403</v>
      </c>
      <c r="H4866" s="100">
        <v>-1159.0097676072162</v>
      </c>
      <c r="I4866" s="100">
        <v>1803.132645502501</v>
      </c>
      <c r="J4866" s="100">
        <v>4368.7490989352036</v>
      </c>
    </row>
    <row r="4867" spans="1:10" x14ac:dyDescent="0.25">
      <c r="A4867">
        <v>4850</v>
      </c>
      <c r="B4867" s="100">
        <v>89.868734197834968</v>
      </c>
      <c r="C4867" s="100">
        <v>96.3841017005102</v>
      </c>
      <c r="D4867" s="100">
        <v>94.161481835505725</v>
      </c>
      <c r="E4867" s="100">
        <v>92.342725466515262</v>
      </c>
      <c r="F4867" s="100">
        <v>-1039.8062491458645</v>
      </c>
      <c r="G4867" s="100">
        <v>2738.6817091778753</v>
      </c>
      <c r="H4867" s="100">
        <v>-2690.8034600382393</v>
      </c>
      <c r="I4867" s="100">
        <v>1037.9141881859653</v>
      </c>
      <c r="J4867" s="100">
        <v>45.9861881797367</v>
      </c>
    </row>
    <row r="4868" spans="1:10" x14ac:dyDescent="0.25">
      <c r="A4868">
        <v>4851</v>
      </c>
      <c r="B4868" s="100">
        <v>89.367321631001204</v>
      </c>
      <c r="C4868" s="100">
        <v>97.138262910248145</v>
      </c>
      <c r="D4868" s="100">
        <v>91.900034537347281</v>
      </c>
      <c r="E4868" s="100">
        <v>90.585888997971992</v>
      </c>
      <c r="F4868" s="100">
        <v>614.85522140555702</v>
      </c>
      <c r="G4868" s="100">
        <v>1607.439894570959</v>
      </c>
      <c r="H4868" s="100">
        <v>1832.0911362786489</v>
      </c>
      <c r="I4868" s="100">
        <v>2794.7506567292348</v>
      </c>
      <c r="J4868" s="100">
        <v>6849.1369089844002</v>
      </c>
    </row>
    <row r="4869" spans="1:10" x14ac:dyDescent="0.25">
      <c r="A4869">
        <v>4852</v>
      </c>
      <c r="B4869" s="100">
        <v>90.055308397924719</v>
      </c>
      <c r="C4869" s="100">
        <v>99.065509133553988</v>
      </c>
      <c r="D4869" s="100">
        <v>93.442418977568934</v>
      </c>
      <c r="E4869" s="100">
        <v>93.114106097245951</v>
      </c>
      <c r="F4869" s="100">
        <v>-1655.5011094420436</v>
      </c>
      <c r="G4869" s="100">
        <v>-1283.4294403878062</v>
      </c>
      <c r="H4869" s="100">
        <v>-1252.6777441646573</v>
      </c>
      <c r="I4869" s="100">
        <v>266.53355745527563</v>
      </c>
      <c r="J4869" s="100">
        <v>-3925.0747365392317</v>
      </c>
    </row>
    <row r="4870" spans="1:10" x14ac:dyDescent="0.25">
      <c r="A4870">
        <v>4853</v>
      </c>
      <c r="B4870" s="100">
        <v>89.324421746295457</v>
      </c>
      <c r="C4870" s="100">
        <v>98.108079020316694</v>
      </c>
      <c r="D4870" s="100">
        <v>93.839429709750647</v>
      </c>
      <c r="E4870" s="100">
        <v>93.960233175467835</v>
      </c>
      <c r="F4870" s="100">
        <v>756.42484093452254</v>
      </c>
      <c r="G4870" s="100">
        <v>152.7157294681345</v>
      </c>
      <c r="H4870" s="100">
        <v>-2046.6992085280822</v>
      </c>
      <c r="I4870" s="100">
        <v>-579.59352076660764</v>
      </c>
      <c r="J4870" s="100">
        <v>-1717.1521588920327</v>
      </c>
    </row>
    <row r="4871" spans="1:10" x14ac:dyDescent="0.25">
      <c r="A4871">
        <v>4854</v>
      </c>
      <c r="B4871" s="100">
        <v>90.46037748520277</v>
      </c>
      <c r="C4871" s="100">
        <v>97.523369946926337</v>
      </c>
      <c r="D4871" s="100">
        <v>93.185823225321968</v>
      </c>
      <c r="E4871" s="100">
        <v>92.172077248674242</v>
      </c>
      <c r="F4871" s="100">
        <v>-2992.2290974596108</v>
      </c>
      <c r="G4871" s="100">
        <v>1029.7793395536701</v>
      </c>
      <c r="H4871" s="100">
        <v>-739.48623967072535</v>
      </c>
      <c r="I4871" s="100">
        <v>1208.5624060269852</v>
      </c>
      <c r="J4871" s="100">
        <v>-1493.3735915496809</v>
      </c>
    </row>
    <row r="4872" spans="1:10" x14ac:dyDescent="0.25">
      <c r="A4872">
        <v>4855</v>
      </c>
      <c r="B4872" s="100">
        <v>89.391689502028953</v>
      </c>
      <c r="C4872" s="100">
        <v>98.180675056470832</v>
      </c>
      <c r="D4872" s="100">
        <v>92.574290676987147</v>
      </c>
      <c r="E4872" s="100">
        <v>92.062948481567474</v>
      </c>
      <c r="F4872" s="100">
        <v>534.44124701398437</v>
      </c>
      <c r="G4872" s="100">
        <v>43.821675236927149</v>
      </c>
      <c r="H4872" s="100">
        <v>483.57885699891767</v>
      </c>
      <c r="I4872" s="100">
        <v>1317.6911731337527</v>
      </c>
      <c r="J4872" s="100">
        <v>2379.5329523835817</v>
      </c>
    </row>
    <row r="4873" spans="1:10" x14ac:dyDescent="0.25">
      <c r="A4873">
        <v>4856</v>
      </c>
      <c r="B4873" s="100">
        <v>89.488418122165896</v>
      </c>
      <c r="C4873" s="100">
        <v>97.670425172518648</v>
      </c>
      <c r="D4873" s="100">
        <v>92.064614339170092</v>
      </c>
      <c r="E4873" s="100">
        <v>94.38567013547096</v>
      </c>
      <c r="F4873" s="100">
        <v>215.23680056207155</v>
      </c>
      <c r="G4873" s="100">
        <v>809.19650116520359</v>
      </c>
      <c r="H4873" s="100">
        <v>1502.9315326330277</v>
      </c>
      <c r="I4873" s="100">
        <v>-1005.030480769733</v>
      </c>
      <c r="J4873" s="100">
        <v>1522.3343535905697</v>
      </c>
    </row>
    <row r="4874" spans="1:10" x14ac:dyDescent="0.25">
      <c r="A4874">
        <v>4857</v>
      </c>
      <c r="B4874" s="100">
        <v>89.180521501510327</v>
      </c>
      <c r="C4874" s="100">
        <v>99.931819265464313</v>
      </c>
      <c r="D4874" s="100">
        <v>93.711782163879221</v>
      </c>
      <c r="E4874" s="100">
        <v>93.565501606255353</v>
      </c>
      <c r="F4874" s="100">
        <v>1231.2956487254496</v>
      </c>
      <c r="G4874" s="100">
        <v>-2582.8946382532931</v>
      </c>
      <c r="H4874" s="100">
        <v>-1791.4041167852304</v>
      </c>
      <c r="I4874" s="100">
        <v>-184.86195155412588</v>
      </c>
      <c r="J4874" s="100">
        <v>-3327.8650578671995</v>
      </c>
    </row>
    <row r="4875" spans="1:10" x14ac:dyDescent="0.25">
      <c r="A4875">
        <v>4858</v>
      </c>
      <c r="B4875" s="100">
        <v>89.826680901093724</v>
      </c>
      <c r="C4875" s="100">
        <v>99.971953547176199</v>
      </c>
      <c r="D4875" s="100">
        <v>91.625426954819474</v>
      </c>
      <c r="E4875" s="100">
        <v>95.656773931150923</v>
      </c>
      <c r="F4875" s="100">
        <v>-901.03036989975885</v>
      </c>
      <c r="G4875" s="100">
        <v>-2643.0960608211221</v>
      </c>
      <c r="H4875" s="100">
        <v>2381.3063013342626</v>
      </c>
      <c r="I4875" s="100">
        <v>-2276.1342764496958</v>
      </c>
      <c r="J4875" s="100">
        <v>-3438.9544058363144</v>
      </c>
    </row>
    <row r="4876" spans="1:10" x14ac:dyDescent="0.25">
      <c r="A4876">
        <v>4859</v>
      </c>
      <c r="B4876" s="100">
        <v>90.320906586922291</v>
      </c>
      <c r="C4876" s="100">
        <v>98.58567423648573</v>
      </c>
      <c r="D4876" s="100">
        <v>93.329796529611656</v>
      </c>
      <c r="E4876" s="100">
        <v>91.487291328475465</v>
      </c>
      <c r="F4876" s="100">
        <v>-2531.9751331340312</v>
      </c>
      <c r="G4876" s="100">
        <v>-563.67709478541883</v>
      </c>
      <c r="H4876" s="100">
        <v>-1027.4328482501005</v>
      </c>
      <c r="I4876" s="100">
        <v>1893.3483262257623</v>
      </c>
      <c r="J4876" s="100">
        <v>-2229.7367499437887</v>
      </c>
    </row>
    <row r="4877" spans="1:10" x14ac:dyDescent="0.25">
      <c r="A4877">
        <v>4860</v>
      </c>
      <c r="B4877" s="100">
        <v>89.196477045510861</v>
      </c>
      <c r="C4877" s="100">
        <v>99.71799450103029</v>
      </c>
      <c r="D4877" s="100">
        <v>90.568095387900399</v>
      </c>
      <c r="E4877" s="100">
        <v>92.950300802348465</v>
      </c>
      <c r="F4877" s="100">
        <v>1178.6423535236893</v>
      </c>
      <c r="G4877" s="100">
        <v>-2262.1574916022596</v>
      </c>
      <c r="H4877" s="100">
        <v>4495.969435172412</v>
      </c>
      <c r="I4877" s="100">
        <v>430.33885235276159</v>
      </c>
      <c r="J4877" s="100">
        <v>3842.7931494466034</v>
      </c>
    </row>
    <row r="4878" spans="1:10" x14ac:dyDescent="0.25">
      <c r="A4878">
        <v>4861</v>
      </c>
      <c r="B4878" s="100">
        <v>89.807265716837421</v>
      </c>
      <c r="C4878" s="100">
        <v>97.874812681869116</v>
      </c>
      <c r="D4878" s="100">
        <v>92.475380506042029</v>
      </c>
      <c r="E4878" s="100">
        <v>93.414424118572597</v>
      </c>
      <c r="F4878" s="100">
        <v>-836.96026185395885</v>
      </c>
      <c r="G4878" s="100">
        <v>502.6152371395014</v>
      </c>
      <c r="H4878" s="100">
        <v>681.39919888915301</v>
      </c>
      <c r="I4878" s="100">
        <v>-33.784463871370463</v>
      </c>
      <c r="J4878" s="100">
        <v>313.2697103033251</v>
      </c>
    </row>
    <row r="4879" spans="1:10" x14ac:dyDescent="0.25">
      <c r="A4879">
        <v>4862</v>
      </c>
      <c r="B4879" s="100">
        <v>89.612509038223479</v>
      </c>
      <c r="C4879" s="100">
        <v>99.819433255640234</v>
      </c>
      <c r="D4879" s="100">
        <v>90.744172821737351</v>
      </c>
      <c r="E4879" s="100">
        <v>94.75320608535506</v>
      </c>
      <c r="F4879" s="100">
        <v>-194.26322242795067</v>
      </c>
      <c r="G4879" s="100">
        <v>-2414.3156235171759</v>
      </c>
      <c r="H4879" s="100">
        <v>4143.8145674985099</v>
      </c>
      <c r="I4879" s="100">
        <v>-1372.5664306538333</v>
      </c>
      <c r="J4879" s="100">
        <v>162.66929089955011</v>
      </c>
    </row>
    <row r="4880" spans="1:10" x14ac:dyDescent="0.25">
      <c r="A4880">
        <v>4863</v>
      </c>
      <c r="B4880" s="100">
        <v>89.202602599729175</v>
      </c>
      <c r="C4880" s="100">
        <v>97.625834104007126</v>
      </c>
      <c r="D4880" s="100">
        <v>91.198908109266213</v>
      </c>
      <c r="E4880" s="100">
        <v>92.604455943949404</v>
      </c>
      <c r="F4880" s="100">
        <v>1158.4280246032506</v>
      </c>
      <c r="G4880" s="100">
        <v>876.08310393248701</v>
      </c>
      <c r="H4880" s="100">
        <v>3234.3439924407849</v>
      </c>
      <c r="I4880" s="100">
        <v>776.18371075182324</v>
      </c>
      <c r="J4880" s="100">
        <v>6045.0388317283459</v>
      </c>
    </row>
    <row r="4881" spans="1:10" x14ac:dyDescent="0.25">
      <c r="A4881">
        <v>4864</v>
      </c>
      <c r="B4881" s="100">
        <v>89.374045574690683</v>
      </c>
      <c r="C4881" s="100">
        <v>99.768363505471427</v>
      </c>
      <c r="D4881" s="100">
        <v>91.764206977215167</v>
      </c>
      <c r="E4881" s="100">
        <v>94.450166257641229</v>
      </c>
      <c r="F4881" s="100">
        <v>592.66620723027472</v>
      </c>
      <c r="G4881" s="100">
        <v>-2337.7109982639654</v>
      </c>
      <c r="H4881" s="100">
        <v>2103.7462565428768</v>
      </c>
      <c r="I4881" s="100">
        <v>-1069.5266029400018</v>
      </c>
      <c r="J4881" s="100">
        <v>-710.82513743081563</v>
      </c>
    </row>
    <row r="4882" spans="1:10" x14ac:dyDescent="0.25">
      <c r="A4882">
        <v>4865</v>
      </c>
      <c r="B4882" s="100">
        <v>89.477939696429686</v>
      </c>
      <c r="C4882" s="100">
        <v>96.626445336918863</v>
      </c>
      <c r="D4882" s="100">
        <v>92.549639619718675</v>
      </c>
      <c r="E4882" s="100">
        <v>94.875684328715295</v>
      </c>
      <c r="F4882" s="100">
        <v>249.81560549156399</v>
      </c>
      <c r="G4882" s="100">
        <v>2375.1662545648815</v>
      </c>
      <c r="H4882" s="100">
        <v>532.88097153586023</v>
      </c>
      <c r="I4882" s="100">
        <v>-1495.0446740140678</v>
      </c>
      <c r="J4882" s="100">
        <v>1662.8181575782378</v>
      </c>
    </row>
    <row r="4883" spans="1:10" x14ac:dyDescent="0.25">
      <c r="A4883">
        <v>4866</v>
      </c>
      <c r="B4883" s="100">
        <v>89.76574088596152</v>
      </c>
      <c r="C4883" s="100">
        <v>98.303778289498098</v>
      </c>
      <c r="D4883" s="100">
        <v>91.850506038145028</v>
      </c>
      <c r="E4883" s="100">
        <v>97.631348217517129</v>
      </c>
      <c r="F4883" s="100">
        <v>-699.92831996348741</v>
      </c>
      <c r="G4883" s="100">
        <v>-140.83317430397102</v>
      </c>
      <c r="H4883" s="100">
        <v>1931.1481346831556</v>
      </c>
      <c r="I4883" s="100">
        <v>-4250.708562815902</v>
      </c>
      <c r="J4883" s="100">
        <v>-3160.321922400205</v>
      </c>
    </row>
    <row r="4884" spans="1:10" x14ac:dyDescent="0.25">
      <c r="A4884">
        <v>4867</v>
      </c>
      <c r="B4884" s="100">
        <v>90.120402900198599</v>
      </c>
      <c r="C4884" s="100">
        <v>97.996249481311793</v>
      </c>
      <c r="D4884" s="100">
        <v>95.206574104258834</v>
      </c>
      <c r="E4884" s="100">
        <v>91.223861103120413</v>
      </c>
      <c r="F4884" s="100">
        <v>-1870.3129669458463</v>
      </c>
      <c r="G4884" s="100">
        <v>320.4600379754865</v>
      </c>
      <c r="H4884" s="100">
        <v>-4780.9879975444574</v>
      </c>
      <c r="I4884" s="100">
        <v>2156.7785515808141</v>
      </c>
      <c r="J4884" s="100">
        <v>-4174.0623749340029</v>
      </c>
    </row>
    <row r="4885" spans="1:10" x14ac:dyDescent="0.25">
      <c r="A4885">
        <v>4868</v>
      </c>
      <c r="B4885" s="100">
        <v>90.479578059457126</v>
      </c>
      <c r="C4885" s="100">
        <v>98.572211781082004</v>
      </c>
      <c r="D4885" s="100">
        <v>94.817459963720509</v>
      </c>
      <c r="E4885" s="100">
        <v>92.021610639906058</v>
      </c>
      <c r="F4885" s="100">
        <v>-3055.5909924989846</v>
      </c>
      <c r="G4885" s="100">
        <v>-543.48341167982994</v>
      </c>
      <c r="H4885" s="100">
        <v>-4002.7597164678073</v>
      </c>
      <c r="I4885" s="100">
        <v>1359.0290147951691</v>
      </c>
      <c r="J4885" s="100">
        <v>-6242.8051058514529</v>
      </c>
    </row>
    <row r="4886" spans="1:10" x14ac:dyDescent="0.25">
      <c r="A4886">
        <v>4869</v>
      </c>
      <c r="B4886" s="100">
        <v>89.827288094053458</v>
      </c>
      <c r="C4886" s="100">
        <v>98.781822992574519</v>
      </c>
      <c r="D4886" s="100">
        <v>91.831864452356754</v>
      </c>
      <c r="E4886" s="100">
        <v>91.87742741260351</v>
      </c>
      <c r="F4886" s="100">
        <v>-903.03410666688114</v>
      </c>
      <c r="G4886" s="100">
        <v>-857.90022891860212</v>
      </c>
      <c r="H4886" s="100">
        <v>1968.4313062597028</v>
      </c>
      <c r="I4886" s="100">
        <v>1503.2122420977175</v>
      </c>
      <c r="J4886" s="100">
        <v>1710.709212771937</v>
      </c>
    </row>
    <row r="4887" spans="1:10" x14ac:dyDescent="0.25">
      <c r="A4887">
        <v>4870</v>
      </c>
      <c r="B4887" s="100">
        <v>88.834466780560277</v>
      </c>
      <c r="C4887" s="100">
        <v>98.397955646616737</v>
      </c>
      <c r="D4887" s="100">
        <v>93.688108986950894</v>
      </c>
      <c r="E4887" s="100">
        <v>93.328058906361093</v>
      </c>
      <c r="F4887" s="100">
        <v>2373.276227860616</v>
      </c>
      <c r="G4887" s="100">
        <v>-282.09920998192928</v>
      </c>
      <c r="H4887" s="100">
        <v>-1744.0577629285769</v>
      </c>
      <c r="I4887" s="100">
        <v>52.580748340133709</v>
      </c>
      <c r="J4887" s="100">
        <v>399.70000329024367</v>
      </c>
    </row>
    <row r="4888" spans="1:10" x14ac:dyDescent="0.25">
      <c r="A4888">
        <v>4871</v>
      </c>
      <c r="B4888" s="100">
        <v>89.207005475675942</v>
      </c>
      <c r="C4888" s="100">
        <v>97.483921114467464</v>
      </c>
      <c r="D4888" s="100">
        <v>93.092797631732154</v>
      </c>
      <c r="E4888" s="100">
        <v>90.201497797880066</v>
      </c>
      <c r="F4888" s="100">
        <v>1143.8985339789213</v>
      </c>
      <c r="G4888" s="100">
        <v>1088.9525882419803</v>
      </c>
      <c r="H4888" s="100">
        <v>-553.43505249109626</v>
      </c>
      <c r="I4888" s="100">
        <v>3179.1418568211611</v>
      </c>
      <c r="J4888" s="100">
        <v>4858.5579265509668</v>
      </c>
    </row>
    <row r="4889" spans="1:10" x14ac:dyDescent="0.25">
      <c r="A4889">
        <v>4872</v>
      </c>
      <c r="B4889" s="100">
        <v>89.244145031499684</v>
      </c>
      <c r="C4889" s="100">
        <v>97.526808262263074</v>
      </c>
      <c r="D4889" s="100">
        <v>93.293092205135267</v>
      </c>
      <c r="E4889" s="100">
        <v>90.432070093838789</v>
      </c>
      <c r="F4889" s="100">
        <v>1021.3379997605714</v>
      </c>
      <c r="G4889" s="100">
        <v>1024.6218665485642</v>
      </c>
      <c r="H4889" s="100">
        <v>-954.02419929732218</v>
      </c>
      <c r="I4889" s="100">
        <v>2948.5695608624383</v>
      </c>
      <c r="J4889" s="100">
        <v>4040.5052278742514</v>
      </c>
    </row>
    <row r="4890" spans="1:10" x14ac:dyDescent="0.25">
      <c r="A4890">
        <v>4873</v>
      </c>
      <c r="B4890" s="100">
        <v>89.324977001909161</v>
      </c>
      <c r="C4890" s="100">
        <v>97.654004820540166</v>
      </c>
      <c r="D4890" s="100">
        <v>92.811204421008654</v>
      </c>
      <c r="E4890" s="100">
        <v>97.088067659146716</v>
      </c>
      <c r="F4890" s="100">
        <v>754.59249740929693</v>
      </c>
      <c r="G4890" s="100">
        <v>833.82702913292655</v>
      </c>
      <c r="H4890" s="100">
        <v>9.751368955903672</v>
      </c>
      <c r="I4890" s="100">
        <v>-3707.4280044454895</v>
      </c>
      <c r="J4890" s="100">
        <v>-2109.2571089473622</v>
      </c>
    </row>
    <row r="4891" spans="1:10" x14ac:dyDescent="0.25">
      <c r="A4891">
        <v>4874</v>
      </c>
      <c r="B4891" s="100">
        <v>89.57511522826124</v>
      </c>
      <c r="C4891" s="100">
        <v>97.22733393518773</v>
      </c>
      <c r="D4891" s="100">
        <v>91.904687982021727</v>
      </c>
      <c r="E4891" s="100">
        <v>94.421113546129803</v>
      </c>
      <c r="F4891" s="100">
        <v>-70.863649552561014</v>
      </c>
      <c r="G4891" s="100">
        <v>1473.8333571615813</v>
      </c>
      <c r="H4891" s="100">
        <v>1822.784246929757</v>
      </c>
      <c r="I4891" s="100">
        <v>-1040.4738914285758</v>
      </c>
      <c r="J4891" s="100">
        <v>2185.2800631102014</v>
      </c>
    </row>
    <row r="4892" spans="1:10" x14ac:dyDescent="0.25">
      <c r="A4892">
        <v>4875</v>
      </c>
      <c r="B4892" s="100">
        <v>89.892297865284831</v>
      </c>
      <c r="C4892" s="100">
        <v>99.926836516250475</v>
      </c>
      <c r="D4892" s="100">
        <v>92.218358323778133</v>
      </c>
      <c r="E4892" s="100">
        <v>95.337830024500278</v>
      </c>
      <c r="F4892" s="100">
        <v>-1117.5663517304145</v>
      </c>
      <c r="G4892" s="100">
        <v>-2575.4205144325369</v>
      </c>
      <c r="H4892" s="100">
        <v>1195.4435634169442</v>
      </c>
      <c r="I4892" s="100">
        <v>-1957.1903697990506</v>
      </c>
      <c r="J4892" s="100">
        <v>-4454.7336725450587</v>
      </c>
    </row>
    <row r="4893" spans="1:10" x14ac:dyDescent="0.25">
      <c r="A4893">
        <v>4876</v>
      </c>
      <c r="B4893" s="100">
        <v>89.959916239455396</v>
      </c>
      <c r="C4893" s="100">
        <v>99.170883776586265</v>
      </c>
      <c r="D4893" s="100">
        <v>93.152884011997827</v>
      </c>
      <c r="E4893" s="100">
        <v>92.294435594355434</v>
      </c>
      <c r="F4893" s="100">
        <v>-1340.7069864932764</v>
      </c>
      <c r="G4893" s="100">
        <v>-1441.4914049362224</v>
      </c>
      <c r="H4893" s="100">
        <v>-673.60781302244277</v>
      </c>
      <c r="I4893" s="100">
        <v>1086.2040603457926</v>
      </c>
      <c r="J4893" s="100">
        <v>-2369.6021441061489</v>
      </c>
    </row>
    <row r="4894" spans="1:10" x14ac:dyDescent="0.25">
      <c r="A4894">
        <v>4877</v>
      </c>
      <c r="B4894" s="100">
        <v>89.733886194907583</v>
      </c>
      <c r="C4894" s="100">
        <v>100.05245524369747</v>
      </c>
      <c r="D4894" s="100">
        <v>92.496707190210159</v>
      </c>
      <c r="E4894" s="100">
        <v>93.88220538792271</v>
      </c>
      <c r="F4894" s="100">
        <v>-594.80783948549606</v>
      </c>
      <c r="G4894" s="100">
        <v>-2763.8486056030233</v>
      </c>
      <c r="H4894" s="100">
        <v>638.74583055289236</v>
      </c>
      <c r="I4894" s="100">
        <v>-501.5657332214829</v>
      </c>
      <c r="J4894" s="100">
        <v>-3221.47634775711</v>
      </c>
    </row>
    <row r="4895" spans="1:10" x14ac:dyDescent="0.25">
      <c r="A4895">
        <v>4878</v>
      </c>
      <c r="B4895" s="100">
        <v>89.07609289659321</v>
      </c>
      <c r="C4895" s="100">
        <v>99.085045826401483</v>
      </c>
      <c r="D4895" s="100">
        <v>93.073634127747823</v>
      </c>
      <c r="E4895" s="100">
        <v>91.119444299184067</v>
      </c>
      <c r="F4895" s="100">
        <v>1575.9100449519381</v>
      </c>
      <c r="G4895" s="100">
        <v>-1312.7344796590492</v>
      </c>
      <c r="H4895" s="100">
        <v>-515.10804452243519</v>
      </c>
      <c r="I4895" s="100">
        <v>2261.1953555171594</v>
      </c>
      <c r="J4895" s="100">
        <v>2009.2628762876132</v>
      </c>
    </row>
    <row r="4896" spans="1:10" x14ac:dyDescent="0.25">
      <c r="A4896">
        <v>4879</v>
      </c>
      <c r="B4896" s="100">
        <v>89.041283349681379</v>
      </c>
      <c r="C4896" s="100">
        <v>99.341381687504352</v>
      </c>
      <c r="D4896" s="100">
        <v>91.471229359447563</v>
      </c>
      <c r="E4896" s="100">
        <v>94.643460110002508</v>
      </c>
      <c r="F4896" s="100">
        <v>1690.781549760979</v>
      </c>
      <c r="G4896" s="100">
        <v>-1697.2382713133527</v>
      </c>
      <c r="H4896" s="100">
        <v>2689.7014920780862</v>
      </c>
      <c r="I4896" s="100">
        <v>-1262.8204553012806</v>
      </c>
      <c r="J4896" s="100">
        <v>1420.4243152244321</v>
      </c>
    </row>
    <row r="4897" spans="1:10" x14ac:dyDescent="0.25">
      <c r="A4897">
        <v>4880</v>
      </c>
      <c r="B4897" s="100">
        <v>89.619553078500431</v>
      </c>
      <c r="C4897" s="100">
        <v>97.736721853069909</v>
      </c>
      <c r="D4897" s="100">
        <v>91.444652059214548</v>
      </c>
      <c r="E4897" s="100">
        <v>91.90752273647692</v>
      </c>
      <c r="F4897" s="100">
        <v>-217.50855534189242</v>
      </c>
      <c r="G4897" s="100">
        <v>709.75148033831204</v>
      </c>
      <c r="H4897" s="100">
        <v>2742.8560925441161</v>
      </c>
      <c r="I4897" s="100">
        <v>1473.1169182243066</v>
      </c>
      <c r="J4897" s="100">
        <v>4708.2159357648425</v>
      </c>
    </row>
    <row r="4898" spans="1:10" x14ac:dyDescent="0.25">
      <c r="A4898">
        <v>4881</v>
      </c>
      <c r="B4898" s="100">
        <v>89.843775275878443</v>
      </c>
      <c r="C4898" s="100">
        <v>99.087360291404423</v>
      </c>
      <c r="D4898" s="100">
        <v>93.367793257993043</v>
      </c>
      <c r="E4898" s="100">
        <v>93.318836974370953</v>
      </c>
      <c r="F4898" s="100">
        <v>-957.44180668933154</v>
      </c>
      <c r="G4898" s="100">
        <v>-1316.2061771634583</v>
      </c>
      <c r="H4898" s="100">
        <v>-1103.4263050128743</v>
      </c>
      <c r="I4898" s="100">
        <v>61.802680330274029</v>
      </c>
      <c r="J4898" s="100">
        <v>-3315.27160853539</v>
      </c>
    </row>
    <row r="4899" spans="1:10" x14ac:dyDescent="0.25">
      <c r="A4899">
        <v>4882</v>
      </c>
      <c r="B4899" s="100">
        <v>89.817229709847439</v>
      </c>
      <c r="C4899" s="100">
        <v>97.706067269107706</v>
      </c>
      <c r="D4899" s="100">
        <v>91.505576095279494</v>
      </c>
      <c r="E4899" s="100">
        <v>93.237939534647808</v>
      </c>
      <c r="F4899" s="100">
        <v>-869.84143878701866</v>
      </c>
      <c r="G4899" s="100">
        <v>755.73335628161681</v>
      </c>
      <c r="H4899" s="100">
        <v>2621.0080204142232</v>
      </c>
      <c r="I4899" s="100">
        <v>142.70012005341925</v>
      </c>
      <c r="J4899" s="100">
        <v>2649.6000579622405</v>
      </c>
    </row>
    <row r="4900" spans="1:10" x14ac:dyDescent="0.25">
      <c r="A4900">
        <v>4883</v>
      </c>
      <c r="B4900" s="100">
        <v>89.130795362080775</v>
      </c>
      <c r="C4900" s="100">
        <v>98.258415967458021</v>
      </c>
      <c r="D4900" s="100">
        <v>93.260692057482785</v>
      </c>
      <c r="E4900" s="100">
        <v>93.071437066002787</v>
      </c>
      <c r="F4900" s="100">
        <v>1395.3919088429714</v>
      </c>
      <c r="G4900" s="100">
        <v>-72.789691243855259</v>
      </c>
      <c r="H4900" s="100">
        <v>-889.22390399235951</v>
      </c>
      <c r="I4900" s="100">
        <v>309.2025886984402</v>
      </c>
      <c r="J4900" s="100">
        <v>742.58090230519679</v>
      </c>
    </row>
    <row r="4901" spans="1:10" x14ac:dyDescent="0.25">
      <c r="A4901">
        <v>4884</v>
      </c>
      <c r="B4901" s="100">
        <v>89.704804298955878</v>
      </c>
      <c r="C4901" s="100">
        <v>97.172503138506755</v>
      </c>
      <c r="D4901" s="100">
        <v>93.961677623057355</v>
      </c>
      <c r="E4901" s="100">
        <v>91.566532040264079</v>
      </c>
      <c r="F4901" s="100">
        <v>-498.83758284486817</v>
      </c>
      <c r="G4901" s="100">
        <v>1556.0795521830428</v>
      </c>
      <c r="H4901" s="100">
        <v>-2291.1950351414989</v>
      </c>
      <c r="I4901" s="100">
        <v>1814.1076144371482</v>
      </c>
      <c r="J4901" s="100">
        <v>580.15454863382388</v>
      </c>
    </row>
    <row r="4902" spans="1:10" x14ac:dyDescent="0.25">
      <c r="A4902">
        <v>4885</v>
      </c>
      <c r="B4902" s="100">
        <v>89.326903225754265</v>
      </c>
      <c r="C4902" s="100">
        <v>98.956524549111052</v>
      </c>
      <c r="D4902" s="100">
        <v>93.378557545256726</v>
      </c>
      <c r="E4902" s="100">
        <v>94.133278621635085</v>
      </c>
      <c r="F4902" s="100">
        <v>748.23595872045553</v>
      </c>
      <c r="G4902" s="100">
        <v>-1119.9525637234019</v>
      </c>
      <c r="H4902" s="100">
        <v>-1124.9548795402404</v>
      </c>
      <c r="I4902" s="100">
        <v>-752.63896693385846</v>
      </c>
      <c r="J4902" s="100">
        <v>-2249.3104514770453</v>
      </c>
    </row>
    <row r="4903" spans="1:10" x14ac:dyDescent="0.25">
      <c r="A4903">
        <v>4886</v>
      </c>
      <c r="B4903" s="100">
        <v>90.134430580578822</v>
      </c>
      <c r="C4903" s="100">
        <v>97.910053516954477</v>
      </c>
      <c r="D4903" s="100">
        <v>93.815849631494942</v>
      </c>
      <c r="E4903" s="100">
        <v>92.324110983792579</v>
      </c>
      <c r="F4903" s="100">
        <v>-1916.6043122005844</v>
      </c>
      <c r="G4903" s="100">
        <v>449.7539845114602</v>
      </c>
      <c r="H4903" s="100">
        <v>-1999.5390520166723</v>
      </c>
      <c r="I4903" s="100">
        <v>1056.5286709086479</v>
      </c>
      <c r="J4903" s="100">
        <v>-2409.8607087971486</v>
      </c>
    </row>
    <row r="4904" spans="1:10" x14ac:dyDescent="0.25">
      <c r="A4904">
        <v>4887</v>
      </c>
      <c r="B4904" s="100">
        <v>89.132248789542942</v>
      </c>
      <c r="C4904" s="100">
        <v>97.930070251188894</v>
      </c>
      <c r="D4904" s="100">
        <v>93.866863638185251</v>
      </c>
      <c r="E4904" s="100">
        <v>95.740639323785445</v>
      </c>
      <c r="F4904" s="100">
        <v>1390.5955982178214</v>
      </c>
      <c r="G4904" s="100">
        <v>419.72888315983425</v>
      </c>
      <c r="H4904" s="100">
        <v>-2101.5670653972902</v>
      </c>
      <c r="I4904" s="100">
        <v>-2359.9996690842177</v>
      </c>
      <c r="J4904" s="100">
        <v>-2651.2422531038524</v>
      </c>
    </row>
    <row r="4905" spans="1:10" x14ac:dyDescent="0.25">
      <c r="A4905">
        <v>4888</v>
      </c>
      <c r="B4905" s="100">
        <v>88.784127547485852</v>
      </c>
      <c r="C4905" s="100">
        <v>96.958667299413548</v>
      </c>
      <c r="D4905" s="100">
        <v>91.837669393626499</v>
      </c>
      <c r="E4905" s="100">
        <v>92.482781703241074</v>
      </c>
      <c r="F4905" s="100">
        <v>2539.3956970062177</v>
      </c>
      <c r="G4905" s="100">
        <v>1876.8333108228533</v>
      </c>
      <c r="H4905" s="100">
        <v>1956.8214237202142</v>
      </c>
      <c r="I4905" s="100">
        <v>897.85795146015346</v>
      </c>
      <c r="J4905" s="100">
        <v>7270.9083830094387</v>
      </c>
    </row>
    <row r="4906" spans="1:10" x14ac:dyDescent="0.25">
      <c r="A4906">
        <v>4889</v>
      </c>
      <c r="B4906" s="100">
        <v>89.363519697737104</v>
      </c>
      <c r="C4906" s="100">
        <v>97.748615483176934</v>
      </c>
      <c r="D4906" s="100">
        <v>93.848736560964596</v>
      </c>
      <c r="E4906" s="100">
        <v>94.205199536350122</v>
      </c>
      <c r="F4906" s="100">
        <v>627.40160117708683</v>
      </c>
      <c r="G4906" s="100">
        <v>691.91103517777469</v>
      </c>
      <c r="H4906" s="100">
        <v>-2065.3129109559814</v>
      </c>
      <c r="I4906" s="100">
        <v>-824.55988164889504</v>
      </c>
      <c r="J4906" s="100">
        <v>-1570.5601562500149</v>
      </c>
    </row>
    <row r="4907" spans="1:10" x14ac:dyDescent="0.25">
      <c r="A4907">
        <v>4890</v>
      </c>
      <c r="B4907" s="100">
        <v>88.942116486154816</v>
      </c>
      <c r="C4907" s="100">
        <v>99.081722696448665</v>
      </c>
      <c r="D4907" s="100">
        <v>93.224822224464589</v>
      </c>
      <c r="E4907" s="100">
        <v>92.540588492825847</v>
      </c>
      <c r="F4907" s="100">
        <v>2018.0321993986354</v>
      </c>
      <c r="G4907" s="100">
        <v>-1307.7497847298218</v>
      </c>
      <c r="H4907" s="100">
        <v>-817.48423795596636</v>
      </c>
      <c r="I4907" s="100">
        <v>840.05116187537965</v>
      </c>
      <c r="J4907" s="100">
        <v>732.84933858822683</v>
      </c>
    </row>
    <row r="4908" spans="1:10" x14ac:dyDescent="0.25">
      <c r="A4908">
        <v>4891</v>
      </c>
      <c r="B4908" s="100">
        <v>89.032914239099142</v>
      </c>
      <c r="C4908" s="100">
        <v>99.108802925905877</v>
      </c>
      <c r="D4908" s="100">
        <v>94.487503073708083</v>
      </c>
      <c r="E4908" s="100">
        <v>90.357901599497652</v>
      </c>
      <c r="F4908" s="100">
        <v>1718.3996146823602</v>
      </c>
      <c r="G4908" s="100">
        <v>-1348.37012891564</v>
      </c>
      <c r="H4908" s="100">
        <v>-3342.8459364429555</v>
      </c>
      <c r="I4908" s="100">
        <v>3022.7380552035756</v>
      </c>
      <c r="J4908" s="100">
        <v>49.921604527340605</v>
      </c>
    </row>
    <row r="4909" spans="1:10" x14ac:dyDescent="0.25">
      <c r="A4909">
        <v>4892</v>
      </c>
      <c r="B4909" s="100">
        <v>89.040350828048076</v>
      </c>
      <c r="C4909" s="100">
        <v>98.901257173771342</v>
      </c>
      <c r="D4909" s="100">
        <v>91.294717437186108</v>
      </c>
      <c r="E4909" s="100">
        <v>89.290644204781543</v>
      </c>
      <c r="F4909" s="100">
        <v>1693.8588711508771</v>
      </c>
      <c r="G4909" s="100">
        <v>-1037.0515007138365</v>
      </c>
      <c r="H4909" s="100">
        <v>3042.725336600995</v>
      </c>
      <c r="I4909" s="100">
        <v>4089.9954499196838</v>
      </c>
      <c r="J4909" s="100">
        <v>7789.5281569577191</v>
      </c>
    </row>
    <row r="4910" spans="1:10" x14ac:dyDescent="0.25">
      <c r="A4910">
        <v>4893</v>
      </c>
      <c r="B4910" s="100">
        <v>89.704032343060604</v>
      </c>
      <c r="C4910" s="100">
        <v>97.866188479316961</v>
      </c>
      <c r="D4910" s="100">
        <v>92.737472972646415</v>
      </c>
      <c r="E4910" s="100">
        <v>90.966740617988009</v>
      </c>
      <c r="F4910" s="100">
        <v>-496.29012839046283</v>
      </c>
      <c r="G4910" s="100">
        <v>515.55154096773492</v>
      </c>
      <c r="H4910" s="100">
        <v>157.21426568038055</v>
      </c>
      <c r="I4910" s="100">
        <v>2413.8990367132183</v>
      </c>
      <c r="J4910" s="100">
        <v>2590.3747149708711</v>
      </c>
    </row>
    <row r="4911" spans="1:10" x14ac:dyDescent="0.25">
      <c r="A4911">
        <v>4894</v>
      </c>
      <c r="B4911" s="100">
        <v>89.846065648296261</v>
      </c>
      <c r="C4911" s="100">
        <v>98.647857364624414</v>
      </c>
      <c r="D4911" s="100">
        <v>91.549301298787398</v>
      </c>
      <c r="E4911" s="100">
        <v>92.771878733151397</v>
      </c>
      <c r="F4911" s="100">
        <v>-965.00003566813029</v>
      </c>
      <c r="G4911" s="100">
        <v>-656.95178699344581</v>
      </c>
      <c r="H4911" s="100">
        <v>2533.557613398415</v>
      </c>
      <c r="I4911" s="100">
        <v>608.76092154983041</v>
      </c>
      <c r="J4911" s="100">
        <v>1520.3667122866696</v>
      </c>
    </row>
    <row r="4912" spans="1:10" x14ac:dyDescent="0.25">
      <c r="A4912">
        <v>4895</v>
      </c>
      <c r="B4912" s="100">
        <v>90.031097505547322</v>
      </c>
      <c r="C4912" s="100">
        <v>98.466751682576756</v>
      </c>
      <c r="D4912" s="100">
        <v>93.186027578624135</v>
      </c>
      <c r="E4912" s="100">
        <v>91.54013440358608</v>
      </c>
      <c r="F4912" s="100">
        <v>-1575.6051645966338</v>
      </c>
      <c r="G4912" s="100">
        <v>-385.29326392195884</v>
      </c>
      <c r="H4912" s="100">
        <v>-739.89494627505792</v>
      </c>
      <c r="I4912" s="100">
        <v>1840.5052511151466</v>
      </c>
      <c r="J4912" s="100">
        <v>-860.28812367850378</v>
      </c>
    </row>
    <row r="4913" spans="1:10" x14ac:dyDescent="0.25">
      <c r="A4913">
        <v>4896</v>
      </c>
      <c r="B4913" s="100">
        <v>89.153077784529913</v>
      </c>
      <c r="C4913" s="100">
        <v>98.414841672711688</v>
      </c>
      <c r="D4913" s="100">
        <v>92.909597059782399</v>
      </c>
      <c r="E4913" s="100">
        <v>94.392048949757609</v>
      </c>
      <c r="F4913" s="100">
        <v>1321.8599147608174</v>
      </c>
      <c r="G4913" s="100">
        <v>-307.42824912435651</v>
      </c>
      <c r="H4913" s="100">
        <v>-187.03390859158731</v>
      </c>
      <c r="I4913" s="100">
        <v>-1011.4092950563816</v>
      </c>
      <c r="J4913" s="100">
        <v>-184.01153801150792</v>
      </c>
    </row>
    <row r="4914" spans="1:10" x14ac:dyDescent="0.25">
      <c r="A4914">
        <v>4897</v>
      </c>
      <c r="B4914" s="100">
        <v>88.932751970876296</v>
      </c>
      <c r="C4914" s="100">
        <v>97.924580712221413</v>
      </c>
      <c r="D4914" s="100">
        <v>91.266953802186208</v>
      </c>
      <c r="E4914" s="100">
        <v>91.826654381158633</v>
      </c>
      <c r="F4914" s="100">
        <v>2048.9350998177515</v>
      </c>
      <c r="G4914" s="100">
        <v>427.963191611056</v>
      </c>
      <c r="H4914" s="100">
        <v>3098.2526066007949</v>
      </c>
      <c r="I4914" s="100">
        <v>1553.9852735425939</v>
      </c>
      <c r="J4914" s="100">
        <v>7129.136171572196</v>
      </c>
    </row>
    <row r="4915" spans="1:10" x14ac:dyDescent="0.25">
      <c r="A4915">
        <v>4898</v>
      </c>
      <c r="B4915" s="100">
        <v>89.250523538313104</v>
      </c>
      <c r="C4915" s="100">
        <v>99.150014330316267</v>
      </c>
      <c r="D4915" s="100">
        <v>93.025236036031529</v>
      </c>
      <c r="E4915" s="100">
        <v>90.767232954837695</v>
      </c>
      <c r="F4915" s="100">
        <v>1000.2889272762872</v>
      </c>
      <c r="G4915" s="100">
        <v>-1410.1872355312253</v>
      </c>
      <c r="H4915" s="100">
        <v>-418.31186108984753</v>
      </c>
      <c r="I4915" s="100">
        <v>2613.4066998635317</v>
      </c>
      <c r="J4915" s="100">
        <v>1785.1965305187459</v>
      </c>
    </row>
    <row r="4916" spans="1:10" x14ac:dyDescent="0.25">
      <c r="A4916">
        <v>4899</v>
      </c>
      <c r="B4916" s="100">
        <v>89.018578661855628</v>
      </c>
      <c r="C4916" s="100">
        <v>98.922430643931563</v>
      </c>
      <c r="D4916" s="100">
        <v>91.161373711833846</v>
      </c>
      <c r="E4916" s="100">
        <v>92.427800160042906</v>
      </c>
      <c r="F4916" s="100">
        <v>1765.7070195859574</v>
      </c>
      <c r="G4916" s="100">
        <v>-1068.8117059541682</v>
      </c>
      <c r="H4916" s="100">
        <v>3309.4127873055186</v>
      </c>
      <c r="I4916" s="100">
        <v>952.83949465832052</v>
      </c>
      <c r="J4916" s="100">
        <v>4959.1475955956284</v>
      </c>
    </row>
    <row r="4917" spans="1:10" x14ac:dyDescent="0.25">
      <c r="A4917">
        <v>4900</v>
      </c>
      <c r="B4917" s="100">
        <v>88.664424820383616</v>
      </c>
      <c r="C4917" s="100">
        <v>96.461170061640587</v>
      </c>
      <c r="D4917" s="100">
        <v>94.099283095780976</v>
      </c>
      <c r="E4917" s="100">
        <v>96.458719371740983</v>
      </c>
      <c r="F4917" s="100">
        <v>2934.4146964435977</v>
      </c>
      <c r="G4917" s="100">
        <v>2623.0791674822954</v>
      </c>
      <c r="H4917" s="100">
        <v>-2566.4059805887405</v>
      </c>
      <c r="I4917" s="100">
        <v>-3078.0797170397564</v>
      </c>
      <c r="J4917" s="100">
        <v>-86.991833702604254</v>
      </c>
    </row>
    <row r="4918" spans="1:10" x14ac:dyDescent="0.25">
      <c r="A4918">
        <v>4901</v>
      </c>
      <c r="B4918" s="100">
        <v>89.049308656802779</v>
      </c>
      <c r="C4918" s="100">
        <v>97.993477137518383</v>
      </c>
      <c r="D4918" s="100">
        <v>93.171177990593151</v>
      </c>
      <c r="E4918" s="100">
        <v>93.233844948269166</v>
      </c>
      <c r="F4918" s="100">
        <v>1664.298036260358</v>
      </c>
      <c r="G4918" s="100">
        <v>324.61855366560144</v>
      </c>
      <c r="H4918" s="100">
        <v>-710.19577021309033</v>
      </c>
      <c r="I4918" s="100">
        <v>146.79470643206116</v>
      </c>
      <c r="J4918" s="100">
        <v>1425.5155261449304</v>
      </c>
    </row>
    <row r="4919" spans="1:10" x14ac:dyDescent="0.25">
      <c r="A4919">
        <v>4902</v>
      </c>
      <c r="B4919" s="100">
        <v>90.418071492824637</v>
      </c>
      <c r="C4919" s="100">
        <v>98.118679815122178</v>
      </c>
      <c r="D4919" s="100">
        <v>93.864879239583203</v>
      </c>
      <c r="E4919" s="100">
        <v>94.458074648274504</v>
      </c>
      <c r="F4919" s="100">
        <v>-2852.6193226117739</v>
      </c>
      <c r="G4919" s="100">
        <v>136.81453725990878</v>
      </c>
      <c r="H4919" s="100">
        <v>-2097.5982681931955</v>
      </c>
      <c r="I4919" s="100">
        <v>-1077.4349935732771</v>
      </c>
      <c r="J4919" s="100">
        <v>-5890.8380471183373</v>
      </c>
    </row>
    <row r="4920" spans="1:10" x14ac:dyDescent="0.25">
      <c r="A4920">
        <v>4903</v>
      </c>
      <c r="B4920" s="100">
        <v>88.32131131964492</v>
      </c>
      <c r="C4920" s="100">
        <v>97.62208920941967</v>
      </c>
      <c r="D4920" s="100">
        <v>95.413245951387736</v>
      </c>
      <c r="E4920" s="100">
        <v>96.346241396196646</v>
      </c>
      <c r="F4920" s="100">
        <v>4066.6892488812932</v>
      </c>
      <c r="G4920" s="100">
        <v>881.70044581367074</v>
      </c>
      <c r="H4920" s="100">
        <v>-5194.331691802262</v>
      </c>
      <c r="I4920" s="100">
        <v>-2965.6017414954194</v>
      </c>
      <c r="J4920" s="100">
        <v>-3211.543738602717</v>
      </c>
    </row>
    <row r="4921" spans="1:10" x14ac:dyDescent="0.25">
      <c r="A4921">
        <v>4904</v>
      </c>
      <c r="B4921" s="100">
        <v>89.23349949757332</v>
      </c>
      <c r="C4921" s="100">
        <v>98.289553843122434</v>
      </c>
      <c r="D4921" s="100">
        <v>91.380307766369285</v>
      </c>
      <c r="E4921" s="100">
        <v>94.510492329602783</v>
      </c>
      <c r="F4921" s="100">
        <v>1056.4682617175749</v>
      </c>
      <c r="G4921" s="100">
        <v>-119.49650474047502</v>
      </c>
      <c r="H4921" s="100">
        <v>2871.5446782346417</v>
      </c>
      <c r="I4921" s="100">
        <v>-1129.8526749015564</v>
      </c>
      <c r="J4921" s="100">
        <v>2678.6637603101854</v>
      </c>
    </row>
    <row r="4922" spans="1:10" x14ac:dyDescent="0.25">
      <c r="A4922">
        <v>4905</v>
      </c>
      <c r="B4922" s="100">
        <v>89.342648713857628</v>
      </c>
      <c r="C4922" s="100">
        <v>98.493702639227621</v>
      </c>
      <c r="D4922" s="100">
        <v>92.275566698970735</v>
      </c>
      <c r="E4922" s="100">
        <v>95.418609759036784</v>
      </c>
      <c r="F4922" s="100">
        <v>696.27584797935788</v>
      </c>
      <c r="G4922" s="100">
        <v>-425.71969889825567</v>
      </c>
      <c r="H4922" s="100">
        <v>1081.0268130317411</v>
      </c>
      <c r="I4922" s="100">
        <v>-2037.9701043355567</v>
      </c>
      <c r="J4922" s="100">
        <v>-686.38714222271346</v>
      </c>
    </row>
    <row r="4923" spans="1:10" x14ac:dyDescent="0.25">
      <c r="A4923">
        <v>4906</v>
      </c>
      <c r="B4923" s="100">
        <v>89.731163365494865</v>
      </c>
      <c r="C4923" s="100">
        <v>98.331040771097776</v>
      </c>
      <c r="D4923" s="100">
        <v>93.293680344806276</v>
      </c>
      <c r="E4923" s="100">
        <v>92.760295450973203</v>
      </c>
      <c r="F4923" s="100">
        <v>-585.82250242352529</v>
      </c>
      <c r="G4923" s="100">
        <v>-181.72689670348774</v>
      </c>
      <c r="H4923" s="100">
        <v>-955.2004786393411</v>
      </c>
      <c r="I4923" s="100">
        <v>620.34420372802401</v>
      </c>
      <c r="J4923" s="100">
        <v>-1102.4056740383301</v>
      </c>
    </row>
    <row r="4924" spans="1:10" x14ac:dyDescent="0.25">
      <c r="A4924">
        <v>4907</v>
      </c>
      <c r="B4924" s="100">
        <v>88.961788688087779</v>
      </c>
      <c r="C4924" s="100">
        <v>99.492291224145802</v>
      </c>
      <c r="D4924" s="100">
        <v>91.023229203323794</v>
      </c>
      <c r="E4924" s="100">
        <v>93.156605339185504</v>
      </c>
      <c r="F4924" s="100">
        <v>1953.1139330198585</v>
      </c>
      <c r="G4924" s="100">
        <v>-1923.6025762755276</v>
      </c>
      <c r="H4924" s="100">
        <v>3585.701804325623</v>
      </c>
      <c r="I4924" s="100">
        <v>224.03431551572339</v>
      </c>
      <c r="J4924" s="100">
        <v>3839.2474765856773</v>
      </c>
    </row>
    <row r="4925" spans="1:10" x14ac:dyDescent="0.25">
      <c r="A4925">
        <v>4908</v>
      </c>
      <c r="B4925" s="100">
        <v>89.512377690524119</v>
      </c>
      <c r="C4925" s="100">
        <v>98.472357377722773</v>
      </c>
      <c r="D4925" s="100">
        <v>91.929231340966524</v>
      </c>
      <c r="E4925" s="100">
        <v>92.061451423696298</v>
      </c>
      <c r="F4925" s="100">
        <v>136.17022497993787</v>
      </c>
      <c r="G4925" s="100">
        <v>-393.70180664098342</v>
      </c>
      <c r="H4925" s="100">
        <v>1773.6975290401631</v>
      </c>
      <c r="I4925" s="100">
        <v>1319.1882310049295</v>
      </c>
      <c r="J4925" s="100">
        <v>2835.3541783840474</v>
      </c>
    </row>
    <row r="4926" spans="1:10" x14ac:dyDescent="0.25">
      <c r="A4926">
        <v>4909</v>
      </c>
      <c r="B4926" s="100">
        <v>89.2290893367108</v>
      </c>
      <c r="C4926" s="100">
        <v>99.583174776016577</v>
      </c>
      <c r="D4926" s="100">
        <v>93.056108645677938</v>
      </c>
      <c r="E4926" s="100">
        <v>91.602655246845273</v>
      </c>
      <c r="F4926" s="100">
        <v>1071.0217925638901</v>
      </c>
      <c r="G4926" s="100">
        <v>-2059.9279040816896</v>
      </c>
      <c r="H4926" s="100">
        <v>-480.05708038266448</v>
      </c>
      <c r="I4926" s="100">
        <v>1777.9844078559536</v>
      </c>
      <c r="J4926" s="100">
        <v>309.02121595548965</v>
      </c>
    </row>
    <row r="4927" spans="1:10" x14ac:dyDescent="0.25">
      <c r="A4927">
        <v>4910</v>
      </c>
      <c r="B4927" s="100">
        <v>90.533942152786139</v>
      </c>
      <c r="C4927" s="100">
        <v>97.267376541918111</v>
      </c>
      <c r="D4927" s="100">
        <v>93.626899244909254</v>
      </c>
      <c r="E4927" s="100">
        <v>92.916565540409735</v>
      </c>
      <c r="F4927" s="100">
        <v>-3234.9925004847291</v>
      </c>
      <c r="G4927" s="100">
        <v>1413.7694470660094</v>
      </c>
      <c r="H4927" s="100">
        <v>-1621.6382788452961</v>
      </c>
      <c r="I4927" s="100">
        <v>464.07411429149192</v>
      </c>
      <c r="J4927" s="100">
        <v>-2978.7872179725236</v>
      </c>
    </row>
    <row r="4928" spans="1:10" x14ac:dyDescent="0.25">
      <c r="A4928">
        <v>4911</v>
      </c>
      <c r="B4928" s="100">
        <v>89.573910009718915</v>
      </c>
      <c r="C4928" s="100">
        <v>98.985843733885602</v>
      </c>
      <c r="D4928" s="100">
        <v>90.802476936681614</v>
      </c>
      <c r="E4928" s="100">
        <v>92.38076551087785</v>
      </c>
      <c r="F4928" s="100">
        <v>-66.886428362890626</v>
      </c>
      <c r="G4928" s="100">
        <v>-1163.9313408852274</v>
      </c>
      <c r="H4928" s="100">
        <v>4027.2063376099823</v>
      </c>
      <c r="I4928" s="100">
        <v>999.87414382337647</v>
      </c>
      <c r="J4928" s="100">
        <v>3796.2627121852406</v>
      </c>
    </row>
    <row r="4929" spans="1:10" x14ac:dyDescent="0.25">
      <c r="A4929">
        <v>4912</v>
      </c>
      <c r="B4929" s="100">
        <v>89.797615994594935</v>
      </c>
      <c r="C4929" s="100">
        <v>97.447301826549236</v>
      </c>
      <c r="D4929" s="100">
        <v>92.40138940107849</v>
      </c>
      <c r="E4929" s="100">
        <v>95.175704928971854</v>
      </c>
      <c r="F4929" s="100">
        <v>-805.11617845375554</v>
      </c>
      <c r="G4929" s="100">
        <v>1143.8815201193222</v>
      </c>
      <c r="H4929" s="100">
        <v>829.38140881623212</v>
      </c>
      <c r="I4929" s="100">
        <v>-1795.0652742706268</v>
      </c>
      <c r="J4929" s="100">
        <v>-626.918523788828</v>
      </c>
    </row>
    <row r="4930" spans="1:10" x14ac:dyDescent="0.25">
      <c r="A4930">
        <v>4913</v>
      </c>
      <c r="B4930" s="100">
        <v>89.203597722559365</v>
      </c>
      <c r="C4930" s="100">
        <v>98.715149655499459</v>
      </c>
      <c r="D4930" s="100">
        <v>94.105818260067153</v>
      </c>
      <c r="E4930" s="100">
        <v>94.992310740375174</v>
      </c>
      <c r="F4930" s="100">
        <v>1155.1441192636232</v>
      </c>
      <c r="G4930" s="100">
        <v>-757.89022330601347</v>
      </c>
      <c r="H4930" s="100">
        <v>-2579.4763091610948</v>
      </c>
      <c r="I4930" s="100">
        <v>-1611.6710856739473</v>
      </c>
      <c r="J4930" s="100">
        <v>-3793.8934988774326</v>
      </c>
    </row>
    <row r="4931" spans="1:10" x14ac:dyDescent="0.25">
      <c r="A4931">
        <v>4914</v>
      </c>
      <c r="B4931" s="100">
        <v>89.096207834419459</v>
      </c>
      <c r="C4931" s="100">
        <v>100.25912021719752</v>
      </c>
      <c r="D4931" s="100">
        <v>92.063036110358638</v>
      </c>
      <c r="E4931" s="100">
        <v>93.017250250701238</v>
      </c>
      <c r="F4931" s="100">
        <v>1509.5307501253133</v>
      </c>
      <c r="G4931" s="100">
        <v>-3073.8460658531039</v>
      </c>
      <c r="H4931" s="100">
        <v>1506.087990255935</v>
      </c>
      <c r="I4931" s="100">
        <v>363.38940399998876</v>
      </c>
      <c r="J4931" s="100">
        <v>305.16207852813307</v>
      </c>
    </row>
    <row r="4932" spans="1:10" x14ac:dyDescent="0.25">
      <c r="A4932">
        <v>4915</v>
      </c>
      <c r="B4932" s="100">
        <v>89.032605233544786</v>
      </c>
      <c r="C4932" s="100">
        <v>98.491780740192922</v>
      </c>
      <c r="D4932" s="100">
        <v>92.537925870986257</v>
      </c>
      <c r="E4932" s="100">
        <v>94.935892540223861</v>
      </c>
      <c r="F4932" s="100">
        <v>1719.4193330117373</v>
      </c>
      <c r="G4932" s="100">
        <v>-422.83685034620788</v>
      </c>
      <c r="H4932" s="100">
        <v>556.30846900069741</v>
      </c>
      <c r="I4932" s="100">
        <v>-1555.2528855226342</v>
      </c>
      <c r="J4932" s="100">
        <v>297.6380661435926</v>
      </c>
    </row>
    <row r="4933" spans="1:10" x14ac:dyDescent="0.25">
      <c r="A4933">
        <v>4916</v>
      </c>
      <c r="B4933" s="100">
        <v>89.320548111750085</v>
      </c>
      <c r="C4933" s="100">
        <v>97.874712785219771</v>
      </c>
      <c r="D4933" s="100">
        <v>91.083279391709183</v>
      </c>
      <c r="E4933" s="100">
        <v>92.730206944578299</v>
      </c>
      <c r="F4933" s="100">
        <v>769.20783493424801</v>
      </c>
      <c r="G4933" s="100">
        <v>502.76508211351967</v>
      </c>
      <c r="H4933" s="100">
        <v>3465.6014275548441</v>
      </c>
      <c r="I4933" s="100">
        <v>650.43271012292792</v>
      </c>
      <c r="J4933" s="100">
        <v>5388.00705472554</v>
      </c>
    </row>
    <row r="4934" spans="1:10" x14ac:dyDescent="0.25">
      <c r="A4934">
        <v>4917</v>
      </c>
      <c r="B4934" s="100">
        <v>88.961046643493702</v>
      </c>
      <c r="C4934" s="100">
        <v>97.861063847480523</v>
      </c>
      <c r="D4934" s="100">
        <v>91.595895689628847</v>
      </c>
      <c r="E4934" s="100">
        <v>93.024759414397522</v>
      </c>
      <c r="F4934" s="100">
        <v>1955.5626801803114</v>
      </c>
      <c r="G4934" s="100">
        <v>523.23848872239159</v>
      </c>
      <c r="H4934" s="100">
        <v>2440.3688317155174</v>
      </c>
      <c r="I4934" s="100">
        <v>355.88024030370491</v>
      </c>
      <c r="J4934" s="100">
        <v>5275.0502409219253</v>
      </c>
    </row>
    <row r="4935" spans="1:10" x14ac:dyDescent="0.25">
      <c r="A4935">
        <v>4918</v>
      </c>
      <c r="B4935" s="100">
        <v>88.540119309015651</v>
      </c>
      <c r="C4935" s="100">
        <v>99.026449042389046</v>
      </c>
      <c r="D4935" s="100">
        <v>92.764188499094544</v>
      </c>
      <c r="E4935" s="100">
        <v>93.550190059784825</v>
      </c>
      <c r="F4935" s="100">
        <v>3344.6228839578807</v>
      </c>
      <c r="G4935" s="100">
        <v>-1224.8393036403941</v>
      </c>
      <c r="H4935" s="100">
        <v>103.78321278412272</v>
      </c>
      <c r="I4935" s="100">
        <v>-169.55040508359787</v>
      </c>
      <c r="J4935" s="100">
        <v>2054.0163880180116</v>
      </c>
    </row>
    <row r="4936" spans="1:10" x14ac:dyDescent="0.25">
      <c r="A4936">
        <v>4919</v>
      </c>
      <c r="B4936" s="100">
        <v>89.45099029572944</v>
      </c>
      <c r="C4936" s="100">
        <v>97.506864950658709</v>
      </c>
      <c r="D4936" s="100">
        <v>91.932165913673899</v>
      </c>
      <c r="E4936" s="100">
        <v>94.71801955625989</v>
      </c>
      <c r="F4936" s="100">
        <v>338.7486278023772</v>
      </c>
      <c r="G4936" s="100">
        <v>1054.5368339551119</v>
      </c>
      <c r="H4936" s="100">
        <v>1767.8283836254138</v>
      </c>
      <c r="I4936" s="100">
        <v>-1337.3799015586628</v>
      </c>
      <c r="J4936" s="100">
        <v>1823.7339438242398</v>
      </c>
    </row>
    <row r="4937" spans="1:10" x14ac:dyDescent="0.25">
      <c r="A4937">
        <v>4920</v>
      </c>
      <c r="B4937" s="100">
        <v>89.924558602638697</v>
      </c>
      <c r="C4937" s="100">
        <v>97.776926727752567</v>
      </c>
      <c r="D4937" s="100">
        <v>92.207842341028325</v>
      </c>
      <c r="E4937" s="100">
        <v>92.470101952693895</v>
      </c>
      <c r="F4937" s="100">
        <v>-1224.0267849981719</v>
      </c>
      <c r="G4937" s="100">
        <v>649.444168314325</v>
      </c>
      <c r="H4937" s="100">
        <v>1216.4755289165612</v>
      </c>
      <c r="I4937" s="100">
        <v>910.53770200733197</v>
      </c>
      <c r="J4937" s="100">
        <v>1552.4306142400462</v>
      </c>
    </row>
    <row r="4938" spans="1:10" x14ac:dyDescent="0.25">
      <c r="A4938">
        <v>4921</v>
      </c>
      <c r="B4938" s="100">
        <v>89.659115503397672</v>
      </c>
      <c r="C4938" s="100">
        <v>98.856887548833711</v>
      </c>
      <c r="D4938" s="100">
        <v>91.497570192228594</v>
      </c>
      <c r="E4938" s="100">
        <v>93.406869856600764</v>
      </c>
      <c r="F4938" s="100">
        <v>-348.06455750278786</v>
      </c>
      <c r="G4938" s="100">
        <v>-970.49706330739127</v>
      </c>
      <c r="H4938" s="100">
        <v>2637.0198265160243</v>
      </c>
      <c r="I4938" s="100">
        <v>-26.230201899537064</v>
      </c>
      <c r="J4938" s="100">
        <v>1292.2280038063082</v>
      </c>
    </row>
    <row r="4939" spans="1:10" x14ac:dyDescent="0.25">
      <c r="A4939">
        <v>4922</v>
      </c>
      <c r="B4939" s="100">
        <v>89.704957632762031</v>
      </c>
      <c r="C4939" s="100">
        <v>98.813280126873366</v>
      </c>
      <c r="D4939" s="100">
        <v>92.290188255774666</v>
      </c>
      <c r="E4939" s="100">
        <v>90.367302541369753</v>
      </c>
      <c r="F4939" s="100">
        <v>-499.34358440517457</v>
      </c>
      <c r="G4939" s="100">
        <v>-905.08593036687307</v>
      </c>
      <c r="H4939" s="100">
        <v>1051.7836994238792</v>
      </c>
      <c r="I4939" s="100">
        <v>3013.337113331474</v>
      </c>
      <c r="J4939" s="100">
        <v>2660.6912979833055</v>
      </c>
    </row>
    <row r="4940" spans="1:10" x14ac:dyDescent="0.25">
      <c r="A4940">
        <v>4923</v>
      </c>
      <c r="B4940" s="100">
        <v>89.907574040181146</v>
      </c>
      <c r="C4940" s="100">
        <v>99.490707462037193</v>
      </c>
      <c r="D4940" s="100">
        <v>93.787699380834866</v>
      </c>
      <c r="E4940" s="100">
        <v>90.346941981323482</v>
      </c>
      <c r="F4940" s="100">
        <v>-1167.9777288882519</v>
      </c>
      <c r="G4940" s="100">
        <v>-1921.2269331126138</v>
      </c>
      <c r="H4940" s="100">
        <v>-1943.2385506965204</v>
      </c>
      <c r="I4940" s="100">
        <v>3033.6976733777446</v>
      </c>
      <c r="J4940" s="100">
        <v>-1998.7455393196415</v>
      </c>
    </row>
    <row r="4941" spans="1:10" x14ac:dyDescent="0.25">
      <c r="A4941">
        <v>4924</v>
      </c>
      <c r="B4941" s="100">
        <v>90.331517203329881</v>
      </c>
      <c r="C4941" s="100">
        <v>96.844674291108078</v>
      </c>
      <c r="D4941" s="100">
        <v>93.6248911784987</v>
      </c>
      <c r="E4941" s="100">
        <v>95.552351092345688</v>
      </c>
      <c r="F4941" s="100">
        <v>-2566.990167279077</v>
      </c>
      <c r="G4941" s="100">
        <v>2047.8228232810593</v>
      </c>
      <c r="H4941" s="100">
        <v>-1617.6221460241891</v>
      </c>
      <c r="I4941" s="100">
        <v>-2171.7114376444615</v>
      </c>
      <c r="J4941" s="100">
        <v>-4308.5009276666678</v>
      </c>
    </row>
    <row r="4942" spans="1:10" x14ac:dyDescent="0.25">
      <c r="A4942">
        <v>4925</v>
      </c>
      <c r="B4942" s="100">
        <v>88.993446711804836</v>
      </c>
      <c r="C4942" s="100">
        <v>98.451497345646459</v>
      </c>
      <c r="D4942" s="100">
        <v>92.008697273784577</v>
      </c>
      <c r="E4942" s="100">
        <v>95.745737538767898</v>
      </c>
      <c r="F4942" s="100">
        <v>1848.6424547535705</v>
      </c>
      <c r="G4942" s="100">
        <v>-362.41175852651253</v>
      </c>
      <c r="H4942" s="100">
        <v>1614.7656634040572</v>
      </c>
      <c r="I4942" s="100">
        <v>-2365.0978840666712</v>
      </c>
      <c r="J4942" s="100">
        <v>735.8984755644442</v>
      </c>
    </row>
    <row r="4943" spans="1:10" x14ac:dyDescent="0.25">
      <c r="A4943">
        <v>4926</v>
      </c>
      <c r="B4943" s="100">
        <v>89.170299560530864</v>
      </c>
      <c r="C4943" s="100">
        <v>96.314368964598088</v>
      </c>
      <c r="D4943" s="100">
        <v>93.18256492657747</v>
      </c>
      <c r="E4943" s="100">
        <v>94.565763874784253</v>
      </c>
      <c r="F4943" s="100">
        <v>1265.028053957677</v>
      </c>
      <c r="G4943" s="100">
        <v>2843.280813046043</v>
      </c>
      <c r="H4943" s="100">
        <v>-732.96964218172889</v>
      </c>
      <c r="I4943" s="100">
        <v>-1185.1242200830256</v>
      </c>
      <c r="J4943" s="100">
        <v>2190.215004738965</v>
      </c>
    </row>
    <row r="4944" spans="1:10" x14ac:dyDescent="0.25">
      <c r="A4944">
        <v>4927</v>
      </c>
      <c r="B4944" s="100">
        <v>89.636095403587092</v>
      </c>
      <c r="C4944" s="100">
        <v>97.801473944727377</v>
      </c>
      <c r="D4944" s="100">
        <v>93.274957320547131</v>
      </c>
      <c r="E4944" s="100">
        <v>94.124737378727545</v>
      </c>
      <c r="F4944" s="100">
        <v>-272.09822812787365</v>
      </c>
      <c r="G4944" s="100">
        <v>612.62334285211045</v>
      </c>
      <c r="H4944" s="100">
        <v>-917.75443012105029</v>
      </c>
      <c r="I4944" s="100">
        <v>-744.09772402631802</v>
      </c>
      <c r="J4944" s="100">
        <v>-1321.3270394231315</v>
      </c>
    </row>
    <row r="4945" spans="1:10" x14ac:dyDescent="0.25">
      <c r="A4945">
        <v>4928</v>
      </c>
      <c r="B4945" s="100">
        <v>90.048273138693176</v>
      </c>
      <c r="C4945" s="100">
        <v>98.016690024210092</v>
      </c>
      <c r="D4945" s="100">
        <v>92.907729777126605</v>
      </c>
      <c r="E4945" s="100">
        <v>94.607370377116666</v>
      </c>
      <c r="F4945" s="100">
        <v>-1632.2847539779516</v>
      </c>
      <c r="G4945" s="100">
        <v>289.79922362803734</v>
      </c>
      <c r="H4945" s="100">
        <v>-183.29934327999808</v>
      </c>
      <c r="I4945" s="100">
        <v>-1226.7307224154392</v>
      </c>
      <c r="J4945" s="100">
        <v>-2752.5155960453517</v>
      </c>
    </row>
    <row r="4946" spans="1:10" x14ac:dyDescent="0.25">
      <c r="A4946">
        <v>4929</v>
      </c>
      <c r="B4946" s="100">
        <v>88.430333843402238</v>
      </c>
      <c r="C4946" s="100">
        <v>96.450576974622805</v>
      </c>
      <c r="D4946" s="100">
        <v>92.064507686730778</v>
      </c>
      <c r="E4946" s="100">
        <v>92.738969972687016</v>
      </c>
      <c r="F4946" s="100">
        <v>3706.9149204821442</v>
      </c>
      <c r="G4946" s="100">
        <v>2638.9687980089675</v>
      </c>
      <c r="H4946" s="100">
        <v>1503.1448375116554</v>
      </c>
      <c r="I4946" s="100">
        <v>641.66968201421071</v>
      </c>
      <c r="J4946" s="100">
        <v>8490.6982380169775</v>
      </c>
    </row>
    <row r="4947" spans="1:10" x14ac:dyDescent="0.25">
      <c r="A4947">
        <v>4930</v>
      </c>
      <c r="B4947" s="100">
        <v>89.112228349665443</v>
      </c>
      <c r="C4947" s="100">
        <v>98.012676292097169</v>
      </c>
      <c r="D4947" s="100">
        <v>92.202615224988776</v>
      </c>
      <c r="E4947" s="100">
        <v>91.729892457478755</v>
      </c>
      <c r="F4947" s="100">
        <v>1456.6630498135667</v>
      </c>
      <c r="G4947" s="100">
        <v>295.81982179742283</v>
      </c>
      <c r="H4947" s="100">
        <v>1226.9297609956595</v>
      </c>
      <c r="I4947" s="100">
        <v>1650.7471972224721</v>
      </c>
      <c r="J4947" s="100">
        <v>4630.159829829121</v>
      </c>
    </row>
    <row r="4948" spans="1:10" x14ac:dyDescent="0.25">
      <c r="A4948">
        <v>4931</v>
      </c>
      <c r="B4948" s="100">
        <v>90.018908944435609</v>
      </c>
      <c r="C4948" s="100">
        <v>96.927161172336056</v>
      </c>
      <c r="D4948" s="100">
        <v>91.537693787160507</v>
      </c>
      <c r="E4948" s="100">
        <v>91.64990614383143</v>
      </c>
      <c r="F4948" s="100">
        <v>-1535.3829129279789</v>
      </c>
      <c r="G4948" s="100">
        <v>1924.0925014390909</v>
      </c>
      <c r="H4948" s="100">
        <v>2556.7726366521983</v>
      </c>
      <c r="I4948" s="100">
        <v>1730.7335108697971</v>
      </c>
      <c r="J4948" s="100">
        <v>4676.2157360331075</v>
      </c>
    </row>
    <row r="4949" spans="1:10" x14ac:dyDescent="0.25">
      <c r="A4949">
        <v>4932</v>
      </c>
      <c r="B4949" s="100">
        <v>90.304085527383577</v>
      </c>
      <c r="C4949" s="100">
        <v>97.760692302367787</v>
      </c>
      <c r="D4949" s="100">
        <v>93.310770254022131</v>
      </c>
      <c r="E4949" s="100">
        <v>93.089391769299198</v>
      </c>
      <c r="F4949" s="100">
        <v>-2476.4656366562763</v>
      </c>
      <c r="G4949" s="100">
        <v>673.79580639149594</v>
      </c>
      <c r="H4949" s="100">
        <v>-989.38029707105102</v>
      </c>
      <c r="I4949" s="100">
        <v>291.24788540202928</v>
      </c>
      <c r="J4949" s="100">
        <v>-2500.8022419338022</v>
      </c>
    </row>
    <row r="4950" spans="1:10" x14ac:dyDescent="0.25">
      <c r="A4950">
        <v>4933</v>
      </c>
      <c r="B4950" s="100">
        <v>89.097656974497198</v>
      </c>
      <c r="C4950" s="100">
        <v>98.726531553956335</v>
      </c>
      <c r="D4950" s="100">
        <v>92.082999317991991</v>
      </c>
      <c r="E4950" s="100">
        <v>93.642701302282987</v>
      </c>
      <c r="F4950" s="100">
        <v>1504.7485878687753</v>
      </c>
      <c r="G4950" s="100">
        <v>-774.96307099132628</v>
      </c>
      <c r="H4950" s="100">
        <v>1466.1615749892292</v>
      </c>
      <c r="I4950" s="100">
        <v>-262.06164758175987</v>
      </c>
      <c r="J4950" s="100">
        <v>1933.8854442849185</v>
      </c>
    </row>
    <row r="4951" spans="1:10" x14ac:dyDescent="0.25">
      <c r="A4951">
        <v>4934</v>
      </c>
      <c r="B4951" s="100">
        <v>90.298393598337526</v>
      </c>
      <c r="C4951" s="100">
        <v>97.563607899846005</v>
      </c>
      <c r="D4951" s="100">
        <v>93.500387427632901</v>
      </c>
      <c r="E4951" s="100">
        <v>94.905088010806054</v>
      </c>
      <c r="F4951" s="100">
        <v>-2457.6822708043069</v>
      </c>
      <c r="G4951" s="100">
        <v>969.42241017416814</v>
      </c>
      <c r="H4951" s="100">
        <v>-1368.6146442925917</v>
      </c>
      <c r="I4951" s="100">
        <v>-1524.4483561048269</v>
      </c>
      <c r="J4951" s="100">
        <v>-4381.3228610275573</v>
      </c>
    </row>
    <row r="4952" spans="1:10" x14ac:dyDescent="0.25">
      <c r="A4952">
        <v>4935</v>
      </c>
      <c r="B4952" s="100">
        <v>89.568182592733436</v>
      </c>
      <c r="C4952" s="100">
        <v>98.533315924872198</v>
      </c>
      <c r="D4952" s="100">
        <v>91.223503497681918</v>
      </c>
      <c r="E4952" s="100">
        <v>93.125657945696162</v>
      </c>
      <c r="F4952" s="100">
        <v>-47.985952310808955</v>
      </c>
      <c r="G4952" s="100">
        <v>-485.13962736512184</v>
      </c>
      <c r="H4952" s="100">
        <v>3185.1532156093754</v>
      </c>
      <c r="I4952" s="100">
        <v>254.98170900506523</v>
      </c>
      <c r="J4952" s="100">
        <v>2907.0093449385099</v>
      </c>
    </row>
    <row r="4953" spans="1:10" x14ac:dyDescent="0.25">
      <c r="A4953">
        <v>4936</v>
      </c>
      <c r="B4953" s="100">
        <v>90.402163302231116</v>
      </c>
      <c r="C4953" s="100">
        <v>98.185964337607999</v>
      </c>
      <c r="D4953" s="100">
        <v>93.066018492444798</v>
      </c>
      <c r="E4953" s="100">
        <v>92.863626660480833</v>
      </c>
      <c r="F4953" s="100">
        <v>-2800.1222936531549</v>
      </c>
      <c r="G4953" s="100">
        <v>35.88775353117768</v>
      </c>
      <c r="H4953" s="100">
        <v>-499.87677391638385</v>
      </c>
      <c r="I4953" s="100">
        <v>517.01299422039426</v>
      </c>
      <c r="J4953" s="100">
        <v>-2747.098319817967</v>
      </c>
    </row>
    <row r="4954" spans="1:10" x14ac:dyDescent="0.25">
      <c r="A4954">
        <v>4937</v>
      </c>
      <c r="B4954" s="100">
        <v>89.768098249318925</v>
      </c>
      <c r="C4954" s="100">
        <v>98.946406654308888</v>
      </c>
      <c r="D4954" s="100">
        <v>92.523748262204748</v>
      </c>
      <c r="E4954" s="100">
        <v>95.325241847375622</v>
      </c>
      <c r="F4954" s="100">
        <v>-707.70761904292249</v>
      </c>
      <c r="G4954" s="100">
        <v>-1104.7757215201557</v>
      </c>
      <c r="H4954" s="100">
        <v>584.66368656371515</v>
      </c>
      <c r="I4954" s="100">
        <v>-1944.6021926743952</v>
      </c>
      <c r="J4954" s="100">
        <v>-3172.4218466737584</v>
      </c>
    </row>
    <row r="4955" spans="1:10" x14ac:dyDescent="0.25">
      <c r="A4955">
        <v>4938</v>
      </c>
      <c r="B4955" s="100">
        <v>89.209881379973808</v>
      </c>
      <c r="C4955" s="100">
        <v>97.973131045280411</v>
      </c>
      <c r="D4955" s="100">
        <v>92.039704249351459</v>
      </c>
      <c r="E4955" s="100">
        <v>93.274054433532001</v>
      </c>
      <c r="F4955" s="100">
        <v>1134.4080497959624</v>
      </c>
      <c r="G4955" s="100">
        <v>355.13769202255929</v>
      </c>
      <c r="H4955" s="100">
        <v>1552.7517122702932</v>
      </c>
      <c r="I4955" s="100">
        <v>106.58522116922597</v>
      </c>
      <c r="J4955" s="100">
        <v>3148.8826752580408</v>
      </c>
    </row>
    <row r="4956" spans="1:10" x14ac:dyDescent="0.25">
      <c r="A4956">
        <v>4939</v>
      </c>
      <c r="B4956" s="100">
        <v>89.442770672052831</v>
      </c>
      <c r="C4956" s="100">
        <v>99.08344914689998</v>
      </c>
      <c r="D4956" s="100">
        <v>92.214433774056232</v>
      </c>
      <c r="E4956" s="100">
        <v>93.661350635812468</v>
      </c>
      <c r="F4956" s="100">
        <v>365.87338593518837</v>
      </c>
      <c r="G4956" s="100">
        <v>-1310.3394604067944</v>
      </c>
      <c r="H4956" s="100">
        <v>1203.292662860747</v>
      </c>
      <c r="I4956" s="100">
        <v>-280.71098111124115</v>
      </c>
      <c r="J4956" s="100">
        <v>-21.884392722100188</v>
      </c>
    </row>
    <row r="4957" spans="1:10" x14ac:dyDescent="0.25">
      <c r="A4957">
        <v>4940</v>
      </c>
      <c r="B4957" s="100">
        <v>90.824941457608205</v>
      </c>
      <c r="C4957" s="100">
        <v>97.288137001059511</v>
      </c>
      <c r="D4957" s="100">
        <v>93.383308196750463</v>
      </c>
      <c r="E4957" s="100">
        <v>94.005332772482902</v>
      </c>
      <c r="F4957" s="100">
        <v>-4195.2902063975462</v>
      </c>
      <c r="G4957" s="100">
        <v>1382.6287583539099</v>
      </c>
      <c r="H4957" s="100">
        <v>-1134.456182527714</v>
      </c>
      <c r="I4957" s="100">
        <v>-624.6931177816748</v>
      </c>
      <c r="J4957" s="100">
        <v>-4571.8107483530257</v>
      </c>
    </row>
    <row r="4958" spans="1:10" x14ac:dyDescent="0.25">
      <c r="A4958">
        <v>4941</v>
      </c>
      <c r="B4958" s="100">
        <v>89.481826625874135</v>
      </c>
      <c r="C4958" s="100">
        <v>98.252817360228136</v>
      </c>
      <c r="D4958" s="100">
        <v>92.483392602737283</v>
      </c>
      <c r="E4958" s="100">
        <v>93.227989283534995</v>
      </c>
      <c r="F4958" s="100">
        <v>236.98873832488516</v>
      </c>
      <c r="G4958" s="100">
        <v>-64.391780399027709</v>
      </c>
      <c r="H4958" s="100">
        <v>665.37500549864603</v>
      </c>
      <c r="I4958" s="100">
        <v>152.65037116623148</v>
      </c>
      <c r="J4958" s="100">
        <v>990.62233459073491</v>
      </c>
    </row>
    <row r="4959" spans="1:10" x14ac:dyDescent="0.25">
      <c r="A4959">
        <v>4942</v>
      </c>
      <c r="B4959" s="100">
        <v>89.191185500503025</v>
      </c>
      <c r="C4959" s="100">
        <v>98.69393523913439</v>
      </c>
      <c r="D4959" s="100">
        <v>93.374298472885172</v>
      </c>
      <c r="E4959" s="100">
        <v>93.083725994912768</v>
      </c>
      <c r="F4959" s="100">
        <v>1196.1044520495477</v>
      </c>
      <c r="G4959" s="100">
        <v>-726.06859875840973</v>
      </c>
      <c r="H4959" s="100">
        <v>-1116.4367347971336</v>
      </c>
      <c r="I4959" s="100">
        <v>296.91365978845852</v>
      </c>
      <c r="J4959" s="100">
        <v>-349.48722171753707</v>
      </c>
    </row>
    <row r="4960" spans="1:10" x14ac:dyDescent="0.25">
      <c r="A4960">
        <v>4943</v>
      </c>
      <c r="B4960" s="100">
        <v>89.659996401144625</v>
      </c>
      <c r="C4960" s="100">
        <v>98.131464696086567</v>
      </c>
      <c r="D4960" s="100">
        <v>92.739871009133381</v>
      </c>
      <c r="E4960" s="100">
        <v>93.186547456522774</v>
      </c>
      <c r="F4960" s="100">
        <v>-350.971520067732</v>
      </c>
      <c r="G4960" s="100">
        <v>117.63721581332476</v>
      </c>
      <c r="H4960" s="100">
        <v>152.41819270644896</v>
      </c>
      <c r="I4960" s="100">
        <v>194.09219817845269</v>
      </c>
      <c r="J4960" s="100">
        <v>113.17608663049441</v>
      </c>
    </row>
    <row r="4961" spans="1:10" x14ac:dyDescent="0.25">
      <c r="A4961">
        <v>4944</v>
      </c>
      <c r="B4961" s="100">
        <v>89.118463757627325</v>
      </c>
      <c r="C4961" s="100">
        <v>96.89248519783213</v>
      </c>
      <c r="D4961" s="100">
        <v>91.422815619670274</v>
      </c>
      <c r="E4961" s="100">
        <v>91.490850519807751</v>
      </c>
      <c r="F4961" s="100">
        <v>1436.0862035393579</v>
      </c>
      <c r="G4961" s="100">
        <v>1976.1064631949807</v>
      </c>
      <c r="H4961" s="100">
        <v>2786.5289716326629</v>
      </c>
      <c r="I4961" s="100">
        <v>1889.7891348934763</v>
      </c>
      <c r="J4961" s="100">
        <v>8088.5107732604783</v>
      </c>
    </row>
    <row r="4962" spans="1:10" x14ac:dyDescent="0.25">
      <c r="A4962">
        <v>4945</v>
      </c>
      <c r="B4962" s="100">
        <v>89.775249766495222</v>
      </c>
      <c r="C4962" s="100">
        <v>97.465136102940434</v>
      </c>
      <c r="D4962" s="100">
        <v>92.664163042234023</v>
      </c>
      <c r="E4962" s="100">
        <v>93.964967083131356</v>
      </c>
      <c r="F4962" s="100">
        <v>-731.30762572470189</v>
      </c>
      <c r="G4962" s="100">
        <v>1117.1301055325243</v>
      </c>
      <c r="H4962" s="100">
        <v>303.83412650516561</v>
      </c>
      <c r="I4962" s="100">
        <v>-584.32742843012875</v>
      </c>
      <c r="J4962" s="100">
        <v>105.32917788285931</v>
      </c>
    </row>
    <row r="4963" spans="1:10" x14ac:dyDescent="0.25">
      <c r="A4963">
        <v>4946</v>
      </c>
      <c r="B4963" s="100">
        <v>88.634286981406888</v>
      </c>
      <c r="C4963" s="100">
        <v>100.05316866941078</v>
      </c>
      <c r="D4963" s="100">
        <v>93.759154939372777</v>
      </c>
      <c r="E4963" s="100">
        <v>94.856580632554014</v>
      </c>
      <c r="F4963" s="100">
        <v>3033.8695650668001</v>
      </c>
      <c r="G4963" s="100">
        <v>-2764.918744172995</v>
      </c>
      <c r="H4963" s="100">
        <v>-1886.1496677723437</v>
      </c>
      <c r="I4963" s="100">
        <v>-1475.9409778527868</v>
      </c>
      <c r="J4963" s="100">
        <v>-3093.1398247313255</v>
      </c>
    </row>
    <row r="4964" spans="1:10" x14ac:dyDescent="0.25">
      <c r="A4964">
        <v>4947</v>
      </c>
      <c r="B4964" s="100">
        <v>89.452330052522214</v>
      </c>
      <c r="C4964" s="100">
        <v>98.157891109467272</v>
      </c>
      <c r="D4964" s="100">
        <v>94.002178103699464</v>
      </c>
      <c r="E4964" s="100">
        <v>94.967880046785837</v>
      </c>
      <c r="F4964" s="100">
        <v>334.32743038622306</v>
      </c>
      <c r="G4964" s="100">
        <v>77.997595742267833</v>
      </c>
      <c r="H4964" s="100">
        <v>-2372.1959964257167</v>
      </c>
      <c r="I4964" s="100">
        <v>-1587.2403920846095</v>
      </c>
      <c r="J4964" s="100">
        <v>-3547.1113623818355</v>
      </c>
    </row>
    <row r="4965" spans="1:10" x14ac:dyDescent="0.25">
      <c r="A4965">
        <v>4948</v>
      </c>
      <c r="B4965" s="100">
        <v>89.228823860371861</v>
      </c>
      <c r="C4965" s="100">
        <v>96.264500262624978</v>
      </c>
      <c r="D4965" s="100">
        <v>93.10747489172482</v>
      </c>
      <c r="E4965" s="100">
        <v>97.324634379975961</v>
      </c>
      <c r="F4965" s="100">
        <v>1071.8978644823878</v>
      </c>
      <c r="G4965" s="100">
        <v>2918.0838660057093</v>
      </c>
      <c r="H4965" s="100">
        <v>-582.78957247642893</v>
      </c>
      <c r="I4965" s="100">
        <v>-3943.9947252747343</v>
      </c>
      <c r="J4965" s="100">
        <v>-536.80256726306607</v>
      </c>
    </row>
    <row r="4966" spans="1:10" x14ac:dyDescent="0.25">
      <c r="A4966">
        <v>4949</v>
      </c>
      <c r="B4966" s="100">
        <v>89.384721771880109</v>
      </c>
      <c r="C4966" s="100">
        <v>98.991493179144868</v>
      </c>
      <c r="D4966" s="100">
        <v>91.973294834040885</v>
      </c>
      <c r="E4966" s="100">
        <v>94.406341882000632</v>
      </c>
      <c r="F4966" s="100">
        <v>557.43475650516962</v>
      </c>
      <c r="G4966" s="100">
        <v>-1172.4055087741262</v>
      </c>
      <c r="H4966" s="100">
        <v>1685.5705428914405</v>
      </c>
      <c r="I4966" s="100">
        <v>-1025.702227299405</v>
      </c>
      <c r="J4966" s="100">
        <v>44.897563323078884</v>
      </c>
    </row>
    <row r="4967" spans="1:10" x14ac:dyDescent="0.25">
      <c r="A4967">
        <v>4950</v>
      </c>
      <c r="B4967" s="100">
        <v>89.355315503006977</v>
      </c>
      <c r="C4967" s="100">
        <v>98.915320433275923</v>
      </c>
      <c r="D4967" s="100">
        <v>93.950753486044505</v>
      </c>
      <c r="E4967" s="100">
        <v>91.332777408255239</v>
      </c>
      <c r="F4967" s="100">
        <v>654.47544378650377</v>
      </c>
      <c r="G4967" s="100">
        <v>-1058.1463899707089</v>
      </c>
      <c r="H4967" s="100">
        <v>-2269.3467611157985</v>
      </c>
      <c r="I4967" s="100">
        <v>2047.8622464459875</v>
      </c>
      <c r="J4967" s="100">
        <v>-625.15546085401616</v>
      </c>
    </row>
    <row r="4968" spans="1:10" x14ac:dyDescent="0.25">
      <c r="A4968">
        <v>4951</v>
      </c>
      <c r="B4968" s="100">
        <v>89.991285037478306</v>
      </c>
      <c r="C4968" s="100">
        <v>98.512624959779245</v>
      </c>
      <c r="D4968" s="100">
        <v>91.993544258790408</v>
      </c>
      <c r="E4968" s="100">
        <v>93.938150760776608</v>
      </c>
      <c r="F4968" s="100">
        <v>-1444.2240199688811</v>
      </c>
      <c r="G4968" s="100">
        <v>-454.10317972569203</v>
      </c>
      <c r="H4968" s="100">
        <v>1645.0716933923957</v>
      </c>
      <c r="I4968" s="100">
        <v>-557.51110607538124</v>
      </c>
      <c r="J4968" s="100">
        <v>-810.76661237755877</v>
      </c>
    </row>
    <row r="4969" spans="1:10" x14ac:dyDescent="0.25">
      <c r="A4969">
        <v>4952</v>
      </c>
      <c r="B4969" s="100">
        <v>89.465448338169054</v>
      </c>
      <c r="C4969" s="100">
        <v>97.932542355141635</v>
      </c>
      <c r="D4969" s="100">
        <v>93.64470814352957</v>
      </c>
      <c r="E4969" s="100">
        <v>92.082313014935181</v>
      </c>
      <c r="F4969" s="100">
        <v>291.03708775165131</v>
      </c>
      <c r="G4969" s="100">
        <v>416.02072723072325</v>
      </c>
      <c r="H4969" s="100">
        <v>-1657.256076085929</v>
      </c>
      <c r="I4969" s="100">
        <v>1298.3266397660459</v>
      </c>
      <c r="J4969" s="100">
        <v>348.12837866249151</v>
      </c>
    </row>
    <row r="4970" spans="1:10" x14ac:dyDescent="0.25">
      <c r="A4970">
        <v>4953</v>
      </c>
      <c r="B4970" s="100">
        <v>89.00070702938207</v>
      </c>
      <c r="C4970" s="100">
        <v>97.965923379910024</v>
      </c>
      <c r="D4970" s="100">
        <v>93.882801537482408</v>
      </c>
      <c r="E4970" s="100">
        <v>93.247253587276461</v>
      </c>
      <c r="F4970" s="100">
        <v>1824.6834067486973</v>
      </c>
      <c r="G4970" s="100">
        <v>365.94919007814042</v>
      </c>
      <c r="H4970" s="100">
        <v>-2133.4428639916041</v>
      </c>
      <c r="I4970" s="100">
        <v>133.386067424766</v>
      </c>
      <c r="J4970" s="100">
        <v>190.57580025999937</v>
      </c>
    </row>
    <row r="4971" spans="1:10" x14ac:dyDescent="0.25">
      <c r="A4971">
        <v>4954</v>
      </c>
      <c r="B4971" s="100">
        <v>89.418071894719631</v>
      </c>
      <c r="C4971" s="100">
        <v>99.041840453661692</v>
      </c>
      <c r="D4971" s="100">
        <v>93.980608473364256</v>
      </c>
      <c r="E4971" s="100">
        <v>93.206901145355943</v>
      </c>
      <c r="F4971" s="100">
        <v>447.37935113474663</v>
      </c>
      <c r="G4971" s="100">
        <v>-1247.9264205493621</v>
      </c>
      <c r="H4971" s="100">
        <v>-2329.0567357553018</v>
      </c>
      <c r="I4971" s="100">
        <v>173.73850934528434</v>
      </c>
      <c r="J4971" s="100">
        <v>-2955.8652958246325</v>
      </c>
    </row>
    <row r="4972" spans="1:10" x14ac:dyDescent="0.25">
      <c r="A4972">
        <v>4955</v>
      </c>
      <c r="B4972" s="100">
        <v>89.2170947623665</v>
      </c>
      <c r="C4972" s="100">
        <v>97.805408243509149</v>
      </c>
      <c r="D4972" s="100">
        <v>92.30659019108343</v>
      </c>
      <c r="E4972" s="100">
        <v>94.420294896712292</v>
      </c>
      <c r="F4972" s="100">
        <v>1110.6038879000791</v>
      </c>
      <c r="G4972" s="100">
        <v>606.72189467945259</v>
      </c>
      <c r="H4972" s="100">
        <v>1018.9798288063514</v>
      </c>
      <c r="I4972" s="100">
        <v>-1039.6552420110652</v>
      </c>
      <c r="J4972" s="100">
        <v>1696.6503693748177</v>
      </c>
    </row>
    <row r="4973" spans="1:10" x14ac:dyDescent="0.25">
      <c r="A4973">
        <v>4956</v>
      </c>
      <c r="B4973" s="100">
        <v>89.16394920656947</v>
      </c>
      <c r="C4973" s="100">
        <v>98.092045466941869</v>
      </c>
      <c r="D4973" s="100">
        <v>92.807252414157986</v>
      </c>
      <c r="E4973" s="100">
        <v>91.192733008412716</v>
      </c>
      <c r="F4973" s="100">
        <v>1285.9842220302794</v>
      </c>
      <c r="G4973" s="100">
        <v>176.76605953037239</v>
      </c>
      <c r="H4973" s="100">
        <v>17.655382657238761</v>
      </c>
      <c r="I4973" s="100">
        <v>2187.9066462885107</v>
      </c>
      <c r="J4973" s="100">
        <v>3668.3123105064014</v>
      </c>
    </row>
    <row r="4974" spans="1:10" x14ac:dyDescent="0.25">
      <c r="A4974">
        <v>4957</v>
      </c>
      <c r="B4974" s="100">
        <v>89.074540695170953</v>
      </c>
      <c r="C4974" s="100">
        <v>98.362698382709326</v>
      </c>
      <c r="D4974" s="100">
        <v>93.639424468453939</v>
      </c>
      <c r="E4974" s="100">
        <v>94.746067665690944</v>
      </c>
      <c r="F4974" s="100">
        <v>1581.0323096453858</v>
      </c>
      <c r="G4974" s="100">
        <v>-229.21331412081258</v>
      </c>
      <c r="H4974" s="100">
        <v>-1646.6887259346663</v>
      </c>
      <c r="I4974" s="100">
        <v>-1365.4280109897172</v>
      </c>
      <c r="J4974" s="100">
        <v>-1660.2977413998103</v>
      </c>
    </row>
    <row r="4975" spans="1:10" x14ac:dyDescent="0.25">
      <c r="A4975">
        <v>4958</v>
      </c>
      <c r="B4975" s="100">
        <v>89.298989458522414</v>
      </c>
      <c r="C4975" s="100">
        <v>97.867205819949689</v>
      </c>
      <c r="D4975" s="100">
        <v>93.195092393374125</v>
      </c>
      <c r="E4975" s="100">
        <v>94.877297179545891</v>
      </c>
      <c r="F4975" s="100">
        <v>840.35139058556467</v>
      </c>
      <c r="G4975" s="100">
        <v>514.02553001864248</v>
      </c>
      <c r="H4975" s="100">
        <v>-758.02457577503901</v>
      </c>
      <c r="I4975" s="100">
        <v>-1496.6575248446645</v>
      </c>
      <c r="J4975" s="100">
        <v>-900.30518001549649</v>
      </c>
    </row>
    <row r="4976" spans="1:10" x14ac:dyDescent="0.25">
      <c r="A4976">
        <v>4959</v>
      </c>
      <c r="B4976" s="100">
        <v>90.118511025223043</v>
      </c>
      <c r="C4976" s="100">
        <v>98.524002655992248</v>
      </c>
      <c r="D4976" s="100">
        <v>94.225930824896025</v>
      </c>
      <c r="E4976" s="100">
        <v>94.639717429228057</v>
      </c>
      <c r="F4976" s="100">
        <v>-1864.0697795265125</v>
      </c>
      <c r="G4976" s="100">
        <v>-471.16972404519686</v>
      </c>
      <c r="H4976" s="100">
        <v>-2819.7014388188391</v>
      </c>
      <c r="I4976" s="100">
        <v>-1259.0777745268297</v>
      </c>
      <c r="J4976" s="100">
        <v>-6414.0187169173787</v>
      </c>
    </row>
    <row r="4977" spans="1:10" x14ac:dyDescent="0.25">
      <c r="A4977">
        <v>4960</v>
      </c>
      <c r="B4977" s="100">
        <v>90.065321924476038</v>
      </c>
      <c r="C4977" s="100">
        <v>99.745127344042743</v>
      </c>
      <c r="D4977" s="100">
        <v>93.803873813655841</v>
      </c>
      <c r="E4977" s="100">
        <v>94.434755767114922</v>
      </c>
      <c r="F4977" s="100">
        <v>-1688.5457470613958</v>
      </c>
      <c r="G4977" s="100">
        <v>-2302.8567561209384</v>
      </c>
      <c r="H4977" s="100">
        <v>-1975.5874163384703</v>
      </c>
      <c r="I4977" s="100">
        <v>-1054.1161124136947</v>
      </c>
      <c r="J4977" s="100">
        <v>-7021.1060319344997</v>
      </c>
    </row>
    <row r="4978" spans="1:10" x14ac:dyDescent="0.25">
      <c r="A4978">
        <v>4961</v>
      </c>
      <c r="B4978" s="100">
        <v>90.303830233526341</v>
      </c>
      <c r="C4978" s="100">
        <v>99.258630347271236</v>
      </c>
      <c r="D4978" s="100">
        <v>94.909097199242083</v>
      </c>
      <c r="E4978" s="100">
        <v>94.97446148297567</v>
      </c>
      <c r="F4978" s="100">
        <v>-2475.6231669273957</v>
      </c>
      <c r="G4978" s="100">
        <v>-1573.1112609636782</v>
      </c>
      <c r="H4978" s="100">
        <v>-4186.0341875109552</v>
      </c>
      <c r="I4978" s="100">
        <v>-1593.8218282744429</v>
      </c>
      <c r="J4978" s="100">
        <v>-9828.5904436764722</v>
      </c>
    </row>
    <row r="4979" spans="1:10" x14ac:dyDescent="0.25">
      <c r="A4979">
        <v>4962</v>
      </c>
      <c r="B4979" s="100">
        <v>89.800488106810832</v>
      </c>
      <c r="C4979" s="100">
        <v>97.758768818954948</v>
      </c>
      <c r="D4979" s="100">
        <v>90.921742455637826</v>
      </c>
      <c r="E4979" s="100">
        <v>93.974681110685282</v>
      </c>
      <c r="F4979" s="100">
        <v>-814.59414876621565</v>
      </c>
      <c r="G4979" s="100">
        <v>676.68103151075343</v>
      </c>
      <c r="H4979" s="100">
        <v>3788.6752996975588</v>
      </c>
      <c r="I4979" s="100">
        <v>-594.04145598405478</v>
      </c>
      <c r="J4979" s="100">
        <v>3056.720726458042</v>
      </c>
    </row>
    <row r="4980" spans="1:10" x14ac:dyDescent="0.25">
      <c r="A4980">
        <v>4963</v>
      </c>
      <c r="B4980" s="100">
        <v>89.114803854889217</v>
      </c>
      <c r="C4980" s="100">
        <v>96.754314823427833</v>
      </c>
      <c r="D4980" s="100">
        <v>92.592148640436221</v>
      </c>
      <c r="E4980" s="100">
        <v>92.384626895706077</v>
      </c>
      <c r="F4980" s="100">
        <v>1448.163882575112</v>
      </c>
      <c r="G4980" s="100">
        <v>2183.3620248014258</v>
      </c>
      <c r="H4980" s="100">
        <v>447.86293010076861</v>
      </c>
      <c r="I4980" s="100">
        <v>996.01275899514974</v>
      </c>
      <c r="J4980" s="100">
        <v>5075.4015964724558</v>
      </c>
    </row>
    <row r="4981" spans="1:10" x14ac:dyDescent="0.25">
      <c r="A4981">
        <v>4964</v>
      </c>
      <c r="B4981" s="100">
        <v>88.468161928321877</v>
      </c>
      <c r="C4981" s="100">
        <v>97.418049407158165</v>
      </c>
      <c r="D4981" s="100">
        <v>93.941663402438294</v>
      </c>
      <c r="E4981" s="100">
        <v>96.034998534037172</v>
      </c>
      <c r="F4981" s="100">
        <v>3582.0822402473368</v>
      </c>
      <c r="G4981" s="100">
        <v>1187.7601492059284</v>
      </c>
      <c r="H4981" s="100">
        <v>-2251.1665939033774</v>
      </c>
      <c r="I4981" s="100">
        <v>-2654.3588793359449</v>
      </c>
      <c r="J4981" s="100">
        <v>-135.68308378605707</v>
      </c>
    </row>
    <row r="4982" spans="1:10" x14ac:dyDescent="0.25">
      <c r="A4982">
        <v>4965</v>
      </c>
      <c r="B4982" s="100">
        <v>90.058443222640619</v>
      </c>
      <c r="C4982" s="100">
        <v>98.2420981574313</v>
      </c>
      <c r="D4982" s="100">
        <v>93.106308701815635</v>
      </c>
      <c r="E4982" s="100">
        <v>90.903751734300357</v>
      </c>
      <c r="F4982" s="100">
        <v>-1665.8460310045143</v>
      </c>
      <c r="G4982" s="100">
        <v>-48.312976203774838</v>
      </c>
      <c r="H4982" s="100">
        <v>-580.45719265805928</v>
      </c>
      <c r="I4982" s="100">
        <v>2476.8879204008699</v>
      </c>
      <c r="J4982" s="100">
        <v>182.27172053452159</v>
      </c>
    </row>
    <row r="4983" spans="1:10" x14ac:dyDescent="0.25">
      <c r="A4983">
        <v>4966</v>
      </c>
      <c r="B4983" s="100">
        <v>89.915266373230978</v>
      </c>
      <c r="C4983" s="100">
        <v>98.927180793890642</v>
      </c>
      <c r="D4983" s="100">
        <v>93.878954997013992</v>
      </c>
      <c r="E4983" s="100">
        <v>90.301547404183623</v>
      </c>
      <c r="F4983" s="100">
        <v>-1193.3624279526966</v>
      </c>
      <c r="G4983" s="100">
        <v>-1075.9369308927874</v>
      </c>
      <c r="H4983" s="100">
        <v>-2125.7497830547718</v>
      </c>
      <c r="I4983" s="100">
        <v>3079.092250517604</v>
      </c>
      <c r="J4983" s="100">
        <v>-1315.9568913826515</v>
      </c>
    </row>
    <row r="4984" spans="1:10" x14ac:dyDescent="0.25">
      <c r="A4984">
        <v>4967</v>
      </c>
      <c r="B4984" s="100">
        <v>89.480414453801686</v>
      </c>
      <c r="C4984" s="100">
        <v>97.711870954816177</v>
      </c>
      <c r="D4984" s="100">
        <v>92.559202599809623</v>
      </c>
      <c r="E4984" s="100">
        <v>95.018515388008524</v>
      </c>
      <c r="F4984" s="100">
        <v>241.64890616396661</v>
      </c>
      <c r="G4984" s="100">
        <v>747.02782771890952</v>
      </c>
      <c r="H4984" s="100">
        <v>513.75501135396462</v>
      </c>
      <c r="I4984" s="100">
        <v>-1637.8757333072967</v>
      </c>
      <c r="J4984" s="100">
        <v>-135.44398807045604</v>
      </c>
    </row>
    <row r="4985" spans="1:10" x14ac:dyDescent="0.25">
      <c r="A4985">
        <v>4968</v>
      </c>
      <c r="B4985" s="100">
        <v>90.203940723421667</v>
      </c>
      <c r="C4985" s="100">
        <v>96.252728284071537</v>
      </c>
      <c r="D4985" s="100">
        <v>93.113760525104723</v>
      </c>
      <c r="E4985" s="100">
        <v>93.481108192593709</v>
      </c>
      <c r="F4985" s="100">
        <v>-2145.9877835819711</v>
      </c>
      <c r="G4985" s="100">
        <v>2935.7418338358698</v>
      </c>
      <c r="H4985" s="100">
        <v>-595.36083923623551</v>
      </c>
      <c r="I4985" s="100">
        <v>-100.46853789248189</v>
      </c>
      <c r="J4985" s="100">
        <v>93.924673125181243</v>
      </c>
    </row>
    <row r="4986" spans="1:10" x14ac:dyDescent="0.25">
      <c r="A4986">
        <v>4969</v>
      </c>
      <c r="B4986" s="100">
        <v>89.375721039887139</v>
      </c>
      <c r="C4986" s="100">
        <v>99.758246772380389</v>
      </c>
      <c r="D4986" s="100">
        <v>92.505538371101466</v>
      </c>
      <c r="E4986" s="100">
        <v>94.749716570814982</v>
      </c>
      <c r="F4986" s="100">
        <v>587.13717208196954</v>
      </c>
      <c r="G4986" s="100">
        <v>-2322.5358986274073</v>
      </c>
      <c r="H4986" s="100">
        <v>621.08346877027998</v>
      </c>
      <c r="I4986" s="100">
        <v>-1369.0769161137553</v>
      </c>
      <c r="J4986" s="100">
        <v>-2483.392173888913</v>
      </c>
    </row>
    <row r="4987" spans="1:10" x14ac:dyDescent="0.25">
      <c r="A4987">
        <v>4970</v>
      </c>
      <c r="B4987" s="100">
        <v>89.41328625943288</v>
      </c>
      <c r="C4987" s="100">
        <v>99.468536784744941</v>
      </c>
      <c r="D4987" s="100">
        <v>92.859532145024431</v>
      </c>
      <c r="E4987" s="100">
        <v>92.822713825140752</v>
      </c>
      <c r="F4987" s="100">
        <v>463.17194758102573</v>
      </c>
      <c r="G4987" s="100">
        <v>-1887.9709171742363</v>
      </c>
      <c r="H4987" s="100">
        <v>-86.904079075651453</v>
      </c>
      <c r="I4987" s="100">
        <v>557.92582956047454</v>
      </c>
      <c r="J4987" s="100">
        <v>-953.7772191083875</v>
      </c>
    </row>
    <row r="4988" spans="1:10" x14ac:dyDescent="0.25">
      <c r="A4988">
        <v>4971</v>
      </c>
      <c r="B4988" s="100">
        <v>89.307392785476779</v>
      </c>
      <c r="C4988" s="100">
        <v>97.830160267834927</v>
      </c>
      <c r="D4988" s="100">
        <v>94.075787757530122</v>
      </c>
      <c r="E4988" s="100">
        <v>92.682085694101275</v>
      </c>
      <c r="F4988" s="100">
        <v>812.62041163615913</v>
      </c>
      <c r="G4988" s="100">
        <v>569.59385819078534</v>
      </c>
      <c r="H4988" s="100">
        <v>-2519.4153040870333</v>
      </c>
      <c r="I4988" s="100">
        <v>698.55396059995201</v>
      </c>
      <c r="J4988" s="100">
        <v>-438.64707366013681</v>
      </c>
    </row>
    <row r="4989" spans="1:10" x14ac:dyDescent="0.25">
      <c r="A4989">
        <v>4972</v>
      </c>
      <c r="B4989" s="100">
        <v>89.677689865057999</v>
      </c>
      <c r="C4989" s="100">
        <v>97.797411871066075</v>
      </c>
      <c r="D4989" s="100">
        <v>91.213913185878553</v>
      </c>
      <c r="E4989" s="100">
        <v>94.745441716423329</v>
      </c>
      <c r="F4989" s="100">
        <v>-409.35995098186879</v>
      </c>
      <c r="G4989" s="100">
        <v>618.71645334406367</v>
      </c>
      <c r="H4989" s="100">
        <v>3204.3338392161049</v>
      </c>
      <c r="I4989" s="100">
        <v>-1364.8020617221023</v>
      </c>
      <c r="J4989" s="100">
        <v>2048.8882798561976</v>
      </c>
    </row>
    <row r="4990" spans="1:10" x14ac:dyDescent="0.25">
      <c r="A4990">
        <v>4973</v>
      </c>
      <c r="B4990" s="100">
        <v>89.206778967566379</v>
      </c>
      <c r="C4990" s="100">
        <v>97.054861974399913</v>
      </c>
      <c r="D4990" s="100">
        <v>94.753176883203423</v>
      </c>
      <c r="E4990" s="100">
        <v>91.856755507536377</v>
      </c>
      <c r="F4990" s="100">
        <v>1144.6460107404789</v>
      </c>
      <c r="G4990" s="100">
        <v>1732.5412983433068</v>
      </c>
      <c r="H4990" s="100">
        <v>-3874.1935554336351</v>
      </c>
      <c r="I4990" s="100">
        <v>1523.8841471648498</v>
      </c>
      <c r="J4990" s="100">
        <v>526.87790081500043</v>
      </c>
    </row>
    <row r="4991" spans="1:10" x14ac:dyDescent="0.25">
      <c r="A4991">
        <v>4974</v>
      </c>
      <c r="B4991" s="100">
        <v>90.134653313158125</v>
      </c>
      <c r="C4991" s="100">
        <v>100.23424454417362</v>
      </c>
      <c r="D4991" s="100">
        <v>93.486262726376609</v>
      </c>
      <c r="E4991" s="100">
        <v>93.596656925835603</v>
      </c>
      <c r="F4991" s="100">
        <v>-1917.3393297122843</v>
      </c>
      <c r="G4991" s="100">
        <v>-3036.5325563172546</v>
      </c>
      <c r="H4991" s="100">
        <v>-1340.365241780006</v>
      </c>
      <c r="I4991" s="100">
        <v>-216.01727113437619</v>
      </c>
      <c r="J4991" s="100">
        <v>-6510.2543989439218</v>
      </c>
    </row>
    <row r="4992" spans="1:10" x14ac:dyDescent="0.25">
      <c r="A4992">
        <v>4975</v>
      </c>
      <c r="B4992" s="100">
        <v>88.956315353841092</v>
      </c>
      <c r="C4992" s="100">
        <v>99.851966410967222</v>
      </c>
      <c r="D4992" s="100">
        <v>93.308880450427949</v>
      </c>
      <c r="E4992" s="100">
        <v>92.589506242434936</v>
      </c>
      <c r="F4992" s="100">
        <v>1971.1759360339272</v>
      </c>
      <c r="G4992" s="100">
        <v>-2463.1153565076575</v>
      </c>
      <c r="H4992" s="100">
        <v>-985.60068988268767</v>
      </c>
      <c r="I4992" s="100">
        <v>791.13341226629075</v>
      </c>
      <c r="J4992" s="100">
        <v>-686.40669809012718</v>
      </c>
    </row>
    <row r="4993" spans="1:10" x14ac:dyDescent="0.25">
      <c r="A4993">
        <v>4976</v>
      </c>
      <c r="B4993" s="100">
        <v>88.653549793263124</v>
      </c>
      <c r="C4993" s="100">
        <v>98.844182989712124</v>
      </c>
      <c r="D4993" s="100">
        <v>90.874092075647496</v>
      </c>
      <c r="E4993" s="100">
        <v>92.732269663507509</v>
      </c>
      <c r="F4993" s="100">
        <v>2970.3022859412185</v>
      </c>
      <c r="G4993" s="100">
        <v>-951.44022462500993</v>
      </c>
      <c r="H4993" s="100">
        <v>3883.9760596782185</v>
      </c>
      <c r="I4993" s="100">
        <v>648.36999119371796</v>
      </c>
      <c r="J4993" s="100">
        <v>6551.2081121881456</v>
      </c>
    </row>
    <row r="4994" spans="1:10" x14ac:dyDescent="0.25">
      <c r="A4994">
        <v>4977</v>
      </c>
      <c r="B4994" s="100">
        <v>89.095440451380483</v>
      </c>
      <c r="C4994" s="100">
        <v>98.349354040656607</v>
      </c>
      <c r="D4994" s="100">
        <v>92.331426559083141</v>
      </c>
      <c r="E4994" s="100">
        <v>94.599225321417748</v>
      </c>
      <c r="F4994" s="100">
        <v>1512.0631141539347</v>
      </c>
      <c r="G4994" s="100">
        <v>-209.19680104173466</v>
      </c>
      <c r="H4994" s="100">
        <v>969.30709280692895</v>
      </c>
      <c r="I4994" s="100">
        <v>-1218.5856667165212</v>
      </c>
      <c r="J4994" s="100">
        <v>1053.5877392026077</v>
      </c>
    </row>
    <row r="4995" spans="1:10" x14ac:dyDescent="0.25">
      <c r="A4995">
        <v>4978</v>
      </c>
      <c r="B4995" s="100">
        <v>90.505972287254224</v>
      </c>
      <c r="C4995" s="100">
        <v>98.195320447244782</v>
      </c>
      <c r="D4995" s="100">
        <v>92.024259501973262</v>
      </c>
      <c r="E4995" s="100">
        <v>94.909869415176715</v>
      </c>
      <c r="F4995" s="100">
        <v>-3142.6919442294093</v>
      </c>
      <c r="G4995" s="100">
        <v>21.853589076002322</v>
      </c>
      <c r="H4995" s="100">
        <v>1583.6412070266874</v>
      </c>
      <c r="I4995" s="100">
        <v>-1529.2297604754879</v>
      </c>
      <c r="J4995" s="100">
        <v>-3066.4269086022077</v>
      </c>
    </row>
    <row r="4996" spans="1:10" x14ac:dyDescent="0.25">
      <c r="A4996">
        <v>4979</v>
      </c>
      <c r="B4996" s="100">
        <v>90.300962881724303</v>
      </c>
      <c r="C4996" s="100">
        <v>97.635737732980161</v>
      </c>
      <c r="D4996" s="100">
        <v>93.050705657585098</v>
      </c>
      <c r="E4996" s="100">
        <v>91.609801951309493</v>
      </c>
      <c r="F4996" s="100">
        <v>-2466.1609059806692</v>
      </c>
      <c r="G4996" s="100">
        <v>861.22766047293453</v>
      </c>
      <c r="H4996" s="100">
        <v>-469.25110419698512</v>
      </c>
      <c r="I4996" s="100">
        <v>1770.8377033917345</v>
      </c>
      <c r="J4996" s="100">
        <v>-303.34664631298529</v>
      </c>
    </row>
    <row r="4997" spans="1:10" x14ac:dyDescent="0.25">
      <c r="A4997">
        <v>4980</v>
      </c>
      <c r="B4997" s="100">
        <v>88.84659401255648</v>
      </c>
      <c r="C4997" s="100">
        <v>98.471281366688885</v>
      </c>
      <c r="D4997" s="100">
        <v>93.210033191204687</v>
      </c>
      <c r="E4997" s="100">
        <v>93.290478328759121</v>
      </c>
      <c r="F4997" s="100">
        <v>2333.2563622731454</v>
      </c>
      <c r="G4997" s="100">
        <v>-392.0877900901516</v>
      </c>
      <c r="H4997" s="100">
        <v>-787.90617143616259</v>
      </c>
      <c r="I4997" s="100">
        <v>90.161325942105464</v>
      </c>
      <c r="J4997" s="100">
        <v>1243.4237266889368</v>
      </c>
    </row>
    <row r="4998" spans="1:10" x14ac:dyDescent="0.25">
      <c r="A4998">
        <v>4981</v>
      </c>
      <c r="B4998" s="100">
        <v>89.211931137709556</v>
      </c>
      <c r="C4998" s="100">
        <v>97.198439073638312</v>
      </c>
      <c r="D4998" s="100">
        <v>94.973603185199423</v>
      </c>
      <c r="E4998" s="100">
        <v>92.827153843551017</v>
      </c>
      <c r="F4998" s="100">
        <v>1127.6438492679958</v>
      </c>
      <c r="G4998" s="100">
        <v>1517.1756494857077</v>
      </c>
      <c r="H4998" s="100">
        <v>-4315.046159425634</v>
      </c>
      <c r="I4998" s="100">
        <v>553.48581115021034</v>
      </c>
      <c r="J4998" s="100">
        <v>-1116.7408495217201</v>
      </c>
    </row>
    <row r="4999" spans="1:10" x14ac:dyDescent="0.25">
      <c r="A4999">
        <v>4982</v>
      </c>
      <c r="B4999" s="100">
        <v>89.541309091322219</v>
      </c>
      <c r="C4999" s="100">
        <v>96.979427230133652</v>
      </c>
      <c r="D4999" s="100">
        <v>92.567876877791022</v>
      </c>
      <c r="E4999" s="100">
        <v>94.296736953876106</v>
      </c>
      <c r="F4999" s="100">
        <v>40.696602346206134</v>
      </c>
      <c r="G4999" s="100">
        <v>1845.6934147426978</v>
      </c>
      <c r="H4999" s="100">
        <v>496.4064553911669</v>
      </c>
      <c r="I4999" s="100">
        <v>-916.09729917487925</v>
      </c>
      <c r="J4999" s="100">
        <v>1466.6991733051916</v>
      </c>
    </row>
    <row r="5000" spans="1:10" x14ac:dyDescent="0.25">
      <c r="A5000">
        <v>4983</v>
      </c>
      <c r="B5000" s="100">
        <v>89.742164285918292</v>
      </c>
      <c r="C5000" s="100">
        <v>99.057339666208691</v>
      </c>
      <c r="D5000" s="100">
        <v>92.746124851619868</v>
      </c>
      <c r="E5000" s="100">
        <v>93.771894166704314</v>
      </c>
      <c r="F5000" s="100">
        <v>-622.12553982083568</v>
      </c>
      <c r="G5000" s="100">
        <v>-1271.1752393698603</v>
      </c>
      <c r="H5000" s="100">
        <v>139.91050773347524</v>
      </c>
      <c r="I5000" s="100">
        <v>-391.25451200308703</v>
      </c>
      <c r="J5000" s="100">
        <v>-2144.6447834603077</v>
      </c>
    </row>
    <row r="5001" spans="1:10" x14ac:dyDescent="0.25">
      <c r="A5001">
        <v>4984</v>
      </c>
      <c r="B5001" s="100">
        <v>90.496571629355643</v>
      </c>
      <c r="C5001" s="100">
        <v>99.425139873967865</v>
      </c>
      <c r="D5001" s="100">
        <v>91.303988423940496</v>
      </c>
      <c r="E5001" s="100">
        <v>94.708187304375016</v>
      </c>
      <c r="F5001" s="100">
        <v>-3111.6697731640911</v>
      </c>
      <c r="G5001" s="100">
        <v>-1822.8755510086216</v>
      </c>
      <c r="H5001" s="100">
        <v>3024.1833630922201</v>
      </c>
      <c r="I5001" s="100">
        <v>-1327.5476496737895</v>
      </c>
      <c r="J5001" s="100">
        <v>-3237.9096107542819</v>
      </c>
    </row>
    <row r="5002" spans="1:10" x14ac:dyDescent="0.25">
      <c r="A5002">
        <v>4985</v>
      </c>
      <c r="B5002" s="100">
        <v>89.243914290144005</v>
      </c>
      <c r="C5002" s="100">
        <v>98.111302122007174</v>
      </c>
      <c r="D5002" s="100">
        <v>91.961110863224647</v>
      </c>
      <c r="E5002" s="100">
        <v>92.521717052216857</v>
      </c>
      <c r="F5002" s="100">
        <v>1022.0994462343128</v>
      </c>
      <c r="G5002" s="100">
        <v>147.88107693241415</v>
      </c>
      <c r="H5002" s="100">
        <v>1709.9384845239172</v>
      </c>
      <c r="I5002" s="100">
        <v>858.92260248436969</v>
      </c>
      <c r="J5002" s="100">
        <v>3738.841610175014</v>
      </c>
    </row>
    <row r="5003" spans="1:10" x14ac:dyDescent="0.25">
      <c r="A5003">
        <v>4986</v>
      </c>
      <c r="B5003" s="100">
        <v>89.187693279687679</v>
      </c>
      <c r="C5003" s="100">
        <v>98.111305601703691</v>
      </c>
      <c r="D5003" s="100">
        <v>92.477404719351554</v>
      </c>
      <c r="E5003" s="100">
        <v>94.662138863379056</v>
      </c>
      <c r="F5003" s="100">
        <v>1207.6287807401898</v>
      </c>
      <c r="G5003" s="100">
        <v>147.87585738763909</v>
      </c>
      <c r="H5003" s="100">
        <v>677.35077227010265</v>
      </c>
      <c r="I5003" s="100">
        <v>-1281.4992086778288</v>
      </c>
      <c r="J5003" s="100">
        <v>751.35620172010272</v>
      </c>
    </row>
    <row r="5004" spans="1:10" x14ac:dyDescent="0.25">
      <c r="A5004">
        <v>4987</v>
      </c>
      <c r="B5004" s="100">
        <v>90.794953465699095</v>
      </c>
      <c r="C5004" s="100">
        <v>98.852297268449277</v>
      </c>
      <c r="D5004" s="100">
        <v>92.915840606871328</v>
      </c>
      <c r="E5004" s="100">
        <v>95.336488821333376</v>
      </c>
      <c r="F5004" s="100">
        <v>-4096.329833097484</v>
      </c>
      <c r="G5004" s="100">
        <v>-963.61164273073996</v>
      </c>
      <c r="H5004" s="100">
        <v>-199.52100276944407</v>
      </c>
      <c r="I5004" s="100">
        <v>-1955.8491666321488</v>
      </c>
      <c r="J5004" s="100">
        <v>-7215.3116452298163</v>
      </c>
    </row>
    <row r="5005" spans="1:10" x14ac:dyDescent="0.25">
      <c r="A5005">
        <v>4988</v>
      </c>
      <c r="B5005" s="100">
        <v>89.695280493928735</v>
      </c>
      <c r="C5005" s="100">
        <v>99.06307882216494</v>
      </c>
      <c r="D5005" s="100">
        <v>92.865783000609369</v>
      </c>
      <c r="E5005" s="100">
        <v>92.632940959631597</v>
      </c>
      <c r="F5005" s="100">
        <v>-467.40902625529515</v>
      </c>
      <c r="G5005" s="100">
        <v>-1279.7839733042338</v>
      </c>
      <c r="H5005" s="100">
        <v>-99.405790245526759</v>
      </c>
      <c r="I5005" s="100">
        <v>747.69869506963005</v>
      </c>
      <c r="J5005" s="100">
        <v>-1098.9000947354257</v>
      </c>
    </row>
    <row r="5006" spans="1:10" x14ac:dyDescent="0.25">
      <c r="A5006">
        <v>4989</v>
      </c>
      <c r="B5006" s="100">
        <v>88.789009287895183</v>
      </c>
      <c r="C5006" s="100">
        <v>98.599751609117746</v>
      </c>
      <c r="D5006" s="100">
        <v>94.278308227961801</v>
      </c>
      <c r="E5006" s="100">
        <v>94.48338291838256</v>
      </c>
      <c r="F5006" s="100">
        <v>2523.2859536554242</v>
      </c>
      <c r="G5006" s="100">
        <v>-584.79315373344321</v>
      </c>
      <c r="H5006" s="100">
        <v>-2924.4562449503919</v>
      </c>
      <c r="I5006" s="100">
        <v>-1102.743263681333</v>
      </c>
      <c r="J5006" s="100">
        <v>-2088.7067087097439</v>
      </c>
    </row>
    <row r="5007" spans="1:10" x14ac:dyDescent="0.25">
      <c r="A5007">
        <v>4990</v>
      </c>
      <c r="B5007" s="100">
        <v>90.088575227381213</v>
      </c>
      <c r="C5007" s="100">
        <v>96.621399404685278</v>
      </c>
      <c r="D5007" s="100">
        <v>92.258576309060388</v>
      </c>
      <c r="E5007" s="100">
        <v>93.330439192622677</v>
      </c>
      <c r="F5007" s="100">
        <v>-1765.2816466484737</v>
      </c>
      <c r="G5007" s="100">
        <v>2382.7351529152593</v>
      </c>
      <c r="H5007" s="100">
        <v>1115.0075928524359</v>
      </c>
      <c r="I5007" s="100">
        <v>50.20046207854989</v>
      </c>
      <c r="J5007" s="100">
        <v>1782.6615611977713</v>
      </c>
    </row>
    <row r="5008" spans="1:10" x14ac:dyDescent="0.25">
      <c r="A5008">
        <v>4991</v>
      </c>
      <c r="B5008" s="100">
        <v>89.863711189677574</v>
      </c>
      <c r="C5008" s="100">
        <v>96.09578706573302</v>
      </c>
      <c r="D5008" s="100">
        <v>92.971899024457144</v>
      </c>
      <c r="E5008" s="100">
        <v>94.019932656825588</v>
      </c>
      <c r="F5008" s="100">
        <v>-1023.2303222264634</v>
      </c>
      <c r="G5008" s="100">
        <v>3171.1536613436451</v>
      </c>
      <c r="H5008" s="100">
        <v>-311.63783794107758</v>
      </c>
      <c r="I5008" s="100">
        <v>-639.29300212436146</v>
      </c>
      <c r="J5008" s="100">
        <v>1196.9924990517429</v>
      </c>
    </row>
    <row r="5009" spans="1:10" x14ac:dyDescent="0.25">
      <c r="A5009">
        <v>4992</v>
      </c>
      <c r="B5009" s="100">
        <v>89.77059723441262</v>
      </c>
      <c r="C5009" s="100">
        <v>96.943297857220898</v>
      </c>
      <c r="D5009" s="100">
        <v>90.825772852142109</v>
      </c>
      <c r="E5009" s="100">
        <v>91.128038977228996</v>
      </c>
      <c r="F5009" s="100">
        <v>-715.95426985211498</v>
      </c>
      <c r="G5009" s="100">
        <v>1899.8874741118286</v>
      </c>
      <c r="H5009" s="100">
        <v>3980.614506688994</v>
      </c>
      <c r="I5009" s="100">
        <v>2252.6006774722305</v>
      </c>
      <c r="J5009" s="100">
        <v>7417.1483884209374</v>
      </c>
    </row>
    <row r="5010" spans="1:10" x14ac:dyDescent="0.25">
      <c r="A5010">
        <v>4993</v>
      </c>
      <c r="B5010" s="100">
        <v>89.813868447157432</v>
      </c>
      <c r="C5010" s="100">
        <v>97.893283657686652</v>
      </c>
      <c r="D5010" s="100">
        <v>93.364722893205055</v>
      </c>
      <c r="E5010" s="100">
        <v>91.87323146828777</v>
      </c>
      <c r="F5010" s="100">
        <v>-858.74927190999699</v>
      </c>
      <c r="G5010" s="100">
        <v>474.90877341319759</v>
      </c>
      <c r="H5010" s="100">
        <v>-1097.2855754368993</v>
      </c>
      <c r="I5010" s="100">
        <v>1507.4081864134569</v>
      </c>
      <c r="J5010" s="100">
        <v>26.282112479758098</v>
      </c>
    </row>
    <row r="5011" spans="1:10" x14ac:dyDescent="0.25">
      <c r="A5011">
        <v>4994</v>
      </c>
      <c r="B5011" s="100">
        <v>89.051985660572115</v>
      </c>
      <c r="C5011" s="100">
        <v>98.68837138938467</v>
      </c>
      <c r="D5011" s="100">
        <v>93.131423163458479</v>
      </c>
      <c r="E5011" s="100">
        <v>92.950899107983801</v>
      </c>
      <c r="F5011" s="100">
        <v>1655.4639238215514</v>
      </c>
      <c r="G5011" s="100">
        <v>-717.72282413382982</v>
      </c>
      <c r="H5011" s="100">
        <v>-630.68611594374602</v>
      </c>
      <c r="I5011" s="100">
        <v>429.74054671742579</v>
      </c>
      <c r="J5011" s="100">
        <v>736.79553046140131</v>
      </c>
    </row>
    <row r="5012" spans="1:10" x14ac:dyDescent="0.25">
      <c r="A5012">
        <v>4995</v>
      </c>
      <c r="B5012" s="100">
        <v>89.433431829749296</v>
      </c>
      <c r="C5012" s="100">
        <v>99.322141411302951</v>
      </c>
      <c r="D5012" s="100">
        <v>94.778354141090261</v>
      </c>
      <c r="E5012" s="100">
        <v>92.78856425736582</v>
      </c>
      <c r="F5012" s="100">
        <v>396.69156553685383</v>
      </c>
      <c r="G5012" s="100">
        <v>-1668.3778570112509</v>
      </c>
      <c r="H5012" s="100">
        <v>-3924.5480712073118</v>
      </c>
      <c r="I5012" s="100">
        <v>592.07539733540671</v>
      </c>
      <c r="J5012" s="100">
        <v>-4604.1589653463025</v>
      </c>
    </row>
    <row r="5013" spans="1:10" x14ac:dyDescent="0.25">
      <c r="A5013">
        <v>4996</v>
      </c>
      <c r="B5013" s="100">
        <v>90.32765691300682</v>
      </c>
      <c r="C5013" s="100">
        <v>97.602181520513753</v>
      </c>
      <c r="D5013" s="100">
        <v>92.089479974255582</v>
      </c>
      <c r="E5013" s="100">
        <v>92.307140443991784</v>
      </c>
      <c r="F5013" s="100">
        <v>-2554.2512092129755</v>
      </c>
      <c r="G5013" s="100">
        <v>911.56197917254644</v>
      </c>
      <c r="H5013" s="100">
        <v>1453.2002624620475</v>
      </c>
      <c r="I5013" s="100">
        <v>1073.4992107094427</v>
      </c>
      <c r="J5013" s="100">
        <v>884.01024313106109</v>
      </c>
    </row>
    <row r="5014" spans="1:10" x14ac:dyDescent="0.25">
      <c r="A5014">
        <v>4997</v>
      </c>
      <c r="B5014" s="100">
        <v>89.827553524457798</v>
      </c>
      <c r="C5014" s="100">
        <v>100.21243388615397</v>
      </c>
      <c r="D5014" s="100">
        <v>94.4455935582004</v>
      </c>
      <c r="E5014" s="100">
        <v>93.507776732199062</v>
      </c>
      <c r="F5014" s="100">
        <v>-903.9100270012043</v>
      </c>
      <c r="G5014" s="100">
        <v>-3003.8165692877856</v>
      </c>
      <c r="H5014" s="100">
        <v>-3259.0269054275896</v>
      </c>
      <c r="I5014" s="100">
        <v>-127.13707749783509</v>
      </c>
      <c r="J5014" s="100">
        <v>-7293.8905792144142</v>
      </c>
    </row>
    <row r="5015" spans="1:10" x14ac:dyDescent="0.25">
      <c r="A5015">
        <v>4998</v>
      </c>
      <c r="B5015" s="100">
        <v>89.35365507515948</v>
      </c>
      <c r="C5015" s="100">
        <v>97.922316285342887</v>
      </c>
      <c r="D5015" s="100">
        <v>92.425802173651462</v>
      </c>
      <c r="E5015" s="100">
        <v>93.03489044740941</v>
      </c>
      <c r="F5015" s="100">
        <v>659.95485568324455</v>
      </c>
      <c r="G5015" s="100">
        <v>431.35983192884453</v>
      </c>
      <c r="H5015" s="100">
        <v>780.55586367028695</v>
      </c>
      <c r="I5015" s="100">
        <v>345.74920729181713</v>
      </c>
      <c r="J5015" s="100">
        <v>2217.6197585741929</v>
      </c>
    </row>
    <row r="5016" spans="1:10" x14ac:dyDescent="0.25">
      <c r="A5016">
        <v>4999</v>
      </c>
      <c r="B5016" s="100">
        <v>89.803514512286981</v>
      </c>
      <c r="C5016" s="100">
        <v>98.870503259044852</v>
      </c>
      <c r="D5016" s="100">
        <v>95.522077381914215</v>
      </c>
      <c r="E5016" s="100">
        <v>91.04502602285018</v>
      </c>
      <c r="F5016" s="100">
        <v>-824.58128683750692</v>
      </c>
      <c r="G5016" s="100">
        <v>-990.92062862410307</v>
      </c>
      <c r="H5016" s="100">
        <v>-5411.9945528552198</v>
      </c>
      <c r="I5016" s="100">
        <v>2335.6136318510466</v>
      </c>
      <c r="J5016" s="100">
        <v>-4891.8828364657838</v>
      </c>
    </row>
    <row r="5017" spans="1:10" x14ac:dyDescent="0.25">
      <c r="A5017">
        <v>5000</v>
      </c>
      <c r="B5017" s="100">
        <v>89.834760482794408</v>
      </c>
      <c r="C5017" s="100">
        <v>99.191824137988519</v>
      </c>
      <c r="D5017" s="100">
        <v>94.779726875079803</v>
      </c>
      <c r="E5017" s="100">
        <v>91.968568514391379</v>
      </c>
      <c r="F5017" s="100">
        <v>-927.69298951201768</v>
      </c>
      <c r="G5017" s="100">
        <v>-1472.9019470396024</v>
      </c>
      <c r="H5017" s="100">
        <v>-3927.2935391863939</v>
      </c>
      <c r="I5017" s="100">
        <v>1412.0711403098483</v>
      </c>
      <c r="J5017" s="100">
        <v>-4915.8173354281653</v>
      </c>
    </row>
  </sheetData>
  <mergeCells count="5">
    <mergeCell ref="A2:E2"/>
    <mergeCell ref="E10:F10"/>
    <mergeCell ref="B14:D14"/>
    <mergeCell ref="B16:E16"/>
    <mergeCell ref="F16:I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3" name="Button 11">
              <controlPr defaultSize="0" print="0" autoFill="0" autoPict="0" macro="[0]!Simulacion_VaR_Bonos">
                <anchor moveWithCells="1" sizeWithCells="1">
                  <from>
                    <xdr:col>7</xdr:col>
                    <xdr:colOff>333375</xdr:colOff>
                    <xdr:row>5</xdr:row>
                    <xdr:rowOff>142875</xdr:rowOff>
                  </from>
                  <to>
                    <xdr:col>10</xdr:col>
                    <xdr:colOff>180975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Instrucciones</vt:lpstr>
      <vt:lpstr>Portafolio</vt:lpstr>
      <vt:lpstr>VaR Paramétrico</vt:lpstr>
      <vt:lpstr>VaR Histórico</vt:lpstr>
      <vt:lpstr>Histograma_VaR_Historico 1)</vt:lpstr>
      <vt:lpstr>VaR Simulación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DAVID MENDIETA LOPEZ</cp:lastModifiedBy>
  <dcterms:created xsi:type="dcterms:W3CDTF">2013-04-03T15:49:21Z</dcterms:created>
  <dcterms:modified xsi:type="dcterms:W3CDTF">2024-04-07T03:08:23Z</dcterms:modified>
</cp:coreProperties>
</file>