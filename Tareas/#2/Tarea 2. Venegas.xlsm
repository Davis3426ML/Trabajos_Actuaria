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 Tapia\Documents\"/>
    </mc:Choice>
  </mc:AlternateContent>
  <xr:revisionPtr revIDLastSave="0" documentId="13_ncr:1_{E5C39F90-F271-46F6-A739-8A977FACED08}" xr6:coauthVersionLast="47" xr6:coauthVersionMax="47" xr10:uidLastSave="{00000000-0000-0000-0000-000000000000}"/>
  <bookViews>
    <workbookView xWindow="-110" yWindow="-110" windowWidth="19420" windowHeight="11500" firstSheet="3" activeTab="5" xr2:uid="{00000000-000D-0000-FFFF-FFFF00000000}"/>
  </bookViews>
  <sheets>
    <sheet name="Portafolio" sheetId="11" r:id="rId1"/>
    <sheet name="VaR Parmétrico" sheetId="12" r:id="rId2"/>
    <sheet name="VaR Histórico" sheetId="13" r:id="rId3"/>
    <sheet name="Histograma Var Historico" sheetId="14" r:id="rId4"/>
    <sheet name="Histograma Var Simulaciones" sheetId="16" r:id="rId5"/>
    <sheet name="VaR por simulaciones" sheetId="15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15" l="1"/>
  <c r="L10" i="15" s="1"/>
  <c r="C7" i="15"/>
  <c r="D7" i="15"/>
  <c r="E7" i="15"/>
  <c r="B7" i="15"/>
  <c r="H2" i="11"/>
  <c r="I2" i="11"/>
  <c r="J2" i="11"/>
  <c r="G2" i="11"/>
  <c r="E6" i="15"/>
  <c r="D6" i="15"/>
  <c r="C6" i="15"/>
  <c r="B6" i="15"/>
  <c r="D26" i="12" l="1"/>
  <c r="E26" i="12"/>
  <c r="F26" i="12"/>
  <c r="G26" i="12"/>
  <c r="G25" i="12"/>
  <c r="D25" i="12"/>
  <c r="E25" i="12"/>
  <c r="F25" i="12"/>
  <c r="F24" i="12"/>
  <c r="G24" i="12"/>
  <c r="D24" i="12"/>
  <c r="E24" i="12"/>
  <c r="E23" i="12"/>
  <c r="F23" i="12"/>
  <c r="G23" i="12"/>
  <c r="D23" i="12"/>
  <c r="J10" i="12"/>
  <c r="J11" i="12"/>
  <c r="J12" i="12"/>
  <c r="J9" i="12"/>
  <c r="E12" i="12"/>
  <c r="E11" i="12"/>
  <c r="E10" i="12"/>
  <c r="E9" i="12"/>
  <c r="A256" i="13"/>
  <c r="A255" i="13" s="1"/>
  <c r="A254" i="13" s="1"/>
  <c r="A253" i="13" s="1"/>
  <c r="A252" i="13" s="1"/>
  <c r="A251" i="13" s="1"/>
  <c r="A250" i="13" s="1"/>
  <c r="A249" i="13" s="1"/>
  <c r="A248" i="13" s="1"/>
  <c r="A247" i="13" s="1"/>
  <c r="A246" i="13" s="1"/>
  <c r="A245" i="13" s="1"/>
  <c r="A244" i="13" s="1"/>
  <c r="A243" i="13" s="1"/>
  <c r="A242" i="13" s="1"/>
  <c r="A241" i="13" s="1"/>
  <c r="A240" i="13" s="1"/>
  <c r="A239" i="13" s="1"/>
  <c r="A238" i="13" s="1"/>
  <c r="A237" i="13" s="1"/>
  <c r="A236" i="13" s="1"/>
  <c r="A235" i="13" s="1"/>
  <c r="A234" i="13" s="1"/>
  <c r="A233" i="13" s="1"/>
  <c r="A232" i="13" s="1"/>
  <c r="A231" i="13" s="1"/>
  <c r="A230" i="13" s="1"/>
  <c r="A229" i="13" s="1"/>
  <c r="A228" i="13" s="1"/>
  <c r="A227" i="13" s="1"/>
  <c r="A226" i="13" s="1"/>
  <c r="A225" i="13" s="1"/>
  <c r="A224" i="13" s="1"/>
  <c r="A223" i="13" s="1"/>
  <c r="A222" i="13" s="1"/>
  <c r="A221" i="13" s="1"/>
  <c r="A220" i="13" s="1"/>
  <c r="A219" i="13" s="1"/>
  <c r="A218" i="13" s="1"/>
  <c r="A217" i="13" s="1"/>
  <c r="A216" i="13" s="1"/>
  <c r="A215" i="13" s="1"/>
  <c r="A214" i="13" s="1"/>
  <c r="A213" i="13" s="1"/>
  <c r="A212" i="13" s="1"/>
  <c r="A211" i="13" s="1"/>
  <c r="A210" i="13" s="1"/>
  <c r="A209" i="13" s="1"/>
  <c r="A208" i="13" s="1"/>
  <c r="A207" i="13" s="1"/>
  <c r="A206" i="13" s="1"/>
  <c r="A205" i="13" s="1"/>
  <c r="A204" i="13" s="1"/>
  <c r="A203" i="13" s="1"/>
  <c r="A202" i="13" s="1"/>
  <c r="A201" i="13" s="1"/>
  <c r="A200" i="13" s="1"/>
  <c r="A199" i="13" s="1"/>
  <c r="A198" i="13" s="1"/>
  <c r="A197" i="13" s="1"/>
  <c r="A196" i="13" s="1"/>
  <c r="A195" i="13" s="1"/>
  <c r="A194" i="13" s="1"/>
  <c r="A193" i="13" s="1"/>
  <c r="A192" i="13" s="1"/>
  <c r="A191" i="13" s="1"/>
  <c r="A190" i="13" s="1"/>
  <c r="A189" i="13" s="1"/>
  <c r="A188" i="13" s="1"/>
  <c r="A187" i="13" s="1"/>
  <c r="A186" i="13" s="1"/>
  <c r="A185" i="13" s="1"/>
  <c r="A184" i="13" s="1"/>
  <c r="A183" i="13" s="1"/>
  <c r="A182" i="13" s="1"/>
  <c r="A181" i="13" s="1"/>
  <c r="A180" i="13" s="1"/>
  <c r="A179" i="13" s="1"/>
  <c r="A178" i="13" s="1"/>
  <c r="A177" i="13" s="1"/>
  <c r="A176" i="13" s="1"/>
  <c r="A175" i="13" s="1"/>
  <c r="A174" i="13" s="1"/>
  <c r="A173" i="13" s="1"/>
  <c r="A172" i="13" s="1"/>
  <c r="A171" i="13" s="1"/>
  <c r="A170" i="13" s="1"/>
  <c r="A169" i="13" s="1"/>
  <c r="A168" i="13" s="1"/>
  <c r="A167" i="13" s="1"/>
  <c r="A166" i="13" s="1"/>
  <c r="A165" i="13" s="1"/>
  <c r="A164" i="13" s="1"/>
  <c r="A163" i="13" s="1"/>
  <c r="A162" i="13" s="1"/>
  <c r="A161" i="13" s="1"/>
  <c r="A160" i="13" s="1"/>
  <c r="A159" i="13" s="1"/>
  <c r="A158" i="13" s="1"/>
  <c r="A157" i="13" s="1"/>
  <c r="A156" i="13" s="1"/>
  <c r="A155" i="13" s="1"/>
  <c r="A154" i="13" s="1"/>
  <c r="A153" i="13" s="1"/>
  <c r="A152" i="13" s="1"/>
  <c r="A151" i="13" s="1"/>
  <c r="A150" i="13" s="1"/>
  <c r="A149" i="13" s="1"/>
  <c r="A148" i="13" s="1"/>
  <c r="A147" i="13" s="1"/>
  <c r="A146" i="13" s="1"/>
  <c r="A145" i="13" s="1"/>
  <c r="A144" i="13" s="1"/>
  <c r="A143" i="13" s="1"/>
  <c r="A142" i="13" s="1"/>
  <c r="A141" i="13" s="1"/>
  <c r="A140" i="13" s="1"/>
  <c r="A139" i="13" s="1"/>
  <c r="A138" i="13" s="1"/>
  <c r="A137" i="13" s="1"/>
  <c r="A136" i="13" s="1"/>
  <c r="A135" i="13" s="1"/>
  <c r="A134" i="13" s="1"/>
  <c r="A133" i="13" s="1"/>
  <c r="A132" i="13" s="1"/>
  <c r="A131" i="13" s="1"/>
  <c r="A130" i="13" s="1"/>
  <c r="A129" i="13" s="1"/>
  <c r="A128" i="13" s="1"/>
  <c r="A127" i="13" s="1"/>
  <c r="A126" i="13" s="1"/>
  <c r="A125" i="13" s="1"/>
  <c r="A124" i="13" s="1"/>
  <c r="A123" i="13" s="1"/>
  <c r="A122" i="13" s="1"/>
  <c r="A121" i="13" s="1"/>
  <c r="A120" i="13" s="1"/>
  <c r="A119" i="13" s="1"/>
  <c r="A118" i="13" s="1"/>
  <c r="A117" i="13" s="1"/>
  <c r="A116" i="13" s="1"/>
  <c r="A115" i="13" s="1"/>
  <c r="A114" i="13" s="1"/>
  <c r="A113" i="13" s="1"/>
  <c r="A112" i="13" s="1"/>
  <c r="A111" i="13" s="1"/>
  <c r="A110" i="13" s="1"/>
  <c r="A109" i="13" s="1"/>
  <c r="A108" i="13" s="1"/>
  <c r="A107" i="13" s="1"/>
  <c r="A106" i="13" s="1"/>
  <c r="A105" i="13" s="1"/>
  <c r="A104" i="13" s="1"/>
  <c r="A103" i="13" s="1"/>
  <c r="A102" i="13" s="1"/>
  <c r="A101" i="13" s="1"/>
  <c r="A100" i="13" s="1"/>
  <c r="A99" i="13" s="1"/>
  <c r="A98" i="13" s="1"/>
  <c r="A97" i="13" s="1"/>
  <c r="A96" i="13" s="1"/>
  <c r="A95" i="13" s="1"/>
  <c r="A94" i="13" s="1"/>
  <c r="A93" i="13" s="1"/>
  <c r="A92" i="13" s="1"/>
  <c r="A91" i="13" s="1"/>
  <c r="A90" i="13" s="1"/>
  <c r="A89" i="13" s="1"/>
  <c r="A88" i="13" s="1"/>
  <c r="A87" i="13" s="1"/>
  <c r="A86" i="13" s="1"/>
  <c r="A85" i="13" s="1"/>
  <c r="A84" i="13" s="1"/>
  <c r="A83" i="13" s="1"/>
  <c r="A82" i="13" s="1"/>
  <c r="A81" i="13" s="1"/>
  <c r="A80" i="13" s="1"/>
  <c r="A79" i="13" s="1"/>
  <c r="A78" i="13" s="1"/>
  <c r="A77" i="13" s="1"/>
  <c r="A76" i="13" s="1"/>
  <c r="A75" i="13" s="1"/>
  <c r="A74" i="13" s="1"/>
  <c r="A73" i="13" s="1"/>
  <c r="A72" i="13" s="1"/>
  <c r="A71" i="13" s="1"/>
  <c r="A70" i="13" s="1"/>
  <c r="A69" i="13" s="1"/>
  <c r="A68" i="13" s="1"/>
  <c r="A67" i="13" s="1"/>
  <c r="A66" i="13" s="1"/>
  <c r="A65" i="13" s="1"/>
  <c r="A64" i="13" s="1"/>
  <c r="A63" i="13" s="1"/>
  <c r="A62" i="13" s="1"/>
  <c r="A61" i="13" s="1"/>
  <c r="A60" i="13" s="1"/>
  <c r="A59" i="13" s="1"/>
  <c r="A58" i="13" s="1"/>
  <c r="A57" i="13" s="1"/>
  <c r="A56" i="13" s="1"/>
  <c r="A55" i="13" s="1"/>
  <c r="A54" i="13" s="1"/>
  <c r="A53" i="13" s="1"/>
  <c r="A52" i="13" s="1"/>
  <c r="A51" i="13" s="1"/>
  <c r="A50" i="13" s="1"/>
  <c r="A49" i="13" s="1"/>
  <c r="A48" i="13" s="1"/>
  <c r="A47" i="13" s="1"/>
  <c r="A46" i="13" s="1"/>
  <c r="A45" i="13" s="1"/>
  <c r="A44" i="13" s="1"/>
  <c r="A43" i="13" s="1"/>
  <c r="A42" i="13" s="1"/>
  <c r="A41" i="13" s="1"/>
  <c r="A40" i="13" s="1"/>
  <c r="A39" i="13" s="1"/>
  <c r="A38" i="13" s="1"/>
  <c r="A37" i="13" s="1"/>
  <c r="A36" i="13" s="1"/>
  <c r="A35" i="13" s="1"/>
  <c r="A34" i="13" s="1"/>
  <c r="A33" i="13" s="1"/>
  <c r="A32" i="13" s="1"/>
  <c r="A31" i="13" s="1"/>
  <c r="A30" i="13" s="1"/>
  <c r="A29" i="13" s="1"/>
  <c r="A28" i="13" s="1"/>
  <c r="A27" i="13" s="1"/>
  <c r="A26" i="13" s="1"/>
  <c r="A25" i="13" s="1"/>
  <c r="A24" i="13" s="1"/>
  <c r="A23" i="13" s="1"/>
  <c r="A22" i="13" s="1"/>
  <c r="A21" i="13" s="1"/>
  <c r="A20" i="13" s="1"/>
  <c r="A19" i="13" s="1"/>
  <c r="A18" i="13" s="1"/>
  <c r="A17" i="13" s="1"/>
  <c r="A16" i="13" s="1"/>
  <c r="A15" i="13" s="1"/>
  <c r="A14" i="13" s="1"/>
  <c r="A13" i="13" s="1"/>
  <c r="A12" i="13" s="1"/>
  <c r="A11" i="13" s="1"/>
  <c r="A10" i="13" s="1"/>
  <c r="A9" i="13" s="1"/>
  <c r="A8" i="13" s="1"/>
  <c r="A7" i="13" s="1"/>
  <c r="A6" i="13" s="1"/>
  <c r="A5" i="13" s="1"/>
  <c r="J4" i="13"/>
  <c r="N4" i="13" s="1"/>
  <c r="R4" i="13" s="1"/>
  <c r="I4" i="13"/>
  <c r="M4" i="13" s="1"/>
  <c r="Q4" i="13" s="1"/>
  <c r="H4" i="13"/>
  <c r="L4" i="13" s="1"/>
  <c r="P4" i="13" s="1"/>
  <c r="G4" i="13"/>
  <c r="K4" i="13" s="1"/>
  <c r="O4" i="13" s="1"/>
  <c r="C72" i="13" a="1"/>
  <c r="E145" i="13" a="1"/>
  <c r="C162" i="13" a="1"/>
  <c r="F68" i="13" a="1"/>
  <c r="C219" i="13" a="1"/>
  <c r="E175" i="13" a="1"/>
  <c r="F146" i="13" a="1"/>
  <c r="F55" i="13" a="1"/>
  <c r="F152" i="13" a="1"/>
  <c r="C14" i="13" a="1"/>
  <c r="C191" i="13" a="1"/>
  <c r="C163" i="13" a="1"/>
  <c r="E180" i="13" a="1"/>
  <c r="C16" i="13" a="1"/>
  <c r="F201" i="13" a="1"/>
  <c r="D123" i="13" a="1"/>
  <c r="E120" i="13" a="1"/>
  <c r="F88" i="13" a="1"/>
  <c r="D24" i="13" a="1"/>
  <c r="C202" i="13" a="1"/>
  <c r="D59" i="13" a="1"/>
  <c r="D156" i="13" a="1"/>
  <c r="E18" i="13" a="1"/>
  <c r="D198" i="13" a="1"/>
  <c r="D215" i="13" a="1"/>
  <c r="D93" i="13" a="1"/>
  <c r="E11" i="13" a="1"/>
  <c r="E76" i="13" a="1"/>
  <c r="C215" i="13" a="1"/>
  <c r="D54" i="13" a="1"/>
  <c r="C231" i="13" a="1"/>
  <c r="C67" i="13" a="1"/>
  <c r="E10" i="13" a="1"/>
  <c r="E204" i="13" a="1"/>
  <c r="F197" i="13" a="1"/>
  <c r="C166" i="13" a="1"/>
  <c r="E68" i="13" a="1"/>
  <c r="F170" i="13" a="1"/>
  <c r="E246" i="13" a="1"/>
  <c r="F8" i="13" a="1"/>
  <c r="F60" i="13" a="1"/>
  <c r="D86" i="13" a="1"/>
  <c r="C153" i="13" a="1"/>
  <c r="F231" i="13" a="1"/>
  <c r="F208" i="13" a="1"/>
  <c r="E218" i="13" a="1"/>
  <c r="F5" i="13" a="1"/>
  <c r="C60" i="13" a="1"/>
  <c r="E62" i="13" a="1"/>
  <c r="C146" i="13" a="1"/>
  <c r="E29" i="13" a="1"/>
  <c r="D181" i="13" a="1"/>
  <c r="E21" i="13" a="1"/>
  <c r="C213" i="13" a="1"/>
  <c r="E33" i="13" a="1"/>
  <c r="C117" i="13" a="1"/>
  <c r="F209" i="13" a="1"/>
  <c r="C7" i="13" a="1"/>
  <c r="E205" i="13" a="1"/>
  <c r="D77" i="13" a="1"/>
  <c r="D214" i="13" a="1"/>
  <c r="D33" i="13" a="1"/>
  <c r="D211" i="13" a="1"/>
  <c r="D179" i="13" a="1"/>
  <c r="C71" i="13" a="1"/>
  <c r="D69" i="13" a="1"/>
  <c r="F113" i="13" a="1"/>
  <c r="F79" i="13" a="1"/>
  <c r="F105" i="13" a="1"/>
  <c r="C174" i="13" a="1"/>
  <c r="C118" i="13" a="1"/>
  <c r="D124" i="13" a="1"/>
  <c r="C257" i="13" a="1"/>
  <c r="C96" i="13" a="1"/>
  <c r="E107" i="13" a="1"/>
  <c r="C134" i="13" a="1"/>
  <c r="D104" i="13" a="1"/>
  <c r="F187" i="13" a="1"/>
  <c r="D120" i="13" a="1"/>
  <c r="C27" i="13" a="1"/>
  <c r="D28" i="13" a="1"/>
  <c r="C100" i="13" a="1"/>
  <c r="D13" i="13" a="1"/>
  <c r="C187" i="13" a="1"/>
  <c r="E126" i="13" a="1"/>
  <c r="E67" i="13" a="1"/>
  <c r="C198" i="13" a="1"/>
  <c r="D14" i="13" a="1"/>
  <c r="D148" i="13" a="1"/>
  <c r="F252" i="13" a="1"/>
  <c r="F22" i="13" a="1"/>
  <c r="C188" i="13" a="1"/>
  <c r="E26" i="13" a="1"/>
  <c r="C18" i="13" a="1"/>
  <c r="F19" i="13" a="1"/>
  <c r="C63" i="13" a="1"/>
  <c r="F118" i="13" a="1"/>
  <c r="C108" i="13" a="1"/>
  <c r="E80" i="13" a="1"/>
  <c r="D170" i="13" a="1"/>
  <c r="D147" i="13" a="1"/>
  <c r="D108" i="13" a="1"/>
  <c r="C106" i="13" a="1"/>
  <c r="F25" i="13" a="1"/>
  <c r="C245" i="13" a="1"/>
  <c r="D26" i="13" a="1"/>
  <c r="F75" i="13" a="1"/>
  <c r="E217" i="13" a="1"/>
  <c r="C40" i="13" a="1"/>
  <c r="F99" i="13" a="1"/>
  <c r="D134" i="13" a="1"/>
  <c r="E92" i="13" a="1"/>
  <c r="D72" i="13" a="1"/>
  <c r="F182" i="13" a="1"/>
  <c r="D241" i="13" a="1"/>
  <c r="E245" i="13" a="1"/>
  <c r="E28" i="13" a="1"/>
  <c r="F73" i="13" a="1"/>
  <c r="D220" i="13" a="1"/>
  <c r="C101" i="13" a="1"/>
  <c r="F91" i="13" a="1"/>
  <c r="D98" i="13" a="1"/>
  <c r="F228" i="13" a="1"/>
  <c r="E256" i="13" a="1"/>
  <c r="D167" i="13" a="1"/>
  <c r="F120" i="13" a="1"/>
  <c r="C95" i="13" a="1"/>
  <c r="C167" i="13" a="1"/>
  <c r="C233" i="13" a="1"/>
  <c r="E125" i="13" a="1"/>
  <c r="D132" i="13" a="1"/>
  <c r="E184" i="13" a="1"/>
  <c r="C109" i="13" a="1"/>
  <c r="D79" i="13" a="1"/>
  <c r="C176" i="13" a="1"/>
  <c r="F61" i="13" a="1"/>
  <c r="D227" i="13" a="1"/>
  <c r="C33" i="13" a="1"/>
  <c r="C147" i="13" a="1"/>
  <c r="E35" i="13" a="1"/>
  <c r="C123" i="13" a="1"/>
  <c r="F237" i="13" a="1"/>
  <c r="C23" i="13" a="1"/>
  <c r="E157" i="13" a="1"/>
  <c r="E69" i="13" a="1"/>
  <c r="F245" i="13" a="1"/>
  <c r="F82" i="13" a="1"/>
  <c r="F179" i="13" a="1"/>
  <c r="D83" i="13" a="1"/>
  <c r="D8" i="13" a="1"/>
  <c r="E189" i="13" a="1"/>
  <c r="E41" i="13" a="1"/>
  <c r="E136" i="13" a="1"/>
  <c r="F142" i="13" a="1"/>
  <c r="C179" i="13" a="1"/>
  <c r="C159" i="13" a="1"/>
  <c r="C91" i="13" a="1"/>
  <c r="E231" i="13" a="1"/>
  <c r="E15" i="13" a="1"/>
  <c r="D195" i="13" a="1"/>
  <c r="C205" i="13" a="1"/>
  <c r="C199" i="13" a="1"/>
  <c r="F138" i="13" a="1"/>
  <c r="D114" i="13" a="1"/>
  <c r="F112" i="13" a="1"/>
  <c r="E34" i="13" a="1"/>
  <c r="F176" i="13" a="1"/>
  <c r="E40" i="13" a="1"/>
  <c r="C238" i="13" a="1"/>
  <c r="C217" i="13" a="1"/>
  <c r="D92" i="13" a="1"/>
  <c r="E202" i="13" a="1"/>
  <c r="F129" i="13" a="1"/>
  <c r="D193" i="13" a="1"/>
  <c r="E5" i="13" a="1"/>
  <c r="C61" i="13" a="1"/>
  <c r="E103" i="13" a="1"/>
  <c r="D196" i="13" a="1"/>
  <c r="D223" i="13" a="1"/>
  <c r="E227" i="13" a="1"/>
  <c r="E106" i="13" a="1"/>
  <c r="E215" i="13" a="1"/>
  <c r="C186" i="13" a="1"/>
  <c r="E240" i="13" a="1"/>
  <c r="F122" i="13" a="1"/>
  <c r="F13" i="13" a="1"/>
  <c r="C79" i="13" a="1"/>
  <c r="E257" i="13" a="1"/>
  <c r="E221" i="13" a="1"/>
  <c r="C131" i="13" a="1"/>
  <c r="F188" i="13" a="1"/>
  <c r="D29" i="13" a="1"/>
  <c r="E169" i="13" a="1"/>
  <c r="C240" i="13" a="1"/>
  <c r="E64" i="13" a="1"/>
  <c r="E197" i="13" a="1"/>
  <c r="F109" i="13" a="1"/>
  <c r="E199" i="13" a="1"/>
  <c r="D19" i="13" a="1"/>
  <c r="D118" i="13" a="1"/>
  <c r="D190" i="13" a="1"/>
  <c r="E148" i="13" a="1"/>
  <c r="C55" i="13" a="1"/>
  <c r="C29" i="13" a="1"/>
  <c r="D44" i="13" a="1"/>
  <c r="C165" i="13" a="1"/>
  <c r="D212" i="13" a="1"/>
  <c r="E250" i="13" a="1"/>
  <c r="D217" i="13" a="1"/>
  <c r="D116" i="13" a="1"/>
  <c r="C203" i="13" a="1"/>
  <c r="E36" i="13" a="1"/>
  <c r="E155" i="13" a="1"/>
  <c r="F225" i="13" a="1"/>
  <c r="F230" i="13" a="1"/>
  <c r="E65" i="13" a="1"/>
  <c r="D165" i="13" a="1"/>
  <c r="C227" i="13" a="1"/>
  <c r="C182" i="13" a="1"/>
  <c r="F17" i="13" a="1"/>
  <c r="D41" i="13" a="1"/>
  <c r="D63" i="13" a="1"/>
  <c r="C87" i="13" a="1"/>
  <c r="D249" i="13" a="1"/>
  <c r="C211" i="13" a="1"/>
  <c r="D43" i="13" a="1"/>
  <c r="D125" i="13" a="1"/>
  <c r="F71" i="13" a="1"/>
  <c r="D255" i="13" a="1"/>
  <c r="D105" i="13" a="1"/>
  <c r="F177" i="13" a="1"/>
  <c r="F53" i="13" a="1"/>
  <c r="E49" i="13" a="1"/>
  <c r="D30" i="13" a="1"/>
  <c r="C155" i="13" a="1"/>
  <c r="D16" i="13" a="1"/>
  <c r="F193" i="13" a="1"/>
  <c r="C54" i="13" a="1"/>
  <c r="C247" i="13" a="1"/>
  <c r="D61" i="13" a="1"/>
  <c r="F125" i="13" a="1"/>
  <c r="D158" i="13" a="1"/>
  <c r="F41" i="13" a="1"/>
  <c r="E147" i="13" a="1"/>
  <c r="F155" i="13" a="1"/>
  <c r="F202" i="13" a="1"/>
  <c r="E75" i="13" a="1"/>
  <c r="F200" i="13" a="1"/>
  <c r="E22" i="13" a="1"/>
  <c r="F111" i="13" a="1"/>
  <c r="D244" i="13" a="1"/>
  <c r="C206" i="13" a="1"/>
  <c r="E37" i="13" a="1"/>
  <c r="F256" i="13" a="1"/>
  <c r="F18" i="13" a="1"/>
  <c r="C25" i="13" a="1"/>
  <c r="F56" i="13" a="1"/>
  <c r="D52" i="13" a="1"/>
  <c r="F117" i="13" a="1"/>
  <c r="E211" i="13" a="1"/>
  <c r="C65" i="13" a="1"/>
  <c r="C99" i="13" a="1"/>
  <c r="C32" i="13" a="1"/>
  <c r="C102" i="13" a="1"/>
  <c r="F86" i="13" a="1"/>
  <c r="C110" i="13" a="1"/>
  <c r="D25" i="13" a="1"/>
  <c r="E19" i="13" a="1"/>
  <c r="F96" i="13" a="1"/>
  <c r="E230" i="13" a="1"/>
  <c r="C185" i="13" a="1"/>
  <c r="D202" i="13" a="1"/>
  <c r="F59" i="13" a="1"/>
  <c r="D243" i="13" a="1"/>
  <c r="F150" i="13" a="1"/>
  <c r="F214" i="13" a="1"/>
  <c r="D160" i="13" a="1"/>
  <c r="C212" i="13" a="1"/>
  <c r="C248" i="13" a="1"/>
  <c r="D15" i="13" a="1"/>
  <c r="E243" i="13" a="1"/>
  <c r="F141" i="13" a="1"/>
  <c r="C236" i="13" a="1"/>
  <c r="D112" i="13" a="1"/>
  <c r="E251" i="13" a="1"/>
  <c r="C24" i="13" a="1"/>
  <c r="C47" i="13" a="1"/>
  <c r="C76" i="13" a="1"/>
  <c r="C57" i="13" a="1"/>
  <c r="E85" i="13" a="1"/>
  <c r="F33" i="13" a="1"/>
  <c r="D58" i="13" a="1"/>
  <c r="C112" i="13" a="1"/>
  <c r="F253" i="13" a="1"/>
  <c r="F144" i="13" a="1"/>
  <c r="C241" i="13" a="1"/>
  <c r="E117" i="13" a="1"/>
  <c r="D53" i="13" a="1"/>
  <c r="D224" i="13" a="1"/>
  <c r="E89" i="13" a="1"/>
  <c r="C196" i="13" a="1"/>
  <c r="F42" i="13" a="1"/>
  <c r="E153" i="13" a="1"/>
  <c r="E210" i="13" a="1"/>
  <c r="E82" i="13" a="1"/>
  <c r="F185" i="13" a="1"/>
  <c r="D127" i="13" a="1"/>
  <c r="F108" i="13" a="1"/>
  <c r="F199" i="13" a="1"/>
  <c r="E13" i="13" a="1"/>
  <c r="C105" i="13" a="1"/>
  <c r="D5" i="13" a="1"/>
  <c r="F14" i="13" a="1"/>
  <c r="F156" i="13" a="1"/>
  <c r="D144" i="13" a="1"/>
  <c r="C89" i="13" a="1"/>
  <c r="F26" i="13" a="1"/>
  <c r="D62" i="13" a="1"/>
  <c r="E214" i="13" a="1"/>
  <c r="E213" i="13" a="1"/>
  <c r="E53" i="13" a="1"/>
  <c r="F163" i="13" a="1"/>
  <c r="D153" i="13" a="1"/>
  <c r="E141" i="13" a="1"/>
  <c r="C161" i="13" a="1"/>
  <c r="D85" i="13" a="1"/>
  <c r="F27" i="13" a="1"/>
  <c r="E182" i="13" a="1"/>
  <c r="E168" i="13" a="1"/>
  <c r="D164" i="13" a="1"/>
  <c r="E46" i="13" a="1"/>
  <c r="E131" i="13" a="1"/>
  <c r="D252" i="13" a="1"/>
  <c r="E39" i="13" a="1"/>
  <c r="F63" i="13" a="1"/>
  <c r="C237" i="13" a="1"/>
  <c r="D90" i="13" a="1"/>
  <c r="D240" i="13" a="1"/>
  <c r="D149" i="13" a="1"/>
  <c r="C56" i="13" a="1"/>
  <c r="F11" i="13" a="1"/>
  <c r="E96" i="13" a="1"/>
  <c r="C132" i="13" a="1"/>
  <c r="D35" i="13" a="1"/>
  <c r="C253" i="13" a="1"/>
  <c r="E59" i="13" a="1"/>
  <c r="F70" i="13" a="1"/>
  <c r="C116" i="13" a="1"/>
  <c r="E255" i="13" a="1"/>
  <c r="F132" i="13" a="1"/>
  <c r="D56" i="13" a="1"/>
  <c r="E32" i="13" a="1"/>
  <c r="F251" i="13" a="1"/>
  <c r="C172" i="13" a="1"/>
  <c r="D142" i="13" a="1"/>
  <c r="F143" i="13" a="1"/>
  <c r="C104" i="13" a="1"/>
  <c r="C229" i="13" a="1"/>
  <c r="D192" i="13" a="1"/>
  <c r="F157" i="13" a="1"/>
  <c r="C209" i="13" a="1"/>
  <c r="D253" i="13" a="1"/>
  <c r="C92" i="13" a="1"/>
  <c r="D155" i="13" a="1"/>
  <c r="D206" i="13" a="1"/>
  <c r="E233" i="13" a="1"/>
  <c r="F9" i="13" a="1"/>
  <c r="F64" i="13" a="1"/>
  <c r="F160" i="13" a="1"/>
  <c r="C232" i="13" a="1"/>
  <c r="D205" i="13" a="1"/>
  <c r="C6" i="13" a="1"/>
  <c r="D96" i="13" a="1"/>
  <c r="F45" i="13" a="1"/>
  <c r="E20" i="13" a="1"/>
  <c r="F52" i="13" a="1"/>
  <c r="E135" i="13" a="1"/>
  <c r="D71" i="13" a="1"/>
  <c r="C152" i="13" a="1"/>
  <c r="C73" i="13" a="1"/>
  <c r="D218" i="13" a="1"/>
  <c r="F30" i="13" a="1"/>
  <c r="C15" i="13" a="1"/>
  <c r="E224" i="13" a="1"/>
  <c r="C125" i="13" a="1"/>
  <c r="E114" i="13" a="1"/>
  <c r="F217" i="13" a="1"/>
  <c r="F212" i="13" a="1"/>
  <c r="F183" i="13" a="1"/>
  <c r="E87" i="13" a="1"/>
  <c r="E225" i="13" a="1"/>
  <c r="F126" i="13" a="1"/>
  <c r="D68" i="13" a="1"/>
  <c r="E121" i="13" a="1"/>
  <c r="F137" i="13" a="1"/>
  <c r="F32" i="13" a="1"/>
  <c r="E54" i="13" a="1"/>
  <c r="F198" i="13" a="1"/>
  <c r="F44" i="13" a="1"/>
  <c r="D46" i="13" a="1"/>
  <c r="F166" i="13" a="1"/>
  <c r="C224" i="13" a="1"/>
  <c r="E91" i="13" a="1"/>
  <c r="F216" i="13" a="1"/>
  <c r="C90" i="13" a="1"/>
  <c r="F123" i="13" a="1"/>
  <c r="D106" i="13" a="1"/>
  <c r="F97" i="13" a="1"/>
  <c r="D107" i="13" a="1"/>
  <c r="E134" i="13" a="1"/>
  <c r="E71" i="13" a="1"/>
  <c r="F191" i="13" a="1"/>
  <c r="E254" i="13" a="1"/>
  <c r="C180" i="13" a="1"/>
  <c r="F232" i="13" a="1"/>
  <c r="C10" i="13" a="1"/>
  <c r="D246" i="13" a="1"/>
  <c r="C144" i="13" a="1"/>
  <c r="E112" i="13" a="1"/>
  <c r="C88" i="13" a="1"/>
  <c r="C84" i="13" a="1"/>
  <c r="F48" i="13" a="1"/>
  <c r="E99" i="13" a="1"/>
  <c r="C64" i="13" a="1"/>
  <c r="D129" i="13" a="1"/>
  <c r="F254" i="13" a="1"/>
  <c r="F159" i="13" a="1"/>
  <c r="F226" i="13" a="1"/>
  <c r="C78" i="13" a="1"/>
  <c r="C53" i="13" a="1"/>
  <c r="E47" i="13" a="1"/>
  <c r="F227" i="13" a="1"/>
  <c r="E133" i="13" a="1"/>
  <c r="D91" i="13" a="1"/>
  <c r="D199" i="13" a="1"/>
  <c r="F240" i="13" a="1"/>
  <c r="F148" i="13" a="1"/>
  <c r="D66" i="13" a="1"/>
  <c r="D17" i="13" a="1"/>
  <c r="D9" i="13" a="1"/>
  <c r="C158" i="13" a="1"/>
  <c r="F98" i="13" a="1"/>
  <c r="F213" i="13" a="1"/>
  <c r="E38" i="13" a="1"/>
  <c r="E78" i="13" a="1"/>
  <c r="C216" i="13" a="1"/>
  <c r="C136" i="13" a="1"/>
  <c r="D204" i="13" a="1"/>
  <c r="C9" i="13" a="1"/>
  <c r="C121" i="13" a="1"/>
  <c r="F85" i="13" a="1"/>
  <c r="D248" i="13" a="1"/>
  <c r="D159" i="13" a="1"/>
  <c r="E154" i="13" a="1"/>
  <c r="E209" i="13" a="1"/>
  <c r="C204" i="13" a="1"/>
  <c r="D254" i="13" a="1"/>
  <c r="D203" i="13" a="1"/>
  <c r="F136" i="13" a="1"/>
  <c r="D99" i="13" a="1"/>
  <c r="C164" i="13" a="1"/>
  <c r="D103" i="13" a="1"/>
  <c r="E201" i="13" a="1"/>
  <c r="E161" i="13" a="1"/>
  <c r="F12" i="12" a="1"/>
  <c r="F62" i="13" a="1"/>
  <c r="C44" i="13" a="1"/>
  <c r="E81" i="13" a="1"/>
  <c r="D89" i="13" a="1"/>
  <c r="F244" i="13" a="1"/>
  <c r="C200" i="13" a="1"/>
  <c r="C149" i="13" a="1"/>
  <c r="E150" i="13" a="1"/>
  <c r="D185" i="13" a="1"/>
  <c r="D232" i="13" a="1"/>
  <c r="D247" i="13" a="1"/>
  <c r="D55" i="13" a="1"/>
  <c r="C218" i="13" a="1"/>
  <c r="F10" i="12" a="1"/>
  <c r="D23" i="13" a="1"/>
  <c r="F158" i="13" a="1"/>
  <c r="D222" i="13" a="1"/>
  <c r="F220" i="13" a="1"/>
  <c r="F219" i="13" a="1"/>
  <c r="E83" i="13" a="1"/>
  <c r="F151" i="13" a="1"/>
  <c r="C251" i="13" a="1"/>
  <c r="D251" i="13" a="1"/>
  <c r="E48" i="13" a="1"/>
  <c r="E58" i="13" a="1"/>
  <c r="E220" i="13" a="1"/>
  <c r="E176" i="13" a="1"/>
  <c r="E101" i="13" a="1"/>
  <c r="F94" i="13" a="1"/>
  <c r="E196" i="13" a="1"/>
  <c r="F15" i="13" a="1"/>
  <c r="E142" i="13" a="1"/>
  <c r="F124" i="13" a="1"/>
  <c r="F7" i="13" a="1"/>
  <c r="E30" i="13" a="1"/>
  <c r="E253" i="13" a="1"/>
  <c r="D210" i="13" a="1"/>
  <c r="E56" i="13" a="1"/>
  <c r="D109" i="13" a="1"/>
  <c r="D242" i="13" a="1"/>
  <c r="F222" i="13" a="1"/>
  <c r="C190" i="13" a="1"/>
  <c r="D32" i="13" a="1"/>
  <c r="D231" i="13" a="1"/>
  <c r="D145" i="13" a="1"/>
  <c r="F51" i="13" a="1"/>
  <c r="K11" i="12" a="1"/>
  <c r="C178" i="13" a="1"/>
  <c r="F235" i="13" a="1"/>
  <c r="F47" i="13" a="1"/>
  <c r="D84" i="13" a="1"/>
  <c r="E129" i="13" a="1"/>
  <c r="E192" i="13" a="1"/>
  <c r="F164" i="13" a="1"/>
  <c r="C114" i="13" a="1"/>
  <c r="F147" i="13" a="1"/>
  <c r="E31" i="13" a="1"/>
  <c r="D73" i="13" a="1"/>
  <c r="C43" i="13" a="1"/>
  <c r="C201" i="13" a="1"/>
  <c r="D138" i="13" a="1"/>
  <c r="D139" i="13" a="1"/>
  <c r="C140" i="13" a="1"/>
  <c r="E162" i="13" a="1"/>
  <c r="F90" i="13" a="1"/>
  <c r="E190" i="13" a="1"/>
  <c r="E104" i="13" a="1"/>
  <c r="F39" i="13" a="1"/>
  <c r="D36" i="13" a="1"/>
  <c r="E173" i="13" a="1"/>
  <c r="E222" i="13" a="1"/>
  <c r="E105" i="13" a="1"/>
  <c r="C31" i="13" a="1"/>
  <c r="E124" i="13" a="1"/>
  <c r="C242" i="13" a="1"/>
  <c r="E187" i="13" a="1"/>
  <c r="D22" i="13" a="1"/>
  <c r="F145" i="13" a="1"/>
  <c r="E84" i="13" a="1"/>
  <c r="C156" i="13" a="1"/>
  <c r="C228" i="13" a="1"/>
  <c r="C137" i="13" a="1"/>
  <c r="D146" i="13" a="1"/>
  <c r="C183" i="13" a="1"/>
  <c r="E128" i="13" a="1"/>
  <c r="C94" i="13" a="1"/>
  <c r="D191" i="13" a="1"/>
  <c r="E90" i="13" a="1"/>
  <c r="C184" i="13" a="1"/>
  <c r="D115" i="13" a="1"/>
  <c r="E60" i="13" a="1"/>
  <c r="E170" i="13" a="1"/>
  <c r="E164" i="13" a="1"/>
  <c r="F135" i="13" a="1"/>
  <c r="F116" i="13" a="1"/>
  <c r="E45" i="13" a="1"/>
  <c r="E74" i="13" a="1"/>
  <c r="F250" i="13" a="1"/>
  <c r="F107" i="13" a="1"/>
  <c r="C39" i="13" a="1"/>
  <c r="F184" i="13" a="1"/>
  <c r="D161" i="13" a="1"/>
  <c r="D40" i="13" a="1"/>
  <c r="E102" i="13" a="1"/>
  <c r="E228" i="13" a="1"/>
  <c r="F10" i="13" a="1"/>
  <c r="D201" i="13" a="1"/>
  <c r="C207" i="13" a="1"/>
  <c r="D250" i="13" a="1"/>
  <c r="D31" i="13" a="1"/>
  <c r="C214" i="13" a="1"/>
  <c r="E236" i="13" a="1"/>
  <c r="F49" i="13" a="1"/>
  <c r="D173" i="13" a="1"/>
  <c r="F57" i="13" a="1"/>
  <c r="F174" i="13" a="1"/>
  <c r="F35" i="13" a="1"/>
  <c r="C133" i="13" a="1"/>
  <c r="E138" i="13" a="1"/>
  <c r="D188" i="13" a="1"/>
  <c r="F103" i="13" a="1"/>
  <c r="F186" i="13" a="1"/>
  <c r="F16" i="13" a="1"/>
  <c r="C193" i="13" a="1"/>
  <c r="C83" i="13" a="1"/>
  <c r="E123" i="13" a="1"/>
  <c r="E57" i="13" a="1"/>
  <c r="E70" i="13" a="1"/>
  <c r="F81" i="13" a="1"/>
  <c r="F130" i="13" a="1"/>
  <c r="F72" i="13" a="1"/>
  <c r="C35" i="13" a="1"/>
  <c r="D238" i="13" a="1"/>
  <c r="F80" i="13" a="1"/>
  <c r="D70" i="13" a="1"/>
  <c r="D152" i="13" a="1"/>
  <c r="E193" i="13" a="1"/>
  <c r="E244" i="13" a="1"/>
  <c r="D256" i="13" a="1"/>
  <c r="C254" i="13" a="1"/>
  <c r="C111" i="13" a="1"/>
  <c r="F239" i="13" a="1"/>
  <c r="E185" i="13" a="1"/>
  <c r="C171" i="13" a="1"/>
  <c r="F223" i="13" a="1"/>
  <c r="C41" i="13" a="1"/>
  <c r="F46" i="13" a="1"/>
  <c r="C234" i="13" a="1"/>
  <c r="D151" i="13" a="1"/>
  <c r="F95" i="13" a="1"/>
  <c r="F203" i="13" a="1"/>
  <c r="E160" i="13" a="1"/>
  <c r="F23" i="13" a="1"/>
  <c r="E137" i="13" a="1"/>
  <c r="D67" i="13" a="1"/>
  <c r="F84" i="13" a="1"/>
  <c r="D137" i="13" a="1"/>
  <c r="D176" i="13" a="1"/>
  <c r="F172" i="13" a="1"/>
  <c r="D113" i="13" a="1"/>
  <c r="D21" i="13" a="1"/>
  <c r="F171" i="13" a="1"/>
  <c r="C252" i="13" a="1"/>
  <c r="E206" i="13" a="1"/>
  <c r="C70" i="13" a="1"/>
  <c r="F127" i="13" a="1"/>
  <c r="E208" i="13" a="1"/>
  <c r="D184" i="13" a="1"/>
  <c r="D81" i="13" a="1"/>
  <c r="C113" i="13" a="1"/>
  <c r="D168" i="13" a="1"/>
  <c r="C222" i="13" a="1"/>
  <c r="D49" i="13" a="1"/>
  <c r="C69" i="13" a="1"/>
  <c r="F87" i="13" a="1"/>
  <c r="F93" i="13" a="1"/>
  <c r="F215" i="13" a="1"/>
  <c r="E188" i="13" a="1"/>
  <c r="C30" i="13" a="1"/>
  <c r="D140" i="13" a="1"/>
  <c r="E167" i="13" a="1"/>
  <c r="E146" i="13" a="1"/>
  <c r="D175" i="13" a="1"/>
  <c r="C46" i="13" a="1"/>
  <c r="D74" i="13" a="1"/>
  <c r="C17" i="13" a="1"/>
  <c r="F67" i="13" a="1"/>
  <c r="C12" i="13" a="1"/>
  <c r="D236" i="13" a="1"/>
  <c r="F11" i="12" a="1"/>
  <c r="F34" i="13" a="1"/>
  <c r="C66" i="13" a="1"/>
  <c r="C68" i="13" a="1"/>
  <c r="F83" i="13" a="1"/>
  <c r="C103" i="13" a="1"/>
  <c r="C107" i="13" a="1"/>
  <c r="E235" i="13" a="1"/>
  <c r="E242" i="13" a="1"/>
  <c r="E237" i="13" a="1"/>
  <c r="D10" i="13" a="1"/>
  <c r="E63" i="13" a="1"/>
  <c r="E181" i="13" a="1"/>
  <c r="E171" i="13" a="1"/>
  <c r="C127" i="13" a="1"/>
  <c r="E14" i="13" a="1"/>
  <c r="E98" i="13" a="1"/>
  <c r="C20" i="13" a="1"/>
  <c r="F248" i="13" a="1"/>
  <c r="E247" i="13" a="1"/>
  <c r="F211" i="13" a="1"/>
  <c r="E140" i="13" a="1"/>
  <c r="C48" i="13" a="1"/>
  <c r="C5" i="13" a="1"/>
  <c r="C86" i="13" a="1"/>
  <c r="E66" i="13" a="1"/>
  <c r="F190" i="13" a="1"/>
  <c r="E42" i="13" a="1"/>
  <c r="F131" i="13" a="1"/>
  <c r="D47" i="13" a="1"/>
  <c r="E172" i="13" a="1"/>
  <c r="C189" i="13" a="1"/>
  <c r="C243" i="13" a="1"/>
  <c r="C244" i="13" a="1"/>
  <c r="D229" i="13" a="1"/>
  <c r="D239" i="13" a="1"/>
  <c r="C58" i="13" a="1"/>
  <c r="D76" i="13" a="1"/>
  <c r="D163" i="13" a="1"/>
  <c r="E179" i="13" a="1"/>
  <c r="E248" i="13" a="1"/>
  <c r="D141" i="13" a="1"/>
  <c r="E109" i="13" a="1"/>
  <c r="F165" i="13" a="1"/>
  <c r="D225" i="13" a="1"/>
  <c r="F204" i="13" a="1"/>
  <c r="E51" i="13" a="1"/>
  <c r="C250" i="13" a="1"/>
  <c r="C119" i="13" a="1"/>
  <c r="E43" i="13" a="1"/>
  <c r="C81" i="13" a="1"/>
  <c r="C148" i="13" a="1"/>
  <c r="F234" i="13" a="1"/>
  <c r="D169" i="13" a="1"/>
  <c r="F194" i="13" a="1"/>
  <c r="K9" i="12" a="1"/>
  <c r="F104" i="13" a="1"/>
  <c r="C169" i="13" a="1"/>
  <c r="C150" i="13" a="1"/>
  <c r="C98" i="13" a="1"/>
  <c r="F224" i="13" a="1"/>
  <c r="E127" i="13" a="1"/>
  <c r="D12" i="13" a="1"/>
  <c r="E212" i="13" a="1"/>
  <c r="E232" i="13" a="1"/>
  <c r="D88" i="13" a="1"/>
  <c r="F242" i="13" a="1"/>
  <c r="D136" i="13" a="1"/>
  <c r="F243" i="13" a="1"/>
  <c r="C239" i="13" a="1"/>
  <c r="F101" i="13" a="1"/>
  <c r="D126" i="13" a="1"/>
  <c r="E100" i="13" a="1"/>
  <c r="C170" i="13" a="1"/>
  <c r="E195" i="13" a="1"/>
  <c r="F229" i="13" a="1"/>
  <c r="D197" i="13" a="1"/>
  <c r="F74" i="13" a="1"/>
  <c r="E93" i="13" a="1"/>
  <c r="E72" i="13" a="1"/>
  <c r="E88" i="13" a="1"/>
  <c r="C135" i="13" a="1"/>
  <c r="D209" i="13" a="1"/>
  <c r="E149" i="13" a="1"/>
  <c r="E166" i="13" a="1"/>
  <c r="C124" i="13" a="1"/>
  <c r="D121" i="13" a="1"/>
  <c r="F195" i="13" a="1"/>
  <c r="D57" i="13" a="1"/>
  <c r="D178" i="13" a="1"/>
  <c r="F31" i="13" a="1"/>
  <c r="E6" i="13" a="1"/>
  <c r="D131" i="13" a="1"/>
  <c r="F210" i="13" a="1"/>
  <c r="D143" i="13" a="1"/>
  <c r="C255" i="13" a="1"/>
  <c r="K10" i="12" a="1"/>
  <c r="C129" i="13" a="1"/>
  <c r="D166" i="13" a="1"/>
  <c r="E7" i="13" a="1"/>
  <c r="D172" i="13" a="1"/>
  <c r="D117" i="13" a="1"/>
  <c r="C8" i="13" a="1"/>
  <c r="E252" i="13" a="1"/>
  <c r="C226" i="13" a="1"/>
  <c r="F246" i="13" a="1"/>
  <c r="F89" i="13" a="1"/>
  <c r="F169" i="13" a="1"/>
  <c r="E151" i="13" a="1"/>
  <c r="F207" i="13" a="1"/>
  <c r="D80" i="13" a="1"/>
  <c r="C122" i="13" a="1"/>
  <c r="E8" i="13" a="1"/>
  <c r="E203" i="13" a="1"/>
  <c r="E95" i="13" a="1"/>
  <c r="C21" i="13" a="1"/>
  <c r="C93" i="13" a="1"/>
  <c r="E55" i="13" a="1"/>
  <c r="F192" i="13" a="1"/>
  <c r="D75" i="13" a="1"/>
  <c r="F69" i="13" a="1"/>
  <c r="F20" i="13" a="1"/>
  <c r="C126" i="13" a="1"/>
  <c r="E183" i="13" a="1"/>
  <c r="C62" i="13" a="1"/>
  <c r="F162" i="13" a="1"/>
  <c r="C141" i="13" a="1"/>
  <c r="E17" i="13" a="1"/>
  <c r="E239" i="13" a="1"/>
  <c r="C42" i="13" a="1"/>
  <c r="D207" i="13" a="1"/>
  <c r="D162" i="13" a="1"/>
  <c r="E73" i="13" a="1"/>
  <c r="D27" i="13" a="1"/>
  <c r="E118" i="13" a="1"/>
  <c r="C143" i="13" a="1"/>
  <c r="C82" i="13" a="1"/>
  <c r="C151" i="13" a="1"/>
  <c r="F167" i="13" a="1"/>
  <c r="C50" i="13" a="1"/>
  <c r="F139" i="13" a="1"/>
  <c r="D183" i="13" a="1"/>
  <c r="F178" i="13" a="1"/>
  <c r="F92" i="13" a="1"/>
  <c r="E200" i="13" a="1"/>
  <c r="D182" i="13" a="1"/>
  <c r="C37" i="13" a="1"/>
  <c r="F58" i="13" a="1"/>
  <c r="F100" i="13" a="1"/>
  <c r="D110" i="13" a="1"/>
  <c r="D95" i="13" a="1"/>
  <c r="C115" i="13" a="1"/>
  <c r="K12" i="12" a="1"/>
  <c r="D20" i="13" a="1"/>
  <c r="F78" i="13" a="1"/>
  <c r="F40" i="13" a="1"/>
  <c r="E61" i="13" a="1"/>
  <c r="C223" i="13" a="1"/>
  <c r="E238" i="13" a="1"/>
  <c r="E110" i="13" a="1"/>
  <c r="E234" i="13" a="1"/>
  <c r="C34" i="13" a="1"/>
  <c r="F249" i="13" a="1"/>
  <c r="F115" i="13" a="1"/>
  <c r="F133" i="13" a="1"/>
  <c r="E194" i="13" a="1"/>
  <c r="F173" i="13" a="1"/>
  <c r="C220" i="13" a="1"/>
  <c r="C138" i="13" a="1"/>
  <c r="C28" i="13" a="1"/>
  <c r="D245" i="13" a="1"/>
  <c r="C142" i="13" a="1"/>
  <c r="F257" i="13" a="1"/>
  <c r="D150" i="13" a="1"/>
  <c r="F38" i="13" a="1"/>
  <c r="D94" i="13" a="1"/>
  <c r="F12" i="13" a="1"/>
  <c r="C19" i="13" a="1"/>
  <c r="C45" i="13" a="1"/>
  <c r="F50" i="13" a="1"/>
  <c r="F65" i="13" a="1"/>
  <c r="E25" i="13" a="1"/>
  <c r="F24" i="13" a="1"/>
  <c r="F255" i="13" a="1"/>
  <c r="E174" i="13" a="1"/>
  <c r="E113" i="13" a="1"/>
  <c r="E191" i="13" a="1"/>
  <c r="C195" i="13" a="1"/>
  <c r="D174" i="13" a="1"/>
  <c r="D100" i="13" a="1"/>
  <c r="E198" i="13" a="1"/>
  <c r="E178" i="13" a="1"/>
  <c r="D219" i="13" a="1"/>
  <c r="F29" i="13" a="1"/>
  <c r="E116" i="13" a="1"/>
  <c r="D154" i="13" a="1"/>
  <c r="D18" i="13" a="1"/>
  <c r="D51" i="13" a="1"/>
  <c r="C74" i="13" a="1"/>
  <c r="F196" i="13" a="1"/>
  <c r="F180" i="13" a="1"/>
  <c r="E144" i="13" a="1"/>
  <c r="D228" i="13" a="1"/>
  <c r="D42" i="13" a="1"/>
  <c r="F128" i="13" a="1"/>
  <c r="D171" i="13" a="1"/>
  <c r="D101" i="13" a="1"/>
  <c r="D38" i="13" a="1"/>
  <c r="D200" i="13" a="1"/>
  <c r="E77" i="13" a="1"/>
  <c r="E9" i="13" a="1"/>
  <c r="E219" i="13" a="1"/>
  <c r="D226" i="13" a="1"/>
  <c r="D216" i="13" a="1"/>
  <c r="C230" i="13" a="1"/>
  <c r="F236" i="13" a="1"/>
  <c r="F119" i="13" a="1"/>
  <c r="E12" i="13" a="1"/>
  <c r="D78" i="13" a="1"/>
  <c r="E108" i="13" a="1"/>
  <c r="D213" i="13" a="1"/>
  <c r="F175" i="13" a="1"/>
  <c r="D221" i="13" a="1"/>
  <c r="E130" i="13" a="1"/>
  <c r="F76" i="13" a="1"/>
  <c r="C36" i="13" a="1"/>
  <c r="D237" i="13" a="1"/>
  <c r="F110" i="13" a="1"/>
  <c r="E115" i="13" a="1"/>
  <c r="E177" i="13" a="1"/>
  <c r="F181" i="13" a="1"/>
  <c r="F205" i="13" a="1"/>
  <c r="D119" i="13" a="1"/>
  <c r="C59" i="13" a="1"/>
  <c r="E79" i="13" a="1"/>
  <c r="D64" i="13" a="1"/>
  <c r="E229" i="13" a="1"/>
  <c r="D234" i="13" a="1"/>
  <c r="F206" i="13" a="1"/>
  <c r="F36" i="13" a="1"/>
  <c r="C249" i="13" a="1"/>
  <c r="C97" i="13" a="1"/>
  <c r="D133" i="13" a="1"/>
  <c r="D87" i="13" a="1"/>
  <c r="C246" i="13" a="1"/>
  <c r="D122" i="13" a="1"/>
  <c r="D48" i="13" a="1"/>
  <c r="E216" i="13" a="1"/>
  <c r="E111" i="13" a="1"/>
  <c r="C75" i="13" a="1"/>
  <c r="D6" i="13" a="1"/>
  <c r="C139" i="13" a="1"/>
  <c r="D187" i="13" a="1"/>
  <c r="E223" i="13" a="1"/>
  <c r="C22" i="13" a="1"/>
  <c r="E132" i="13" a="1"/>
  <c r="C52" i="13" a="1"/>
  <c r="D65" i="13" a="1"/>
  <c r="C130" i="13" a="1"/>
  <c r="C208" i="13" a="1"/>
  <c r="C175" i="13" a="1"/>
  <c r="D186" i="13" a="1"/>
  <c r="F154" i="13" a="1"/>
  <c r="F106" i="13" a="1"/>
  <c r="C194" i="13" a="1"/>
  <c r="D128" i="13" a="1"/>
  <c r="F37" i="13" a="1"/>
  <c r="F149" i="13" a="1"/>
  <c r="C221" i="13" a="1"/>
  <c r="E159" i="13" a="1"/>
  <c r="C85" i="13" a="1"/>
  <c r="F189" i="13" a="1"/>
  <c r="D194" i="13" a="1"/>
  <c r="D135" i="13" a="1"/>
  <c r="E156" i="13" a="1"/>
  <c r="E163" i="13" a="1"/>
  <c r="C210" i="13" a="1"/>
  <c r="D82" i="13" a="1"/>
  <c r="D7" i="13" a="1"/>
  <c r="D230" i="13" a="1"/>
  <c r="F238" i="13" a="1"/>
  <c r="C154" i="13" a="1"/>
  <c r="E152" i="13" a="1"/>
  <c r="D180" i="13" a="1"/>
  <c r="E44" i="13" a="1"/>
  <c r="D233" i="13" a="1"/>
  <c r="F161" i="13" a="1"/>
  <c r="E207" i="13" a="1"/>
  <c r="F153" i="13" a="1"/>
  <c r="E94" i="13" a="1"/>
  <c r="C168" i="13" a="1"/>
  <c r="F28" i="13" a="1"/>
  <c r="F66" i="13" a="1"/>
  <c r="D130" i="13" a="1"/>
  <c r="E119" i="13" a="1"/>
  <c r="E158" i="13" a="1"/>
  <c r="D97" i="13" a="1"/>
  <c r="F114" i="13" a="1"/>
  <c r="C11" i="13" a="1"/>
  <c r="F6" i="13" a="1"/>
  <c r="D50" i="13" a="1"/>
  <c r="F121" i="13" a="1"/>
  <c r="E52" i="13" a="1"/>
  <c r="F241" i="13" a="1"/>
  <c r="F134" i="13" a="1"/>
  <c r="F140" i="13" a="1"/>
  <c r="F77" i="13" a="1"/>
  <c r="C173" i="13" a="1"/>
  <c r="F168" i="13" a="1"/>
  <c r="C235" i="13" a="1"/>
  <c r="C256" i="13" a="1"/>
  <c r="D45" i="13" a="1"/>
  <c r="C225" i="13" a="1"/>
  <c r="D235" i="13" a="1"/>
  <c r="D208" i="13" a="1"/>
  <c r="F102" i="13" a="1"/>
  <c r="C38" i="13" a="1"/>
  <c r="D34" i="13" a="1"/>
  <c r="E27" i="13" a="1"/>
  <c r="D157" i="13" a="1"/>
  <c r="D189" i="13" a="1"/>
  <c r="F233" i="13" a="1"/>
  <c r="D257" i="13" a="1"/>
  <c r="C51" i="13" a="1"/>
  <c r="E24" i="13" a="1"/>
  <c r="E165" i="13" a="1"/>
  <c r="F21" i="13" a="1"/>
  <c r="E186" i="13" a="1"/>
  <c r="C145" i="13" a="1"/>
  <c r="E143" i="13" a="1"/>
  <c r="C26" i="13" a="1"/>
  <c r="F247" i="13" a="1"/>
  <c r="F54" i="13" a="1"/>
  <c r="E226" i="13" a="1"/>
  <c r="D111" i="13" a="1"/>
  <c r="D102" i="13" a="1"/>
  <c r="C120" i="13" a="1"/>
  <c r="F218" i="13" a="1"/>
  <c r="C157" i="13" a="1"/>
  <c r="C128" i="13" a="1"/>
  <c r="F221" i="13" a="1"/>
  <c r="D177" i="13" a="1"/>
  <c r="E23" i="13" a="1"/>
  <c r="C177" i="13" a="1"/>
  <c r="C181" i="13" a="1"/>
  <c r="D11" i="13" a="1"/>
  <c r="D37" i="13" a="1"/>
  <c r="C13" i="13" a="1"/>
  <c r="C160" i="13" a="1"/>
  <c r="E241" i="13" a="1"/>
  <c r="E97" i="13" a="1"/>
  <c r="E249" i="13" a="1"/>
  <c r="C49" i="13" a="1"/>
  <c r="F43" i="13" a="1"/>
  <c r="E16" i="13" a="1"/>
  <c r="C77" i="13" a="1"/>
  <c r="E50" i="13" a="1"/>
  <c r="E139" i="13" a="1"/>
  <c r="E86" i="13" a="1"/>
  <c r="D60" i="13" a="1"/>
  <c r="C192" i="13" a="1"/>
  <c r="C80" i="13" a="1"/>
  <c r="D39" i="13" a="1"/>
  <c r="F9" i="12" a="1"/>
  <c r="C197" i="13" a="1"/>
  <c r="E122" i="13" a="1"/>
  <c r="F221" i="13" l="1"/>
  <c r="C35" i="13"/>
  <c r="D250" i="13"/>
  <c r="D159" i="13"/>
  <c r="D122" i="13"/>
  <c r="F32" i="13"/>
  <c r="C239" i="13"/>
  <c r="F187" i="13"/>
  <c r="D144" i="13"/>
  <c r="H144" i="13" s="1"/>
  <c r="C32" i="13"/>
  <c r="G32" i="13" s="1"/>
  <c r="E243" i="13"/>
  <c r="I243" i="13" s="1"/>
  <c r="D206" i="13"/>
  <c r="C157" i="13"/>
  <c r="F105" i="13"/>
  <c r="F21" i="13"/>
  <c r="F253" i="13"/>
  <c r="E224" i="13"/>
  <c r="F113" i="13"/>
  <c r="D30" i="13"/>
  <c r="E248" i="13"/>
  <c r="I248" i="13" s="1"/>
  <c r="F148" i="13"/>
  <c r="D90" i="13"/>
  <c r="H90" i="13" s="1"/>
  <c r="E197" i="13"/>
  <c r="I197" i="13" s="1"/>
  <c r="C156" i="13"/>
  <c r="G156" i="13" s="1"/>
  <c r="C104" i="13"/>
  <c r="C30" i="13"/>
  <c r="E235" i="13"/>
  <c r="E27" i="13"/>
  <c r="D217" i="13"/>
  <c r="C161" i="13"/>
  <c r="F155" i="13"/>
  <c r="F139" i="13"/>
  <c r="J139" i="13" s="1"/>
  <c r="E134" i="13"/>
  <c r="E118" i="13"/>
  <c r="I118" i="13" s="1"/>
  <c r="C109" i="13"/>
  <c r="G109" i="13" s="1"/>
  <c r="C103" i="13"/>
  <c r="G103" i="13" s="1"/>
  <c r="D95" i="13"/>
  <c r="E79" i="13"/>
  <c r="E52" i="13"/>
  <c r="D36" i="13"/>
  <c r="C256" i="13"/>
  <c r="F245" i="13"/>
  <c r="C235" i="13"/>
  <c r="C209" i="13"/>
  <c r="G209" i="13" s="1"/>
  <c r="C188" i="13"/>
  <c r="G188" i="13" s="1"/>
  <c r="C168" i="13"/>
  <c r="F146" i="13"/>
  <c r="J146" i="13" s="1"/>
  <c r="F116" i="13"/>
  <c r="J116" i="13" s="1"/>
  <c r="F84" i="13"/>
  <c r="D67" i="13"/>
  <c r="E60" i="13"/>
  <c r="F41" i="13"/>
  <c r="D17" i="13"/>
  <c r="D228" i="13"/>
  <c r="C202" i="13"/>
  <c r="E144" i="13"/>
  <c r="D139" i="13"/>
  <c r="H139" i="13" s="1"/>
  <c r="E116" i="13"/>
  <c r="I116" i="13" s="1"/>
  <c r="E100" i="13"/>
  <c r="I100" i="13" s="1"/>
  <c r="F75" i="13"/>
  <c r="J75" i="13" s="1"/>
  <c r="C50" i="13"/>
  <c r="C26" i="13"/>
  <c r="F255" i="13"/>
  <c r="D234" i="13"/>
  <c r="F208" i="13"/>
  <c r="F151" i="13"/>
  <c r="D130" i="13"/>
  <c r="D84" i="13"/>
  <c r="F66" i="13"/>
  <c r="J66" i="13" s="1"/>
  <c r="C41" i="13"/>
  <c r="G41" i="13" s="1"/>
  <c r="C250" i="13"/>
  <c r="G250" i="13" s="1"/>
  <c r="E232" i="13"/>
  <c r="I232" i="13" s="1"/>
  <c r="D220" i="13"/>
  <c r="F185" i="13"/>
  <c r="D180" i="13"/>
  <c r="C122" i="13"/>
  <c r="C108" i="13"/>
  <c r="D75" i="13"/>
  <c r="D56" i="13"/>
  <c r="F49" i="13"/>
  <c r="D254" i="13"/>
  <c r="F238" i="13"/>
  <c r="J238" i="13" s="1"/>
  <c r="C193" i="13"/>
  <c r="G193" i="13" s="1"/>
  <c r="E151" i="13"/>
  <c r="I151" i="13" s="1"/>
  <c r="F98" i="13"/>
  <c r="D232" i="13"/>
  <c r="E177" i="13"/>
  <c r="E127" i="13"/>
  <c r="D105" i="13"/>
  <c r="E81" i="13"/>
  <c r="F12" i="13"/>
  <c r="D243" i="13"/>
  <c r="H243" i="13" s="1"/>
  <c r="D224" i="13"/>
  <c r="H224" i="13" s="1"/>
  <c r="F212" i="13"/>
  <c r="J212" i="13" s="1"/>
  <c r="F184" i="13"/>
  <c r="J184" i="13" s="1"/>
  <c r="C47" i="13"/>
  <c r="G47" i="13" s="1"/>
  <c r="E253" i="13"/>
  <c r="F236" i="13"/>
  <c r="C192" i="13"/>
  <c r="E142" i="13"/>
  <c r="F118" i="13"/>
  <c r="C96" i="13"/>
  <c r="E55" i="13"/>
  <c r="D257" i="13"/>
  <c r="H257" i="13" s="1"/>
  <c r="F252" i="13"/>
  <c r="J252" i="13" s="1"/>
  <c r="F230" i="13"/>
  <c r="C190" i="13"/>
  <c r="G190" i="13" s="1"/>
  <c r="E168" i="13"/>
  <c r="I168" i="13" s="1"/>
  <c r="E148" i="13"/>
  <c r="C87" i="13"/>
  <c r="E210" i="13"/>
  <c r="C197" i="13"/>
  <c r="F175" i="13"/>
  <c r="D256" i="13"/>
  <c r="D246" i="13"/>
  <c r="D235" i="13"/>
  <c r="F223" i="13"/>
  <c r="J223" i="13" s="1"/>
  <c r="D209" i="13"/>
  <c r="H209" i="13" s="1"/>
  <c r="D204" i="13"/>
  <c r="H204" i="13" s="1"/>
  <c r="E189" i="13"/>
  <c r="I189" i="13" s="1"/>
  <c r="D168" i="13"/>
  <c r="C147" i="13"/>
  <c r="C117" i="13"/>
  <c r="F86" i="13"/>
  <c r="F60" i="13"/>
  <c r="F44" i="13"/>
  <c r="F17" i="13"/>
  <c r="J17" i="13" s="1"/>
  <c r="F239" i="13"/>
  <c r="F215" i="13"/>
  <c r="J215" i="13" s="1"/>
  <c r="E173" i="13"/>
  <c r="C152" i="13"/>
  <c r="G152" i="13" s="1"/>
  <c r="F123" i="13"/>
  <c r="J123" i="13" s="1"/>
  <c r="D93" i="13"/>
  <c r="F234" i="13"/>
  <c r="E180" i="13"/>
  <c r="F131" i="13"/>
  <c r="E108" i="13"/>
  <c r="E245" i="13"/>
  <c r="F227" i="13"/>
  <c r="C173" i="13"/>
  <c r="F90" i="13"/>
  <c r="E15" i="13"/>
  <c r="I15" i="13" s="1"/>
  <c r="E213" i="13"/>
  <c r="C159" i="13"/>
  <c r="G159" i="13" s="1"/>
  <c r="C130" i="13"/>
  <c r="C114" i="13"/>
  <c r="F81" i="13"/>
  <c r="F249" i="13"/>
  <c r="F226" i="13"/>
  <c r="C213" i="13"/>
  <c r="E90" i="13"/>
  <c r="C65" i="13"/>
  <c r="G65" i="13" s="1"/>
  <c r="D47" i="13"/>
  <c r="H47" i="13" s="1"/>
  <c r="F40" i="13"/>
  <c r="J40" i="13" s="1"/>
  <c r="D15" i="13"/>
  <c r="H15" i="13" s="1"/>
  <c r="E237" i="13"/>
  <c r="I237" i="13" s="1"/>
  <c r="E219" i="13"/>
  <c r="C200" i="13"/>
  <c r="C164" i="13"/>
  <c r="F121" i="13"/>
  <c r="E98" i="13"/>
  <c r="C56" i="13"/>
  <c r="C231" i="13"/>
  <c r="G231" i="13" s="1"/>
  <c r="C206" i="13"/>
  <c r="G206" i="13" s="1"/>
  <c r="D171" i="13"/>
  <c r="H171" i="13" s="1"/>
  <c r="D135" i="13"/>
  <c r="H135" i="13" s="1"/>
  <c r="E64" i="13"/>
  <c r="I64" i="13" s="1"/>
  <c r="D21" i="13"/>
  <c r="H21" i="13" s="1"/>
  <c r="C242" i="13"/>
  <c r="E217" i="13"/>
  <c r="D177" i="13"/>
  <c r="F126" i="13"/>
  <c r="C112" i="13"/>
  <c r="C62" i="13"/>
  <c r="D12" i="13"/>
  <c r="D247" i="13"/>
  <c r="C224" i="13"/>
  <c r="G224" i="13" s="1"/>
  <c r="E204" i="13"/>
  <c r="I204" i="13" s="1"/>
  <c r="E184" i="13"/>
  <c r="I184" i="13" s="1"/>
  <c r="D163" i="13"/>
  <c r="H163" i="13" s="1"/>
  <c r="F70" i="13"/>
  <c r="C21" i="13"/>
  <c r="F241" i="13"/>
  <c r="E126" i="13"/>
  <c r="I126" i="13" s="1"/>
  <c r="D252" i="13"/>
  <c r="E250" i="13"/>
  <c r="E228" i="13"/>
  <c r="I228" i="13" s="1"/>
  <c r="D202" i="13"/>
  <c r="F196" i="13"/>
  <c r="J196" i="13" s="1"/>
  <c r="C181" i="13"/>
  <c r="G181" i="13" s="1"/>
  <c r="E175" i="13"/>
  <c r="I175" i="13" s="1"/>
  <c r="F160" i="13"/>
  <c r="J160" i="13" s="1"/>
  <c r="E139" i="13"/>
  <c r="C132" i="13"/>
  <c r="F108" i="13"/>
  <c r="F100" i="13"/>
  <c r="F94" i="13"/>
  <c r="D76" i="13"/>
  <c r="E69" i="13"/>
  <c r="F51" i="13"/>
  <c r="D26" i="13"/>
  <c r="D10" i="13"/>
  <c r="D219" i="13"/>
  <c r="H219" i="13" s="1"/>
  <c r="C183" i="13"/>
  <c r="G183" i="13" s="1"/>
  <c r="E166" i="13"/>
  <c r="D154" i="13"/>
  <c r="F129" i="13"/>
  <c r="F120" i="13"/>
  <c r="J120" i="13" s="1"/>
  <c r="F106" i="13"/>
  <c r="E73" i="13"/>
  <c r="F58" i="13"/>
  <c r="D24" i="13"/>
  <c r="H24" i="13" s="1"/>
  <c r="D248" i="13"/>
  <c r="H248" i="13" s="1"/>
  <c r="D237" i="13"/>
  <c r="H237" i="13" s="1"/>
  <c r="D230" i="13"/>
  <c r="D207" i="13"/>
  <c r="H207" i="13" s="1"/>
  <c r="E187" i="13"/>
  <c r="F158" i="13"/>
  <c r="C134" i="13"/>
  <c r="C120" i="13"/>
  <c r="C111" i="13"/>
  <c r="G111" i="13" s="1"/>
  <c r="C93" i="13"/>
  <c r="D64" i="13"/>
  <c r="F34" i="13"/>
  <c r="F29" i="13"/>
  <c r="J29" i="13" s="1"/>
  <c r="C15" i="13"/>
  <c r="G15" i="13" s="1"/>
  <c r="F257" i="13"/>
  <c r="J257" i="13" s="1"/>
  <c r="C252" i="13"/>
  <c r="G252" i="13" s="1"/>
  <c r="D233" i="13"/>
  <c r="C226" i="13"/>
  <c r="C211" i="13"/>
  <c r="D199" i="13"/>
  <c r="C195" i="13"/>
  <c r="F182" i="13"/>
  <c r="E178" i="13"/>
  <c r="E170" i="13"/>
  <c r="I170" i="13" s="1"/>
  <c r="D166" i="13"/>
  <c r="C154" i="13"/>
  <c r="G154" i="13" s="1"/>
  <c r="F149" i="13"/>
  <c r="E141" i="13"/>
  <c r="I141" i="13" s="1"/>
  <c r="E137" i="13"/>
  <c r="E132" i="13"/>
  <c r="D129" i="13"/>
  <c r="D124" i="13"/>
  <c r="D106" i="13"/>
  <c r="F87" i="13"/>
  <c r="D78" i="13"/>
  <c r="D73" i="13"/>
  <c r="H73" i="13" s="1"/>
  <c r="E58" i="13"/>
  <c r="D53" i="13"/>
  <c r="H53" i="13" s="1"/>
  <c r="F43" i="13"/>
  <c r="J43" i="13" s="1"/>
  <c r="F38" i="13"/>
  <c r="J38" i="13" s="1"/>
  <c r="C24" i="13"/>
  <c r="F18" i="13"/>
  <c r="D9" i="13"/>
  <c r="D211" i="13"/>
  <c r="F111" i="13"/>
  <c r="E241" i="13"/>
  <c r="D222" i="13"/>
  <c r="F191" i="13"/>
  <c r="J191" i="13" s="1"/>
  <c r="D175" i="13"/>
  <c r="H175" i="13" s="1"/>
  <c r="C98" i="13"/>
  <c r="G98" i="13" s="1"/>
  <c r="C244" i="13"/>
  <c r="G244" i="13" s="1"/>
  <c r="F225" i="13"/>
  <c r="J225" i="13" s="1"/>
  <c r="C207" i="13"/>
  <c r="D190" i="13"/>
  <c r="F173" i="13"/>
  <c r="E161" i="13"/>
  <c r="C145" i="13"/>
  <c r="F128" i="13"/>
  <c r="C124" i="13"/>
  <c r="F110" i="13"/>
  <c r="J110" i="13" s="1"/>
  <c r="C106" i="13"/>
  <c r="G106" i="13" s="1"/>
  <c r="C101" i="13"/>
  <c r="G101" i="13" s="1"/>
  <c r="F92" i="13"/>
  <c r="J92" i="13" s="1"/>
  <c r="D82" i="13"/>
  <c r="H82" i="13" s="1"/>
  <c r="E67" i="13"/>
  <c r="F47" i="13"/>
  <c r="C33" i="13"/>
  <c r="D13" i="13"/>
  <c r="E230" i="13"/>
  <c r="E215" i="13"/>
  <c r="D195" i="13"/>
  <c r="F137" i="13"/>
  <c r="J137" i="13" s="1"/>
  <c r="F124" i="13"/>
  <c r="J124" i="13" s="1"/>
  <c r="F102" i="13"/>
  <c r="J102" i="13" s="1"/>
  <c r="C39" i="13"/>
  <c r="G39" i="13" s="1"/>
  <c r="D245" i="13"/>
  <c r="H245" i="13" s="1"/>
  <c r="E233" i="13"/>
  <c r="D215" i="13"/>
  <c r="C204" i="13"/>
  <c r="C163" i="13"/>
  <c r="E146" i="13"/>
  <c r="C116" i="13"/>
  <c r="C84" i="13"/>
  <c r="D69" i="13"/>
  <c r="E49" i="13"/>
  <c r="I49" i="13" s="1"/>
  <c r="D255" i="13"/>
  <c r="H255" i="13" s="1"/>
  <c r="C248" i="13"/>
  <c r="F240" i="13"/>
  <c r="J240" i="13" s="1"/>
  <c r="C237" i="13"/>
  <c r="C229" i="13"/>
  <c r="C222" i="13"/>
  <c r="F217" i="13"/>
  <c r="F210" i="13"/>
  <c r="E202" i="13"/>
  <c r="E257" i="13"/>
  <c r="I257" i="13" s="1"/>
  <c r="E254" i="13"/>
  <c r="I254" i="13" s="1"/>
  <c r="F251" i="13"/>
  <c r="J251" i="13" s="1"/>
  <c r="F243" i="13"/>
  <c r="J243" i="13" s="1"/>
  <c r="C240" i="13"/>
  <c r="G240" i="13" s="1"/>
  <c r="F228" i="13"/>
  <c r="F213" i="13"/>
  <c r="E206" i="13"/>
  <c r="C199" i="13"/>
  <c r="F194" i="13"/>
  <c r="E182" i="13"/>
  <c r="C170" i="13"/>
  <c r="C166" i="13"/>
  <c r="E153" i="13"/>
  <c r="I153" i="13" s="1"/>
  <c r="D141" i="13"/>
  <c r="H141" i="13" s="1"/>
  <c r="C137" i="13"/>
  <c r="G137" i="13" s="1"/>
  <c r="D132" i="13"/>
  <c r="H132" i="13" s="1"/>
  <c r="D114" i="13"/>
  <c r="H114" i="13" s="1"/>
  <c r="E110" i="13"/>
  <c r="D96" i="13"/>
  <c r="E92" i="13"/>
  <c r="C78" i="13"/>
  <c r="F72" i="13"/>
  <c r="D58" i="13"/>
  <c r="E43" i="13"/>
  <c r="D38" i="13"/>
  <c r="H38" i="13" s="1"/>
  <c r="F23" i="13"/>
  <c r="J23" i="13" s="1"/>
  <c r="F8" i="13"/>
  <c r="J8" i="13" s="1"/>
  <c r="C219" i="13"/>
  <c r="G219" i="13" s="1"/>
  <c r="C201" i="13"/>
  <c r="G201" i="13" s="1"/>
  <c r="C182" i="13"/>
  <c r="E160" i="13"/>
  <c r="D136" i="13"/>
  <c r="F14" i="13"/>
  <c r="D253" i="13"/>
  <c r="E236" i="13"/>
  <c r="D212" i="13"/>
  <c r="H212" i="13" s="1"/>
  <c r="E123" i="13"/>
  <c r="I123" i="13" s="1"/>
  <c r="D251" i="13"/>
  <c r="H251" i="13" s="1"/>
  <c r="F231" i="13"/>
  <c r="J231" i="13" s="1"/>
  <c r="F222" i="13"/>
  <c r="J222" i="13" s="1"/>
  <c r="F218" i="13"/>
  <c r="J218" i="13" s="1"/>
  <c r="D214" i="13"/>
  <c r="F200" i="13"/>
  <c r="E193" i="13"/>
  <c r="D186" i="13"/>
  <c r="C179" i="13"/>
  <c r="C172" i="13"/>
  <c r="F164" i="13"/>
  <c r="J164" i="13" s="1"/>
  <c r="E157" i="13"/>
  <c r="I157" i="13" s="1"/>
  <c r="D150" i="13"/>
  <c r="H150" i="13" s="1"/>
  <c r="C143" i="13"/>
  <c r="G143" i="13" s="1"/>
  <c r="C136" i="13"/>
  <c r="G136" i="13" s="1"/>
  <c r="D128" i="13"/>
  <c r="H128" i="13" s="1"/>
  <c r="F125" i="13"/>
  <c r="F122" i="13"/>
  <c r="F117" i="13"/>
  <c r="C115" i="13"/>
  <c r="E112" i="13"/>
  <c r="E104" i="13"/>
  <c r="D102" i="13"/>
  <c r="D99" i="13"/>
  <c r="H99" i="13" s="1"/>
  <c r="F88" i="13"/>
  <c r="J88" i="13" s="1"/>
  <c r="C80" i="13"/>
  <c r="G80" i="13" s="1"/>
  <c r="D71" i="13"/>
  <c r="H71" i="13" s="1"/>
  <c r="F62" i="13"/>
  <c r="J62" i="13" s="1"/>
  <c r="D54" i="13"/>
  <c r="E45" i="13"/>
  <c r="F36" i="13"/>
  <c r="D28" i="13"/>
  <c r="E19" i="13"/>
  <c r="C11" i="13"/>
  <c r="E249" i="13"/>
  <c r="I249" i="13" s="1"/>
  <c r="C230" i="13"/>
  <c r="G230" i="13" s="1"/>
  <c r="E225" i="13"/>
  <c r="I225" i="13" s="1"/>
  <c r="C221" i="13"/>
  <c r="G221" i="13" s="1"/>
  <c r="E214" i="13"/>
  <c r="I214" i="13" s="1"/>
  <c r="C208" i="13"/>
  <c r="G208" i="13" s="1"/>
  <c r="F203" i="13"/>
  <c r="F193" i="13"/>
  <c r="E186" i="13"/>
  <c r="E179" i="13"/>
  <c r="D172" i="13"/>
  <c r="F167" i="13"/>
  <c r="F157" i="13"/>
  <c r="J157" i="13" s="1"/>
  <c r="E150" i="13"/>
  <c r="E143" i="13"/>
  <c r="I143" i="13" s="1"/>
  <c r="E131" i="13"/>
  <c r="I131" i="13" s="1"/>
  <c r="C126" i="13"/>
  <c r="F115" i="13"/>
  <c r="E102" i="13"/>
  <c r="D97" i="13"/>
  <c r="D92" i="13"/>
  <c r="C89" i="13"/>
  <c r="D80" i="13"/>
  <c r="C75" i="13"/>
  <c r="D66" i="13"/>
  <c r="H66" i="13" s="1"/>
  <c r="E54" i="13"/>
  <c r="I54" i="13" s="1"/>
  <c r="D49" i="13"/>
  <c r="E40" i="13"/>
  <c r="I40" i="13" s="1"/>
  <c r="F31" i="13"/>
  <c r="J31" i="13" s="1"/>
  <c r="E28" i="13"/>
  <c r="I28" i="13" s="1"/>
  <c r="C20" i="13"/>
  <c r="E251" i="13"/>
  <c r="C247" i="13"/>
  <c r="C245" i="13"/>
  <c r="E240" i="13"/>
  <c r="C234" i="13"/>
  <c r="F216" i="13"/>
  <c r="D210" i="13"/>
  <c r="H210" i="13" s="1"/>
  <c r="F205" i="13"/>
  <c r="J205" i="13" s="1"/>
  <c r="E191" i="13"/>
  <c r="I191" i="13" s="1"/>
  <c r="D184" i="13"/>
  <c r="E162" i="13"/>
  <c r="I162" i="13" s="1"/>
  <c r="E155" i="13"/>
  <c r="C141" i="13"/>
  <c r="D118" i="13"/>
  <c r="D110" i="13"/>
  <c r="F104" i="13"/>
  <c r="J104" i="13" s="1"/>
  <c r="F99" i="13"/>
  <c r="E94" i="13"/>
  <c r="C86" i="13"/>
  <c r="G86" i="13" s="1"/>
  <c r="F77" i="13"/>
  <c r="D60" i="13"/>
  <c r="H60" i="13" s="1"/>
  <c r="E51" i="13"/>
  <c r="I51" i="13" s="1"/>
  <c r="E34" i="13"/>
  <c r="I34" i="13" s="1"/>
  <c r="C17" i="13"/>
  <c r="D8" i="13"/>
  <c r="C255" i="13"/>
  <c r="D227" i="13"/>
  <c r="D216" i="13"/>
  <c r="H216" i="13" s="1"/>
  <c r="C253" i="13"/>
  <c r="F244" i="13"/>
  <c r="J244" i="13" s="1"/>
  <c r="D240" i="13"/>
  <c r="D238" i="13"/>
  <c r="H238" i="13" s="1"/>
  <c r="F233" i="13"/>
  <c r="J233" i="13" s="1"/>
  <c r="C212" i="13"/>
  <c r="G212" i="13" s="1"/>
  <c r="E207" i="13"/>
  <c r="I207" i="13" s="1"/>
  <c r="E205" i="13"/>
  <c r="F202" i="13"/>
  <c r="D198" i="13"/>
  <c r="E195" i="13"/>
  <c r="C191" i="13"/>
  <c r="E188" i="13"/>
  <c r="C184" i="13"/>
  <c r="G184" i="13" s="1"/>
  <c r="D181" i="13"/>
  <c r="H181" i="13" s="1"/>
  <c r="F176" i="13"/>
  <c r="J176" i="13" s="1"/>
  <c r="C174" i="13"/>
  <c r="G174" i="13" s="1"/>
  <c r="E169" i="13"/>
  <c r="I169" i="13" s="1"/>
  <c r="F166" i="13"/>
  <c r="J166" i="13" s="1"/>
  <c r="D162" i="13"/>
  <c r="E159" i="13"/>
  <c r="I159" i="13" s="1"/>
  <c r="C155" i="13"/>
  <c r="E152" i="13"/>
  <c r="C148" i="13"/>
  <c r="D145" i="13"/>
  <c r="F140" i="13"/>
  <c r="C138" i="13"/>
  <c r="E133" i="13"/>
  <c r="I133" i="13" s="1"/>
  <c r="E130" i="13"/>
  <c r="I130" i="13" s="1"/>
  <c r="E125" i="13"/>
  <c r="I125" i="13" s="1"/>
  <c r="E122" i="13"/>
  <c r="I122" i="13" s="1"/>
  <c r="D120" i="13"/>
  <c r="C110" i="13"/>
  <c r="C107" i="13"/>
  <c r="E96" i="13"/>
  <c r="D94" i="13"/>
  <c r="D91" i="13"/>
  <c r="F85" i="13"/>
  <c r="J85" i="13" s="1"/>
  <c r="E82" i="13"/>
  <c r="I82" i="13" s="1"/>
  <c r="C77" i="13"/>
  <c r="G77" i="13" s="1"/>
  <c r="C74" i="13"/>
  <c r="G74" i="13" s="1"/>
  <c r="F68" i="13"/>
  <c r="J68" i="13" s="1"/>
  <c r="D65" i="13"/>
  <c r="H65" i="13" s="1"/>
  <c r="C60" i="13"/>
  <c r="F56" i="13"/>
  <c r="D51" i="13"/>
  <c r="C48" i="13"/>
  <c r="E42" i="13"/>
  <c r="D39" i="13"/>
  <c r="F33" i="13"/>
  <c r="F30" i="13"/>
  <c r="E25" i="13"/>
  <c r="I25" i="13" s="1"/>
  <c r="D22" i="13"/>
  <c r="H22" i="13" s="1"/>
  <c r="F16" i="13"/>
  <c r="J16" i="13" s="1"/>
  <c r="E13" i="13"/>
  <c r="I13" i="13" s="1"/>
  <c r="C8" i="13"/>
  <c r="E223" i="13"/>
  <c r="C217" i="13"/>
  <c r="E212" i="13"/>
  <c r="E196" i="13"/>
  <c r="D189" i="13"/>
  <c r="H189" i="13" s="1"/>
  <c r="C175" i="13"/>
  <c r="G175" i="13" s="1"/>
  <c r="C165" i="13"/>
  <c r="G165" i="13" s="1"/>
  <c r="D153" i="13"/>
  <c r="H153" i="13" s="1"/>
  <c r="C146" i="13"/>
  <c r="G146" i="13" s="1"/>
  <c r="C139" i="13"/>
  <c r="G139" i="13" s="1"/>
  <c r="E128" i="13"/>
  <c r="I128" i="13" s="1"/>
  <c r="F112" i="13"/>
  <c r="D100" i="13"/>
  <c r="F83" i="13"/>
  <c r="F71" i="13"/>
  <c r="D63" i="13"/>
  <c r="F57" i="13"/>
  <c r="F45" i="13"/>
  <c r="J45" i="13" s="1"/>
  <c r="D37" i="13"/>
  <c r="H37" i="13" s="1"/>
  <c r="C23" i="13"/>
  <c r="G23" i="13" s="1"/>
  <c r="D11" i="13"/>
  <c r="H11" i="13" s="1"/>
  <c r="C249" i="13"/>
  <c r="G249" i="13" s="1"/>
  <c r="C243" i="13"/>
  <c r="G243" i="13" s="1"/>
  <c r="E238" i="13"/>
  <c r="C232" i="13"/>
  <c r="E227" i="13"/>
  <c r="F207" i="13"/>
  <c r="E198" i="13"/>
  <c r="C177" i="13"/>
  <c r="F169" i="13"/>
  <c r="D148" i="13"/>
  <c r="F133" i="13"/>
  <c r="J133" i="13" s="1"/>
  <c r="E120" i="13"/>
  <c r="F107" i="13"/>
  <c r="J107" i="13" s="1"/>
  <c r="C97" i="13"/>
  <c r="G97" i="13" s="1"/>
  <c r="C69" i="13"/>
  <c r="F42" i="13"/>
  <c r="F25" i="13"/>
  <c r="F256" i="13"/>
  <c r="F246" i="13"/>
  <c r="E242" i="13"/>
  <c r="D225" i="13"/>
  <c r="F220" i="13"/>
  <c r="J220" i="13" s="1"/>
  <c r="F209" i="13"/>
  <c r="J209" i="13" s="1"/>
  <c r="F248" i="13"/>
  <c r="J248" i="13" s="1"/>
  <c r="D242" i="13"/>
  <c r="H242" i="13" s="1"/>
  <c r="F235" i="13"/>
  <c r="J235" i="13" s="1"/>
  <c r="D229" i="13"/>
  <c r="E256" i="13"/>
  <c r="F254" i="13"/>
  <c r="E246" i="13"/>
  <c r="E231" i="13"/>
  <c r="C227" i="13"/>
  <c r="C225" i="13"/>
  <c r="G225" i="13" s="1"/>
  <c r="E222" i="13"/>
  <c r="I222" i="13" s="1"/>
  <c r="E220" i="13"/>
  <c r="I220" i="13" s="1"/>
  <c r="E218" i="13"/>
  <c r="I218" i="13" s="1"/>
  <c r="C216" i="13"/>
  <c r="G216" i="13" s="1"/>
  <c r="C214" i="13"/>
  <c r="G214" i="13" s="1"/>
  <c r="E209" i="13"/>
  <c r="E200" i="13"/>
  <c r="D193" i="13"/>
  <c r="C186" i="13"/>
  <c r="F178" i="13"/>
  <c r="E171" i="13"/>
  <c r="E164" i="13"/>
  <c r="I164" i="13" s="1"/>
  <c r="D157" i="13"/>
  <c r="H157" i="13" s="1"/>
  <c r="C150" i="13"/>
  <c r="G150" i="13" s="1"/>
  <c r="F142" i="13"/>
  <c r="E135" i="13"/>
  <c r="I135" i="13" s="1"/>
  <c r="C128" i="13"/>
  <c r="G128" i="13" s="1"/>
  <c r="E117" i="13"/>
  <c r="E114" i="13"/>
  <c r="D112" i="13"/>
  <c r="D104" i="13"/>
  <c r="C102" i="13"/>
  <c r="C99" i="13"/>
  <c r="C94" i="13"/>
  <c r="E88" i="13"/>
  <c r="I88" i="13" s="1"/>
  <c r="F79" i="13"/>
  <c r="C71" i="13"/>
  <c r="D62" i="13"/>
  <c r="H62" i="13" s="1"/>
  <c r="F53" i="13"/>
  <c r="J53" i="13" s="1"/>
  <c r="D45" i="13"/>
  <c r="E36" i="13"/>
  <c r="F27" i="13"/>
  <c r="D19" i="13"/>
  <c r="E10" i="13"/>
  <c r="C215" i="13"/>
  <c r="E203" i="13"/>
  <c r="F190" i="13"/>
  <c r="J190" i="13" s="1"/>
  <c r="C180" i="13"/>
  <c r="C171" i="13"/>
  <c r="G171" i="13" s="1"/>
  <c r="D160" i="13"/>
  <c r="H160" i="13" s="1"/>
  <c r="E147" i="13"/>
  <c r="I147" i="13" s="1"/>
  <c r="C135" i="13"/>
  <c r="E109" i="13"/>
  <c r="D83" i="13"/>
  <c r="E70" i="13"/>
  <c r="F61" i="13"/>
  <c r="D55" i="13"/>
  <c r="F48" i="13"/>
  <c r="D42" i="13"/>
  <c r="H42" i="13" s="1"/>
  <c r="F35" i="13"/>
  <c r="J35" i="13" s="1"/>
  <c r="E31" i="13"/>
  <c r="I31" i="13" s="1"/>
  <c r="D29" i="13"/>
  <c r="H29" i="13" s="1"/>
  <c r="D27" i="13"/>
  <c r="H27" i="13" s="1"/>
  <c r="F24" i="13"/>
  <c r="F22" i="13"/>
  <c r="F20" i="13"/>
  <c r="J20" i="13" s="1"/>
  <c r="E18" i="13"/>
  <c r="E16" i="13"/>
  <c r="C14" i="13"/>
  <c r="C12" i="13"/>
  <c r="F7" i="13"/>
  <c r="F247" i="13"/>
  <c r="C238" i="13"/>
  <c r="G238" i="13" s="1"/>
  <c r="C233" i="13"/>
  <c r="G233" i="13" s="1"/>
  <c r="D223" i="13"/>
  <c r="H223" i="13" s="1"/>
  <c r="C220" i="13"/>
  <c r="F211" i="13"/>
  <c r="E201" i="13"/>
  <c r="D196" i="13"/>
  <c r="E192" i="13"/>
  <c r="D187" i="13"/>
  <c r="E183" i="13"/>
  <c r="E176" i="13"/>
  <c r="I176" i="13" s="1"/>
  <c r="F172" i="13"/>
  <c r="J172" i="13" s="1"/>
  <c r="E167" i="13"/>
  <c r="C162" i="13"/>
  <c r="G162" i="13" s="1"/>
  <c r="E156" i="13"/>
  <c r="I156" i="13" s="1"/>
  <c r="C153" i="13"/>
  <c r="E149" i="13"/>
  <c r="F145" i="13"/>
  <c r="D142" i="13"/>
  <c r="E140" i="13"/>
  <c r="F136" i="13"/>
  <c r="D133" i="13"/>
  <c r="D131" i="13"/>
  <c r="D127" i="13"/>
  <c r="E121" i="13"/>
  <c r="D119" i="13"/>
  <c r="H119" i="13" s="1"/>
  <c r="E115" i="13"/>
  <c r="I115" i="13" s="1"/>
  <c r="E113" i="13"/>
  <c r="E107" i="13"/>
  <c r="F103" i="13"/>
  <c r="F97" i="13"/>
  <c r="C92" i="13"/>
  <c r="F89" i="13"/>
  <c r="E87" i="13"/>
  <c r="E85" i="13"/>
  <c r="I85" i="13" s="1"/>
  <c r="D81" i="13"/>
  <c r="F78" i="13"/>
  <c r="J78" i="13" s="1"/>
  <c r="F76" i="13"/>
  <c r="J76" i="13" s="1"/>
  <c r="E72" i="13"/>
  <c r="I72" i="13" s="1"/>
  <c r="C68" i="13"/>
  <c r="G68" i="13" s="1"/>
  <c r="C66" i="13"/>
  <c r="F63" i="13"/>
  <c r="F59" i="13"/>
  <c r="D57" i="13"/>
  <c r="C53" i="13"/>
  <c r="C51" i="13"/>
  <c r="G51" i="13" s="1"/>
  <c r="E46" i="13"/>
  <c r="I46" i="13" s="1"/>
  <c r="D44" i="13"/>
  <c r="H44" i="13" s="1"/>
  <c r="D40" i="13"/>
  <c r="H40" i="13" s="1"/>
  <c r="C38" i="13"/>
  <c r="G38" i="13" s="1"/>
  <c r="E33" i="13"/>
  <c r="I33" i="13" s="1"/>
  <c r="F9" i="13"/>
  <c r="C257" i="13"/>
  <c r="G257" i="13" s="1"/>
  <c r="E255" i="13"/>
  <c r="I255" i="13" s="1"/>
  <c r="C254" i="13"/>
  <c r="E252" i="13"/>
  <c r="D249" i="13"/>
  <c r="C246" i="13"/>
  <c r="G246" i="13" s="1"/>
  <c r="F242" i="13"/>
  <c r="E239" i="13"/>
  <c r="I239" i="13" s="1"/>
  <c r="F237" i="13"/>
  <c r="J237" i="13" s="1"/>
  <c r="E234" i="13"/>
  <c r="I234" i="13" s="1"/>
  <c r="D231" i="13"/>
  <c r="H231" i="13" s="1"/>
  <c r="C228" i="13"/>
  <c r="F224" i="13"/>
  <c r="E221" i="13"/>
  <c r="F219" i="13"/>
  <c r="E216" i="13"/>
  <c r="I216" i="13" s="1"/>
  <c r="D213" i="13"/>
  <c r="C210" i="13"/>
  <c r="G210" i="13" s="1"/>
  <c r="F206" i="13"/>
  <c r="J206" i="13" s="1"/>
  <c r="C133" i="13"/>
  <c r="G133" i="13" s="1"/>
  <c r="C129" i="13"/>
  <c r="G129" i="13" s="1"/>
  <c r="C127" i="13"/>
  <c r="D123" i="13"/>
  <c r="H123" i="13" s="1"/>
  <c r="C121" i="13"/>
  <c r="D117" i="13"/>
  <c r="D111" i="13"/>
  <c r="H111" i="13" s="1"/>
  <c r="E105" i="13"/>
  <c r="E99" i="13"/>
  <c r="F95" i="13"/>
  <c r="F93" i="13"/>
  <c r="C251" i="13"/>
  <c r="E244" i="13"/>
  <c r="I244" i="13" s="1"/>
  <c r="D241" i="13"/>
  <c r="D236" i="13"/>
  <c r="H236" i="13" s="1"/>
  <c r="F229" i="13"/>
  <c r="J229" i="13" s="1"/>
  <c r="E226" i="13"/>
  <c r="D218" i="13"/>
  <c r="E208" i="13"/>
  <c r="D205" i="13"/>
  <c r="F199" i="13"/>
  <c r="J199" i="13" s="1"/>
  <c r="C198" i="13"/>
  <c r="E194" i="13"/>
  <c r="I194" i="13" s="1"/>
  <c r="C189" i="13"/>
  <c r="E185" i="13"/>
  <c r="I185" i="13" s="1"/>
  <c r="F181" i="13"/>
  <c r="J181" i="13" s="1"/>
  <c r="D178" i="13"/>
  <c r="H178" i="13" s="1"/>
  <c r="E174" i="13"/>
  <c r="I174" i="13" s="1"/>
  <c r="D169" i="13"/>
  <c r="E165" i="13"/>
  <c r="F163" i="13"/>
  <c r="E158" i="13"/>
  <c r="I158" i="13" s="1"/>
  <c r="F154" i="13"/>
  <c r="D151" i="13"/>
  <c r="C144" i="13"/>
  <c r="E138" i="13"/>
  <c r="I138" i="13" s="1"/>
  <c r="D125" i="13"/>
  <c r="F74" i="13"/>
  <c r="F250" i="13"/>
  <c r="J250" i="13" s="1"/>
  <c r="E247" i="13"/>
  <c r="I247" i="13" s="1"/>
  <c r="D244" i="13"/>
  <c r="C241" i="13"/>
  <c r="D239" i="13"/>
  <c r="C236" i="13"/>
  <c r="F232" i="13"/>
  <c r="E229" i="13"/>
  <c r="D226" i="13"/>
  <c r="H226" i="13" s="1"/>
  <c r="C223" i="13"/>
  <c r="D221" i="13"/>
  <c r="H221" i="13" s="1"/>
  <c r="C218" i="13"/>
  <c r="F214" i="13"/>
  <c r="J214" i="13" s="1"/>
  <c r="E211" i="13"/>
  <c r="I211" i="13" s="1"/>
  <c r="D208" i="13"/>
  <c r="C205" i="13"/>
  <c r="C203" i="13"/>
  <c r="G203" i="13" s="1"/>
  <c r="D201" i="13"/>
  <c r="E199" i="13"/>
  <c r="I199" i="13" s="1"/>
  <c r="F197" i="13"/>
  <c r="C196" i="13"/>
  <c r="G196" i="13" s="1"/>
  <c r="C194" i="13"/>
  <c r="G194" i="13" s="1"/>
  <c r="D192" i="13"/>
  <c r="H192" i="13" s="1"/>
  <c r="E190" i="13"/>
  <c r="I190" i="13" s="1"/>
  <c r="F188" i="13"/>
  <c r="J188" i="13" s="1"/>
  <c r="C187" i="13"/>
  <c r="G187" i="13" s="1"/>
  <c r="C185" i="13"/>
  <c r="D183" i="13"/>
  <c r="E181" i="13"/>
  <c r="F179" i="13"/>
  <c r="C178" i="13"/>
  <c r="G178" i="13" s="1"/>
  <c r="C176" i="13"/>
  <c r="G176" i="13" s="1"/>
  <c r="D174" i="13"/>
  <c r="E172" i="13"/>
  <c r="F170" i="13"/>
  <c r="C169" i="13"/>
  <c r="G169" i="13" s="1"/>
  <c r="C167" i="13"/>
  <c r="G167" i="13" s="1"/>
  <c r="D165" i="13"/>
  <c r="H165" i="13" s="1"/>
  <c r="E163" i="13"/>
  <c r="F161" i="13"/>
  <c r="C160" i="13"/>
  <c r="C158" i="13"/>
  <c r="D156" i="13"/>
  <c r="E154" i="13"/>
  <c r="F152" i="13"/>
  <c r="C151" i="13"/>
  <c r="C149" i="13"/>
  <c r="G149" i="13" s="1"/>
  <c r="D147" i="13"/>
  <c r="H147" i="13" s="1"/>
  <c r="E145" i="13"/>
  <c r="I145" i="13" s="1"/>
  <c r="F143" i="13"/>
  <c r="J143" i="13" s="1"/>
  <c r="C142" i="13"/>
  <c r="C140" i="13"/>
  <c r="G140" i="13" s="1"/>
  <c r="D138" i="13"/>
  <c r="E136" i="13"/>
  <c r="F134" i="13"/>
  <c r="F130" i="13"/>
  <c r="C125" i="13"/>
  <c r="C119" i="13"/>
  <c r="G119" i="13" s="1"/>
  <c r="D115" i="13"/>
  <c r="H115" i="13" s="1"/>
  <c r="D113" i="13"/>
  <c r="D109" i="13"/>
  <c r="H109" i="13" s="1"/>
  <c r="D107" i="13"/>
  <c r="H107" i="13" s="1"/>
  <c r="E103" i="13"/>
  <c r="D101" i="13"/>
  <c r="E97" i="13"/>
  <c r="E95" i="13"/>
  <c r="I95" i="13" s="1"/>
  <c r="E91" i="13"/>
  <c r="D89" i="13"/>
  <c r="D87" i="13"/>
  <c r="H87" i="13" s="1"/>
  <c r="D85" i="13"/>
  <c r="H85" i="13" s="1"/>
  <c r="C83" i="13"/>
  <c r="G83" i="13" s="1"/>
  <c r="F80" i="13"/>
  <c r="J80" i="13" s="1"/>
  <c r="E78" i="13"/>
  <c r="I78" i="13" s="1"/>
  <c r="E76" i="13"/>
  <c r="I76" i="13" s="1"/>
  <c r="D74" i="13"/>
  <c r="D72" i="13"/>
  <c r="F69" i="13"/>
  <c r="F67" i="13"/>
  <c r="F65" i="13"/>
  <c r="E63" i="13"/>
  <c r="E61" i="13"/>
  <c r="C59" i="13"/>
  <c r="G59" i="13" s="1"/>
  <c r="C57" i="13"/>
  <c r="F54" i="13"/>
  <c r="J54" i="13" s="1"/>
  <c r="F52" i="13"/>
  <c r="F50" i="13"/>
  <c r="J50" i="13" s="1"/>
  <c r="D48" i="13"/>
  <c r="D46" i="13"/>
  <c r="C44" i="13"/>
  <c r="C42" i="13"/>
  <c r="F39" i="13"/>
  <c r="E37" i="13"/>
  <c r="D35" i="13"/>
  <c r="H35" i="13" s="1"/>
  <c r="D33" i="13"/>
  <c r="D31" i="13"/>
  <c r="C29" i="13"/>
  <c r="G29" i="13" s="1"/>
  <c r="F26" i="13"/>
  <c r="J26" i="13" s="1"/>
  <c r="E24" i="13"/>
  <c r="I24" i="13" s="1"/>
  <c r="E22" i="13"/>
  <c r="D20" i="13"/>
  <c r="D18" i="13"/>
  <c r="F15" i="13"/>
  <c r="F13" i="13"/>
  <c r="J13" i="13" s="1"/>
  <c r="F11" i="13"/>
  <c r="E9" i="13"/>
  <c r="E7" i="13"/>
  <c r="I7" i="13" s="1"/>
  <c r="F132" i="13"/>
  <c r="J132" i="13" s="1"/>
  <c r="E129" i="13"/>
  <c r="I129" i="13" s="1"/>
  <c r="D126" i="13"/>
  <c r="H126" i="13" s="1"/>
  <c r="C123" i="13"/>
  <c r="G123" i="13" s="1"/>
  <c r="F119" i="13"/>
  <c r="C118" i="13"/>
  <c r="F114" i="13"/>
  <c r="E111" i="13"/>
  <c r="D108" i="13"/>
  <c r="C105" i="13"/>
  <c r="F101" i="13"/>
  <c r="C100" i="13"/>
  <c r="F96" i="13"/>
  <c r="J96" i="13" s="1"/>
  <c r="E93" i="13"/>
  <c r="I93" i="13" s="1"/>
  <c r="F204" i="13"/>
  <c r="J204" i="13" s="1"/>
  <c r="D203" i="13"/>
  <c r="H203" i="13" s="1"/>
  <c r="F201" i="13"/>
  <c r="D200" i="13"/>
  <c r="F198" i="13"/>
  <c r="D197" i="13"/>
  <c r="F195" i="13"/>
  <c r="D194" i="13"/>
  <c r="F192" i="13"/>
  <c r="J192" i="13" s="1"/>
  <c r="D191" i="13"/>
  <c r="F189" i="13"/>
  <c r="J189" i="13" s="1"/>
  <c r="D188" i="13"/>
  <c r="H188" i="13" s="1"/>
  <c r="F186" i="13"/>
  <c r="J186" i="13" s="1"/>
  <c r="D185" i="13"/>
  <c r="H185" i="13" s="1"/>
  <c r="F183" i="13"/>
  <c r="D182" i="13"/>
  <c r="H182" i="13" s="1"/>
  <c r="F180" i="13"/>
  <c r="D179" i="13"/>
  <c r="F177" i="13"/>
  <c r="J177" i="13" s="1"/>
  <c r="D176" i="13"/>
  <c r="F174" i="13"/>
  <c r="D173" i="13"/>
  <c r="H173" i="13" s="1"/>
  <c r="F171" i="13"/>
  <c r="J171" i="13" s="1"/>
  <c r="D170" i="13"/>
  <c r="H170" i="13" s="1"/>
  <c r="F168" i="13"/>
  <c r="J168" i="13" s="1"/>
  <c r="D167" i="13"/>
  <c r="H167" i="13" s="1"/>
  <c r="F165" i="13"/>
  <c r="D164" i="13"/>
  <c r="F162" i="13"/>
  <c r="J162" i="13" s="1"/>
  <c r="D161" i="13"/>
  <c r="F159" i="13"/>
  <c r="D158" i="13"/>
  <c r="F156" i="13"/>
  <c r="J156" i="13" s="1"/>
  <c r="D155" i="13"/>
  <c r="H155" i="13" s="1"/>
  <c r="F153" i="13"/>
  <c r="J153" i="13" s="1"/>
  <c r="D152" i="13"/>
  <c r="H152" i="13" s="1"/>
  <c r="F150" i="13"/>
  <c r="J150" i="13" s="1"/>
  <c r="D149" i="13"/>
  <c r="H149" i="13" s="1"/>
  <c r="F147" i="13"/>
  <c r="D146" i="13"/>
  <c r="F144" i="13"/>
  <c r="J144" i="13" s="1"/>
  <c r="D143" i="13"/>
  <c r="F141" i="13"/>
  <c r="D140" i="13"/>
  <c r="F138" i="13"/>
  <c r="D137" i="13"/>
  <c r="H137" i="13" s="1"/>
  <c r="F135" i="13"/>
  <c r="J135" i="13" s="1"/>
  <c r="D134" i="13"/>
  <c r="H134" i="13" s="1"/>
  <c r="C131" i="13"/>
  <c r="G131" i="13" s="1"/>
  <c r="F127" i="13"/>
  <c r="J127" i="13" s="1"/>
  <c r="E124" i="13"/>
  <c r="D121" i="13"/>
  <c r="E119" i="13"/>
  <c r="D116" i="13"/>
  <c r="H116" i="13" s="1"/>
  <c r="C113" i="13"/>
  <c r="G113" i="13" s="1"/>
  <c r="F109" i="13"/>
  <c r="E106" i="13"/>
  <c r="I106" i="13" s="1"/>
  <c r="D103" i="13"/>
  <c r="H103" i="13" s="1"/>
  <c r="E101" i="13"/>
  <c r="I101" i="13" s="1"/>
  <c r="D98" i="13"/>
  <c r="H98" i="13" s="1"/>
  <c r="C95" i="13"/>
  <c r="G95" i="13" s="1"/>
  <c r="F91" i="13"/>
  <c r="J91" i="13" s="1"/>
  <c r="C90" i="13"/>
  <c r="D88" i="13"/>
  <c r="D86" i="13"/>
  <c r="E84" i="13"/>
  <c r="F82" i="13"/>
  <c r="C81" i="13"/>
  <c r="D79" i="13"/>
  <c r="D77" i="13"/>
  <c r="H77" i="13" s="1"/>
  <c r="E75" i="13"/>
  <c r="F73" i="13"/>
  <c r="J73" i="13" s="1"/>
  <c r="C72" i="13"/>
  <c r="D70" i="13"/>
  <c r="H70" i="13" s="1"/>
  <c r="D68" i="13"/>
  <c r="E66" i="13"/>
  <c r="F64" i="13"/>
  <c r="C63" i="13"/>
  <c r="D61" i="13"/>
  <c r="D59" i="13"/>
  <c r="E57" i="13"/>
  <c r="F55" i="13"/>
  <c r="J55" i="13" s="1"/>
  <c r="C54" i="13"/>
  <c r="D52" i="13"/>
  <c r="H52" i="13" s="1"/>
  <c r="D50" i="13"/>
  <c r="H50" i="13" s="1"/>
  <c r="E48" i="13"/>
  <c r="I48" i="13" s="1"/>
  <c r="F46" i="13"/>
  <c r="C45" i="13"/>
  <c r="D43" i="13"/>
  <c r="D41" i="13"/>
  <c r="E39" i="13"/>
  <c r="F37" i="13"/>
  <c r="C36" i="13"/>
  <c r="D34" i="13"/>
  <c r="H34" i="13" s="1"/>
  <c r="D32" i="13"/>
  <c r="H32" i="13" s="1"/>
  <c r="E30" i="13"/>
  <c r="I30" i="13" s="1"/>
  <c r="F28" i="13"/>
  <c r="J28" i="13" s="1"/>
  <c r="C27" i="13"/>
  <c r="G27" i="13" s="1"/>
  <c r="D25" i="13"/>
  <c r="D23" i="13"/>
  <c r="E21" i="13"/>
  <c r="F19" i="13"/>
  <c r="C18" i="13"/>
  <c r="D16" i="13"/>
  <c r="D14" i="13"/>
  <c r="E12" i="13"/>
  <c r="F10" i="13"/>
  <c r="J10" i="13" s="1"/>
  <c r="C9" i="13"/>
  <c r="G9" i="13" s="1"/>
  <c r="D7" i="13"/>
  <c r="H7" i="13" s="1"/>
  <c r="C91" i="13"/>
  <c r="G91" i="13" s="1"/>
  <c r="E89" i="13"/>
  <c r="C88" i="13"/>
  <c r="E86" i="13"/>
  <c r="C85" i="13"/>
  <c r="E83" i="13"/>
  <c r="C82" i="13"/>
  <c r="E80" i="13"/>
  <c r="I80" i="13" s="1"/>
  <c r="C79" i="13"/>
  <c r="E77" i="13"/>
  <c r="C76" i="13"/>
  <c r="G76" i="13" s="1"/>
  <c r="E74" i="13"/>
  <c r="I74" i="13" s="1"/>
  <c r="C73" i="13"/>
  <c r="G73" i="13" s="1"/>
  <c r="E71" i="13"/>
  <c r="C70" i="13"/>
  <c r="E68" i="13"/>
  <c r="C67" i="13"/>
  <c r="E65" i="13"/>
  <c r="I65" i="13" s="1"/>
  <c r="C64" i="13"/>
  <c r="E62" i="13"/>
  <c r="I62" i="13" s="1"/>
  <c r="C61" i="13"/>
  <c r="G61" i="13" s="1"/>
  <c r="E59" i="13"/>
  <c r="I59" i="13" s="1"/>
  <c r="C58" i="13"/>
  <c r="G58" i="13" s="1"/>
  <c r="E56" i="13"/>
  <c r="I56" i="13" s="1"/>
  <c r="C55" i="13"/>
  <c r="G55" i="13" s="1"/>
  <c r="E53" i="13"/>
  <c r="C52" i="13"/>
  <c r="E50" i="13"/>
  <c r="C49" i="13"/>
  <c r="E47" i="13"/>
  <c r="C46" i="13"/>
  <c r="E44" i="13"/>
  <c r="I44" i="13" s="1"/>
  <c r="C43" i="13"/>
  <c r="G43" i="13" s="1"/>
  <c r="E41" i="13"/>
  <c r="I41" i="13" s="1"/>
  <c r="C40" i="13"/>
  <c r="G40" i="13" s="1"/>
  <c r="E38" i="13"/>
  <c r="I38" i="13" s="1"/>
  <c r="C37" i="13"/>
  <c r="G37" i="13" s="1"/>
  <c r="E35" i="13"/>
  <c r="C34" i="13"/>
  <c r="G34" i="13" s="1"/>
  <c r="E32" i="13"/>
  <c r="C31" i="13"/>
  <c r="E29" i="13"/>
  <c r="C28" i="13"/>
  <c r="E26" i="13"/>
  <c r="I26" i="13" s="1"/>
  <c r="C25" i="13"/>
  <c r="G25" i="13" s="1"/>
  <c r="E23" i="13"/>
  <c r="C22" i="13"/>
  <c r="G22" i="13" s="1"/>
  <c r="E20" i="13"/>
  <c r="I20" i="13" s="1"/>
  <c r="C19" i="13"/>
  <c r="G19" i="13" s="1"/>
  <c r="E17" i="13"/>
  <c r="C16" i="13"/>
  <c r="E14" i="13"/>
  <c r="C13" i="13"/>
  <c r="E11" i="13"/>
  <c r="C10" i="13"/>
  <c r="G10" i="13" s="1"/>
  <c r="E8" i="13"/>
  <c r="I8" i="13" s="1"/>
  <c r="C7" i="13"/>
  <c r="G7" i="13" s="1"/>
  <c r="F6" i="13"/>
  <c r="J6" i="13" s="1"/>
  <c r="D6" i="13"/>
  <c r="E6" i="13"/>
  <c r="I6" i="13" s="1"/>
  <c r="C6" i="13"/>
  <c r="G6" i="13" s="1"/>
  <c r="F5" i="13"/>
  <c r="R1" i="13" s="1"/>
  <c r="E5" i="13"/>
  <c r="Q1" i="13" s="1"/>
  <c r="D5" i="13"/>
  <c r="P1" i="13" s="1"/>
  <c r="C5" i="13"/>
  <c r="O1" i="13" s="1"/>
  <c r="K12" i="12"/>
  <c r="K11" i="12"/>
  <c r="K10" i="12"/>
  <c r="K9" i="12"/>
  <c r="F12" i="12"/>
  <c r="F11" i="12"/>
  <c r="F10" i="12"/>
  <c r="F9" i="12"/>
  <c r="G199" i="13" l="1"/>
  <c r="G44" i="13"/>
  <c r="I154" i="13"/>
  <c r="H213" i="13"/>
  <c r="L213" i="13" s="1"/>
  <c r="P213" i="13" s="1"/>
  <c r="I83" i="13"/>
  <c r="M83" i="13" s="1"/>
  <c r="Q83" i="13" s="1"/>
  <c r="J82" i="13"/>
  <c r="N82" i="13" s="1"/>
  <c r="R82" i="13" s="1"/>
  <c r="I91" i="13"/>
  <c r="I192" i="13"/>
  <c r="M192" i="13" s="1"/>
  <c r="Q192" i="13" s="1"/>
  <c r="J178" i="13"/>
  <c r="G191" i="13"/>
  <c r="K191" i="13" s="1"/>
  <c r="O191" i="13" s="1"/>
  <c r="J210" i="13"/>
  <c r="N210" i="13" s="1"/>
  <c r="R210" i="13" s="1"/>
  <c r="I108" i="13"/>
  <c r="M108" i="13" s="1"/>
  <c r="Q108" i="13" s="1"/>
  <c r="G256" i="13"/>
  <c r="K256" i="13" s="1"/>
  <c r="O256" i="13" s="1"/>
  <c r="H217" i="13"/>
  <c r="L217" i="13" s="1"/>
  <c r="P217" i="13" s="1"/>
  <c r="J254" i="13"/>
  <c r="G204" i="13"/>
  <c r="K204" i="13" s="1"/>
  <c r="O204" i="13" s="1"/>
  <c r="G33" i="13"/>
  <c r="K33" i="13" s="1"/>
  <c r="O33" i="13" s="1"/>
  <c r="G117" i="13"/>
  <c r="K117" i="13" s="1"/>
  <c r="O117" i="13" s="1"/>
  <c r="J21" i="13"/>
  <c r="N21" i="13" s="1"/>
  <c r="R21" i="13" s="1"/>
  <c r="J115" i="13"/>
  <c r="N115" i="13" s="1"/>
  <c r="R115" i="13" s="1"/>
  <c r="H79" i="13"/>
  <c r="L79" i="13" s="1"/>
  <c r="P79" i="13" s="1"/>
  <c r="J174" i="13"/>
  <c r="N174" i="13" s="1"/>
  <c r="R174" i="13" s="1"/>
  <c r="I9" i="13"/>
  <c r="M9" i="13" s="1"/>
  <c r="Q9" i="13" s="1"/>
  <c r="G144" i="13"/>
  <c r="K144" i="13" s="1"/>
  <c r="O144" i="13" s="1"/>
  <c r="J93" i="13"/>
  <c r="N93" i="13" s="1"/>
  <c r="R93" i="13" s="1"/>
  <c r="G12" i="13"/>
  <c r="K12" i="13" s="1"/>
  <c r="O12" i="13" s="1"/>
  <c r="J140" i="13"/>
  <c r="N140" i="13" s="1"/>
  <c r="R140" i="13" s="1"/>
  <c r="I94" i="13"/>
  <c r="M94" i="13" s="1"/>
  <c r="Q94" i="13" s="1"/>
  <c r="J216" i="13"/>
  <c r="N216" i="13" s="1"/>
  <c r="R216" i="13" s="1"/>
  <c r="G84" i="13"/>
  <c r="K84" i="13" s="1"/>
  <c r="O84" i="13" s="1"/>
  <c r="H195" i="13"/>
  <c r="L195" i="13" s="1"/>
  <c r="P195" i="13" s="1"/>
  <c r="I178" i="13"/>
  <c r="M178" i="13" s="1"/>
  <c r="Q178" i="13" s="1"/>
  <c r="J58" i="13"/>
  <c r="N58" i="13" s="1"/>
  <c r="R58" i="13" s="1"/>
  <c r="I69" i="13"/>
  <c r="M69" i="13" s="1"/>
  <c r="Q69" i="13" s="1"/>
  <c r="H12" i="13"/>
  <c r="L12" i="13" s="1"/>
  <c r="P12" i="13" s="1"/>
  <c r="I90" i="13"/>
  <c r="M90" i="13" s="1"/>
  <c r="Q90" i="13" s="1"/>
  <c r="J12" i="13"/>
  <c r="N12" i="13" s="1"/>
  <c r="R12" i="13" s="1"/>
  <c r="H56" i="13"/>
  <c r="L56" i="13" s="1"/>
  <c r="P56" i="13" s="1"/>
  <c r="G202" i="13"/>
  <c r="K202" i="13" s="1"/>
  <c r="O202" i="13" s="1"/>
  <c r="G235" i="13"/>
  <c r="K235" i="13" s="1"/>
  <c r="O235" i="13" s="1"/>
  <c r="H16" i="13"/>
  <c r="L16" i="13" s="1"/>
  <c r="P16" i="13" s="1"/>
  <c r="H158" i="13"/>
  <c r="L158" i="13" s="1"/>
  <c r="P158" i="13" s="1"/>
  <c r="H176" i="13"/>
  <c r="L176" i="13" s="1"/>
  <c r="P176" i="13" s="1"/>
  <c r="J130" i="13"/>
  <c r="N130" i="13" s="1"/>
  <c r="R130" i="13" s="1"/>
  <c r="J197" i="13"/>
  <c r="N197" i="13" s="1"/>
  <c r="R197" i="13" s="1"/>
  <c r="I229" i="13"/>
  <c r="M229" i="13" s="1"/>
  <c r="Q229" i="13" s="1"/>
  <c r="G198" i="13"/>
  <c r="K198" i="13" s="1"/>
  <c r="O198" i="13" s="1"/>
  <c r="H249" i="13"/>
  <c r="L249" i="13" s="1"/>
  <c r="P249" i="13" s="1"/>
  <c r="G177" i="13"/>
  <c r="K177" i="13" s="1"/>
  <c r="O177" i="13" s="1"/>
  <c r="H91" i="13"/>
  <c r="L91" i="13" s="1"/>
  <c r="P91" i="13" s="1"/>
  <c r="H145" i="13"/>
  <c r="L145" i="13" s="1"/>
  <c r="P145" i="13" s="1"/>
  <c r="G253" i="13"/>
  <c r="J99" i="13"/>
  <c r="N99" i="13" s="1"/>
  <c r="R99" i="13" s="1"/>
  <c r="I104" i="13"/>
  <c r="M104" i="13" s="1"/>
  <c r="Q104" i="13" s="1"/>
  <c r="G116" i="13"/>
  <c r="K116" i="13" s="1"/>
  <c r="O116" i="13" s="1"/>
  <c r="I215" i="13"/>
  <c r="M215" i="13" s="1"/>
  <c r="Q215" i="13" s="1"/>
  <c r="J128" i="13"/>
  <c r="N128" i="13" s="1"/>
  <c r="R128" i="13" s="1"/>
  <c r="I250" i="13"/>
  <c r="M250" i="13" s="1"/>
  <c r="Q250" i="13" s="1"/>
  <c r="G62" i="13"/>
  <c r="K62" i="13" s="1"/>
  <c r="O62" i="13" s="1"/>
  <c r="I245" i="13"/>
  <c r="M245" i="13" s="1"/>
  <c r="Q245" i="13" s="1"/>
  <c r="J245" i="13"/>
  <c r="N245" i="13" s="1"/>
  <c r="R245" i="13" s="1"/>
  <c r="J113" i="13"/>
  <c r="N113" i="13" s="1"/>
  <c r="R113" i="13" s="1"/>
  <c r="J121" i="13"/>
  <c r="N121" i="13" s="1"/>
  <c r="R121" i="13" s="1"/>
  <c r="H228" i="13"/>
  <c r="I252" i="13"/>
  <c r="M252" i="13" s="1"/>
  <c r="Q252" i="13" s="1"/>
  <c r="I16" i="13"/>
  <c r="M16" i="13" s="1"/>
  <c r="Q16" i="13" s="1"/>
  <c r="H94" i="13"/>
  <c r="L94" i="13" s="1"/>
  <c r="P94" i="13" s="1"/>
  <c r="I112" i="13"/>
  <c r="M112" i="13" s="1"/>
  <c r="Q112" i="13" s="1"/>
  <c r="J111" i="13"/>
  <c r="N111" i="13" s="1"/>
  <c r="R111" i="13" s="1"/>
  <c r="J118" i="13"/>
  <c r="N118" i="13" s="1"/>
  <c r="R118" i="13" s="1"/>
  <c r="H17" i="13"/>
  <c r="L17" i="13" s="1"/>
  <c r="P17" i="13" s="1"/>
  <c r="G49" i="13"/>
  <c r="K49" i="13" s="1"/>
  <c r="O49" i="13" s="1"/>
  <c r="G67" i="13"/>
  <c r="K67" i="13" s="1"/>
  <c r="O67" i="13" s="1"/>
  <c r="J19" i="13"/>
  <c r="N19" i="13" s="1"/>
  <c r="R19" i="13" s="1"/>
  <c r="H161" i="13"/>
  <c r="L161" i="13" s="1"/>
  <c r="P161" i="13" s="1"/>
  <c r="H179" i="13"/>
  <c r="L179" i="13" s="1"/>
  <c r="P179" i="13" s="1"/>
  <c r="H197" i="13"/>
  <c r="L197" i="13" s="1"/>
  <c r="P197" i="13" s="1"/>
  <c r="I136" i="13"/>
  <c r="M136" i="13" s="1"/>
  <c r="Q136" i="13" s="1"/>
  <c r="J179" i="13"/>
  <c r="N179" i="13" s="1"/>
  <c r="R179" i="13" s="1"/>
  <c r="G236" i="13"/>
  <c r="K236" i="13" s="1"/>
  <c r="O236" i="13" s="1"/>
  <c r="G254" i="13"/>
  <c r="K254" i="13" s="1"/>
  <c r="O254" i="13" s="1"/>
  <c r="J97" i="13"/>
  <c r="N97" i="13" s="1"/>
  <c r="R97" i="13" s="1"/>
  <c r="I70" i="13"/>
  <c r="M70" i="13" s="1"/>
  <c r="Q70" i="13" s="1"/>
  <c r="H19" i="13"/>
  <c r="L19" i="13" s="1"/>
  <c r="P19" i="13" s="1"/>
  <c r="I96" i="13"/>
  <c r="M96" i="13" s="1"/>
  <c r="Q96" i="13" s="1"/>
  <c r="H110" i="13"/>
  <c r="L110" i="13" s="1"/>
  <c r="P110" i="13" s="1"/>
  <c r="G89" i="13"/>
  <c r="K89" i="13" s="1"/>
  <c r="O89" i="13" s="1"/>
  <c r="I179" i="13"/>
  <c r="M179" i="13" s="1"/>
  <c r="Q179" i="13" s="1"/>
  <c r="G163" i="13"/>
  <c r="K163" i="13" s="1"/>
  <c r="O163" i="13" s="1"/>
  <c r="H199" i="13"/>
  <c r="L199" i="13" s="1"/>
  <c r="P199" i="13" s="1"/>
  <c r="G120" i="13"/>
  <c r="K120" i="13" s="1"/>
  <c r="O120" i="13" s="1"/>
  <c r="J41" i="13"/>
  <c r="N41" i="13" s="1"/>
  <c r="R41" i="13" s="1"/>
  <c r="J253" i="13"/>
  <c r="N253" i="13" s="1"/>
  <c r="R253" i="13" s="1"/>
  <c r="G227" i="13"/>
  <c r="K227" i="13" s="1"/>
  <c r="O227" i="13" s="1"/>
  <c r="J182" i="13"/>
  <c r="N182" i="13" s="1"/>
  <c r="R182" i="13" s="1"/>
  <c r="I21" i="13"/>
  <c r="M21" i="13" s="1"/>
  <c r="Q21" i="13" s="1"/>
  <c r="J69" i="13"/>
  <c r="N69" i="13" s="1"/>
  <c r="R69" i="13" s="1"/>
  <c r="I208" i="13"/>
  <c r="M208" i="13" s="1"/>
  <c r="Q208" i="13" s="1"/>
  <c r="J83" i="13"/>
  <c r="N83" i="13" s="1"/>
  <c r="R83" i="13" s="1"/>
  <c r="H92" i="13"/>
  <c r="L92" i="13" s="1"/>
  <c r="P92" i="13" s="1"/>
  <c r="I186" i="13"/>
  <c r="M186" i="13" s="1"/>
  <c r="Q186" i="13" s="1"/>
  <c r="G134" i="13"/>
  <c r="K134" i="13" s="1"/>
  <c r="O134" i="13" s="1"/>
  <c r="I52" i="13"/>
  <c r="M52" i="13" s="1"/>
  <c r="Q52" i="13" s="1"/>
  <c r="G16" i="13"/>
  <c r="K16" i="13" s="1"/>
  <c r="O16" i="13" s="1"/>
  <c r="I66" i="13"/>
  <c r="M66" i="13" s="1"/>
  <c r="Q66" i="13" s="1"/>
  <c r="G241" i="13"/>
  <c r="K241" i="13" s="1"/>
  <c r="O241" i="13" s="1"/>
  <c r="I165" i="13"/>
  <c r="M165" i="13" s="1"/>
  <c r="Q165" i="13" s="1"/>
  <c r="I109" i="13"/>
  <c r="M109" i="13" s="1"/>
  <c r="Q109" i="13" s="1"/>
  <c r="I35" i="13"/>
  <c r="M35" i="13" s="1"/>
  <c r="Q35" i="13" s="1"/>
  <c r="J46" i="13"/>
  <c r="N46" i="13" s="1"/>
  <c r="R46" i="13" s="1"/>
  <c r="J201" i="13"/>
  <c r="N201" i="13" s="1"/>
  <c r="R201" i="13" s="1"/>
  <c r="G228" i="13"/>
  <c r="K228" i="13" s="1"/>
  <c r="O228" i="13" s="1"/>
  <c r="I113" i="13"/>
  <c r="M113" i="13" s="1"/>
  <c r="Q113" i="13" s="1"/>
  <c r="I205" i="13"/>
  <c r="M205" i="13" s="1"/>
  <c r="Q205" i="13" s="1"/>
  <c r="G20" i="13"/>
  <c r="K20" i="13" s="1"/>
  <c r="O20" i="13" s="1"/>
  <c r="H214" i="13"/>
  <c r="L214" i="13" s="1"/>
  <c r="P214" i="13" s="1"/>
  <c r="C5" i="15"/>
  <c r="H10" i="12"/>
  <c r="H206" i="13"/>
  <c r="L206" i="13" s="1"/>
  <c r="P206" i="13" s="1"/>
  <c r="J52" i="13"/>
  <c r="N52" i="13" s="1"/>
  <c r="R52" i="13" s="1"/>
  <c r="G127" i="13"/>
  <c r="K127" i="13" s="1"/>
  <c r="O127" i="13" s="1"/>
  <c r="H184" i="13"/>
  <c r="L184" i="13" s="1"/>
  <c r="P184" i="13" s="1"/>
  <c r="G126" i="13"/>
  <c r="K126" i="13" s="1"/>
  <c r="O126" i="13" s="1"/>
  <c r="G248" i="13"/>
  <c r="K248" i="13" s="1"/>
  <c r="O248" i="13" s="1"/>
  <c r="H6" i="13"/>
  <c r="L6" i="13" s="1"/>
  <c r="P6" i="13" s="1"/>
  <c r="J74" i="13"/>
  <c r="N74" i="13" s="1"/>
  <c r="R74" i="13" s="1"/>
  <c r="H241" i="13"/>
  <c r="L241" i="13" s="1"/>
  <c r="P241" i="13" s="1"/>
  <c r="I167" i="13"/>
  <c r="M167" i="13" s="1"/>
  <c r="Q167" i="13" s="1"/>
  <c r="G71" i="13"/>
  <c r="K71" i="13" s="1"/>
  <c r="O71" i="13" s="1"/>
  <c r="I120" i="13"/>
  <c r="M120" i="13" s="1"/>
  <c r="Q120" i="13" s="1"/>
  <c r="G168" i="13"/>
  <c r="K168" i="13" s="1"/>
  <c r="O168" i="13" s="1"/>
  <c r="B8" i="15"/>
  <c r="D30" i="12"/>
  <c r="I23" i="13"/>
  <c r="M23" i="13" s="1"/>
  <c r="Q23" i="13" s="1"/>
  <c r="G54" i="13"/>
  <c r="K54" i="13" s="1"/>
  <c r="O54" i="13" s="1"/>
  <c r="H125" i="13"/>
  <c r="L125" i="13" s="1"/>
  <c r="P125" i="13" s="1"/>
  <c r="H81" i="13"/>
  <c r="L81" i="13" s="1"/>
  <c r="P81" i="13" s="1"/>
  <c r="I58" i="13"/>
  <c r="M58" i="13" s="1"/>
  <c r="Q58" i="13" s="1"/>
  <c r="J90" i="13"/>
  <c r="N90" i="13" s="1"/>
  <c r="R90" i="13" s="1"/>
  <c r="J148" i="13"/>
  <c r="N148" i="13" s="1"/>
  <c r="R148" i="13" s="1"/>
  <c r="C8" i="15"/>
  <c r="E31" i="12"/>
  <c r="I12" i="13"/>
  <c r="M12" i="13" s="1"/>
  <c r="Q12" i="13" s="1"/>
  <c r="H191" i="13"/>
  <c r="L191" i="13" s="1"/>
  <c r="P191" i="13" s="1"/>
  <c r="G100" i="13"/>
  <c r="K100" i="13" s="1"/>
  <c r="O100" i="13" s="1"/>
  <c r="H33" i="13"/>
  <c r="L33" i="13" s="1"/>
  <c r="P33" i="13" s="1"/>
  <c r="G151" i="13"/>
  <c r="K151" i="13" s="1"/>
  <c r="O151" i="13" s="1"/>
  <c r="I172" i="13"/>
  <c r="M172" i="13" s="1"/>
  <c r="Q172" i="13" s="1"/>
  <c r="G223" i="13"/>
  <c r="K223" i="13" s="1"/>
  <c r="O223" i="13" s="1"/>
  <c r="G189" i="13"/>
  <c r="K189" i="13" s="1"/>
  <c r="O189" i="13" s="1"/>
  <c r="H131" i="13"/>
  <c r="L131" i="13" s="1"/>
  <c r="P131" i="13" s="1"/>
  <c r="H148" i="13"/>
  <c r="L148" i="13" s="1"/>
  <c r="P148" i="13" s="1"/>
  <c r="J30" i="13"/>
  <c r="N30" i="13" s="1"/>
  <c r="R30" i="13" s="1"/>
  <c r="J34" i="13"/>
  <c r="N34" i="13" s="1"/>
  <c r="R34" i="13" s="1"/>
  <c r="J51" i="13"/>
  <c r="N51" i="13" s="1"/>
  <c r="R51" i="13" s="1"/>
  <c r="H247" i="13"/>
  <c r="L247" i="13" s="1"/>
  <c r="P247" i="13" s="1"/>
  <c r="J49" i="13"/>
  <c r="N49" i="13" s="1"/>
  <c r="R49" i="13" s="1"/>
  <c r="I144" i="13"/>
  <c r="M144" i="13" s="1"/>
  <c r="Q144" i="13" s="1"/>
  <c r="D8" i="15"/>
  <c r="F32" i="12"/>
  <c r="H14" i="13"/>
  <c r="L14" i="13" s="1"/>
  <c r="P14" i="13" s="1"/>
  <c r="I57" i="13"/>
  <c r="M57" i="13" s="1"/>
  <c r="Q57" i="13" s="1"/>
  <c r="I61" i="13"/>
  <c r="M61" i="13" s="1"/>
  <c r="Q61" i="13" s="1"/>
  <c r="G125" i="13"/>
  <c r="K125" i="13" s="1"/>
  <c r="O125" i="13" s="1"/>
  <c r="H174" i="13"/>
  <c r="L174" i="13" s="1"/>
  <c r="P174" i="13" s="1"/>
  <c r="H133" i="13"/>
  <c r="L133" i="13" s="1"/>
  <c r="P133" i="13" s="1"/>
  <c r="I203" i="13"/>
  <c r="M203" i="13" s="1"/>
  <c r="Q203" i="13" s="1"/>
  <c r="H225" i="13"/>
  <c r="L225" i="13" s="1"/>
  <c r="P225" i="13" s="1"/>
  <c r="J33" i="13"/>
  <c r="N33" i="13" s="1"/>
  <c r="R33" i="13" s="1"/>
  <c r="H222" i="13"/>
  <c r="L222" i="13" s="1"/>
  <c r="P222" i="13" s="1"/>
  <c r="H64" i="13"/>
  <c r="L64" i="13" s="1"/>
  <c r="P64" i="13" s="1"/>
  <c r="I55" i="13"/>
  <c r="M55" i="13" s="1"/>
  <c r="Q55" i="13" s="1"/>
  <c r="J155" i="13"/>
  <c r="N155" i="13" s="1"/>
  <c r="R155" i="13" s="1"/>
  <c r="G239" i="13"/>
  <c r="K239" i="13" s="1"/>
  <c r="O239" i="13" s="1"/>
  <c r="G46" i="13"/>
  <c r="K46" i="13" s="1"/>
  <c r="O46" i="13" s="1"/>
  <c r="H59" i="13"/>
  <c r="L59" i="13" s="1"/>
  <c r="P59" i="13" s="1"/>
  <c r="J109" i="13"/>
  <c r="N109" i="13" s="1"/>
  <c r="R109" i="13" s="1"/>
  <c r="H194" i="13"/>
  <c r="L194" i="13" s="1"/>
  <c r="P194" i="13" s="1"/>
  <c r="J11" i="13"/>
  <c r="N11" i="13" s="1"/>
  <c r="R11" i="13" s="1"/>
  <c r="I63" i="13"/>
  <c r="M63" i="13" s="1"/>
  <c r="Q63" i="13" s="1"/>
  <c r="H89" i="13"/>
  <c r="L89" i="13" s="1"/>
  <c r="P89" i="13" s="1"/>
  <c r="H151" i="13"/>
  <c r="L151" i="13" s="1"/>
  <c r="P151" i="13" s="1"/>
  <c r="J95" i="13"/>
  <c r="N95" i="13" s="1"/>
  <c r="R95" i="13" s="1"/>
  <c r="J89" i="13"/>
  <c r="N89" i="13" s="1"/>
  <c r="R89" i="13" s="1"/>
  <c r="H187" i="13"/>
  <c r="L187" i="13" s="1"/>
  <c r="P187" i="13" s="1"/>
  <c r="H55" i="13"/>
  <c r="L55" i="13" s="1"/>
  <c r="P55" i="13" s="1"/>
  <c r="G99" i="13"/>
  <c r="K99" i="13" s="1"/>
  <c r="O99" i="13" s="1"/>
  <c r="I242" i="13"/>
  <c r="M242" i="13" s="1"/>
  <c r="Q242" i="13" s="1"/>
  <c r="J57" i="13"/>
  <c r="N57" i="13" s="1"/>
  <c r="R57" i="13" s="1"/>
  <c r="H39" i="13"/>
  <c r="L39" i="13" s="1"/>
  <c r="P39" i="13" s="1"/>
  <c r="G234" i="13"/>
  <c r="K234" i="13" s="1"/>
  <c r="O234" i="13" s="1"/>
  <c r="J167" i="13"/>
  <c r="N167" i="13" s="1"/>
  <c r="R167" i="13" s="1"/>
  <c r="G11" i="13"/>
  <c r="K11" i="13" s="1"/>
  <c r="O11" i="13" s="1"/>
  <c r="G172" i="13"/>
  <c r="K172" i="13" s="1"/>
  <c r="O172" i="13" s="1"/>
  <c r="H58" i="13"/>
  <c r="L58" i="13" s="1"/>
  <c r="P58" i="13" s="1"/>
  <c r="I73" i="13"/>
  <c r="M73" i="13" s="1"/>
  <c r="Q73" i="13" s="1"/>
  <c r="G56" i="13"/>
  <c r="K56" i="13" s="1"/>
  <c r="O56" i="13" s="1"/>
  <c r="G213" i="13"/>
  <c r="K213" i="13" s="1"/>
  <c r="O213" i="13" s="1"/>
  <c r="J44" i="13"/>
  <c r="N44" i="13" s="1"/>
  <c r="R44" i="13" s="1"/>
  <c r="G96" i="13"/>
  <c r="K96" i="13" s="1"/>
  <c r="O96" i="13" s="1"/>
  <c r="H75" i="13"/>
  <c r="L75" i="13" s="1"/>
  <c r="P75" i="13" s="1"/>
  <c r="G161" i="13"/>
  <c r="K161" i="13" s="1"/>
  <c r="O161" i="13" s="1"/>
  <c r="J32" i="13"/>
  <c r="N32" i="13" s="1"/>
  <c r="R32" i="13" s="1"/>
  <c r="I11" i="13"/>
  <c r="M11" i="13" s="1"/>
  <c r="Q11" i="13" s="1"/>
  <c r="I47" i="13"/>
  <c r="M47" i="13" s="1"/>
  <c r="Q47" i="13" s="1"/>
  <c r="I39" i="13"/>
  <c r="M39" i="13" s="1"/>
  <c r="Q39" i="13" s="1"/>
  <c r="J141" i="13"/>
  <c r="N141" i="13" s="1"/>
  <c r="R141" i="13" s="1"/>
  <c r="H108" i="13"/>
  <c r="L108" i="13" s="1"/>
  <c r="P108" i="13" s="1"/>
  <c r="J39" i="13"/>
  <c r="N39" i="13" s="1"/>
  <c r="R39" i="13" s="1"/>
  <c r="H156" i="13"/>
  <c r="L156" i="13" s="1"/>
  <c r="P156" i="13" s="1"/>
  <c r="J154" i="13"/>
  <c r="N154" i="13" s="1"/>
  <c r="R154" i="13" s="1"/>
  <c r="I99" i="13"/>
  <c r="M99" i="13" s="1"/>
  <c r="Q99" i="13" s="1"/>
  <c r="I140" i="13"/>
  <c r="M140" i="13" s="1"/>
  <c r="Q140" i="13" s="1"/>
  <c r="I10" i="13"/>
  <c r="M10" i="13" s="1"/>
  <c r="Q10" i="13" s="1"/>
  <c r="G102" i="13"/>
  <c r="K102" i="13" s="1"/>
  <c r="O102" i="13" s="1"/>
  <c r="I231" i="13"/>
  <c r="M231" i="13" s="1"/>
  <c r="Q231" i="13" s="1"/>
  <c r="I198" i="13"/>
  <c r="M198" i="13" s="1"/>
  <c r="Q198" i="13" s="1"/>
  <c r="H63" i="13"/>
  <c r="L63" i="13" s="1"/>
  <c r="P63" i="13" s="1"/>
  <c r="H80" i="13"/>
  <c r="L80" i="13" s="1"/>
  <c r="P80" i="13" s="1"/>
  <c r="I19" i="13"/>
  <c r="M19" i="13" s="1"/>
  <c r="Q19" i="13" s="1"/>
  <c r="G179" i="13"/>
  <c r="K179" i="13" s="1"/>
  <c r="O179" i="13" s="1"/>
  <c r="J72" i="13"/>
  <c r="N72" i="13" s="1"/>
  <c r="R72" i="13" s="1"/>
  <c r="I182" i="13"/>
  <c r="M182" i="13" s="1"/>
  <c r="Q182" i="13" s="1"/>
  <c r="I146" i="13"/>
  <c r="M146" i="13" s="1"/>
  <c r="Q146" i="13" s="1"/>
  <c r="G145" i="13"/>
  <c r="K145" i="13" s="1"/>
  <c r="O145" i="13" s="1"/>
  <c r="H106" i="13"/>
  <c r="L106" i="13" s="1"/>
  <c r="P106" i="13" s="1"/>
  <c r="G195" i="13"/>
  <c r="K195" i="13" s="1"/>
  <c r="O195" i="13" s="1"/>
  <c r="J106" i="13"/>
  <c r="N106" i="13" s="1"/>
  <c r="R106" i="13" s="1"/>
  <c r="J94" i="13"/>
  <c r="N94" i="13" s="1"/>
  <c r="R94" i="13" s="1"/>
  <c r="G112" i="13"/>
  <c r="K112" i="13" s="1"/>
  <c r="O112" i="13" s="1"/>
  <c r="J226" i="13"/>
  <c r="N226" i="13" s="1"/>
  <c r="R226" i="13" s="1"/>
  <c r="J60" i="13"/>
  <c r="N60" i="13" s="1"/>
  <c r="R60" i="13" s="1"/>
  <c r="J175" i="13"/>
  <c r="N175" i="13" s="1"/>
  <c r="R175" i="13" s="1"/>
  <c r="H105" i="13"/>
  <c r="L105" i="13" s="1"/>
  <c r="P105" i="13" s="1"/>
  <c r="J208" i="13"/>
  <c r="N208" i="13" s="1"/>
  <c r="R208" i="13" s="1"/>
  <c r="I224" i="13"/>
  <c r="M224" i="13" s="1"/>
  <c r="Q224" i="13" s="1"/>
  <c r="K25" i="13"/>
  <c r="O25" i="13" s="1"/>
  <c r="K37" i="13"/>
  <c r="O37" i="13" s="1"/>
  <c r="K61" i="13"/>
  <c r="O61" i="13" s="1"/>
  <c r="K73" i="13"/>
  <c r="O73" i="13" s="1"/>
  <c r="K97" i="13"/>
  <c r="O97" i="13" s="1"/>
  <c r="K109" i="13"/>
  <c r="O109" i="13" s="1"/>
  <c r="K133" i="13"/>
  <c r="O133" i="13" s="1"/>
  <c r="K169" i="13"/>
  <c r="O169" i="13" s="1"/>
  <c r="K181" i="13"/>
  <c r="O181" i="13" s="1"/>
  <c r="K193" i="13"/>
  <c r="O193" i="13" s="1"/>
  <c r="K253" i="13"/>
  <c r="O253" i="13" s="1"/>
  <c r="K38" i="13"/>
  <c r="O38" i="13" s="1"/>
  <c r="K74" i="13"/>
  <c r="O74" i="13" s="1"/>
  <c r="K86" i="13"/>
  <c r="O86" i="13" s="1"/>
  <c r="K98" i="13"/>
  <c r="O98" i="13" s="1"/>
  <c r="K146" i="13"/>
  <c r="O146" i="13" s="1"/>
  <c r="K194" i="13"/>
  <c r="O194" i="13" s="1"/>
  <c r="K206" i="13"/>
  <c r="O206" i="13" s="1"/>
  <c r="K230" i="13"/>
  <c r="O230" i="13" s="1"/>
  <c r="K9" i="13"/>
  <c r="O9" i="13" s="1"/>
  <c r="K23" i="13"/>
  <c r="O23" i="13" s="1"/>
  <c r="K39" i="13"/>
  <c r="O39" i="13" s="1"/>
  <c r="K95" i="13"/>
  <c r="O95" i="13" s="1"/>
  <c r="K111" i="13"/>
  <c r="O111" i="13" s="1"/>
  <c r="K139" i="13"/>
  <c r="O139" i="13" s="1"/>
  <c r="K167" i="13"/>
  <c r="O167" i="13" s="1"/>
  <c r="K183" i="13"/>
  <c r="O183" i="13" s="1"/>
  <c r="K225" i="13"/>
  <c r="O225" i="13" s="1"/>
  <c r="K10" i="13"/>
  <c r="O10" i="13" s="1"/>
  <c r="K40" i="13"/>
  <c r="O40" i="13" s="1"/>
  <c r="K68" i="13"/>
  <c r="O68" i="13" s="1"/>
  <c r="K140" i="13"/>
  <c r="O140" i="13" s="1"/>
  <c r="K154" i="13"/>
  <c r="O154" i="13" s="1"/>
  <c r="K184" i="13"/>
  <c r="O184" i="13" s="1"/>
  <c r="K212" i="13"/>
  <c r="O212" i="13" s="1"/>
  <c r="K240" i="13"/>
  <c r="O240" i="13" s="1"/>
  <c r="K27" i="13"/>
  <c r="O27" i="13" s="1"/>
  <c r="K41" i="13"/>
  <c r="O41" i="13" s="1"/>
  <c r="K55" i="13"/>
  <c r="O55" i="13" s="1"/>
  <c r="K83" i="13"/>
  <c r="O83" i="13" s="1"/>
  <c r="K113" i="13"/>
  <c r="O113" i="13" s="1"/>
  <c r="K171" i="13"/>
  <c r="O171" i="13" s="1"/>
  <c r="K199" i="13"/>
  <c r="O199" i="13" s="1"/>
  <c r="K243" i="13"/>
  <c r="O243" i="13" s="1"/>
  <c r="K128" i="13"/>
  <c r="O128" i="13" s="1"/>
  <c r="K156" i="13"/>
  <c r="O156" i="13" s="1"/>
  <c r="K214" i="13"/>
  <c r="O214" i="13" s="1"/>
  <c r="K244" i="13"/>
  <c r="O244" i="13" s="1"/>
  <c r="K29" i="13"/>
  <c r="O29" i="13" s="1"/>
  <c r="K47" i="13"/>
  <c r="O47" i="13" s="1"/>
  <c r="K91" i="13"/>
  <c r="O91" i="13" s="1"/>
  <c r="K159" i="13"/>
  <c r="O159" i="13" s="1"/>
  <c r="K201" i="13"/>
  <c r="O201" i="13" s="1"/>
  <c r="K221" i="13"/>
  <c r="O221" i="13" s="1"/>
  <c r="K6" i="13"/>
  <c r="O6" i="13" s="1"/>
  <c r="K136" i="13"/>
  <c r="O136" i="13" s="1"/>
  <c r="K178" i="13"/>
  <c r="O178" i="13" s="1"/>
  <c r="K246" i="13"/>
  <c r="O246" i="13" s="1"/>
  <c r="K7" i="13"/>
  <c r="O7" i="13" s="1"/>
  <c r="K51" i="13"/>
  <c r="O51" i="13" s="1"/>
  <c r="K137" i="13"/>
  <c r="O137" i="13" s="1"/>
  <c r="K203" i="13"/>
  <c r="O203" i="13" s="1"/>
  <c r="K32" i="13"/>
  <c r="O32" i="13" s="1"/>
  <c r="K76" i="13"/>
  <c r="O76" i="13" s="1"/>
  <c r="K162" i="13"/>
  <c r="O162" i="13" s="1"/>
  <c r="K224" i="13"/>
  <c r="O224" i="13" s="1"/>
  <c r="K101" i="13"/>
  <c r="O101" i="13" s="1"/>
  <c r="K129" i="13"/>
  <c r="O129" i="13" s="1"/>
  <c r="K231" i="13"/>
  <c r="O231" i="13" s="1"/>
  <c r="K103" i="13"/>
  <c r="O103" i="13" s="1"/>
  <c r="K165" i="13"/>
  <c r="O165" i="13" s="1"/>
  <c r="K233" i="13"/>
  <c r="O233" i="13" s="1"/>
  <c r="K43" i="13"/>
  <c r="O43" i="13" s="1"/>
  <c r="K44" i="13"/>
  <c r="O44" i="13" s="1"/>
  <c r="K106" i="13"/>
  <c r="O106" i="13" s="1"/>
  <c r="K174" i="13"/>
  <c r="O174" i="13" s="1"/>
  <c r="K175" i="13"/>
  <c r="O175" i="13" s="1"/>
  <c r="K176" i="13"/>
  <c r="O176" i="13" s="1"/>
  <c r="K238" i="13"/>
  <c r="O238" i="13" s="1"/>
  <c r="K19" i="13"/>
  <c r="O19" i="13" s="1"/>
  <c r="K149" i="13"/>
  <c r="O149" i="13" s="1"/>
  <c r="K150" i="13"/>
  <c r="O150" i="13" s="1"/>
  <c r="K216" i="13"/>
  <c r="O216" i="13" s="1"/>
  <c r="K22" i="13"/>
  <c r="O22" i="13" s="1"/>
  <c r="K152" i="13"/>
  <c r="O152" i="13" s="1"/>
  <c r="K34" i="13"/>
  <c r="O34" i="13" s="1"/>
  <c r="K65" i="13"/>
  <c r="O65" i="13" s="1"/>
  <c r="K131" i="13"/>
  <c r="O131" i="13" s="1"/>
  <c r="K196" i="13"/>
  <c r="O196" i="13" s="1"/>
  <c r="K15" i="13"/>
  <c r="O15" i="13" s="1"/>
  <c r="K77" i="13"/>
  <c r="O77" i="13" s="1"/>
  <c r="K143" i="13"/>
  <c r="O143" i="13" s="1"/>
  <c r="K208" i="13"/>
  <c r="O208" i="13" s="1"/>
  <c r="K209" i="13"/>
  <c r="O209" i="13" s="1"/>
  <c r="K80" i="13"/>
  <c r="O80" i="13" s="1"/>
  <c r="K210" i="13"/>
  <c r="O210" i="13" s="1"/>
  <c r="K119" i="13"/>
  <c r="O119" i="13" s="1"/>
  <c r="K187" i="13"/>
  <c r="O187" i="13" s="1"/>
  <c r="K249" i="13"/>
  <c r="O249" i="13" s="1"/>
  <c r="K58" i="13"/>
  <c r="O58" i="13" s="1"/>
  <c r="K188" i="13"/>
  <c r="O188" i="13" s="1"/>
  <c r="K250" i="13"/>
  <c r="O250" i="13" s="1"/>
  <c r="G5" i="13"/>
  <c r="K5" i="13" s="1"/>
  <c r="K59" i="13"/>
  <c r="O59" i="13" s="1"/>
  <c r="K123" i="13"/>
  <c r="O123" i="13" s="1"/>
  <c r="K219" i="13"/>
  <c r="O219" i="13" s="1"/>
  <c r="K190" i="13"/>
  <c r="O190" i="13" s="1"/>
  <c r="K252" i="13"/>
  <c r="O252" i="13" s="1"/>
  <c r="G31" i="13"/>
  <c r="K31" i="13" s="1"/>
  <c r="O31" i="13" s="1"/>
  <c r="G85" i="13"/>
  <c r="K85" i="13" s="1"/>
  <c r="O85" i="13" s="1"/>
  <c r="H41" i="13"/>
  <c r="L41" i="13" s="1"/>
  <c r="P41" i="13" s="1"/>
  <c r="J15" i="13"/>
  <c r="N15" i="13" s="1"/>
  <c r="R15" i="13" s="1"/>
  <c r="J67" i="13"/>
  <c r="N67" i="13" s="1"/>
  <c r="R67" i="13" s="1"/>
  <c r="G158" i="13"/>
  <c r="K158" i="13" s="1"/>
  <c r="O158" i="13" s="1"/>
  <c r="H201" i="13"/>
  <c r="L201" i="13" s="1"/>
  <c r="P201" i="13" s="1"/>
  <c r="I105" i="13"/>
  <c r="M105" i="13" s="1"/>
  <c r="Q105" i="13" s="1"/>
  <c r="J219" i="13"/>
  <c r="N219" i="13" s="1"/>
  <c r="R219" i="13" s="1"/>
  <c r="H196" i="13"/>
  <c r="L196" i="13" s="1"/>
  <c r="P196" i="13" s="1"/>
  <c r="H104" i="13"/>
  <c r="L104" i="13" s="1"/>
  <c r="P104" i="13" s="1"/>
  <c r="I246" i="13"/>
  <c r="M246" i="13" s="1"/>
  <c r="Q246" i="13" s="1"/>
  <c r="J207" i="13"/>
  <c r="N207" i="13" s="1"/>
  <c r="R207" i="13" s="1"/>
  <c r="I212" i="13"/>
  <c r="M212" i="13" s="1"/>
  <c r="Q212" i="13" s="1"/>
  <c r="G48" i="13"/>
  <c r="K48" i="13" s="1"/>
  <c r="O48" i="13" s="1"/>
  <c r="I152" i="13"/>
  <c r="M152" i="13" s="1"/>
  <c r="Q152" i="13" s="1"/>
  <c r="H227" i="13"/>
  <c r="L227" i="13" s="1"/>
  <c r="P227" i="13" s="1"/>
  <c r="G245" i="13"/>
  <c r="K245" i="13" s="1"/>
  <c r="O245" i="13" s="1"/>
  <c r="G115" i="13"/>
  <c r="K115" i="13" s="1"/>
  <c r="O115" i="13" s="1"/>
  <c r="J14" i="13"/>
  <c r="N14" i="13" s="1"/>
  <c r="R14" i="13" s="1"/>
  <c r="J194" i="13"/>
  <c r="N194" i="13" s="1"/>
  <c r="R194" i="13" s="1"/>
  <c r="I161" i="13"/>
  <c r="M161" i="13" s="1"/>
  <c r="Q161" i="13" s="1"/>
  <c r="H124" i="13"/>
  <c r="L124" i="13" s="1"/>
  <c r="P124" i="13" s="1"/>
  <c r="J100" i="13"/>
  <c r="N100" i="13" s="1"/>
  <c r="R100" i="13" s="1"/>
  <c r="J131" i="13"/>
  <c r="N131" i="13" s="1"/>
  <c r="R131" i="13" s="1"/>
  <c r="G197" i="13"/>
  <c r="K197" i="13" s="1"/>
  <c r="O197" i="13" s="1"/>
  <c r="I127" i="13"/>
  <c r="M127" i="13" s="1"/>
  <c r="Q127" i="13" s="1"/>
  <c r="I27" i="13"/>
  <c r="M27" i="13" s="1"/>
  <c r="Q27" i="13" s="1"/>
  <c r="H159" i="13"/>
  <c r="L159" i="13" s="1"/>
  <c r="P159" i="13" s="1"/>
  <c r="L29" i="13"/>
  <c r="P29" i="13" s="1"/>
  <c r="L53" i="13"/>
  <c r="P53" i="13" s="1"/>
  <c r="L77" i="13"/>
  <c r="P77" i="13" s="1"/>
  <c r="L115" i="13"/>
  <c r="P115" i="13" s="1"/>
  <c r="L139" i="13"/>
  <c r="P139" i="13" s="1"/>
  <c r="L149" i="13"/>
  <c r="P149" i="13" s="1"/>
  <c r="L163" i="13"/>
  <c r="P163" i="13" s="1"/>
  <c r="L173" i="13"/>
  <c r="P173" i="13" s="1"/>
  <c r="L221" i="13"/>
  <c r="P221" i="13" s="1"/>
  <c r="L245" i="13"/>
  <c r="P245" i="13" s="1"/>
  <c r="L24" i="13"/>
  <c r="P24" i="13" s="1"/>
  <c r="L34" i="13"/>
  <c r="P34" i="13" s="1"/>
  <c r="L82" i="13"/>
  <c r="P82" i="13" s="1"/>
  <c r="L144" i="13"/>
  <c r="P144" i="13" s="1"/>
  <c r="L178" i="13"/>
  <c r="P178" i="13" s="1"/>
  <c r="L192" i="13"/>
  <c r="P192" i="13" s="1"/>
  <c r="L216" i="13"/>
  <c r="P216" i="13" s="1"/>
  <c r="L226" i="13"/>
  <c r="P226" i="13" s="1"/>
  <c r="L15" i="13"/>
  <c r="P15" i="13" s="1"/>
  <c r="L73" i="13"/>
  <c r="P73" i="13" s="1"/>
  <c r="L87" i="13"/>
  <c r="P87" i="13" s="1"/>
  <c r="L111" i="13"/>
  <c r="P111" i="13" s="1"/>
  <c r="L135" i="13"/>
  <c r="P135" i="13" s="1"/>
  <c r="L207" i="13"/>
  <c r="P207" i="13" s="1"/>
  <c r="L231" i="13"/>
  <c r="P231" i="13" s="1"/>
  <c r="L255" i="13"/>
  <c r="P255" i="13" s="1"/>
  <c r="L44" i="13"/>
  <c r="P44" i="13" s="1"/>
  <c r="L116" i="13"/>
  <c r="P116" i="13" s="1"/>
  <c r="L126" i="13"/>
  <c r="P126" i="13" s="1"/>
  <c r="L150" i="13"/>
  <c r="P150" i="13" s="1"/>
  <c r="L188" i="13"/>
  <c r="P188" i="13" s="1"/>
  <c r="L212" i="13"/>
  <c r="P212" i="13" s="1"/>
  <c r="L236" i="13"/>
  <c r="P236" i="13" s="1"/>
  <c r="L21" i="13"/>
  <c r="P21" i="13" s="1"/>
  <c r="L27" i="13"/>
  <c r="P27" i="13" s="1"/>
  <c r="L35" i="13"/>
  <c r="P35" i="13" s="1"/>
  <c r="L85" i="13"/>
  <c r="P85" i="13" s="1"/>
  <c r="L99" i="13"/>
  <c r="P99" i="13" s="1"/>
  <c r="L107" i="13"/>
  <c r="P107" i="13" s="1"/>
  <c r="L157" i="13"/>
  <c r="P157" i="13" s="1"/>
  <c r="L165" i="13"/>
  <c r="P165" i="13" s="1"/>
  <c r="L171" i="13"/>
  <c r="P171" i="13" s="1"/>
  <c r="L237" i="13"/>
  <c r="P237" i="13" s="1"/>
  <c r="L243" i="13"/>
  <c r="P243" i="13" s="1"/>
  <c r="L251" i="13"/>
  <c r="P251" i="13" s="1"/>
  <c r="H5" i="13"/>
  <c r="L5" i="13" s="1"/>
  <c r="P5" i="13" s="1"/>
  <c r="L7" i="13"/>
  <c r="P7" i="13" s="1"/>
  <c r="L42" i="13"/>
  <c r="P42" i="13" s="1"/>
  <c r="L50" i="13"/>
  <c r="P50" i="13" s="1"/>
  <c r="L114" i="13"/>
  <c r="P114" i="13" s="1"/>
  <c r="L128" i="13"/>
  <c r="P128" i="13" s="1"/>
  <c r="L65" i="13"/>
  <c r="P65" i="13" s="1"/>
  <c r="L71" i="13"/>
  <c r="P71" i="13" s="1"/>
  <c r="L137" i="13"/>
  <c r="P137" i="13" s="1"/>
  <c r="L209" i="13"/>
  <c r="P209" i="13" s="1"/>
  <c r="L223" i="13"/>
  <c r="P223" i="13" s="1"/>
  <c r="L22" i="13"/>
  <c r="P22" i="13" s="1"/>
  <c r="L238" i="13"/>
  <c r="P238" i="13" s="1"/>
  <c r="L147" i="13"/>
  <c r="P147" i="13" s="1"/>
  <c r="L181" i="13"/>
  <c r="P181" i="13" s="1"/>
  <c r="L203" i="13"/>
  <c r="P203" i="13" s="1"/>
  <c r="L52" i="13"/>
  <c r="P52" i="13" s="1"/>
  <c r="L182" i="13"/>
  <c r="P182" i="13" s="1"/>
  <c r="L204" i="13"/>
  <c r="P204" i="13" s="1"/>
  <c r="L141" i="13"/>
  <c r="P141" i="13" s="1"/>
  <c r="L98" i="13"/>
  <c r="P98" i="13" s="1"/>
  <c r="L248" i="13"/>
  <c r="P248" i="13" s="1"/>
  <c r="L119" i="13"/>
  <c r="P119" i="13" s="1"/>
  <c r="L185" i="13"/>
  <c r="P185" i="13" s="1"/>
  <c r="L228" i="13"/>
  <c r="P228" i="13" s="1"/>
  <c r="L155" i="13"/>
  <c r="P155" i="13" s="1"/>
  <c r="L219" i="13"/>
  <c r="P219" i="13" s="1"/>
  <c r="L90" i="13"/>
  <c r="P90" i="13" s="1"/>
  <c r="L242" i="13"/>
  <c r="P242" i="13" s="1"/>
  <c r="L47" i="13"/>
  <c r="P47" i="13" s="1"/>
  <c r="L70" i="13"/>
  <c r="P70" i="13" s="1"/>
  <c r="L134" i="13"/>
  <c r="P134" i="13" s="1"/>
  <c r="L40" i="13"/>
  <c r="P40" i="13" s="1"/>
  <c r="L160" i="13"/>
  <c r="P160" i="13" s="1"/>
  <c r="L170" i="13"/>
  <c r="P170" i="13" s="1"/>
  <c r="L224" i="13"/>
  <c r="P224" i="13" s="1"/>
  <c r="L62" i="13"/>
  <c r="P62" i="13" s="1"/>
  <c r="L11" i="13"/>
  <c r="P11" i="13" s="1"/>
  <c r="L109" i="13"/>
  <c r="P109" i="13" s="1"/>
  <c r="L32" i="13"/>
  <c r="P32" i="13" s="1"/>
  <c r="L66" i="13"/>
  <c r="P66" i="13" s="1"/>
  <c r="L152" i="13"/>
  <c r="P152" i="13" s="1"/>
  <c r="L153" i="13"/>
  <c r="P153" i="13" s="1"/>
  <c r="L175" i="13"/>
  <c r="P175" i="13" s="1"/>
  <c r="L132" i="13"/>
  <c r="P132" i="13" s="1"/>
  <c r="L37" i="13"/>
  <c r="P37" i="13" s="1"/>
  <c r="L123" i="13"/>
  <c r="P123" i="13" s="1"/>
  <c r="L189" i="13"/>
  <c r="P189" i="13" s="1"/>
  <c r="L210" i="13"/>
  <c r="P210" i="13" s="1"/>
  <c r="L103" i="13"/>
  <c r="P103" i="13" s="1"/>
  <c r="L167" i="13"/>
  <c r="P167" i="13" s="1"/>
  <c r="L38" i="13"/>
  <c r="P38" i="13" s="1"/>
  <c r="L60" i="13"/>
  <c r="P60" i="13" s="1"/>
  <c r="I32" i="13"/>
  <c r="M32" i="13" s="1"/>
  <c r="Q32" i="13" s="1"/>
  <c r="I68" i="13"/>
  <c r="M68" i="13" s="1"/>
  <c r="Q68" i="13" s="1"/>
  <c r="J64" i="13"/>
  <c r="N64" i="13" s="1"/>
  <c r="R64" i="13" s="1"/>
  <c r="I119" i="13"/>
  <c r="M119" i="13" s="1"/>
  <c r="Q119" i="13" s="1"/>
  <c r="J198" i="13"/>
  <c r="N198" i="13" s="1"/>
  <c r="R198" i="13" s="1"/>
  <c r="H18" i="13"/>
  <c r="L18" i="13" s="1"/>
  <c r="P18" i="13" s="1"/>
  <c r="H138" i="13"/>
  <c r="L138" i="13" s="1"/>
  <c r="P138" i="13" s="1"/>
  <c r="I181" i="13"/>
  <c r="M181" i="13" s="1"/>
  <c r="Q181" i="13" s="1"/>
  <c r="H239" i="13"/>
  <c r="L239" i="13" s="1"/>
  <c r="P239" i="13" s="1"/>
  <c r="J103" i="13"/>
  <c r="N103" i="13" s="1"/>
  <c r="R103" i="13" s="1"/>
  <c r="I201" i="13"/>
  <c r="M201" i="13" s="1"/>
  <c r="Q201" i="13" s="1"/>
  <c r="H83" i="13"/>
  <c r="L83" i="13" s="1"/>
  <c r="P83" i="13" s="1"/>
  <c r="H112" i="13"/>
  <c r="L112" i="13" s="1"/>
  <c r="P112" i="13" s="1"/>
  <c r="H193" i="13"/>
  <c r="L193" i="13" s="1"/>
  <c r="P193" i="13" s="1"/>
  <c r="J25" i="13"/>
  <c r="N25" i="13" s="1"/>
  <c r="R25" i="13" s="1"/>
  <c r="I227" i="13"/>
  <c r="M227" i="13" s="1"/>
  <c r="Q227" i="13" s="1"/>
  <c r="G217" i="13"/>
  <c r="K217" i="13" s="1"/>
  <c r="O217" i="13" s="1"/>
  <c r="G107" i="13"/>
  <c r="K107" i="13" s="1"/>
  <c r="O107" i="13" s="1"/>
  <c r="H198" i="13"/>
  <c r="L198" i="13" s="1"/>
  <c r="P198" i="13" s="1"/>
  <c r="H118" i="13"/>
  <c r="L118" i="13" s="1"/>
  <c r="P118" i="13" s="1"/>
  <c r="J36" i="13"/>
  <c r="N36" i="13" s="1"/>
  <c r="R36" i="13" s="1"/>
  <c r="I193" i="13"/>
  <c r="M193" i="13" s="1"/>
  <c r="Q193" i="13" s="1"/>
  <c r="I92" i="13"/>
  <c r="M92" i="13" s="1"/>
  <c r="Q92" i="13" s="1"/>
  <c r="H9" i="13"/>
  <c r="L9" i="13" s="1"/>
  <c r="P9" i="13" s="1"/>
  <c r="G211" i="13"/>
  <c r="K211" i="13" s="1"/>
  <c r="O211" i="13" s="1"/>
  <c r="J129" i="13"/>
  <c r="N129" i="13" s="1"/>
  <c r="R129" i="13" s="1"/>
  <c r="J108" i="13"/>
  <c r="N108" i="13" s="1"/>
  <c r="R108" i="13" s="1"/>
  <c r="H177" i="13"/>
  <c r="L177" i="13" s="1"/>
  <c r="P177" i="13" s="1"/>
  <c r="J81" i="13"/>
  <c r="N81" i="13" s="1"/>
  <c r="R81" i="13" s="1"/>
  <c r="I210" i="13"/>
  <c r="M210" i="13" s="1"/>
  <c r="Q210" i="13" s="1"/>
  <c r="I177" i="13"/>
  <c r="M177" i="13" s="1"/>
  <c r="Q177" i="13" s="1"/>
  <c r="H180" i="13"/>
  <c r="L180" i="13" s="1"/>
  <c r="P180" i="13" s="1"/>
  <c r="I60" i="13"/>
  <c r="M60" i="13" s="1"/>
  <c r="Q60" i="13" s="1"/>
  <c r="I235" i="13"/>
  <c r="M235" i="13" s="1"/>
  <c r="Q235" i="13" s="1"/>
  <c r="H250" i="13"/>
  <c r="L250" i="13" s="1"/>
  <c r="P250" i="13" s="1"/>
  <c r="M8" i="13"/>
  <c r="Q8" i="13" s="1"/>
  <c r="M20" i="13"/>
  <c r="Q20" i="13" s="1"/>
  <c r="M24" i="13"/>
  <c r="Q24" i="13" s="1"/>
  <c r="M28" i="13"/>
  <c r="Q28" i="13" s="1"/>
  <c r="M40" i="13"/>
  <c r="Q40" i="13" s="1"/>
  <c r="M44" i="13"/>
  <c r="Q44" i="13" s="1"/>
  <c r="M48" i="13"/>
  <c r="Q48" i="13" s="1"/>
  <c r="M56" i="13"/>
  <c r="Q56" i="13" s="1"/>
  <c r="M64" i="13"/>
  <c r="Q64" i="13" s="1"/>
  <c r="M72" i="13"/>
  <c r="Q72" i="13" s="1"/>
  <c r="M76" i="13"/>
  <c r="Q76" i="13" s="1"/>
  <c r="M80" i="13"/>
  <c r="Q80" i="13" s="1"/>
  <c r="M88" i="13"/>
  <c r="Q88" i="13" s="1"/>
  <c r="M100" i="13"/>
  <c r="Q100" i="13" s="1"/>
  <c r="M116" i="13"/>
  <c r="Q116" i="13" s="1"/>
  <c r="M128" i="13"/>
  <c r="Q128" i="13" s="1"/>
  <c r="M156" i="13"/>
  <c r="Q156" i="13" s="1"/>
  <c r="M164" i="13"/>
  <c r="Q164" i="13" s="1"/>
  <c r="M168" i="13"/>
  <c r="Q168" i="13" s="1"/>
  <c r="M176" i="13"/>
  <c r="Q176" i="13" s="1"/>
  <c r="M184" i="13"/>
  <c r="Q184" i="13" s="1"/>
  <c r="M204" i="13"/>
  <c r="Q204" i="13" s="1"/>
  <c r="M216" i="13"/>
  <c r="Q216" i="13" s="1"/>
  <c r="M220" i="13"/>
  <c r="Q220" i="13" s="1"/>
  <c r="M228" i="13"/>
  <c r="Q228" i="13" s="1"/>
  <c r="M232" i="13"/>
  <c r="Q232" i="13" s="1"/>
  <c r="M244" i="13"/>
  <c r="Q244" i="13" s="1"/>
  <c r="M248" i="13"/>
  <c r="Q248" i="13" s="1"/>
  <c r="M38" i="13"/>
  <c r="Q38" i="13" s="1"/>
  <c r="M62" i="13"/>
  <c r="Q62" i="13" s="1"/>
  <c r="M158" i="13"/>
  <c r="Q158" i="13" s="1"/>
  <c r="M254" i="13"/>
  <c r="Q254" i="13" s="1"/>
  <c r="M91" i="13"/>
  <c r="Q91" i="13" s="1"/>
  <c r="M101" i="13"/>
  <c r="Q101" i="13" s="1"/>
  <c r="M115" i="13"/>
  <c r="Q115" i="13" s="1"/>
  <c r="M125" i="13"/>
  <c r="Q125" i="13" s="1"/>
  <c r="M197" i="13"/>
  <c r="Q197" i="13" s="1"/>
  <c r="M211" i="13"/>
  <c r="Q211" i="13" s="1"/>
  <c r="M34" i="13"/>
  <c r="Q34" i="13" s="1"/>
  <c r="M82" i="13"/>
  <c r="Q82" i="13" s="1"/>
  <c r="M106" i="13"/>
  <c r="Q106" i="13" s="1"/>
  <c r="M130" i="13"/>
  <c r="Q130" i="13" s="1"/>
  <c r="M154" i="13"/>
  <c r="Q154" i="13" s="1"/>
  <c r="M15" i="13"/>
  <c r="Q15" i="13" s="1"/>
  <c r="M25" i="13"/>
  <c r="Q25" i="13" s="1"/>
  <c r="M49" i="13"/>
  <c r="Q49" i="13" s="1"/>
  <c r="M135" i="13"/>
  <c r="Q135" i="13" s="1"/>
  <c r="M145" i="13"/>
  <c r="Q145" i="13" s="1"/>
  <c r="M159" i="13"/>
  <c r="Q159" i="13" s="1"/>
  <c r="M169" i="13"/>
  <c r="Q169" i="13" s="1"/>
  <c r="M207" i="13"/>
  <c r="Q207" i="13" s="1"/>
  <c r="M255" i="13"/>
  <c r="Q255" i="13" s="1"/>
  <c r="M6" i="13"/>
  <c r="Q6" i="13" s="1"/>
  <c r="M78" i="13"/>
  <c r="Q78" i="13" s="1"/>
  <c r="M214" i="13"/>
  <c r="Q214" i="13" s="1"/>
  <c r="M222" i="13"/>
  <c r="Q222" i="13" s="1"/>
  <c r="M13" i="13"/>
  <c r="Q13" i="13" s="1"/>
  <c r="M85" i="13"/>
  <c r="Q85" i="13" s="1"/>
  <c r="M93" i="13"/>
  <c r="Q93" i="13" s="1"/>
  <c r="M157" i="13"/>
  <c r="Q157" i="13" s="1"/>
  <c r="M237" i="13"/>
  <c r="Q237" i="13" s="1"/>
  <c r="M243" i="13"/>
  <c r="Q243" i="13" s="1"/>
  <c r="I5" i="13"/>
  <c r="M5" i="13" s="1"/>
  <c r="Q5" i="13" s="1"/>
  <c r="M122" i="13"/>
  <c r="Q122" i="13" s="1"/>
  <c r="M194" i="13"/>
  <c r="Q194" i="13" s="1"/>
  <c r="M7" i="13"/>
  <c r="Q7" i="13" s="1"/>
  <c r="M65" i="13"/>
  <c r="Q65" i="13" s="1"/>
  <c r="M129" i="13"/>
  <c r="Q129" i="13" s="1"/>
  <c r="M143" i="13"/>
  <c r="Q143" i="13" s="1"/>
  <c r="M151" i="13"/>
  <c r="Q151" i="13" s="1"/>
  <c r="M30" i="13"/>
  <c r="Q30" i="13" s="1"/>
  <c r="M126" i="13"/>
  <c r="Q126" i="13" s="1"/>
  <c r="M190" i="13"/>
  <c r="Q190" i="13" s="1"/>
  <c r="M74" i="13"/>
  <c r="Q74" i="13" s="1"/>
  <c r="M138" i="13"/>
  <c r="Q138" i="13" s="1"/>
  <c r="M31" i="13"/>
  <c r="Q31" i="13" s="1"/>
  <c r="M95" i="13"/>
  <c r="Q95" i="13" s="1"/>
  <c r="M225" i="13"/>
  <c r="Q225" i="13" s="1"/>
  <c r="M247" i="13"/>
  <c r="Q247" i="13" s="1"/>
  <c r="M54" i="13"/>
  <c r="Q54" i="13" s="1"/>
  <c r="M118" i="13"/>
  <c r="Q118" i="13" s="1"/>
  <c r="M141" i="13"/>
  <c r="Q141" i="13" s="1"/>
  <c r="M162" i="13"/>
  <c r="Q162" i="13" s="1"/>
  <c r="M33" i="13"/>
  <c r="Q33" i="13" s="1"/>
  <c r="M185" i="13"/>
  <c r="Q185" i="13" s="1"/>
  <c r="M249" i="13"/>
  <c r="Q249" i="13" s="1"/>
  <c r="M46" i="13"/>
  <c r="Q46" i="13" s="1"/>
  <c r="M133" i="13"/>
  <c r="Q133" i="13" s="1"/>
  <c r="M199" i="13"/>
  <c r="Q199" i="13" s="1"/>
  <c r="M51" i="13"/>
  <c r="Q51" i="13" s="1"/>
  <c r="M147" i="13"/>
  <c r="Q147" i="13" s="1"/>
  <c r="M170" i="13"/>
  <c r="Q170" i="13" s="1"/>
  <c r="M234" i="13"/>
  <c r="Q234" i="13" s="1"/>
  <c r="M41" i="13"/>
  <c r="Q41" i="13" s="1"/>
  <c r="M191" i="13"/>
  <c r="Q191" i="13" s="1"/>
  <c r="M174" i="13"/>
  <c r="Q174" i="13" s="1"/>
  <c r="M131" i="13"/>
  <c r="Q131" i="13" s="1"/>
  <c r="M218" i="13"/>
  <c r="Q218" i="13" s="1"/>
  <c r="M153" i="13"/>
  <c r="Q153" i="13" s="1"/>
  <c r="M175" i="13"/>
  <c r="Q175" i="13" s="1"/>
  <c r="M239" i="13"/>
  <c r="Q239" i="13" s="1"/>
  <c r="M59" i="13"/>
  <c r="Q59" i="13" s="1"/>
  <c r="M123" i="13"/>
  <c r="Q123" i="13" s="1"/>
  <c r="M189" i="13"/>
  <c r="Q189" i="13" s="1"/>
  <c r="M26" i="13"/>
  <c r="Q26" i="13" s="1"/>
  <c r="G70" i="13"/>
  <c r="K70" i="13" s="1"/>
  <c r="O70" i="13" s="1"/>
  <c r="H23" i="13"/>
  <c r="L23" i="13" s="1"/>
  <c r="P23" i="13" s="1"/>
  <c r="G45" i="13"/>
  <c r="K45" i="13" s="1"/>
  <c r="O45" i="13" s="1"/>
  <c r="H121" i="13"/>
  <c r="L121" i="13" s="1"/>
  <c r="P121" i="13" s="1"/>
  <c r="G118" i="13"/>
  <c r="K118" i="13" s="1"/>
  <c r="O118" i="13" s="1"/>
  <c r="H20" i="13"/>
  <c r="L20" i="13" s="1"/>
  <c r="P20" i="13" s="1"/>
  <c r="H72" i="13"/>
  <c r="L72" i="13" s="1"/>
  <c r="P72" i="13" s="1"/>
  <c r="H101" i="13"/>
  <c r="L101" i="13" s="1"/>
  <c r="P101" i="13" s="1"/>
  <c r="J161" i="13"/>
  <c r="N161" i="13" s="1"/>
  <c r="R161" i="13" s="1"/>
  <c r="H183" i="13"/>
  <c r="L183" i="13" s="1"/>
  <c r="P183" i="13" s="1"/>
  <c r="G205" i="13"/>
  <c r="K205" i="13" s="1"/>
  <c r="O205" i="13" s="1"/>
  <c r="H218" i="13"/>
  <c r="L218" i="13" s="1"/>
  <c r="P218" i="13" s="1"/>
  <c r="H117" i="13"/>
  <c r="L117" i="13" s="1"/>
  <c r="P117" i="13" s="1"/>
  <c r="J224" i="13"/>
  <c r="N224" i="13" s="1"/>
  <c r="R224" i="13" s="1"/>
  <c r="G66" i="13"/>
  <c r="K66" i="13" s="1"/>
  <c r="O66" i="13" s="1"/>
  <c r="I107" i="13"/>
  <c r="M107" i="13" s="1"/>
  <c r="Q107" i="13" s="1"/>
  <c r="I149" i="13"/>
  <c r="M149" i="13" s="1"/>
  <c r="Q149" i="13" s="1"/>
  <c r="J211" i="13"/>
  <c r="N211" i="13" s="1"/>
  <c r="R211" i="13" s="1"/>
  <c r="J22" i="13"/>
  <c r="N22" i="13" s="1"/>
  <c r="R22" i="13" s="1"/>
  <c r="I36" i="13"/>
  <c r="M36" i="13" s="1"/>
  <c r="Q36" i="13" s="1"/>
  <c r="I114" i="13"/>
  <c r="M114" i="13" s="1"/>
  <c r="Q114" i="13" s="1"/>
  <c r="I200" i="13"/>
  <c r="M200" i="13" s="1"/>
  <c r="Q200" i="13" s="1"/>
  <c r="I256" i="13"/>
  <c r="M256" i="13" s="1"/>
  <c r="Q256" i="13" s="1"/>
  <c r="J42" i="13"/>
  <c r="N42" i="13" s="1"/>
  <c r="R42" i="13" s="1"/>
  <c r="G232" i="13"/>
  <c r="K232" i="13" s="1"/>
  <c r="O232" i="13" s="1"/>
  <c r="H100" i="13"/>
  <c r="L100" i="13" s="1"/>
  <c r="P100" i="13" s="1"/>
  <c r="I223" i="13"/>
  <c r="M223" i="13" s="1"/>
  <c r="Q223" i="13" s="1"/>
  <c r="J56" i="13"/>
  <c r="N56" i="13" s="1"/>
  <c r="R56" i="13" s="1"/>
  <c r="G110" i="13"/>
  <c r="K110" i="13" s="1"/>
  <c r="O110" i="13" s="1"/>
  <c r="J202" i="13"/>
  <c r="N202" i="13" s="1"/>
  <c r="R202" i="13" s="1"/>
  <c r="H8" i="13"/>
  <c r="L8" i="13" s="1"/>
  <c r="P8" i="13" s="1"/>
  <c r="G141" i="13"/>
  <c r="K141" i="13" s="1"/>
  <c r="O141" i="13" s="1"/>
  <c r="I251" i="13"/>
  <c r="M251" i="13" s="1"/>
  <c r="Q251" i="13" s="1"/>
  <c r="H97" i="13"/>
  <c r="L97" i="13" s="1"/>
  <c r="P97" i="13" s="1"/>
  <c r="J193" i="13"/>
  <c r="N193" i="13" s="1"/>
  <c r="R193" i="13" s="1"/>
  <c r="I45" i="13"/>
  <c r="M45" i="13" s="1"/>
  <c r="Q45" i="13" s="1"/>
  <c r="J122" i="13"/>
  <c r="N122" i="13" s="1"/>
  <c r="R122" i="13" s="1"/>
  <c r="J200" i="13"/>
  <c r="N200" i="13" s="1"/>
  <c r="R200" i="13" s="1"/>
  <c r="I160" i="13"/>
  <c r="M160" i="13" s="1"/>
  <c r="Q160" i="13" s="1"/>
  <c r="H96" i="13"/>
  <c r="L96" i="13" s="1"/>
  <c r="P96" i="13" s="1"/>
  <c r="I206" i="13"/>
  <c r="M206" i="13" s="1"/>
  <c r="Q206" i="13" s="1"/>
  <c r="G229" i="13"/>
  <c r="K229" i="13" s="1"/>
  <c r="O229" i="13" s="1"/>
  <c r="H215" i="13"/>
  <c r="L215" i="13" s="1"/>
  <c r="P215" i="13" s="1"/>
  <c r="J47" i="13"/>
  <c r="N47" i="13" s="1"/>
  <c r="R47" i="13" s="1"/>
  <c r="H190" i="13"/>
  <c r="L190" i="13" s="1"/>
  <c r="P190" i="13" s="1"/>
  <c r="J18" i="13"/>
  <c r="N18" i="13" s="1"/>
  <c r="R18" i="13" s="1"/>
  <c r="I132" i="13"/>
  <c r="M132" i="13" s="1"/>
  <c r="Q132" i="13" s="1"/>
  <c r="G226" i="13"/>
  <c r="K226" i="13" s="1"/>
  <c r="O226" i="13" s="1"/>
  <c r="J158" i="13"/>
  <c r="N158" i="13" s="1"/>
  <c r="R158" i="13" s="1"/>
  <c r="H154" i="13"/>
  <c r="L154" i="13" s="1"/>
  <c r="P154" i="13" s="1"/>
  <c r="G132" i="13"/>
  <c r="K132" i="13" s="1"/>
  <c r="O132" i="13" s="1"/>
  <c r="G21" i="13"/>
  <c r="K21" i="13" s="1"/>
  <c r="O21" i="13" s="1"/>
  <c r="I217" i="13"/>
  <c r="M217" i="13" s="1"/>
  <c r="Q217" i="13" s="1"/>
  <c r="G200" i="13"/>
  <c r="K200" i="13" s="1"/>
  <c r="O200" i="13" s="1"/>
  <c r="G114" i="13"/>
  <c r="K114" i="13" s="1"/>
  <c r="O114" i="13" s="1"/>
  <c r="J234" i="13"/>
  <c r="N234" i="13" s="1"/>
  <c r="R234" i="13" s="1"/>
  <c r="G147" i="13"/>
  <c r="K147" i="13" s="1"/>
  <c r="O147" i="13" s="1"/>
  <c r="G87" i="13"/>
  <c r="K87" i="13" s="1"/>
  <c r="O87" i="13" s="1"/>
  <c r="J236" i="13"/>
  <c r="N236" i="13" s="1"/>
  <c r="R236" i="13" s="1"/>
  <c r="H232" i="13"/>
  <c r="L232" i="13" s="1"/>
  <c r="P232" i="13" s="1"/>
  <c r="J185" i="13"/>
  <c r="N185" i="13" s="1"/>
  <c r="R185" i="13" s="1"/>
  <c r="G26" i="13"/>
  <c r="K26" i="13" s="1"/>
  <c r="O26" i="13" s="1"/>
  <c r="H67" i="13"/>
  <c r="L67" i="13" s="1"/>
  <c r="P67" i="13" s="1"/>
  <c r="I79" i="13"/>
  <c r="M79" i="13" s="1"/>
  <c r="Q79" i="13" s="1"/>
  <c r="G30" i="13"/>
  <c r="K30" i="13" s="1"/>
  <c r="O30" i="13" s="1"/>
  <c r="J105" i="13"/>
  <c r="N105" i="13" s="1"/>
  <c r="R105" i="13" s="1"/>
  <c r="G35" i="13"/>
  <c r="K35" i="13" s="1"/>
  <c r="O35" i="13" s="1"/>
  <c r="J228" i="13"/>
  <c r="N228" i="13" s="1"/>
  <c r="R228" i="13" s="1"/>
  <c r="D5" i="15"/>
  <c r="H11" i="12"/>
  <c r="G72" i="13"/>
  <c r="K72" i="13" s="1"/>
  <c r="O72" i="13" s="1"/>
  <c r="J149" i="13"/>
  <c r="N149" i="13" s="1"/>
  <c r="R149" i="13" s="1"/>
  <c r="H230" i="13"/>
  <c r="L230" i="13" s="1"/>
  <c r="P230" i="13" s="1"/>
  <c r="I213" i="13"/>
  <c r="M213" i="13" s="1"/>
  <c r="Q213" i="13" s="1"/>
  <c r="E5" i="15"/>
  <c r="H12" i="12"/>
  <c r="H113" i="13"/>
  <c r="L113" i="13" s="1"/>
  <c r="P113" i="13" s="1"/>
  <c r="G218" i="13"/>
  <c r="K218" i="13" s="1"/>
  <c r="O218" i="13" s="1"/>
  <c r="I121" i="13"/>
  <c r="M121" i="13" s="1"/>
  <c r="Q121" i="13" s="1"/>
  <c r="J142" i="13"/>
  <c r="N142" i="13" s="1"/>
  <c r="R142" i="13" s="1"/>
  <c r="H10" i="13"/>
  <c r="L10" i="13" s="1"/>
  <c r="P10" i="13" s="1"/>
  <c r="I173" i="13"/>
  <c r="M173" i="13" s="1"/>
  <c r="Q173" i="13" s="1"/>
  <c r="J230" i="13"/>
  <c r="N230" i="13" s="1"/>
  <c r="R230" i="13" s="1"/>
  <c r="I77" i="13"/>
  <c r="M77" i="13" s="1"/>
  <c r="Q77" i="13" s="1"/>
  <c r="I75" i="13"/>
  <c r="M75" i="13" s="1"/>
  <c r="Q75" i="13" s="1"/>
  <c r="H31" i="13"/>
  <c r="L31" i="13" s="1"/>
  <c r="P31" i="13" s="1"/>
  <c r="G57" i="13"/>
  <c r="K57" i="13" s="1"/>
  <c r="O57" i="13" s="1"/>
  <c r="J170" i="13"/>
  <c r="N170" i="13" s="1"/>
  <c r="R170" i="13" s="1"/>
  <c r="H127" i="13"/>
  <c r="L127" i="13" s="1"/>
  <c r="P127" i="13" s="1"/>
  <c r="J247" i="13"/>
  <c r="N247" i="13" s="1"/>
  <c r="R247" i="13" s="1"/>
  <c r="G180" i="13"/>
  <c r="K180" i="13" s="1"/>
  <c r="O180" i="13" s="1"/>
  <c r="J79" i="13"/>
  <c r="N79" i="13" s="1"/>
  <c r="R79" i="13" s="1"/>
  <c r="J77" i="13"/>
  <c r="N77" i="13" s="1"/>
  <c r="R77" i="13" s="1"/>
  <c r="H49" i="13"/>
  <c r="L49" i="13" s="1"/>
  <c r="P49" i="13" s="1"/>
  <c r="H166" i="13"/>
  <c r="L166" i="13" s="1"/>
  <c r="P166" i="13" s="1"/>
  <c r="H26" i="13"/>
  <c r="L26" i="13" s="1"/>
  <c r="P26" i="13" s="1"/>
  <c r="H254" i="13"/>
  <c r="L254" i="13" s="1"/>
  <c r="P254" i="13" s="1"/>
  <c r="I134" i="13"/>
  <c r="M134" i="13" s="1"/>
  <c r="Q134" i="13" s="1"/>
  <c r="G79" i="13"/>
  <c r="K79" i="13" s="1"/>
  <c r="O79" i="13" s="1"/>
  <c r="G251" i="13"/>
  <c r="K251" i="13" s="1"/>
  <c r="O251" i="13" s="1"/>
  <c r="J242" i="13"/>
  <c r="N242" i="13" s="1"/>
  <c r="R242" i="13" s="1"/>
  <c r="J7" i="13"/>
  <c r="N7" i="13" s="1"/>
  <c r="R7" i="13" s="1"/>
  <c r="G138" i="13"/>
  <c r="K138" i="13" s="1"/>
  <c r="O138" i="13" s="1"/>
  <c r="H240" i="13"/>
  <c r="L240" i="13" s="1"/>
  <c r="P240" i="13" s="1"/>
  <c r="I150" i="13"/>
  <c r="M150" i="13" s="1"/>
  <c r="Q150" i="13" s="1"/>
  <c r="H69" i="13"/>
  <c r="L69" i="13" s="1"/>
  <c r="P69" i="13" s="1"/>
  <c r="H202" i="13"/>
  <c r="L202" i="13" s="1"/>
  <c r="P202" i="13" s="1"/>
  <c r="G173" i="13"/>
  <c r="K173" i="13" s="1"/>
  <c r="O173" i="13" s="1"/>
  <c r="J239" i="13"/>
  <c r="N239" i="13" s="1"/>
  <c r="R239" i="13" s="1"/>
  <c r="H235" i="13"/>
  <c r="L235" i="13" s="1"/>
  <c r="P235" i="13" s="1"/>
  <c r="H84" i="13"/>
  <c r="L84" i="13" s="1"/>
  <c r="P84" i="13" s="1"/>
  <c r="J187" i="13"/>
  <c r="N187" i="13" s="1"/>
  <c r="R187" i="13" s="1"/>
  <c r="G36" i="13"/>
  <c r="K36" i="13" s="1"/>
  <c r="O36" i="13" s="1"/>
  <c r="J138" i="13"/>
  <c r="N138" i="13" s="1"/>
  <c r="R138" i="13" s="1"/>
  <c r="J101" i="13"/>
  <c r="N101" i="13" s="1"/>
  <c r="R101" i="13" s="1"/>
  <c r="J152" i="13"/>
  <c r="N152" i="13" s="1"/>
  <c r="R152" i="13" s="1"/>
  <c r="I87" i="13"/>
  <c r="M87" i="13" s="1"/>
  <c r="Q87" i="13" s="1"/>
  <c r="I183" i="13"/>
  <c r="M183" i="13" s="1"/>
  <c r="Q183" i="13" s="1"/>
  <c r="J48" i="13"/>
  <c r="N48" i="13" s="1"/>
  <c r="R48" i="13" s="1"/>
  <c r="G94" i="13"/>
  <c r="K94" i="13" s="1"/>
  <c r="O94" i="13" s="1"/>
  <c r="J169" i="13"/>
  <c r="N169" i="13" s="1"/>
  <c r="R169" i="13" s="1"/>
  <c r="H102" i="13"/>
  <c r="L102" i="13" s="1"/>
  <c r="P102" i="13" s="1"/>
  <c r="I43" i="13"/>
  <c r="M43" i="13" s="1"/>
  <c r="Q43" i="13" s="1"/>
  <c r="G166" i="13"/>
  <c r="K166" i="13" s="1"/>
  <c r="O166" i="13" s="1"/>
  <c r="G124" i="13"/>
  <c r="K124" i="13" s="1"/>
  <c r="O124" i="13" s="1"/>
  <c r="H78" i="13"/>
  <c r="L78" i="13" s="1"/>
  <c r="P78" i="13" s="1"/>
  <c r="J227" i="13"/>
  <c r="N227" i="13" s="1"/>
  <c r="R227" i="13" s="1"/>
  <c r="H246" i="13"/>
  <c r="L246" i="13" s="1"/>
  <c r="P246" i="13" s="1"/>
  <c r="H130" i="13"/>
  <c r="L130" i="13" s="1"/>
  <c r="P130" i="13" s="1"/>
  <c r="H30" i="13"/>
  <c r="L30" i="13" s="1"/>
  <c r="P30" i="13" s="1"/>
  <c r="E8" i="15"/>
  <c r="G33" i="12"/>
  <c r="G28" i="13"/>
  <c r="K28" i="13" s="1"/>
  <c r="O28" i="13" s="1"/>
  <c r="G64" i="13"/>
  <c r="K64" i="13" s="1"/>
  <c r="O64" i="13" s="1"/>
  <c r="G82" i="13"/>
  <c r="K82" i="13" s="1"/>
  <c r="O82" i="13" s="1"/>
  <c r="J37" i="13"/>
  <c r="N37" i="13" s="1"/>
  <c r="R37" i="13" s="1"/>
  <c r="G81" i="13"/>
  <c r="K81" i="13" s="1"/>
  <c r="O81" i="13" s="1"/>
  <c r="H140" i="13"/>
  <c r="L140" i="13" s="1"/>
  <c r="P140" i="13" s="1"/>
  <c r="G105" i="13"/>
  <c r="K105" i="13" s="1"/>
  <c r="O105" i="13" s="1"/>
  <c r="I37" i="13"/>
  <c r="M37" i="13" s="1"/>
  <c r="Q37" i="13" s="1"/>
  <c r="G53" i="13"/>
  <c r="K53" i="13" s="1"/>
  <c r="O53" i="13" s="1"/>
  <c r="J136" i="13"/>
  <c r="N136" i="13" s="1"/>
  <c r="R136" i="13" s="1"/>
  <c r="G14" i="13"/>
  <c r="K14" i="13" s="1"/>
  <c r="O14" i="13" s="1"/>
  <c r="G215" i="13"/>
  <c r="K215" i="13" s="1"/>
  <c r="O215" i="13" s="1"/>
  <c r="I171" i="13"/>
  <c r="M171" i="13" s="1"/>
  <c r="Q171" i="13" s="1"/>
  <c r="I188" i="13"/>
  <c r="M188" i="13" s="1"/>
  <c r="Q188" i="13" s="1"/>
  <c r="G75" i="13"/>
  <c r="K75" i="13" s="1"/>
  <c r="O75" i="13" s="1"/>
  <c r="I236" i="13"/>
  <c r="M236" i="13" s="1"/>
  <c r="Q236" i="13" s="1"/>
  <c r="G170" i="13"/>
  <c r="K170" i="13" s="1"/>
  <c r="O170" i="13" s="1"/>
  <c r="I202" i="13"/>
  <c r="M202" i="13" s="1"/>
  <c r="Q202" i="13" s="1"/>
  <c r="I241" i="13"/>
  <c r="M241" i="13" s="1"/>
  <c r="Q241" i="13" s="1"/>
  <c r="J87" i="13"/>
  <c r="N87" i="13" s="1"/>
  <c r="R87" i="13" s="1"/>
  <c r="G93" i="13"/>
  <c r="K93" i="13" s="1"/>
  <c r="O93" i="13" s="1"/>
  <c r="H76" i="13"/>
  <c r="L76" i="13" s="1"/>
  <c r="P76" i="13" s="1"/>
  <c r="H256" i="13"/>
  <c r="L256" i="13" s="1"/>
  <c r="P256" i="13" s="1"/>
  <c r="I81" i="13"/>
  <c r="M81" i="13" s="1"/>
  <c r="Q81" i="13" s="1"/>
  <c r="J151" i="13"/>
  <c r="N151" i="13" s="1"/>
  <c r="R151" i="13" s="1"/>
  <c r="I29" i="13"/>
  <c r="M29" i="13" s="1"/>
  <c r="Q29" i="13" s="1"/>
  <c r="G18" i="13"/>
  <c r="K18" i="13" s="1"/>
  <c r="O18" i="13" s="1"/>
  <c r="H61" i="13"/>
  <c r="L61" i="13" s="1"/>
  <c r="P61" i="13" s="1"/>
  <c r="J159" i="13"/>
  <c r="N159" i="13" s="1"/>
  <c r="R159" i="13" s="1"/>
  <c r="J195" i="13"/>
  <c r="N195" i="13" s="1"/>
  <c r="R195" i="13" s="1"/>
  <c r="J65" i="13"/>
  <c r="N65" i="13" s="1"/>
  <c r="R65" i="13" s="1"/>
  <c r="J134" i="13"/>
  <c r="N134" i="13" s="1"/>
  <c r="R134" i="13" s="1"/>
  <c r="J232" i="13"/>
  <c r="N232" i="13" s="1"/>
  <c r="R232" i="13" s="1"/>
  <c r="H57" i="13"/>
  <c r="L57" i="13" s="1"/>
  <c r="P57" i="13" s="1"/>
  <c r="G92" i="13"/>
  <c r="K92" i="13" s="1"/>
  <c r="O92" i="13" s="1"/>
  <c r="J61" i="13"/>
  <c r="N61" i="13" s="1"/>
  <c r="R61" i="13" s="1"/>
  <c r="J246" i="13"/>
  <c r="N246" i="13" s="1"/>
  <c r="R246" i="13" s="1"/>
  <c r="I196" i="13"/>
  <c r="M196" i="13" s="1"/>
  <c r="Q196" i="13" s="1"/>
  <c r="I42" i="13"/>
  <c r="M42" i="13" s="1"/>
  <c r="Q42" i="13" s="1"/>
  <c r="G148" i="13"/>
  <c r="K148" i="13" s="1"/>
  <c r="O148" i="13" s="1"/>
  <c r="I240" i="13"/>
  <c r="M240" i="13" s="1"/>
  <c r="Q240" i="13" s="1"/>
  <c r="H172" i="13"/>
  <c r="L172" i="13" s="1"/>
  <c r="P172" i="13" s="1"/>
  <c r="H253" i="13"/>
  <c r="L253" i="13" s="1"/>
  <c r="P253" i="13" s="1"/>
  <c r="I230" i="13"/>
  <c r="M230" i="13" s="1"/>
  <c r="Q230" i="13" s="1"/>
  <c r="H252" i="13"/>
  <c r="L252" i="13" s="1"/>
  <c r="P252" i="13" s="1"/>
  <c r="I98" i="13"/>
  <c r="M98" i="13" s="1"/>
  <c r="Q98" i="13" s="1"/>
  <c r="G108" i="13"/>
  <c r="K108" i="13" s="1"/>
  <c r="O108" i="13" s="1"/>
  <c r="H122" i="13"/>
  <c r="L122" i="13" s="1"/>
  <c r="P122" i="13" s="1"/>
  <c r="G13" i="13"/>
  <c r="K13" i="13" s="1"/>
  <c r="O13" i="13" s="1"/>
  <c r="G63" i="13"/>
  <c r="K63" i="13" s="1"/>
  <c r="O63" i="13" s="1"/>
  <c r="I84" i="13"/>
  <c r="M84" i="13" s="1"/>
  <c r="Q84" i="13" s="1"/>
  <c r="H143" i="13"/>
  <c r="L143" i="13" s="1"/>
  <c r="P143" i="13" s="1"/>
  <c r="I111" i="13"/>
  <c r="M111" i="13" s="1"/>
  <c r="Q111" i="13" s="1"/>
  <c r="G42" i="13"/>
  <c r="K42" i="13" s="1"/>
  <c r="O42" i="13" s="1"/>
  <c r="H205" i="13"/>
  <c r="L205" i="13" s="1"/>
  <c r="P205" i="13" s="1"/>
  <c r="J59" i="13"/>
  <c r="N59" i="13" s="1"/>
  <c r="R59" i="13" s="1"/>
  <c r="H142" i="13"/>
  <c r="L142" i="13" s="1"/>
  <c r="P142" i="13" s="1"/>
  <c r="I18" i="13"/>
  <c r="M18" i="13" s="1"/>
  <c r="Q18" i="13" s="1"/>
  <c r="G186" i="13"/>
  <c r="K186" i="13" s="1"/>
  <c r="O186" i="13" s="1"/>
  <c r="J256" i="13"/>
  <c r="N256" i="13" s="1"/>
  <c r="R256" i="13" s="1"/>
  <c r="J71" i="13"/>
  <c r="N71" i="13" s="1"/>
  <c r="R71" i="13" s="1"/>
  <c r="I195" i="13"/>
  <c r="M195" i="13" s="1"/>
  <c r="Q195" i="13" s="1"/>
  <c r="H28" i="13"/>
  <c r="L28" i="13" s="1"/>
  <c r="P28" i="13" s="1"/>
  <c r="H186" i="13"/>
  <c r="L186" i="13" s="1"/>
  <c r="P186" i="13" s="1"/>
  <c r="G78" i="13"/>
  <c r="K78" i="13" s="1"/>
  <c r="O78" i="13" s="1"/>
  <c r="J217" i="13"/>
  <c r="N217" i="13" s="1"/>
  <c r="R217" i="13" s="1"/>
  <c r="H13" i="13"/>
  <c r="L13" i="13" s="1"/>
  <c r="P13" i="13" s="1"/>
  <c r="H211" i="13"/>
  <c r="L211" i="13" s="1"/>
  <c r="P211" i="13" s="1"/>
  <c r="J126" i="13"/>
  <c r="N126" i="13" s="1"/>
  <c r="R126" i="13" s="1"/>
  <c r="J249" i="13"/>
  <c r="N249" i="13" s="1"/>
  <c r="R249" i="13" s="1"/>
  <c r="J86" i="13"/>
  <c r="N86" i="13" s="1"/>
  <c r="R86" i="13" s="1"/>
  <c r="I142" i="13"/>
  <c r="M142" i="13" s="1"/>
  <c r="Q142" i="13" s="1"/>
  <c r="G122" i="13"/>
  <c r="K122" i="13" s="1"/>
  <c r="O122" i="13" s="1"/>
  <c r="H234" i="13"/>
  <c r="L234" i="13" s="1"/>
  <c r="P234" i="13" s="1"/>
  <c r="H36" i="13"/>
  <c r="L36" i="13" s="1"/>
  <c r="P36" i="13" s="1"/>
  <c r="I14" i="13"/>
  <c r="M14" i="13" s="1"/>
  <c r="Q14" i="13" s="1"/>
  <c r="I50" i="13"/>
  <c r="M50" i="13" s="1"/>
  <c r="Q50" i="13" s="1"/>
  <c r="I86" i="13"/>
  <c r="M86" i="13" s="1"/>
  <c r="Q86" i="13" s="1"/>
  <c r="H43" i="13"/>
  <c r="L43" i="13" s="1"/>
  <c r="P43" i="13" s="1"/>
  <c r="H86" i="13"/>
  <c r="L86" i="13" s="1"/>
  <c r="P86" i="13" s="1"/>
  <c r="J180" i="13"/>
  <c r="N180" i="13" s="1"/>
  <c r="R180" i="13" s="1"/>
  <c r="J114" i="13"/>
  <c r="N114" i="13" s="1"/>
  <c r="R114" i="13" s="1"/>
  <c r="I97" i="13"/>
  <c r="M97" i="13" s="1"/>
  <c r="Q97" i="13" s="1"/>
  <c r="G160" i="13"/>
  <c r="K160" i="13" s="1"/>
  <c r="O160" i="13" s="1"/>
  <c r="J163" i="13"/>
  <c r="N163" i="13" s="1"/>
  <c r="R163" i="13" s="1"/>
  <c r="I221" i="13"/>
  <c r="M221" i="13" s="1"/>
  <c r="Q221" i="13" s="1"/>
  <c r="J63" i="13"/>
  <c r="N63" i="13" s="1"/>
  <c r="R63" i="13" s="1"/>
  <c r="J145" i="13"/>
  <c r="N145" i="13" s="1"/>
  <c r="R145" i="13" s="1"/>
  <c r="J27" i="13"/>
  <c r="N27" i="13" s="1"/>
  <c r="R27" i="13" s="1"/>
  <c r="H51" i="13"/>
  <c r="L51" i="13" s="1"/>
  <c r="P51" i="13" s="1"/>
  <c r="G155" i="13"/>
  <c r="K155" i="13" s="1"/>
  <c r="O155" i="13" s="1"/>
  <c r="G255" i="13"/>
  <c r="K255" i="13" s="1"/>
  <c r="O255" i="13" s="1"/>
  <c r="G247" i="13"/>
  <c r="K247" i="13" s="1"/>
  <c r="O247" i="13" s="1"/>
  <c r="J117" i="13"/>
  <c r="N117" i="13" s="1"/>
  <c r="R117" i="13" s="1"/>
  <c r="H136" i="13"/>
  <c r="L136" i="13" s="1"/>
  <c r="P136" i="13" s="1"/>
  <c r="G222" i="13"/>
  <c r="K222" i="13" s="1"/>
  <c r="O222" i="13" s="1"/>
  <c r="J173" i="13"/>
  <c r="N173" i="13" s="1"/>
  <c r="R173" i="13" s="1"/>
  <c r="H129" i="13"/>
  <c r="L129" i="13" s="1"/>
  <c r="P129" i="13" s="1"/>
  <c r="J241" i="13"/>
  <c r="N241" i="13" s="1"/>
  <c r="R241" i="13" s="1"/>
  <c r="G164" i="13"/>
  <c r="K164" i="13" s="1"/>
  <c r="O164" i="13" s="1"/>
  <c r="I180" i="13"/>
  <c r="M180" i="13" s="1"/>
  <c r="Q180" i="13" s="1"/>
  <c r="G192" i="13"/>
  <c r="K192" i="13" s="1"/>
  <c r="O192" i="13" s="1"/>
  <c r="J255" i="13"/>
  <c r="N255" i="13" s="1"/>
  <c r="R255" i="13" s="1"/>
  <c r="G52" i="13"/>
  <c r="K52" i="13" s="1"/>
  <c r="O52" i="13" s="1"/>
  <c r="G88" i="13"/>
  <c r="K88" i="13" s="1"/>
  <c r="O88" i="13" s="1"/>
  <c r="H88" i="13"/>
  <c r="L88" i="13" s="1"/>
  <c r="P88" i="13" s="1"/>
  <c r="H146" i="13"/>
  <c r="L146" i="13" s="1"/>
  <c r="P146" i="13" s="1"/>
  <c r="H164" i="13"/>
  <c r="L164" i="13" s="1"/>
  <c r="P164" i="13" s="1"/>
  <c r="H200" i="13"/>
  <c r="L200" i="13" s="1"/>
  <c r="P200" i="13" s="1"/>
  <c r="H46" i="13"/>
  <c r="L46" i="13" s="1"/>
  <c r="P46" i="13" s="1"/>
  <c r="B5" i="15"/>
  <c r="H9" i="12"/>
  <c r="N8" i="13"/>
  <c r="R8" i="13" s="1"/>
  <c r="N16" i="13"/>
  <c r="R16" i="13" s="1"/>
  <c r="N20" i="13"/>
  <c r="R20" i="13" s="1"/>
  <c r="N28" i="13"/>
  <c r="R28" i="13" s="1"/>
  <c r="N40" i="13"/>
  <c r="R40" i="13" s="1"/>
  <c r="N68" i="13"/>
  <c r="R68" i="13" s="1"/>
  <c r="N76" i="13"/>
  <c r="R76" i="13" s="1"/>
  <c r="N80" i="13"/>
  <c r="R80" i="13" s="1"/>
  <c r="N88" i="13"/>
  <c r="R88" i="13" s="1"/>
  <c r="N92" i="13"/>
  <c r="R92" i="13" s="1"/>
  <c r="N96" i="13"/>
  <c r="R96" i="13" s="1"/>
  <c r="N104" i="13"/>
  <c r="R104" i="13" s="1"/>
  <c r="N116" i="13"/>
  <c r="R116" i="13" s="1"/>
  <c r="N120" i="13"/>
  <c r="R120" i="13" s="1"/>
  <c r="N124" i="13"/>
  <c r="R124" i="13" s="1"/>
  <c r="N132" i="13"/>
  <c r="R132" i="13" s="1"/>
  <c r="N144" i="13"/>
  <c r="R144" i="13" s="1"/>
  <c r="N156" i="13"/>
  <c r="R156" i="13" s="1"/>
  <c r="N160" i="13"/>
  <c r="R160" i="13" s="1"/>
  <c r="N164" i="13"/>
  <c r="R164" i="13" s="1"/>
  <c r="N168" i="13"/>
  <c r="R168" i="13" s="1"/>
  <c r="N172" i="13"/>
  <c r="R172" i="13" s="1"/>
  <c r="N176" i="13"/>
  <c r="R176" i="13" s="1"/>
  <c r="N184" i="13"/>
  <c r="R184" i="13" s="1"/>
  <c r="N188" i="13"/>
  <c r="R188" i="13" s="1"/>
  <c r="N192" i="13"/>
  <c r="R192" i="13" s="1"/>
  <c r="N196" i="13"/>
  <c r="R196" i="13" s="1"/>
  <c r="N204" i="13"/>
  <c r="R204" i="13" s="1"/>
  <c r="N212" i="13"/>
  <c r="R212" i="13" s="1"/>
  <c r="N220" i="13"/>
  <c r="R220" i="13" s="1"/>
  <c r="N240" i="13"/>
  <c r="R240" i="13" s="1"/>
  <c r="N244" i="13"/>
  <c r="R244" i="13" s="1"/>
  <c r="N248" i="13"/>
  <c r="R248" i="13" s="1"/>
  <c r="N252" i="13"/>
  <c r="R252" i="13" s="1"/>
  <c r="N23" i="13"/>
  <c r="R23" i="13" s="1"/>
  <c r="N143" i="13"/>
  <c r="R143" i="13" s="1"/>
  <c r="N153" i="13"/>
  <c r="R153" i="13" s="1"/>
  <c r="N177" i="13"/>
  <c r="R177" i="13" s="1"/>
  <c r="N191" i="13"/>
  <c r="R191" i="13" s="1"/>
  <c r="N215" i="13"/>
  <c r="R215" i="13" s="1"/>
  <c r="N225" i="13"/>
  <c r="R225" i="13" s="1"/>
  <c r="N38" i="13"/>
  <c r="R38" i="13" s="1"/>
  <c r="N62" i="13"/>
  <c r="R62" i="13" s="1"/>
  <c r="N110" i="13"/>
  <c r="R110" i="13" s="1"/>
  <c r="N206" i="13"/>
  <c r="R206" i="13" s="1"/>
  <c r="N254" i="13"/>
  <c r="R254" i="13" s="1"/>
  <c r="N29" i="13"/>
  <c r="R29" i="13" s="1"/>
  <c r="N43" i="13"/>
  <c r="R43" i="13" s="1"/>
  <c r="N53" i="13"/>
  <c r="R53" i="13" s="1"/>
  <c r="N91" i="13"/>
  <c r="R91" i="13" s="1"/>
  <c r="N139" i="13"/>
  <c r="R139" i="13" s="1"/>
  <c r="N235" i="13"/>
  <c r="R235" i="13" s="1"/>
  <c r="N10" i="13"/>
  <c r="R10" i="13" s="1"/>
  <c r="N178" i="13"/>
  <c r="R178" i="13" s="1"/>
  <c r="N250" i="13"/>
  <c r="R250" i="13" s="1"/>
  <c r="N55" i="13"/>
  <c r="R55" i="13" s="1"/>
  <c r="N127" i="13"/>
  <c r="R127" i="13" s="1"/>
  <c r="N135" i="13"/>
  <c r="R135" i="13" s="1"/>
  <c r="N199" i="13"/>
  <c r="R199" i="13" s="1"/>
  <c r="N35" i="13"/>
  <c r="R35" i="13" s="1"/>
  <c r="N6" i="13"/>
  <c r="R6" i="13" s="1"/>
  <c r="N78" i="13"/>
  <c r="R78" i="13" s="1"/>
  <c r="N150" i="13"/>
  <c r="R150" i="13" s="1"/>
  <c r="N214" i="13"/>
  <c r="R214" i="13" s="1"/>
  <c r="N222" i="13"/>
  <c r="R222" i="13" s="1"/>
  <c r="N13" i="13"/>
  <c r="R13" i="13" s="1"/>
  <c r="N85" i="13"/>
  <c r="R85" i="13" s="1"/>
  <c r="N107" i="13"/>
  <c r="R107" i="13" s="1"/>
  <c r="N157" i="13"/>
  <c r="R157" i="13" s="1"/>
  <c r="N171" i="13"/>
  <c r="R171" i="13" s="1"/>
  <c r="N229" i="13"/>
  <c r="R229" i="13" s="1"/>
  <c r="N237" i="13"/>
  <c r="R237" i="13" s="1"/>
  <c r="N243" i="13"/>
  <c r="R243" i="13" s="1"/>
  <c r="N251" i="13"/>
  <c r="R251" i="13" s="1"/>
  <c r="J5" i="13"/>
  <c r="N5" i="13" s="1"/>
  <c r="R5" i="13" s="1"/>
  <c r="N50" i="13"/>
  <c r="R50" i="13" s="1"/>
  <c r="N186" i="13"/>
  <c r="R186" i="13" s="1"/>
  <c r="N17" i="13"/>
  <c r="R17" i="13" s="1"/>
  <c r="N73" i="13"/>
  <c r="R73" i="13" s="1"/>
  <c r="N137" i="13"/>
  <c r="R137" i="13" s="1"/>
  <c r="N223" i="13"/>
  <c r="R223" i="13" s="1"/>
  <c r="N233" i="13"/>
  <c r="R233" i="13" s="1"/>
  <c r="N181" i="13"/>
  <c r="R181" i="13" s="1"/>
  <c r="N31" i="13"/>
  <c r="R31" i="13" s="1"/>
  <c r="N54" i="13"/>
  <c r="R54" i="13" s="1"/>
  <c r="N45" i="13"/>
  <c r="R45" i="13" s="1"/>
  <c r="N205" i="13"/>
  <c r="R205" i="13" s="1"/>
  <c r="N162" i="13"/>
  <c r="R162" i="13" s="1"/>
  <c r="N133" i="13"/>
  <c r="R133" i="13" s="1"/>
  <c r="N190" i="13"/>
  <c r="R190" i="13" s="1"/>
  <c r="N238" i="13"/>
  <c r="R238" i="13" s="1"/>
  <c r="N75" i="13"/>
  <c r="R75" i="13" s="1"/>
  <c r="N66" i="13"/>
  <c r="R66" i="13" s="1"/>
  <c r="N218" i="13"/>
  <c r="R218" i="13" s="1"/>
  <c r="N209" i="13"/>
  <c r="R209" i="13" s="1"/>
  <c r="N231" i="13"/>
  <c r="R231" i="13" s="1"/>
  <c r="N102" i="13"/>
  <c r="R102" i="13" s="1"/>
  <c r="N166" i="13"/>
  <c r="R166" i="13" s="1"/>
  <c r="N123" i="13"/>
  <c r="R123" i="13" s="1"/>
  <c r="N189" i="13"/>
  <c r="R189" i="13" s="1"/>
  <c r="N26" i="13"/>
  <c r="R26" i="13" s="1"/>
  <c r="N146" i="13"/>
  <c r="R146" i="13" s="1"/>
  <c r="I17" i="13"/>
  <c r="M17" i="13" s="1"/>
  <c r="Q17" i="13" s="1"/>
  <c r="I53" i="13"/>
  <c r="M53" i="13" s="1"/>
  <c r="Q53" i="13" s="1"/>
  <c r="I71" i="13"/>
  <c r="M71" i="13" s="1"/>
  <c r="Q71" i="13" s="1"/>
  <c r="I89" i="13"/>
  <c r="M89" i="13" s="1"/>
  <c r="Q89" i="13" s="1"/>
  <c r="H25" i="13"/>
  <c r="L25" i="13" s="1"/>
  <c r="P25" i="13" s="1"/>
  <c r="H68" i="13"/>
  <c r="L68" i="13" s="1"/>
  <c r="P68" i="13" s="1"/>
  <c r="G90" i="13"/>
  <c r="K90" i="13" s="1"/>
  <c r="O90" i="13" s="1"/>
  <c r="I124" i="13"/>
  <c r="M124" i="13" s="1"/>
  <c r="Q124" i="13" s="1"/>
  <c r="J147" i="13"/>
  <c r="N147" i="13" s="1"/>
  <c r="R147" i="13" s="1"/>
  <c r="J165" i="13"/>
  <c r="N165" i="13" s="1"/>
  <c r="R165" i="13" s="1"/>
  <c r="J183" i="13"/>
  <c r="N183" i="13" s="1"/>
  <c r="R183" i="13" s="1"/>
  <c r="J119" i="13"/>
  <c r="N119" i="13" s="1"/>
  <c r="R119" i="13" s="1"/>
  <c r="I22" i="13"/>
  <c r="M22" i="13" s="1"/>
  <c r="Q22" i="13" s="1"/>
  <c r="H48" i="13"/>
  <c r="L48" i="13" s="1"/>
  <c r="P48" i="13" s="1"/>
  <c r="H74" i="13"/>
  <c r="L74" i="13" s="1"/>
  <c r="P74" i="13" s="1"/>
  <c r="I103" i="13"/>
  <c r="M103" i="13" s="1"/>
  <c r="Q103" i="13" s="1"/>
  <c r="G142" i="13"/>
  <c r="K142" i="13" s="1"/>
  <c r="O142" i="13" s="1"/>
  <c r="I163" i="13"/>
  <c r="M163" i="13" s="1"/>
  <c r="Q163" i="13" s="1"/>
  <c r="G185" i="13"/>
  <c r="K185" i="13" s="1"/>
  <c r="O185" i="13" s="1"/>
  <c r="H208" i="13"/>
  <c r="L208" i="13" s="1"/>
  <c r="P208" i="13" s="1"/>
  <c r="H244" i="13"/>
  <c r="L244" i="13" s="1"/>
  <c r="P244" i="13" s="1"/>
  <c r="H169" i="13"/>
  <c r="L169" i="13" s="1"/>
  <c r="P169" i="13" s="1"/>
  <c r="I226" i="13"/>
  <c r="M226" i="13" s="1"/>
  <c r="Q226" i="13" s="1"/>
  <c r="G121" i="13"/>
  <c r="K121" i="13" s="1"/>
  <c r="O121" i="13" s="1"/>
  <c r="J9" i="13"/>
  <c r="N9" i="13" s="1"/>
  <c r="R9" i="13" s="1"/>
  <c r="G153" i="13"/>
  <c r="K153" i="13" s="1"/>
  <c r="O153" i="13" s="1"/>
  <c r="G220" i="13"/>
  <c r="K220" i="13" s="1"/>
  <c r="O220" i="13" s="1"/>
  <c r="J24" i="13"/>
  <c r="N24" i="13" s="1"/>
  <c r="R24" i="13" s="1"/>
  <c r="G135" i="13"/>
  <c r="K135" i="13" s="1"/>
  <c r="O135" i="13" s="1"/>
  <c r="H45" i="13"/>
  <c r="L45" i="13" s="1"/>
  <c r="P45" i="13" s="1"/>
  <c r="I117" i="13"/>
  <c r="M117" i="13" s="1"/>
  <c r="Q117" i="13" s="1"/>
  <c r="I209" i="13"/>
  <c r="M209" i="13" s="1"/>
  <c r="Q209" i="13" s="1"/>
  <c r="H229" i="13"/>
  <c r="L229" i="13" s="1"/>
  <c r="P229" i="13" s="1"/>
  <c r="G69" i="13"/>
  <c r="K69" i="13" s="1"/>
  <c r="O69" i="13" s="1"/>
  <c r="I238" i="13"/>
  <c r="M238" i="13" s="1"/>
  <c r="Q238" i="13" s="1"/>
  <c r="J112" i="13"/>
  <c r="N112" i="13" s="1"/>
  <c r="R112" i="13" s="1"/>
  <c r="G8" i="13"/>
  <c r="K8" i="13" s="1"/>
  <c r="O8" i="13" s="1"/>
  <c r="G60" i="13"/>
  <c r="K60" i="13" s="1"/>
  <c r="O60" i="13" s="1"/>
  <c r="H120" i="13"/>
  <c r="L120" i="13" s="1"/>
  <c r="P120" i="13" s="1"/>
  <c r="H162" i="13"/>
  <c r="L162" i="13" s="1"/>
  <c r="P162" i="13" s="1"/>
  <c r="G17" i="13"/>
  <c r="K17" i="13" s="1"/>
  <c r="O17" i="13" s="1"/>
  <c r="I155" i="13"/>
  <c r="M155" i="13" s="1"/>
  <c r="Q155" i="13" s="1"/>
  <c r="I102" i="13"/>
  <c r="M102" i="13" s="1"/>
  <c r="Q102" i="13" s="1"/>
  <c r="J203" i="13"/>
  <c r="N203" i="13" s="1"/>
  <c r="R203" i="13" s="1"/>
  <c r="H54" i="13"/>
  <c r="L54" i="13" s="1"/>
  <c r="P54" i="13" s="1"/>
  <c r="J125" i="13"/>
  <c r="N125" i="13" s="1"/>
  <c r="R125" i="13" s="1"/>
  <c r="G182" i="13"/>
  <c r="K182" i="13" s="1"/>
  <c r="O182" i="13" s="1"/>
  <c r="I110" i="13"/>
  <c r="M110" i="13" s="1"/>
  <c r="Q110" i="13" s="1"/>
  <c r="J213" i="13"/>
  <c r="N213" i="13" s="1"/>
  <c r="R213" i="13" s="1"/>
  <c r="G237" i="13"/>
  <c r="K237" i="13" s="1"/>
  <c r="O237" i="13" s="1"/>
  <c r="I233" i="13"/>
  <c r="M233" i="13" s="1"/>
  <c r="Q233" i="13" s="1"/>
  <c r="I67" i="13"/>
  <c r="M67" i="13" s="1"/>
  <c r="Q67" i="13" s="1"/>
  <c r="G207" i="13"/>
  <c r="K207" i="13" s="1"/>
  <c r="O207" i="13" s="1"/>
  <c r="G24" i="13"/>
  <c r="K24" i="13" s="1"/>
  <c r="O24" i="13" s="1"/>
  <c r="I137" i="13"/>
  <c r="M137" i="13" s="1"/>
  <c r="Q137" i="13" s="1"/>
  <c r="H233" i="13"/>
  <c r="L233" i="13" s="1"/>
  <c r="P233" i="13" s="1"/>
  <c r="I187" i="13"/>
  <c r="M187" i="13" s="1"/>
  <c r="Q187" i="13" s="1"/>
  <c r="I166" i="13"/>
  <c r="M166" i="13" s="1"/>
  <c r="Q166" i="13" s="1"/>
  <c r="I139" i="13"/>
  <c r="M139" i="13" s="1"/>
  <c r="Q139" i="13" s="1"/>
  <c r="J70" i="13"/>
  <c r="N70" i="13" s="1"/>
  <c r="R70" i="13" s="1"/>
  <c r="G242" i="13"/>
  <c r="K242" i="13" s="1"/>
  <c r="O242" i="13" s="1"/>
  <c r="I219" i="13"/>
  <c r="M219" i="13" s="1"/>
  <c r="Q219" i="13" s="1"/>
  <c r="G130" i="13"/>
  <c r="K130" i="13" s="1"/>
  <c r="O130" i="13" s="1"/>
  <c r="H93" i="13"/>
  <c r="L93" i="13" s="1"/>
  <c r="P93" i="13" s="1"/>
  <c r="H168" i="13"/>
  <c r="L168" i="13" s="1"/>
  <c r="P168" i="13" s="1"/>
  <c r="I148" i="13"/>
  <c r="M148" i="13" s="1"/>
  <c r="Q148" i="13" s="1"/>
  <c r="I253" i="13"/>
  <c r="M253" i="13" s="1"/>
  <c r="Q253" i="13" s="1"/>
  <c r="J98" i="13"/>
  <c r="N98" i="13" s="1"/>
  <c r="R98" i="13" s="1"/>
  <c r="H220" i="13"/>
  <c r="L220" i="13" s="1"/>
  <c r="P220" i="13" s="1"/>
  <c r="G50" i="13"/>
  <c r="K50" i="13" s="1"/>
  <c r="O50" i="13" s="1"/>
  <c r="J84" i="13"/>
  <c r="N84" i="13" s="1"/>
  <c r="R84" i="13" s="1"/>
  <c r="H95" i="13"/>
  <c r="L95" i="13" s="1"/>
  <c r="P95" i="13" s="1"/>
  <c r="G104" i="13"/>
  <c r="K104" i="13" s="1"/>
  <c r="O104" i="13" s="1"/>
  <c r="G157" i="13"/>
  <c r="K157" i="13" s="1"/>
  <c r="O157" i="13" s="1"/>
  <c r="J221" i="13"/>
  <c r="N221" i="13" s="1"/>
  <c r="R221" i="13" s="1"/>
  <c r="S1" i="13"/>
  <c r="G5" i="11"/>
  <c r="J256" i="11"/>
  <c r="I256" i="11"/>
  <c r="H256" i="11"/>
  <c r="G256" i="11"/>
  <c r="J255" i="11"/>
  <c r="I255" i="11"/>
  <c r="H255" i="11"/>
  <c r="G255" i="11"/>
  <c r="J254" i="11"/>
  <c r="I254" i="11"/>
  <c r="H254" i="11"/>
  <c r="G254" i="11"/>
  <c r="J253" i="11"/>
  <c r="I253" i="11"/>
  <c r="H253" i="11"/>
  <c r="G253" i="11"/>
  <c r="J252" i="11"/>
  <c r="I252" i="11"/>
  <c r="H252" i="11"/>
  <c r="G252" i="11"/>
  <c r="J251" i="11"/>
  <c r="I251" i="11"/>
  <c r="H251" i="11"/>
  <c r="G251" i="11"/>
  <c r="J250" i="11"/>
  <c r="I250" i="11"/>
  <c r="H250" i="11"/>
  <c r="G250" i="11"/>
  <c r="J249" i="11"/>
  <c r="I249" i="11"/>
  <c r="H249" i="11"/>
  <c r="G249" i="11"/>
  <c r="J248" i="11"/>
  <c r="I248" i="11"/>
  <c r="H248" i="11"/>
  <c r="G248" i="11"/>
  <c r="J247" i="11"/>
  <c r="I247" i="11"/>
  <c r="H247" i="11"/>
  <c r="G247" i="11"/>
  <c r="J246" i="11"/>
  <c r="I246" i="11"/>
  <c r="H246" i="11"/>
  <c r="G246" i="11"/>
  <c r="J245" i="11"/>
  <c r="I245" i="11"/>
  <c r="H245" i="11"/>
  <c r="G245" i="11"/>
  <c r="J244" i="11"/>
  <c r="I244" i="11"/>
  <c r="H244" i="11"/>
  <c r="G244" i="11"/>
  <c r="J243" i="11"/>
  <c r="I243" i="11"/>
  <c r="H243" i="11"/>
  <c r="G243" i="11"/>
  <c r="J242" i="11"/>
  <c r="I242" i="11"/>
  <c r="H242" i="11"/>
  <c r="G242" i="11"/>
  <c r="J241" i="11"/>
  <c r="I241" i="11"/>
  <c r="H241" i="11"/>
  <c r="G241" i="11"/>
  <c r="J240" i="11"/>
  <c r="I240" i="11"/>
  <c r="H240" i="11"/>
  <c r="G240" i="11"/>
  <c r="J239" i="11"/>
  <c r="I239" i="11"/>
  <c r="H239" i="11"/>
  <c r="G239" i="11"/>
  <c r="J238" i="11"/>
  <c r="I238" i="11"/>
  <c r="H238" i="11"/>
  <c r="G238" i="11"/>
  <c r="J237" i="11"/>
  <c r="I237" i="11"/>
  <c r="H237" i="11"/>
  <c r="G237" i="11"/>
  <c r="J236" i="11"/>
  <c r="I236" i="11"/>
  <c r="H236" i="11"/>
  <c r="G236" i="11"/>
  <c r="J235" i="11"/>
  <c r="I235" i="11"/>
  <c r="H235" i="11"/>
  <c r="G235" i="11"/>
  <c r="J234" i="11"/>
  <c r="I234" i="11"/>
  <c r="H234" i="11"/>
  <c r="G234" i="11"/>
  <c r="J233" i="11"/>
  <c r="I233" i="11"/>
  <c r="H233" i="11"/>
  <c r="G233" i="11"/>
  <c r="J232" i="11"/>
  <c r="I232" i="11"/>
  <c r="H232" i="11"/>
  <c r="G232" i="11"/>
  <c r="J231" i="11"/>
  <c r="I231" i="11"/>
  <c r="H231" i="11"/>
  <c r="G231" i="11"/>
  <c r="J230" i="11"/>
  <c r="I230" i="11"/>
  <c r="H230" i="11"/>
  <c r="G230" i="11"/>
  <c r="J229" i="11"/>
  <c r="I229" i="11"/>
  <c r="H229" i="11"/>
  <c r="G229" i="11"/>
  <c r="J228" i="11"/>
  <c r="I228" i="11"/>
  <c r="H228" i="11"/>
  <c r="G228" i="11"/>
  <c r="J227" i="11"/>
  <c r="I227" i="11"/>
  <c r="H227" i="11"/>
  <c r="G227" i="11"/>
  <c r="J226" i="11"/>
  <c r="I226" i="11"/>
  <c r="H226" i="11"/>
  <c r="G226" i="11"/>
  <c r="J225" i="11"/>
  <c r="I225" i="11"/>
  <c r="H225" i="11"/>
  <c r="G225" i="11"/>
  <c r="J224" i="11"/>
  <c r="I224" i="11"/>
  <c r="H224" i="11"/>
  <c r="G224" i="11"/>
  <c r="J223" i="11"/>
  <c r="I223" i="11"/>
  <c r="H223" i="11"/>
  <c r="G223" i="11"/>
  <c r="J222" i="11"/>
  <c r="I222" i="11"/>
  <c r="H222" i="11"/>
  <c r="G222" i="11"/>
  <c r="J221" i="11"/>
  <c r="I221" i="11"/>
  <c r="H221" i="11"/>
  <c r="G221" i="11"/>
  <c r="J220" i="11"/>
  <c r="I220" i="11"/>
  <c r="H220" i="11"/>
  <c r="G220" i="11"/>
  <c r="J219" i="11"/>
  <c r="I219" i="11"/>
  <c r="H219" i="11"/>
  <c r="G219" i="11"/>
  <c r="J218" i="11"/>
  <c r="I218" i="11"/>
  <c r="H218" i="11"/>
  <c r="G218" i="11"/>
  <c r="J217" i="11"/>
  <c r="I217" i="11"/>
  <c r="H217" i="11"/>
  <c r="G217" i="11"/>
  <c r="J216" i="11"/>
  <c r="I216" i="11"/>
  <c r="H216" i="11"/>
  <c r="G216" i="11"/>
  <c r="J215" i="11"/>
  <c r="I215" i="11"/>
  <c r="H215" i="11"/>
  <c r="G215" i="11"/>
  <c r="J214" i="11"/>
  <c r="I214" i="11"/>
  <c r="H214" i="11"/>
  <c r="G214" i="11"/>
  <c r="J213" i="11"/>
  <c r="I213" i="11"/>
  <c r="H213" i="11"/>
  <c r="G213" i="11"/>
  <c r="J212" i="11"/>
  <c r="I212" i="11"/>
  <c r="H212" i="11"/>
  <c r="G212" i="11"/>
  <c r="J211" i="11"/>
  <c r="I211" i="11"/>
  <c r="H211" i="11"/>
  <c r="G211" i="11"/>
  <c r="J210" i="11"/>
  <c r="I210" i="11"/>
  <c r="H210" i="11"/>
  <c r="G210" i="11"/>
  <c r="J209" i="11"/>
  <c r="I209" i="11"/>
  <c r="H209" i="11"/>
  <c r="G209" i="11"/>
  <c r="J208" i="11"/>
  <c r="I208" i="11"/>
  <c r="H208" i="11"/>
  <c r="G208" i="11"/>
  <c r="J207" i="11"/>
  <c r="I207" i="11"/>
  <c r="H207" i="11"/>
  <c r="G207" i="11"/>
  <c r="J206" i="11"/>
  <c r="I206" i="11"/>
  <c r="H206" i="11"/>
  <c r="G206" i="11"/>
  <c r="J205" i="11"/>
  <c r="I205" i="11"/>
  <c r="H205" i="11"/>
  <c r="G205" i="11"/>
  <c r="J204" i="11"/>
  <c r="I204" i="11"/>
  <c r="H204" i="11"/>
  <c r="G204" i="11"/>
  <c r="J203" i="11"/>
  <c r="I203" i="11"/>
  <c r="H203" i="11"/>
  <c r="G203" i="11"/>
  <c r="J202" i="11"/>
  <c r="I202" i="11"/>
  <c r="H202" i="11"/>
  <c r="G202" i="11"/>
  <c r="J201" i="11"/>
  <c r="I201" i="11"/>
  <c r="H201" i="11"/>
  <c r="G201" i="11"/>
  <c r="J200" i="11"/>
  <c r="I200" i="11"/>
  <c r="H200" i="11"/>
  <c r="G200" i="11"/>
  <c r="J199" i="11"/>
  <c r="I199" i="11"/>
  <c r="H199" i="11"/>
  <c r="G199" i="11"/>
  <c r="J198" i="11"/>
  <c r="I198" i="11"/>
  <c r="H198" i="11"/>
  <c r="G198" i="11"/>
  <c r="J197" i="11"/>
  <c r="I197" i="11"/>
  <c r="H197" i="11"/>
  <c r="G197" i="11"/>
  <c r="J196" i="11"/>
  <c r="I196" i="11"/>
  <c r="H196" i="11"/>
  <c r="G196" i="11"/>
  <c r="J195" i="11"/>
  <c r="I195" i="11"/>
  <c r="H195" i="11"/>
  <c r="G195" i="11"/>
  <c r="J194" i="11"/>
  <c r="I194" i="11"/>
  <c r="H194" i="11"/>
  <c r="G194" i="11"/>
  <c r="J193" i="11"/>
  <c r="I193" i="11"/>
  <c r="H193" i="11"/>
  <c r="G193" i="11"/>
  <c r="J192" i="11"/>
  <c r="I192" i="11"/>
  <c r="H192" i="11"/>
  <c r="G192" i="11"/>
  <c r="J191" i="11"/>
  <c r="I191" i="11"/>
  <c r="H191" i="11"/>
  <c r="G191" i="11"/>
  <c r="J190" i="11"/>
  <c r="I190" i="11"/>
  <c r="H190" i="11"/>
  <c r="G190" i="11"/>
  <c r="J189" i="11"/>
  <c r="I189" i="11"/>
  <c r="H189" i="11"/>
  <c r="G189" i="11"/>
  <c r="J188" i="11"/>
  <c r="I188" i="11"/>
  <c r="H188" i="11"/>
  <c r="G188" i="11"/>
  <c r="J187" i="11"/>
  <c r="I187" i="11"/>
  <c r="H187" i="11"/>
  <c r="G187" i="11"/>
  <c r="J186" i="11"/>
  <c r="I186" i="11"/>
  <c r="H186" i="11"/>
  <c r="G186" i="11"/>
  <c r="J185" i="11"/>
  <c r="I185" i="11"/>
  <c r="H185" i="11"/>
  <c r="G185" i="11"/>
  <c r="J184" i="11"/>
  <c r="I184" i="11"/>
  <c r="H184" i="11"/>
  <c r="G184" i="11"/>
  <c r="J183" i="11"/>
  <c r="I183" i="11"/>
  <c r="H183" i="11"/>
  <c r="G183" i="11"/>
  <c r="J182" i="11"/>
  <c r="I182" i="11"/>
  <c r="H182" i="11"/>
  <c r="G182" i="11"/>
  <c r="J181" i="11"/>
  <c r="I181" i="11"/>
  <c r="H181" i="11"/>
  <c r="G181" i="11"/>
  <c r="J180" i="11"/>
  <c r="I180" i="11"/>
  <c r="H180" i="11"/>
  <c r="G180" i="11"/>
  <c r="J179" i="11"/>
  <c r="I179" i="11"/>
  <c r="H179" i="11"/>
  <c r="G179" i="11"/>
  <c r="J178" i="11"/>
  <c r="I178" i="11"/>
  <c r="H178" i="11"/>
  <c r="G178" i="11"/>
  <c r="J177" i="11"/>
  <c r="I177" i="11"/>
  <c r="H177" i="11"/>
  <c r="G177" i="11"/>
  <c r="J176" i="11"/>
  <c r="I176" i="11"/>
  <c r="H176" i="11"/>
  <c r="G176" i="11"/>
  <c r="J175" i="11"/>
  <c r="I175" i="11"/>
  <c r="H175" i="11"/>
  <c r="G175" i="11"/>
  <c r="J174" i="11"/>
  <c r="I174" i="11"/>
  <c r="H174" i="11"/>
  <c r="G174" i="11"/>
  <c r="J173" i="11"/>
  <c r="I173" i="11"/>
  <c r="H173" i="11"/>
  <c r="G173" i="11"/>
  <c r="J172" i="11"/>
  <c r="I172" i="11"/>
  <c r="H172" i="11"/>
  <c r="G172" i="11"/>
  <c r="J171" i="11"/>
  <c r="I171" i="11"/>
  <c r="H171" i="11"/>
  <c r="G171" i="11"/>
  <c r="J170" i="11"/>
  <c r="I170" i="11"/>
  <c r="H170" i="11"/>
  <c r="G170" i="11"/>
  <c r="J169" i="11"/>
  <c r="I169" i="11"/>
  <c r="H169" i="11"/>
  <c r="G169" i="11"/>
  <c r="J168" i="11"/>
  <c r="I168" i="11"/>
  <c r="H168" i="11"/>
  <c r="G168" i="11"/>
  <c r="J167" i="11"/>
  <c r="I167" i="11"/>
  <c r="H167" i="11"/>
  <c r="G167" i="11"/>
  <c r="J166" i="11"/>
  <c r="I166" i="11"/>
  <c r="H166" i="11"/>
  <c r="G166" i="11"/>
  <c r="J165" i="11"/>
  <c r="I165" i="11"/>
  <c r="H165" i="11"/>
  <c r="G165" i="11"/>
  <c r="J164" i="11"/>
  <c r="I164" i="11"/>
  <c r="H164" i="11"/>
  <c r="G164" i="11"/>
  <c r="J163" i="11"/>
  <c r="I163" i="11"/>
  <c r="H163" i="11"/>
  <c r="G163" i="11"/>
  <c r="J162" i="11"/>
  <c r="I162" i="11"/>
  <c r="H162" i="11"/>
  <c r="G162" i="11"/>
  <c r="J161" i="11"/>
  <c r="I161" i="11"/>
  <c r="H161" i="11"/>
  <c r="G161" i="11"/>
  <c r="J160" i="11"/>
  <c r="I160" i="11"/>
  <c r="H160" i="11"/>
  <c r="G160" i="11"/>
  <c r="J159" i="11"/>
  <c r="I159" i="11"/>
  <c r="H159" i="11"/>
  <c r="G159" i="11"/>
  <c r="J158" i="11"/>
  <c r="I158" i="11"/>
  <c r="H158" i="11"/>
  <c r="G158" i="11"/>
  <c r="J157" i="11"/>
  <c r="I157" i="11"/>
  <c r="H157" i="11"/>
  <c r="G157" i="11"/>
  <c r="J156" i="11"/>
  <c r="I156" i="11"/>
  <c r="H156" i="11"/>
  <c r="G156" i="11"/>
  <c r="J155" i="11"/>
  <c r="I155" i="11"/>
  <c r="H155" i="11"/>
  <c r="G155" i="11"/>
  <c r="J154" i="11"/>
  <c r="I154" i="11"/>
  <c r="H154" i="11"/>
  <c r="G154" i="11"/>
  <c r="J153" i="11"/>
  <c r="I153" i="11"/>
  <c r="H153" i="11"/>
  <c r="G153" i="11"/>
  <c r="J152" i="11"/>
  <c r="I152" i="11"/>
  <c r="H152" i="11"/>
  <c r="G152" i="11"/>
  <c r="J151" i="11"/>
  <c r="I151" i="11"/>
  <c r="H151" i="11"/>
  <c r="G151" i="11"/>
  <c r="J150" i="11"/>
  <c r="I150" i="11"/>
  <c r="H150" i="11"/>
  <c r="G150" i="11"/>
  <c r="J149" i="11"/>
  <c r="I149" i="11"/>
  <c r="H149" i="11"/>
  <c r="G149" i="11"/>
  <c r="J148" i="11"/>
  <c r="I148" i="11"/>
  <c r="H148" i="11"/>
  <c r="G148" i="11"/>
  <c r="J147" i="11"/>
  <c r="I147" i="11"/>
  <c r="H147" i="11"/>
  <c r="G147" i="11"/>
  <c r="J146" i="11"/>
  <c r="I146" i="11"/>
  <c r="H146" i="11"/>
  <c r="G146" i="11"/>
  <c r="J145" i="11"/>
  <c r="I145" i="11"/>
  <c r="H145" i="11"/>
  <c r="G145" i="11"/>
  <c r="J144" i="11"/>
  <c r="I144" i="11"/>
  <c r="H144" i="11"/>
  <c r="G144" i="11"/>
  <c r="J143" i="11"/>
  <c r="I143" i="11"/>
  <c r="H143" i="11"/>
  <c r="G143" i="11"/>
  <c r="J142" i="11"/>
  <c r="I142" i="11"/>
  <c r="H142" i="11"/>
  <c r="G142" i="11"/>
  <c r="J141" i="11"/>
  <c r="I141" i="11"/>
  <c r="H141" i="11"/>
  <c r="G141" i="11"/>
  <c r="J140" i="11"/>
  <c r="I140" i="11"/>
  <c r="H140" i="11"/>
  <c r="G140" i="11"/>
  <c r="J139" i="11"/>
  <c r="I139" i="11"/>
  <c r="H139" i="11"/>
  <c r="G139" i="11"/>
  <c r="J138" i="11"/>
  <c r="I138" i="11"/>
  <c r="H138" i="11"/>
  <c r="G138" i="11"/>
  <c r="J137" i="11"/>
  <c r="I137" i="11"/>
  <c r="H137" i="11"/>
  <c r="G137" i="11"/>
  <c r="J136" i="11"/>
  <c r="I136" i="11"/>
  <c r="H136" i="11"/>
  <c r="G136" i="11"/>
  <c r="J135" i="11"/>
  <c r="I135" i="11"/>
  <c r="H135" i="11"/>
  <c r="G135" i="11"/>
  <c r="J134" i="11"/>
  <c r="I134" i="11"/>
  <c r="H134" i="11"/>
  <c r="G134" i="11"/>
  <c r="J133" i="11"/>
  <c r="I133" i="11"/>
  <c r="H133" i="11"/>
  <c r="G133" i="11"/>
  <c r="J132" i="11"/>
  <c r="I132" i="11"/>
  <c r="H132" i="11"/>
  <c r="G132" i="11"/>
  <c r="J131" i="11"/>
  <c r="I131" i="11"/>
  <c r="H131" i="11"/>
  <c r="G131" i="11"/>
  <c r="J130" i="11"/>
  <c r="I130" i="11"/>
  <c r="H130" i="11"/>
  <c r="G130" i="11"/>
  <c r="J129" i="11"/>
  <c r="I129" i="11"/>
  <c r="H129" i="11"/>
  <c r="G129" i="11"/>
  <c r="J128" i="11"/>
  <c r="I128" i="11"/>
  <c r="H128" i="11"/>
  <c r="G128" i="11"/>
  <c r="J127" i="11"/>
  <c r="I127" i="11"/>
  <c r="H127" i="11"/>
  <c r="G127" i="11"/>
  <c r="J126" i="11"/>
  <c r="I126" i="11"/>
  <c r="H126" i="11"/>
  <c r="G126" i="11"/>
  <c r="J125" i="11"/>
  <c r="I125" i="11"/>
  <c r="H125" i="11"/>
  <c r="G125" i="11"/>
  <c r="J124" i="11"/>
  <c r="I124" i="11"/>
  <c r="H124" i="11"/>
  <c r="G124" i="11"/>
  <c r="J123" i="11"/>
  <c r="I123" i="11"/>
  <c r="H123" i="11"/>
  <c r="G123" i="11"/>
  <c r="J122" i="11"/>
  <c r="I122" i="11"/>
  <c r="H122" i="11"/>
  <c r="G122" i="11"/>
  <c r="J121" i="11"/>
  <c r="I121" i="11"/>
  <c r="H121" i="11"/>
  <c r="G121" i="11"/>
  <c r="J120" i="11"/>
  <c r="I120" i="11"/>
  <c r="H120" i="11"/>
  <c r="G120" i="11"/>
  <c r="J119" i="11"/>
  <c r="I119" i="11"/>
  <c r="H119" i="11"/>
  <c r="G119" i="11"/>
  <c r="J118" i="11"/>
  <c r="I118" i="11"/>
  <c r="H118" i="11"/>
  <c r="G118" i="11"/>
  <c r="J117" i="11"/>
  <c r="I117" i="11"/>
  <c r="H117" i="11"/>
  <c r="G117" i="11"/>
  <c r="J116" i="11"/>
  <c r="I116" i="11"/>
  <c r="H116" i="11"/>
  <c r="G116" i="11"/>
  <c r="J115" i="11"/>
  <c r="I115" i="11"/>
  <c r="H115" i="11"/>
  <c r="G115" i="11"/>
  <c r="J114" i="11"/>
  <c r="I114" i="11"/>
  <c r="H114" i="11"/>
  <c r="G114" i="11"/>
  <c r="J113" i="11"/>
  <c r="I113" i="11"/>
  <c r="H113" i="11"/>
  <c r="G113" i="11"/>
  <c r="J112" i="11"/>
  <c r="I112" i="11"/>
  <c r="H112" i="11"/>
  <c r="G112" i="11"/>
  <c r="J111" i="11"/>
  <c r="I111" i="11"/>
  <c r="H111" i="11"/>
  <c r="G111" i="11"/>
  <c r="J110" i="11"/>
  <c r="I110" i="11"/>
  <c r="H110" i="11"/>
  <c r="G110" i="11"/>
  <c r="J109" i="11"/>
  <c r="I109" i="11"/>
  <c r="H109" i="11"/>
  <c r="G109" i="11"/>
  <c r="J108" i="11"/>
  <c r="I108" i="11"/>
  <c r="H108" i="11"/>
  <c r="G108" i="11"/>
  <c r="J107" i="11"/>
  <c r="I107" i="11"/>
  <c r="H107" i="11"/>
  <c r="G107" i="11"/>
  <c r="J106" i="11"/>
  <c r="I106" i="11"/>
  <c r="H106" i="11"/>
  <c r="G106" i="11"/>
  <c r="J105" i="11"/>
  <c r="I105" i="11"/>
  <c r="H105" i="11"/>
  <c r="G105" i="11"/>
  <c r="J104" i="11"/>
  <c r="I104" i="11"/>
  <c r="H104" i="11"/>
  <c r="G104" i="11"/>
  <c r="J103" i="11"/>
  <c r="I103" i="11"/>
  <c r="H103" i="11"/>
  <c r="G103" i="11"/>
  <c r="J102" i="11"/>
  <c r="I102" i="11"/>
  <c r="H102" i="11"/>
  <c r="G102" i="11"/>
  <c r="J101" i="11"/>
  <c r="I101" i="11"/>
  <c r="H101" i="11"/>
  <c r="G101" i="11"/>
  <c r="J100" i="11"/>
  <c r="I100" i="11"/>
  <c r="H100" i="11"/>
  <c r="G100" i="11"/>
  <c r="J99" i="11"/>
  <c r="I99" i="11"/>
  <c r="H99" i="11"/>
  <c r="G99" i="11"/>
  <c r="J98" i="11"/>
  <c r="I98" i="11"/>
  <c r="H98" i="11"/>
  <c r="G98" i="11"/>
  <c r="J97" i="11"/>
  <c r="I97" i="11"/>
  <c r="H97" i="11"/>
  <c r="G97" i="11"/>
  <c r="J96" i="11"/>
  <c r="I96" i="11"/>
  <c r="H96" i="11"/>
  <c r="G96" i="11"/>
  <c r="J95" i="11"/>
  <c r="I95" i="11"/>
  <c r="H95" i="11"/>
  <c r="G95" i="11"/>
  <c r="J94" i="11"/>
  <c r="I94" i="11"/>
  <c r="H94" i="11"/>
  <c r="G94" i="11"/>
  <c r="J93" i="11"/>
  <c r="I93" i="11"/>
  <c r="H93" i="11"/>
  <c r="G93" i="11"/>
  <c r="J92" i="11"/>
  <c r="I92" i="11"/>
  <c r="H92" i="11"/>
  <c r="G92" i="11"/>
  <c r="J91" i="11"/>
  <c r="I91" i="11"/>
  <c r="H91" i="11"/>
  <c r="G91" i="11"/>
  <c r="J90" i="11"/>
  <c r="I90" i="11"/>
  <c r="H90" i="11"/>
  <c r="G90" i="11"/>
  <c r="J89" i="11"/>
  <c r="I89" i="11"/>
  <c r="H89" i="11"/>
  <c r="G89" i="11"/>
  <c r="J88" i="11"/>
  <c r="I88" i="11"/>
  <c r="H88" i="11"/>
  <c r="G88" i="11"/>
  <c r="J87" i="11"/>
  <c r="I87" i="11"/>
  <c r="H87" i="11"/>
  <c r="G87" i="11"/>
  <c r="J86" i="11"/>
  <c r="I86" i="11"/>
  <c r="H86" i="11"/>
  <c r="G86" i="11"/>
  <c r="J85" i="11"/>
  <c r="I85" i="11"/>
  <c r="H85" i="11"/>
  <c r="G85" i="11"/>
  <c r="J84" i="11"/>
  <c r="I84" i="11"/>
  <c r="H84" i="11"/>
  <c r="G84" i="11"/>
  <c r="J83" i="11"/>
  <c r="I83" i="11"/>
  <c r="H83" i="11"/>
  <c r="G83" i="11"/>
  <c r="J82" i="11"/>
  <c r="I82" i="11"/>
  <c r="H82" i="11"/>
  <c r="G82" i="11"/>
  <c r="J81" i="11"/>
  <c r="I81" i="11"/>
  <c r="H81" i="11"/>
  <c r="G81" i="11"/>
  <c r="J80" i="11"/>
  <c r="I80" i="11"/>
  <c r="H80" i="11"/>
  <c r="G80" i="11"/>
  <c r="J79" i="11"/>
  <c r="I79" i="11"/>
  <c r="H79" i="11"/>
  <c r="G79" i="11"/>
  <c r="J78" i="11"/>
  <c r="I78" i="11"/>
  <c r="H78" i="11"/>
  <c r="G78" i="11"/>
  <c r="J77" i="11"/>
  <c r="I77" i="11"/>
  <c r="H77" i="11"/>
  <c r="G77" i="11"/>
  <c r="J76" i="11"/>
  <c r="I76" i="11"/>
  <c r="H76" i="11"/>
  <c r="G76" i="11"/>
  <c r="J75" i="11"/>
  <c r="I75" i="11"/>
  <c r="H75" i="11"/>
  <c r="G75" i="11"/>
  <c r="J74" i="11"/>
  <c r="I74" i="11"/>
  <c r="H74" i="11"/>
  <c r="G74" i="11"/>
  <c r="J73" i="11"/>
  <c r="I73" i="11"/>
  <c r="H73" i="11"/>
  <c r="G73" i="11"/>
  <c r="J72" i="11"/>
  <c r="I72" i="11"/>
  <c r="H72" i="11"/>
  <c r="G72" i="11"/>
  <c r="J71" i="11"/>
  <c r="I71" i="11"/>
  <c r="H71" i="11"/>
  <c r="G71" i="11"/>
  <c r="J70" i="11"/>
  <c r="I70" i="11"/>
  <c r="H70" i="11"/>
  <c r="G70" i="11"/>
  <c r="J69" i="11"/>
  <c r="I69" i="11"/>
  <c r="H69" i="11"/>
  <c r="G69" i="11"/>
  <c r="J68" i="11"/>
  <c r="I68" i="11"/>
  <c r="H68" i="11"/>
  <c r="G68" i="11"/>
  <c r="J67" i="11"/>
  <c r="I67" i="11"/>
  <c r="H67" i="11"/>
  <c r="G67" i="11"/>
  <c r="J66" i="11"/>
  <c r="I66" i="11"/>
  <c r="H66" i="11"/>
  <c r="G66" i="11"/>
  <c r="J65" i="11"/>
  <c r="I65" i="11"/>
  <c r="H65" i="11"/>
  <c r="G65" i="11"/>
  <c r="J64" i="11"/>
  <c r="I64" i="11"/>
  <c r="H64" i="11"/>
  <c r="G64" i="11"/>
  <c r="J63" i="11"/>
  <c r="I63" i="11"/>
  <c r="H63" i="11"/>
  <c r="G63" i="11"/>
  <c r="J62" i="11"/>
  <c r="I62" i="11"/>
  <c r="H62" i="11"/>
  <c r="G62" i="11"/>
  <c r="J61" i="11"/>
  <c r="I61" i="11"/>
  <c r="H61" i="11"/>
  <c r="G61" i="11"/>
  <c r="J60" i="11"/>
  <c r="I60" i="11"/>
  <c r="H60" i="11"/>
  <c r="G60" i="11"/>
  <c r="J59" i="11"/>
  <c r="I59" i="11"/>
  <c r="H59" i="11"/>
  <c r="G59" i="11"/>
  <c r="J58" i="11"/>
  <c r="I58" i="11"/>
  <c r="H58" i="11"/>
  <c r="G58" i="11"/>
  <c r="J57" i="11"/>
  <c r="I57" i="11"/>
  <c r="H57" i="11"/>
  <c r="G57" i="11"/>
  <c r="J56" i="11"/>
  <c r="I56" i="11"/>
  <c r="H56" i="11"/>
  <c r="G56" i="11"/>
  <c r="J55" i="11"/>
  <c r="I55" i="11"/>
  <c r="H55" i="11"/>
  <c r="G55" i="11"/>
  <c r="J54" i="11"/>
  <c r="I54" i="11"/>
  <c r="H54" i="11"/>
  <c r="G54" i="11"/>
  <c r="J53" i="11"/>
  <c r="I53" i="11"/>
  <c r="H53" i="11"/>
  <c r="G53" i="11"/>
  <c r="J52" i="11"/>
  <c r="I52" i="11"/>
  <c r="H52" i="11"/>
  <c r="G52" i="11"/>
  <c r="J51" i="11"/>
  <c r="I51" i="11"/>
  <c r="H51" i="11"/>
  <c r="G51" i="11"/>
  <c r="J50" i="11"/>
  <c r="I50" i="11"/>
  <c r="H50" i="11"/>
  <c r="G50" i="11"/>
  <c r="J49" i="11"/>
  <c r="I49" i="11"/>
  <c r="H49" i="11"/>
  <c r="G49" i="11"/>
  <c r="J48" i="11"/>
  <c r="I48" i="11"/>
  <c r="H48" i="11"/>
  <c r="G48" i="11"/>
  <c r="J47" i="11"/>
  <c r="I47" i="11"/>
  <c r="H47" i="11"/>
  <c r="G47" i="11"/>
  <c r="J46" i="11"/>
  <c r="I46" i="11"/>
  <c r="H46" i="11"/>
  <c r="G46" i="11"/>
  <c r="J45" i="11"/>
  <c r="I45" i="11"/>
  <c r="H45" i="11"/>
  <c r="G45" i="11"/>
  <c r="J44" i="11"/>
  <c r="I44" i="11"/>
  <c r="H44" i="11"/>
  <c r="G44" i="11"/>
  <c r="J43" i="11"/>
  <c r="I43" i="11"/>
  <c r="H43" i="11"/>
  <c r="G43" i="11"/>
  <c r="J42" i="11"/>
  <c r="I42" i="11"/>
  <c r="H42" i="11"/>
  <c r="G42" i="11"/>
  <c r="J41" i="11"/>
  <c r="I41" i="11"/>
  <c r="H41" i="11"/>
  <c r="G41" i="11"/>
  <c r="J40" i="11"/>
  <c r="I40" i="11"/>
  <c r="H40" i="11"/>
  <c r="G40" i="11"/>
  <c r="J39" i="11"/>
  <c r="I39" i="11"/>
  <c r="H39" i="11"/>
  <c r="G39" i="11"/>
  <c r="J38" i="11"/>
  <c r="I38" i="11"/>
  <c r="H38" i="11"/>
  <c r="G38" i="11"/>
  <c r="J37" i="11"/>
  <c r="I37" i="11"/>
  <c r="H37" i="11"/>
  <c r="G37" i="11"/>
  <c r="J36" i="11"/>
  <c r="I36" i="11"/>
  <c r="H36" i="11"/>
  <c r="G36" i="11"/>
  <c r="J35" i="11"/>
  <c r="I35" i="11"/>
  <c r="H35" i="11"/>
  <c r="G35" i="11"/>
  <c r="J34" i="11"/>
  <c r="I34" i="11"/>
  <c r="H34" i="11"/>
  <c r="G34" i="11"/>
  <c r="J33" i="11"/>
  <c r="I33" i="11"/>
  <c r="H33" i="11"/>
  <c r="G33" i="11"/>
  <c r="J32" i="11"/>
  <c r="I32" i="11"/>
  <c r="H32" i="11"/>
  <c r="G32" i="11"/>
  <c r="J31" i="11"/>
  <c r="I31" i="11"/>
  <c r="H31" i="11"/>
  <c r="G31" i="11"/>
  <c r="J30" i="11"/>
  <c r="I30" i="11"/>
  <c r="H30" i="11"/>
  <c r="G30" i="11"/>
  <c r="J29" i="11"/>
  <c r="I29" i="11"/>
  <c r="H29" i="11"/>
  <c r="G29" i="11"/>
  <c r="J28" i="11"/>
  <c r="I28" i="11"/>
  <c r="H28" i="11"/>
  <c r="G28" i="11"/>
  <c r="J27" i="11"/>
  <c r="I27" i="11"/>
  <c r="H27" i="11"/>
  <c r="G27" i="11"/>
  <c r="J26" i="11"/>
  <c r="I26" i="11"/>
  <c r="H26" i="11"/>
  <c r="G26" i="11"/>
  <c r="J25" i="11"/>
  <c r="I25" i="11"/>
  <c r="H25" i="11"/>
  <c r="G25" i="11"/>
  <c r="J24" i="11"/>
  <c r="I24" i="11"/>
  <c r="H24" i="11"/>
  <c r="G24" i="11"/>
  <c r="J23" i="11"/>
  <c r="I23" i="11"/>
  <c r="H23" i="11"/>
  <c r="G23" i="11"/>
  <c r="J22" i="11"/>
  <c r="I22" i="11"/>
  <c r="H22" i="11"/>
  <c r="G22" i="11"/>
  <c r="J21" i="11"/>
  <c r="I21" i="11"/>
  <c r="H21" i="11"/>
  <c r="G21" i="11"/>
  <c r="J20" i="11"/>
  <c r="I20" i="11"/>
  <c r="H20" i="11"/>
  <c r="G20" i="11"/>
  <c r="J19" i="11"/>
  <c r="I19" i="11"/>
  <c r="H19" i="11"/>
  <c r="G19" i="11"/>
  <c r="J18" i="11"/>
  <c r="I18" i="11"/>
  <c r="H18" i="11"/>
  <c r="G18" i="11"/>
  <c r="J17" i="11"/>
  <c r="I17" i="11"/>
  <c r="H17" i="11"/>
  <c r="G17" i="11"/>
  <c r="J16" i="11"/>
  <c r="I16" i="11"/>
  <c r="H16" i="11"/>
  <c r="G16" i="11"/>
  <c r="J15" i="11"/>
  <c r="I15" i="11"/>
  <c r="H15" i="11"/>
  <c r="G15" i="11"/>
  <c r="J14" i="11"/>
  <c r="I14" i="11"/>
  <c r="H14" i="11"/>
  <c r="G14" i="11"/>
  <c r="J13" i="11"/>
  <c r="I13" i="11"/>
  <c r="H13" i="11"/>
  <c r="G13" i="11"/>
  <c r="J12" i="11"/>
  <c r="I12" i="11"/>
  <c r="H12" i="11"/>
  <c r="G12" i="11"/>
  <c r="J11" i="11"/>
  <c r="I11" i="11"/>
  <c r="H11" i="11"/>
  <c r="G11" i="11"/>
  <c r="J10" i="11"/>
  <c r="I10" i="11"/>
  <c r="H10" i="11"/>
  <c r="G10" i="11"/>
  <c r="J9" i="11"/>
  <c r="I9" i="11"/>
  <c r="H9" i="11"/>
  <c r="G9" i="11"/>
  <c r="J8" i="11"/>
  <c r="I8" i="11"/>
  <c r="H8" i="11"/>
  <c r="G8" i="11"/>
  <c r="J7" i="11"/>
  <c r="I7" i="11"/>
  <c r="H7" i="11"/>
  <c r="G7" i="11"/>
  <c r="J6" i="11"/>
  <c r="I6" i="11"/>
  <c r="H6" i="11"/>
  <c r="G6" i="11"/>
  <c r="J5" i="11"/>
  <c r="I5" i="11"/>
  <c r="H5" i="11"/>
  <c r="O5" i="13" l="1"/>
  <c r="L2" i="13"/>
  <c r="S125" i="13"/>
  <c r="S160" i="13"/>
  <c r="S71" i="13"/>
  <c r="S46" i="13"/>
  <c r="S237" i="13"/>
  <c r="S189" i="13"/>
  <c r="S121" i="13"/>
  <c r="S136" i="13"/>
  <c r="S199" i="13"/>
  <c r="S115" i="13"/>
  <c r="S247" i="13"/>
  <c r="S147" i="13"/>
  <c r="S191" i="13"/>
  <c r="S44" i="13"/>
  <c r="S50" i="13"/>
  <c r="S235" i="13"/>
  <c r="S101" i="13"/>
  <c r="L7" i="15"/>
  <c r="M9" i="15" s="1"/>
  <c r="S208" i="13"/>
  <c r="S213" i="13"/>
  <c r="S144" i="13"/>
  <c r="S184" i="13"/>
  <c r="S38" i="13"/>
  <c r="S223" i="13"/>
  <c r="S228" i="13"/>
  <c r="S226" i="13"/>
  <c r="S135" i="13"/>
  <c r="S14" i="13"/>
  <c r="S186" i="13"/>
  <c r="S205" i="13"/>
  <c r="S96" i="13"/>
  <c r="S245" i="13"/>
  <c r="S17" i="13"/>
  <c r="S133" i="13"/>
  <c r="S43" i="13"/>
  <c r="S109" i="13"/>
  <c r="S197" i="13"/>
  <c r="S97" i="13"/>
  <c r="S179" i="13"/>
  <c r="S16" i="13"/>
  <c r="S183" i="13"/>
  <c r="S222" i="13"/>
  <c r="S215" i="13"/>
  <c r="S83" i="13"/>
  <c r="S91" i="13"/>
  <c r="S194" i="13"/>
  <c r="S248" i="13"/>
  <c r="S211" i="13"/>
  <c r="S143" i="13"/>
  <c r="S12" i="13"/>
  <c r="S41" i="13"/>
  <c r="S200" i="13"/>
  <c r="S170" i="13"/>
  <c r="S124" i="13"/>
  <c r="S162" i="13"/>
  <c r="S134" i="13"/>
  <c r="S20" i="13"/>
  <c r="S128" i="13"/>
  <c r="S217" i="13"/>
  <c r="S168" i="13"/>
  <c r="S99" i="13"/>
  <c r="S182" i="13"/>
  <c r="S19" i="13"/>
  <c r="S26" i="13"/>
  <c r="S120" i="13"/>
  <c r="S238" i="13"/>
  <c r="S105" i="13"/>
  <c r="S161" i="13"/>
  <c r="S116" i="13"/>
  <c r="S69" i="13"/>
  <c r="S56" i="13"/>
  <c r="S58" i="13"/>
  <c r="S207" i="13"/>
  <c r="S176" i="13"/>
  <c r="S137" i="13"/>
  <c r="S55" i="13"/>
  <c r="S180" i="13"/>
  <c r="S249" i="13"/>
  <c r="S152" i="13"/>
  <c r="S108" i="13"/>
  <c r="S224" i="13"/>
  <c r="S117" i="13"/>
  <c r="S72" i="13"/>
  <c r="S29" i="13"/>
  <c r="S112" i="13"/>
  <c r="S158" i="13"/>
  <c r="S151" i="13"/>
  <c r="S54" i="13"/>
  <c r="S185" i="13"/>
  <c r="S218" i="13"/>
  <c r="S187" i="13"/>
  <c r="S90" i="13"/>
  <c r="S104" i="13"/>
  <c r="S93" i="13"/>
  <c r="S48" i="13"/>
  <c r="S5" i="13"/>
  <c r="S27" i="13"/>
  <c r="S95" i="13"/>
  <c r="S146" i="13"/>
  <c r="S24" i="13"/>
  <c r="S78" i="13"/>
  <c r="S81" i="13"/>
  <c r="S36" i="13"/>
  <c r="S30" i="13"/>
  <c r="S110" i="13"/>
  <c r="S118" i="13"/>
  <c r="S190" i="13"/>
  <c r="S119" i="13"/>
  <c r="S22" i="13"/>
  <c r="S233" i="13"/>
  <c r="S6" i="13"/>
  <c r="S243" i="13"/>
  <c r="S67" i="13"/>
  <c r="S127" i="13"/>
  <c r="S164" i="13"/>
  <c r="S148" i="13"/>
  <c r="S166" i="13"/>
  <c r="S251" i="13"/>
  <c r="S21" i="13"/>
  <c r="S60" i="13"/>
  <c r="S196" i="13"/>
  <c r="S221" i="13"/>
  <c r="S256" i="13"/>
  <c r="S53" i="13"/>
  <c r="S18" i="13"/>
  <c r="S82" i="13"/>
  <c r="S57" i="13"/>
  <c r="S80" i="13"/>
  <c r="S216" i="13"/>
  <c r="S13" i="13"/>
  <c r="S220" i="13"/>
  <c r="S63" i="13"/>
  <c r="S64" i="13"/>
  <c r="S195" i="13"/>
  <c r="S150" i="13"/>
  <c r="S35" i="13"/>
  <c r="S76" i="13"/>
  <c r="S156" i="13"/>
  <c r="S171" i="13"/>
  <c r="S239" i="13"/>
  <c r="S23" i="13"/>
  <c r="S157" i="13"/>
  <c r="S8" i="13"/>
  <c r="S87" i="13"/>
  <c r="S129" i="13"/>
  <c r="S230" i="13"/>
  <c r="S210" i="13"/>
  <c r="S89" i="13"/>
  <c r="S227" i="13"/>
  <c r="S10" i="13"/>
  <c r="S25" i="13"/>
  <c r="S75" i="13"/>
  <c r="S132" i="13"/>
  <c r="S45" i="13"/>
  <c r="S219" i="13"/>
  <c r="S66" i="13"/>
  <c r="S172" i="13"/>
  <c r="S240" i="13"/>
  <c r="S39" i="13"/>
  <c r="S122" i="13"/>
  <c r="S28" i="13"/>
  <c r="S232" i="13"/>
  <c r="S70" i="13"/>
  <c r="S79" i="13"/>
  <c r="S231" i="13"/>
  <c r="S159" i="13"/>
  <c r="S145" i="13"/>
  <c r="S65" i="13"/>
  <c r="S255" i="13"/>
  <c r="S225" i="13"/>
  <c r="S193" i="13"/>
  <c r="S88" i="13"/>
  <c r="S31" i="13"/>
  <c r="L9" i="12"/>
  <c r="M9" i="12" s="1"/>
  <c r="H13" i="12"/>
  <c r="L12" i="12"/>
  <c r="M12" i="12" s="1"/>
  <c r="S153" i="13"/>
  <c r="S209" i="13"/>
  <c r="S181" i="13"/>
  <c r="S142" i="13"/>
  <c r="S165" i="13"/>
  <c r="S61" i="13"/>
  <c r="S163" i="13"/>
  <c r="S254" i="13"/>
  <c r="S130" i="13"/>
  <c r="S34" i="13"/>
  <c r="S7" i="13"/>
  <c r="S123" i="13"/>
  <c r="S52" i="13"/>
  <c r="S192" i="13"/>
  <c r="S139" i="13"/>
  <c r="S102" i="13"/>
  <c r="S85" i="13"/>
  <c r="S84" i="13"/>
  <c r="S51" i="13"/>
  <c r="S11" i="13"/>
  <c r="S241" i="13"/>
  <c r="S77" i="13"/>
  <c r="S204" i="13"/>
  <c r="S234" i="13"/>
  <c r="S242" i="13"/>
  <c r="S49" i="13"/>
  <c r="S15" i="13"/>
  <c r="S252" i="13"/>
  <c r="S155" i="13"/>
  <c r="S177" i="13"/>
  <c r="S212" i="13"/>
  <c r="S202" i="13"/>
  <c r="S236" i="13"/>
  <c r="S198" i="13"/>
  <c r="S149" i="13"/>
  <c r="S42" i="13"/>
  <c r="S174" i="13"/>
  <c r="L10" i="12"/>
  <c r="M10" i="12" s="1"/>
  <c r="S100" i="13"/>
  <c r="S253" i="13"/>
  <c r="S173" i="13"/>
  <c r="S92" i="13"/>
  <c r="S175" i="13"/>
  <c r="S138" i="13"/>
  <c r="S203" i="13"/>
  <c r="S131" i="13"/>
  <c r="S140" i="13"/>
  <c r="S154" i="13"/>
  <c r="S62" i="13"/>
  <c r="S250" i="13"/>
  <c r="S74" i="13"/>
  <c r="S126" i="13"/>
  <c r="S167" i="13"/>
  <c r="S98" i="13"/>
  <c r="S94" i="13"/>
  <c r="S47" i="13"/>
  <c r="S114" i="13"/>
  <c r="S214" i="13"/>
  <c r="S107" i="13"/>
  <c r="S33" i="13"/>
  <c r="S246" i="13"/>
  <c r="S59" i="13"/>
  <c r="S73" i="13"/>
  <c r="S9" i="13"/>
  <c r="S86" i="13"/>
  <c r="S32" i="13"/>
  <c r="S188" i="13"/>
  <c r="S37" i="13"/>
  <c r="S229" i="13"/>
  <c r="S68" i="13"/>
  <c r="S244" i="13"/>
  <c r="S201" i="13"/>
  <c r="S106" i="13"/>
  <c r="S103" i="13"/>
  <c r="L11" i="12"/>
  <c r="M11" i="12" s="1"/>
  <c r="S40" i="13"/>
  <c r="S141" i="13"/>
  <c r="S111" i="13"/>
  <c r="S113" i="13"/>
  <c r="S206" i="13"/>
  <c r="S169" i="13"/>
  <c r="S178" i="13"/>
  <c r="J4" i="11"/>
  <c r="M10" i="15" l="1"/>
  <c r="I9" i="12"/>
  <c r="I11" i="12"/>
  <c r="I10" i="12"/>
  <c r="V7" i="13"/>
  <c r="I12" i="12"/>
  <c r="I4" i="11"/>
  <c r="H4" i="11"/>
  <c r="G4" i="1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D16" i="12" l="1" a="1"/>
  <c r="D16" i="12" s="1"/>
  <c r="D19" i="12" s="1"/>
  <c r="E19" i="12" s="1"/>
  <c r="V8" i="13"/>
  <c r="W8" i="13" s="1"/>
  <c r="W7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<sst xmlns="http://schemas.openxmlformats.org/spreadsheetml/2006/main" count="110" uniqueCount="61">
  <si>
    <t>Fecha</t>
  </si>
  <si>
    <t>Títulos</t>
  </si>
  <si>
    <t>ID</t>
  </si>
  <si>
    <t>Monto</t>
  </si>
  <si>
    <t>%</t>
  </si>
  <si>
    <t>Volatilidad 
Anualizada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</si>
  <si>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</si>
  <si>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1) Portafolio</t>
  </si>
  <si>
    <t>Fecha de Valuación:=</t>
  </si>
  <si>
    <t>Cálculo del VaR Paramétrico</t>
  </si>
  <si>
    <t>VaR diario (Paramétrico)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</si>
  <si>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</si>
  <si>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</si>
  <si>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</si>
  <si>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</si>
  <si>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</si>
  <si>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</si>
  <si>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</si>
  <si>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</si>
  <si>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</si>
  <si>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VARIACIÓN DIARIA %</t>
  </si>
  <si>
    <t>TASAS</t>
  </si>
  <si>
    <t>BONOM_2031</t>
  </si>
  <si>
    <t>Fecha de Vencimiento</t>
  </si>
  <si>
    <t>Tasa Cupón</t>
  </si>
  <si>
    <t>Duración 
Modificada</t>
  </si>
  <si>
    <t>Volatilidad Bono=</t>
  </si>
  <si>
    <r>
      <t>D</t>
    </r>
    <r>
      <rPr>
        <b/>
        <vertAlign val="superscript"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*r*</t>
    </r>
    <r>
      <rPr>
        <b/>
        <sz val="18"/>
        <color theme="1"/>
        <rFont val="Calibri"/>
        <family val="2"/>
      </rPr>
      <t>σ</t>
    </r>
    <r>
      <rPr>
        <b/>
        <sz val="11"/>
        <color theme="1"/>
        <rFont val="Calibri"/>
        <family val="2"/>
        <scheme val="minor"/>
      </rPr>
      <t>r</t>
    </r>
  </si>
  <si>
    <t>BONOM_2027</t>
  </si>
  <si>
    <t>BONOM_2029</t>
  </si>
  <si>
    <t>BONOM_2038</t>
  </si>
  <si>
    <t>YTM - r</t>
  </si>
  <si>
    <t>MtM:</t>
  </si>
  <si>
    <t>TÍTULOS:</t>
  </si>
  <si>
    <t>PRECIOS</t>
  </si>
  <si>
    <t>RENDIMIENTOS DIARIOS</t>
  </si>
  <si>
    <t>SERIE DE PÉRDIDAS Y GANANCIAS</t>
  </si>
  <si>
    <t>PORTAFOLIO</t>
  </si>
  <si>
    <t>Cálculo del VaR mediante el Método de Simulación Histórica</t>
  </si>
  <si>
    <t>VaR Condicional:=</t>
  </si>
  <si>
    <t>SERIE DE PRECIOS SIMULADOS</t>
  </si>
  <si>
    <t>Tasa Cupón =</t>
  </si>
  <si>
    <t>Vencimiento =</t>
  </si>
  <si>
    <t>yield</t>
  </si>
  <si>
    <t>INDICADOR DE RIESGO</t>
  </si>
  <si>
    <t>ENTRE + DURACION + RIESGO</t>
  </si>
  <si>
    <t>Clase</t>
  </si>
  <si>
    <t>y mayor...</t>
  </si>
  <si>
    <t>Frecuencia</t>
  </si>
  <si>
    <t>% acumulado</t>
  </si>
  <si>
    <t>Valor en Riesgo (VaR) por Simulaciones</t>
  </si>
  <si>
    <t>Precio Último
31/01/2024</t>
  </si>
  <si>
    <t>Media Rend</t>
  </si>
  <si>
    <t>Valor del Portafolio =</t>
  </si>
  <si>
    <r>
      <t xml:space="preserve">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</si>
  <si>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r>
      <t xml:space="preserve">CVaR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</si>
  <si>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t>No. Simulaciones =</t>
  </si>
  <si>
    <t>Generación de Escenarios Aleatorios</t>
  </si>
  <si>
    <t>PRECIOS SIMULADOS CON MODELO LOGNORMAL</t>
  </si>
  <si>
    <t>SERIES DE PÉRDIDAS Y GANANCIAS</t>
  </si>
  <si>
    <t>No. De Escenario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</si>
</sst>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</numFmts>
  <fonts count="3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1">
    <xf numFmtId="0" fontId="0" fillId="0" borderId="0" xfId="0"/>
    <xf numFmtId="1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 vertical="center"/>
    </xf>
    <xf numFmtId="0" fontId="20" fillId="0" borderId="0" xfId="0" applyFont="1" applyAlignment="1">
      <alignment horizontal="right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right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164" fontId="0" fillId="0" borderId="0" xfId="0" applyNumberFormat="1"/>
    <xf numFmtId="43" fontId="0" fillId="0" borderId="0" xfId="44" applyFont="1"/>
    <xf numFmtId="43" fontId="0" fillId="0" borderId="0" xfId="0" applyNumberFormat="1"/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39" borderId="10" xfId="0" applyFont="1" applyFill="1" applyBorder="1" applyAlignment="1">
      <alignment horizontal="left" indent="1"/>
    </xf>
    <xf numFmtId="44" fontId="0" fillId="35" borderId="0" xfId="45" applyFont="1" applyFill="1"/>
    <xf numFmtId="165" fontId="0" fillId="35" borderId="0" xfId="45" applyNumberFormat="1" applyFont="1" applyFill="1"/>
    <xf numFmtId="164" fontId="0" fillId="35" borderId="0" xfId="43" applyNumberFormat="1" applyFont="1" applyFill="1" applyAlignment="1">
      <alignment horizontal="center"/>
    </xf>
    <xf numFmtId="165" fontId="0" fillId="37" borderId="0" xfId="0" applyNumberFormat="1" applyFill="1"/>
    <xf numFmtId="164" fontId="0" fillId="37" borderId="0" xfId="43" applyNumberFormat="1" applyFont="1" applyFill="1" applyAlignment="1">
      <alignment horizontal="center"/>
    </xf>
    <xf numFmtId="165" fontId="17" fillId="35" borderId="16" xfId="45" applyNumberFormat="1" applyFont="1" applyFill="1" applyBorder="1"/>
    <xf numFmtId="165" fontId="17" fillId="0" borderId="0" xfId="0" applyNumberFormat="1" applyFont="1"/>
    <xf numFmtId="0" fontId="17" fillId="0" borderId="15" xfId="0" applyFont="1" applyBorder="1" applyAlignment="1">
      <alignment horizontal="center"/>
    </xf>
    <xf numFmtId="44" fontId="17" fillId="35" borderId="0" xfId="45" applyFont="1" applyFill="1"/>
    <xf numFmtId="0" fontId="24" fillId="0" borderId="0" xfId="0" applyFont="1" applyAlignment="1">
      <alignment horizontal="left" indent="1"/>
    </xf>
    <xf numFmtId="0" fontId="17" fillId="0" borderId="0" xfId="0" applyFont="1" applyAlignment="1">
      <alignment horizontal="left" indent="1"/>
    </xf>
    <xf numFmtId="2" fontId="0" fillId="35" borderId="0" xfId="44" applyNumberFormat="1" applyFont="1" applyFill="1" applyAlignment="1">
      <alignment horizontal="center"/>
    </xf>
    <xf numFmtId="10" fontId="0" fillId="38" borderId="0" xfId="43" applyNumberFormat="1" applyFont="1" applyFill="1" applyAlignment="1">
      <alignment horizontal="center"/>
    </xf>
    <xf numFmtId="10" fontId="0" fillId="35" borderId="0" xfId="43" applyNumberFormat="1" applyFont="1" applyFill="1" applyAlignment="1">
      <alignment horizontal="center"/>
    </xf>
    <xf numFmtId="10" fontId="0" fillId="0" borderId="0" xfId="43" applyNumberFormat="1" applyFont="1" applyFill="1"/>
    <xf numFmtId="164" fontId="0" fillId="0" borderId="0" xfId="43" applyNumberFormat="1" applyFont="1" applyFill="1"/>
    <xf numFmtId="164" fontId="0" fillId="0" borderId="0" xfId="43" applyNumberFormat="1" applyFont="1"/>
    <xf numFmtId="10" fontId="19" fillId="0" borderId="0" xfId="43" applyNumberFormat="1" applyFont="1" applyAlignment="1">
      <alignment horizontal="center"/>
    </xf>
    <xf numFmtId="10" fontId="0" fillId="0" borderId="0" xfId="43" applyNumberFormat="1" applyFont="1" applyAlignment="1">
      <alignment horizontal="center"/>
    </xf>
    <xf numFmtId="14" fontId="17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4" fontId="0" fillId="35" borderId="0" xfId="44" applyNumberFormat="1" applyFont="1" applyFill="1" applyAlignment="1">
      <alignment horizontal="center"/>
    </xf>
    <xf numFmtId="14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64" fontId="0" fillId="38" borderId="0" xfId="43" applyNumberFormat="1" applyFont="1" applyFill="1" applyAlignment="1">
      <alignment horizontal="center"/>
    </xf>
    <xf numFmtId="3" fontId="0" fillId="0" borderId="0" xfId="44" applyNumberFormat="1" applyFont="1" applyFill="1" applyAlignment="1">
      <alignment horizontal="center"/>
    </xf>
    <xf numFmtId="166" fontId="17" fillId="0" borderId="0" xfId="44" applyNumberFormat="1" applyFont="1"/>
    <xf numFmtId="166" fontId="0" fillId="34" borderId="0" xfId="44" applyNumberFormat="1" applyFont="1" applyFill="1"/>
    <xf numFmtId="0" fontId="19" fillId="0" borderId="17" xfId="0" applyFont="1" applyBorder="1" applyAlignment="1">
      <alignment horizontal="center"/>
    </xf>
    <xf numFmtId="0" fontId="19" fillId="0" borderId="0" xfId="0" applyFont="1" applyAlignment="1">
      <alignment horizontal="center"/>
    </xf>
    <xf numFmtId="4" fontId="19" fillId="0" borderId="0" xfId="0" applyNumberFormat="1" applyFont="1"/>
    <xf numFmtId="43" fontId="17" fillId="0" borderId="0" xfId="0" applyNumberFormat="1" applyFont="1"/>
    <xf numFmtId="4" fontId="0" fillId="0" borderId="0" xfId="0" applyNumberFormat="1"/>
    <xf numFmtId="167" fontId="17" fillId="35" borderId="0" xfId="45" applyNumberFormat="1" applyFont="1" applyFill="1"/>
    <xf numFmtId="166" fontId="29" fillId="0" borderId="0" xfId="44" applyNumberFormat="1" applyFont="1"/>
    <xf numFmtId="10" fontId="29" fillId="0" borderId="0" xfId="43" applyNumberFormat="1" applyFont="1" applyAlignment="1">
      <alignment horizontal="center"/>
    </xf>
    <xf numFmtId="0" fontId="30" fillId="0" borderId="0" xfId="0" applyFont="1"/>
    <xf numFmtId="164" fontId="0" fillId="0" borderId="0" xfId="0" applyNumberFormat="1" applyAlignment="1">
      <alignment horizontal="center"/>
    </xf>
    <xf numFmtId="10" fontId="31" fillId="0" borderId="0" xfId="43" applyNumberFormat="1" applyFont="1" applyAlignment="1">
      <alignment horizontal="center"/>
    </xf>
    <xf numFmtId="4" fontId="17" fillId="0" borderId="0" xfId="0" applyNumberFormat="1" applyFont="1"/>
    <xf numFmtId="10" fontId="0" fillId="0" borderId="0" xfId="0" applyNumberFormat="1"/>
    <xf numFmtId="0" fontId="0" fillId="0" borderId="18" xfId="0" applyBorder="1"/>
    <xf numFmtId="10" fontId="0" fillId="0" borderId="18" xfId="0" applyNumberFormat="1" applyBorder="1"/>
    <xf numFmtId="0" fontId="32" fillId="0" borderId="19" xfId="0" applyFont="1" applyBorder="1" applyAlignment="1">
      <alignment horizontal="center"/>
    </xf>
    <xf numFmtId="0" fontId="34" fillId="0" borderId="0" xfId="0" applyFont="1"/>
    <xf numFmtId="0" fontId="14" fillId="42" borderId="10" xfId="0" applyFont="1" applyFill="1" applyBorder="1" applyAlignment="1">
      <alignment horizontal="center"/>
    </xf>
    <xf numFmtId="0" fontId="14" fillId="42" borderId="10" xfId="0" applyFont="1" applyFill="1" applyBorder="1" applyAlignment="1">
      <alignment horizontal="left" wrapText="1" indent="1"/>
    </xf>
    <xf numFmtId="0" fontId="0" fillId="0" borderId="0" xfId="0" applyAlignment="1">
      <alignment vertical="center"/>
    </xf>
    <xf numFmtId="0" fontId="14" fillId="42" borderId="10" xfId="0" applyFont="1" applyFill="1" applyBorder="1" applyAlignment="1">
      <alignment horizontal="left" indent="1"/>
    </xf>
    <xf numFmtId="166" fontId="17" fillId="0" borderId="10" xfId="44" applyNumberFormat="1" applyFont="1" applyBorder="1" applyAlignment="1">
      <alignment horizontal="center"/>
    </xf>
    <xf numFmtId="164" fontId="17" fillId="0" borderId="10" xfId="43" applyNumberFormat="1" applyFont="1" applyBorder="1" applyAlignment="1">
      <alignment horizontal="center"/>
    </xf>
    <xf numFmtId="10" fontId="17" fillId="0" borderId="10" xfId="43" applyNumberFormat="1" applyFont="1" applyBorder="1" applyAlignment="1">
      <alignment horizontal="center" vertical="center"/>
    </xf>
    <xf numFmtId="166" fontId="19" fillId="0" borderId="0" xfId="44" applyNumberFormat="1" applyFont="1"/>
    <xf numFmtId="0" fontId="17" fillId="34" borderId="0" xfId="0" applyFont="1" applyFill="1" applyAlignment="1">
      <alignment horizontal="center"/>
    </xf>
    <xf numFmtId="0" fontId="36" fillId="0" borderId="0" xfId="0" applyFont="1"/>
    <xf numFmtId="0" fontId="14" fillId="43" borderId="20" xfId="0" applyFont="1" applyFill="1" applyBorder="1" applyAlignment="1">
      <alignment horizontal="center"/>
    </xf>
    <xf numFmtId="166" fontId="0" fillId="0" borderId="0" xfId="44" applyNumberFormat="1" applyFont="1"/>
    <xf numFmtId="44" fontId="17" fillId="0" borderId="10" xfId="45" applyFont="1" applyBorder="1" applyAlignment="1">
      <alignment horizontal="center" vertical="center"/>
    </xf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17" fillId="40" borderId="17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17" fillId="41" borderId="17" xfId="0" applyFont="1" applyFill="1" applyBorder="1" applyAlignment="1">
      <alignment horizontal="center"/>
    </xf>
    <xf numFmtId="0" fontId="17" fillId="41" borderId="15" xfId="0" applyFont="1" applyFill="1" applyBorder="1" applyAlignment="1">
      <alignment horizontal="center"/>
    </xf>
    <xf numFmtId="0" fontId="28" fillId="0" borderId="15" xfId="0" applyFont="1" applyBorder="1" applyAlignment="1">
      <alignment horizontal="center" wrapText="1"/>
    </xf>
    <xf numFmtId="0" fontId="17" fillId="40" borderId="12" xfId="0" applyFont="1" applyFill="1" applyBorder="1" applyAlignment="1">
      <alignment horizontal="center" wrapText="1"/>
    </xf>
    <xf numFmtId="0" fontId="17" fillId="40" borderId="13" xfId="0" applyFont="1" applyFill="1" applyBorder="1" applyAlignment="1">
      <alignment horizontal="center" wrapText="1"/>
    </xf>
    <xf numFmtId="0" fontId="17" fillId="40" borderId="14" xfId="0" applyFont="1" applyFill="1" applyBorder="1" applyAlignment="1">
      <alignment horizontal="center" wrapText="1"/>
    </xf>
    <xf numFmtId="0" fontId="17" fillId="39" borderId="12" xfId="0" applyFont="1" applyFill="1" applyBorder="1" applyAlignment="1">
      <alignment horizontal="center" wrapText="1"/>
    </xf>
    <xf numFmtId="0" fontId="17" fillId="39" borderId="13" xfId="0" applyFont="1" applyFill="1" applyBorder="1" applyAlignment="1">
      <alignment horizontal="center" wrapText="1"/>
    </xf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18" xfId="0" applyFill="1" applyBorder="1" applyAlignment="1"/>
    <xf numFmtId="10" fontId="0" fillId="0" borderId="18" xfId="0" applyNumberFormat="1" applyFill="1" applyBorder="1" applyAlignment="1"/>
    <xf numFmtId="0" fontId="32" fillId="0" borderId="19" xfId="0" applyFont="1" applyFill="1" applyBorder="1" applyAlignment="1">
      <alignment horizontal="center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'Histograma Var Historico'!$A$2:$A$17</c:f>
              <c:strCache>
                <c:ptCount val="16"/>
                <c:pt idx="0">
                  <c:v>-22495.35652</c:v>
                </c:pt>
                <c:pt idx="1">
                  <c:v>-19878.89374</c:v>
                </c:pt>
                <c:pt idx="2">
                  <c:v>-17262.43095</c:v>
                </c:pt>
                <c:pt idx="3">
                  <c:v>-14645.96816</c:v>
                </c:pt>
                <c:pt idx="4">
                  <c:v>-12029.50537</c:v>
                </c:pt>
                <c:pt idx="5">
                  <c:v>-9413.042585</c:v>
                </c:pt>
                <c:pt idx="6">
                  <c:v>-6796.579797</c:v>
                </c:pt>
                <c:pt idx="7">
                  <c:v>-4180.11701</c:v>
                </c:pt>
                <c:pt idx="8">
                  <c:v>-1563.654222</c:v>
                </c:pt>
                <c:pt idx="9">
                  <c:v>1052.808565</c:v>
                </c:pt>
                <c:pt idx="10">
                  <c:v>3669.271353</c:v>
                </c:pt>
                <c:pt idx="11">
                  <c:v>6285.734141</c:v>
                </c:pt>
                <c:pt idx="12">
                  <c:v>8902.196928</c:v>
                </c:pt>
                <c:pt idx="13">
                  <c:v>11518.65972</c:v>
                </c:pt>
                <c:pt idx="14">
                  <c:v>14135.1225</c:v>
                </c:pt>
                <c:pt idx="15">
                  <c:v>y mayor...</c:v>
                </c:pt>
              </c:strCache>
            </c:strRef>
          </c:cat>
          <c:val>
            <c:numRef>
              <c:f>'Histograma Var Historico'!$B$2:$B$17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8</c:v>
                </c:pt>
                <c:pt idx="5">
                  <c:v>21</c:v>
                </c:pt>
                <c:pt idx="6">
                  <c:v>13</c:v>
                </c:pt>
                <c:pt idx="7">
                  <c:v>11</c:v>
                </c:pt>
                <c:pt idx="8">
                  <c:v>31</c:v>
                </c:pt>
                <c:pt idx="9">
                  <c:v>66</c:v>
                </c:pt>
                <c:pt idx="10">
                  <c:v>44</c:v>
                </c:pt>
                <c:pt idx="11">
                  <c:v>5</c:v>
                </c:pt>
                <c:pt idx="12">
                  <c:v>6</c:v>
                </c:pt>
                <c:pt idx="13">
                  <c:v>30</c:v>
                </c:pt>
                <c:pt idx="14">
                  <c:v>12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0-46CB-BDB9-34C797820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4369039"/>
        <c:axId val="1184374319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'Histograma Var Historico'!$A$2:$A$17</c:f>
              <c:strCache>
                <c:ptCount val="16"/>
                <c:pt idx="0">
                  <c:v>-22495.35652</c:v>
                </c:pt>
                <c:pt idx="1">
                  <c:v>-19878.89374</c:v>
                </c:pt>
                <c:pt idx="2">
                  <c:v>-17262.43095</c:v>
                </c:pt>
                <c:pt idx="3">
                  <c:v>-14645.96816</c:v>
                </c:pt>
                <c:pt idx="4">
                  <c:v>-12029.50537</c:v>
                </c:pt>
                <c:pt idx="5">
                  <c:v>-9413.042585</c:v>
                </c:pt>
                <c:pt idx="6">
                  <c:v>-6796.579797</c:v>
                </c:pt>
                <c:pt idx="7">
                  <c:v>-4180.11701</c:v>
                </c:pt>
                <c:pt idx="8">
                  <c:v>-1563.654222</c:v>
                </c:pt>
                <c:pt idx="9">
                  <c:v>1052.808565</c:v>
                </c:pt>
                <c:pt idx="10">
                  <c:v>3669.271353</c:v>
                </c:pt>
                <c:pt idx="11">
                  <c:v>6285.734141</c:v>
                </c:pt>
                <c:pt idx="12">
                  <c:v>8902.196928</c:v>
                </c:pt>
                <c:pt idx="13">
                  <c:v>11518.65972</c:v>
                </c:pt>
                <c:pt idx="14">
                  <c:v>14135.1225</c:v>
                </c:pt>
                <c:pt idx="15">
                  <c:v>y mayor...</c:v>
                </c:pt>
              </c:strCache>
            </c:strRef>
          </c:cat>
          <c:val>
            <c:numRef>
              <c:f>'Histograma Var Historico'!$C$2:$C$17</c:f>
              <c:numCache>
                <c:formatCode>0.00%</c:formatCode>
                <c:ptCount val="16"/>
                <c:pt idx="0">
                  <c:v>3.968253968253968E-3</c:v>
                </c:pt>
                <c:pt idx="1">
                  <c:v>3.968253968253968E-3</c:v>
                </c:pt>
                <c:pt idx="2">
                  <c:v>7.9365079365079361E-3</c:v>
                </c:pt>
                <c:pt idx="3">
                  <c:v>1.1904761904761904E-2</c:v>
                </c:pt>
                <c:pt idx="4">
                  <c:v>4.3650793650793648E-2</c:v>
                </c:pt>
                <c:pt idx="5">
                  <c:v>0.12698412698412698</c:v>
                </c:pt>
                <c:pt idx="6">
                  <c:v>0.17857142857142858</c:v>
                </c:pt>
                <c:pt idx="7">
                  <c:v>0.22222222222222221</c:v>
                </c:pt>
                <c:pt idx="8">
                  <c:v>0.34523809523809523</c:v>
                </c:pt>
                <c:pt idx="9">
                  <c:v>0.6071428571428571</c:v>
                </c:pt>
                <c:pt idx="10">
                  <c:v>0.78174603174603174</c:v>
                </c:pt>
                <c:pt idx="11">
                  <c:v>0.80158730158730163</c:v>
                </c:pt>
                <c:pt idx="12">
                  <c:v>0.82539682539682535</c:v>
                </c:pt>
                <c:pt idx="13">
                  <c:v>0.94444444444444442</c:v>
                </c:pt>
                <c:pt idx="14">
                  <c:v>0.99206349206349209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D0-46CB-BDB9-34C797820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4362799"/>
        <c:axId val="1184373359"/>
      </c:lineChart>
      <c:catAx>
        <c:axId val="1184369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4374319"/>
        <c:crosses val="autoZero"/>
        <c:auto val="1"/>
        <c:lblAlgn val="ctr"/>
        <c:lblOffset val="100"/>
        <c:noMultiLvlLbl val="0"/>
      </c:catAx>
      <c:valAx>
        <c:axId val="11843743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4369039"/>
        <c:crosses val="autoZero"/>
        <c:crossBetween val="between"/>
      </c:valAx>
      <c:valAx>
        <c:axId val="118437335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184362799"/>
        <c:crosses val="max"/>
        <c:crossBetween val="between"/>
      </c:valAx>
      <c:catAx>
        <c:axId val="11843627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84373359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'Histograma Var Simulaciones'!$A$2:$A$72</c:f>
              <c:strCache>
                <c:ptCount val="71"/>
                <c:pt idx="0">
                  <c:v>-12057.38</c:v>
                </c:pt>
                <c:pt idx="1">
                  <c:v>-11704.31071</c:v>
                </c:pt>
                <c:pt idx="2">
                  <c:v>-11351.24143</c:v>
                </c:pt>
                <c:pt idx="3">
                  <c:v>-10998.17214</c:v>
                </c:pt>
                <c:pt idx="4">
                  <c:v>-10645.10286</c:v>
                </c:pt>
                <c:pt idx="5">
                  <c:v>-10292.03357</c:v>
                </c:pt>
                <c:pt idx="6">
                  <c:v>-9938.964286</c:v>
                </c:pt>
                <c:pt idx="7">
                  <c:v>-9585.895</c:v>
                </c:pt>
                <c:pt idx="8">
                  <c:v>-9232.825714</c:v>
                </c:pt>
                <c:pt idx="9">
                  <c:v>-8879.756429</c:v>
                </c:pt>
                <c:pt idx="10">
                  <c:v>-8526.687143</c:v>
                </c:pt>
                <c:pt idx="11">
                  <c:v>-8173.617857</c:v>
                </c:pt>
                <c:pt idx="12">
                  <c:v>-7820.548571</c:v>
                </c:pt>
                <c:pt idx="13">
                  <c:v>-7467.479286</c:v>
                </c:pt>
                <c:pt idx="14">
                  <c:v>-7114.41</c:v>
                </c:pt>
                <c:pt idx="15">
                  <c:v>-6761.340714</c:v>
                </c:pt>
                <c:pt idx="16">
                  <c:v>-6408.271429</c:v>
                </c:pt>
                <c:pt idx="17">
                  <c:v>-6055.202143</c:v>
                </c:pt>
                <c:pt idx="18">
                  <c:v>-5702.132857</c:v>
                </c:pt>
                <c:pt idx="19">
                  <c:v>-5349.063571</c:v>
                </c:pt>
                <c:pt idx="20">
                  <c:v>-4995.994286</c:v>
                </c:pt>
                <c:pt idx="21">
                  <c:v>-4642.925</c:v>
                </c:pt>
                <c:pt idx="22">
                  <c:v>-4289.855714</c:v>
                </c:pt>
                <c:pt idx="23">
                  <c:v>-3936.786429</c:v>
                </c:pt>
                <c:pt idx="24">
                  <c:v>-3583.717143</c:v>
                </c:pt>
                <c:pt idx="25">
                  <c:v>-3230.647857</c:v>
                </c:pt>
                <c:pt idx="26">
                  <c:v>-2877.578571</c:v>
                </c:pt>
                <c:pt idx="27">
                  <c:v>-2524.509286</c:v>
                </c:pt>
                <c:pt idx="28">
                  <c:v>-2171.44</c:v>
                </c:pt>
                <c:pt idx="29">
                  <c:v>-1818.370714</c:v>
                </c:pt>
                <c:pt idx="30">
                  <c:v>-1465.301429</c:v>
                </c:pt>
                <c:pt idx="31">
                  <c:v>-1112.232143</c:v>
                </c:pt>
                <c:pt idx="32">
                  <c:v>-759.1628571</c:v>
                </c:pt>
                <c:pt idx="33">
                  <c:v>-406.0935714</c:v>
                </c:pt>
                <c:pt idx="34">
                  <c:v>-53.02428571</c:v>
                </c:pt>
                <c:pt idx="35">
                  <c:v>300.045</c:v>
                </c:pt>
                <c:pt idx="36">
                  <c:v>653.1142857</c:v>
                </c:pt>
                <c:pt idx="37">
                  <c:v>1006.183571</c:v>
                </c:pt>
                <c:pt idx="38">
                  <c:v>1359.252857</c:v>
                </c:pt>
                <c:pt idx="39">
                  <c:v>1712.322143</c:v>
                </c:pt>
                <c:pt idx="40">
                  <c:v>2065.391429</c:v>
                </c:pt>
                <c:pt idx="41">
                  <c:v>2418.460714</c:v>
                </c:pt>
                <c:pt idx="42">
                  <c:v>2771.53</c:v>
                </c:pt>
                <c:pt idx="43">
                  <c:v>3124.599286</c:v>
                </c:pt>
                <c:pt idx="44">
                  <c:v>3477.668571</c:v>
                </c:pt>
                <c:pt idx="45">
                  <c:v>3830.737857</c:v>
                </c:pt>
                <c:pt idx="46">
                  <c:v>4183.807143</c:v>
                </c:pt>
                <c:pt idx="47">
                  <c:v>4536.876429</c:v>
                </c:pt>
                <c:pt idx="48">
                  <c:v>4889.945714</c:v>
                </c:pt>
                <c:pt idx="49">
                  <c:v>5243.015</c:v>
                </c:pt>
                <c:pt idx="50">
                  <c:v>5596.084286</c:v>
                </c:pt>
                <c:pt idx="51">
                  <c:v>5949.153571</c:v>
                </c:pt>
                <c:pt idx="52">
                  <c:v>6302.222857</c:v>
                </c:pt>
                <c:pt idx="53">
                  <c:v>6655.292143</c:v>
                </c:pt>
                <c:pt idx="54">
                  <c:v>7008.361429</c:v>
                </c:pt>
                <c:pt idx="55">
                  <c:v>7361.430714</c:v>
                </c:pt>
                <c:pt idx="56">
                  <c:v>7714.5</c:v>
                </c:pt>
                <c:pt idx="57">
                  <c:v>8067.569286</c:v>
                </c:pt>
                <c:pt idx="58">
                  <c:v>8420.638571</c:v>
                </c:pt>
                <c:pt idx="59">
                  <c:v>8773.707857</c:v>
                </c:pt>
                <c:pt idx="60">
                  <c:v>9126.777143</c:v>
                </c:pt>
                <c:pt idx="61">
                  <c:v>9479.846429</c:v>
                </c:pt>
                <c:pt idx="62">
                  <c:v>9832.915714</c:v>
                </c:pt>
                <c:pt idx="63">
                  <c:v>10185.985</c:v>
                </c:pt>
                <c:pt idx="64">
                  <c:v>10539.05429</c:v>
                </c:pt>
                <c:pt idx="65">
                  <c:v>10892.12357</c:v>
                </c:pt>
                <c:pt idx="66">
                  <c:v>11245.19286</c:v>
                </c:pt>
                <c:pt idx="67">
                  <c:v>11598.26214</c:v>
                </c:pt>
                <c:pt idx="68">
                  <c:v>11951.33143</c:v>
                </c:pt>
                <c:pt idx="69">
                  <c:v>12304.40071</c:v>
                </c:pt>
                <c:pt idx="70">
                  <c:v>y mayor...</c:v>
                </c:pt>
              </c:strCache>
            </c:strRef>
          </c:cat>
          <c:val>
            <c:numRef>
              <c:f>'Histograma Var Simulaciones'!$B$2:$B$72</c:f>
              <c:numCache>
                <c:formatCode>General</c:formatCode>
                <c:ptCount val="7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7</c:v>
                </c:pt>
                <c:pt idx="9">
                  <c:v>11</c:v>
                </c:pt>
                <c:pt idx="10">
                  <c:v>8</c:v>
                </c:pt>
                <c:pt idx="11">
                  <c:v>7</c:v>
                </c:pt>
                <c:pt idx="12">
                  <c:v>12</c:v>
                </c:pt>
                <c:pt idx="13">
                  <c:v>20</c:v>
                </c:pt>
                <c:pt idx="14">
                  <c:v>12</c:v>
                </c:pt>
                <c:pt idx="15">
                  <c:v>34</c:v>
                </c:pt>
                <c:pt idx="16">
                  <c:v>30</c:v>
                </c:pt>
                <c:pt idx="17">
                  <c:v>48</c:v>
                </c:pt>
                <c:pt idx="18">
                  <c:v>49</c:v>
                </c:pt>
                <c:pt idx="19">
                  <c:v>70</c:v>
                </c:pt>
                <c:pt idx="20">
                  <c:v>87</c:v>
                </c:pt>
                <c:pt idx="21">
                  <c:v>103</c:v>
                </c:pt>
                <c:pt idx="22">
                  <c:v>104</c:v>
                </c:pt>
                <c:pt idx="23">
                  <c:v>115</c:v>
                </c:pt>
                <c:pt idx="24">
                  <c:v>133</c:v>
                </c:pt>
                <c:pt idx="25">
                  <c:v>150</c:v>
                </c:pt>
                <c:pt idx="26">
                  <c:v>139</c:v>
                </c:pt>
                <c:pt idx="27">
                  <c:v>168</c:v>
                </c:pt>
                <c:pt idx="28">
                  <c:v>185</c:v>
                </c:pt>
                <c:pt idx="29">
                  <c:v>179</c:v>
                </c:pt>
                <c:pt idx="30">
                  <c:v>174</c:v>
                </c:pt>
                <c:pt idx="31">
                  <c:v>194</c:v>
                </c:pt>
                <c:pt idx="32">
                  <c:v>181</c:v>
                </c:pt>
                <c:pt idx="33">
                  <c:v>226</c:v>
                </c:pt>
                <c:pt idx="34">
                  <c:v>211</c:v>
                </c:pt>
                <c:pt idx="35">
                  <c:v>209</c:v>
                </c:pt>
                <c:pt idx="36">
                  <c:v>187</c:v>
                </c:pt>
                <c:pt idx="37">
                  <c:v>176</c:v>
                </c:pt>
                <c:pt idx="38">
                  <c:v>200</c:v>
                </c:pt>
                <c:pt idx="39">
                  <c:v>178</c:v>
                </c:pt>
                <c:pt idx="40">
                  <c:v>180</c:v>
                </c:pt>
                <c:pt idx="41">
                  <c:v>134</c:v>
                </c:pt>
                <c:pt idx="42">
                  <c:v>135</c:v>
                </c:pt>
                <c:pt idx="43">
                  <c:v>129</c:v>
                </c:pt>
                <c:pt idx="44">
                  <c:v>118</c:v>
                </c:pt>
                <c:pt idx="45">
                  <c:v>111</c:v>
                </c:pt>
                <c:pt idx="46">
                  <c:v>91</c:v>
                </c:pt>
                <c:pt idx="47">
                  <c:v>82</c:v>
                </c:pt>
                <c:pt idx="48">
                  <c:v>58</c:v>
                </c:pt>
                <c:pt idx="49">
                  <c:v>57</c:v>
                </c:pt>
                <c:pt idx="50">
                  <c:v>47</c:v>
                </c:pt>
                <c:pt idx="51">
                  <c:v>51</c:v>
                </c:pt>
                <c:pt idx="52">
                  <c:v>40</c:v>
                </c:pt>
                <c:pt idx="53">
                  <c:v>30</c:v>
                </c:pt>
                <c:pt idx="54">
                  <c:v>29</c:v>
                </c:pt>
                <c:pt idx="55">
                  <c:v>21</c:v>
                </c:pt>
                <c:pt idx="56">
                  <c:v>15</c:v>
                </c:pt>
                <c:pt idx="57">
                  <c:v>13</c:v>
                </c:pt>
                <c:pt idx="58">
                  <c:v>12</c:v>
                </c:pt>
                <c:pt idx="59">
                  <c:v>5</c:v>
                </c:pt>
                <c:pt idx="60">
                  <c:v>1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E3-4E90-84DB-F524127AD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33584"/>
        <c:axId val="745429264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'Histograma Var Simulaciones'!$A$2:$A$72</c:f>
              <c:strCache>
                <c:ptCount val="71"/>
                <c:pt idx="0">
                  <c:v>-12057.38</c:v>
                </c:pt>
                <c:pt idx="1">
                  <c:v>-11704.31071</c:v>
                </c:pt>
                <c:pt idx="2">
                  <c:v>-11351.24143</c:v>
                </c:pt>
                <c:pt idx="3">
                  <c:v>-10998.17214</c:v>
                </c:pt>
                <c:pt idx="4">
                  <c:v>-10645.10286</c:v>
                </c:pt>
                <c:pt idx="5">
                  <c:v>-10292.03357</c:v>
                </c:pt>
                <c:pt idx="6">
                  <c:v>-9938.964286</c:v>
                </c:pt>
                <c:pt idx="7">
                  <c:v>-9585.895</c:v>
                </c:pt>
                <c:pt idx="8">
                  <c:v>-9232.825714</c:v>
                </c:pt>
                <c:pt idx="9">
                  <c:v>-8879.756429</c:v>
                </c:pt>
                <c:pt idx="10">
                  <c:v>-8526.687143</c:v>
                </c:pt>
                <c:pt idx="11">
                  <c:v>-8173.617857</c:v>
                </c:pt>
                <c:pt idx="12">
                  <c:v>-7820.548571</c:v>
                </c:pt>
                <c:pt idx="13">
                  <c:v>-7467.479286</c:v>
                </c:pt>
                <c:pt idx="14">
                  <c:v>-7114.41</c:v>
                </c:pt>
                <c:pt idx="15">
                  <c:v>-6761.340714</c:v>
                </c:pt>
                <c:pt idx="16">
                  <c:v>-6408.271429</c:v>
                </c:pt>
                <c:pt idx="17">
                  <c:v>-6055.202143</c:v>
                </c:pt>
                <c:pt idx="18">
                  <c:v>-5702.132857</c:v>
                </c:pt>
                <c:pt idx="19">
                  <c:v>-5349.063571</c:v>
                </c:pt>
                <c:pt idx="20">
                  <c:v>-4995.994286</c:v>
                </c:pt>
                <c:pt idx="21">
                  <c:v>-4642.925</c:v>
                </c:pt>
                <c:pt idx="22">
                  <c:v>-4289.855714</c:v>
                </c:pt>
                <c:pt idx="23">
                  <c:v>-3936.786429</c:v>
                </c:pt>
                <c:pt idx="24">
                  <c:v>-3583.717143</c:v>
                </c:pt>
                <c:pt idx="25">
                  <c:v>-3230.647857</c:v>
                </c:pt>
                <c:pt idx="26">
                  <c:v>-2877.578571</c:v>
                </c:pt>
                <c:pt idx="27">
                  <c:v>-2524.509286</c:v>
                </c:pt>
                <c:pt idx="28">
                  <c:v>-2171.44</c:v>
                </c:pt>
                <c:pt idx="29">
                  <c:v>-1818.370714</c:v>
                </c:pt>
                <c:pt idx="30">
                  <c:v>-1465.301429</c:v>
                </c:pt>
                <c:pt idx="31">
                  <c:v>-1112.232143</c:v>
                </c:pt>
                <c:pt idx="32">
                  <c:v>-759.1628571</c:v>
                </c:pt>
                <c:pt idx="33">
                  <c:v>-406.0935714</c:v>
                </c:pt>
                <c:pt idx="34">
                  <c:v>-53.02428571</c:v>
                </c:pt>
                <c:pt idx="35">
                  <c:v>300.045</c:v>
                </c:pt>
                <c:pt idx="36">
                  <c:v>653.1142857</c:v>
                </c:pt>
                <c:pt idx="37">
                  <c:v>1006.183571</c:v>
                </c:pt>
                <c:pt idx="38">
                  <c:v>1359.252857</c:v>
                </c:pt>
                <c:pt idx="39">
                  <c:v>1712.322143</c:v>
                </c:pt>
                <c:pt idx="40">
                  <c:v>2065.391429</c:v>
                </c:pt>
                <c:pt idx="41">
                  <c:v>2418.460714</c:v>
                </c:pt>
                <c:pt idx="42">
                  <c:v>2771.53</c:v>
                </c:pt>
                <c:pt idx="43">
                  <c:v>3124.599286</c:v>
                </c:pt>
                <c:pt idx="44">
                  <c:v>3477.668571</c:v>
                </c:pt>
                <c:pt idx="45">
                  <c:v>3830.737857</c:v>
                </c:pt>
                <c:pt idx="46">
                  <c:v>4183.807143</c:v>
                </c:pt>
                <c:pt idx="47">
                  <c:v>4536.876429</c:v>
                </c:pt>
                <c:pt idx="48">
                  <c:v>4889.945714</c:v>
                </c:pt>
                <c:pt idx="49">
                  <c:v>5243.015</c:v>
                </c:pt>
                <c:pt idx="50">
                  <c:v>5596.084286</c:v>
                </c:pt>
                <c:pt idx="51">
                  <c:v>5949.153571</c:v>
                </c:pt>
                <c:pt idx="52">
                  <c:v>6302.222857</c:v>
                </c:pt>
                <c:pt idx="53">
                  <c:v>6655.292143</c:v>
                </c:pt>
                <c:pt idx="54">
                  <c:v>7008.361429</c:v>
                </c:pt>
                <c:pt idx="55">
                  <c:v>7361.430714</c:v>
                </c:pt>
                <c:pt idx="56">
                  <c:v>7714.5</c:v>
                </c:pt>
                <c:pt idx="57">
                  <c:v>8067.569286</c:v>
                </c:pt>
                <c:pt idx="58">
                  <c:v>8420.638571</c:v>
                </c:pt>
                <c:pt idx="59">
                  <c:v>8773.707857</c:v>
                </c:pt>
                <c:pt idx="60">
                  <c:v>9126.777143</c:v>
                </c:pt>
                <c:pt idx="61">
                  <c:v>9479.846429</c:v>
                </c:pt>
                <c:pt idx="62">
                  <c:v>9832.915714</c:v>
                </c:pt>
                <c:pt idx="63">
                  <c:v>10185.985</c:v>
                </c:pt>
                <c:pt idx="64">
                  <c:v>10539.05429</c:v>
                </c:pt>
                <c:pt idx="65">
                  <c:v>10892.12357</c:v>
                </c:pt>
                <c:pt idx="66">
                  <c:v>11245.19286</c:v>
                </c:pt>
                <c:pt idx="67">
                  <c:v>11598.26214</c:v>
                </c:pt>
                <c:pt idx="68">
                  <c:v>11951.33143</c:v>
                </c:pt>
                <c:pt idx="69">
                  <c:v>12304.40071</c:v>
                </c:pt>
                <c:pt idx="70">
                  <c:v>y mayor...</c:v>
                </c:pt>
              </c:strCache>
            </c:strRef>
          </c:cat>
          <c:val>
            <c:numRef>
              <c:f>'Histograma Var Simulaciones'!$C$2:$C$72</c:f>
              <c:numCache>
                <c:formatCode>0.00%</c:formatCode>
                <c:ptCount val="71"/>
                <c:pt idx="0">
                  <c:v>2.0000000000000001E-4</c:v>
                </c:pt>
                <c:pt idx="1">
                  <c:v>4.0000000000000002E-4</c:v>
                </c:pt>
                <c:pt idx="2">
                  <c:v>4.0000000000000002E-4</c:v>
                </c:pt>
                <c:pt idx="3">
                  <c:v>5.9999999999999995E-4</c:v>
                </c:pt>
                <c:pt idx="4">
                  <c:v>1.1999999999999999E-3</c:v>
                </c:pt>
                <c:pt idx="5">
                  <c:v>1.6000000000000001E-3</c:v>
                </c:pt>
                <c:pt idx="6">
                  <c:v>2.2000000000000001E-3</c:v>
                </c:pt>
                <c:pt idx="7">
                  <c:v>2.8E-3</c:v>
                </c:pt>
                <c:pt idx="8">
                  <c:v>4.1999999999999997E-3</c:v>
                </c:pt>
                <c:pt idx="9">
                  <c:v>6.4000000000000003E-3</c:v>
                </c:pt>
                <c:pt idx="10">
                  <c:v>8.0000000000000002E-3</c:v>
                </c:pt>
                <c:pt idx="11">
                  <c:v>9.4000000000000004E-3</c:v>
                </c:pt>
                <c:pt idx="12">
                  <c:v>1.18E-2</c:v>
                </c:pt>
                <c:pt idx="13">
                  <c:v>1.5800000000000002E-2</c:v>
                </c:pt>
                <c:pt idx="14">
                  <c:v>1.8200000000000001E-2</c:v>
                </c:pt>
                <c:pt idx="15">
                  <c:v>2.5000000000000001E-2</c:v>
                </c:pt>
                <c:pt idx="16">
                  <c:v>3.1E-2</c:v>
                </c:pt>
                <c:pt idx="17">
                  <c:v>4.0599999999999997E-2</c:v>
                </c:pt>
                <c:pt idx="18">
                  <c:v>5.04E-2</c:v>
                </c:pt>
                <c:pt idx="19">
                  <c:v>6.4399999999999999E-2</c:v>
                </c:pt>
                <c:pt idx="20">
                  <c:v>8.1799999999999998E-2</c:v>
                </c:pt>
                <c:pt idx="21">
                  <c:v>0.1024</c:v>
                </c:pt>
                <c:pt idx="22">
                  <c:v>0.1232</c:v>
                </c:pt>
                <c:pt idx="23">
                  <c:v>0.1462</c:v>
                </c:pt>
                <c:pt idx="24">
                  <c:v>0.17280000000000001</c:v>
                </c:pt>
                <c:pt idx="25">
                  <c:v>0.20280000000000001</c:v>
                </c:pt>
                <c:pt idx="26">
                  <c:v>0.2306</c:v>
                </c:pt>
                <c:pt idx="27">
                  <c:v>0.26419999999999999</c:v>
                </c:pt>
                <c:pt idx="28">
                  <c:v>0.30120000000000002</c:v>
                </c:pt>
                <c:pt idx="29">
                  <c:v>0.33700000000000002</c:v>
                </c:pt>
                <c:pt idx="30">
                  <c:v>0.37180000000000002</c:v>
                </c:pt>
                <c:pt idx="31">
                  <c:v>0.41060000000000002</c:v>
                </c:pt>
                <c:pt idx="32">
                  <c:v>0.44679999999999997</c:v>
                </c:pt>
                <c:pt idx="33">
                  <c:v>0.49199999999999999</c:v>
                </c:pt>
                <c:pt idx="34">
                  <c:v>0.53420000000000001</c:v>
                </c:pt>
                <c:pt idx="35">
                  <c:v>0.57599999999999996</c:v>
                </c:pt>
                <c:pt idx="36">
                  <c:v>0.61339999999999995</c:v>
                </c:pt>
                <c:pt idx="37">
                  <c:v>0.64859999999999995</c:v>
                </c:pt>
                <c:pt idx="38">
                  <c:v>0.68859999999999999</c:v>
                </c:pt>
                <c:pt idx="39">
                  <c:v>0.72419999999999995</c:v>
                </c:pt>
                <c:pt idx="40">
                  <c:v>0.76019999999999999</c:v>
                </c:pt>
                <c:pt idx="41">
                  <c:v>0.78700000000000003</c:v>
                </c:pt>
                <c:pt idx="42">
                  <c:v>0.81399999999999995</c:v>
                </c:pt>
                <c:pt idx="43">
                  <c:v>0.83979999999999999</c:v>
                </c:pt>
                <c:pt idx="44">
                  <c:v>0.86339999999999995</c:v>
                </c:pt>
                <c:pt idx="45">
                  <c:v>0.88560000000000005</c:v>
                </c:pt>
                <c:pt idx="46">
                  <c:v>0.90380000000000005</c:v>
                </c:pt>
                <c:pt idx="47">
                  <c:v>0.92020000000000002</c:v>
                </c:pt>
                <c:pt idx="48">
                  <c:v>0.93179999999999996</c:v>
                </c:pt>
                <c:pt idx="49">
                  <c:v>0.94320000000000004</c:v>
                </c:pt>
                <c:pt idx="50">
                  <c:v>0.9526</c:v>
                </c:pt>
                <c:pt idx="51">
                  <c:v>0.96279999999999999</c:v>
                </c:pt>
                <c:pt idx="52">
                  <c:v>0.9708</c:v>
                </c:pt>
                <c:pt idx="53">
                  <c:v>0.9768</c:v>
                </c:pt>
                <c:pt idx="54">
                  <c:v>0.98260000000000003</c:v>
                </c:pt>
                <c:pt idx="55">
                  <c:v>0.98680000000000001</c:v>
                </c:pt>
                <c:pt idx="56">
                  <c:v>0.98980000000000001</c:v>
                </c:pt>
                <c:pt idx="57">
                  <c:v>0.99239999999999995</c:v>
                </c:pt>
                <c:pt idx="58">
                  <c:v>0.99480000000000002</c:v>
                </c:pt>
                <c:pt idx="59">
                  <c:v>0.99580000000000002</c:v>
                </c:pt>
                <c:pt idx="60">
                  <c:v>0.996</c:v>
                </c:pt>
                <c:pt idx="61">
                  <c:v>0.99680000000000002</c:v>
                </c:pt>
                <c:pt idx="62">
                  <c:v>0.99760000000000004</c:v>
                </c:pt>
                <c:pt idx="63">
                  <c:v>0.99839999999999995</c:v>
                </c:pt>
                <c:pt idx="64">
                  <c:v>0.99880000000000002</c:v>
                </c:pt>
                <c:pt idx="65">
                  <c:v>0.999</c:v>
                </c:pt>
                <c:pt idx="66">
                  <c:v>0.99919999999999998</c:v>
                </c:pt>
                <c:pt idx="67">
                  <c:v>0.99939999999999996</c:v>
                </c:pt>
                <c:pt idx="68">
                  <c:v>0.99960000000000004</c:v>
                </c:pt>
                <c:pt idx="69">
                  <c:v>0.99960000000000004</c:v>
                </c:pt>
                <c:pt idx="7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E3-4E90-84DB-F524127AD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423984"/>
        <c:axId val="745423504"/>
      </c:lineChart>
      <c:catAx>
        <c:axId val="745433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5429264"/>
        <c:crosses val="autoZero"/>
        <c:auto val="1"/>
        <c:lblAlgn val="ctr"/>
        <c:lblOffset val="100"/>
        <c:noMultiLvlLbl val="0"/>
      </c:catAx>
      <c:valAx>
        <c:axId val="7454292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45433584"/>
        <c:crosses val="autoZero"/>
        <c:crossBetween val="between"/>
      </c:valAx>
      <c:valAx>
        <c:axId val="7454235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745423984"/>
        <c:crosses val="max"/>
        <c:crossBetween val="between"/>
      </c:valAx>
      <c:catAx>
        <c:axId val="745423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45423504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0</xdr:row>
      <xdr:rowOff>177800</xdr:rowOff>
    </xdr:from>
    <xdr:to>
      <xdr:col>11</xdr:col>
      <xdr:colOff>641350</xdr:colOff>
      <xdr:row>18</xdr:row>
      <xdr:rowOff>101600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0</xdr:row>
      <xdr:rowOff>177800</xdr:rowOff>
    </xdr:from>
    <xdr:to>
      <xdr:col>13</xdr:col>
      <xdr:colOff>596900</xdr:colOff>
      <xdr:row>21</xdr:row>
      <xdr:rowOff>44450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DE0A7B1-98AE-7277-95D5-2CAF5CA342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6</xdr:row>
          <xdr:rowOff>127000</xdr:rowOff>
        </xdr:from>
        <xdr:to>
          <xdr:col>8</xdr:col>
          <xdr:colOff>558800</xdr:colOff>
          <xdr:row>8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 Simulaciónes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/>
  <dimension ref="A2:M259"/>
  <sheetViews>
    <sheetView zoomScale="96" zoomScaleNormal="96" workbookViewId="0">
      <pane xSplit="2" ySplit="4" topLeftCell="C5" activePane="bottomRight" state="frozen"/>
      <selection pane="topRight" activeCell="D1" sqref="D1"/>
      <selection pane="bottomLeft" activeCell="A3" sqref="A3"/>
      <selection pane="bottomRight" activeCell="G2" sqref="G2:J2"/>
    </sheetView>
  </sheetViews>
  <sheetFormatPr baseColWidth="10" defaultColWidth="8.90625" defaultRowHeight="14.5" x14ac:dyDescent="0.35"/>
  <cols>
    <col min="1" max="1" width="4.36328125" bestFit="1" customWidth="1"/>
    <col min="2" max="2" width="11.36328125" bestFit="1" customWidth="1"/>
    <col min="3" max="10" width="13.08984375" customWidth="1"/>
    <col min="11" max="11" width="14.6328125" bestFit="1" customWidth="1"/>
    <col min="12" max="12" width="13.36328125" customWidth="1"/>
    <col min="13" max="20" width="10.6328125" customWidth="1"/>
  </cols>
  <sheetData>
    <row r="2" spans="1:13" x14ac:dyDescent="0.35">
      <c r="G2" s="59">
        <f>AVERAGE(G5:G256)</f>
        <v>4.426737419598592E-4</v>
      </c>
      <c r="H2" s="59">
        <f t="shared" ref="H2:J2" si="0">AVERAGE(H5:H256)</f>
        <v>5.8672449658801686E-4</v>
      </c>
      <c r="I2" s="59">
        <f t="shared" si="0"/>
        <v>6.3055776852513135E-4</v>
      </c>
      <c r="J2" s="59">
        <f t="shared" si="0"/>
        <v>5.4603690774421287E-4</v>
      </c>
    </row>
    <row r="3" spans="1:13" x14ac:dyDescent="0.35">
      <c r="C3" s="77" t="s">
        <v>21</v>
      </c>
      <c r="D3" s="78"/>
      <c r="E3" s="78"/>
      <c r="F3" s="78"/>
      <c r="G3" s="79" t="s">
        <v>20</v>
      </c>
      <c r="H3" s="80"/>
      <c r="I3" s="80"/>
      <c r="J3" s="80"/>
    </row>
    <row r="4" spans="1:13" x14ac:dyDescent="0.35">
      <c r="A4" s="2" t="s">
        <v>2</v>
      </c>
      <c r="B4" s="2" t="s">
        <v>0</v>
      </c>
      <c r="C4" s="4" t="s">
        <v>28</v>
      </c>
      <c r="D4" s="4" t="s">
        <v>29</v>
      </c>
      <c r="E4" s="4" t="s">
        <v>22</v>
      </c>
      <c r="F4" s="4" t="s">
        <v>30</v>
      </c>
      <c r="G4" s="3" t="str">
        <f>+C4</f>
        <v>BONOM_2027</v>
      </c>
      <c r="H4" s="3" t="str">
        <f>+D4</f>
        <v>BONOM_2029</v>
      </c>
      <c r="I4" s="3" t="str">
        <f>+E4</f>
        <v>BONOM_2031</v>
      </c>
      <c r="J4" s="3" t="str">
        <f>+F4</f>
        <v>BONOM_2038</v>
      </c>
    </row>
    <row r="5" spans="1:13" x14ac:dyDescent="0.35">
      <c r="A5" s="7">
        <f t="shared" ref="A5:A68" si="1">+A6-1</f>
        <v>1</v>
      </c>
      <c r="B5" s="41">
        <v>45379</v>
      </c>
      <c r="C5" s="36">
        <v>9.7550000000000012E-2</v>
      </c>
      <c r="D5" s="36">
        <v>9.5890000000000003E-2</v>
      </c>
      <c r="E5" s="36">
        <v>9.6099999999999991E-2</v>
      </c>
      <c r="F5" s="36">
        <v>9.6860000000000002E-2</v>
      </c>
      <c r="G5" s="37">
        <f>+C5/C6-1</f>
        <v>3.3806697753285375E-2</v>
      </c>
      <c r="H5" s="37">
        <f t="shared" ref="H5:H68" si="2">+D5/D6-1</f>
        <v>3.9345328419683412E-2</v>
      </c>
      <c r="I5" s="37">
        <f t="shared" ref="I5:I68" si="3">+E5/E6-1</f>
        <v>3.8245462402765718E-2</v>
      </c>
      <c r="J5" s="37">
        <f t="shared" ref="J5:J68" si="4">+F5/F6-1</f>
        <v>3.7489288774635865E-2</v>
      </c>
    </row>
    <row r="6" spans="1:13" x14ac:dyDescent="0.35">
      <c r="A6" s="7">
        <f t="shared" si="1"/>
        <v>2</v>
      </c>
      <c r="B6" s="42">
        <v>45378</v>
      </c>
      <c r="C6" s="37">
        <v>9.4359999999999999E-2</v>
      </c>
      <c r="D6" s="37">
        <v>9.2260000000000009E-2</v>
      </c>
      <c r="E6" s="37">
        <v>9.2560000000000003E-2</v>
      </c>
      <c r="F6" s="37">
        <v>9.3359999999999999E-2</v>
      </c>
      <c r="G6" s="37">
        <f t="shared" ref="G6:G69" si="5">+C6/C7-1</f>
        <v>-6.3184498736310601E-3</v>
      </c>
      <c r="H6" s="37">
        <f t="shared" si="2"/>
        <v>-4.3168573278652422E-3</v>
      </c>
      <c r="I6" s="37">
        <f t="shared" si="3"/>
        <v>-2.1561017680034045E-3</v>
      </c>
      <c r="J6" s="37">
        <f t="shared" si="4"/>
        <v>-4.2662116040955711E-3</v>
      </c>
    </row>
    <row r="7" spans="1:13" x14ac:dyDescent="0.35">
      <c r="A7" s="7">
        <f t="shared" si="1"/>
        <v>3</v>
      </c>
      <c r="B7" s="42">
        <v>45377</v>
      </c>
      <c r="C7" s="37">
        <v>9.4960000000000003E-2</v>
      </c>
      <c r="D7" s="37">
        <v>9.2660000000000006E-2</v>
      </c>
      <c r="E7" s="37">
        <v>9.2759999999999995E-2</v>
      </c>
      <c r="F7" s="37">
        <v>9.3759999999999996E-2</v>
      </c>
      <c r="G7" s="37">
        <f t="shared" si="5"/>
        <v>-4.1946308724831738E-3</v>
      </c>
      <c r="H7" s="37">
        <f t="shared" si="2"/>
        <v>-4.2983021706424207E-3</v>
      </c>
      <c r="I7" s="37">
        <f t="shared" si="3"/>
        <v>-4.293688278231178E-3</v>
      </c>
      <c r="J7" s="37">
        <f t="shared" si="4"/>
        <v>-5.3044769785699497E-3</v>
      </c>
    </row>
    <row r="8" spans="1:13" x14ac:dyDescent="0.35">
      <c r="A8" s="7">
        <f t="shared" si="1"/>
        <v>4</v>
      </c>
      <c r="B8" s="42">
        <v>45376</v>
      </c>
      <c r="C8" s="37">
        <v>9.536E-2</v>
      </c>
      <c r="D8" s="37">
        <v>9.305999999999999E-2</v>
      </c>
      <c r="E8" s="37">
        <v>9.3160000000000007E-2</v>
      </c>
      <c r="F8" s="37">
        <v>9.4259999999999997E-2</v>
      </c>
      <c r="G8" s="37">
        <f t="shared" si="5"/>
        <v>-2.8425878757004641E-2</v>
      </c>
      <c r="H8" s="37">
        <f t="shared" si="2"/>
        <v>-2.3914411579610051E-2</v>
      </c>
      <c r="I8" s="37">
        <f t="shared" si="3"/>
        <v>-2.4911032028469671E-2</v>
      </c>
      <c r="J8" s="37">
        <f t="shared" si="4"/>
        <v>-2.8047020004124734E-2</v>
      </c>
    </row>
    <row r="9" spans="1:13" x14ac:dyDescent="0.35">
      <c r="A9" s="7">
        <f t="shared" si="1"/>
        <v>5</v>
      </c>
      <c r="B9" s="42">
        <v>45374</v>
      </c>
      <c r="C9" s="37">
        <v>9.8150000000000001E-2</v>
      </c>
      <c r="D9" s="37">
        <v>9.5340000000000008E-2</v>
      </c>
      <c r="E9" s="37">
        <v>9.554E-2</v>
      </c>
      <c r="F9" s="37">
        <v>9.6980000000000011E-2</v>
      </c>
      <c r="G9" s="37">
        <f t="shared" si="5"/>
        <v>3.250578581948238E-2</v>
      </c>
      <c r="H9" s="37">
        <f t="shared" si="2"/>
        <v>3.6755110917790379E-2</v>
      </c>
      <c r="I9" s="37">
        <f t="shared" si="3"/>
        <v>3.8929969551979138E-2</v>
      </c>
      <c r="J9" s="37">
        <f t="shared" si="4"/>
        <v>3.5447362801622972E-2</v>
      </c>
      <c r="K9" s="13"/>
      <c r="L9" s="15"/>
      <c r="M9" s="6"/>
    </row>
    <row r="10" spans="1:13" x14ac:dyDescent="0.35">
      <c r="A10" s="7">
        <f t="shared" si="1"/>
        <v>6</v>
      </c>
      <c r="B10" s="42">
        <v>45373</v>
      </c>
      <c r="C10" s="37">
        <v>9.5060000000000006E-2</v>
      </c>
      <c r="D10" s="37">
        <v>9.196E-2</v>
      </c>
      <c r="E10" s="37">
        <v>9.196E-2</v>
      </c>
      <c r="F10" s="37">
        <v>9.3659999999999993E-2</v>
      </c>
      <c r="G10" s="37">
        <f t="shared" si="5"/>
        <v>1.1707109408258809E-2</v>
      </c>
      <c r="H10" s="37">
        <f t="shared" si="2"/>
        <v>5.4668707631750912E-3</v>
      </c>
      <c r="I10" s="37">
        <f t="shared" si="3"/>
        <v>5.4668707631750912E-3</v>
      </c>
      <c r="J10" s="37">
        <f t="shared" si="4"/>
        <v>7.5301204819278045E-3</v>
      </c>
      <c r="K10" s="13"/>
      <c r="L10" s="15"/>
      <c r="M10" s="6"/>
    </row>
    <row r="11" spans="1:13" x14ac:dyDescent="0.35">
      <c r="A11" s="7">
        <f t="shared" si="1"/>
        <v>7</v>
      </c>
      <c r="B11" s="42">
        <v>45372</v>
      </c>
      <c r="C11" s="37">
        <v>9.3960000000000002E-2</v>
      </c>
      <c r="D11" s="37">
        <v>9.1460000000000014E-2</v>
      </c>
      <c r="E11" s="37">
        <v>9.1460000000000014E-2</v>
      </c>
      <c r="F11" s="37">
        <v>9.2959999999999987E-2</v>
      </c>
      <c r="G11" s="37">
        <f t="shared" si="5"/>
        <v>-2.2878535773710462E-2</v>
      </c>
      <c r="H11" s="37">
        <f t="shared" si="2"/>
        <v>-1.1884183232497736E-2</v>
      </c>
      <c r="I11" s="37">
        <f t="shared" si="3"/>
        <v>-1.1884183232497736E-2</v>
      </c>
      <c r="J11" s="37">
        <f t="shared" si="4"/>
        <v>-7.4738415545591019E-3</v>
      </c>
      <c r="K11" s="14"/>
      <c r="L11" s="15"/>
      <c r="M11" s="6"/>
    </row>
    <row r="12" spans="1:13" x14ac:dyDescent="0.35">
      <c r="A12" s="7">
        <f t="shared" si="1"/>
        <v>8</v>
      </c>
      <c r="B12" s="42">
        <v>45371</v>
      </c>
      <c r="C12" s="37">
        <v>9.6159999999999995E-2</v>
      </c>
      <c r="D12" s="37">
        <v>9.2560000000000003E-2</v>
      </c>
      <c r="E12" s="37">
        <v>9.2560000000000003E-2</v>
      </c>
      <c r="F12" s="37">
        <v>9.3659999999999993E-2</v>
      </c>
      <c r="G12" s="37">
        <f t="shared" si="5"/>
        <v>0</v>
      </c>
      <c r="H12" s="37">
        <f t="shared" si="2"/>
        <v>-1.0792143319663383E-3</v>
      </c>
      <c r="I12" s="37">
        <f t="shared" si="3"/>
        <v>-2.1561017680034045E-3</v>
      </c>
      <c r="J12" s="37">
        <f t="shared" si="4"/>
        <v>-2.1308331557640114E-3</v>
      </c>
      <c r="K12" s="13"/>
      <c r="L12" s="15"/>
      <c r="M12" s="6"/>
    </row>
    <row r="13" spans="1:13" x14ac:dyDescent="0.35">
      <c r="A13" s="7">
        <f t="shared" si="1"/>
        <v>9</v>
      </c>
      <c r="B13" s="42">
        <v>45370</v>
      </c>
      <c r="C13" s="37">
        <v>9.6159999999999995E-2</v>
      </c>
      <c r="D13" s="37">
        <v>9.2660000000000006E-2</v>
      </c>
      <c r="E13" s="37">
        <v>9.2759999999999995E-2</v>
      </c>
      <c r="F13" s="37">
        <v>9.3859999999999999E-2</v>
      </c>
      <c r="G13" s="37">
        <f t="shared" si="5"/>
        <v>-3.3956198513160563E-2</v>
      </c>
      <c r="H13" s="37">
        <f t="shared" si="2"/>
        <v>-3.7298701298701276E-2</v>
      </c>
      <c r="I13" s="37">
        <f t="shared" si="3"/>
        <v>-3.7160058127465367E-2</v>
      </c>
      <c r="J13" s="37">
        <f t="shared" si="4"/>
        <v>-3.5949055053410062E-2</v>
      </c>
      <c r="K13" s="13"/>
    </row>
    <row r="14" spans="1:13" x14ac:dyDescent="0.35">
      <c r="A14" s="7">
        <f t="shared" si="1"/>
        <v>10</v>
      </c>
      <c r="B14" s="42">
        <v>45367</v>
      </c>
      <c r="C14" s="37">
        <v>9.9540000000000003E-2</v>
      </c>
      <c r="D14" s="37">
        <v>9.6250000000000002E-2</v>
      </c>
      <c r="E14" s="37">
        <v>9.6340000000000009E-2</v>
      </c>
      <c r="F14" s="37">
        <v>9.7360000000000002E-2</v>
      </c>
      <c r="G14" s="37">
        <f t="shared" si="5"/>
        <v>3.5149750415973458E-2</v>
      </c>
      <c r="H14" s="37">
        <f t="shared" si="2"/>
        <v>3.9866032843560939E-2</v>
      </c>
      <c r="I14" s="37">
        <f t="shared" si="3"/>
        <v>3.9715087416360983E-2</v>
      </c>
      <c r="J14" s="37">
        <f t="shared" si="4"/>
        <v>3.7289580225868368E-2</v>
      </c>
      <c r="K14" s="14"/>
    </row>
    <row r="15" spans="1:13" x14ac:dyDescent="0.35">
      <c r="A15" s="7">
        <f t="shared" si="1"/>
        <v>11</v>
      </c>
      <c r="B15" s="42">
        <v>45366</v>
      </c>
      <c r="C15" s="37">
        <v>9.6159999999999995E-2</v>
      </c>
      <c r="D15" s="37">
        <v>9.2560000000000003E-2</v>
      </c>
      <c r="E15" s="37">
        <v>9.2660000000000006E-2</v>
      </c>
      <c r="F15" s="37">
        <v>9.3859999999999999E-2</v>
      </c>
      <c r="G15" s="37">
        <f t="shared" si="5"/>
        <v>8.3892617449663476E-3</v>
      </c>
      <c r="H15" s="37">
        <f t="shared" si="2"/>
        <v>9.8188959197031966E-3</v>
      </c>
      <c r="I15" s="37">
        <f t="shared" si="3"/>
        <v>6.5174885943950489E-3</v>
      </c>
      <c r="J15" s="37">
        <f t="shared" si="4"/>
        <v>1.1858559724019058E-2</v>
      </c>
      <c r="K15" s="13"/>
    </row>
    <row r="16" spans="1:13" x14ac:dyDescent="0.35">
      <c r="A16" s="7">
        <f t="shared" si="1"/>
        <v>12</v>
      </c>
      <c r="B16" s="42">
        <v>45365</v>
      </c>
      <c r="C16" s="37">
        <v>9.536E-2</v>
      </c>
      <c r="D16" s="37">
        <v>9.1660000000000005E-2</v>
      </c>
      <c r="E16" s="37">
        <v>9.2059999999999989E-2</v>
      </c>
      <c r="F16" s="37">
        <v>9.2759999999999995E-2</v>
      </c>
      <c r="G16" s="37">
        <f t="shared" si="5"/>
        <v>6.3317855635287579E-3</v>
      </c>
      <c r="H16" s="37">
        <f t="shared" si="2"/>
        <v>4.3830813061582763E-3</v>
      </c>
      <c r="I16" s="37">
        <f t="shared" si="3"/>
        <v>7.6619964973729804E-3</v>
      </c>
      <c r="J16" s="37">
        <f t="shared" si="4"/>
        <v>4.3308791684710801E-3</v>
      </c>
      <c r="K16" s="14"/>
    </row>
    <row r="17" spans="1:11" x14ac:dyDescent="0.35">
      <c r="A17" s="7">
        <f t="shared" si="1"/>
        <v>13</v>
      </c>
      <c r="B17" s="42">
        <v>45364</v>
      </c>
      <c r="C17" s="37">
        <v>9.4760000000000011E-2</v>
      </c>
      <c r="D17" s="37">
        <v>9.1259999999999994E-2</v>
      </c>
      <c r="E17" s="37">
        <v>9.1359999999999997E-2</v>
      </c>
      <c r="F17" s="37">
        <v>9.2360000000000012E-2</v>
      </c>
      <c r="G17" s="37">
        <f t="shared" si="5"/>
        <v>-3.1559015358719744E-3</v>
      </c>
      <c r="H17" s="37">
        <f t="shared" si="2"/>
        <v>-4.3639537420904206E-3</v>
      </c>
      <c r="I17" s="37">
        <f t="shared" si="3"/>
        <v>-3.2729653065678432E-3</v>
      </c>
      <c r="J17" s="37">
        <f t="shared" si="4"/>
        <v>-2.16076058772674E-3</v>
      </c>
      <c r="K17" s="14"/>
    </row>
    <row r="18" spans="1:11" x14ac:dyDescent="0.35">
      <c r="A18" s="7">
        <f t="shared" si="1"/>
        <v>14</v>
      </c>
      <c r="B18" s="42">
        <v>45363</v>
      </c>
      <c r="C18" s="37">
        <v>9.5060000000000006E-2</v>
      </c>
      <c r="D18" s="37">
        <v>9.1660000000000005E-2</v>
      </c>
      <c r="E18" s="37">
        <v>9.1660000000000005E-2</v>
      </c>
      <c r="F18" s="37">
        <v>9.2560000000000003E-2</v>
      </c>
      <c r="G18" s="37">
        <f t="shared" si="5"/>
        <v>5.2876480541457216E-3</v>
      </c>
      <c r="H18" s="37">
        <f t="shared" si="2"/>
        <v>1.092179991262654E-3</v>
      </c>
      <c r="I18" s="37">
        <f t="shared" si="3"/>
        <v>2.1867483052699921E-3</v>
      </c>
      <c r="J18" s="37">
        <f t="shared" si="4"/>
        <v>7.6202917483128019E-3</v>
      </c>
    </row>
    <row r="19" spans="1:11" x14ac:dyDescent="0.35">
      <c r="A19" s="7">
        <f t="shared" si="1"/>
        <v>15</v>
      </c>
      <c r="B19" s="42">
        <v>45362</v>
      </c>
      <c r="C19" s="37">
        <v>9.4559999999999991E-2</v>
      </c>
      <c r="D19" s="37">
        <v>9.1560000000000002E-2</v>
      </c>
      <c r="E19" s="37">
        <v>9.1460000000000014E-2</v>
      </c>
      <c r="F19" s="37">
        <v>9.1859999999999997E-2</v>
      </c>
      <c r="G19" s="37">
        <f t="shared" si="5"/>
        <v>-3.4116445352400326E-2</v>
      </c>
      <c r="H19" s="37">
        <f t="shared" si="2"/>
        <v>-3.671751709626514E-2</v>
      </c>
      <c r="I19" s="37">
        <f t="shared" si="3"/>
        <v>-3.6147117715249144E-2</v>
      </c>
      <c r="J19" s="37">
        <f t="shared" si="4"/>
        <v>-3.5691790888095709E-2</v>
      </c>
    </row>
    <row r="20" spans="1:11" x14ac:dyDescent="0.35">
      <c r="A20" s="7">
        <f t="shared" si="1"/>
        <v>16</v>
      </c>
      <c r="B20" s="42">
        <v>45360</v>
      </c>
      <c r="C20" s="37">
        <v>9.7899999999999987E-2</v>
      </c>
      <c r="D20" s="37">
        <v>9.5050000000000009E-2</v>
      </c>
      <c r="E20" s="37">
        <v>9.4890000000000002E-2</v>
      </c>
      <c r="F20" s="37">
        <v>9.5259999999999997E-2</v>
      </c>
      <c r="G20" s="37">
        <f t="shared" si="5"/>
        <v>4.2598509052182987E-2</v>
      </c>
      <c r="H20" s="37">
        <f t="shared" si="2"/>
        <v>4.680616740088106E-2</v>
      </c>
      <c r="I20" s="37">
        <f t="shared" si="3"/>
        <v>4.1602634467617916E-2</v>
      </c>
      <c r="J20" s="37">
        <f t="shared" si="4"/>
        <v>4.7043306221147496E-2</v>
      </c>
    </row>
    <row r="21" spans="1:11" x14ac:dyDescent="0.35">
      <c r="A21" s="7">
        <f t="shared" si="1"/>
        <v>17</v>
      </c>
      <c r="B21" s="42">
        <v>45359</v>
      </c>
      <c r="C21" s="37">
        <v>9.3900000000000011E-2</v>
      </c>
      <c r="D21" s="37">
        <v>9.0800000000000006E-2</v>
      </c>
      <c r="E21" s="37">
        <v>9.11E-2</v>
      </c>
      <c r="F21" s="37">
        <v>9.0980000000000005E-2</v>
      </c>
      <c r="G21" s="37">
        <f t="shared" si="5"/>
        <v>-1.1162594776747969E-2</v>
      </c>
      <c r="H21" s="37">
        <f t="shared" si="2"/>
        <v>-8.3005679335954596E-3</v>
      </c>
      <c r="I21" s="37">
        <f t="shared" si="3"/>
        <v>-1.7532325224631773E-3</v>
      </c>
      <c r="J21" s="37">
        <f t="shared" si="4"/>
        <v>-4.1593695271452402E-3</v>
      </c>
    </row>
    <row r="22" spans="1:11" x14ac:dyDescent="0.35">
      <c r="A22" s="7">
        <f t="shared" si="1"/>
        <v>18</v>
      </c>
      <c r="B22" s="42">
        <v>45358</v>
      </c>
      <c r="C22" s="37">
        <v>9.4960000000000003E-2</v>
      </c>
      <c r="D22" s="37">
        <v>9.1560000000000002E-2</v>
      </c>
      <c r="E22" s="37">
        <v>9.1259999999999994E-2</v>
      </c>
      <c r="F22" s="37">
        <v>9.1359999999999997E-2</v>
      </c>
      <c r="G22" s="37">
        <f t="shared" si="5"/>
        <v>1.0642826734780675E-2</v>
      </c>
      <c r="H22" s="37">
        <f t="shared" si="2"/>
        <v>1.093374152634885E-3</v>
      </c>
      <c r="I22" s="37">
        <f t="shared" si="3"/>
        <v>0</v>
      </c>
      <c r="J22" s="37">
        <f t="shared" si="4"/>
        <v>-3.2729653065678432E-3</v>
      </c>
    </row>
    <row r="23" spans="1:11" x14ac:dyDescent="0.35">
      <c r="A23" s="7">
        <f t="shared" si="1"/>
        <v>19</v>
      </c>
      <c r="B23" s="42">
        <v>45357</v>
      </c>
      <c r="C23" s="37">
        <v>9.3960000000000002E-2</v>
      </c>
      <c r="D23" s="37">
        <v>9.1460000000000014E-2</v>
      </c>
      <c r="E23" s="37">
        <v>9.1259999999999994E-2</v>
      </c>
      <c r="F23" s="37">
        <v>9.1660000000000005E-2</v>
      </c>
      <c r="G23" s="37">
        <f t="shared" si="5"/>
        <v>-6.345177664974555E-3</v>
      </c>
      <c r="H23" s="37">
        <f t="shared" si="2"/>
        <v>-4.354452427607014E-3</v>
      </c>
      <c r="I23" s="37">
        <f t="shared" si="3"/>
        <v>-7.6120052196607668E-3</v>
      </c>
      <c r="J23" s="37">
        <f t="shared" si="4"/>
        <v>-3.2622879512831382E-3</v>
      </c>
    </row>
    <row r="24" spans="1:11" x14ac:dyDescent="0.35">
      <c r="A24" s="7">
        <f t="shared" si="1"/>
        <v>20</v>
      </c>
      <c r="B24" s="42">
        <v>45356</v>
      </c>
      <c r="C24" s="37">
        <v>9.4559999999999991E-2</v>
      </c>
      <c r="D24" s="37">
        <v>9.1859999999999997E-2</v>
      </c>
      <c r="E24" s="37">
        <v>9.196E-2</v>
      </c>
      <c r="F24" s="37">
        <v>9.196E-2</v>
      </c>
      <c r="G24" s="37">
        <f t="shared" si="5"/>
        <v>-5.2598358931202904E-3</v>
      </c>
      <c r="H24" s="37">
        <f t="shared" si="2"/>
        <v>-4.3355733795795715E-3</v>
      </c>
      <c r="I24" s="37">
        <f t="shared" si="3"/>
        <v>-2.1701388888888395E-3</v>
      </c>
      <c r="J24" s="37">
        <f t="shared" si="4"/>
        <v>-3.2516800346846786E-3</v>
      </c>
    </row>
    <row r="25" spans="1:11" x14ac:dyDescent="0.35">
      <c r="A25" s="7">
        <f t="shared" si="1"/>
        <v>21</v>
      </c>
      <c r="B25" s="42">
        <v>45355</v>
      </c>
      <c r="C25" s="37">
        <v>9.5060000000000006E-2</v>
      </c>
      <c r="D25" s="37">
        <v>9.2260000000000009E-2</v>
      </c>
      <c r="E25" s="37">
        <v>9.2159999999999992E-2</v>
      </c>
      <c r="F25" s="37">
        <v>9.2260000000000009E-2</v>
      </c>
      <c r="G25" s="37">
        <f t="shared" si="5"/>
        <v>-2.6423596886521739E-2</v>
      </c>
      <c r="H25" s="37">
        <f t="shared" si="2"/>
        <v>-3.2609835378001439E-2</v>
      </c>
      <c r="I25" s="37">
        <f t="shared" si="3"/>
        <v>-3.172935490649309E-2</v>
      </c>
      <c r="J25" s="37">
        <f t="shared" si="4"/>
        <v>-3.2711260222268779E-2</v>
      </c>
    </row>
    <row r="26" spans="1:11" x14ac:dyDescent="0.35">
      <c r="A26" s="7">
        <f t="shared" si="1"/>
        <v>22</v>
      </c>
      <c r="B26" s="42">
        <v>45353</v>
      </c>
      <c r="C26" s="37">
        <v>9.7639999999999991E-2</v>
      </c>
      <c r="D26" s="37">
        <v>9.537000000000001E-2</v>
      </c>
      <c r="E26" s="37">
        <v>9.5180000000000001E-2</v>
      </c>
      <c r="F26" s="37">
        <v>9.5380000000000006E-2</v>
      </c>
      <c r="G26" s="37">
        <f t="shared" si="5"/>
        <v>3.0392570704938615E-2</v>
      </c>
      <c r="H26" s="37">
        <f t="shared" si="2"/>
        <v>4.1612057667103519E-2</v>
      </c>
      <c r="I26" s="37">
        <f t="shared" si="3"/>
        <v>4.0673518478023141E-2</v>
      </c>
      <c r="J26" s="37">
        <f t="shared" si="4"/>
        <v>3.8319181362943766E-2</v>
      </c>
    </row>
    <row r="27" spans="1:11" x14ac:dyDescent="0.35">
      <c r="A27" s="7">
        <f t="shared" si="1"/>
        <v>23</v>
      </c>
      <c r="B27" s="42">
        <v>45352</v>
      </c>
      <c r="C27" s="37">
        <v>9.4760000000000011E-2</v>
      </c>
      <c r="D27" s="37">
        <v>9.1560000000000002E-2</v>
      </c>
      <c r="E27" s="37">
        <v>9.1460000000000014E-2</v>
      </c>
      <c r="F27" s="37">
        <v>9.1859999999999997E-2</v>
      </c>
      <c r="G27" s="37">
        <f t="shared" si="5"/>
        <v>2.7513227513229488E-3</v>
      </c>
      <c r="H27" s="37">
        <f t="shared" si="2"/>
        <v>-1.0909884355225774E-3</v>
      </c>
      <c r="I27" s="37">
        <f t="shared" si="3"/>
        <v>-1.0921799912624319E-3</v>
      </c>
      <c r="J27" s="37">
        <f t="shared" si="4"/>
        <v>-2.1724961981315349E-3</v>
      </c>
    </row>
    <row r="28" spans="1:11" x14ac:dyDescent="0.35">
      <c r="A28" s="7">
        <f t="shared" si="1"/>
        <v>24</v>
      </c>
      <c r="B28" s="42">
        <v>45351</v>
      </c>
      <c r="C28" s="37">
        <v>9.4499999999999987E-2</v>
      </c>
      <c r="D28" s="37">
        <v>9.1660000000000005E-2</v>
      </c>
      <c r="E28" s="37">
        <v>9.1560000000000002E-2</v>
      </c>
      <c r="F28" s="37">
        <v>9.2059999999999989E-2</v>
      </c>
      <c r="G28" s="37">
        <f t="shared" si="5"/>
        <v>-2.7437737441960985E-3</v>
      </c>
      <c r="H28" s="37">
        <f t="shared" si="2"/>
        <v>-5.4253472222220989E-3</v>
      </c>
      <c r="I28" s="37">
        <f t="shared" si="3"/>
        <v>-4.3497172683775176E-3</v>
      </c>
      <c r="J28" s="37">
        <f t="shared" si="4"/>
        <v>-8.6151195347836662E-3</v>
      </c>
    </row>
    <row r="29" spans="1:11" x14ac:dyDescent="0.35">
      <c r="A29" s="7">
        <f t="shared" si="1"/>
        <v>25</v>
      </c>
      <c r="B29" s="42">
        <v>45350</v>
      </c>
      <c r="C29" s="37">
        <v>9.4760000000000011E-2</v>
      </c>
      <c r="D29" s="37">
        <v>9.2159999999999992E-2</v>
      </c>
      <c r="E29" s="37">
        <v>9.196E-2</v>
      </c>
      <c r="F29" s="37">
        <v>9.2859999999999998E-2</v>
      </c>
      <c r="G29" s="37">
        <f t="shared" si="5"/>
        <v>-2.106149957876946E-3</v>
      </c>
      <c r="H29" s="37">
        <f t="shared" si="2"/>
        <v>-6.4683053040104355E-3</v>
      </c>
      <c r="I29" s="37">
        <f t="shared" si="3"/>
        <v>-5.4077438892493612E-3</v>
      </c>
      <c r="J29" s="37">
        <f t="shared" si="4"/>
        <v>-5.3556126820908379E-3</v>
      </c>
    </row>
    <row r="30" spans="1:11" x14ac:dyDescent="0.35">
      <c r="A30" s="7">
        <f t="shared" si="1"/>
        <v>26</v>
      </c>
      <c r="B30" s="42">
        <v>45349</v>
      </c>
      <c r="C30" s="37">
        <v>9.4960000000000003E-2</v>
      </c>
      <c r="D30" s="37">
        <v>9.2759999999999995E-2</v>
      </c>
      <c r="E30" s="37">
        <v>9.2460000000000001E-2</v>
      </c>
      <c r="F30" s="37">
        <v>9.3359999999999999E-2</v>
      </c>
      <c r="G30" s="37">
        <f t="shared" si="5"/>
        <v>1.2798634812286824E-2</v>
      </c>
      <c r="H30" s="37">
        <f t="shared" si="2"/>
        <v>1.0897994768962471E-2</v>
      </c>
      <c r="I30" s="37">
        <f t="shared" si="3"/>
        <v>7.6285963382736188E-3</v>
      </c>
      <c r="J30" s="37">
        <f t="shared" si="4"/>
        <v>2.146844139115478E-3</v>
      </c>
    </row>
    <row r="31" spans="1:11" x14ac:dyDescent="0.35">
      <c r="A31" s="7">
        <f t="shared" si="1"/>
        <v>27</v>
      </c>
      <c r="B31" s="42">
        <v>45348</v>
      </c>
      <c r="C31" s="37">
        <v>9.3759999999999996E-2</v>
      </c>
      <c r="D31" s="37">
        <v>9.1760000000000008E-2</v>
      </c>
      <c r="E31" s="37">
        <v>9.1760000000000008E-2</v>
      </c>
      <c r="F31" s="37">
        <v>9.3160000000000007E-2</v>
      </c>
      <c r="G31" s="37">
        <f t="shared" si="5"/>
        <v>-3.9737812371978598E-2</v>
      </c>
      <c r="H31" s="37">
        <f t="shared" si="2"/>
        <v>-3.8356738629218179E-2</v>
      </c>
      <c r="I31" s="37">
        <f t="shared" si="3"/>
        <v>-3.7448861848316306E-2</v>
      </c>
      <c r="J31" s="37">
        <f t="shared" si="4"/>
        <v>-3.5011394240729188E-2</v>
      </c>
    </row>
    <row r="32" spans="1:11" x14ac:dyDescent="0.35">
      <c r="A32" s="7">
        <f t="shared" si="1"/>
        <v>28</v>
      </c>
      <c r="B32" s="42">
        <v>45346</v>
      </c>
      <c r="C32" s="37">
        <v>9.7639999999999991E-2</v>
      </c>
      <c r="D32" s="37">
        <v>9.5420000000000005E-2</v>
      </c>
      <c r="E32" s="37">
        <v>9.5329999999999998E-2</v>
      </c>
      <c r="F32" s="37">
        <v>9.6540000000000001E-2</v>
      </c>
      <c r="G32" s="37">
        <f t="shared" si="5"/>
        <v>4.138225255972694E-2</v>
      </c>
      <c r="H32" s="37">
        <f t="shared" si="2"/>
        <v>3.9886660854402844E-2</v>
      </c>
      <c r="I32" s="37">
        <f t="shared" si="3"/>
        <v>3.8905841325196144E-2</v>
      </c>
      <c r="J32" s="37">
        <f t="shared" si="4"/>
        <v>3.6281665951051867E-2</v>
      </c>
    </row>
    <row r="33" spans="1:10" x14ac:dyDescent="0.35">
      <c r="A33" s="7">
        <f t="shared" si="1"/>
        <v>29</v>
      </c>
      <c r="B33" s="42">
        <v>45345</v>
      </c>
      <c r="C33" s="37">
        <v>9.3759999999999996E-2</v>
      </c>
      <c r="D33" s="37">
        <v>9.1760000000000008E-2</v>
      </c>
      <c r="E33" s="37">
        <v>9.1760000000000008E-2</v>
      </c>
      <c r="F33" s="37">
        <v>9.3160000000000007E-2</v>
      </c>
      <c r="G33" s="37">
        <f t="shared" si="5"/>
        <v>-1.0654165778819502E-3</v>
      </c>
      <c r="H33" s="37">
        <f t="shared" si="2"/>
        <v>-5.4194667244743533E-3</v>
      </c>
      <c r="I33" s="37">
        <f t="shared" si="3"/>
        <v>-4.3402777777775681E-3</v>
      </c>
      <c r="J33" s="37">
        <f t="shared" si="4"/>
        <v>-4.2753313381787006E-3</v>
      </c>
    </row>
    <row r="34" spans="1:10" x14ac:dyDescent="0.35">
      <c r="A34" s="7">
        <f t="shared" si="1"/>
        <v>30</v>
      </c>
      <c r="B34" s="42">
        <v>45344</v>
      </c>
      <c r="C34" s="37">
        <v>9.3859999999999999E-2</v>
      </c>
      <c r="D34" s="37">
        <v>9.2260000000000009E-2</v>
      </c>
      <c r="E34" s="37">
        <v>9.2159999999999992E-2</v>
      </c>
      <c r="F34" s="37">
        <v>9.3560000000000004E-2</v>
      </c>
      <c r="G34" s="37">
        <f t="shared" si="5"/>
        <v>-6.0362173038229772E-3</v>
      </c>
      <c r="H34" s="37">
        <f t="shared" si="2"/>
        <v>1.4110496038208797E-3</v>
      </c>
      <c r="I34" s="37">
        <f t="shared" si="3"/>
        <v>0</v>
      </c>
      <c r="J34" s="37">
        <f t="shared" si="4"/>
        <v>9.7129289876969338E-3</v>
      </c>
    </row>
    <row r="35" spans="1:10" x14ac:dyDescent="0.35">
      <c r="A35" s="7">
        <f t="shared" si="1"/>
        <v>31</v>
      </c>
      <c r="B35" s="42">
        <v>45343</v>
      </c>
      <c r="C35" s="37">
        <v>9.443E-2</v>
      </c>
      <c r="D35" s="37">
        <v>9.212999999999999E-2</v>
      </c>
      <c r="E35" s="37">
        <v>9.2159999999999992E-2</v>
      </c>
      <c r="F35" s="37">
        <v>9.2660000000000006E-2</v>
      </c>
      <c r="G35" s="37">
        <f t="shared" si="5"/>
        <v>-1.1825031393888574E-2</v>
      </c>
      <c r="H35" s="37">
        <f t="shared" si="2"/>
        <v>-6.7917205692109572E-3</v>
      </c>
      <c r="I35" s="37">
        <f t="shared" si="3"/>
        <v>-7.5382295929357079E-3</v>
      </c>
      <c r="J35" s="37">
        <f t="shared" si="4"/>
        <v>-7.497857754927062E-3</v>
      </c>
    </row>
    <row r="36" spans="1:10" x14ac:dyDescent="0.35">
      <c r="A36" s="7">
        <f t="shared" si="1"/>
        <v>32</v>
      </c>
      <c r="B36" s="42">
        <v>45342</v>
      </c>
      <c r="C36" s="37">
        <v>9.5559999999999992E-2</v>
      </c>
      <c r="D36" s="37">
        <v>9.2759999999999995E-2</v>
      </c>
      <c r="E36" s="37">
        <v>9.2859999999999998E-2</v>
      </c>
      <c r="F36" s="37">
        <v>9.3359999999999999E-2</v>
      </c>
      <c r="G36" s="37">
        <f t="shared" si="5"/>
        <v>-1.0453690152625317E-3</v>
      </c>
      <c r="H36" s="37">
        <f t="shared" si="2"/>
        <v>-1.0768899418479583E-3</v>
      </c>
      <c r="I36" s="37">
        <f t="shared" si="3"/>
        <v>-2.1491510853212104E-3</v>
      </c>
      <c r="J36" s="37">
        <f t="shared" si="4"/>
        <v>-1.0699764605178741E-3</v>
      </c>
    </row>
    <row r="37" spans="1:10" x14ac:dyDescent="0.35">
      <c r="A37" s="7">
        <f t="shared" si="1"/>
        <v>33</v>
      </c>
      <c r="B37" s="42">
        <v>45341</v>
      </c>
      <c r="C37" s="37">
        <v>9.5660000000000009E-2</v>
      </c>
      <c r="D37" s="37">
        <v>9.2859999999999998E-2</v>
      </c>
      <c r="E37" s="37">
        <v>9.305999999999999E-2</v>
      </c>
      <c r="F37" s="37">
        <v>9.3460000000000001E-2</v>
      </c>
      <c r="G37" s="37">
        <f t="shared" si="5"/>
        <v>-3.3834966165033786E-2</v>
      </c>
      <c r="H37" s="37">
        <f t="shared" si="2"/>
        <v>-3.6622056229899336E-2</v>
      </c>
      <c r="I37" s="37">
        <f t="shared" si="3"/>
        <v>-3.4847542003733634E-2</v>
      </c>
      <c r="J37" s="37">
        <f t="shared" si="4"/>
        <v>-3.3505687693898611E-2</v>
      </c>
    </row>
    <row r="38" spans="1:10" x14ac:dyDescent="0.35">
      <c r="A38" s="7">
        <f t="shared" si="1"/>
        <v>34</v>
      </c>
      <c r="B38" s="42">
        <v>45339</v>
      </c>
      <c r="C38" s="37">
        <v>9.9010000000000001E-2</v>
      </c>
      <c r="D38" s="37">
        <v>9.638999999999999E-2</v>
      </c>
      <c r="E38" s="37">
        <v>9.6419999999999992E-2</v>
      </c>
      <c r="F38" s="37">
        <v>9.6699999999999994E-2</v>
      </c>
      <c r="G38" s="37">
        <f t="shared" si="5"/>
        <v>3.5019862011289815E-2</v>
      </c>
      <c r="H38" s="37">
        <f t="shared" si="2"/>
        <v>3.8014214947232228E-2</v>
      </c>
      <c r="I38" s="37">
        <f t="shared" si="3"/>
        <v>3.6105738233397799E-2</v>
      </c>
      <c r="J38" s="37">
        <f t="shared" si="4"/>
        <v>3.9114549752847783E-2</v>
      </c>
    </row>
    <row r="39" spans="1:10" x14ac:dyDescent="0.35">
      <c r="A39" s="7">
        <f t="shared" si="1"/>
        <v>35</v>
      </c>
      <c r="B39" s="42">
        <v>45338</v>
      </c>
      <c r="C39" s="37">
        <v>9.5660000000000009E-2</v>
      </c>
      <c r="D39" s="37">
        <v>9.2859999999999998E-2</v>
      </c>
      <c r="E39" s="37">
        <v>9.305999999999999E-2</v>
      </c>
      <c r="F39" s="37">
        <v>9.305999999999999E-2</v>
      </c>
      <c r="G39" s="37">
        <f t="shared" si="5"/>
        <v>1.1632825719120277E-2</v>
      </c>
      <c r="H39" s="37">
        <f t="shared" si="2"/>
        <v>8.6899847925268059E-3</v>
      </c>
      <c r="I39" s="37">
        <f t="shared" si="3"/>
        <v>9.765625E-3</v>
      </c>
      <c r="J39" s="37">
        <f t="shared" si="4"/>
        <v>4.3168573278651312E-3</v>
      </c>
    </row>
    <row r="40" spans="1:10" x14ac:dyDescent="0.35">
      <c r="A40" s="7">
        <f t="shared" si="1"/>
        <v>36</v>
      </c>
      <c r="B40" s="42">
        <v>45337</v>
      </c>
      <c r="C40" s="37">
        <v>9.4559999999999991E-2</v>
      </c>
      <c r="D40" s="37">
        <v>9.2059999999999989E-2</v>
      </c>
      <c r="E40" s="37">
        <v>9.2159999999999992E-2</v>
      </c>
      <c r="F40" s="37">
        <v>9.2660000000000006E-2</v>
      </c>
      <c r="G40" s="37">
        <f t="shared" si="5"/>
        <v>-4.2122999157541141E-3</v>
      </c>
      <c r="H40" s="37">
        <f t="shared" si="2"/>
        <v>-4.3261951113996444E-3</v>
      </c>
      <c r="I40" s="37">
        <f t="shared" si="3"/>
        <v>-3.2446463335497056E-3</v>
      </c>
      <c r="J40" s="37">
        <f t="shared" si="4"/>
        <v>-6.4336264207591753E-3</v>
      </c>
    </row>
    <row r="41" spans="1:10" x14ac:dyDescent="0.35">
      <c r="A41" s="7">
        <f t="shared" si="1"/>
        <v>37</v>
      </c>
      <c r="B41" s="42">
        <v>45336</v>
      </c>
      <c r="C41" s="37">
        <v>9.4960000000000003E-2</v>
      </c>
      <c r="D41" s="37">
        <v>9.2460000000000001E-2</v>
      </c>
      <c r="E41" s="37">
        <v>9.2460000000000001E-2</v>
      </c>
      <c r="F41" s="37">
        <v>9.326000000000001E-2</v>
      </c>
      <c r="G41" s="37">
        <f t="shared" si="5"/>
        <v>-8.3542188805347806E-3</v>
      </c>
      <c r="H41" s="37">
        <f t="shared" si="2"/>
        <v>-5.3786574870910986E-3</v>
      </c>
      <c r="I41" s="37">
        <f t="shared" si="3"/>
        <v>-8.5781685610123448E-3</v>
      </c>
      <c r="J41" s="37">
        <f t="shared" si="4"/>
        <v>-7.4499787143464946E-3</v>
      </c>
    </row>
    <row r="42" spans="1:10" x14ac:dyDescent="0.35">
      <c r="A42" s="7">
        <f t="shared" si="1"/>
        <v>38</v>
      </c>
      <c r="B42" s="42">
        <v>45335</v>
      </c>
      <c r="C42" s="37">
        <v>9.5760000000000012E-2</v>
      </c>
      <c r="D42" s="37">
        <v>9.2959999999999987E-2</v>
      </c>
      <c r="E42" s="37">
        <v>9.326000000000001E-2</v>
      </c>
      <c r="F42" s="37">
        <v>9.3960000000000002E-2</v>
      </c>
      <c r="G42" s="37">
        <f t="shared" si="5"/>
        <v>2.0242914979757165E-2</v>
      </c>
      <c r="H42" s="37">
        <f t="shared" si="2"/>
        <v>1.9745502413339056E-2</v>
      </c>
      <c r="I42" s="37">
        <f t="shared" si="3"/>
        <v>1.9680734747430595E-2</v>
      </c>
      <c r="J42" s="37">
        <f t="shared" si="4"/>
        <v>9.6711798839459462E-3</v>
      </c>
    </row>
    <row r="43" spans="1:10" x14ac:dyDescent="0.35">
      <c r="A43" s="7">
        <f t="shared" si="1"/>
        <v>39</v>
      </c>
      <c r="B43" s="42">
        <v>45334</v>
      </c>
      <c r="C43" s="37">
        <v>9.3859999999999999E-2</v>
      </c>
      <c r="D43" s="37">
        <v>9.1159999999999991E-2</v>
      </c>
      <c r="E43" s="37">
        <v>9.1460000000000014E-2</v>
      </c>
      <c r="F43" s="37">
        <v>9.305999999999999E-2</v>
      </c>
      <c r="G43" s="37">
        <f t="shared" si="5"/>
        <v>-3.8221129214058958E-2</v>
      </c>
      <c r="H43" s="37">
        <f t="shared" si="2"/>
        <v>-3.7482842360891278E-2</v>
      </c>
      <c r="I43" s="37">
        <f t="shared" si="3"/>
        <v>-3.7465796674384322E-2</v>
      </c>
      <c r="J43" s="37">
        <f t="shared" si="4"/>
        <v>-3.7642192347466463E-2</v>
      </c>
    </row>
    <row r="44" spans="1:10" x14ac:dyDescent="0.35">
      <c r="A44" s="7">
        <f t="shared" si="1"/>
        <v>40</v>
      </c>
      <c r="B44" s="42">
        <v>45332</v>
      </c>
      <c r="C44" s="37">
        <v>9.759000000000001E-2</v>
      </c>
      <c r="D44" s="37">
        <v>9.4710000000000003E-2</v>
      </c>
      <c r="E44" s="37">
        <v>9.5020000000000007E-2</v>
      </c>
      <c r="F44" s="37">
        <v>9.6699999999999994E-2</v>
      </c>
      <c r="G44" s="37">
        <f t="shared" si="5"/>
        <v>3.7529236657452669E-2</v>
      </c>
      <c r="H44" s="37">
        <f t="shared" si="2"/>
        <v>3.8942518648530156E-2</v>
      </c>
      <c r="I44" s="37">
        <f t="shared" si="3"/>
        <v>3.7789427697684674E-2</v>
      </c>
      <c r="J44" s="37">
        <f t="shared" si="4"/>
        <v>3.799914126234416E-2</v>
      </c>
    </row>
    <row r="45" spans="1:10" x14ac:dyDescent="0.35">
      <c r="A45" s="7">
        <f t="shared" si="1"/>
        <v>41</v>
      </c>
      <c r="B45" s="42">
        <v>45331</v>
      </c>
      <c r="C45" s="37">
        <v>9.4060000000000005E-2</v>
      </c>
      <c r="D45" s="37">
        <v>9.1159999999999991E-2</v>
      </c>
      <c r="E45" s="37">
        <v>9.1560000000000002E-2</v>
      </c>
      <c r="F45" s="37">
        <v>9.3160000000000007E-2</v>
      </c>
      <c r="G45" s="37">
        <f t="shared" si="5"/>
        <v>-6.338474540460437E-3</v>
      </c>
      <c r="H45" s="37">
        <f t="shared" si="2"/>
        <v>-7.6202917483126908E-3</v>
      </c>
      <c r="I45" s="37">
        <f t="shared" si="3"/>
        <v>-6.5104166666665186E-3</v>
      </c>
      <c r="J45" s="37">
        <f t="shared" si="4"/>
        <v>-3.2099293815535113E-3</v>
      </c>
    </row>
    <row r="46" spans="1:10" x14ac:dyDescent="0.35">
      <c r="A46" s="7">
        <f t="shared" si="1"/>
        <v>42</v>
      </c>
      <c r="B46" s="42">
        <v>45330</v>
      </c>
      <c r="C46" s="37">
        <v>9.4659999999999994E-2</v>
      </c>
      <c r="D46" s="37">
        <v>9.1859999999999997E-2</v>
      </c>
      <c r="E46" s="37">
        <v>9.2159999999999992E-2</v>
      </c>
      <c r="F46" s="37">
        <v>9.3460000000000001E-2</v>
      </c>
      <c r="G46" s="37">
        <f t="shared" si="5"/>
        <v>-9.418166596902422E-3</v>
      </c>
      <c r="H46" s="37">
        <f t="shared" si="2"/>
        <v>-5.4135989605891277E-3</v>
      </c>
      <c r="I46" s="37">
        <f t="shared" si="3"/>
        <v>-5.3960716598318026E-3</v>
      </c>
      <c r="J46" s="37">
        <f t="shared" si="4"/>
        <v>-6.3789070805868597E-3</v>
      </c>
    </row>
    <row r="47" spans="1:10" x14ac:dyDescent="0.35">
      <c r="A47" s="7">
        <f t="shared" si="1"/>
        <v>43</v>
      </c>
      <c r="B47" s="42">
        <v>45329</v>
      </c>
      <c r="C47" s="37">
        <v>9.5559999999999992E-2</v>
      </c>
      <c r="D47" s="37">
        <v>9.2360000000000012E-2</v>
      </c>
      <c r="E47" s="37">
        <v>9.2660000000000006E-2</v>
      </c>
      <c r="F47" s="37">
        <v>9.4060000000000005E-2</v>
      </c>
      <c r="G47" s="37">
        <f t="shared" si="5"/>
        <v>-8.30220008302196E-3</v>
      </c>
      <c r="H47" s="37">
        <f t="shared" si="2"/>
        <v>-2.16076058772674E-3</v>
      </c>
      <c r="I47" s="37">
        <f t="shared" si="3"/>
        <v>0</v>
      </c>
      <c r="J47" s="37">
        <f t="shared" si="4"/>
        <v>5.3441641727234312E-3</v>
      </c>
    </row>
    <row r="48" spans="1:10" x14ac:dyDescent="0.35">
      <c r="A48" s="7">
        <f t="shared" si="1"/>
        <v>44</v>
      </c>
      <c r="B48" s="42">
        <v>45328</v>
      </c>
      <c r="C48" s="37">
        <v>9.6359999999999987E-2</v>
      </c>
      <c r="D48" s="37">
        <v>9.2560000000000003E-2</v>
      </c>
      <c r="E48" s="37">
        <v>9.2660000000000006E-2</v>
      </c>
      <c r="F48" s="37">
        <v>9.3560000000000004E-2</v>
      </c>
      <c r="G48" s="37">
        <f t="shared" si="5"/>
        <v>-3.1168308867886685E-2</v>
      </c>
      <c r="H48" s="37">
        <f t="shared" si="2"/>
        <v>-3.1495239091765215E-2</v>
      </c>
      <c r="I48" s="37">
        <f t="shared" si="3"/>
        <v>-3.2372598162071942E-2</v>
      </c>
      <c r="J48" s="37">
        <f t="shared" si="4"/>
        <v>-3.446852425180591E-2</v>
      </c>
    </row>
    <row r="49" spans="1:10" x14ac:dyDescent="0.35">
      <c r="A49" s="7">
        <f t="shared" si="1"/>
        <v>45</v>
      </c>
      <c r="B49" s="42">
        <v>45325</v>
      </c>
      <c r="C49" s="37">
        <v>9.9459999999999993E-2</v>
      </c>
      <c r="D49" s="37">
        <v>9.5570000000000002E-2</v>
      </c>
      <c r="E49" s="37">
        <v>9.5760000000000012E-2</v>
      </c>
      <c r="F49" s="37">
        <v>9.69E-2</v>
      </c>
      <c r="G49" s="37">
        <f t="shared" si="5"/>
        <v>4.2994966442952975E-2</v>
      </c>
      <c r="H49" s="37">
        <f t="shared" si="2"/>
        <v>3.5876869716019888E-2</v>
      </c>
      <c r="I49" s="37">
        <f t="shared" si="3"/>
        <v>3.681247293200518E-2</v>
      </c>
      <c r="J49" s="37">
        <f t="shared" si="4"/>
        <v>4.1263700838169104E-2</v>
      </c>
    </row>
    <row r="50" spans="1:10" x14ac:dyDescent="0.35">
      <c r="A50" s="7">
        <f t="shared" si="1"/>
        <v>46</v>
      </c>
      <c r="B50" s="42">
        <v>45324</v>
      </c>
      <c r="C50" s="37">
        <v>9.536E-2</v>
      </c>
      <c r="D50" s="37">
        <v>9.2260000000000009E-2</v>
      </c>
      <c r="E50" s="37">
        <v>9.2360000000000012E-2</v>
      </c>
      <c r="F50" s="37">
        <v>9.305999999999999E-2</v>
      </c>
      <c r="G50" s="37">
        <f t="shared" si="5"/>
        <v>2.4274973147153656E-2</v>
      </c>
      <c r="H50" s="37">
        <f t="shared" si="2"/>
        <v>2.4428159005107863E-2</v>
      </c>
      <c r="I50" s="37">
        <f t="shared" si="3"/>
        <v>2.2133687472333019E-2</v>
      </c>
      <c r="J50" s="37">
        <f t="shared" si="4"/>
        <v>1.7493986442160159E-2</v>
      </c>
    </row>
    <row r="51" spans="1:10" x14ac:dyDescent="0.35">
      <c r="A51" s="7">
        <f t="shared" si="1"/>
        <v>47</v>
      </c>
      <c r="B51" s="42">
        <v>45323</v>
      </c>
      <c r="C51" s="37">
        <v>9.3100000000000002E-2</v>
      </c>
      <c r="D51" s="37">
        <v>9.0060000000000001E-2</v>
      </c>
      <c r="E51" s="37">
        <v>9.0359999999999996E-2</v>
      </c>
      <c r="F51" s="37">
        <v>9.1460000000000014E-2</v>
      </c>
      <c r="G51" s="37">
        <f t="shared" si="5"/>
        <v>-1.0206251328939042E-2</v>
      </c>
      <c r="H51" s="37">
        <f t="shared" si="2"/>
        <v>-8.8047545674664329E-3</v>
      </c>
      <c r="I51" s="37">
        <f t="shared" si="3"/>
        <v>-1.4182849661793728E-2</v>
      </c>
      <c r="J51" s="37">
        <f t="shared" si="4"/>
        <v>-1.1884183232497736E-2</v>
      </c>
    </row>
    <row r="52" spans="1:10" x14ac:dyDescent="0.35">
      <c r="A52" s="7">
        <f t="shared" si="1"/>
        <v>48</v>
      </c>
      <c r="B52" s="42">
        <v>45322</v>
      </c>
      <c r="C52" s="37">
        <v>9.4060000000000005E-2</v>
      </c>
      <c r="D52" s="37">
        <v>9.0859999999999996E-2</v>
      </c>
      <c r="E52" s="37">
        <v>9.1660000000000005E-2</v>
      </c>
      <c r="F52" s="37">
        <v>9.2560000000000003E-2</v>
      </c>
      <c r="G52" s="37">
        <f t="shared" si="5"/>
        <v>-1.2597102666386695E-2</v>
      </c>
      <c r="H52" s="37">
        <f t="shared" si="2"/>
        <v>-1.3034977188789876E-2</v>
      </c>
      <c r="I52" s="37">
        <f t="shared" si="3"/>
        <v>-1.1858559724018836E-2</v>
      </c>
      <c r="J52" s="37">
        <f t="shared" si="4"/>
        <v>-8.5689802913452295E-3</v>
      </c>
    </row>
    <row r="53" spans="1:10" x14ac:dyDescent="0.35">
      <c r="A53" s="7">
        <f t="shared" si="1"/>
        <v>49</v>
      </c>
      <c r="B53" s="42">
        <v>45321</v>
      </c>
      <c r="C53" s="37">
        <v>9.5259999999999997E-2</v>
      </c>
      <c r="D53" s="37">
        <v>9.2059999999999989E-2</v>
      </c>
      <c r="E53" s="37">
        <v>9.2759999999999995E-2</v>
      </c>
      <c r="F53" s="37">
        <v>9.3359999999999999E-2</v>
      </c>
      <c r="G53" s="37">
        <f t="shared" si="5"/>
        <v>7.4027072758038326E-3</v>
      </c>
      <c r="H53" s="37">
        <f t="shared" si="2"/>
        <v>5.4608999563126037E-3</v>
      </c>
      <c r="I53" s="37">
        <f t="shared" si="3"/>
        <v>3.2446463335495945E-3</v>
      </c>
      <c r="J53" s="37">
        <f t="shared" si="4"/>
        <v>1.0722710701263072E-3</v>
      </c>
    </row>
    <row r="54" spans="1:10" x14ac:dyDescent="0.35">
      <c r="A54" s="7">
        <f t="shared" si="1"/>
        <v>50</v>
      </c>
      <c r="B54" s="42">
        <v>45320</v>
      </c>
      <c r="C54" s="37">
        <v>9.4559999999999991E-2</v>
      </c>
      <c r="D54" s="37">
        <v>9.1560000000000002E-2</v>
      </c>
      <c r="E54" s="37">
        <v>9.2460000000000001E-2</v>
      </c>
      <c r="F54" s="37">
        <v>9.326000000000001E-2</v>
      </c>
      <c r="G54" s="37">
        <f t="shared" si="5"/>
        <v>-3.647850010189535E-2</v>
      </c>
      <c r="H54" s="37">
        <f t="shared" si="2"/>
        <v>-3.7021455616323085E-2</v>
      </c>
      <c r="I54" s="37">
        <f t="shared" si="3"/>
        <v>-3.747657713928787E-2</v>
      </c>
      <c r="J54" s="37">
        <f t="shared" si="4"/>
        <v>-3.8358424417405668E-2</v>
      </c>
    </row>
    <row r="55" spans="1:10" x14ac:dyDescent="0.35">
      <c r="A55" s="7">
        <f t="shared" si="1"/>
        <v>51</v>
      </c>
      <c r="B55" s="42">
        <v>45318</v>
      </c>
      <c r="C55" s="37">
        <v>9.8140000000000005E-2</v>
      </c>
      <c r="D55" s="37">
        <v>9.5079999999999998E-2</v>
      </c>
      <c r="E55" s="37">
        <v>9.6059999999999993E-2</v>
      </c>
      <c r="F55" s="37">
        <v>9.6980000000000011E-2</v>
      </c>
      <c r="G55" s="37">
        <f t="shared" si="5"/>
        <v>3.7859560067682096E-2</v>
      </c>
      <c r="H55" s="37">
        <f t="shared" si="2"/>
        <v>3.618134263295536E-2</v>
      </c>
      <c r="I55" s="37">
        <f t="shared" si="3"/>
        <v>3.8935756002595578E-2</v>
      </c>
      <c r="J55" s="37">
        <f t="shared" si="4"/>
        <v>3.7663171410229124E-2</v>
      </c>
    </row>
    <row r="56" spans="1:10" x14ac:dyDescent="0.35">
      <c r="A56" s="7">
        <f t="shared" si="1"/>
        <v>52</v>
      </c>
      <c r="B56" s="42">
        <v>45317</v>
      </c>
      <c r="C56" s="37">
        <v>9.4559999999999991E-2</v>
      </c>
      <c r="D56" s="37">
        <v>9.1760000000000008E-2</v>
      </c>
      <c r="E56" s="37">
        <v>9.2460000000000001E-2</v>
      </c>
      <c r="F56" s="37">
        <v>9.3460000000000001E-2</v>
      </c>
      <c r="G56" s="37">
        <f t="shared" si="5"/>
        <v>2.1195421788893221E-3</v>
      </c>
      <c r="H56" s="37">
        <f t="shared" si="2"/>
        <v>3.2801224579050992E-3</v>
      </c>
      <c r="I56" s="37">
        <f t="shared" si="3"/>
        <v>0</v>
      </c>
      <c r="J56" s="37">
        <f t="shared" si="4"/>
        <v>3.220266208673106E-3</v>
      </c>
    </row>
    <row r="57" spans="1:10" x14ac:dyDescent="0.35">
      <c r="A57" s="7">
        <f t="shared" si="1"/>
        <v>53</v>
      </c>
      <c r="B57" s="42">
        <v>45316</v>
      </c>
      <c r="C57" s="37">
        <v>9.4359999999999999E-2</v>
      </c>
      <c r="D57" s="37">
        <v>9.1460000000000014E-2</v>
      </c>
      <c r="E57" s="37">
        <v>9.2460000000000001E-2</v>
      </c>
      <c r="F57" s="37">
        <v>9.3160000000000007E-2</v>
      </c>
      <c r="G57" s="37">
        <f t="shared" si="5"/>
        <v>-4.2211903756860236E-3</v>
      </c>
      <c r="H57" s="37">
        <f t="shared" si="2"/>
        <v>4.3927081045465055E-3</v>
      </c>
      <c r="I57" s="37">
        <f t="shared" si="3"/>
        <v>7.6285963382736188E-3</v>
      </c>
      <c r="J57" s="37">
        <f t="shared" si="4"/>
        <v>1.0745755426608827E-3</v>
      </c>
    </row>
    <row r="58" spans="1:10" x14ac:dyDescent="0.35">
      <c r="A58" s="7">
        <f t="shared" si="1"/>
        <v>54</v>
      </c>
      <c r="B58" s="42">
        <v>45315</v>
      </c>
      <c r="C58" s="37">
        <v>9.4760000000000011E-2</v>
      </c>
      <c r="D58" s="37">
        <v>9.1060000000000002E-2</v>
      </c>
      <c r="E58" s="37">
        <v>9.1760000000000008E-2</v>
      </c>
      <c r="F58" s="37">
        <v>9.305999999999999E-2</v>
      </c>
      <c r="G58" s="37">
        <f t="shared" si="5"/>
        <v>2.0090937929577724E-3</v>
      </c>
      <c r="H58" s="37">
        <f t="shared" si="2"/>
        <v>-2.9563122741704806E-3</v>
      </c>
      <c r="I58" s="37">
        <f t="shared" si="3"/>
        <v>-5.8504875406283352E-3</v>
      </c>
      <c r="J58" s="37">
        <f t="shared" si="4"/>
        <v>7.1428571428571175E-3</v>
      </c>
    </row>
    <row r="59" spans="1:10" x14ac:dyDescent="0.35">
      <c r="A59" s="7">
        <f t="shared" si="1"/>
        <v>55</v>
      </c>
      <c r="B59" s="42">
        <v>45314</v>
      </c>
      <c r="C59" s="37">
        <v>9.4570000000000001E-2</v>
      </c>
      <c r="D59" s="37">
        <v>9.1329999999999995E-2</v>
      </c>
      <c r="E59" s="37">
        <v>9.2300000000000007E-2</v>
      </c>
      <c r="F59" s="37">
        <v>9.2399999999999996E-2</v>
      </c>
      <c r="G59" s="37">
        <f t="shared" si="5"/>
        <v>2.3317435082139681E-3</v>
      </c>
      <c r="H59" s="37">
        <f t="shared" si="2"/>
        <v>2.8549467442626764E-3</v>
      </c>
      <c r="I59" s="37">
        <f t="shared" si="3"/>
        <v>5.9945504087193235E-3</v>
      </c>
      <c r="J59" s="37">
        <f t="shared" si="4"/>
        <v>-5.3821313240043356E-3</v>
      </c>
    </row>
    <row r="60" spans="1:10" x14ac:dyDescent="0.35">
      <c r="A60" s="7">
        <f t="shared" si="1"/>
        <v>56</v>
      </c>
      <c r="B60" s="42">
        <v>45313</v>
      </c>
      <c r="C60" s="37">
        <v>9.4350000000000003E-2</v>
      </c>
      <c r="D60" s="37">
        <v>9.1069999999999998E-2</v>
      </c>
      <c r="E60" s="37">
        <v>9.1750000000000012E-2</v>
      </c>
      <c r="F60" s="37">
        <v>9.2899999999999996E-2</v>
      </c>
      <c r="G60" s="37">
        <f t="shared" si="5"/>
        <v>-3.9792387543252539E-2</v>
      </c>
      <c r="H60" s="37">
        <f t="shared" si="2"/>
        <v>-4.0661540082165826E-2</v>
      </c>
      <c r="I60" s="37">
        <f t="shared" si="3"/>
        <v>-4.2375534912848178E-2</v>
      </c>
      <c r="J60" s="37">
        <f t="shared" si="4"/>
        <v>-4.1081750619322954E-2</v>
      </c>
    </row>
    <row r="61" spans="1:10" x14ac:dyDescent="0.35">
      <c r="A61" s="7">
        <f t="shared" si="1"/>
        <v>57</v>
      </c>
      <c r="B61" s="42">
        <v>45311</v>
      </c>
      <c r="C61" s="37">
        <v>9.826E-2</v>
      </c>
      <c r="D61" s="37">
        <v>9.493E-2</v>
      </c>
      <c r="E61" s="37">
        <v>9.5809999999999992E-2</v>
      </c>
      <c r="F61" s="37">
        <v>9.6880000000000008E-2</v>
      </c>
      <c r="G61" s="37">
        <f t="shared" si="5"/>
        <v>4.0889830508474612E-2</v>
      </c>
      <c r="H61" s="37">
        <f t="shared" si="2"/>
        <v>4.0100799824695832E-2</v>
      </c>
      <c r="I61" s="37">
        <f t="shared" si="3"/>
        <v>3.9154013015184175E-2</v>
      </c>
      <c r="J61" s="37">
        <f t="shared" si="4"/>
        <v>4.2056577390556127E-2</v>
      </c>
    </row>
    <row r="62" spans="1:10" x14ac:dyDescent="0.35">
      <c r="A62" s="7">
        <f t="shared" si="1"/>
        <v>58</v>
      </c>
      <c r="B62" s="42">
        <v>45310</v>
      </c>
      <c r="C62" s="37">
        <v>9.4399999999999998E-2</v>
      </c>
      <c r="D62" s="37">
        <v>9.1270000000000004E-2</v>
      </c>
      <c r="E62" s="37">
        <v>9.2200000000000004E-2</v>
      </c>
      <c r="F62" s="37">
        <v>9.2970000000000011E-2</v>
      </c>
      <c r="G62" s="37">
        <f t="shared" si="5"/>
        <v>-5.2938062466922897E-4</v>
      </c>
      <c r="H62" s="37">
        <f t="shared" si="2"/>
        <v>1.5362668715024341E-3</v>
      </c>
      <c r="I62" s="37">
        <f t="shared" si="3"/>
        <v>4.1385319102593687E-3</v>
      </c>
      <c r="J62" s="37">
        <f t="shared" si="4"/>
        <v>3.9956803455725165E-3</v>
      </c>
    </row>
    <row r="63" spans="1:10" x14ac:dyDescent="0.35">
      <c r="A63" s="7">
        <f t="shared" si="1"/>
        <v>59</v>
      </c>
      <c r="B63" s="42">
        <v>45309</v>
      </c>
      <c r="C63" s="37">
        <v>9.4450000000000006E-2</v>
      </c>
      <c r="D63" s="37">
        <v>9.1129999999999989E-2</v>
      </c>
      <c r="E63" s="37">
        <v>9.1819999999999999E-2</v>
      </c>
      <c r="F63" s="37">
        <v>9.2600000000000002E-2</v>
      </c>
      <c r="G63" s="37">
        <f t="shared" si="5"/>
        <v>5.2966101694917889E-4</v>
      </c>
      <c r="H63" s="37">
        <f t="shared" si="2"/>
        <v>2.1994941163532289E-3</v>
      </c>
      <c r="I63" s="37">
        <f t="shared" si="3"/>
        <v>8.2354233007577715E-3</v>
      </c>
      <c r="J63" s="37">
        <f t="shared" si="4"/>
        <v>1.08108108108107E-3</v>
      </c>
    </row>
    <row r="64" spans="1:10" x14ac:dyDescent="0.35">
      <c r="A64" s="7">
        <f t="shared" si="1"/>
        <v>60</v>
      </c>
      <c r="B64" s="42">
        <v>45308</v>
      </c>
      <c r="C64" s="37">
        <v>9.4399999999999998E-2</v>
      </c>
      <c r="D64" s="37">
        <v>9.0929999999999997E-2</v>
      </c>
      <c r="E64" s="37">
        <v>9.1069999999999998E-2</v>
      </c>
      <c r="F64" s="37">
        <v>9.2499999999999999E-2</v>
      </c>
      <c r="G64" s="37">
        <f t="shared" si="5"/>
        <v>2.1092482422931491E-2</v>
      </c>
      <c r="H64" s="37">
        <f t="shared" si="2"/>
        <v>1.5977653631285005E-2</v>
      </c>
      <c r="I64" s="37">
        <f t="shared" si="3"/>
        <v>9.9811467228567707E-3</v>
      </c>
      <c r="J64" s="37">
        <f t="shared" si="4"/>
        <v>5.4347826086955653E-3</v>
      </c>
    </row>
    <row r="65" spans="1:10" x14ac:dyDescent="0.35">
      <c r="A65" s="7">
        <f t="shared" si="1"/>
        <v>61</v>
      </c>
      <c r="B65" s="42">
        <v>45307</v>
      </c>
      <c r="C65" s="37">
        <v>9.2449999999999991E-2</v>
      </c>
      <c r="D65" s="37">
        <v>8.9499999999999996E-2</v>
      </c>
      <c r="E65" s="37">
        <v>9.017E-2</v>
      </c>
      <c r="F65" s="37">
        <v>9.1999999999999998E-2</v>
      </c>
      <c r="G65" s="37">
        <f t="shared" si="5"/>
        <v>8.6608206127514187E-4</v>
      </c>
      <c r="H65" s="37">
        <f t="shared" si="2"/>
        <v>9.8160893602616817E-3</v>
      </c>
      <c r="I65" s="37">
        <f t="shared" si="3"/>
        <v>1.3943551107612695E-2</v>
      </c>
      <c r="J65" s="37">
        <f t="shared" si="4"/>
        <v>1.8826135105205033E-2</v>
      </c>
    </row>
    <row r="66" spans="1:10" x14ac:dyDescent="0.35">
      <c r="A66" s="7">
        <f t="shared" si="1"/>
        <v>62</v>
      </c>
      <c r="B66" s="42">
        <v>45306</v>
      </c>
      <c r="C66" s="37">
        <v>9.2370000000000008E-2</v>
      </c>
      <c r="D66" s="37">
        <v>8.863E-2</v>
      </c>
      <c r="E66" s="37">
        <v>8.8930000000000009E-2</v>
      </c>
      <c r="F66" s="37">
        <v>9.0299999999999991E-2</v>
      </c>
      <c r="G66" s="37">
        <f t="shared" si="5"/>
        <v>-3.791271742526825E-2</v>
      </c>
      <c r="H66" s="37">
        <f t="shared" si="2"/>
        <v>-3.7362876072553619E-2</v>
      </c>
      <c r="I66" s="37">
        <f t="shared" si="3"/>
        <v>-3.8906300659245607E-2</v>
      </c>
      <c r="J66" s="37">
        <f t="shared" si="4"/>
        <v>-3.7723785166240531E-2</v>
      </c>
    </row>
    <row r="67" spans="1:10" x14ac:dyDescent="0.35">
      <c r="A67" s="7">
        <f t="shared" si="1"/>
        <v>63</v>
      </c>
      <c r="B67" s="42">
        <v>45304</v>
      </c>
      <c r="C67" s="37">
        <v>9.6010000000000012E-2</v>
      </c>
      <c r="D67" s="37">
        <v>9.2070000000000013E-2</v>
      </c>
      <c r="E67" s="37">
        <v>9.2530000000000001E-2</v>
      </c>
      <c r="F67" s="37">
        <v>9.3840000000000007E-2</v>
      </c>
      <c r="G67" s="37">
        <f t="shared" si="5"/>
        <v>3.7273120138288762E-2</v>
      </c>
      <c r="H67" s="37">
        <f t="shared" si="2"/>
        <v>3.6124240378123007E-2</v>
      </c>
      <c r="I67" s="37">
        <f t="shared" si="3"/>
        <v>3.4317013190252599E-2</v>
      </c>
      <c r="J67" s="37">
        <f t="shared" si="4"/>
        <v>3.6219081272085063E-2</v>
      </c>
    </row>
    <row r="68" spans="1:10" x14ac:dyDescent="0.35">
      <c r="A68" s="7">
        <f t="shared" si="1"/>
        <v>64</v>
      </c>
      <c r="B68" s="42">
        <v>45303</v>
      </c>
      <c r="C68" s="37">
        <v>9.2560000000000003E-2</v>
      </c>
      <c r="D68" s="37">
        <v>8.8859999999999995E-2</v>
      </c>
      <c r="E68" s="37">
        <v>8.9459999999999998E-2</v>
      </c>
      <c r="F68" s="37">
        <v>9.0559999999999988E-2</v>
      </c>
      <c r="G68" s="37">
        <f t="shared" si="5"/>
        <v>-1.3850415512465353E-2</v>
      </c>
      <c r="H68" s="37">
        <f t="shared" si="2"/>
        <v>-1.5510746731664082E-2</v>
      </c>
      <c r="I68" s="37">
        <f t="shared" si="3"/>
        <v>-1.4323490524460247E-2</v>
      </c>
      <c r="J68" s="37">
        <f t="shared" si="4"/>
        <v>-1.0921799912625763E-2</v>
      </c>
    </row>
    <row r="69" spans="1:10" x14ac:dyDescent="0.35">
      <c r="A69" s="7">
        <f t="shared" ref="A69:A132" si="6">+A70-1</f>
        <v>65</v>
      </c>
      <c r="B69" s="42">
        <v>45302</v>
      </c>
      <c r="C69" s="37">
        <v>9.3859999999999999E-2</v>
      </c>
      <c r="D69" s="37">
        <v>9.0259999999999993E-2</v>
      </c>
      <c r="E69" s="37">
        <v>9.0760000000000007E-2</v>
      </c>
      <c r="F69" s="37">
        <v>9.1560000000000002E-2</v>
      </c>
      <c r="G69" s="37">
        <f t="shared" si="5"/>
        <v>-7.4027072758036105E-3</v>
      </c>
      <c r="H69" s="37">
        <f t="shared" ref="H69:H132" si="7">+D69/D70-1</f>
        <v>-6.6035659255998524E-3</v>
      </c>
      <c r="I69" s="37">
        <f t="shared" ref="I69:I132" si="8">+E69/E70-1</f>
        <v>-4.3878894251863088E-3</v>
      </c>
      <c r="J69" s="37">
        <f t="shared" ref="J69:J132" si="9">+F69/F70-1</f>
        <v>-1.0909884355225774E-3</v>
      </c>
    </row>
    <row r="70" spans="1:10" x14ac:dyDescent="0.35">
      <c r="A70" s="7">
        <f t="shared" si="6"/>
        <v>66</v>
      </c>
      <c r="B70" s="42">
        <v>45301</v>
      </c>
      <c r="C70" s="37">
        <v>9.4559999999999991E-2</v>
      </c>
      <c r="D70" s="37">
        <v>9.0859999999999996E-2</v>
      </c>
      <c r="E70" s="37">
        <v>9.1159999999999991E-2</v>
      </c>
      <c r="F70" s="37">
        <v>9.1660000000000005E-2</v>
      </c>
      <c r="G70" s="37">
        <f t="shared" ref="G70:G133" si="10">+C70/C71-1</f>
        <v>-4.2122999157541141E-3</v>
      </c>
      <c r="H70" s="37">
        <f t="shared" si="7"/>
        <v>-5.4728546409807954E-3</v>
      </c>
      <c r="I70" s="37">
        <f t="shared" si="8"/>
        <v>-3.2801224579053212E-3</v>
      </c>
      <c r="J70" s="37">
        <f t="shared" si="9"/>
        <v>-2.1772262138035625E-3</v>
      </c>
    </row>
    <row r="71" spans="1:10" x14ac:dyDescent="0.35">
      <c r="A71" s="7">
        <f t="shared" si="6"/>
        <v>67</v>
      </c>
      <c r="B71" s="42">
        <v>45300</v>
      </c>
      <c r="C71" s="37">
        <v>9.4960000000000003E-2</v>
      </c>
      <c r="D71" s="37">
        <v>9.1359999999999997E-2</v>
      </c>
      <c r="E71" s="37">
        <v>9.1460000000000014E-2</v>
      </c>
      <c r="F71" s="37">
        <v>9.1859999999999997E-2</v>
      </c>
      <c r="G71" s="37">
        <f t="shared" si="10"/>
        <v>5.293245818335901E-3</v>
      </c>
      <c r="H71" s="37">
        <f t="shared" si="7"/>
        <v>7.7211559673504571E-3</v>
      </c>
      <c r="I71" s="37">
        <f t="shared" si="8"/>
        <v>5.4969217238347579E-3</v>
      </c>
      <c r="J71" s="37">
        <f t="shared" si="9"/>
        <v>5.4728546409807954E-3</v>
      </c>
    </row>
    <row r="72" spans="1:10" x14ac:dyDescent="0.35">
      <c r="A72" s="7">
        <f t="shared" si="6"/>
        <v>68</v>
      </c>
      <c r="B72" s="42">
        <v>45299</v>
      </c>
      <c r="C72" s="37">
        <v>9.4460000000000002E-2</v>
      </c>
      <c r="D72" s="37">
        <v>9.0660000000000004E-2</v>
      </c>
      <c r="E72" s="37">
        <v>9.0959999999999999E-2</v>
      </c>
      <c r="F72" s="37">
        <v>9.1359999999999997E-2</v>
      </c>
      <c r="G72" s="37">
        <f t="shared" si="10"/>
        <v>-7.356031946195829E-3</v>
      </c>
      <c r="H72" s="37">
        <f t="shared" si="7"/>
        <v>-6.5746219592371924E-3</v>
      </c>
      <c r="I72" s="37">
        <f t="shared" si="8"/>
        <v>-5.4668707631753133E-3</v>
      </c>
      <c r="J72" s="37">
        <f t="shared" si="9"/>
        <v>-3.2729653065678432E-3</v>
      </c>
    </row>
    <row r="73" spans="1:10" x14ac:dyDescent="0.35">
      <c r="A73" s="7">
        <f t="shared" si="6"/>
        <v>69</v>
      </c>
      <c r="B73" s="42">
        <v>45296</v>
      </c>
      <c r="C73" s="37">
        <v>9.5159999999999995E-2</v>
      </c>
      <c r="D73" s="37">
        <v>9.1259999999999994E-2</v>
      </c>
      <c r="E73" s="37">
        <v>9.1460000000000014E-2</v>
      </c>
      <c r="F73" s="37">
        <v>9.1660000000000005E-2</v>
      </c>
      <c r="G73" s="37">
        <f t="shared" si="10"/>
        <v>-4.2016806722688926E-4</v>
      </c>
      <c r="H73" s="37">
        <f t="shared" si="7"/>
        <v>1.4265335235379428E-3</v>
      </c>
      <c r="I73" s="37">
        <f t="shared" si="8"/>
        <v>1.0934937124140731E-4</v>
      </c>
      <c r="J73" s="37">
        <f t="shared" si="9"/>
        <v>-7.6310912460486602E-4</v>
      </c>
    </row>
    <row r="74" spans="1:10" x14ac:dyDescent="0.35">
      <c r="A74" s="7">
        <f t="shared" si="6"/>
        <v>70</v>
      </c>
      <c r="B74" s="42">
        <v>45295</v>
      </c>
      <c r="C74" s="37">
        <v>9.5199999999999993E-2</v>
      </c>
      <c r="D74" s="37">
        <v>9.1129999999999989E-2</v>
      </c>
      <c r="E74" s="37">
        <v>9.144999999999999E-2</v>
      </c>
      <c r="F74" s="37">
        <v>9.1730000000000006E-2</v>
      </c>
      <c r="G74" s="37">
        <f t="shared" si="10"/>
        <v>8.4745762711864181E-3</v>
      </c>
      <c r="H74" s="37">
        <f t="shared" si="7"/>
        <v>7.4065885474241533E-3</v>
      </c>
      <c r="I74" s="37">
        <f t="shared" si="8"/>
        <v>9.8277385159011299E-3</v>
      </c>
      <c r="J74" s="37">
        <f t="shared" si="9"/>
        <v>5.150120534735958E-3</v>
      </c>
    </row>
    <row r="75" spans="1:10" x14ac:dyDescent="0.35">
      <c r="A75" s="7">
        <f t="shared" si="6"/>
        <v>71</v>
      </c>
      <c r="B75" s="42">
        <v>45294</v>
      </c>
      <c r="C75" s="37">
        <v>9.4399999999999998E-2</v>
      </c>
      <c r="D75" s="37">
        <v>9.0459999999999999E-2</v>
      </c>
      <c r="E75" s="37">
        <v>9.0559999999999988E-2</v>
      </c>
      <c r="F75" s="37">
        <v>9.1259999999999994E-2</v>
      </c>
      <c r="G75" s="37">
        <f t="shared" si="10"/>
        <v>-2.7466723008662264E-3</v>
      </c>
      <c r="H75" s="37">
        <f t="shared" si="7"/>
        <v>5.5580257892395846E-3</v>
      </c>
      <c r="I75" s="37">
        <f t="shared" si="8"/>
        <v>4.4365572315880897E-3</v>
      </c>
      <c r="J75" s="37">
        <f t="shared" si="9"/>
        <v>2.1963540522731417E-3</v>
      </c>
    </row>
    <row r="76" spans="1:10" x14ac:dyDescent="0.35">
      <c r="A76" s="7">
        <f t="shared" si="6"/>
        <v>72</v>
      </c>
      <c r="B76" s="42">
        <v>45293</v>
      </c>
      <c r="C76" s="37">
        <v>9.4659999999999994E-2</v>
      </c>
      <c r="D76" s="37">
        <v>8.9959999999999998E-2</v>
      </c>
      <c r="E76" s="37">
        <v>9.0160000000000004E-2</v>
      </c>
      <c r="F76" s="37">
        <v>9.1060000000000002E-2</v>
      </c>
      <c r="G76" s="37">
        <f t="shared" si="10"/>
        <v>2.0592991913746639E-2</v>
      </c>
      <c r="H76" s="37">
        <f t="shared" si="7"/>
        <v>-3.2167832167832255E-2</v>
      </c>
      <c r="I76" s="37">
        <f t="shared" si="8"/>
        <v>-2.9285099052540953E-2</v>
      </c>
      <c r="J76" s="37">
        <f t="shared" si="9"/>
        <v>-3.127659574468078E-2</v>
      </c>
    </row>
    <row r="77" spans="1:10" x14ac:dyDescent="0.35">
      <c r="A77" s="7">
        <f t="shared" si="6"/>
        <v>73</v>
      </c>
      <c r="B77" s="42">
        <v>45290</v>
      </c>
      <c r="C77" s="37">
        <v>9.2749999999999999E-2</v>
      </c>
      <c r="D77" s="37">
        <v>9.2950000000000005E-2</v>
      </c>
      <c r="E77" s="37">
        <v>9.2880000000000004E-2</v>
      </c>
      <c r="F77" s="37">
        <v>9.4E-2</v>
      </c>
      <c r="G77" s="37">
        <f t="shared" si="10"/>
        <v>0</v>
      </c>
      <c r="H77" s="37">
        <f t="shared" si="7"/>
        <v>4.9097065462754053E-2</v>
      </c>
      <c r="I77" s="37">
        <f t="shared" si="8"/>
        <v>4.771573604060908E-2</v>
      </c>
      <c r="J77" s="37">
        <f t="shared" si="9"/>
        <v>4.9692908989391382E-2</v>
      </c>
    </row>
    <row r="78" spans="1:10" x14ac:dyDescent="0.35">
      <c r="A78" s="7">
        <f t="shared" si="6"/>
        <v>74</v>
      </c>
      <c r="B78" s="42">
        <v>45289</v>
      </c>
      <c r="C78" s="37">
        <v>9.2749999999999999E-2</v>
      </c>
      <c r="D78" s="37">
        <v>8.8599999999999998E-2</v>
      </c>
      <c r="E78" s="37">
        <v>8.8650000000000007E-2</v>
      </c>
      <c r="F78" s="37">
        <v>8.9550000000000005E-2</v>
      </c>
      <c r="G78" s="37">
        <f t="shared" si="10"/>
        <v>-4.828326180257525E-3</v>
      </c>
      <c r="H78" s="37">
        <f t="shared" si="7"/>
        <v>-1.1160714285714413E-2</v>
      </c>
      <c r="I78" s="37">
        <f t="shared" si="8"/>
        <v>-1.0602678571428603E-2</v>
      </c>
      <c r="J78" s="37">
        <f t="shared" si="9"/>
        <v>-3.8932146829810943E-3</v>
      </c>
    </row>
    <row r="79" spans="1:10" x14ac:dyDescent="0.35">
      <c r="A79" s="7">
        <f t="shared" si="6"/>
        <v>75</v>
      </c>
      <c r="B79" s="42">
        <v>45288</v>
      </c>
      <c r="C79" s="37">
        <v>9.3200000000000005E-2</v>
      </c>
      <c r="D79" s="37">
        <v>8.9600000000000013E-2</v>
      </c>
      <c r="E79" s="37">
        <v>8.9600000000000013E-2</v>
      </c>
      <c r="F79" s="37">
        <v>8.9900000000000008E-2</v>
      </c>
      <c r="G79" s="37">
        <f t="shared" si="10"/>
        <v>-4.9113815929958671E-3</v>
      </c>
      <c r="H79" s="37">
        <f t="shared" si="7"/>
        <v>-5.1077059737950625E-3</v>
      </c>
      <c r="I79" s="37">
        <f t="shared" si="8"/>
        <v>-5.1077059737950625E-3</v>
      </c>
      <c r="J79" s="37">
        <f t="shared" si="9"/>
        <v>-3.9884777309991959E-3</v>
      </c>
    </row>
    <row r="80" spans="1:10" x14ac:dyDescent="0.35">
      <c r="A80" s="7">
        <f t="shared" si="6"/>
        <v>76</v>
      </c>
      <c r="B80" s="42">
        <v>45287</v>
      </c>
      <c r="C80" s="37">
        <v>9.3659999999999993E-2</v>
      </c>
      <c r="D80" s="37">
        <v>9.0060000000000001E-2</v>
      </c>
      <c r="E80" s="37">
        <v>9.0060000000000001E-2</v>
      </c>
      <c r="F80" s="37">
        <v>9.0259999999999993E-2</v>
      </c>
      <c r="G80" s="37">
        <f t="shared" si="10"/>
        <v>-9.5177664974619436E-3</v>
      </c>
      <c r="H80" s="37">
        <f t="shared" si="7"/>
        <v>-1.0981770261366153E-2</v>
      </c>
      <c r="I80" s="37">
        <f t="shared" si="8"/>
        <v>-1.2066695919262682E-2</v>
      </c>
      <c r="J80" s="37">
        <f t="shared" si="9"/>
        <v>-7.6956904133685944E-3</v>
      </c>
    </row>
    <row r="81" spans="1:10" x14ac:dyDescent="0.35">
      <c r="A81" s="7">
        <f t="shared" si="6"/>
        <v>77</v>
      </c>
      <c r="B81" s="42">
        <v>45286</v>
      </c>
      <c r="C81" s="37">
        <v>9.4559999999999991E-2</v>
      </c>
      <c r="D81" s="37">
        <v>9.1060000000000002E-2</v>
      </c>
      <c r="E81" s="37">
        <v>9.1159999999999991E-2</v>
      </c>
      <c r="F81" s="37">
        <v>9.0959999999999999E-2</v>
      </c>
      <c r="G81" s="37">
        <f t="shared" si="10"/>
        <v>-3.5102040816326618E-2</v>
      </c>
      <c r="H81" s="37">
        <f t="shared" si="7"/>
        <v>-3.2819968135953226E-2</v>
      </c>
      <c r="I81" s="37">
        <f t="shared" si="8"/>
        <v>-3.554803216250535E-2</v>
      </c>
      <c r="J81" s="37">
        <f t="shared" si="9"/>
        <v>-4.0000000000000036E-2</v>
      </c>
    </row>
    <row r="82" spans="1:10" x14ac:dyDescent="0.35">
      <c r="A82" s="7">
        <f t="shared" si="6"/>
        <v>78</v>
      </c>
      <c r="B82" s="42">
        <v>45283</v>
      </c>
      <c r="C82" s="37">
        <v>9.8000000000000004E-2</v>
      </c>
      <c r="D82" s="37">
        <v>9.4149999999999998E-2</v>
      </c>
      <c r="E82" s="37">
        <v>9.4519999999999993E-2</v>
      </c>
      <c r="F82" s="37">
        <v>9.4750000000000001E-2</v>
      </c>
      <c r="G82" s="37">
        <f t="shared" si="10"/>
        <v>3.7476180393817504E-2</v>
      </c>
      <c r="H82" s="37">
        <f t="shared" si="7"/>
        <v>3.507036059806512E-2</v>
      </c>
      <c r="I82" s="37">
        <f t="shared" si="8"/>
        <v>4.1313209210091406E-2</v>
      </c>
      <c r="J82" s="37">
        <f t="shared" si="9"/>
        <v>3.7105954465849411E-2</v>
      </c>
    </row>
    <row r="83" spans="1:10" x14ac:dyDescent="0.35">
      <c r="A83" s="7">
        <f t="shared" si="6"/>
        <v>79</v>
      </c>
      <c r="B83" s="42">
        <v>45282</v>
      </c>
      <c r="C83" s="37">
        <v>9.4460000000000002E-2</v>
      </c>
      <c r="D83" s="37">
        <v>9.0959999999999999E-2</v>
      </c>
      <c r="E83" s="37">
        <v>9.0770000000000003E-2</v>
      </c>
      <c r="F83" s="37">
        <v>9.1359999999999997E-2</v>
      </c>
      <c r="G83" s="37">
        <f t="shared" si="10"/>
        <v>1.059771089444661E-3</v>
      </c>
      <c r="H83" s="37">
        <f t="shared" si="7"/>
        <v>2.2036139268399868E-3</v>
      </c>
      <c r="I83" s="37">
        <f t="shared" si="8"/>
        <v>-2.088830255057128E-3</v>
      </c>
      <c r="J83" s="37">
        <f t="shared" si="9"/>
        <v>1.0957703265395136E-3</v>
      </c>
    </row>
    <row r="84" spans="1:10" x14ac:dyDescent="0.35">
      <c r="A84" s="7">
        <f t="shared" si="6"/>
        <v>80</v>
      </c>
      <c r="B84" s="42">
        <v>45281</v>
      </c>
      <c r="C84" s="37">
        <v>9.4359999999999999E-2</v>
      </c>
      <c r="D84" s="37">
        <v>9.0760000000000007E-2</v>
      </c>
      <c r="E84" s="37">
        <v>9.0959999999999999E-2</v>
      </c>
      <c r="F84" s="37">
        <v>9.1259999999999994E-2</v>
      </c>
      <c r="G84" s="37">
        <f t="shared" si="10"/>
        <v>4.2571306939123144E-3</v>
      </c>
      <c r="H84" s="37">
        <f t="shared" si="7"/>
        <v>4.4267374944666482E-3</v>
      </c>
      <c r="I84" s="37">
        <f t="shared" si="8"/>
        <v>3.3090668431501324E-3</v>
      </c>
      <c r="J84" s="37">
        <f t="shared" si="9"/>
        <v>5.509034817099856E-3</v>
      </c>
    </row>
    <row r="85" spans="1:10" x14ac:dyDescent="0.35">
      <c r="A85" s="7">
        <f t="shared" si="6"/>
        <v>81</v>
      </c>
      <c r="B85" s="42">
        <v>45280</v>
      </c>
      <c r="C85" s="37">
        <v>9.3960000000000002E-2</v>
      </c>
      <c r="D85" s="37">
        <v>9.0359999999999996E-2</v>
      </c>
      <c r="E85" s="37">
        <v>9.0660000000000004E-2</v>
      </c>
      <c r="F85" s="37">
        <v>9.0760000000000007E-2</v>
      </c>
      <c r="G85" s="37">
        <f t="shared" si="10"/>
        <v>-8.4423807513719362E-3</v>
      </c>
      <c r="H85" s="37">
        <f t="shared" si="7"/>
        <v>-1.2027115678985512E-2</v>
      </c>
      <c r="I85" s="37">
        <f t="shared" si="8"/>
        <v>-7.6619964973729804E-3</v>
      </c>
      <c r="J85" s="37">
        <f t="shared" si="9"/>
        <v>-5.4788516326976788E-3</v>
      </c>
    </row>
    <row r="86" spans="1:10" x14ac:dyDescent="0.35">
      <c r="A86" s="7">
        <f t="shared" si="6"/>
        <v>82</v>
      </c>
      <c r="B86" s="42">
        <v>45279</v>
      </c>
      <c r="C86" s="37">
        <v>9.4760000000000011E-2</v>
      </c>
      <c r="D86" s="37">
        <v>9.1460000000000014E-2</v>
      </c>
      <c r="E86" s="37">
        <v>9.1359999999999997E-2</v>
      </c>
      <c r="F86" s="37">
        <v>9.1259999999999994E-2</v>
      </c>
      <c r="G86" s="37">
        <f t="shared" si="10"/>
        <v>4.0262767535494959E-3</v>
      </c>
      <c r="H86" s="37">
        <f t="shared" si="7"/>
        <v>1.1054609772275237E-2</v>
      </c>
      <c r="I86" s="37">
        <f t="shared" si="8"/>
        <v>9.9491487950476021E-3</v>
      </c>
      <c r="J86" s="37">
        <f t="shared" si="9"/>
        <v>6.6181336863002649E-3</v>
      </c>
    </row>
    <row r="87" spans="1:10" x14ac:dyDescent="0.35">
      <c r="A87" s="7">
        <f t="shared" si="6"/>
        <v>83</v>
      </c>
      <c r="B87" s="42">
        <v>45278</v>
      </c>
      <c r="C87" s="37">
        <v>9.4380000000000006E-2</v>
      </c>
      <c r="D87" s="37">
        <v>9.0459999999999999E-2</v>
      </c>
      <c r="E87" s="37">
        <v>9.0459999999999999E-2</v>
      </c>
      <c r="F87" s="37">
        <v>9.0660000000000004E-2</v>
      </c>
      <c r="G87" s="37">
        <f t="shared" si="10"/>
        <v>-3.1602708803611712E-2</v>
      </c>
      <c r="H87" s="37">
        <f t="shared" si="7"/>
        <v>-3.5607675906183522E-2</v>
      </c>
      <c r="I87" s="37">
        <f t="shared" si="8"/>
        <v>-3.5299136184280711E-2</v>
      </c>
      <c r="J87" s="37">
        <f t="shared" si="9"/>
        <v>-3.6147140123325538E-2</v>
      </c>
    </row>
    <row r="88" spans="1:10" x14ac:dyDescent="0.35">
      <c r="A88" s="7">
        <f t="shared" si="6"/>
        <v>84</v>
      </c>
      <c r="B88" s="42">
        <v>45276</v>
      </c>
      <c r="C88" s="37">
        <v>9.7460000000000005E-2</v>
      </c>
      <c r="D88" s="37">
        <v>9.3800000000000008E-2</v>
      </c>
      <c r="E88" s="37">
        <v>9.3770000000000006E-2</v>
      </c>
      <c r="F88" s="37">
        <v>9.4060000000000005E-2</v>
      </c>
      <c r="G88" s="37">
        <f t="shared" si="10"/>
        <v>3.6147140123325538E-2</v>
      </c>
      <c r="H88" s="37">
        <f t="shared" si="7"/>
        <v>4.1527870308683212E-2</v>
      </c>
      <c r="I88" s="37">
        <f t="shared" si="8"/>
        <v>3.7737937140327693E-2</v>
      </c>
      <c r="J88" s="37">
        <f t="shared" si="9"/>
        <v>3.5219018269865732E-2</v>
      </c>
    </row>
    <row r="89" spans="1:10" x14ac:dyDescent="0.35">
      <c r="A89" s="7">
        <f t="shared" si="6"/>
        <v>85</v>
      </c>
      <c r="B89" s="42">
        <v>45275</v>
      </c>
      <c r="C89" s="37">
        <v>9.4060000000000005E-2</v>
      </c>
      <c r="D89" s="37">
        <v>9.0060000000000001E-2</v>
      </c>
      <c r="E89" s="37">
        <v>9.0359999999999996E-2</v>
      </c>
      <c r="F89" s="37">
        <v>9.0859999999999996E-2</v>
      </c>
      <c r="G89" s="37">
        <f t="shared" si="10"/>
        <v>1.8406236466002479E-2</v>
      </c>
      <c r="H89" s="37">
        <f t="shared" si="7"/>
        <v>1.0094212651413192E-2</v>
      </c>
      <c r="I89" s="37">
        <f t="shared" si="8"/>
        <v>8.9325591782045688E-3</v>
      </c>
      <c r="J89" s="37">
        <f t="shared" si="9"/>
        <v>3.3127208480565606E-3</v>
      </c>
    </row>
    <row r="90" spans="1:10" x14ac:dyDescent="0.35">
      <c r="A90" s="7">
        <f t="shared" si="6"/>
        <v>86</v>
      </c>
      <c r="B90" s="42">
        <v>45274</v>
      </c>
      <c r="C90" s="37">
        <v>9.2360000000000012E-2</v>
      </c>
      <c r="D90" s="37">
        <v>8.9160000000000003E-2</v>
      </c>
      <c r="E90" s="37">
        <v>8.9560000000000001E-2</v>
      </c>
      <c r="F90" s="37">
        <v>9.0559999999999988E-2</v>
      </c>
      <c r="G90" s="37">
        <f t="shared" si="10"/>
        <v>-2.3265651438240109E-2</v>
      </c>
      <c r="H90" s="37">
        <f t="shared" si="7"/>
        <v>-1.8710103455866101E-2</v>
      </c>
      <c r="I90" s="37">
        <f t="shared" si="8"/>
        <v>-1.5391380826736967E-2</v>
      </c>
      <c r="J90" s="37">
        <f t="shared" si="9"/>
        <v>-2.6864388566516295E-2</v>
      </c>
    </row>
    <row r="91" spans="1:10" x14ac:dyDescent="0.35">
      <c r="A91" s="7">
        <f t="shared" si="6"/>
        <v>87</v>
      </c>
      <c r="B91" s="42">
        <v>45273</v>
      </c>
      <c r="C91" s="37">
        <v>9.4559999999999991E-2</v>
      </c>
      <c r="D91" s="37">
        <v>9.0859999999999996E-2</v>
      </c>
      <c r="E91" s="37">
        <v>9.0959999999999999E-2</v>
      </c>
      <c r="F91" s="37">
        <v>9.305999999999999E-2</v>
      </c>
      <c r="G91" s="37">
        <f t="shared" si="10"/>
        <v>-5.656988925471429E-2</v>
      </c>
      <c r="H91" s="37">
        <f t="shared" si="7"/>
        <v>-6.165444593617686E-2</v>
      </c>
      <c r="I91" s="37">
        <f t="shared" si="8"/>
        <v>-6.3233779608650953E-2</v>
      </c>
      <c r="J91" s="37">
        <f t="shared" si="9"/>
        <v>-4.6907005325686257E-2</v>
      </c>
    </row>
    <row r="92" spans="1:10" x14ac:dyDescent="0.35">
      <c r="A92" s="7">
        <f t="shared" si="6"/>
        <v>88</v>
      </c>
      <c r="B92" s="42">
        <v>45272</v>
      </c>
      <c r="C92" s="37">
        <v>0.10023</v>
      </c>
      <c r="D92" s="37">
        <v>9.6829999999999999E-2</v>
      </c>
      <c r="E92" s="37">
        <v>9.7100000000000006E-2</v>
      </c>
      <c r="F92" s="37">
        <v>9.7639999999999991E-2</v>
      </c>
      <c r="G92" s="37">
        <f t="shared" si="10"/>
        <v>3.9083557951482328E-2</v>
      </c>
      <c r="H92" s="37">
        <f t="shared" si="7"/>
        <v>3.8280077203517004E-2</v>
      </c>
      <c r="I92" s="37">
        <f t="shared" si="8"/>
        <v>3.8947143162850528E-2</v>
      </c>
      <c r="J92" s="37">
        <f t="shared" si="9"/>
        <v>3.6958368734069547E-2</v>
      </c>
    </row>
    <row r="93" spans="1:10" x14ac:dyDescent="0.35">
      <c r="A93" s="7">
        <f t="shared" si="6"/>
        <v>89</v>
      </c>
      <c r="B93" s="42">
        <v>45271</v>
      </c>
      <c r="C93" s="37">
        <v>9.6460000000000004E-2</v>
      </c>
      <c r="D93" s="37">
        <v>9.326000000000001E-2</v>
      </c>
      <c r="E93" s="37">
        <v>9.3460000000000001E-2</v>
      </c>
      <c r="F93" s="37">
        <v>9.4160000000000008E-2</v>
      </c>
      <c r="G93" s="37">
        <f t="shared" si="10"/>
        <v>-2.908907901358837E-2</v>
      </c>
      <c r="H93" s="37">
        <f t="shared" si="7"/>
        <v>-2.3659966499162355E-2</v>
      </c>
      <c r="I93" s="37">
        <f t="shared" si="8"/>
        <v>-2.6661112268277498E-2</v>
      </c>
      <c r="J93" s="37">
        <f t="shared" si="9"/>
        <v>-1.8860060435552661E-2</v>
      </c>
    </row>
    <row r="94" spans="1:10" x14ac:dyDescent="0.35">
      <c r="A94" s="7">
        <f t="shared" si="6"/>
        <v>90</v>
      </c>
      <c r="B94" s="42">
        <v>45269</v>
      </c>
      <c r="C94" s="37">
        <v>9.9350000000000008E-2</v>
      </c>
      <c r="D94" s="37">
        <v>9.5519999999999994E-2</v>
      </c>
      <c r="E94" s="37">
        <v>9.6020000000000008E-2</v>
      </c>
      <c r="F94" s="37">
        <v>9.597E-2</v>
      </c>
      <c r="G94" s="37">
        <f t="shared" si="10"/>
        <v>4.0750052377959589E-2</v>
      </c>
      <c r="H94" s="37">
        <f t="shared" si="7"/>
        <v>3.5334923043572442E-2</v>
      </c>
      <c r="I94" s="37">
        <f t="shared" si="8"/>
        <v>3.9627544391511504E-2</v>
      </c>
      <c r="J94" s="37">
        <f t="shared" si="9"/>
        <v>3.6840968020743325E-2</v>
      </c>
    </row>
    <row r="95" spans="1:10" x14ac:dyDescent="0.35">
      <c r="A95" s="7">
        <f t="shared" si="6"/>
        <v>91</v>
      </c>
      <c r="B95" s="42">
        <v>45268</v>
      </c>
      <c r="C95" s="37">
        <v>9.5459999999999989E-2</v>
      </c>
      <c r="D95" s="37">
        <v>9.2260000000000009E-2</v>
      </c>
      <c r="E95" s="37">
        <v>9.2360000000000012E-2</v>
      </c>
      <c r="F95" s="37">
        <v>9.2560000000000003E-2</v>
      </c>
      <c r="G95" s="37">
        <f t="shared" si="10"/>
        <v>7.3870831574500695E-3</v>
      </c>
      <c r="H95" s="37">
        <f t="shared" si="7"/>
        <v>1.3178124313639517E-2</v>
      </c>
      <c r="I95" s="37">
        <f t="shared" si="8"/>
        <v>1.0945709281961591E-2</v>
      </c>
      <c r="J95" s="37">
        <f t="shared" si="9"/>
        <v>8.2788671023965588E-3</v>
      </c>
    </row>
    <row r="96" spans="1:10" x14ac:dyDescent="0.35">
      <c r="A96" s="7">
        <f t="shared" si="6"/>
        <v>92</v>
      </c>
      <c r="B96" s="42">
        <v>45267</v>
      </c>
      <c r="C96" s="37">
        <v>9.4760000000000011E-2</v>
      </c>
      <c r="D96" s="37">
        <v>9.1060000000000002E-2</v>
      </c>
      <c r="E96" s="37">
        <v>9.1359999999999997E-2</v>
      </c>
      <c r="F96" s="37">
        <v>9.1799999999999993E-2</v>
      </c>
      <c r="G96" s="37">
        <f t="shared" si="10"/>
        <v>1.6913319238900382E-3</v>
      </c>
      <c r="H96" s="37">
        <f t="shared" si="7"/>
        <v>-6.5459306131355754E-3</v>
      </c>
      <c r="I96" s="37">
        <f t="shared" si="8"/>
        <v>-6.5245759025663874E-3</v>
      </c>
      <c r="J96" s="37">
        <f t="shared" si="9"/>
        <v>-1.7398869073510514E-3</v>
      </c>
    </row>
    <row r="97" spans="1:10" x14ac:dyDescent="0.35">
      <c r="A97" s="7">
        <f t="shared" si="6"/>
        <v>93</v>
      </c>
      <c r="B97" s="42">
        <v>45266</v>
      </c>
      <c r="C97" s="37">
        <v>9.4600000000000004E-2</v>
      </c>
      <c r="D97" s="37">
        <v>9.1660000000000005E-2</v>
      </c>
      <c r="E97" s="37">
        <v>9.196E-2</v>
      </c>
      <c r="F97" s="37">
        <v>9.196E-2</v>
      </c>
      <c r="G97" s="37">
        <f t="shared" si="10"/>
        <v>-5.8848255569565744E-3</v>
      </c>
      <c r="H97" s="37">
        <f t="shared" si="7"/>
        <v>-3.2622879512831382E-3</v>
      </c>
      <c r="I97" s="37">
        <f t="shared" si="8"/>
        <v>-6.482281763180664E-3</v>
      </c>
      <c r="J97" s="37">
        <f t="shared" si="9"/>
        <v>-9.6920094766315135E-3</v>
      </c>
    </row>
    <row r="98" spans="1:10" x14ac:dyDescent="0.35">
      <c r="A98" s="7">
        <f t="shared" si="6"/>
        <v>94</v>
      </c>
      <c r="B98" s="42">
        <v>45265</v>
      </c>
      <c r="C98" s="37">
        <v>9.5159999999999995E-2</v>
      </c>
      <c r="D98" s="37">
        <v>9.196E-2</v>
      </c>
      <c r="E98" s="37">
        <v>9.2560000000000003E-2</v>
      </c>
      <c r="F98" s="37">
        <v>9.2859999999999998E-2</v>
      </c>
      <c r="G98" s="37">
        <f t="shared" si="10"/>
        <v>-4.1858518208455209E-3</v>
      </c>
      <c r="H98" s="37">
        <f t="shared" si="7"/>
        <v>-8.6244070720137289E-3</v>
      </c>
      <c r="I98" s="37">
        <f t="shared" si="8"/>
        <v>-1.0688328345446751E-2</v>
      </c>
      <c r="J98" s="37">
        <f t="shared" si="9"/>
        <v>-1.170710940825892E-2</v>
      </c>
    </row>
    <row r="99" spans="1:10" x14ac:dyDescent="0.35">
      <c r="A99" s="7">
        <f t="shared" si="6"/>
        <v>95</v>
      </c>
      <c r="B99" s="42">
        <v>45264</v>
      </c>
      <c r="C99" s="37">
        <v>9.5559999999999992E-2</v>
      </c>
      <c r="D99" s="37">
        <v>9.2759999999999995E-2</v>
      </c>
      <c r="E99" s="37">
        <v>9.3560000000000004E-2</v>
      </c>
      <c r="F99" s="37">
        <v>9.3960000000000002E-2</v>
      </c>
      <c r="G99" s="37">
        <f t="shared" si="10"/>
        <v>-3.2303797468354545E-2</v>
      </c>
      <c r="H99" s="37">
        <f t="shared" si="7"/>
        <v>-2.4810765349032926E-2</v>
      </c>
      <c r="I99" s="37">
        <f t="shared" si="8"/>
        <v>-2.4705514437610709E-2</v>
      </c>
      <c r="J99" s="37">
        <f t="shared" si="9"/>
        <v>-2.9639574512031364E-2</v>
      </c>
    </row>
    <row r="100" spans="1:10" x14ac:dyDescent="0.35">
      <c r="A100" s="7">
        <f t="shared" si="6"/>
        <v>96</v>
      </c>
      <c r="B100" s="42">
        <v>45262</v>
      </c>
      <c r="C100" s="37">
        <v>9.8750000000000004E-2</v>
      </c>
      <c r="D100" s="37">
        <v>9.512000000000001E-2</v>
      </c>
      <c r="E100" s="37">
        <v>9.5930000000000001E-2</v>
      </c>
      <c r="F100" s="37">
        <v>9.6829999999999999E-2</v>
      </c>
      <c r="G100" s="37">
        <f t="shared" si="10"/>
        <v>3.6636573588074928E-2</v>
      </c>
      <c r="H100" s="37">
        <f t="shared" si="7"/>
        <v>3.6617262423713992E-2</v>
      </c>
      <c r="I100" s="37">
        <f t="shared" si="8"/>
        <v>3.6408815903197889E-2</v>
      </c>
      <c r="J100" s="37">
        <f t="shared" si="9"/>
        <v>3.6058206719452146E-2</v>
      </c>
    </row>
    <row r="101" spans="1:10" x14ac:dyDescent="0.35">
      <c r="A101" s="7">
        <f t="shared" si="6"/>
        <v>97</v>
      </c>
      <c r="B101" s="42">
        <v>45261</v>
      </c>
      <c r="C101" s="37">
        <v>9.5259999999999997E-2</v>
      </c>
      <c r="D101" s="37">
        <v>9.1760000000000008E-2</v>
      </c>
      <c r="E101" s="37">
        <v>9.2560000000000003E-2</v>
      </c>
      <c r="F101" s="37">
        <v>9.3460000000000001E-2</v>
      </c>
      <c r="G101" s="37">
        <f t="shared" si="10"/>
        <v>-1.2440389798880402E-2</v>
      </c>
      <c r="H101" s="37">
        <f t="shared" si="7"/>
        <v>-1.2908777969018681E-2</v>
      </c>
      <c r="I101" s="37">
        <f t="shared" si="8"/>
        <v>-1.2798634812286602E-2</v>
      </c>
      <c r="J101" s="37">
        <f t="shared" si="9"/>
        <v>-1.1632825719120055E-2</v>
      </c>
    </row>
    <row r="102" spans="1:10" x14ac:dyDescent="0.35">
      <c r="A102" s="7">
        <f t="shared" si="6"/>
        <v>98</v>
      </c>
      <c r="B102" s="42">
        <v>45260</v>
      </c>
      <c r="C102" s="37">
        <v>9.6460000000000004E-2</v>
      </c>
      <c r="D102" s="37">
        <v>9.2959999999999987E-2</v>
      </c>
      <c r="E102" s="37">
        <v>9.3759999999999996E-2</v>
      </c>
      <c r="F102" s="37">
        <v>9.4559999999999991E-2</v>
      </c>
      <c r="G102" s="37">
        <f t="shared" si="10"/>
        <v>1.7940059096665184E-2</v>
      </c>
      <c r="H102" s="37">
        <f t="shared" si="7"/>
        <v>8.6805555555555802E-3</v>
      </c>
      <c r="I102" s="37">
        <f t="shared" si="8"/>
        <v>1.4060134112048317E-2</v>
      </c>
      <c r="J102" s="37">
        <f t="shared" si="9"/>
        <v>1.9404915912031084E-2</v>
      </c>
    </row>
    <row r="103" spans="1:10" x14ac:dyDescent="0.35">
      <c r="A103" s="7">
        <f t="shared" si="6"/>
        <v>99</v>
      </c>
      <c r="B103" s="42">
        <v>45259</v>
      </c>
      <c r="C103" s="37">
        <v>9.4760000000000011E-2</v>
      </c>
      <c r="D103" s="37">
        <v>9.2159999999999992E-2</v>
      </c>
      <c r="E103" s="37">
        <v>9.2460000000000001E-2</v>
      </c>
      <c r="F103" s="37">
        <v>9.2759999999999995E-2</v>
      </c>
      <c r="G103" s="37">
        <f t="shared" si="10"/>
        <v>-1.0442773600668365E-2</v>
      </c>
      <c r="H103" s="37">
        <f t="shared" si="7"/>
        <v>-8.6058519793459354E-3</v>
      </c>
      <c r="I103" s="37">
        <f t="shared" si="8"/>
        <v>-1.0699764605178741E-2</v>
      </c>
      <c r="J103" s="37">
        <f t="shared" si="9"/>
        <v>-2.4195245108352692E-2</v>
      </c>
    </row>
    <row r="104" spans="1:10" x14ac:dyDescent="0.35">
      <c r="A104" s="7">
        <f t="shared" si="6"/>
        <v>100</v>
      </c>
      <c r="B104" s="42">
        <v>45258</v>
      </c>
      <c r="C104" s="37">
        <v>9.5760000000000012E-2</v>
      </c>
      <c r="D104" s="37">
        <v>9.2959999999999987E-2</v>
      </c>
      <c r="E104" s="37">
        <v>9.3460000000000001E-2</v>
      </c>
      <c r="F104" s="37">
        <v>9.5060000000000006E-2</v>
      </c>
      <c r="G104" s="37">
        <f t="shared" si="10"/>
        <v>-1.8450184501844991E-2</v>
      </c>
      <c r="H104" s="37">
        <f t="shared" si="7"/>
        <v>-1.6920473773265665E-2</v>
      </c>
      <c r="I104" s="37">
        <f t="shared" si="8"/>
        <v>-1.786464901218987E-2</v>
      </c>
      <c r="J104" s="37">
        <f t="shared" si="9"/>
        <v>-1.959570957095691E-2</v>
      </c>
    </row>
    <row r="105" spans="1:10" x14ac:dyDescent="0.35">
      <c r="A105" s="7">
        <f t="shared" si="6"/>
        <v>101</v>
      </c>
      <c r="B105" s="42">
        <v>45257</v>
      </c>
      <c r="C105" s="37">
        <v>9.7560000000000008E-2</v>
      </c>
      <c r="D105" s="37">
        <v>9.4559999999999991E-2</v>
      </c>
      <c r="E105" s="37">
        <v>9.5159999999999995E-2</v>
      </c>
      <c r="F105" s="37">
        <v>9.6959999999999991E-2</v>
      </c>
      <c r="G105" s="37">
        <f t="shared" si="10"/>
        <v>-4.7265624999999978E-2</v>
      </c>
      <c r="H105" s="37">
        <f t="shared" si="7"/>
        <v>-4.7254408060453557E-2</v>
      </c>
      <c r="I105" s="37">
        <f t="shared" si="8"/>
        <v>-4.7256708049659646E-2</v>
      </c>
      <c r="J105" s="37">
        <f t="shared" si="9"/>
        <v>-4.2843040473840133E-2</v>
      </c>
    </row>
    <row r="106" spans="1:10" x14ac:dyDescent="0.35">
      <c r="A106" s="7">
        <f t="shared" si="6"/>
        <v>102</v>
      </c>
      <c r="B106" s="42">
        <v>45255</v>
      </c>
      <c r="C106" s="37">
        <v>0.1024</v>
      </c>
      <c r="D106" s="37">
        <v>9.9250000000000005E-2</v>
      </c>
      <c r="E106" s="37">
        <v>9.9879999999999997E-2</v>
      </c>
      <c r="F106" s="37">
        <v>0.1013</v>
      </c>
      <c r="G106" s="37">
        <f t="shared" si="10"/>
        <v>4.2133116222267564E-2</v>
      </c>
      <c r="H106" s="37">
        <f t="shared" si="7"/>
        <v>4.5176916596461725E-2</v>
      </c>
      <c r="I106" s="37">
        <f t="shared" si="8"/>
        <v>4.630211606955803E-2</v>
      </c>
      <c r="J106" s="37">
        <f t="shared" si="9"/>
        <v>4.9088649544324792E-2</v>
      </c>
    </row>
    <row r="107" spans="1:10" x14ac:dyDescent="0.35">
      <c r="A107" s="7">
        <f t="shared" si="6"/>
        <v>103</v>
      </c>
      <c r="B107" s="42">
        <v>45254</v>
      </c>
      <c r="C107" s="37">
        <v>9.826E-2</v>
      </c>
      <c r="D107" s="37">
        <v>9.4960000000000003E-2</v>
      </c>
      <c r="E107" s="37">
        <v>9.5459999999999989E-2</v>
      </c>
      <c r="F107" s="37">
        <v>9.6560000000000007E-2</v>
      </c>
      <c r="G107" s="37">
        <f t="shared" si="10"/>
        <v>4.1900868676545411E-3</v>
      </c>
      <c r="H107" s="37">
        <f t="shared" si="7"/>
        <v>3.0632724199852746E-3</v>
      </c>
      <c r="I107" s="37">
        <f t="shared" si="8"/>
        <v>5.159524060229348E-3</v>
      </c>
      <c r="J107" s="37">
        <f t="shared" si="9"/>
        <v>3.0123610678300938E-3</v>
      </c>
    </row>
    <row r="108" spans="1:10" x14ac:dyDescent="0.35">
      <c r="A108" s="7">
        <f t="shared" si="6"/>
        <v>104</v>
      </c>
      <c r="B108" s="42">
        <v>45253</v>
      </c>
      <c r="C108" s="37">
        <v>9.7850000000000006E-2</v>
      </c>
      <c r="D108" s="37">
        <v>9.4670000000000004E-2</v>
      </c>
      <c r="E108" s="37">
        <v>9.4969999999999999E-2</v>
      </c>
      <c r="F108" s="37">
        <v>9.6270000000000008E-2</v>
      </c>
      <c r="G108" s="37">
        <f t="shared" si="10"/>
        <v>-3.5641547861507972E-3</v>
      </c>
      <c r="H108" s="37">
        <f t="shared" si="7"/>
        <v>-4.1026719966337222E-3</v>
      </c>
      <c r="I108" s="37">
        <f t="shared" si="8"/>
        <v>-5.1330400167608481E-3</v>
      </c>
      <c r="J108" s="37">
        <f t="shared" si="9"/>
        <v>1.0388531061722439E-4</v>
      </c>
    </row>
    <row r="109" spans="1:10" x14ac:dyDescent="0.35">
      <c r="A109" s="7">
        <f t="shared" si="6"/>
        <v>105</v>
      </c>
      <c r="B109" s="42">
        <v>45252</v>
      </c>
      <c r="C109" s="37">
        <v>9.820000000000001E-2</v>
      </c>
      <c r="D109" s="37">
        <v>9.5060000000000006E-2</v>
      </c>
      <c r="E109" s="37">
        <v>9.5459999999999989E-2</v>
      </c>
      <c r="F109" s="37">
        <v>9.6259999999999998E-2</v>
      </c>
      <c r="G109" s="37">
        <f t="shared" si="10"/>
        <v>8.2135523613964256E-3</v>
      </c>
      <c r="H109" s="37">
        <f t="shared" si="7"/>
        <v>5.2876480541457216E-3</v>
      </c>
      <c r="I109" s="37">
        <f t="shared" si="8"/>
        <v>4.2078687144959659E-3</v>
      </c>
      <c r="J109" s="37">
        <f t="shared" si="9"/>
        <v>3.1263026260941462E-3</v>
      </c>
    </row>
    <row r="110" spans="1:10" x14ac:dyDescent="0.35">
      <c r="A110" s="7">
        <f t="shared" si="6"/>
        <v>106</v>
      </c>
      <c r="B110" s="42">
        <v>45251</v>
      </c>
      <c r="C110" s="37">
        <v>9.74E-2</v>
      </c>
      <c r="D110" s="37">
        <v>9.4559999999999991E-2</v>
      </c>
      <c r="E110" s="37">
        <v>9.5060000000000006E-2</v>
      </c>
      <c r="F110" s="37">
        <v>9.5960000000000004E-2</v>
      </c>
      <c r="G110" s="37">
        <f t="shared" si="10"/>
        <v>-2.891326021934193E-2</v>
      </c>
      <c r="H110" s="37">
        <f t="shared" si="7"/>
        <v>-2.8459878762971402E-2</v>
      </c>
      <c r="I110" s="37">
        <f t="shared" si="8"/>
        <v>-2.7817549601145464E-2</v>
      </c>
      <c r="J110" s="37">
        <f t="shared" si="9"/>
        <v>-3.0119264200525575E-2</v>
      </c>
    </row>
    <row r="111" spans="1:10" x14ac:dyDescent="0.35">
      <c r="A111" s="7">
        <f t="shared" si="6"/>
        <v>107</v>
      </c>
      <c r="B111" s="42">
        <v>45248</v>
      </c>
      <c r="C111" s="37">
        <v>0.1003</v>
      </c>
      <c r="D111" s="37">
        <v>9.733E-2</v>
      </c>
      <c r="E111" s="37">
        <v>9.7780000000000006E-2</v>
      </c>
      <c r="F111" s="37">
        <v>9.894E-2</v>
      </c>
      <c r="G111" s="37">
        <f t="shared" si="10"/>
        <v>3.873239436619702E-2</v>
      </c>
      <c r="H111" s="37">
        <f t="shared" si="7"/>
        <v>3.8075938566553003E-2</v>
      </c>
      <c r="I111" s="37">
        <f t="shared" si="8"/>
        <v>3.9549223899638442E-2</v>
      </c>
      <c r="J111" s="37">
        <f t="shared" si="9"/>
        <v>3.8631114843586056E-2</v>
      </c>
    </row>
    <row r="112" spans="1:10" x14ac:dyDescent="0.35">
      <c r="A112" s="7">
        <f t="shared" si="6"/>
        <v>108</v>
      </c>
      <c r="B112" s="42">
        <v>45247</v>
      </c>
      <c r="C112" s="37">
        <v>9.6560000000000007E-2</v>
      </c>
      <c r="D112" s="37">
        <v>9.3759999999999996E-2</v>
      </c>
      <c r="E112" s="37">
        <v>9.4060000000000005E-2</v>
      </c>
      <c r="F112" s="37">
        <v>9.5259999999999997E-2</v>
      </c>
      <c r="G112" s="37">
        <f t="shared" si="10"/>
        <v>1.0464629552114024E-2</v>
      </c>
      <c r="H112" s="37">
        <f t="shared" si="7"/>
        <v>7.5220287986246248E-3</v>
      </c>
      <c r="I112" s="37">
        <f t="shared" si="8"/>
        <v>5.3441641727234312E-3</v>
      </c>
      <c r="J112" s="37">
        <f t="shared" si="9"/>
        <v>1.0508617065994041E-3</v>
      </c>
    </row>
    <row r="113" spans="1:10" x14ac:dyDescent="0.35">
      <c r="A113" s="7">
        <f t="shared" si="6"/>
        <v>109</v>
      </c>
      <c r="B113" s="42">
        <v>45246</v>
      </c>
      <c r="C113" s="37">
        <v>9.5559999999999992E-2</v>
      </c>
      <c r="D113" s="37">
        <v>9.305999999999999E-2</v>
      </c>
      <c r="E113" s="37">
        <v>9.3560000000000004E-2</v>
      </c>
      <c r="F113" s="37">
        <v>9.5159999999999995E-2</v>
      </c>
      <c r="G113" s="37">
        <f t="shared" si="10"/>
        <v>-4.1684035014590837E-3</v>
      </c>
      <c r="H113" s="37">
        <f t="shared" si="7"/>
        <v>-1.1682242990654346E-2</v>
      </c>
      <c r="I113" s="37">
        <f t="shared" si="8"/>
        <v>-9.527842473004422E-3</v>
      </c>
      <c r="J113" s="37">
        <f t="shared" si="9"/>
        <v>-1.1427384167878696E-2</v>
      </c>
    </row>
    <row r="114" spans="1:10" x14ac:dyDescent="0.35">
      <c r="A114" s="7">
        <f t="shared" si="6"/>
        <v>110</v>
      </c>
      <c r="B114" s="42">
        <v>45245</v>
      </c>
      <c r="C114" s="37">
        <v>9.5960000000000004E-2</v>
      </c>
      <c r="D114" s="37">
        <v>9.4160000000000008E-2</v>
      </c>
      <c r="E114" s="37">
        <v>9.4460000000000002E-2</v>
      </c>
      <c r="F114" s="37">
        <v>9.6259999999999998E-2</v>
      </c>
      <c r="G114" s="37">
        <f t="shared" si="10"/>
        <v>1.0431879824743806E-3</v>
      </c>
      <c r="H114" s="37">
        <f t="shared" si="7"/>
        <v>0</v>
      </c>
      <c r="I114" s="37">
        <f t="shared" si="8"/>
        <v>2.1217907914279355E-3</v>
      </c>
      <c r="J114" s="37">
        <f t="shared" si="9"/>
        <v>1.0399334442596775E-3</v>
      </c>
    </row>
    <row r="115" spans="1:10" x14ac:dyDescent="0.35">
      <c r="A115" s="7">
        <f t="shared" si="6"/>
        <v>111</v>
      </c>
      <c r="B115" s="42">
        <v>45244</v>
      </c>
      <c r="C115" s="37">
        <v>9.5860000000000001E-2</v>
      </c>
      <c r="D115" s="37">
        <v>9.4160000000000008E-2</v>
      </c>
      <c r="E115" s="37">
        <v>9.4259999999999997E-2</v>
      </c>
      <c r="F115" s="37">
        <v>9.6159999999999995E-2</v>
      </c>
      <c r="G115" s="37">
        <f t="shared" si="10"/>
        <v>-1.943535188216039E-2</v>
      </c>
      <c r="H115" s="37">
        <f t="shared" si="7"/>
        <v>-2.0798668885191218E-2</v>
      </c>
      <c r="I115" s="37">
        <f t="shared" si="8"/>
        <v>-2.1793275217932617E-2</v>
      </c>
      <c r="J115" s="37">
        <f t="shared" si="9"/>
        <v>-1.737175556918058E-2</v>
      </c>
    </row>
    <row r="116" spans="1:10" x14ac:dyDescent="0.35">
      <c r="A116" s="7">
        <f t="shared" si="6"/>
        <v>112</v>
      </c>
      <c r="B116" s="42">
        <v>45243</v>
      </c>
      <c r="C116" s="37">
        <v>9.776E-2</v>
      </c>
      <c r="D116" s="37">
        <v>9.6159999999999995E-2</v>
      </c>
      <c r="E116" s="37">
        <v>9.6359999999999987E-2</v>
      </c>
      <c r="F116" s="37">
        <v>9.7860000000000003E-2</v>
      </c>
      <c r="G116" s="37">
        <f t="shared" si="10"/>
        <v>3.0781859224295882E-3</v>
      </c>
      <c r="H116" s="37">
        <f t="shared" si="7"/>
        <v>-3.3567839195979832E-2</v>
      </c>
      <c r="I116" s="37">
        <f t="shared" si="8"/>
        <v>-3.4662392306151091E-2</v>
      </c>
      <c r="J116" s="37">
        <f t="shared" si="9"/>
        <v>-3.4339846062758972E-2</v>
      </c>
    </row>
    <row r="117" spans="1:10" x14ac:dyDescent="0.35">
      <c r="A117" s="7">
        <f t="shared" si="6"/>
        <v>113</v>
      </c>
      <c r="B117" s="42">
        <v>45241</v>
      </c>
      <c r="C117" s="37">
        <v>9.7460000000000005E-2</v>
      </c>
      <c r="D117" s="37">
        <v>9.9499999999999991E-2</v>
      </c>
      <c r="E117" s="37">
        <v>9.9819999999999992E-2</v>
      </c>
      <c r="F117" s="37">
        <v>0.10134</v>
      </c>
      <c r="G117" s="37">
        <f t="shared" si="10"/>
        <v>0</v>
      </c>
      <c r="H117" s="37">
        <f t="shared" si="7"/>
        <v>3.7972042562069541E-2</v>
      </c>
      <c r="I117" s="37">
        <f t="shared" si="8"/>
        <v>3.6983170579679925E-2</v>
      </c>
      <c r="J117" s="37">
        <f t="shared" si="9"/>
        <v>4.0879211175020469E-2</v>
      </c>
    </row>
    <row r="118" spans="1:10" x14ac:dyDescent="0.35">
      <c r="A118" s="7">
        <f t="shared" si="6"/>
        <v>114</v>
      </c>
      <c r="B118" s="42">
        <v>45240</v>
      </c>
      <c r="C118" s="37">
        <v>9.7460000000000005E-2</v>
      </c>
      <c r="D118" s="37">
        <v>9.5860000000000001E-2</v>
      </c>
      <c r="E118" s="37">
        <v>9.6259999999999998E-2</v>
      </c>
      <c r="F118" s="37">
        <v>9.7360000000000002E-2</v>
      </c>
      <c r="G118" s="37">
        <f t="shared" si="10"/>
        <v>-1.2162983985404385E-2</v>
      </c>
      <c r="H118" s="37">
        <f t="shared" si="7"/>
        <v>-1.0421008753647154E-3</v>
      </c>
      <c r="I118" s="37">
        <f t="shared" si="8"/>
        <v>-2.0733982998134559E-3</v>
      </c>
      <c r="J118" s="37">
        <f t="shared" si="9"/>
        <v>1.0281719103433229E-3</v>
      </c>
    </row>
    <row r="119" spans="1:10" x14ac:dyDescent="0.35">
      <c r="A119" s="7">
        <f t="shared" si="6"/>
        <v>115</v>
      </c>
      <c r="B119" s="42">
        <v>45239</v>
      </c>
      <c r="C119" s="37">
        <v>9.8659999999999998E-2</v>
      </c>
      <c r="D119" s="37">
        <v>9.5960000000000004E-2</v>
      </c>
      <c r="E119" s="37">
        <v>9.6460000000000004E-2</v>
      </c>
      <c r="F119" s="37">
        <v>9.7260000000000013E-2</v>
      </c>
      <c r="G119" s="37">
        <f t="shared" si="10"/>
        <v>-8.0434345465513202E-3</v>
      </c>
      <c r="H119" s="37">
        <f t="shared" si="7"/>
        <v>-2.0798668885190219E-3</v>
      </c>
      <c r="I119" s="37">
        <f t="shared" si="8"/>
        <v>-1.0356255178127771E-3</v>
      </c>
      <c r="J119" s="37">
        <f t="shared" si="9"/>
        <v>4.1296716911005671E-3</v>
      </c>
    </row>
    <row r="120" spans="1:10" x14ac:dyDescent="0.35">
      <c r="A120" s="7">
        <f t="shared" si="6"/>
        <v>116</v>
      </c>
      <c r="B120" s="42">
        <v>45238</v>
      </c>
      <c r="C120" s="37">
        <v>9.9459999999999993E-2</v>
      </c>
      <c r="D120" s="37">
        <v>9.6159999999999995E-2</v>
      </c>
      <c r="E120" s="37">
        <v>9.6560000000000007E-2</v>
      </c>
      <c r="F120" s="37">
        <v>9.6860000000000002E-2</v>
      </c>
      <c r="G120" s="37">
        <f t="shared" si="10"/>
        <v>-7.9792539397567364E-3</v>
      </c>
      <c r="H120" s="37">
        <f t="shared" si="7"/>
        <v>-1.6366612111292977E-2</v>
      </c>
      <c r="I120" s="37">
        <f t="shared" si="8"/>
        <v>-1.7301038062283669E-2</v>
      </c>
      <c r="J120" s="37">
        <f t="shared" si="9"/>
        <v>-1.1229073091057473E-2</v>
      </c>
    </row>
    <row r="121" spans="1:10" x14ac:dyDescent="0.35">
      <c r="A121" s="7">
        <f t="shared" si="6"/>
        <v>117</v>
      </c>
      <c r="B121" s="42">
        <v>45237</v>
      </c>
      <c r="C121" s="37">
        <v>0.10026</v>
      </c>
      <c r="D121" s="37">
        <v>9.776E-2</v>
      </c>
      <c r="E121" s="37">
        <v>9.826E-2</v>
      </c>
      <c r="F121" s="37">
        <v>9.7959999999999992E-2</v>
      </c>
      <c r="G121" s="37">
        <f t="shared" si="10"/>
        <v>4.0056078509913551E-3</v>
      </c>
      <c r="H121" s="37">
        <f t="shared" si="7"/>
        <v>2.0500205002049743E-3</v>
      </c>
      <c r="I121" s="37">
        <f t="shared" si="8"/>
        <v>4.087471898630568E-3</v>
      </c>
      <c r="J121" s="37">
        <f t="shared" si="9"/>
        <v>1.021867974657642E-3</v>
      </c>
    </row>
    <row r="122" spans="1:10" x14ac:dyDescent="0.35">
      <c r="A122" s="7">
        <f t="shared" si="6"/>
        <v>118</v>
      </c>
      <c r="B122" s="42">
        <v>45236</v>
      </c>
      <c r="C122" s="37">
        <v>9.9860000000000004E-2</v>
      </c>
      <c r="D122" s="37">
        <v>9.7560000000000008E-2</v>
      </c>
      <c r="E122" s="37">
        <v>9.7860000000000003E-2</v>
      </c>
      <c r="F122" s="37">
        <v>9.7860000000000003E-2</v>
      </c>
      <c r="G122" s="37">
        <f t="shared" si="10"/>
        <v>-3.6472404477035925E-2</v>
      </c>
      <c r="H122" s="37">
        <f t="shared" si="7"/>
        <v>-3.558718861209953E-2</v>
      </c>
      <c r="I122" s="37">
        <f t="shared" si="8"/>
        <v>-3.7284800787014127E-2</v>
      </c>
      <c r="J122" s="37">
        <f t="shared" si="9"/>
        <v>-3.7474181174387722E-2</v>
      </c>
    </row>
    <row r="123" spans="1:10" x14ac:dyDescent="0.35">
      <c r="A123" s="7">
        <f t="shared" si="6"/>
        <v>119</v>
      </c>
      <c r="B123" s="42">
        <v>45234</v>
      </c>
      <c r="C123" s="37">
        <v>0.10364000000000001</v>
      </c>
      <c r="D123" s="37">
        <v>0.10116</v>
      </c>
      <c r="E123" s="37">
        <v>0.10164999999999999</v>
      </c>
      <c r="F123" s="37">
        <v>0.10167</v>
      </c>
      <c r="G123" s="37">
        <f t="shared" si="10"/>
        <v>3.681472589035617E-2</v>
      </c>
      <c r="H123" s="37">
        <f t="shared" si="7"/>
        <v>3.7964293043299735E-2</v>
      </c>
      <c r="I123" s="37">
        <f t="shared" si="8"/>
        <v>3.8728796239525742E-2</v>
      </c>
      <c r="J123" s="37">
        <f t="shared" si="9"/>
        <v>3.7872601061657907E-2</v>
      </c>
    </row>
    <row r="124" spans="1:10" x14ac:dyDescent="0.35">
      <c r="A124" s="7">
        <f t="shared" si="6"/>
        <v>120</v>
      </c>
      <c r="B124" s="42">
        <v>45233</v>
      </c>
      <c r="C124" s="37">
        <v>9.9960000000000007E-2</v>
      </c>
      <c r="D124" s="37">
        <v>9.7460000000000005E-2</v>
      </c>
      <c r="E124" s="37">
        <v>9.7860000000000003E-2</v>
      </c>
      <c r="F124" s="37">
        <v>9.7959999999999992E-2</v>
      </c>
      <c r="G124" s="37">
        <f t="shared" si="10"/>
        <v>-6.3869638509084115E-2</v>
      </c>
      <c r="H124" s="37">
        <f t="shared" si="7"/>
        <v>-6.4773054409365649E-2</v>
      </c>
      <c r="I124" s="37">
        <f t="shared" si="8"/>
        <v>-6.9063926940639342E-2</v>
      </c>
      <c r="J124" s="37">
        <f t="shared" si="9"/>
        <v>-6.2583732057416297E-2</v>
      </c>
    </row>
    <row r="125" spans="1:10" x14ac:dyDescent="0.35">
      <c r="A125" s="7">
        <f t="shared" si="6"/>
        <v>121</v>
      </c>
      <c r="B125" s="42">
        <v>45232</v>
      </c>
      <c r="C125" s="37">
        <v>0.10678000000000001</v>
      </c>
      <c r="D125" s="37">
        <v>0.10421</v>
      </c>
      <c r="E125" s="37">
        <v>0.10512000000000001</v>
      </c>
      <c r="F125" s="37">
        <v>0.1045</v>
      </c>
      <c r="G125" s="37">
        <f t="shared" si="10"/>
        <v>4.0740740740740966E-2</v>
      </c>
      <c r="H125" s="37">
        <f t="shared" si="7"/>
        <v>3.9397566327548317E-2</v>
      </c>
      <c r="I125" s="37">
        <f t="shared" si="8"/>
        <v>3.9145907473309594E-2</v>
      </c>
      <c r="J125" s="37">
        <f t="shared" si="9"/>
        <v>4.1251494619370277E-2</v>
      </c>
    </row>
    <row r="126" spans="1:10" x14ac:dyDescent="0.35">
      <c r="A126" s="7">
        <f t="shared" si="6"/>
        <v>122</v>
      </c>
      <c r="B126" s="42">
        <v>45231</v>
      </c>
      <c r="C126" s="37">
        <v>0.1026</v>
      </c>
      <c r="D126" s="37">
        <v>0.10026</v>
      </c>
      <c r="E126" s="37">
        <v>0.10116</v>
      </c>
      <c r="F126" s="37">
        <v>0.10035999999999999</v>
      </c>
      <c r="G126" s="37">
        <f t="shared" si="10"/>
        <v>-9.2699884125144738E-3</v>
      </c>
      <c r="H126" s="37">
        <f t="shared" si="7"/>
        <v>-1.1827321111768208E-2</v>
      </c>
      <c r="I126" s="37">
        <f t="shared" si="8"/>
        <v>-8.818342151675429E-3</v>
      </c>
      <c r="J126" s="37">
        <f t="shared" si="9"/>
        <v>-8.8880110606359697E-3</v>
      </c>
    </row>
    <row r="127" spans="1:10" x14ac:dyDescent="0.35">
      <c r="A127" s="7">
        <f t="shared" si="6"/>
        <v>123</v>
      </c>
      <c r="B127" s="42">
        <v>45230</v>
      </c>
      <c r="C127" s="37">
        <v>0.10356</v>
      </c>
      <c r="D127" s="37">
        <v>0.10146000000000001</v>
      </c>
      <c r="E127" s="37">
        <v>0.10206</v>
      </c>
      <c r="F127" s="37">
        <v>0.10125999999999999</v>
      </c>
      <c r="G127" s="37">
        <f t="shared" si="10"/>
        <v>0</v>
      </c>
      <c r="H127" s="37">
        <f t="shared" si="7"/>
        <v>-9.8463962189843102E-4</v>
      </c>
      <c r="I127" s="37">
        <f t="shared" si="8"/>
        <v>-3.9039625219599028E-3</v>
      </c>
      <c r="J127" s="37">
        <f t="shared" si="9"/>
        <v>-6.8654374264418561E-3</v>
      </c>
    </row>
    <row r="128" spans="1:10" x14ac:dyDescent="0.35">
      <c r="A128" s="7">
        <f t="shared" si="6"/>
        <v>124</v>
      </c>
      <c r="B128" s="42">
        <v>45229</v>
      </c>
      <c r="C128" s="37">
        <v>0.10356</v>
      </c>
      <c r="D128" s="37">
        <v>0.10156000000000001</v>
      </c>
      <c r="E128" s="37">
        <v>0.10246000000000001</v>
      </c>
      <c r="F128" s="37">
        <v>0.10196</v>
      </c>
      <c r="G128" s="37">
        <f t="shared" si="10"/>
        <v>-2.8791146956766434E-2</v>
      </c>
      <c r="H128" s="37">
        <f t="shared" si="7"/>
        <v>-2.8412895819381889E-2</v>
      </c>
      <c r="I128" s="37">
        <f t="shared" si="8"/>
        <v>-2.6600798023940553E-2</v>
      </c>
      <c r="J128" s="37">
        <f t="shared" si="9"/>
        <v>-2.793402612260476E-2</v>
      </c>
    </row>
    <row r="129" spans="1:10" x14ac:dyDescent="0.35">
      <c r="A129" s="7">
        <f t="shared" si="6"/>
        <v>125</v>
      </c>
      <c r="B129" s="42">
        <v>45227</v>
      </c>
      <c r="C129" s="37">
        <v>0.10663</v>
      </c>
      <c r="D129" s="37">
        <v>0.10453</v>
      </c>
      <c r="E129" s="37">
        <v>0.10525999999999999</v>
      </c>
      <c r="F129" s="37">
        <v>0.10489000000000001</v>
      </c>
      <c r="G129" s="37">
        <f t="shared" si="10"/>
        <v>3.9278752436647135E-2</v>
      </c>
      <c r="H129" s="37">
        <f t="shared" si="7"/>
        <v>3.9478918058870383E-2</v>
      </c>
      <c r="I129" s="37">
        <f t="shared" si="8"/>
        <v>3.9502271380604359E-2</v>
      </c>
      <c r="J129" s="37">
        <f t="shared" si="9"/>
        <v>3.9956375173507919E-2</v>
      </c>
    </row>
    <row r="130" spans="1:10" x14ac:dyDescent="0.35">
      <c r="A130" s="7">
        <f t="shared" si="6"/>
        <v>126</v>
      </c>
      <c r="B130" s="42">
        <v>45226</v>
      </c>
      <c r="C130" s="37">
        <v>0.1026</v>
      </c>
      <c r="D130" s="37">
        <v>0.10056</v>
      </c>
      <c r="E130" s="37">
        <v>0.10125999999999999</v>
      </c>
      <c r="F130" s="37">
        <v>0.10086000000000001</v>
      </c>
      <c r="G130" s="37">
        <f t="shared" si="10"/>
        <v>-4.8496605237634549E-3</v>
      </c>
      <c r="H130" s="37">
        <f t="shared" si="7"/>
        <v>-1.9849146486701219E-3</v>
      </c>
      <c r="I130" s="37">
        <f t="shared" si="8"/>
        <v>1.9790223629525538E-3</v>
      </c>
      <c r="J130" s="37">
        <f t="shared" si="9"/>
        <v>-3.9502271380602583E-3</v>
      </c>
    </row>
    <row r="131" spans="1:10" x14ac:dyDescent="0.35">
      <c r="A131" s="7">
        <f t="shared" si="6"/>
        <v>127</v>
      </c>
      <c r="B131" s="42">
        <v>45225</v>
      </c>
      <c r="C131" s="37">
        <v>0.10310000000000001</v>
      </c>
      <c r="D131" s="37">
        <v>0.10076</v>
      </c>
      <c r="E131" s="37">
        <v>0.10106</v>
      </c>
      <c r="F131" s="37">
        <v>0.10125999999999999</v>
      </c>
      <c r="G131" s="37">
        <f t="shared" si="10"/>
        <v>-1.4905407987769737E-2</v>
      </c>
      <c r="H131" s="37">
        <f t="shared" si="7"/>
        <v>-1.563110590074257E-2</v>
      </c>
      <c r="I131" s="37">
        <f t="shared" si="8"/>
        <v>-1.3663868826859327E-2</v>
      </c>
      <c r="J131" s="37">
        <f t="shared" si="9"/>
        <v>-8.8097102584181464E-3</v>
      </c>
    </row>
    <row r="132" spans="1:10" x14ac:dyDescent="0.35">
      <c r="A132" s="7">
        <f t="shared" si="6"/>
        <v>128</v>
      </c>
      <c r="B132" s="42">
        <v>45224</v>
      </c>
      <c r="C132" s="37">
        <v>0.10465999999999999</v>
      </c>
      <c r="D132" s="37">
        <v>0.10236000000000001</v>
      </c>
      <c r="E132" s="37">
        <v>0.10246000000000001</v>
      </c>
      <c r="F132" s="37">
        <v>0.10215999999999999</v>
      </c>
      <c r="G132" s="37">
        <f t="shared" si="10"/>
        <v>1.1598685482312021E-2</v>
      </c>
      <c r="H132" s="37">
        <f t="shared" si="7"/>
        <v>1.7899761336515718E-2</v>
      </c>
      <c r="I132" s="37">
        <f t="shared" si="8"/>
        <v>1.8894192521877518E-2</v>
      </c>
      <c r="J132" s="37">
        <f t="shared" si="9"/>
        <v>2.0987407555466575E-2</v>
      </c>
    </row>
    <row r="133" spans="1:10" x14ac:dyDescent="0.35">
      <c r="A133" s="7">
        <f t="shared" ref="A133:A196" si="11">+A134-1</f>
        <v>129</v>
      </c>
      <c r="B133" s="42">
        <v>45223</v>
      </c>
      <c r="C133" s="37">
        <v>0.10346</v>
      </c>
      <c r="D133" s="37">
        <v>0.10056</v>
      </c>
      <c r="E133" s="37">
        <v>0.10056</v>
      </c>
      <c r="F133" s="37">
        <v>0.10006</v>
      </c>
      <c r="G133" s="37">
        <f t="shared" si="10"/>
        <v>4.8562548562549601E-3</v>
      </c>
      <c r="H133" s="37">
        <f t="shared" ref="H133:H196" si="12">+D133/D134-1</f>
        <v>4.9970017989207083E-3</v>
      </c>
      <c r="I133" s="37">
        <f t="shared" ref="I133:I196" si="13">+E133/E134-1</f>
        <v>8.0192461908579205E-3</v>
      </c>
      <c r="J133" s="37">
        <f t="shared" ref="J133:J196" si="14">+F133/F134-1</f>
        <v>6.0325759099135734E-3</v>
      </c>
    </row>
    <row r="134" spans="1:10" x14ac:dyDescent="0.35">
      <c r="A134" s="7">
        <f t="shared" si="11"/>
        <v>130</v>
      </c>
      <c r="B134" s="42">
        <v>45222</v>
      </c>
      <c r="C134" s="37">
        <v>0.10296</v>
      </c>
      <c r="D134" s="37">
        <v>0.10006</v>
      </c>
      <c r="E134" s="37">
        <v>9.9760000000000015E-2</v>
      </c>
      <c r="F134" s="37">
        <v>9.9459999999999993E-2</v>
      </c>
      <c r="G134" s="37">
        <f t="shared" ref="G134:G197" si="15">+C134/C135-1</f>
        <v>-3.5232383808096124E-2</v>
      </c>
      <c r="H134" s="37">
        <f t="shared" si="12"/>
        <v>-3.3610198956924853E-2</v>
      </c>
      <c r="I134" s="37">
        <f t="shared" si="13"/>
        <v>-4.2058767044363177E-2</v>
      </c>
      <c r="J134" s="37">
        <f t="shared" si="14"/>
        <v>-3.7639090469279268E-2</v>
      </c>
    </row>
    <row r="135" spans="1:10" x14ac:dyDescent="0.35">
      <c r="A135" s="7">
        <f t="shared" si="11"/>
        <v>131</v>
      </c>
      <c r="B135" s="42">
        <v>45220</v>
      </c>
      <c r="C135" s="37">
        <v>0.10672000000000001</v>
      </c>
      <c r="D135" s="37">
        <v>0.10353999999999999</v>
      </c>
      <c r="E135" s="37">
        <v>0.10414</v>
      </c>
      <c r="F135" s="37">
        <v>0.10335000000000001</v>
      </c>
      <c r="G135" s="37">
        <f t="shared" si="15"/>
        <v>3.8536395484624508E-2</v>
      </c>
      <c r="H135" s="37">
        <f t="shared" si="12"/>
        <v>3.7890938251804007E-2</v>
      </c>
      <c r="I135" s="37">
        <f t="shared" si="13"/>
        <v>4.0775534679192482E-2</v>
      </c>
      <c r="J135" s="37">
        <f t="shared" si="14"/>
        <v>4.1204916381221146E-2</v>
      </c>
    </row>
    <row r="136" spans="1:10" x14ac:dyDescent="0.35">
      <c r="A136" s="7">
        <f t="shared" si="11"/>
        <v>132</v>
      </c>
      <c r="B136" s="42">
        <v>45219</v>
      </c>
      <c r="C136" s="37">
        <v>0.10276</v>
      </c>
      <c r="D136" s="37">
        <v>9.9760000000000015E-2</v>
      </c>
      <c r="E136" s="37">
        <v>0.10006</v>
      </c>
      <c r="F136" s="37">
        <v>9.9260000000000001E-2</v>
      </c>
      <c r="G136" s="37">
        <f t="shared" si="15"/>
        <v>-8.6822303685124558E-3</v>
      </c>
      <c r="H136" s="37">
        <f t="shared" si="12"/>
        <v>-4.9870337123477659E-3</v>
      </c>
      <c r="I136" s="37">
        <f t="shared" si="13"/>
        <v>-4.9721559268098847E-3</v>
      </c>
      <c r="J136" s="37">
        <f t="shared" si="14"/>
        <v>-7.9952028782729334E-3</v>
      </c>
    </row>
    <row r="137" spans="1:10" x14ac:dyDescent="0.35">
      <c r="A137" s="7">
        <f t="shared" si="11"/>
        <v>133</v>
      </c>
      <c r="B137" s="42">
        <v>45218</v>
      </c>
      <c r="C137" s="37">
        <v>0.10366</v>
      </c>
      <c r="D137" s="37">
        <v>0.10026</v>
      </c>
      <c r="E137" s="37">
        <v>0.10056</v>
      </c>
      <c r="F137" s="37">
        <v>0.10006</v>
      </c>
      <c r="G137" s="37">
        <f t="shared" si="15"/>
        <v>-3.8439361906592584E-3</v>
      </c>
      <c r="H137" s="37">
        <f t="shared" si="12"/>
        <v>-9.9641291351126871E-4</v>
      </c>
      <c r="I137" s="37">
        <f t="shared" si="13"/>
        <v>-9.9344327438921631E-4</v>
      </c>
      <c r="J137" s="37">
        <f t="shared" si="14"/>
        <v>4.0136463977522574E-3</v>
      </c>
    </row>
    <row r="138" spans="1:10" x14ac:dyDescent="0.35">
      <c r="A138" s="7">
        <f t="shared" si="11"/>
        <v>134</v>
      </c>
      <c r="B138" s="42">
        <v>45217</v>
      </c>
      <c r="C138" s="37">
        <v>0.10406</v>
      </c>
      <c r="D138" s="37">
        <v>0.10035999999999999</v>
      </c>
      <c r="E138" s="37">
        <v>0.10066000000000001</v>
      </c>
      <c r="F138" s="37">
        <v>9.9659999999999999E-2</v>
      </c>
      <c r="G138" s="37">
        <f t="shared" si="15"/>
        <v>1.9256691700366702E-3</v>
      </c>
      <c r="H138" s="37">
        <f t="shared" si="12"/>
        <v>6.0144346431432183E-3</v>
      </c>
      <c r="I138" s="37">
        <f t="shared" si="13"/>
        <v>1.0034115994381088E-2</v>
      </c>
      <c r="J138" s="37">
        <f t="shared" si="14"/>
        <v>7.0735650767985714E-3</v>
      </c>
    </row>
    <row r="139" spans="1:10" x14ac:dyDescent="0.35">
      <c r="A139" s="7">
        <f t="shared" si="11"/>
        <v>135</v>
      </c>
      <c r="B139" s="42">
        <v>45216</v>
      </c>
      <c r="C139" s="37">
        <v>0.10385999999999999</v>
      </c>
      <c r="D139" s="37">
        <v>9.9760000000000015E-2</v>
      </c>
      <c r="E139" s="37">
        <v>9.9659999999999999E-2</v>
      </c>
      <c r="F139" s="37">
        <v>9.8960000000000006E-2</v>
      </c>
      <c r="G139" s="37">
        <f t="shared" si="15"/>
        <v>5.8105752469492788E-3</v>
      </c>
      <c r="H139" s="37">
        <f t="shared" si="12"/>
        <v>9.1037831276554737E-3</v>
      </c>
      <c r="I139" s="37">
        <f t="shared" si="13"/>
        <v>8.0922516690269397E-3</v>
      </c>
      <c r="J139" s="37">
        <f t="shared" si="14"/>
        <v>6.1000406669378116E-3</v>
      </c>
    </row>
    <row r="140" spans="1:10" x14ac:dyDescent="0.35">
      <c r="A140" s="7">
        <f t="shared" si="11"/>
        <v>136</v>
      </c>
      <c r="B140" s="42">
        <v>45215</v>
      </c>
      <c r="C140" s="37">
        <v>0.10326</v>
      </c>
      <c r="D140" s="37">
        <v>9.885999999999999E-2</v>
      </c>
      <c r="E140" s="37">
        <v>9.885999999999999E-2</v>
      </c>
      <c r="F140" s="37">
        <v>9.8360000000000003E-2</v>
      </c>
      <c r="G140" s="37">
        <f t="shared" si="15"/>
        <v>-3.1513787281935879E-2</v>
      </c>
      <c r="H140" s="37">
        <f t="shared" si="12"/>
        <v>-2.878475292268412E-2</v>
      </c>
      <c r="I140" s="37">
        <f t="shared" si="13"/>
        <v>-3.3248582045765862E-2</v>
      </c>
      <c r="J140" s="37">
        <f t="shared" si="14"/>
        <v>-3.1889763779527458E-2</v>
      </c>
    </row>
    <row r="141" spans="1:10" x14ac:dyDescent="0.35">
      <c r="A141" s="7">
        <f t="shared" si="11"/>
        <v>137</v>
      </c>
      <c r="B141" s="42">
        <v>45213</v>
      </c>
      <c r="C141" s="37">
        <v>0.10662000000000001</v>
      </c>
      <c r="D141" s="37">
        <v>0.10179000000000001</v>
      </c>
      <c r="E141" s="37">
        <v>0.10226</v>
      </c>
      <c r="F141" s="37">
        <v>0.1016</v>
      </c>
      <c r="G141" s="37">
        <f t="shared" si="15"/>
        <v>3.7563254184507677E-2</v>
      </c>
      <c r="H141" s="37">
        <f t="shared" si="12"/>
        <v>3.4871899145994423E-2</v>
      </c>
      <c r="I141" s="37">
        <f t="shared" si="13"/>
        <v>3.9650264335095553E-2</v>
      </c>
      <c r="J141" s="37">
        <f t="shared" si="14"/>
        <v>4.1410414104140925E-2</v>
      </c>
    </row>
    <row r="142" spans="1:10" x14ac:dyDescent="0.35">
      <c r="A142" s="7">
        <f t="shared" si="11"/>
        <v>138</v>
      </c>
      <c r="B142" s="42">
        <v>45212</v>
      </c>
      <c r="C142" s="37">
        <v>0.10276</v>
      </c>
      <c r="D142" s="37">
        <v>9.8360000000000003E-2</v>
      </c>
      <c r="E142" s="37">
        <v>9.8360000000000003E-2</v>
      </c>
      <c r="F142" s="37">
        <v>9.7560000000000008E-2</v>
      </c>
      <c r="G142" s="37">
        <f t="shared" si="15"/>
        <v>-9.7219521679947629E-4</v>
      </c>
      <c r="H142" s="37">
        <f t="shared" si="12"/>
        <v>-3.0407459963510686E-3</v>
      </c>
      <c r="I142" s="37">
        <f t="shared" si="13"/>
        <v>-3.0407459963510686E-3</v>
      </c>
      <c r="J142" s="37">
        <f t="shared" si="14"/>
        <v>-2.0458265139114973E-3</v>
      </c>
    </row>
    <row r="143" spans="1:10" x14ac:dyDescent="0.35">
      <c r="A143" s="7">
        <f t="shared" si="11"/>
        <v>139</v>
      </c>
      <c r="B143" s="42">
        <v>45211</v>
      </c>
      <c r="C143" s="37">
        <v>0.10285999999999999</v>
      </c>
      <c r="D143" s="37">
        <v>9.8659999999999998E-2</v>
      </c>
      <c r="E143" s="37">
        <v>9.8659999999999998E-2</v>
      </c>
      <c r="F143" s="37">
        <v>9.776E-2</v>
      </c>
      <c r="G143" s="37">
        <f t="shared" si="15"/>
        <v>1.2800315084678937E-2</v>
      </c>
      <c r="H143" s="37">
        <f t="shared" si="12"/>
        <v>1.3352506162695121E-2</v>
      </c>
      <c r="I143" s="37">
        <f t="shared" si="13"/>
        <v>1.0239606799098855E-2</v>
      </c>
      <c r="J143" s="37">
        <f t="shared" si="14"/>
        <v>1.0334849111202971E-2</v>
      </c>
    </row>
    <row r="144" spans="1:10" x14ac:dyDescent="0.35">
      <c r="A144" s="7">
        <f t="shared" si="11"/>
        <v>140</v>
      </c>
      <c r="B144" s="42">
        <v>45210</v>
      </c>
      <c r="C144" s="37">
        <v>0.10156000000000001</v>
      </c>
      <c r="D144" s="37">
        <v>9.7360000000000002E-2</v>
      </c>
      <c r="E144" s="37">
        <v>9.7659999999999997E-2</v>
      </c>
      <c r="F144" s="37">
        <v>9.6759999999999999E-2</v>
      </c>
      <c r="G144" s="37">
        <f t="shared" si="15"/>
        <v>2.9626703535454713E-3</v>
      </c>
      <c r="H144" s="37">
        <f t="shared" si="12"/>
        <v>0</v>
      </c>
      <c r="I144" s="37">
        <f t="shared" si="13"/>
        <v>1.0250102501023761E-3</v>
      </c>
      <c r="J144" s="37">
        <f t="shared" si="14"/>
        <v>-4.1169205434334888E-3</v>
      </c>
    </row>
    <row r="145" spans="1:10" x14ac:dyDescent="0.35">
      <c r="A145" s="7">
        <f t="shared" si="11"/>
        <v>141</v>
      </c>
      <c r="B145" s="42">
        <v>45209</v>
      </c>
      <c r="C145" s="37">
        <v>0.10125999999999999</v>
      </c>
      <c r="D145" s="37">
        <v>9.7360000000000002E-2</v>
      </c>
      <c r="E145" s="37">
        <v>9.7560000000000008E-2</v>
      </c>
      <c r="F145" s="37">
        <v>9.7159999999999996E-2</v>
      </c>
      <c r="G145" s="37">
        <f t="shared" si="15"/>
        <v>-6.8654374264418561E-3</v>
      </c>
      <c r="H145" s="37">
        <f t="shared" si="12"/>
        <v>-1.0166734444896353E-2</v>
      </c>
      <c r="I145" s="37">
        <f t="shared" si="13"/>
        <v>-8.133387555916971E-3</v>
      </c>
      <c r="J145" s="37">
        <f t="shared" si="14"/>
        <v>-1.1194789334418975E-2</v>
      </c>
    </row>
    <row r="146" spans="1:10" x14ac:dyDescent="0.35">
      <c r="A146" s="7">
        <f t="shared" si="11"/>
        <v>142</v>
      </c>
      <c r="B146" s="42">
        <v>45208</v>
      </c>
      <c r="C146" s="37">
        <v>0.10196</v>
      </c>
      <c r="D146" s="37">
        <v>9.8360000000000003E-2</v>
      </c>
      <c r="E146" s="37">
        <v>9.8360000000000003E-2</v>
      </c>
      <c r="F146" s="37">
        <v>9.826E-2</v>
      </c>
      <c r="G146" s="37">
        <f t="shared" si="15"/>
        <v>-4.0195801562647016E-2</v>
      </c>
      <c r="H146" s="37">
        <f t="shared" si="12"/>
        <v>-3.9640695176723417E-2</v>
      </c>
      <c r="I146" s="37">
        <f t="shared" si="13"/>
        <v>-4.3283727263884963E-2</v>
      </c>
      <c r="J146" s="37">
        <f t="shared" si="14"/>
        <v>-4.2859925969218837E-2</v>
      </c>
    </row>
    <row r="147" spans="1:10" x14ac:dyDescent="0.35">
      <c r="A147" s="7">
        <f t="shared" si="11"/>
        <v>143</v>
      </c>
      <c r="B147" s="42">
        <v>45206</v>
      </c>
      <c r="C147" s="37">
        <v>0.10622999999999999</v>
      </c>
      <c r="D147" s="37">
        <v>0.10242000000000001</v>
      </c>
      <c r="E147" s="37">
        <v>0.10281000000000001</v>
      </c>
      <c r="F147" s="37">
        <v>0.10266</v>
      </c>
      <c r="G147" s="37">
        <f t="shared" si="15"/>
        <v>3.7807737397420604E-2</v>
      </c>
      <c r="H147" s="37">
        <f t="shared" si="12"/>
        <v>3.6010519927169859E-2</v>
      </c>
      <c r="I147" s="37">
        <f t="shared" si="13"/>
        <v>3.9955492615820543E-2</v>
      </c>
      <c r="J147" s="37">
        <f t="shared" si="14"/>
        <v>4.1599025974025983E-2</v>
      </c>
    </row>
    <row r="148" spans="1:10" x14ac:dyDescent="0.35">
      <c r="A148" s="7">
        <f t="shared" si="11"/>
        <v>144</v>
      </c>
      <c r="B148" s="42">
        <v>45205</v>
      </c>
      <c r="C148" s="37">
        <v>0.10236000000000001</v>
      </c>
      <c r="D148" s="37">
        <v>9.885999999999999E-2</v>
      </c>
      <c r="E148" s="37">
        <v>9.885999999999999E-2</v>
      </c>
      <c r="F148" s="37">
        <v>9.8559999999999995E-2</v>
      </c>
      <c r="G148" s="37">
        <f t="shared" si="15"/>
        <v>-9.7599063048992019E-4</v>
      </c>
      <c r="H148" s="37">
        <f t="shared" si="12"/>
        <v>-2.0189783969313257E-3</v>
      </c>
      <c r="I148" s="37">
        <f t="shared" si="13"/>
        <v>-7.0309361189233588E-3</v>
      </c>
      <c r="J148" s="37">
        <f t="shared" si="14"/>
        <v>-6.0508269463493969E-3</v>
      </c>
    </row>
    <row r="149" spans="1:10" x14ac:dyDescent="0.35">
      <c r="A149" s="7">
        <f t="shared" si="11"/>
        <v>145</v>
      </c>
      <c r="B149" s="42">
        <v>45204</v>
      </c>
      <c r="C149" s="37">
        <v>0.10246000000000001</v>
      </c>
      <c r="D149" s="37">
        <v>9.9060000000000009E-2</v>
      </c>
      <c r="E149" s="37">
        <v>9.9559999999999996E-2</v>
      </c>
      <c r="F149" s="37">
        <v>9.9159999999999998E-2</v>
      </c>
      <c r="G149" s="37">
        <f t="shared" si="15"/>
        <v>0</v>
      </c>
      <c r="H149" s="37">
        <f t="shared" si="12"/>
        <v>6.0938452163314949E-3</v>
      </c>
      <c r="I149" s="37">
        <f t="shared" si="13"/>
        <v>7.0807202103986278E-3</v>
      </c>
      <c r="J149" s="37">
        <f t="shared" si="14"/>
        <v>2.0210185933708935E-3</v>
      </c>
    </row>
    <row r="150" spans="1:10" x14ac:dyDescent="0.35">
      <c r="A150" s="7">
        <f t="shared" si="11"/>
        <v>146</v>
      </c>
      <c r="B150" s="42">
        <v>45203</v>
      </c>
      <c r="C150" s="37">
        <v>0.10246000000000001</v>
      </c>
      <c r="D150" s="37">
        <v>9.8460000000000006E-2</v>
      </c>
      <c r="E150" s="37">
        <v>9.885999999999999E-2</v>
      </c>
      <c r="F150" s="37">
        <v>9.8960000000000006E-2</v>
      </c>
      <c r="G150" s="37">
        <f t="shared" si="15"/>
        <v>-7.4590719752009038E-3</v>
      </c>
      <c r="H150" s="37">
        <f t="shared" si="12"/>
        <v>-1.2734382833650915E-2</v>
      </c>
      <c r="I150" s="37">
        <f t="shared" si="13"/>
        <v>-5.0974368820197791E-2</v>
      </c>
      <c r="J150" s="37">
        <f t="shared" si="14"/>
        <v>-1.4342629482071545E-2</v>
      </c>
    </row>
    <row r="151" spans="1:10" x14ac:dyDescent="0.35">
      <c r="A151" s="7">
        <f t="shared" si="11"/>
        <v>147</v>
      </c>
      <c r="B151" s="42">
        <v>45202</v>
      </c>
      <c r="C151" s="37">
        <v>0.10323</v>
      </c>
      <c r="D151" s="37">
        <v>9.9730000000000013E-2</v>
      </c>
      <c r="E151" s="37">
        <v>0.10417</v>
      </c>
      <c r="F151" s="37">
        <v>0.10039999999999999</v>
      </c>
      <c r="G151" s="37">
        <f t="shared" si="15"/>
        <v>6.7855758045753944E-4</v>
      </c>
      <c r="H151" s="37">
        <f t="shared" si="12"/>
        <v>7.0238811960687819E-4</v>
      </c>
      <c r="I151" s="37">
        <f t="shared" si="13"/>
        <v>4.5253863134657735E-2</v>
      </c>
      <c r="J151" s="37">
        <f t="shared" si="14"/>
        <v>5.4075705988381184E-3</v>
      </c>
    </row>
    <row r="152" spans="1:10" x14ac:dyDescent="0.35">
      <c r="A152" s="7">
        <f t="shared" si="11"/>
        <v>148</v>
      </c>
      <c r="B152" s="42">
        <v>45201</v>
      </c>
      <c r="C152" s="37">
        <v>0.10316</v>
      </c>
      <c r="D152" s="37">
        <v>9.9659999999999999E-2</v>
      </c>
      <c r="E152" s="37">
        <v>9.9659999999999999E-2</v>
      </c>
      <c r="F152" s="37">
        <v>9.9860000000000004E-2</v>
      </c>
      <c r="G152" s="37">
        <f t="shared" si="15"/>
        <v>-3.2360941750304795E-2</v>
      </c>
      <c r="H152" s="37">
        <f t="shared" si="12"/>
        <v>-2.4948635162899913E-2</v>
      </c>
      <c r="I152" s="37">
        <f t="shared" si="13"/>
        <v>-3.3271898341255102E-2</v>
      </c>
      <c r="J152" s="37">
        <f t="shared" si="14"/>
        <v>-3.2739248353351402E-2</v>
      </c>
    </row>
    <row r="153" spans="1:10" x14ac:dyDescent="0.35">
      <c r="A153" s="7">
        <f t="shared" si="11"/>
        <v>149</v>
      </c>
      <c r="B153" s="42">
        <v>45199</v>
      </c>
      <c r="C153" s="37">
        <v>0.10661</v>
      </c>
      <c r="D153" s="37">
        <v>0.10221</v>
      </c>
      <c r="E153" s="37">
        <v>0.10308999999999999</v>
      </c>
      <c r="F153" s="37">
        <v>0.10324</v>
      </c>
      <c r="G153" s="37">
        <f t="shared" si="15"/>
        <v>3.4445953813312835E-2</v>
      </c>
      <c r="H153" s="37">
        <f t="shared" si="12"/>
        <v>3.0758370310609129E-2</v>
      </c>
      <c r="I153" s="37">
        <f t="shared" si="13"/>
        <v>3.9632916498588022E-2</v>
      </c>
      <c r="J153" s="37">
        <f t="shared" si="14"/>
        <v>3.8005228232455224E-2</v>
      </c>
    </row>
    <row r="154" spans="1:10" x14ac:dyDescent="0.35">
      <c r="A154" s="7">
        <f t="shared" si="11"/>
        <v>150</v>
      </c>
      <c r="B154" s="42">
        <v>45198</v>
      </c>
      <c r="C154" s="37">
        <v>0.10305999999999998</v>
      </c>
      <c r="D154" s="37">
        <v>9.9159999999999998E-2</v>
      </c>
      <c r="E154" s="37">
        <v>9.9159999999999998E-2</v>
      </c>
      <c r="F154" s="37">
        <v>9.9459999999999993E-2</v>
      </c>
      <c r="G154" s="37">
        <f t="shared" si="15"/>
        <v>-3.8662284941041181E-3</v>
      </c>
      <c r="H154" s="37">
        <f t="shared" si="12"/>
        <v>-5.0170579971904328E-3</v>
      </c>
      <c r="I154" s="37">
        <f t="shared" si="13"/>
        <v>-4.0176777822418241E-3</v>
      </c>
      <c r="J154" s="37">
        <f t="shared" si="14"/>
        <v>-2.0068231988762397E-3</v>
      </c>
    </row>
    <row r="155" spans="1:10" x14ac:dyDescent="0.35">
      <c r="A155" s="7">
        <f t="shared" si="11"/>
        <v>151</v>
      </c>
      <c r="B155" s="42">
        <v>45197</v>
      </c>
      <c r="C155" s="37">
        <v>0.10346</v>
      </c>
      <c r="D155" s="37">
        <v>9.9659999999999999E-2</v>
      </c>
      <c r="E155" s="37">
        <v>9.9559999999999996E-2</v>
      </c>
      <c r="F155" s="37">
        <v>9.9659999999999999E-2</v>
      </c>
      <c r="G155" s="37">
        <f t="shared" si="15"/>
        <v>-1.7100513015390395E-2</v>
      </c>
      <c r="H155" s="37">
        <f t="shared" si="12"/>
        <v>-1.7740981667652367E-2</v>
      </c>
      <c r="I155" s="37">
        <f t="shared" si="13"/>
        <v>-1.9692792437967843E-2</v>
      </c>
      <c r="J155" s="37">
        <f t="shared" si="14"/>
        <v>-1.7740981667652367E-2</v>
      </c>
    </row>
    <row r="156" spans="1:10" x14ac:dyDescent="0.35">
      <c r="A156" s="7">
        <f t="shared" si="11"/>
        <v>152</v>
      </c>
      <c r="B156" s="42">
        <v>45196</v>
      </c>
      <c r="C156" s="37">
        <v>0.10525999999999999</v>
      </c>
      <c r="D156" s="37">
        <v>0.10146000000000001</v>
      </c>
      <c r="E156" s="37">
        <v>0.10156000000000001</v>
      </c>
      <c r="F156" s="37">
        <v>0.10146000000000001</v>
      </c>
      <c r="G156" s="37">
        <f t="shared" si="15"/>
        <v>2.8431851489985283E-2</v>
      </c>
      <c r="H156" s="37">
        <f t="shared" si="12"/>
        <v>3.2146490335707156E-2</v>
      </c>
      <c r="I156" s="37">
        <f t="shared" si="13"/>
        <v>2.5858585858586025E-2</v>
      </c>
      <c r="J156" s="37">
        <f t="shared" si="14"/>
        <v>2.1752265861027187E-2</v>
      </c>
    </row>
    <row r="157" spans="1:10" x14ac:dyDescent="0.35">
      <c r="A157" s="7">
        <f t="shared" si="11"/>
        <v>153</v>
      </c>
      <c r="B157" s="42">
        <v>45195</v>
      </c>
      <c r="C157" s="37">
        <v>0.10235</v>
      </c>
      <c r="D157" s="37">
        <v>9.8299999999999998E-2</v>
      </c>
      <c r="E157" s="37">
        <v>9.9000000000000005E-2</v>
      </c>
      <c r="F157" s="37">
        <v>9.9299999999999999E-2</v>
      </c>
      <c r="G157" s="37">
        <f t="shared" si="15"/>
        <v>-2.0475819032761411E-3</v>
      </c>
      <c r="H157" s="37">
        <f t="shared" si="12"/>
        <v>-9.6715696151521424E-3</v>
      </c>
      <c r="I157" s="37">
        <f t="shared" si="13"/>
        <v>-6.0569351907935332E-4</v>
      </c>
      <c r="J157" s="37">
        <f t="shared" si="14"/>
        <v>-2.611490558457219E-3</v>
      </c>
    </row>
    <row r="158" spans="1:10" x14ac:dyDescent="0.35">
      <c r="A158" s="7">
        <f t="shared" si="11"/>
        <v>154</v>
      </c>
      <c r="B158" s="42">
        <v>45194</v>
      </c>
      <c r="C158" s="37">
        <v>0.10256</v>
      </c>
      <c r="D158" s="37">
        <v>9.9260000000000001E-2</v>
      </c>
      <c r="E158" s="37">
        <v>9.9060000000000009E-2</v>
      </c>
      <c r="F158" s="37">
        <v>9.9559999999999996E-2</v>
      </c>
      <c r="G158" s="37">
        <f t="shared" si="15"/>
        <v>-2.5372992492635138E-2</v>
      </c>
      <c r="H158" s="37">
        <f t="shared" si="12"/>
        <v>-2.4855093820611129E-2</v>
      </c>
      <c r="I158" s="37">
        <f t="shared" si="13"/>
        <v>-2.7679623085983485E-2</v>
      </c>
      <c r="J158" s="37">
        <f t="shared" si="14"/>
        <v>-2.7544442273881642E-2</v>
      </c>
    </row>
    <row r="159" spans="1:10" x14ac:dyDescent="0.35">
      <c r="A159" s="7">
        <f t="shared" si="11"/>
        <v>155</v>
      </c>
      <c r="B159" s="42">
        <v>45192</v>
      </c>
      <c r="C159" s="37">
        <v>0.10522999999999999</v>
      </c>
      <c r="D159" s="37">
        <v>0.10179000000000001</v>
      </c>
      <c r="E159" s="37">
        <v>0.10188000000000001</v>
      </c>
      <c r="F159" s="37">
        <v>0.10238</v>
      </c>
      <c r="G159" s="37">
        <f t="shared" si="15"/>
        <v>3.8180741910023741E-2</v>
      </c>
      <c r="H159" s="37">
        <f t="shared" si="12"/>
        <v>3.8037935957577096E-2</v>
      </c>
      <c r="I159" s="37">
        <f t="shared" si="13"/>
        <v>4.0016333197223641E-2</v>
      </c>
      <c r="J159" s="37">
        <f t="shared" si="14"/>
        <v>4.1929574598005281E-2</v>
      </c>
    </row>
    <row r="160" spans="1:10" x14ac:dyDescent="0.35">
      <c r="A160" s="7">
        <f t="shared" si="11"/>
        <v>156</v>
      </c>
      <c r="B160" s="42">
        <v>45191</v>
      </c>
      <c r="C160" s="37">
        <v>0.10135999999999999</v>
      </c>
      <c r="D160" s="37">
        <v>9.8059999999999994E-2</v>
      </c>
      <c r="E160" s="37">
        <v>9.7959999999999992E-2</v>
      </c>
      <c r="F160" s="37">
        <v>9.826E-2</v>
      </c>
      <c r="G160" s="37">
        <f t="shared" si="15"/>
        <v>3.961965134706702E-3</v>
      </c>
      <c r="H160" s="37">
        <f t="shared" si="12"/>
        <v>1.0208248264598208E-3</v>
      </c>
      <c r="I160" s="37">
        <f t="shared" si="13"/>
        <v>1.021867974657642E-3</v>
      </c>
      <c r="J160" s="37">
        <f t="shared" si="14"/>
        <v>-1.0166734444896353E-3</v>
      </c>
    </row>
    <row r="161" spans="1:10" x14ac:dyDescent="0.35">
      <c r="A161" s="7">
        <f t="shared" si="11"/>
        <v>157</v>
      </c>
      <c r="B161" s="42">
        <v>45190</v>
      </c>
      <c r="C161" s="37">
        <v>0.10095999999999999</v>
      </c>
      <c r="D161" s="37">
        <v>9.7959999999999992E-2</v>
      </c>
      <c r="E161" s="37">
        <v>9.7860000000000003E-2</v>
      </c>
      <c r="F161" s="37">
        <v>9.8360000000000003E-2</v>
      </c>
      <c r="G161" s="37">
        <f t="shared" si="15"/>
        <v>6.9818471972868945E-3</v>
      </c>
      <c r="H161" s="37">
        <f t="shared" si="12"/>
        <v>1.3239553165080631E-2</v>
      </c>
      <c r="I161" s="37">
        <f t="shared" si="13"/>
        <v>1.0428497676819859E-2</v>
      </c>
      <c r="J161" s="37">
        <f t="shared" si="14"/>
        <v>4.083299305839283E-3</v>
      </c>
    </row>
    <row r="162" spans="1:10" x14ac:dyDescent="0.35">
      <c r="A162" s="7">
        <f t="shared" si="11"/>
        <v>158</v>
      </c>
      <c r="B162" s="42">
        <v>45189</v>
      </c>
      <c r="C162" s="37">
        <v>0.10026</v>
      </c>
      <c r="D162" s="37">
        <v>9.6679999999999988E-2</v>
      </c>
      <c r="E162" s="37">
        <v>9.6850000000000006E-2</v>
      </c>
      <c r="F162" s="37">
        <v>9.7959999999999992E-2</v>
      </c>
      <c r="G162" s="37">
        <f t="shared" si="15"/>
        <v>-9.9641291351126871E-4</v>
      </c>
      <c r="H162" s="37">
        <f t="shared" si="12"/>
        <v>-6.9843878389483915E-3</v>
      </c>
      <c r="I162" s="37">
        <f t="shared" si="13"/>
        <v>-4.2155048324080679E-3</v>
      </c>
      <c r="J162" s="37">
        <f t="shared" si="14"/>
        <v>1.5129533678756468E-2</v>
      </c>
    </row>
    <row r="163" spans="1:10" x14ac:dyDescent="0.35">
      <c r="A163" s="7">
        <f t="shared" si="11"/>
        <v>159</v>
      </c>
      <c r="B163" s="42">
        <v>45188</v>
      </c>
      <c r="C163" s="37">
        <v>0.10035999999999999</v>
      </c>
      <c r="D163" s="37">
        <v>9.7360000000000002E-2</v>
      </c>
      <c r="E163" s="37">
        <v>9.7260000000000013E-2</v>
      </c>
      <c r="F163" s="37">
        <v>9.6500000000000002E-2</v>
      </c>
      <c r="G163" s="37">
        <f t="shared" si="15"/>
        <v>1.1082006850694937E-2</v>
      </c>
      <c r="H163" s="37">
        <f t="shared" si="12"/>
        <v>1.0377750103777617E-2</v>
      </c>
      <c r="I163" s="37">
        <f t="shared" si="13"/>
        <v>1.0388531061708006E-2</v>
      </c>
      <c r="J163" s="37">
        <f t="shared" si="14"/>
        <v>4.1467965996266898E-4</v>
      </c>
    </row>
    <row r="164" spans="1:10" x14ac:dyDescent="0.35">
      <c r="A164" s="7">
        <f t="shared" si="11"/>
        <v>160</v>
      </c>
      <c r="B164" s="42">
        <v>45187</v>
      </c>
      <c r="C164" s="37">
        <v>9.9260000000000001E-2</v>
      </c>
      <c r="D164" s="37">
        <v>9.6359999999999987E-2</v>
      </c>
      <c r="E164" s="37">
        <v>9.6259999999999998E-2</v>
      </c>
      <c r="F164" s="37">
        <v>9.6460000000000004E-2</v>
      </c>
      <c r="G164" s="37">
        <f t="shared" si="15"/>
        <v>-3.1893104457232035E-2</v>
      </c>
      <c r="H164" s="37">
        <f t="shared" si="12"/>
        <v>-2.980265807490956E-2</v>
      </c>
      <c r="I164" s="37">
        <f t="shared" si="13"/>
        <v>-3.1589537223339903E-2</v>
      </c>
      <c r="J164" s="37">
        <f t="shared" si="14"/>
        <v>-3.6074747676626218E-2</v>
      </c>
    </row>
    <row r="165" spans="1:10" x14ac:dyDescent="0.35">
      <c r="A165" s="7">
        <f t="shared" si="11"/>
        <v>161</v>
      </c>
      <c r="B165" s="42">
        <v>45185</v>
      </c>
      <c r="C165" s="37">
        <v>0.10253</v>
      </c>
      <c r="D165" s="37">
        <v>9.9320000000000006E-2</v>
      </c>
      <c r="E165" s="37">
        <v>9.9399999999999988E-2</v>
      </c>
      <c r="F165" s="37">
        <v>0.10006999999999999</v>
      </c>
      <c r="G165" s="37">
        <f t="shared" si="15"/>
        <v>3.6075181891673358E-2</v>
      </c>
      <c r="H165" s="37">
        <f t="shared" si="12"/>
        <v>4.4044991064858818E-2</v>
      </c>
      <c r="I165" s="37">
        <f t="shared" si="13"/>
        <v>3.3693843594009953E-2</v>
      </c>
      <c r="J165" s="37">
        <f t="shared" si="14"/>
        <v>3.3140615321081812E-2</v>
      </c>
    </row>
    <row r="166" spans="1:10" x14ac:dyDescent="0.35">
      <c r="A166" s="7">
        <f t="shared" si="11"/>
        <v>162</v>
      </c>
      <c r="B166" s="42">
        <v>45184</v>
      </c>
      <c r="C166" s="37">
        <v>9.8960000000000006E-2</v>
      </c>
      <c r="D166" s="37">
        <v>9.5129999999999992E-2</v>
      </c>
      <c r="E166" s="37">
        <v>9.6159999999999995E-2</v>
      </c>
      <c r="F166" s="37">
        <v>9.6860000000000002E-2</v>
      </c>
      <c r="G166" s="37">
        <f t="shared" si="15"/>
        <v>1.011531458628534E-3</v>
      </c>
      <c r="H166" s="37">
        <f t="shared" si="12"/>
        <v>-1.5743073047860268E-3</v>
      </c>
      <c r="I166" s="37">
        <f t="shared" si="13"/>
        <v>1.0410160316469685E-3</v>
      </c>
      <c r="J166" s="37">
        <f t="shared" si="14"/>
        <v>4.1467965996266898E-3</v>
      </c>
    </row>
    <row r="167" spans="1:10" x14ac:dyDescent="0.35">
      <c r="A167" s="7">
        <f t="shared" si="11"/>
        <v>163</v>
      </c>
      <c r="B167" s="42">
        <v>45183</v>
      </c>
      <c r="C167" s="37">
        <v>9.885999999999999E-2</v>
      </c>
      <c r="D167" s="37">
        <v>9.5280000000000004E-2</v>
      </c>
      <c r="E167" s="37">
        <v>9.6059999999999993E-2</v>
      </c>
      <c r="F167" s="37">
        <v>9.6460000000000004E-2</v>
      </c>
      <c r="G167" s="37">
        <f t="shared" si="15"/>
        <v>1.0125556905629107E-3</v>
      </c>
      <c r="H167" s="37">
        <f t="shared" si="12"/>
        <v>-7.0862859524801758E-3</v>
      </c>
      <c r="I167" s="37">
        <f t="shared" si="13"/>
        <v>1.0421008753647154E-3</v>
      </c>
      <c r="J167" s="37">
        <f t="shared" si="14"/>
        <v>-4.1296716911005671E-3</v>
      </c>
    </row>
    <row r="168" spans="1:10" x14ac:dyDescent="0.35">
      <c r="A168" s="7">
        <f t="shared" si="11"/>
        <v>164</v>
      </c>
      <c r="B168" s="42">
        <v>45182</v>
      </c>
      <c r="C168" s="37">
        <v>9.8760000000000001E-2</v>
      </c>
      <c r="D168" s="37">
        <v>9.5960000000000004E-2</v>
      </c>
      <c r="E168" s="37">
        <v>9.5960000000000004E-2</v>
      </c>
      <c r="F168" s="37">
        <v>9.6860000000000002E-2</v>
      </c>
      <c r="G168" s="37">
        <f t="shared" si="15"/>
        <v>-1.3977635782747577E-2</v>
      </c>
      <c r="H168" s="37">
        <f t="shared" si="12"/>
        <v>-1.2350761630300466E-2</v>
      </c>
      <c r="I168" s="37">
        <f t="shared" si="13"/>
        <v>-1.4379622021364002E-2</v>
      </c>
      <c r="J168" s="37">
        <f t="shared" si="14"/>
        <v>-7.175071750717521E-3</v>
      </c>
    </row>
    <row r="169" spans="1:10" x14ac:dyDescent="0.35">
      <c r="A169" s="7">
        <f t="shared" si="11"/>
        <v>165</v>
      </c>
      <c r="B169" s="42">
        <v>45181</v>
      </c>
      <c r="C169" s="37">
        <v>0.10016</v>
      </c>
      <c r="D169" s="37">
        <v>9.7159999999999996E-2</v>
      </c>
      <c r="E169" s="37">
        <v>9.7360000000000002E-2</v>
      </c>
      <c r="F169" s="37">
        <v>9.7560000000000008E-2</v>
      </c>
      <c r="G169" s="37">
        <f t="shared" si="15"/>
        <v>-7.923930269413626E-3</v>
      </c>
      <c r="H169" s="37">
        <f t="shared" si="12"/>
        <v>-7.1530758226038271E-3</v>
      </c>
      <c r="I169" s="37">
        <f t="shared" si="13"/>
        <v>-5.1093398732883211E-3</v>
      </c>
      <c r="J169" s="37">
        <f t="shared" si="14"/>
        <v>-4.08329930583895E-3</v>
      </c>
    </row>
    <row r="170" spans="1:10" x14ac:dyDescent="0.35">
      <c r="A170" s="7">
        <f t="shared" si="11"/>
        <v>166</v>
      </c>
      <c r="B170" s="42">
        <v>45180</v>
      </c>
      <c r="C170" s="37">
        <v>0.10095999999999999</v>
      </c>
      <c r="D170" s="37">
        <v>9.7860000000000003E-2</v>
      </c>
      <c r="E170" s="37">
        <v>9.7860000000000003E-2</v>
      </c>
      <c r="F170" s="37">
        <v>9.7959999999999992E-2</v>
      </c>
      <c r="G170" s="37">
        <f t="shared" si="15"/>
        <v>-2.0756547041707263E-2</v>
      </c>
      <c r="H170" s="37">
        <f t="shared" si="12"/>
        <v>-1.7864311521477383E-2</v>
      </c>
      <c r="I170" s="37">
        <f t="shared" si="13"/>
        <v>-1.7864311521477383E-2</v>
      </c>
      <c r="J170" s="37">
        <f t="shared" si="14"/>
        <v>-1.8043303929430876E-2</v>
      </c>
    </row>
    <row r="171" spans="1:10" x14ac:dyDescent="0.35">
      <c r="A171" s="7">
        <f t="shared" si="11"/>
        <v>167</v>
      </c>
      <c r="B171" s="42">
        <v>45178</v>
      </c>
      <c r="C171" s="37">
        <v>0.10310000000000001</v>
      </c>
      <c r="D171" s="37">
        <v>9.9640000000000006E-2</v>
      </c>
      <c r="E171" s="37">
        <v>9.9640000000000006E-2</v>
      </c>
      <c r="F171" s="37">
        <v>9.9760000000000015E-2</v>
      </c>
      <c r="G171" s="37">
        <f t="shared" si="15"/>
        <v>4.6488022736500323E-2</v>
      </c>
      <c r="H171" s="37">
        <f t="shared" si="12"/>
        <v>4.3569333891914752E-2</v>
      </c>
      <c r="I171" s="37">
        <f t="shared" si="13"/>
        <v>4.4116106046316883E-2</v>
      </c>
      <c r="J171" s="37">
        <f t="shared" si="14"/>
        <v>4.4826141600335268E-2</v>
      </c>
    </row>
    <row r="172" spans="1:10" x14ac:dyDescent="0.35">
      <c r="A172" s="7">
        <f t="shared" si="11"/>
        <v>168</v>
      </c>
      <c r="B172" s="42">
        <v>45177</v>
      </c>
      <c r="C172" s="37">
        <v>9.8519999999999996E-2</v>
      </c>
      <c r="D172" s="37">
        <v>9.5479999999999995E-2</v>
      </c>
      <c r="E172" s="37">
        <v>9.5429999999999987E-2</v>
      </c>
      <c r="F172" s="37">
        <v>9.5479999999999995E-2</v>
      </c>
      <c r="G172" s="37">
        <f t="shared" si="15"/>
        <v>-6.0864272671945496E-4</v>
      </c>
      <c r="H172" s="37">
        <f t="shared" si="12"/>
        <v>-1.8816642274724904E-3</v>
      </c>
      <c r="I172" s="37">
        <f t="shared" si="13"/>
        <v>-2.0953378732324612E-4</v>
      </c>
      <c r="J172" s="37">
        <f t="shared" si="14"/>
        <v>-2.9239766081873286E-3</v>
      </c>
    </row>
    <row r="173" spans="1:10" x14ac:dyDescent="0.35">
      <c r="A173" s="7">
        <f t="shared" si="11"/>
        <v>169</v>
      </c>
      <c r="B173" s="42">
        <v>45176</v>
      </c>
      <c r="C173" s="37">
        <v>9.8580000000000001E-2</v>
      </c>
      <c r="D173" s="37">
        <v>9.5660000000000009E-2</v>
      </c>
      <c r="E173" s="37">
        <v>9.5449999999999993E-2</v>
      </c>
      <c r="F173" s="37">
        <v>9.5760000000000012E-2</v>
      </c>
      <c r="G173" s="37">
        <f t="shared" si="15"/>
        <v>-6.8506951440661101E-3</v>
      </c>
      <c r="H173" s="37">
        <f t="shared" si="12"/>
        <v>-1.0442773600668476E-3</v>
      </c>
      <c r="I173" s="37">
        <f t="shared" si="13"/>
        <v>-3.2372598162073718E-3</v>
      </c>
      <c r="J173" s="37">
        <f t="shared" si="14"/>
        <v>3.1426775612823921E-3</v>
      </c>
    </row>
    <row r="174" spans="1:10" x14ac:dyDescent="0.35">
      <c r="A174" s="7">
        <f t="shared" si="11"/>
        <v>170</v>
      </c>
      <c r="B174" s="42">
        <v>45175</v>
      </c>
      <c r="C174" s="37">
        <v>9.9260000000000001E-2</v>
      </c>
      <c r="D174" s="37">
        <v>9.5760000000000012E-2</v>
      </c>
      <c r="E174" s="37">
        <v>9.5760000000000012E-2</v>
      </c>
      <c r="F174" s="37">
        <v>9.5459999999999989E-2</v>
      </c>
      <c r="G174" s="37">
        <f t="shared" si="15"/>
        <v>9.1500610004067173E-3</v>
      </c>
      <c r="H174" s="37">
        <f t="shared" si="12"/>
        <v>8.4245998315080062E-3</v>
      </c>
      <c r="I174" s="37">
        <f t="shared" si="13"/>
        <v>9.4876660341556285E-3</v>
      </c>
      <c r="J174" s="37">
        <f t="shared" si="14"/>
        <v>1.0486577181207934E-3</v>
      </c>
    </row>
    <row r="175" spans="1:10" x14ac:dyDescent="0.35">
      <c r="A175" s="7">
        <f t="shared" si="11"/>
        <v>171</v>
      </c>
      <c r="B175" s="42">
        <v>45174</v>
      </c>
      <c r="C175" s="37">
        <v>9.8360000000000003E-2</v>
      </c>
      <c r="D175" s="37">
        <v>9.4960000000000003E-2</v>
      </c>
      <c r="E175" s="37">
        <v>9.486E-2</v>
      </c>
      <c r="F175" s="37">
        <v>9.536E-2</v>
      </c>
      <c r="G175" s="37">
        <f t="shared" si="15"/>
        <v>1.0271158586688589E-2</v>
      </c>
      <c r="H175" s="37">
        <f t="shared" si="12"/>
        <v>8.4961767204756455E-3</v>
      </c>
      <c r="I175" s="37">
        <f t="shared" si="13"/>
        <v>8.5052094407824796E-3</v>
      </c>
      <c r="J175" s="37">
        <f t="shared" si="14"/>
        <v>5.2709255745309047E-3</v>
      </c>
    </row>
    <row r="176" spans="1:10" x14ac:dyDescent="0.35">
      <c r="A176" s="7">
        <f t="shared" si="11"/>
        <v>172</v>
      </c>
      <c r="B176" s="42">
        <v>45173</v>
      </c>
      <c r="C176" s="37">
        <v>9.7360000000000002E-2</v>
      </c>
      <c r="D176" s="37">
        <v>9.4160000000000008E-2</v>
      </c>
      <c r="E176" s="37">
        <v>9.4060000000000005E-2</v>
      </c>
      <c r="F176" s="37">
        <v>9.486E-2</v>
      </c>
      <c r="G176" s="37">
        <f t="shared" si="15"/>
        <v>2.0584602717168554E-3</v>
      </c>
      <c r="H176" s="37">
        <f t="shared" si="12"/>
        <v>-3.1674208144796379E-2</v>
      </c>
      <c r="I176" s="37">
        <f t="shared" si="13"/>
        <v>-3.3994043339837687E-2</v>
      </c>
      <c r="J176" s="37">
        <f t="shared" si="14"/>
        <v>-3.3421642551457187E-2</v>
      </c>
    </row>
    <row r="177" spans="1:10" x14ac:dyDescent="0.35">
      <c r="A177" s="7">
        <f t="shared" si="11"/>
        <v>173</v>
      </c>
      <c r="B177" s="42">
        <v>45171</v>
      </c>
      <c r="C177" s="37">
        <v>9.7159999999999996E-2</v>
      </c>
      <c r="D177" s="37">
        <v>9.7240000000000007E-2</v>
      </c>
      <c r="E177" s="37">
        <v>9.7369999999999998E-2</v>
      </c>
      <c r="F177" s="37">
        <v>9.8140000000000005E-2</v>
      </c>
      <c r="G177" s="37">
        <f t="shared" si="15"/>
        <v>0</v>
      </c>
      <c r="H177" s="37">
        <f t="shared" si="12"/>
        <v>3.4908471690080933E-2</v>
      </c>
      <c r="I177" s="37">
        <f t="shared" si="13"/>
        <v>3.6292039165602308E-2</v>
      </c>
      <c r="J177" s="37">
        <f t="shared" si="14"/>
        <v>3.7859560067682096E-2</v>
      </c>
    </row>
    <row r="178" spans="1:10" x14ac:dyDescent="0.35">
      <c r="A178" s="7">
        <f t="shared" si="11"/>
        <v>174</v>
      </c>
      <c r="B178" s="42">
        <v>45170</v>
      </c>
      <c r="C178" s="37">
        <v>9.7159999999999996E-2</v>
      </c>
      <c r="D178" s="37">
        <v>9.3960000000000002E-2</v>
      </c>
      <c r="E178" s="37">
        <v>9.3960000000000002E-2</v>
      </c>
      <c r="F178" s="37">
        <v>9.4559999999999991E-2</v>
      </c>
      <c r="G178" s="37">
        <f t="shared" si="15"/>
        <v>3.0972537683253698E-3</v>
      </c>
      <c r="H178" s="37">
        <f t="shared" si="12"/>
        <v>3.2030749519540436E-3</v>
      </c>
      <c r="I178" s="37">
        <f t="shared" si="13"/>
        <v>6.4267352185090054E-3</v>
      </c>
      <c r="J178" s="37">
        <f t="shared" si="14"/>
        <v>6.3856960408683605E-3</v>
      </c>
    </row>
    <row r="179" spans="1:10" x14ac:dyDescent="0.35">
      <c r="A179" s="7">
        <f t="shared" si="11"/>
        <v>175</v>
      </c>
      <c r="B179" s="42">
        <v>45169</v>
      </c>
      <c r="C179" s="37">
        <v>9.6860000000000002E-2</v>
      </c>
      <c r="D179" s="37">
        <v>9.3659999999999993E-2</v>
      </c>
      <c r="E179" s="37">
        <v>9.3359999999999999E-2</v>
      </c>
      <c r="F179" s="37">
        <v>9.3960000000000002E-2</v>
      </c>
      <c r="G179" s="37">
        <f t="shared" si="15"/>
        <v>-3.0876904075750611E-3</v>
      </c>
      <c r="H179" s="37">
        <f t="shared" si="12"/>
        <v>-2.5559105431312013E-3</v>
      </c>
      <c r="I179" s="37">
        <f t="shared" si="13"/>
        <v>-2.1376656690894613E-3</v>
      </c>
      <c r="J179" s="37">
        <f t="shared" si="14"/>
        <v>-2.5477707006369421E-3</v>
      </c>
    </row>
    <row r="180" spans="1:10" x14ac:dyDescent="0.35">
      <c r="A180" s="7">
        <f t="shared" si="11"/>
        <v>176</v>
      </c>
      <c r="B180" s="42">
        <v>45168</v>
      </c>
      <c r="C180" s="37">
        <v>9.7159999999999996E-2</v>
      </c>
      <c r="D180" s="37">
        <v>9.3900000000000011E-2</v>
      </c>
      <c r="E180" s="37">
        <v>9.3560000000000004E-2</v>
      </c>
      <c r="F180" s="37">
        <v>9.4200000000000006E-2</v>
      </c>
      <c r="G180" s="37">
        <f t="shared" si="15"/>
        <v>1.2505210504376807E-2</v>
      </c>
      <c r="H180" s="37">
        <f t="shared" si="12"/>
        <v>1.0111876075731718E-2</v>
      </c>
      <c r="I180" s="37">
        <f t="shared" si="13"/>
        <v>6.4543889845096736E-3</v>
      </c>
      <c r="J180" s="37">
        <f t="shared" si="14"/>
        <v>6.8405301410858765E-3</v>
      </c>
    </row>
    <row r="181" spans="1:10" x14ac:dyDescent="0.35">
      <c r="A181" s="7">
        <f t="shared" si="11"/>
        <v>177</v>
      </c>
      <c r="B181" s="42">
        <v>45167</v>
      </c>
      <c r="C181" s="37">
        <v>9.5960000000000004E-2</v>
      </c>
      <c r="D181" s="37">
        <v>9.2959999999999987E-2</v>
      </c>
      <c r="E181" s="37">
        <v>9.2959999999999987E-2</v>
      </c>
      <c r="F181" s="37">
        <v>9.3560000000000004E-2</v>
      </c>
      <c r="G181" s="37">
        <f t="shared" si="15"/>
        <v>-6.6252587991718626E-3</v>
      </c>
      <c r="H181" s="37">
        <f t="shared" si="12"/>
        <v>-4.7109207708780909E-3</v>
      </c>
      <c r="I181" s="37">
        <f t="shared" si="13"/>
        <v>-1.5037593984964515E-3</v>
      </c>
      <c r="J181" s="37">
        <f t="shared" si="14"/>
        <v>-4.2735042735031481E-4</v>
      </c>
    </row>
    <row r="182" spans="1:10" x14ac:dyDescent="0.35">
      <c r="A182" s="7">
        <f t="shared" si="11"/>
        <v>178</v>
      </c>
      <c r="B182" s="42">
        <v>45166</v>
      </c>
      <c r="C182" s="37">
        <v>9.6600000000000005E-2</v>
      </c>
      <c r="D182" s="37">
        <v>9.3399999999999997E-2</v>
      </c>
      <c r="E182" s="37">
        <v>9.3100000000000002E-2</v>
      </c>
      <c r="F182" s="37">
        <v>9.3599999999999989E-2</v>
      </c>
      <c r="G182" s="37">
        <f t="shared" si="15"/>
        <v>-3.8518960883845876E-2</v>
      </c>
      <c r="H182" s="37">
        <f t="shared" si="12"/>
        <v>-3.5920726672171832E-2</v>
      </c>
      <c r="I182" s="37">
        <f t="shared" si="13"/>
        <v>-3.6431380666528734E-2</v>
      </c>
      <c r="J182" s="37">
        <f t="shared" si="14"/>
        <v>-3.2858028518289117E-2</v>
      </c>
    </row>
    <row r="183" spans="1:10" x14ac:dyDescent="0.35">
      <c r="A183" s="7">
        <f t="shared" si="11"/>
        <v>179</v>
      </c>
      <c r="B183" s="42">
        <v>45164</v>
      </c>
      <c r="C183" s="37">
        <v>0.10047</v>
      </c>
      <c r="D183" s="37">
        <v>9.6880000000000008E-2</v>
      </c>
      <c r="E183" s="37">
        <v>9.6620000000000011E-2</v>
      </c>
      <c r="F183" s="37">
        <v>9.6780000000000005E-2</v>
      </c>
      <c r="G183" s="37">
        <f t="shared" si="15"/>
        <v>3.6200495049505177E-2</v>
      </c>
      <c r="H183" s="37">
        <f t="shared" si="12"/>
        <v>3.5485250106883415E-2</v>
      </c>
      <c r="I183" s="37">
        <f t="shared" si="13"/>
        <v>3.8254889318719343E-2</v>
      </c>
      <c r="J183" s="37">
        <f t="shared" si="14"/>
        <v>3.8857878917990529E-2</v>
      </c>
    </row>
    <row r="184" spans="1:10" x14ac:dyDescent="0.35">
      <c r="A184" s="7">
        <f t="shared" si="11"/>
        <v>180</v>
      </c>
      <c r="B184" s="42">
        <v>45163</v>
      </c>
      <c r="C184" s="37">
        <v>9.6959999999999991E-2</v>
      </c>
      <c r="D184" s="37">
        <v>9.3560000000000004E-2</v>
      </c>
      <c r="E184" s="37">
        <v>9.305999999999999E-2</v>
      </c>
      <c r="F184" s="37">
        <v>9.3160000000000007E-2</v>
      </c>
      <c r="G184" s="37">
        <f t="shared" si="15"/>
        <v>3.1036623215392467E-3</v>
      </c>
      <c r="H184" s="37">
        <f t="shared" si="12"/>
        <v>1.0699764605179851E-3</v>
      </c>
      <c r="I184" s="37">
        <f t="shared" si="13"/>
        <v>1.0757314974183529E-3</v>
      </c>
      <c r="J184" s="37">
        <f t="shared" si="14"/>
        <v>-2.1422450728362241E-3</v>
      </c>
    </row>
    <row r="185" spans="1:10" x14ac:dyDescent="0.35">
      <c r="A185" s="7">
        <f t="shared" si="11"/>
        <v>181</v>
      </c>
      <c r="B185" s="42">
        <v>45162</v>
      </c>
      <c r="C185" s="37">
        <v>9.666000000000001E-2</v>
      </c>
      <c r="D185" s="37">
        <v>9.3460000000000001E-2</v>
      </c>
      <c r="E185" s="37">
        <v>9.2959999999999987E-2</v>
      </c>
      <c r="F185" s="37">
        <v>9.3359999999999999E-2</v>
      </c>
      <c r="G185" s="37">
        <f t="shared" si="15"/>
        <v>4.1554124246832025E-3</v>
      </c>
      <c r="H185" s="37">
        <f t="shared" si="12"/>
        <v>5.3786574870913206E-3</v>
      </c>
      <c r="I185" s="37">
        <f t="shared" si="13"/>
        <v>3.2376429958986819E-3</v>
      </c>
      <c r="J185" s="37">
        <f t="shared" si="14"/>
        <v>2.146844139115478E-3</v>
      </c>
    </row>
    <row r="186" spans="1:10" x14ac:dyDescent="0.35">
      <c r="A186" s="7">
        <f t="shared" si="11"/>
        <v>182</v>
      </c>
      <c r="B186" s="42">
        <v>45161</v>
      </c>
      <c r="C186" s="37">
        <v>9.6259999999999998E-2</v>
      </c>
      <c r="D186" s="37">
        <v>9.2959999999999987E-2</v>
      </c>
      <c r="E186" s="37">
        <v>9.2660000000000006E-2</v>
      </c>
      <c r="F186" s="37">
        <v>9.3160000000000007E-2</v>
      </c>
      <c r="G186" s="37">
        <f t="shared" si="15"/>
        <v>-2.1350142334282229E-2</v>
      </c>
      <c r="H186" s="37">
        <f t="shared" si="12"/>
        <v>-2.0029517183217549E-2</v>
      </c>
      <c r="I186" s="37">
        <f t="shared" si="13"/>
        <v>-2.1128248468201827E-2</v>
      </c>
      <c r="J186" s="37">
        <f t="shared" si="14"/>
        <v>-2.204492966617666E-2</v>
      </c>
    </row>
    <row r="187" spans="1:10" x14ac:dyDescent="0.35">
      <c r="A187" s="7">
        <f t="shared" si="11"/>
        <v>183</v>
      </c>
      <c r="B187" s="42">
        <v>45160</v>
      </c>
      <c r="C187" s="37">
        <v>9.8360000000000003E-2</v>
      </c>
      <c r="D187" s="37">
        <v>9.486E-2</v>
      </c>
      <c r="E187" s="37">
        <v>9.4659999999999994E-2</v>
      </c>
      <c r="F187" s="37">
        <v>9.5259999999999997E-2</v>
      </c>
      <c r="G187" s="37">
        <f t="shared" si="15"/>
        <v>-2.0292207792207417E-3</v>
      </c>
      <c r="H187" s="37">
        <f t="shared" si="12"/>
        <v>-2.103934357248094E-3</v>
      </c>
      <c r="I187" s="37">
        <f t="shared" si="13"/>
        <v>-2.1083702298123619E-3</v>
      </c>
      <c r="J187" s="37">
        <f t="shared" si="14"/>
        <v>-1.0486577181207934E-3</v>
      </c>
    </row>
    <row r="188" spans="1:10" x14ac:dyDescent="0.35">
      <c r="A188" s="7">
        <f t="shared" si="11"/>
        <v>184</v>
      </c>
      <c r="B188" s="42">
        <v>45159</v>
      </c>
      <c r="C188" s="37">
        <v>9.8559999999999995E-2</v>
      </c>
      <c r="D188" s="37">
        <v>9.5060000000000006E-2</v>
      </c>
      <c r="E188" s="37">
        <v>9.486E-2</v>
      </c>
      <c r="F188" s="37">
        <v>9.536E-2</v>
      </c>
      <c r="G188" s="37">
        <f t="shared" si="15"/>
        <v>-2.7336425540313791E-2</v>
      </c>
      <c r="H188" s="37">
        <f t="shared" si="12"/>
        <v>-2.4124833179344995E-2</v>
      </c>
      <c r="I188" s="37">
        <f t="shared" si="13"/>
        <v>-2.4074074074074137E-2</v>
      </c>
      <c r="J188" s="37">
        <f t="shared" si="14"/>
        <v>-2.3351085620647138E-2</v>
      </c>
    </row>
    <row r="189" spans="1:10" x14ac:dyDescent="0.35">
      <c r="A189" s="7">
        <f t="shared" si="11"/>
        <v>185</v>
      </c>
      <c r="B189" s="42">
        <v>45157</v>
      </c>
      <c r="C189" s="37">
        <v>0.10132999999999999</v>
      </c>
      <c r="D189" s="37">
        <v>9.7409999999999997E-2</v>
      </c>
      <c r="E189" s="37">
        <v>9.7200000000000009E-2</v>
      </c>
      <c r="F189" s="37">
        <v>9.7639999999999991E-2</v>
      </c>
      <c r="G189" s="37">
        <f t="shared" si="15"/>
        <v>3.651800327332233E-2</v>
      </c>
      <c r="H189" s="37">
        <f t="shared" si="12"/>
        <v>3.5615564533276522E-2</v>
      </c>
      <c r="I189" s="37">
        <f t="shared" si="13"/>
        <v>3.5584913701257381E-2</v>
      </c>
      <c r="J189" s="37">
        <f t="shared" si="14"/>
        <v>3.9165602383993026E-2</v>
      </c>
    </row>
    <row r="190" spans="1:10" x14ac:dyDescent="0.35">
      <c r="A190" s="7">
        <f t="shared" si="11"/>
        <v>186</v>
      </c>
      <c r="B190" s="42">
        <v>45156</v>
      </c>
      <c r="C190" s="37">
        <v>9.776E-2</v>
      </c>
      <c r="D190" s="37">
        <v>9.4060000000000005E-2</v>
      </c>
      <c r="E190" s="37">
        <v>9.3859999999999999E-2</v>
      </c>
      <c r="F190" s="37">
        <v>9.3960000000000002E-2</v>
      </c>
      <c r="G190" s="37">
        <f t="shared" si="15"/>
        <v>5.1408595517168365E-3</v>
      </c>
      <c r="H190" s="37">
        <f t="shared" si="12"/>
        <v>7.497857754927173E-3</v>
      </c>
      <c r="I190" s="37">
        <f t="shared" si="13"/>
        <v>8.5966043412852855E-3</v>
      </c>
      <c r="J190" s="37">
        <f t="shared" si="14"/>
        <v>7.5058974908857046E-3</v>
      </c>
    </row>
    <row r="191" spans="1:10" x14ac:dyDescent="0.35">
      <c r="A191" s="7">
        <f t="shared" si="11"/>
        <v>187</v>
      </c>
      <c r="B191" s="42">
        <v>45155</v>
      </c>
      <c r="C191" s="37">
        <v>9.7260000000000013E-2</v>
      </c>
      <c r="D191" s="37">
        <v>9.3359999999999999E-2</v>
      </c>
      <c r="E191" s="37">
        <v>9.305999999999999E-2</v>
      </c>
      <c r="F191" s="37">
        <v>9.326000000000001E-2</v>
      </c>
      <c r="G191" s="37">
        <f t="shared" si="15"/>
        <v>1.0388531061708006E-2</v>
      </c>
      <c r="H191" s="37">
        <f t="shared" si="12"/>
        <v>1.1922826793843377E-2</v>
      </c>
      <c r="I191" s="37">
        <f t="shared" si="13"/>
        <v>9.765625E-3</v>
      </c>
      <c r="J191" s="37">
        <f t="shared" si="14"/>
        <v>9.7444781290600968E-3</v>
      </c>
    </row>
    <row r="192" spans="1:10" x14ac:dyDescent="0.35">
      <c r="A192" s="7">
        <f t="shared" si="11"/>
        <v>188</v>
      </c>
      <c r="B192" s="42">
        <v>45154</v>
      </c>
      <c r="C192" s="37">
        <v>9.6259999999999998E-2</v>
      </c>
      <c r="D192" s="37">
        <v>9.2260000000000009E-2</v>
      </c>
      <c r="E192" s="37">
        <v>9.2159999999999992E-2</v>
      </c>
      <c r="F192" s="37">
        <v>9.2360000000000012E-2</v>
      </c>
      <c r="G192" s="37">
        <f t="shared" si="15"/>
        <v>3.75391032325334E-3</v>
      </c>
      <c r="H192" s="37">
        <f t="shared" si="12"/>
        <v>7.6452599388379117E-3</v>
      </c>
      <c r="I192" s="37">
        <f t="shared" si="13"/>
        <v>6.5530799475752577E-3</v>
      </c>
      <c r="J192" s="37">
        <f t="shared" si="14"/>
        <v>1.0838933448948929E-3</v>
      </c>
    </row>
    <row r="193" spans="1:10" x14ac:dyDescent="0.35">
      <c r="A193" s="7">
        <f t="shared" si="11"/>
        <v>189</v>
      </c>
      <c r="B193" s="42">
        <v>45153</v>
      </c>
      <c r="C193" s="37">
        <v>9.5899999999999999E-2</v>
      </c>
      <c r="D193" s="37">
        <v>9.1560000000000002E-2</v>
      </c>
      <c r="E193" s="37">
        <v>9.1560000000000002E-2</v>
      </c>
      <c r="F193" s="37">
        <v>9.2260000000000009E-2</v>
      </c>
      <c r="G193" s="37">
        <f t="shared" si="15"/>
        <v>1.4619883040933868E-3</v>
      </c>
      <c r="H193" s="37">
        <f t="shared" si="12"/>
        <v>-3.2658393207053438E-3</v>
      </c>
      <c r="I193" s="37">
        <f t="shared" si="13"/>
        <v>-2.1795989537926053E-3</v>
      </c>
      <c r="J193" s="37">
        <f t="shared" si="14"/>
        <v>2.172496198131757E-3</v>
      </c>
    </row>
    <row r="194" spans="1:10" x14ac:dyDescent="0.35">
      <c r="A194" s="7">
        <f t="shared" si="11"/>
        <v>190</v>
      </c>
      <c r="B194" s="42">
        <v>45152</v>
      </c>
      <c r="C194" s="37">
        <v>9.5760000000000012E-2</v>
      </c>
      <c r="D194" s="37">
        <v>9.1859999999999997E-2</v>
      </c>
      <c r="E194" s="37">
        <v>9.1760000000000008E-2</v>
      </c>
      <c r="F194" s="37">
        <v>9.2059999999999989E-2</v>
      </c>
      <c r="G194" s="37">
        <f t="shared" si="15"/>
        <v>-2.5442703032770075E-2</v>
      </c>
      <c r="H194" s="37">
        <f t="shared" si="12"/>
        <v>-2.3908192540643913E-2</v>
      </c>
      <c r="I194" s="37">
        <f t="shared" si="13"/>
        <v>-2.4452477142249629E-2</v>
      </c>
      <c r="J194" s="37">
        <f t="shared" si="14"/>
        <v>-3.2576712904581862E-2</v>
      </c>
    </row>
    <row r="195" spans="1:10" x14ac:dyDescent="0.35">
      <c r="A195" s="7">
        <f t="shared" si="11"/>
        <v>191</v>
      </c>
      <c r="B195" s="42">
        <v>45150</v>
      </c>
      <c r="C195" s="37">
        <v>9.826E-2</v>
      </c>
      <c r="D195" s="37">
        <v>9.4109999999999999E-2</v>
      </c>
      <c r="E195" s="37">
        <v>9.4060000000000005E-2</v>
      </c>
      <c r="F195" s="37">
        <v>9.5159999999999995E-2</v>
      </c>
      <c r="G195" s="37">
        <f t="shared" si="15"/>
        <v>3.8030847242763732E-2</v>
      </c>
      <c r="H195" s="37">
        <f t="shared" si="12"/>
        <v>3.8054268696227522E-2</v>
      </c>
      <c r="I195" s="37">
        <f t="shared" si="13"/>
        <v>3.6359629792860337E-2</v>
      </c>
      <c r="J195" s="37">
        <f t="shared" si="14"/>
        <v>3.8184595243290209E-2</v>
      </c>
    </row>
    <row r="196" spans="1:10" x14ac:dyDescent="0.35">
      <c r="A196" s="7">
        <f t="shared" si="11"/>
        <v>192</v>
      </c>
      <c r="B196" s="42">
        <v>45149</v>
      </c>
      <c r="C196" s="37">
        <v>9.4659999999999994E-2</v>
      </c>
      <c r="D196" s="37">
        <v>9.0660000000000004E-2</v>
      </c>
      <c r="E196" s="37">
        <v>9.0760000000000007E-2</v>
      </c>
      <c r="F196" s="37">
        <v>9.1660000000000005E-2</v>
      </c>
      <c r="G196" s="37">
        <f t="shared" si="15"/>
        <v>8.5233326230556017E-3</v>
      </c>
      <c r="H196" s="37">
        <f t="shared" si="12"/>
        <v>7.7812361049356404E-3</v>
      </c>
      <c r="I196" s="37">
        <f t="shared" si="13"/>
        <v>8.8928412627835574E-3</v>
      </c>
      <c r="J196" s="37">
        <f t="shared" si="14"/>
        <v>6.5890621568196472E-3</v>
      </c>
    </row>
    <row r="197" spans="1:10" x14ac:dyDescent="0.35">
      <c r="A197" s="7">
        <f t="shared" ref="A197:A255" si="16">+A198-1</f>
        <v>193</v>
      </c>
      <c r="B197" s="42">
        <v>45148</v>
      </c>
      <c r="C197" s="37">
        <v>9.3859999999999999E-2</v>
      </c>
      <c r="D197" s="37">
        <v>8.9959999999999998E-2</v>
      </c>
      <c r="E197" s="37">
        <v>8.9959999999999998E-2</v>
      </c>
      <c r="F197" s="37">
        <v>9.1060000000000002E-2</v>
      </c>
      <c r="G197" s="37">
        <f t="shared" si="15"/>
        <v>2.1353833013026957E-3</v>
      </c>
      <c r="H197" s="37">
        <f t="shared" ref="H197:H256" si="17">+D197/D198-1</f>
        <v>4.4662795891021734E-3</v>
      </c>
      <c r="I197" s="37">
        <f t="shared" ref="I197:I256" si="18">+E197/E198-1</f>
        <v>1.1128421989761161E-3</v>
      </c>
      <c r="J197" s="37">
        <f t="shared" ref="J197:J256" si="19">+F197/F198-1</f>
        <v>5.5212014134278231E-3</v>
      </c>
    </row>
    <row r="198" spans="1:10" x14ac:dyDescent="0.35">
      <c r="A198" s="7">
        <f t="shared" si="16"/>
        <v>194</v>
      </c>
      <c r="B198" s="42">
        <v>45147</v>
      </c>
      <c r="C198" s="37">
        <v>9.3659999999999993E-2</v>
      </c>
      <c r="D198" s="37">
        <v>8.9560000000000001E-2</v>
      </c>
      <c r="E198" s="37">
        <v>8.9860000000000009E-2</v>
      </c>
      <c r="F198" s="37">
        <v>9.0559999999999988E-2</v>
      </c>
      <c r="G198" s="37">
        <f t="shared" ref="G198:G256" si="20">+C198/C199-1</f>
        <v>-8.469193309337375E-3</v>
      </c>
      <c r="H198" s="37">
        <f t="shared" si="17"/>
        <v>-1.2133245091550893E-2</v>
      </c>
      <c r="I198" s="37">
        <f t="shared" si="18"/>
        <v>-1.1005943209332902E-2</v>
      </c>
      <c r="J198" s="37">
        <f t="shared" si="19"/>
        <v>-7.670392285776928E-3</v>
      </c>
    </row>
    <row r="199" spans="1:10" x14ac:dyDescent="0.35">
      <c r="A199" s="7">
        <f t="shared" si="16"/>
        <v>195</v>
      </c>
      <c r="B199" s="42">
        <v>45146</v>
      </c>
      <c r="C199" s="37">
        <v>9.4460000000000002E-2</v>
      </c>
      <c r="D199" s="37">
        <v>9.0660000000000004E-2</v>
      </c>
      <c r="E199" s="37">
        <v>9.0859999999999996E-2</v>
      </c>
      <c r="F199" s="37">
        <v>9.1259999999999994E-2</v>
      </c>
      <c r="G199" s="37">
        <f t="shared" si="20"/>
        <v>-3.165892781764601E-3</v>
      </c>
      <c r="H199" s="37">
        <f t="shared" si="17"/>
        <v>-3.2981530343006993E-3</v>
      </c>
      <c r="I199" s="37">
        <f t="shared" si="18"/>
        <v>-2.1963540522732528E-3</v>
      </c>
      <c r="J199" s="37">
        <f t="shared" si="19"/>
        <v>-7.6120052196607668E-3</v>
      </c>
    </row>
    <row r="200" spans="1:10" x14ac:dyDescent="0.35">
      <c r="A200" s="7">
        <f t="shared" si="16"/>
        <v>196</v>
      </c>
      <c r="B200" s="42">
        <v>45145</v>
      </c>
      <c r="C200" s="37">
        <v>9.4760000000000011E-2</v>
      </c>
      <c r="D200" s="37">
        <v>9.0959999999999999E-2</v>
      </c>
      <c r="E200" s="37">
        <v>9.1060000000000002E-2</v>
      </c>
      <c r="F200" s="37">
        <v>9.196E-2</v>
      </c>
      <c r="G200" s="37">
        <f t="shared" si="20"/>
        <v>-2.8998872835331424E-2</v>
      </c>
      <c r="H200" s="37">
        <f t="shared" si="17"/>
        <v>-2.4662234612910283E-2</v>
      </c>
      <c r="I200" s="37">
        <f t="shared" si="18"/>
        <v>-2.5053533190578126E-2</v>
      </c>
      <c r="J200" s="37">
        <f t="shared" si="19"/>
        <v>-2.3468195816077397E-2</v>
      </c>
    </row>
    <row r="201" spans="1:10" x14ac:dyDescent="0.35">
      <c r="A201" s="7">
        <f t="shared" si="16"/>
        <v>197</v>
      </c>
      <c r="B201" s="42">
        <v>45143</v>
      </c>
      <c r="C201" s="37">
        <v>9.759000000000001E-2</v>
      </c>
      <c r="D201" s="37">
        <v>9.326000000000001E-2</v>
      </c>
      <c r="E201" s="37">
        <v>9.3399999999999997E-2</v>
      </c>
      <c r="F201" s="37">
        <v>9.4170000000000004E-2</v>
      </c>
      <c r="G201" s="37">
        <f t="shared" si="20"/>
        <v>3.642735768903993E-2</v>
      </c>
      <c r="H201" s="37">
        <f t="shared" si="17"/>
        <v>3.5531867643793014E-2</v>
      </c>
      <c r="I201" s="37">
        <f t="shared" si="18"/>
        <v>3.5936113575865125E-2</v>
      </c>
      <c r="J201" s="37">
        <f t="shared" si="19"/>
        <v>3.7571617452622164E-2</v>
      </c>
    </row>
    <row r="202" spans="1:10" x14ac:dyDescent="0.35">
      <c r="A202" s="7">
        <f t="shared" si="16"/>
        <v>198</v>
      </c>
      <c r="B202" s="42">
        <v>45142</v>
      </c>
      <c r="C202" s="37">
        <v>9.4160000000000008E-2</v>
      </c>
      <c r="D202" s="37">
        <v>9.0060000000000001E-2</v>
      </c>
      <c r="E202" s="37">
        <v>9.0160000000000004E-2</v>
      </c>
      <c r="F202" s="37">
        <v>9.0760000000000007E-2</v>
      </c>
      <c r="G202" s="37">
        <f t="shared" si="20"/>
        <v>3.1962497336459617E-3</v>
      </c>
      <c r="H202" s="37">
        <f t="shared" si="17"/>
        <v>2.2256843979522323E-3</v>
      </c>
      <c r="I202" s="37">
        <f t="shared" si="18"/>
        <v>1.1103708638686705E-3</v>
      </c>
      <c r="J202" s="37">
        <f t="shared" si="19"/>
        <v>2.2084805653712625E-3</v>
      </c>
    </row>
    <row r="203" spans="1:10" x14ac:dyDescent="0.35">
      <c r="A203" s="7">
        <f t="shared" si="16"/>
        <v>199</v>
      </c>
      <c r="B203" s="42">
        <v>45141</v>
      </c>
      <c r="C203" s="37">
        <v>9.3859999999999999E-2</v>
      </c>
      <c r="D203" s="37">
        <v>8.9860000000000009E-2</v>
      </c>
      <c r="E203" s="37">
        <v>9.0060000000000001E-2</v>
      </c>
      <c r="F203" s="37">
        <v>9.0559999999999988E-2</v>
      </c>
      <c r="G203" s="37">
        <f t="shared" si="20"/>
        <v>4.2799058420714964E-3</v>
      </c>
      <c r="H203" s="37">
        <f t="shared" si="17"/>
        <v>5.5953446732319723E-3</v>
      </c>
      <c r="I203" s="37">
        <f t="shared" si="18"/>
        <v>6.7069081153587895E-3</v>
      </c>
      <c r="J203" s="37">
        <f t="shared" si="19"/>
        <v>1.2295998211490966E-2</v>
      </c>
    </row>
    <row r="204" spans="1:10" x14ac:dyDescent="0.35">
      <c r="A204" s="7">
        <f t="shared" si="16"/>
        <v>200</v>
      </c>
      <c r="B204" s="42">
        <v>45140</v>
      </c>
      <c r="C204" s="37">
        <v>9.3460000000000001E-2</v>
      </c>
      <c r="D204" s="37">
        <v>8.9359999999999995E-2</v>
      </c>
      <c r="E204" s="37">
        <v>8.9459999999999998E-2</v>
      </c>
      <c r="F204" s="37">
        <v>8.9459999999999998E-2</v>
      </c>
      <c r="G204" s="37">
        <f t="shared" si="20"/>
        <v>6.4239828693790635E-4</v>
      </c>
      <c r="H204" s="37">
        <f t="shared" si="17"/>
        <v>6.7598017124832488E-3</v>
      </c>
      <c r="I204" s="37">
        <f t="shared" si="18"/>
        <v>9.0232348296863663E-3</v>
      </c>
      <c r="J204" s="37">
        <f t="shared" si="19"/>
        <v>3.3647375504710642E-3</v>
      </c>
    </row>
    <row r="205" spans="1:10" x14ac:dyDescent="0.35">
      <c r="A205" s="7">
        <f t="shared" si="16"/>
        <v>201</v>
      </c>
      <c r="B205" s="42">
        <v>45139</v>
      </c>
      <c r="C205" s="37">
        <v>9.3399999999999997E-2</v>
      </c>
      <c r="D205" s="37">
        <v>8.8759999999999992E-2</v>
      </c>
      <c r="E205" s="37">
        <v>8.8660000000000003E-2</v>
      </c>
      <c r="F205" s="37">
        <v>8.9160000000000003E-2</v>
      </c>
      <c r="G205" s="37">
        <f t="shared" si="20"/>
        <v>4.2844901456717821E-4</v>
      </c>
      <c r="H205" s="37">
        <f t="shared" si="17"/>
        <v>3.3913633280577837E-3</v>
      </c>
      <c r="I205" s="37">
        <f t="shared" si="18"/>
        <v>5.6715063520871301E-3</v>
      </c>
      <c r="J205" s="37">
        <f t="shared" si="19"/>
        <v>7.9131810988017914E-3</v>
      </c>
    </row>
    <row r="206" spans="1:10" x14ac:dyDescent="0.35">
      <c r="A206" s="7">
        <f t="shared" si="16"/>
        <v>202</v>
      </c>
      <c r="B206" s="42">
        <v>45138</v>
      </c>
      <c r="C206" s="37">
        <v>9.3359999999999999E-2</v>
      </c>
      <c r="D206" s="37">
        <v>8.8459999999999997E-2</v>
      </c>
      <c r="E206" s="37">
        <v>8.8160000000000002E-2</v>
      </c>
      <c r="F206" s="37">
        <v>8.8459999999999997E-2</v>
      </c>
      <c r="G206" s="37">
        <f t="shared" si="20"/>
        <v>-4.2166820560172402E-2</v>
      </c>
      <c r="H206" s="37">
        <f t="shared" si="17"/>
        <v>-3.9313640312771514E-2</v>
      </c>
      <c r="I206" s="37">
        <f t="shared" si="18"/>
        <v>-4.0696409140369871E-2</v>
      </c>
      <c r="J206" s="37">
        <f t="shared" si="19"/>
        <v>-4.1811091854419447E-2</v>
      </c>
    </row>
    <row r="207" spans="1:10" x14ac:dyDescent="0.35">
      <c r="A207" s="7">
        <f t="shared" si="16"/>
        <v>203</v>
      </c>
      <c r="B207" s="42">
        <v>45136</v>
      </c>
      <c r="C207" s="37">
        <v>9.7470000000000001E-2</v>
      </c>
      <c r="D207" s="37">
        <v>9.2079999999999995E-2</v>
      </c>
      <c r="E207" s="37">
        <v>9.1899999999999996E-2</v>
      </c>
      <c r="F207" s="37">
        <v>9.2319999999999999E-2</v>
      </c>
      <c r="G207" s="37">
        <f t="shared" si="20"/>
        <v>3.5152931180968405E-2</v>
      </c>
      <c r="H207" s="37">
        <f t="shared" si="17"/>
        <v>3.6236776952509597E-2</v>
      </c>
      <c r="I207" s="37">
        <f t="shared" si="18"/>
        <v>3.724604966139955E-2</v>
      </c>
      <c r="J207" s="37">
        <f t="shared" si="19"/>
        <v>3.4977578475336335E-2</v>
      </c>
    </row>
    <row r="208" spans="1:10" x14ac:dyDescent="0.35">
      <c r="A208" s="7">
        <f t="shared" si="16"/>
        <v>204</v>
      </c>
      <c r="B208" s="42">
        <v>45135</v>
      </c>
      <c r="C208" s="37">
        <v>9.4160000000000008E-2</v>
      </c>
      <c r="D208" s="37">
        <v>8.8859999999999995E-2</v>
      </c>
      <c r="E208" s="37">
        <v>8.8599999999999998E-2</v>
      </c>
      <c r="F208" s="37">
        <v>8.9200000000000002E-2</v>
      </c>
      <c r="G208" s="37">
        <f t="shared" si="20"/>
        <v>-1.0608953957138567E-3</v>
      </c>
      <c r="H208" s="37">
        <f t="shared" si="17"/>
        <v>5.6299966220008102E-4</v>
      </c>
      <c r="I208" s="37">
        <f t="shared" si="18"/>
        <v>1.0168342560161747E-3</v>
      </c>
      <c r="J208" s="37">
        <f t="shared" si="19"/>
        <v>-1.790510295434089E-3</v>
      </c>
    </row>
    <row r="209" spans="1:10" x14ac:dyDescent="0.35">
      <c r="A209" s="7">
        <f t="shared" si="16"/>
        <v>205</v>
      </c>
      <c r="B209" s="42">
        <v>45134</v>
      </c>
      <c r="C209" s="37">
        <v>9.4259999999999997E-2</v>
      </c>
      <c r="D209" s="37">
        <v>8.881E-2</v>
      </c>
      <c r="E209" s="37">
        <v>8.8510000000000005E-2</v>
      </c>
      <c r="F209" s="37">
        <v>8.9359999999999995E-2</v>
      </c>
      <c r="G209" s="37">
        <f t="shared" si="20"/>
        <v>4.2616663115278008E-3</v>
      </c>
      <c r="H209" s="37">
        <f t="shared" si="17"/>
        <v>3.9565905494007847E-3</v>
      </c>
      <c r="I209" s="37">
        <f t="shared" si="18"/>
        <v>3.9700544464609244E-3</v>
      </c>
      <c r="J209" s="37">
        <f t="shared" si="19"/>
        <v>6.7598017124832488E-3</v>
      </c>
    </row>
    <row r="210" spans="1:10" x14ac:dyDescent="0.35">
      <c r="A210" s="7">
        <f t="shared" si="16"/>
        <v>206</v>
      </c>
      <c r="B210" s="42">
        <v>45133</v>
      </c>
      <c r="C210" s="37">
        <v>9.3859999999999999E-2</v>
      </c>
      <c r="D210" s="37">
        <v>8.8459999999999997E-2</v>
      </c>
      <c r="E210" s="37">
        <v>8.8160000000000002E-2</v>
      </c>
      <c r="F210" s="37">
        <v>8.8759999999999992E-2</v>
      </c>
      <c r="G210" s="37">
        <f t="shared" si="20"/>
        <v>0</v>
      </c>
      <c r="H210" s="37">
        <f t="shared" si="17"/>
        <v>-3.3799008562415134E-3</v>
      </c>
      <c r="I210" s="37">
        <f t="shared" si="18"/>
        <v>-3.3913633280577837E-3</v>
      </c>
      <c r="J210" s="37">
        <f t="shared" si="19"/>
        <v>-1.6870993139130874E-3</v>
      </c>
    </row>
    <row r="211" spans="1:10" x14ac:dyDescent="0.35">
      <c r="A211" s="7">
        <f t="shared" si="16"/>
        <v>207</v>
      </c>
      <c r="B211" s="42">
        <v>45132</v>
      </c>
      <c r="C211" s="37">
        <v>9.3859999999999999E-2</v>
      </c>
      <c r="D211" s="37">
        <v>8.8759999999999992E-2</v>
      </c>
      <c r="E211" s="37">
        <v>8.8459999999999997E-2</v>
      </c>
      <c r="F211" s="37">
        <v>8.8910000000000003E-2</v>
      </c>
      <c r="G211" s="37">
        <f t="shared" si="20"/>
        <v>6.4336264207589533E-3</v>
      </c>
      <c r="H211" s="37">
        <f t="shared" si="17"/>
        <v>3.3913633280577837E-3</v>
      </c>
      <c r="I211" s="37">
        <f t="shared" si="18"/>
        <v>2.2660321776568626E-3</v>
      </c>
      <c r="J211" s="37">
        <f t="shared" si="19"/>
        <v>1.6899504281209232E-3</v>
      </c>
    </row>
    <row r="212" spans="1:10" x14ac:dyDescent="0.35">
      <c r="A212" s="7">
        <f t="shared" si="16"/>
        <v>208</v>
      </c>
      <c r="B212" s="42">
        <v>45131</v>
      </c>
      <c r="C212" s="37">
        <v>9.326000000000001E-2</v>
      </c>
      <c r="D212" s="37">
        <v>8.8459999999999997E-2</v>
      </c>
      <c r="E212" s="37">
        <v>8.8260000000000005E-2</v>
      </c>
      <c r="F212" s="37">
        <v>8.8759999999999992E-2</v>
      </c>
      <c r="G212" s="37">
        <f t="shared" si="20"/>
        <v>-3.1064935064935018E-2</v>
      </c>
      <c r="H212" s="37">
        <f t="shared" si="17"/>
        <v>3.4029038112521892E-3</v>
      </c>
      <c r="I212" s="37">
        <f t="shared" si="18"/>
        <v>-3.0748956731825094E-2</v>
      </c>
      <c r="J212" s="37">
        <f t="shared" si="19"/>
        <v>-3.1321619556913816E-2</v>
      </c>
    </row>
    <row r="213" spans="1:10" x14ac:dyDescent="0.35">
      <c r="A213" s="7">
        <f t="shared" si="16"/>
        <v>209</v>
      </c>
      <c r="B213" s="42">
        <v>45129</v>
      </c>
      <c r="C213" s="37">
        <v>9.6250000000000002E-2</v>
      </c>
      <c r="D213" s="37">
        <v>8.8160000000000002E-2</v>
      </c>
      <c r="E213" s="37">
        <v>9.1060000000000002E-2</v>
      </c>
      <c r="F213" s="37">
        <v>9.1630000000000003E-2</v>
      </c>
      <c r="G213" s="37">
        <f t="shared" si="20"/>
        <v>3.717672413793105E-2</v>
      </c>
      <c r="H213" s="37">
        <f t="shared" si="17"/>
        <v>0</v>
      </c>
      <c r="I213" s="37">
        <f t="shared" si="18"/>
        <v>3.6421579786023228E-2</v>
      </c>
      <c r="J213" s="37">
        <f t="shared" si="19"/>
        <v>3.7007695789950112E-2</v>
      </c>
    </row>
    <row r="214" spans="1:10" x14ac:dyDescent="0.35">
      <c r="A214" s="7">
        <f t="shared" si="16"/>
        <v>210</v>
      </c>
      <c r="B214" s="42">
        <v>45128</v>
      </c>
      <c r="C214" s="37">
        <v>9.2799999999999994E-2</v>
      </c>
      <c r="D214" s="37">
        <v>8.8160000000000002E-2</v>
      </c>
      <c r="E214" s="37">
        <v>8.7859999999999994E-2</v>
      </c>
      <c r="F214" s="37">
        <v>8.8360000000000008E-2</v>
      </c>
      <c r="G214" s="37">
        <f t="shared" si="20"/>
        <v>-4.3986696706362904E-3</v>
      </c>
      <c r="H214" s="37">
        <f t="shared" si="17"/>
        <v>-3.3913633280577837E-3</v>
      </c>
      <c r="I214" s="37">
        <f t="shared" si="18"/>
        <v>-4.5320643553139472E-3</v>
      </c>
      <c r="J214" s="37">
        <f t="shared" si="19"/>
        <v>-4.5065344749884995E-3</v>
      </c>
    </row>
    <row r="215" spans="1:10" x14ac:dyDescent="0.35">
      <c r="A215" s="7">
        <f t="shared" si="16"/>
        <v>211</v>
      </c>
      <c r="B215" s="42">
        <v>45127</v>
      </c>
      <c r="C215" s="37">
        <v>9.3210000000000001E-2</v>
      </c>
      <c r="D215" s="37">
        <v>8.8459999999999997E-2</v>
      </c>
      <c r="E215" s="37">
        <v>8.8260000000000005E-2</v>
      </c>
      <c r="F215" s="37">
        <v>8.8759999999999992E-2</v>
      </c>
      <c r="G215" s="37">
        <f t="shared" si="20"/>
        <v>4.8512289780078266E-3</v>
      </c>
      <c r="H215" s="37">
        <f t="shared" si="17"/>
        <v>5.684402000909472E-3</v>
      </c>
      <c r="I215" s="37">
        <f t="shared" si="18"/>
        <v>1.146000458400187E-2</v>
      </c>
      <c r="J215" s="37">
        <f t="shared" si="19"/>
        <v>3.3913633280577837E-3</v>
      </c>
    </row>
    <row r="216" spans="1:10" x14ac:dyDescent="0.35">
      <c r="A216" s="7">
        <f t="shared" si="16"/>
        <v>212</v>
      </c>
      <c r="B216" s="42">
        <v>45126</v>
      </c>
      <c r="C216" s="37">
        <v>9.2759999999999995E-2</v>
      </c>
      <c r="D216" s="37">
        <v>8.7959999999999997E-2</v>
      </c>
      <c r="E216" s="37">
        <v>8.7260000000000004E-2</v>
      </c>
      <c r="F216" s="37">
        <v>8.8459999999999997E-2</v>
      </c>
      <c r="G216" s="37">
        <f t="shared" si="20"/>
        <v>9.7975179621161423E-3</v>
      </c>
      <c r="H216" s="37">
        <f t="shared" si="17"/>
        <v>8.0220032088011983E-3</v>
      </c>
      <c r="I216" s="37">
        <f t="shared" si="18"/>
        <v>5.7630244352235849E-3</v>
      </c>
      <c r="J216" s="37">
        <f t="shared" si="19"/>
        <v>5.684402000909472E-3</v>
      </c>
    </row>
    <row r="217" spans="1:10" x14ac:dyDescent="0.35">
      <c r="A217" s="7">
        <f t="shared" si="16"/>
        <v>213</v>
      </c>
      <c r="B217" s="42">
        <v>45125</v>
      </c>
      <c r="C217" s="37">
        <v>9.1859999999999997E-2</v>
      </c>
      <c r="D217" s="37">
        <v>8.7260000000000004E-2</v>
      </c>
      <c r="E217" s="37">
        <v>8.6760000000000004E-2</v>
      </c>
      <c r="F217" s="37">
        <v>8.7959999999999997E-2</v>
      </c>
      <c r="G217" s="37">
        <f t="shared" si="20"/>
        <v>0</v>
      </c>
      <c r="H217" s="37">
        <f t="shared" si="17"/>
        <v>3.4498620055198881E-3</v>
      </c>
      <c r="I217" s="37">
        <f t="shared" si="18"/>
        <v>-2.2999080036797404E-3</v>
      </c>
      <c r="J217" s="37">
        <f t="shared" si="19"/>
        <v>0</v>
      </c>
    </row>
    <row r="218" spans="1:10" x14ac:dyDescent="0.35">
      <c r="A218" s="7">
        <f t="shared" si="16"/>
        <v>214</v>
      </c>
      <c r="B218" s="42">
        <v>45124</v>
      </c>
      <c r="C218" s="37">
        <v>9.1859999999999997E-2</v>
      </c>
      <c r="D218" s="37">
        <v>8.6959999999999996E-2</v>
      </c>
      <c r="E218" s="37">
        <v>8.6959999999999996E-2</v>
      </c>
      <c r="F218" s="37">
        <v>8.7959999999999997E-2</v>
      </c>
      <c r="G218" s="37">
        <f t="shared" si="20"/>
        <v>-3.8115183246073325E-2</v>
      </c>
      <c r="H218" s="37">
        <f t="shared" si="17"/>
        <v>-3.8691134202962663E-2</v>
      </c>
      <c r="I218" s="37">
        <f t="shared" si="18"/>
        <v>-3.9009835340921728E-2</v>
      </c>
      <c r="J218" s="37">
        <f t="shared" si="19"/>
        <v>-3.9108586410312451E-2</v>
      </c>
    </row>
    <row r="219" spans="1:10" x14ac:dyDescent="0.35">
      <c r="A219" s="7">
        <f t="shared" si="16"/>
        <v>215</v>
      </c>
      <c r="B219" s="42">
        <v>45122</v>
      </c>
      <c r="C219" s="37">
        <v>9.5500000000000002E-2</v>
      </c>
      <c r="D219" s="37">
        <v>9.0459999999999999E-2</v>
      </c>
      <c r="E219" s="37">
        <v>9.0490000000000001E-2</v>
      </c>
      <c r="F219" s="37">
        <v>9.1539999999999996E-2</v>
      </c>
      <c r="G219" s="37">
        <f t="shared" si="20"/>
        <v>3.7366934607864666E-2</v>
      </c>
      <c r="H219" s="37">
        <f t="shared" si="17"/>
        <v>3.4301394923393458E-2</v>
      </c>
      <c r="I219" s="37">
        <f t="shared" si="18"/>
        <v>3.5828754578754562E-2</v>
      </c>
      <c r="J219" s="37">
        <f t="shared" si="19"/>
        <v>3.7162927713573435E-2</v>
      </c>
    </row>
    <row r="220" spans="1:10" x14ac:dyDescent="0.35">
      <c r="A220" s="7">
        <f t="shared" si="16"/>
        <v>216</v>
      </c>
      <c r="B220" s="42">
        <v>45121</v>
      </c>
      <c r="C220" s="37">
        <v>9.2059999999999989E-2</v>
      </c>
      <c r="D220" s="37">
        <v>8.746000000000001E-2</v>
      </c>
      <c r="E220" s="37">
        <v>8.7360000000000007E-2</v>
      </c>
      <c r="F220" s="37">
        <v>8.8260000000000005E-2</v>
      </c>
      <c r="G220" s="37">
        <f t="shared" si="20"/>
        <v>5.4608999563126037E-3</v>
      </c>
      <c r="H220" s="37">
        <f t="shared" si="17"/>
        <v>5.7497700091997395E-3</v>
      </c>
      <c r="I220" s="37">
        <f t="shared" si="18"/>
        <v>4.5998160073599248E-3</v>
      </c>
      <c r="J220" s="37">
        <f t="shared" si="19"/>
        <v>-2.2609088853717818E-3</v>
      </c>
    </row>
    <row r="221" spans="1:10" x14ac:dyDescent="0.35">
      <c r="A221" s="7">
        <f t="shared" si="16"/>
        <v>217</v>
      </c>
      <c r="B221" s="42">
        <v>45120</v>
      </c>
      <c r="C221" s="37">
        <v>9.1560000000000002E-2</v>
      </c>
      <c r="D221" s="37">
        <v>8.6959999999999996E-2</v>
      </c>
      <c r="E221" s="37">
        <v>8.6959999999999996E-2</v>
      </c>
      <c r="F221" s="37">
        <v>8.8459999999999997E-2</v>
      </c>
      <c r="G221" s="37">
        <f t="shared" si="20"/>
        <v>-9.7339390006488946E-3</v>
      </c>
      <c r="H221" s="37">
        <f t="shared" si="17"/>
        <v>-5.7168991538990577E-3</v>
      </c>
      <c r="I221" s="37">
        <f t="shared" si="18"/>
        <v>-5.7168991538990577E-3</v>
      </c>
      <c r="J221" s="37">
        <f t="shared" si="19"/>
        <v>0</v>
      </c>
    </row>
    <row r="222" spans="1:10" x14ac:dyDescent="0.35">
      <c r="A222" s="7">
        <f t="shared" si="16"/>
        <v>218</v>
      </c>
      <c r="B222" s="42">
        <v>45119</v>
      </c>
      <c r="C222" s="37">
        <v>9.2460000000000001E-2</v>
      </c>
      <c r="D222" s="37">
        <v>8.746000000000001E-2</v>
      </c>
      <c r="E222" s="37">
        <v>8.746000000000001E-2</v>
      </c>
      <c r="F222" s="37">
        <v>8.8459999999999997E-2</v>
      </c>
      <c r="G222" s="37">
        <f t="shared" si="20"/>
        <v>-2.324107331502212E-2</v>
      </c>
      <c r="H222" s="37">
        <f t="shared" si="17"/>
        <v>-2.5623885918003575E-2</v>
      </c>
      <c r="I222" s="37">
        <f t="shared" si="18"/>
        <v>-2.2356360384529261E-2</v>
      </c>
      <c r="J222" s="37">
        <f t="shared" si="19"/>
        <v>-1.7765933821896507E-2</v>
      </c>
    </row>
    <row r="223" spans="1:10" x14ac:dyDescent="0.35">
      <c r="A223" s="7">
        <f t="shared" si="16"/>
        <v>219</v>
      </c>
      <c r="B223" s="42">
        <v>45118</v>
      </c>
      <c r="C223" s="37">
        <v>9.4659999999999994E-2</v>
      </c>
      <c r="D223" s="37">
        <v>8.9760000000000006E-2</v>
      </c>
      <c r="E223" s="37">
        <v>8.9459999999999998E-2</v>
      </c>
      <c r="F223" s="37">
        <v>9.0060000000000001E-2</v>
      </c>
      <c r="G223" s="37">
        <f t="shared" si="20"/>
        <v>-2.1083702298123619E-3</v>
      </c>
      <c r="H223" s="37">
        <f t="shared" si="17"/>
        <v>-1.1128421989762272E-3</v>
      </c>
      <c r="I223" s="37">
        <f t="shared" si="18"/>
        <v>0</v>
      </c>
      <c r="J223" s="37">
        <f t="shared" si="19"/>
        <v>-2.2158209616661706E-3</v>
      </c>
    </row>
    <row r="224" spans="1:10" x14ac:dyDescent="0.35">
      <c r="A224" s="7">
        <f t="shared" si="16"/>
        <v>220</v>
      </c>
      <c r="B224" s="42">
        <v>45117</v>
      </c>
      <c r="C224" s="37">
        <v>9.486E-2</v>
      </c>
      <c r="D224" s="37">
        <v>8.9860000000000009E-2</v>
      </c>
      <c r="E224" s="37">
        <v>8.9459999999999998E-2</v>
      </c>
      <c r="F224" s="37">
        <v>9.0259999999999993E-2</v>
      </c>
      <c r="G224" s="37">
        <f t="shared" si="20"/>
        <v>-3.0061349693251471E-2</v>
      </c>
      <c r="H224" s="37">
        <f t="shared" si="17"/>
        <v>-3.3451651070237731E-2</v>
      </c>
      <c r="I224" s="37">
        <f t="shared" si="18"/>
        <v>-3.2969408712571591E-2</v>
      </c>
      <c r="J224" s="37">
        <f t="shared" si="19"/>
        <v>-3.3204798628963195E-2</v>
      </c>
    </row>
    <row r="225" spans="1:10" x14ac:dyDescent="0.35">
      <c r="A225" s="7">
        <f t="shared" si="16"/>
        <v>221</v>
      </c>
      <c r="B225" s="42">
        <v>45115</v>
      </c>
      <c r="C225" s="37">
        <v>9.7799999999999998E-2</v>
      </c>
      <c r="D225" s="37">
        <v>9.2970000000000011E-2</v>
      </c>
      <c r="E225" s="37">
        <v>9.2509999999999995E-2</v>
      </c>
      <c r="F225" s="37">
        <v>9.3359999999999999E-2</v>
      </c>
      <c r="G225" s="37">
        <f t="shared" si="20"/>
        <v>3.5358882066483188E-2</v>
      </c>
      <c r="H225" s="37">
        <f t="shared" si="17"/>
        <v>3.5762032085561613E-2</v>
      </c>
      <c r="I225" s="37">
        <f t="shared" si="18"/>
        <v>3.7572902646926698E-2</v>
      </c>
      <c r="J225" s="37">
        <f t="shared" si="19"/>
        <v>3.7794575366829619E-2</v>
      </c>
    </row>
    <row r="226" spans="1:10" x14ac:dyDescent="0.35">
      <c r="A226" s="7">
        <f t="shared" si="16"/>
        <v>222</v>
      </c>
      <c r="B226" s="42">
        <v>45114</v>
      </c>
      <c r="C226" s="37">
        <v>9.4460000000000002E-2</v>
      </c>
      <c r="D226" s="37">
        <v>8.9760000000000006E-2</v>
      </c>
      <c r="E226" s="37">
        <v>8.9160000000000003E-2</v>
      </c>
      <c r="F226" s="37">
        <v>8.9959999999999998E-2</v>
      </c>
      <c r="G226" s="37">
        <f t="shared" si="20"/>
        <v>1.5153143471252184E-2</v>
      </c>
      <c r="H226" s="37">
        <f t="shared" si="17"/>
        <v>1.1266336187472081E-2</v>
      </c>
      <c r="I226" s="37">
        <f t="shared" si="18"/>
        <v>7.4576271186441723E-3</v>
      </c>
      <c r="J226" s="37">
        <f t="shared" si="19"/>
        <v>5.1396648044692572E-3</v>
      </c>
    </row>
    <row r="227" spans="1:10" x14ac:dyDescent="0.35">
      <c r="A227" s="7">
        <f t="shared" si="16"/>
        <v>223</v>
      </c>
      <c r="B227" s="42">
        <v>45113</v>
      </c>
      <c r="C227" s="37">
        <v>9.3049999999999994E-2</v>
      </c>
      <c r="D227" s="37">
        <v>8.8759999999999992E-2</v>
      </c>
      <c r="E227" s="37">
        <v>8.8499999999999995E-2</v>
      </c>
      <c r="F227" s="37">
        <v>8.9499999999999996E-2</v>
      </c>
      <c r="G227" s="37">
        <f t="shared" si="20"/>
        <v>5.2938634399306572E-3</v>
      </c>
      <c r="H227" s="37">
        <f t="shared" si="17"/>
        <v>5.6650804441420455E-3</v>
      </c>
      <c r="I227" s="37">
        <f t="shared" si="18"/>
        <v>1.0735495660118666E-2</v>
      </c>
      <c r="J227" s="37">
        <f t="shared" si="19"/>
        <v>4.9404895576015129E-3</v>
      </c>
    </row>
    <row r="228" spans="1:10" x14ac:dyDescent="0.35">
      <c r="A228" s="7">
        <f t="shared" si="16"/>
        <v>224</v>
      </c>
      <c r="B228" s="42">
        <v>45112</v>
      </c>
      <c r="C228" s="37">
        <v>9.2560000000000003E-2</v>
      </c>
      <c r="D228" s="37">
        <v>8.8260000000000005E-2</v>
      </c>
      <c r="E228" s="37">
        <v>8.7559999999999999E-2</v>
      </c>
      <c r="F228" s="37">
        <v>8.906E-2</v>
      </c>
      <c r="G228" s="37">
        <f t="shared" si="20"/>
        <v>5.4312404953293925E-3</v>
      </c>
      <c r="H228" s="37">
        <f t="shared" si="17"/>
        <v>5.697356426618061E-3</v>
      </c>
      <c r="I228" s="37">
        <f t="shared" si="18"/>
        <v>3.4380013752004501E-3</v>
      </c>
      <c r="J228" s="37">
        <f t="shared" si="19"/>
        <v>5.6458897922313511E-3</v>
      </c>
    </row>
    <row r="229" spans="1:10" x14ac:dyDescent="0.35">
      <c r="A229" s="7">
        <f t="shared" si="16"/>
        <v>225</v>
      </c>
      <c r="B229" s="42">
        <v>45111</v>
      </c>
      <c r="C229" s="37">
        <v>9.2059999999999989E-2</v>
      </c>
      <c r="D229" s="37">
        <v>8.7760000000000005E-2</v>
      </c>
      <c r="E229" s="37">
        <v>8.7260000000000004E-2</v>
      </c>
      <c r="F229" s="37">
        <v>8.856E-2</v>
      </c>
      <c r="G229" s="37">
        <f t="shared" si="20"/>
        <v>5.4608999563126037E-3</v>
      </c>
      <c r="H229" s="37">
        <f t="shared" si="17"/>
        <v>4.5787545787545625E-3</v>
      </c>
      <c r="I229" s="37">
        <f t="shared" si="18"/>
        <v>4.6051116739582731E-3</v>
      </c>
      <c r="J229" s="37">
        <f t="shared" si="19"/>
        <v>5.6779468544176925E-3</v>
      </c>
    </row>
    <row r="230" spans="1:10" x14ac:dyDescent="0.35">
      <c r="A230" s="7">
        <f t="shared" si="16"/>
        <v>226</v>
      </c>
      <c r="B230" s="42">
        <v>45110</v>
      </c>
      <c r="C230" s="37">
        <v>9.1560000000000002E-2</v>
      </c>
      <c r="D230" s="37">
        <v>8.7360000000000007E-2</v>
      </c>
      <c r="E230" s="37">
        <v>8.6859999999999993E-2</v>
      </c>
      <c r="F230" s="37">
        <v>8.8059999999999986E-2</v>
      </c>
      <c r="G230" s="37">
        <f t="shared" si="20"/>
        <v>-2.9673590504450953E-2</v>
      </c>
      <c r="H230" s="37">
        <f t="shared" si="17"/>
        <v>-3.1914893617021045E-2</v>
      </c>
      <c r="I230" s="37">
        <f t="shared" si="18"/>
        <v>-3.2954798485860692E-2</v>
      </c>
      <c r="J230" s="37">
        <f t="shared" si="19"/>
        <v>-3.2201340806682244E-2</v>
      </c>
    </row>
    <row r="231" spans="1:10" x14ac:dyDescent="0.35">
      <c r="A231" s="7">
        <f t="shared" si="16"/>
        <v>227</v>
      </c>
      <c r="B231" s="42">
        <v>45108</v>
      </c>
      <c r="C231" s="37">
        <v>9.4359999999999999E-2</v>
      </c>
      <c r="D231" s="37">
        <v>9.0239999999999987E-2</v>
      </c>
      <c r="E231" s="37">
        <v>8.9819999999999997E-2</v>
      </c>
      <c r="F231" s="37">
        <v>9.0990000000000001E-2</v>
      </c>
      <c r="G231" s="37">
        <f t="shared" si="20"/>
        <v>3.5103115401492024E-2</v>
      </c>
      <c r="H231" s="37">
        <f t="shared" si="17"/>
        <v>3.6526533425223828E-2</v>
      </c>
      <c r="I231" s="37">
        <f t="shared" si="18"/>
        <v>3.6464343411031663E-2</v>
      </c>
      <c r="J231" s="37">
        <f t="shared" si="19"/>
        <v>3.6804922515952576E-2</v>
      </c>
    </row>
    <row r="232" spans="1:10" x14ac:dyDescent="0.35">
      <c r="A232" s="7">
        <f t="shared" si="16"/>
        <v>228</v>
      </c>
      <c r="B232" s="42">
        <v>45107</v>
      </c>
      <c r="C232" s="37">
        <v>9.1159999999999991E-2</v>
      </c>
      <c r="D232" s="37">
        <v>8.7059999999999998E-2</v>
      </c>
      <c r="E232" s="37">
        <v>8.6660000000000001E-2</v>
      </c>
      <c r="F232" s="37">
        <v>8.7760000000000005E-2</v>
      </c>
      <c r="G232" s="37">
        <f t="shared" si="20"/>
        <v>5.5151114052502948E-3</v>
      </c>
      <c r="H232" s="37">
        <f t="shared" si="17"/>
        <v>0</v>
      </c>
      <c r="I232" s="37">
        <f t="shared" si="18"/>
        <v>-3.449862005519666E-3</v>
      </c>
      <c r="J232" s="37">
        <f t="shared" si="19"/>
        <v>-4.5372050816696596E-3</v>
      </c>
    </row>
    <row r="233" spans="1:10" x14ac:dyDescent="0.35">
      <c r="A233" s="7">
        <f t="shared" si="16"/>
        <v>229</v>
      </c>
      <c r="B233" s="42">
        <v>45106</v>
      </c>
      <c r="C233" s="37">
        <v>9.0660000000000004E-2</v>
      </c>
      <c r="D233" s="37">
        <v>8.7059999999999998E-2</v>
      </c>
      <c r="E233" s="37">
        <v>8.6959999999999996E-2</v>
      </c>
      <c r="F233" s="37">
        <v>8.8160000000000002E-2</v>
      </c>
      <c r="G233" s="37">
        <f t="shared" si="20"/>
        <v>1.2282268870031254E-2</v>
      </c>
      <c r="H233" s="37">
        <f t="shared" si="17"/>
        <v>1.3976240391334604E-2</v>
      </c>
      <c r="I233" s="37">
        <f t="shared" si="18"/>
        <v>1.5176278309595892E-2</v>
      </c>
      <c r="J233" s="37">
        <f t="shared" si="19"/>
        <v>8.0036588154583921E-3</v>
      </c>
    </row>
    <row r="234" spans="1:10" x14ac:dyDescent="0.35">
      <c r="A234" s="7">
        <f t="shared" si="16"/>
        <v>230</v>
      </c>
      <c r="B234" s="42">
        <v>45105</v>
      </c>
      <c r="C234" s="37">
        <v>8.9560000000000001E-2</v>
      </c>
      <c r="D234" s="37">
        <v>8.5860000000000006E-2</v>
      </c>
      <c r="E234" s="37">
        <v>8.5660000000000014E-2</v>
      </c>
      <c r="F234" s="37">
        <v>8.746000000000001E-2</v>
      </c>
      <c r="G234" s="37">
        <f t="shared" si="20"/>
        <v>1.1178180192266129E-3</v>
      </c>
      <c r="H234" s="37">
        <f t="shared" si="17"/>
        <v>1.1660447761194792E-3</v>
      </c>
      <c r="I234" s="37">
        <f t="shared" si="18"/>
        <v>-1.1660447761192572E-3</v>
      </c>
      <c r="J234" s="37">
        <f t="shared" si="19"/>
        <v>-3.4184138559707478E-3</v>
      </c>
    </row>
    <row r="235" spans="1:10" x14ac:dyDescent="0.35">
      <c r="A235" s="7">
        <f t="shared" si="16"/>
        <v>231</v>
      </c>
      <c r="B235" s="42">
        <v>45104</v>
      </c>
      <c r="C235" s="37">
        <v>8.9459999999999998E-2</v>
      </c>
      <c r="D235" s="37">
        <v>8.5760000000000003E-2</v>
      </c>
      <c r="E235" s="37">
        <v>8.5760000000000003E-2</v>
      </c>
      <c r="F235" s="37">
        <v>8.7760000000000005E-2</v>
      </c>
      <c r="G235" s="37">
        <f t="shared" si="20"/>
        <v>5.6205035971221839E-3</v>
      </c>
      <c r="H235" s="37">
        <f t="shared" si="17"/>
        <v>4.6860356138707093E-3</v>
      </c>
      <c r="I235" s="37">
        <f t="shared" si="18"/>
        <v>4.6860356138707093E-3</v>
      </c>
      <c r="J235" s="37">
        <f t="shared" si="19"/>
        <v>3.4301394923392792E-3</v>
      </c>
    </row>
    <row r="236" spans="1:10" x14ac:dyDescent="0.35">
      <c r="A236" s="7">
        <f t="shared" si="16"/>
        <v>232</v>
      </c>
      <c r="B236" s="42">
        <v>45103</v>
      </c>
      <c r="C236" s="37">
        <v>8.8960000000000011E-2</v>
      </c>
      <c r="D236" s="37">
        <v>8.5359999999999991E-2</v>
      </c>
      <c r="E236" s="37">
        <v>8.5359999999999991E-2</v>
      </c>
      <c r="F236" s="37">
        <v>8.746000000000001E-2</v>
      </c>
      <c r="G236" s="37">
        <f t="shared" si="20"/>
        <v>-3.9205097742736728E-2</v>
      </c>
      <c r="H236" s="37">
        <f t="shared" si="17"/>
        <v>-3.7437979251240594E-2</v>
      </c>
      <c r="I236" s="37">
        <f t="shared" si="18"/>
        <v>-3.7655016910935646E-2</v>
      </c>
      <c r="J236" s="37">
        <f t="shared" si="19"/>
        <v>-4.1744275227347361E-2</v>
      </c>
    </row>
    <row r="237" spans="1:10" x14ac:dyDescent="0.35">
      <c r="A237" s="7">
        <f t="shared" si="16"/>
        <v>233</v>
      </c>
      <c r="B237" s="42">
        <v>45101</v>
      </c>
      <c r="C237" s="37">
        <v>9.2590000000000006E-2</v>
      </c>
      <c r="D237" s="37">
        <v>8.8680000000000009E-2</v>
      </c>
      <c r="E237" s="37">
        <v>8.8699999999999987E-2</v>
      </c>
      <c r="F237" s="37">
        <v>9.1270000000000004E-2</v>
      </c>
      <c r="G237" s="37">
        <f t="shared" si="20"/>
        <v>3.3832067887449746E-2</v>
      </c>
      <c r="H237" s="37">
        <f t="shared" si="17"/>
        <v>3.6465638148667656E-2</v>
      </c>
      <c r="I237" s="37">
        <f t="shared" si="18"/>
        <v>3.5489143123978106E-2</v>
      </c>
      <c r="J237" s="37">
        <f t="shared" si="19"/>
        <v>3.6452418805360098E-2</v>
      </c>
    </row>
    <row r="238" spans="1:10" x14ac:dyDescent="0.35">
      <c r="A238" s="7">
        <f t="shared" si="16"/>
        <v>234</v>
      </c>
      <c r="B238" s="42">
        <v>45100</v>
      </c>
      <c r="C238" s="37">
        <v>8.9560000000000001E-2</v>
      </c>
      <c r="D238" s="37">
        <v>8.5559999999999997E-2</v>
      </c>
      <c r="E238" s="37">
        <v>8.5660000000000014E-2</v>
      </c>
      <c r="F238" s="37">
        <v>8.8059999999999986E-2</v>
      </c>
      <c r="G238" s="37">
        <f t="shared" si="20"/>
        <v>-1.2133245091550893E-2</v>
      </c>
      <c r="H238" s="37">
        <f t="shared" si="17"/>
        <v>-1.1552680221811662E-2</v>
      </c>
      <c r="I238" s="37">
        <f t="shared" si="18"/>
        <v>-1.1539349180706093E-2</v>
      </c>
      <c r="J238" s="37">
        <f t="shared" si="19"/>
        <v>-9.0029259509341042E-3</v>
      </c>
    </row>
    <row r="239" spans="1:10" x14ac:dyDescent="0.35">
      <c r="A239" s="7">
        <f t="shared" si="16"/>
        <v>235</v>
      </c>
      <c r="B239" s="42">
        <v>45099</v>
      </c>
      <c r="C239" s="37">
        <v>9.0660000000000004E-2</v>
      </c>
      <c r="D239" s="37">
        <v>8.6560000000000012E-2</v>
      </c>
      <c r="E239" s="37">
        <v>8.6660000000000001E-2</v>
      </c>
      <c r="F239" s="37">
        <v>8.8859999999999995E-2</v>
      </c>
      <c r="G239" s="37">
        <f t="shared" si="20"/>
        <v>-9.8296199213629976E-3</v>
      </c>
      <c r="H239" s="37">
        <f t="shared" si="17"/>
        <v>-9.157509157509125E-3</v>
      </c>
      <c r="I239" s="37">
        <f t="shared" si="18"/>
        <v>-8.0128205128205954E-3</v>
      </c>
      <c r="J239" s="37">
        <f t="shared" si="19"/>
        <v>0</v>
      </c>
    </row>
    <row r="240" spans="1:10" x14ac:dyDescent="0.35">
      <c r="A240" s="7">
        <f t="shared" si="16"/>
        <v>236</v>
      </c>
      <c r="B240" s="42">
        <v>45098</v>
      </c>
      <c r="C240" s="37">
        <v>9.1560000000000002E-2</v>
      </c>
      <c r="D240" s="37">
        <v>8.7360000000000007E-2</v>
      </c>
      <c r="E240" s="37">
        <v>8.7360000000000007E-2</v>
      </c>
      <c r="F240" s="37">
        <v>8.8859999999999995E-2</v>
      </c>
      <c r="G240" s="37">
        <f t="shared" si="20"/>
        <v>-1.0909884355225774E-3</v>
      </c>
      <c r="H240" s="37">
        <f t="shared" si="17"/>
        <v>-3.4223134839150848E-3</v>
      </c>
      <c r="I240" s="37">
        <f t="shared" si="18"/>
        <v>-2.2841480127910874E-3</v>
      </c>
      <c r="J240" s="37">
        <f t="shared" si="19"/>
        <v>-3.3647375504711752E-3</v>
      </c>
    </row>
    <row r="241" spans="1:10" x14ac:dyDescent="0.35">
      <c r="A241" s="7">
        <f t="shared" si="16"/>
        <v>237</v>
      </c>
      <c r="B241" s="42">
        <v>45097</v>
      </c>
      <c r="C241" s="37">
        <v>9.1660000000000005E-2</v>
      </c>
      <c r="D241" s="37">
        <v>8.7660000000000002E-2</v>
      </c>
      <c r="E241" s="37">
        <v>8.7559999999999999E-2</v>
      </c>
      <c r="F241" s="37">
        <v>8.9160000000000003E-2</v>
      </c>
      <c r="G241" s="37">
        <f t="shared" si="20"/>
        <v>-5.4253472222220989E-3</v>
      </c>
      <c r="H241" s="37">
        <f t="shared" si="17"/>
        <v>-3.4106412005456832E-3</v>
      </c>
      <c r="I241" s="37">
        <f t="shared" si="18"/>
        <v>-3.4145231049396152E-3</v>
      </c>
      <c r="J241" s="37">
        <f t="shared" si="19"/>
        <v>-5.57662279723381E-3</v>
      </c>
    </row>
    <row r="242" spans="1:10" x14ac:dyDescent="0.35">
      <c r="A242" s="7">
        <f t="shared" si="16"/>
        <v>238</v>
      </c>
      <c r="B242" s="42">
        <v>45096</v>
      </c>
      <c r="C242" s="37">
        <v>9.2159999999999992E-2</v>
      </c>
      <c r="D242" s="37">
        <v>8.7959999999999997E-2</v>
      </c>
      <c r="E242" s="37">
        <v>8.7859999999999994E-2</v>
      </c>
      <c r="F242" s="37">
        <v>8.965999999999999E-2</v>
      </c>
      <c r="G242" s="37">
        <f t="shared" si="20"/>
        <v>-3.5377852208499094E-2</v>
      </c>
      <c r="H242" s="37">
        <f t="shared" si="17"/>
        <v>-3.3087831153127412E-2</v>
      </c>
      <c r="I242" s="37">
        <f t="shared" si="18"/>
        <v>-3.3549664503354948E-2</v>
      </c>
      <c r="J242" s="37">
        <f t="shared" si="19"/>
        <v>-3.5187775745184613E-2</v>
      </c>
    </row>
    <row r="243" spans="1:10" x14ac:dyDescent="0.35">
      <c r="A243" s="7">
        <f t="shared" si="16"/>
        <v>239</v>
      </c>
      <c r="B243" s="42">
        <v>45094</v>
      </c>
      <c r="C243" s="37">
        <v>9.554E-2</v>
      </c>
      <c r="D243" s="37">
        <v>9.0969999999999995E-2</v>
      </c>
      <c r="E243" s="37">
        <v>9.0909999999999991E-2</v>
      </c>
      <c r="F243" s="37">
        <v>9.2929999999999999E-2</v>
      </c>
      <c r="G243" s="37">
        <f t="shared" si="20"/>
        <v>3.6675347222222321E-2</v>
      </c>
      <c r="H243" s="37">
        <f t="shared" si="17"/>
        <v>4.0846681922196648E-2</v>
      </c>
      <c r="I243" s="37">
        <f t="shared" si="18"/>
        <v>3.8734003656307081E-2</v>
      </c>
      <c r="J243" s="37">
        <f t="shared" si="19"/>
        <v>4.2985409652076312E-2</v>
      </c>
    </row>
    <row r="244" spans="1:10" x14ac:dyDescent="0.35">
      <c r="A244" s="7">
        <f t="shared" si="16"/>
        <v>240</v>
      </c>
      <c r="B244" s="42">
        <v>45093</v>
      </c>
      <c r="C244" s="37">
        <v>9.2159999999999992E-2</v>
      </c>
      <c r="D244" s="37">
        <v>8.7400000000000005E-2</v>
      </c>
      <c r="E244" s="37">
        <v>8.7520000000000001E-2</v>
      </c>
      <c r="F244" s="37">
        <v>8.9099999999999999E-2</v>
      </c>
      <c r="G244" s="37">
        <f t="shared" si="20"/>
        <v>1.0862480990658785E-3</v>
      </c>
      <c r="H244" s="37">
        <f t="shared" si="17"/>
        <v>-6.3665302410185198E-3</v>
      </c>
      <c r="I244" s="37">
        <f t="shared" si="18"/>
        <v>-2.7347310847767314E-3</v>
      </c>
      <c r="J244" s="37">
        <f t="shared" si="19"/>
        <v>-5.1362215274676215E-3</v>
      </c>
    </row>
    <row r="245" spans="1:10" x14ac:dyDescent="0.35">
      <c r="A245" s="7">
        <f t="shared" si="16"/>
        <v>241</v>
      </c>
      <c r="B245" s="42">
        <v>45092</v>
      </c>
      <c r="C245" s="37">
        <v>9.2059999999999989E-2</v>
      </c>
      <c r="D245" s="37">
        <v>8.7959999999999997E-2</v>
      </c>
      <c r="E245" s="37">
        <v>8.7760000000000005E-2</v>
      </c>
      <c r="F245" s="37">
        <v>8.9560000000000001E-2</v>
      </c>
      <c r="G245" s="37">
        <f t="shared" si="20"/>
        <v>-4.3261951113996444E-3</v>
      </c>
      <c r="H245" s="37">
        <f t="shared" si="17"/>
        <v>-6.7750677506775991E-3</v>
      </c>
      <c r="I245" s="37">
        <f t="shared" si="18"/>
        <v>-5.6650804441422675E-3</v>
      </c>
      <c r="J245" s="37">
        <f t="shared" si="19"/>
        <v>-4.4464206313916677E-3</v>
      </c>
    </row>
    <row r="246" spans="1:10" x14ac:dyDescent="0.35">
      <c r="A246" s="7">
        <f t="shared" si="16"/>
        <v>242</v>
      </c>
      <c r="B246" s="42">
        <v>45091</v>
      </c>
      <c r="C246" s="37">
        <v>9.2460000000000001E-2</v>
      </c>
      <c r="D246" s="37">
        <v>8.856E-2</v>
      </c>
      <c r="E246" s="37">
        <v>8.8260000000000005E-2</v>
      </c>
      <c r="F246" s="37">
        <v>8.9959999999999998E-2</v>
      </c>
      <c r="G246" s="37">
        <f t="shared" si="20"/>
        <v>1.0827197921177145E-3</v>
      </c>
      <c r="H246" s="37">
        <f t="shared" si="17"/>
        <v>-1.1279043537107958E-3</v>
      </c>
      <c r="I246" s="37">
        <f t="shared" si="18"/>
        <v>-2.2609088853717818E-3</v>
      </c>
      <c r="J246" s="37">
        <f t="shared" si="19"/>
        <v>-3.3237314424994224E-3</v>
      </c>
    </row>
    <row r="247" spans="1:10" x14ac:dyDescent="0.35">
      <c r="A247" s="7">
        <f t="shared" si="16"/>
        <v>243</v>
      </c>
      <c r="B247" s="42">
        <v>45090</v>
      </c>
      <c r="C247" s="37">
        <v>9.2360000000000012E-2</v>
      </c>
      <c r="D247" s="37">
        <v>8.8660000000000003E-2</v>
      </c>
      <c r="E247" s="37">
        <v>8.8459999999999997E-2</v>
      </c>
      <c r="F247" s="37">
        <v>9.0259999999999993E-2</v>
      </c>
      <c r="G247" s="37">
        <f t="shared" si="20"/>
        <v>1.0838933448948929E-3</v>
      </c>
      <c r="H247" s="37">
        <f t="shared" si="17"/>
        <v>1.129177958446359E-3</v>
      </c>
      <c r="I247" s="37">
        <f t="shared" si="18"/>
        <v>0</v>
      </c>
      <c r="J247" s="37">
        <f t="shared" si="19"/>
        <v>1.1091393078970224E-3</v>
      </c>
    </row>
    <row r="248" spans="1:10" x14ac:dyDescent="0.35">
      <c r="A248" s="7">
        <f t="shared" si="16"/>
        <v>244</v>
      </c>
      <c r="B248" s="42">
        <v>45089</v>
      </c>
      <c r="C248" s="37">
        <v>9.2260000000000009E-2</v>
      </c>
      <c r="D248" s="37">
        <v>8.856E-2</v>
      </c>
      <c r="E248" s="37">
        <v>8.8459999999999997E-2</v>
      </c>
      <c r="F248" s="37">
        <v>9.0160000000000004E-2</v>
      </c>
      <c r="G248" s="37">
        <f t="shared" si="20"/>
        <v>-3.5340861564199022E-2</v>
      </c>
      <c r="H248" s="37">
        <f t="shared" si="17"/>
        <v>-1.1279043537107958E-3</v>
      </c>
      <c r="I248" s="37">
        <f t="shared" si="18"/>
        <v>-3.6488399956431716E-2</v>
      </c>
      <c r="J248" s="37">
        <f t="shared" si="19"/>
        <v>-3.6546270570634865E-2</v>
      </c>
    </row>
    <row r="249" spans="1:10" x14ac:dyDescent="0.35">
      <c r="A249" s="7">
        <f t="shared" si="16"/>
        <v>245</v>
      </c>
      <c r="B249" s="42">
        <v>45087</v>
      </c>
      <c r="C249" s="37">
        <v>9.5640000000000003E-2</v>
      </c>
      <c r="D249" s="37">
        <v>8.8660000000000003E-2</v>
      </c>
      <c r="E249" s="37">
        <v>9.1809999999999989E-2</v>
      </c>
      <c r="F249" s="37">
        <v>9.358000000000001E-2</v>
      </c>
      <c r="G249" s="37">
        <f t="shared" si="20"/>
        <v>3.5513209181463834E-2</v>
      </c>
      <c r="H249" s="37">
        <f t="shared" si="17"/>
        <v>0</v>
      </c>
      <c r="I249" s="37">
        <f t="shared" si="18"/>
        <v>3.5528987141890234E-2</v>
      </c>
      <c r="J249" s="37">
        <f t="shared" si="19"/>
        <v>3.7932564330079854E-2</v>
      </c>
    </row>
    <row r="250" spans="1:10" x14ac:dyDescent="0.35">
      <c r="A250" s="7">
        <f t="shared" si="16"/>
        <v>246</v>
      </c>
      <c r="B250" s="42">
        <v>45086</v>
      </c>
      <c r="C250" s="37">
        <v>9.2360000000000012E-2</v>
      </c>
      <c r="D250" s="37">
        <v>8.8660000000000003E-2</v>
      </c>
      <c r="E250" s="37">
        <v>8.8660000000000003E-2</v>
      </c>
      <c r="F250" s="37">
        <v>9.0160000000000004E-2</v>
      </c>
      <c r="G250" s="37">
        <f t="shared" si="20"/>
        <v>3.2587442971976355E-3</v>
      </c>
      <c r="H250" s="37">
        <f t="shared" si="17"/>
        <v>5.6715063520871301E-3</v>
      </c>
      <c r="I250" s="37">
        <f t="shared" si="18"/>
        <v>5.6715063520871301E-3</v>
      </c>
      <c r="J250" s="37">
        <f t="shared" si="19"/>
        <v>-2.2133687472332131E-3</v>
      </c>
    </row>
    <row r="251" spans="1:10" x14ac:dyDescent="0.35">
      <c r="A251" s="7">
        <f t="shared" si="16"/>
        <v>247</v>
      </c>
      <c r="B251" s="42">
        <v>45085</v>
      </c>
      <c r="C251" s="37">
        <v>9.2059999999999989E-2</v>
      </c>
      <c r="D251" s="37">
        <v>8.8160000000000002E-2</v>
      </c>
      <c r="E251" s="37">
        <v>8.8160000000000002E-2</v>
      </c>
      <c r="F251" s="37">
        <v>9.0359999999999996E-2</v>
      </c>
      <c r="G251" s="37">
        <f t="shared" si="20"/>
        <v>-1.1807642765135462E-2</v>
      </c>
      <c r="H251" s="37">
        <f t="shared" si="17"/>
        <v>-7.8775602070672024E-3</v>
      </c>
      <c r="I251" s="37">
        <f t="shared" si="18"/>
        <v>-6.7598017124830267E-3</v>
      </c>
      <c r="J251" s="37">
        <f t="shared" si="19"/>
        <v>-6.5963060686016206E-3</v>
      </c>
    </row>
    <row r="252" spans="1:10" x14ac:dyDescent="0.35">
      <c r="A252" s="7">
        <f t="shared" si="16"/>
        <v>248</v>
      </c>
      <c r="B252" s="42">
        <v>45084</v>
      </c>
      <c r="C252" s="37">
        <v>9.3160000000000007E-2</v>
      </c>
      <c r="D252" s="37">
        <v>8.8859999999999995E-2</v>
      </c>
      <c r="E252" s="37">
        <v>8.8759999999999992E-2</v>
      </c>
      <c r="F252" s="37">
        <v>9.0959999999999999E-2</v>
      </c>
      <c r="G252" s="37">
        <f t="shared" si="20"/>
        <v>3.2306698255439859E-3</v>
      </c>
      <c r="H252" s="37">
        <f t="shared" si="17"/>
        <v>1.1266336187472081E-3</v>
      </c>
      <c r="I252" s="37">
        <f t="shared" si="18"/>
        <v>7.9491255961845475E-3</v>
      </c>
      <c r="J252" s="37">
        <f t="shared" si="19"/>
        <v>5.5273048861375074E-3</v>
      </c>
    </row>
    <row r="253" spans="1:10" x14ac:dyDescent="0.35">
      <c r="A253" s="7">
        <f t="shared" si="16"/>
        <v>249</v>
      </c>
      <c r="B253" s="42">
        <v>45083</v>
      </c>
      <c r="C253" s="37">
        <v>9.2859999999999998E-2</v>
      </c>
      <c r="D253" s="37">
        <v>8.8759999999999992E-2</v>
      </c>
      <c r="E253" s="37">
        <v>8.8059999999999986E-2</v>
      </c>
      <c r="F253" s="37">
        <v>9.0459999999999999E-2</v>
      </c>
      <c r="G253" s="37">
        <f t="shared" si="20"/>
        <v>-7.4818298418127815E-3</v>
      </c>
      <c r="H253" s="37">
        <f t="shared" si="17"/>
        <v>0</v>
      </c>
      <c r="I253" s="37">
        <f t="shared" si="18"/>
        <v>-4.5218177707440077E-3</v>
      </c>
      <c r="J253" s="37">
        <f t="shared" si="19"/>
        <v>1.1066843736167176E-3</v>
      </c>
    </row>
    <row r="254" spans="1:10" x14ac:dyDescent="0.35">
      <c r="A254" s="7">
        <f t="shared" si="16"/>
        <v>250</v>
      </c>
      <c r="B254" s="42">
        <v>45082</v>
      </c>
      <c r="C254" s="37">
        <v>9.3560000000000004E-2</v>
      </c>
      <c r="D254" s="37">
        <v>8.8759999999999992E-2</v>
      </c>
      <c r="E254" s="37">
        <v>8.8459999999999997E-2</v>
      </c>
      <c r="F254" s="37">
        <v>9.0359999999999996E-2</v>
      </c>
      <c r="G254" s="37">
        <f t="shared" si="20"/>
        <v>-3.5762135422034325E-2</v>
      </c>
      <c r="H254" s="37">
        <f t="shared" si="17"/>
        <v>-3.699685364001315E-2</v>
      </c>
      <c r="I254" s="37">
        <f t="shared" si="18"/>
        <v>-3.6278461706068188E-2</v>
      </c>
      <c r="J254" s="37">
        <f t="shared" si="19"/>
        <v>-2.2084805653709294E-3</v>
      </c>
    </row>
    <row r="255" spans="1:10" x14ac:dyDescent="0.35">
      <c r="A255" s="7">
        <f t="shared" si="16"/>
        <v>251</v>
      </c>
      <c r="B255" s="42">
        <v>45080</v>
      </c>
      <c r="C255" s="37">
        <v>9.7029999999999991E-2</v>
      </c>
      <c r="D255" s="37">
        <v>9.2170000000000002E-2</v>
      </c>
      <c r="E255" s="37">
        <v>9.1789999999999997E-2</v>
      </c>
      <c r="F255" s="37">
        <v>9.0559999999999988E-2</v>
      </c>
      <c r="G255" s="37">
        <f t="shared" si="20"/>
        <v>3.4876279863481185E-2</v>
      </c>
      <c r="H255" s="37">
        <f t="shared" si="17"/>
        <v>3.4920278463956844E-2</v>
      </c>
      <c r="I255" s="37">
        <f t="shared" si="18"/>
        <v>3.5303406271148141E-2</v>
      </c>
      <c r="J255" s="37">
        <f t="shared" si="19"/>
        <v>0</v>
      </c>
    </row>
    <row r="256" spans="1:10" x14ac:dyDescent="0.35">
      <c r="A256" s="7">
        <f>+A257-1</f>
        <v>252</v>
      </c>
      <c r="B256" s="42">
        <v>45079</v>
      </c>
      <c r="C256" s="37">
        <v>9.3759999999999996E-2</v>
      </c>
      <c r="D256" s="37">
        <v>8.906E-2</v>
      </c>
      <c r="E256" s="37">
        <v>8.8660000000000003E-2</v>
      </c>
      <c r="F256" s="37">
        <v>9.0559999999999988E-2</v>
      </c>
      <c r="G256" s="37">
        <f t="shared" si="20"/>
        <v>9.6920094766315135E-3</v>
      </c>
      <c r="H256" s="37">
        <f t="shared" si="17"/>
        <v>1.020871143375679E-2</v>
      </c>
      <c r="I256" s="37">
        <f t="shared" si="18"/>
        <v>7.9581628012734829E-3</v>
      </c>
      <c r="J256" s="37">
        <f t="shared" si="19"/>
        <v>4.4365572315880897E-3</v>
      </c>
    </row>
    <row r="257" spans="1:10" x14ac:dyDescent="0.35">
      <c r="A257" s="7">
        <v>253</v>
      </c>
      <c r="B257" s="42">
        <v>45078</v>
      </c>
      <c r="C257" s="37">
        <v>9.2859999999999998E-2</v>
      </c>
      <c r="D257" s="37">
        <v>8.8160000000000002E-2</v>
      </c>
      <c r="E257" s="37">
        <v>8.7959999999999997E-2</v>
      </c>
      <c r="F257" s="37">
        <v>9.0160000000000004E-2</v>
      </c>
      <c r="G257" s="37"/>
      <c r="H257" s="37"/>
      <c r="I257" s="37"/>
      <c r="J257" s="37"/>
    </row>
    <row r="259" spans="1:10" x14ac:dyDescent="0.35">
      <c r="G259" s="12"/>
      <c r="H259" s="12"/>
      <c r="I259" s="12"/>
      <c r="J259" s="12"/>
    </row>
  </sheetData>
  <mergeCells count="2">
    <mergeCell ref="C3:F3"/>
    <mergeCell ref="G3:J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/>
  <dimension ref="A2:O561"/>
  <sheetViews>
    <sheetView zoomScale="88" zoomScaleNormal="88" workbookViewId="0">
      <selection activeCell="H9" sqref="H9"/>
    </sheetView>
  </sheetViews>
  <sheetFormatPr baseColWidth="10" defaultColWidth="8.90625" defaultRowHeight="14.5" x14ac:dyDescent="0.35"/>
  <cols>
    <col min="1" max="1" width="10.6328125" bestFit="1" customWidth="1"/>
    <col min="2" max="2" width="16" bestFit="1" customWidth="1"/>
    <col min="3" max="3" width="21.08984375" customWidth="1"/>
    <col min="4" max="4" width="16" customWidth="1"/>
    <col min="5" max="5" width="18.453125" bestFit="1" customWidth="1"/>
    <col min="6" max="6" width="16" customWidth="1"/>
    <col min="7" max="7" width="16.54296875" customWidth="1"/>
    <col min="8" max="8" width="16.453125" customWidth="1"/>
    <col min="9" max="10" width="16.36328125" customWidth="1"/>
    <col min="11" max="12" width="13.6328125" customWidth="1"/>
  </cols>
  <sheetData>
    <row r="2" spans="1:14" x14ac:dyDescent="0.35">
      <c r="B2" s="8" t="s">
        <v>7</v>
      </c>
    </row>
    <row r="3" spans="1:14" x14ac:dyDescent="0.35">
      <c r="B3" s="9" t="s">
        <v>8</v>
      </c>
      <c r="C3" s="16">
        <v>45379</v>
      </c>
    </row>
    <row r="4" spans="1:14" x14ac:dyDescent="0.35">
      <c r="A4" s="1"/>
    </row>
    <row r="5" spans="1:14" ht="18.5" x14ac:dyDescent="0.45">
      <c r="A5" s="1"/>
      <c r="B5" s="81" t="s">
        <v>9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3"/>
    </row>
    <row r="6" spans="1:14" x14ac:dyDescent="0.35">
      <c r="A6" s="1"/>
      <c r="J6" t="s">
        <v>45</v>
      </c>
    </row>
    <row r="7" spans="1:14" x14ac:dyDescent="0.35">
      <c r="A7" s="1"/>
      <c r="E7" s="7" t="s">
        <v>43</v>
      </c>
      <c r="J7" t="s">
        <v>44</v>
      </c>
      <c r="L7" s="84" t="s">
        <v>10</v>
      </c>
      <c r="M7" s="85"/>
    </row>
    <row r="8" spans="1:14" ht="29" x14ac:dyDescent="0.35">
      <c r="A8" s="1"/>
      <c r="B8" s="2" t="s">
        <v>11</v>
      </c>
      <c r="C8" s="2" t="s">
        <v>23</v>
      </c>
      <c r="D8" s="2" t="s">
        <v>24</v>
      </c>
      <c r="E8" s="2" t="s">
        <v>31</v>
      </c>
      <c r="F8" s="2" t="s">
        <v>12</v>
      </c>
      <c r="G8" s="2" t="s">
        <v>1</v>
      </c>
      <c r="H8" s="2" t="s">
        <v>13</v>
      </c>
      <c r="I8" s="2" t="s">
        <v>14</v>
      </c>
      <c r="J8" s="17" t="s">
        <v>25</v>
      </c>
      <c r="K8" s="17" t="s">
        <v>5</v>
      </c>
      <c r="L8" s="2" t="s">
        <v>3</v>
      </c>
      <c r="M8" s="2" t="s">
        <v>4</v>
      </c>
    </row>
    <row r="9" spans="1:14" x14ac:dyDescent="0.35">
      <c r="A9" s="1"/>
      <c r="B9" s="18" t="s">
        <v>28</v>
      </c>
      <c r="C9" s="38">
        <v>46450</v>
      </c>
      <c r="D9" s="39">
        <v>5.5E-2</v>
      </c>
      <c r="E9" s="32">
        <f>Portafolio!C5</f>
        <v>9.7550000000000012E-2</v>
      </c>
      <c r="F9" s="19" cm="1">
        <f t="array" ref="F9">BonoM(100,D9,C9-$C$3,E9)</f>
        <v>89.553641395063494</v>
      </c>
      <c r="G9" s="44">
        <v>3300</v>
      </c>
      <c r="H9" s="20">
        <f>F9*G9</f>
        <v>295527.01660370955</v>
      </c>
      <c r="I9" s="21">
        <f>H9/$H$13</f>
        <v>0.40939961570535466</v>
      </c>
      <c r="J9" s="40">
        <f>MDURATION($C$3,C9,D9,E9,2)</f>
        <v>2.5991966275407545</v>
      </c>
      <c r="K9" s="43" cm="1">
        <f t="array" ref="K9">J9*E9*Vol_Dinamica(Portafolio!$G$5:$G$256)</f>
        <v>9.057945335856063E-2</v>
      </c>
      <c r="L9" s="22">
        <f>-NORMSINV(0.99)*H9*K9*SQRT(1/252)</f>
        <v>-3922.8461213301466</v>
      </c>
      <c r="M9" s="23">
        <f>L9/H9</f>
        <v>-1.3274069377523387E-2</v>
      </c>
    </row>
    <row r="10" spans="1:14" x14ac:dyDescent="0.35">
      <c r="A10" s="1"/>
      <c r="B10" s="18" t="s">
        <v>29</v>
      </c>
      <c r="C10" s="38">
        <v>47269</v>
      </c>
      <c r="D10" s="39">
        <v>8.5000000000000006E-2</v>
      </c>
      <c r="E10" s="32">
        <f>Portafolio!D5</f>
        <v>9.5890000000000003E-2</v>
      </c>
      <c r="F10" s="19" cm="1">
        <f t="array" ref="F10">BonoM(100,D10,C10-$C$3,E10)</f>
        <v>98.209889506628784</v>
      </c>
      <c r="G10" s="44">
        <v>1500</v>
      </c>
      <c r="H10" s="20">
        <f t="shared" ref="H10:H12" si="0">F10*G10</f>
        <v>147314.83425994316</v>
      </c>
      <c r="I10" s="21">
        <f t="shared" ref="I10:I12" si="1">H10/$H$13</f>
        <v>0.20407825053298939</v>
      </c>
      <c r="J10" s="40">
        <f t="shared" ref="J10:J12" si="2">MDURATION($C$3,C10,D10,E10,2)</f>
        <v>3.9602663762970001</v>
      </c>
      <c r="K10" s="43" cm="1">
        <f t="array" ref="K10">J10*E10*Vol_Dinamica(Portafolio!$H$5:$H$256)</f>
        <v>0.14198003396830197</v>
      </c>
      <c r="L10" s="22">
        <f t="shared" ref="L10:L12" si="3">-NORMSINV(0.99)*H10*K10*SQRT(1/252)</f>
        <v>-3065.1246798935031</v>
      </c>
      <c r="M10" s="23">
        <f t="shared" ref="M10:M12" si="4">L10/H10</f>
        <v>-2.0806626130298343E-2</v>
      </c>
    </row>
    <row r="11" spans="1:14" x14ac:dyDescent="0.35">
      <c r="A11" s="1"/>
      <c r="B11" s="18" t="s">
        <v>22</v>
      </c>
      <c r="C11" s="38">
        <v>47997</v>
      </c>
      <c r="D11" s="39">
        <v>7.7499999999999999E-2</v>
      </c>
      <c r="E11" s="32">
        <f>Portafolio!E5</f>
        <v>9.6099999999999991E-2</v>
      </c>
      <c r="F11" s="19" cm="1">
        <f t="array" ref="F11">BonoM(100,D11,C11-$C$3,E11)</f>
        <v>92.816080105486606</v>
      </c>
      <c r="G11" s="44">
        <v>2000</v>
      </c>
      <c r="H11" s="20">
        <f t="shared" si="0"/>
        <v>185632.1602109732</v>
      </c>
      <c r="I11" s="21">
        <f t="shared" si="1"/>
        <v>0.25716002525358733</v>
      </c>
      <c r="J11" s="40">
        <f t="shared" si="2"/>
        <v>5.1448354457119505</v>
      </c>
      <c r="K11" s="43" cm="1">
        <f t="array" ref="K11">J11*E11*Vol_Dinamica(Portafolio!$I$5:$I$256)</f>
        <v>0.18249892104591781</v>
      </c>
      <c r="L11" s="22">
        <f t="shared" si="3"/>
        <v>-4964.641663379849</v>
      </c>
      <c r="M11" s="23">
        <f t="shared" si="4"/>
        <v>-2.6744512684318673E-2</v>
      </c>
    </row>
    <row r="12" spans="1:14" x14ac:dyDescent="0.35">
      <c r="A12" s="1"/>
      <c r="B12" s="18" t="s">
        <v>30</v>
      </c>
      <c r="C12" s="38">
        <v>50727</v>
      </c>
      <c r="D12" s="39">
        <v>8.5000000000000006E-2</v>
      </c>
      <c r="E12" s="32">
        <f>Portafolio!F5</f>
        <v>9.6860000000000002E-2</v>
      </c>
      <c r="F12" s="19" cm="1">
        <f t="array" ref="F12">BonoM(100,D12,C12-$C$3,E12)</f>
        <v>93.380639654701227</v>
      </c>
      <c r="G12" s="44">
        <v>1000</v>
      </c>
      <c r="H12" s="20">
        <f t="shared" si="0"/>
        <v>93380.639654701226</v>
      </c>
      <c r="I12" s="21">
        <f t="shared" si="1"/>
        <v>0.12936210850806867</v>
      </c>
      <c r="J12" s="40">
        <f t="shared" si="2"/>
        <v>7.6929927454806935</v>
      </c>
      <c r="K12" s="43" cm="1">
        <f t="array" ref="K12">J12*E12*Vol_Dinamica(Portafolio!$J$5:$J$256)</f>
        <v>0.27232832974517551</v>
      </c>
      <c r="L12" s="22">
        <f t="shared" si="3"/>
        <v>-3726.6967505501279</v>
      </c>
      <c r="M12" s="23">
        <f t="shared" si="4"/>
        <v>-3.9908665911162544E-2</v>
      </c>
    </row>
    <row r="13" spans="1:14" ht="15" thickBot="1" x14ac:dyDescent="0.4">
      <c r="A13" s="1"/>
      <c r="H13" s="24">
        <f>SUM(H9:H12)</f>
        <v>721854.65072932711</v>
      </c>
    </row>
    <row r="14" spans="1:14" ht="15" thickTop="1" x14ac:dyDescent="0.35">
      <c r="A14" s="1"/>
    </row>
    <row r="15" spans="1:14" ht="23.5" x14ac:dyDescent="0.55000000000000004">
      <c r="A15" s="1"/>
      <c r="H15" s="25"/>
      <c r="J15" t="s">
        <v>26</v>
      </c>
      <c r="K15" s="11" t="s">
        <v>27</v>
      </c>
    </row>
    <row r="16" spans="1:14" ht="17.5" x14ac:dyDescent="0.45">
      <c r="A16" s="1"/>
      <c r="C16" s="5" t="s">
        <v>15</v>
      </c>
      <c r="D16" s="57" cm="1">
        <f t="array" ref="D16">SQRT(MMULT(MMULT(TRANSPOSE(I9:I12),MMULT(MMULT(D30:G33,D23:G26),D30:G33)),I9:I12))</f>
        <v>0.14514341346893186</v>
      </c>
      <c r="E16" s="11" t="s">
        <v>16</v>
      </c>
    </row>
    <row r="17" spans="1:7" x14ac:dyDescent="0.35">
      <c r="A17" s="1"/>
    </row>
    <row r="18" spans="1:7" x14ac:dyDescent="0.35">
      <c r="A18" s="1"/>
      <c r="D18" s="26" t="s">
        <v>3</v>
      </c>
      <c r="E18" s="26" t="s">
        <v>17</v>
      </c>
    </row>
    <row r="19" spans="1:7" ht="17.5" x14ac:dyDescent="0.45">
      <c r="A19" s="1"/>
      <c r="C19" s="5" t="s">
        <v>6</v>
      </c>
      <c r="D19" s="27">
        <f>-NORMSINV(0.99)*H13*D16*SQRT(1/252)</f>
        <v>-15353.997981947479</v>
      </c>
      <c r="E19" s="10">
        <f>D19/H13</f>
        <v>-2.1270207189819364E-2</v>
      </c>
    </row>
    <row r="20" spans="1:7" x14ac:dyDescent="0.35">
      <c r="A20" s="1"/>
    </row>
    <row r="21" spans="1:7" ht="15.5" x14ac:dyDescent="0.35">
      <c r="A21" s="1"/>
      <c r="B21" s="28" t="s">
        <v>18</v>
      </c>
    </row>
    <row r="22" spans="1:7" x14ac:dyDescent="0.35">
      <c r="A22" s="1"/>
      <c r="D22" s="11" t="s">
        <v>28</v>
      </c>
      <c r="E22" s="11" t="s">
        <v>29</v>
      </c>
      <c r="F22" s="11" t="s">
        <v>22</v>
      </c>
      <c r="G22" s="11" t="s">
        <v>30</v>
      </c>
    </row>
    <row r="23" spans="1:7" x14ac:dyDescent="0.35">
      <c r="A23" s="1"/>
      <c r="C23" s="29" t="s">
        <v>28</v>
      </c>
      <c r="D23" s="30">
        <f>+CORREL(Portafolio!$G$5:$G$256,Portafolio!G5:G256)</f>
        <v>1</v>
      </c>
      <c r="E23" s="30">
        <f>+CORREL(Portafolio!$G$5:$G$256,Portafolio!H5:H256)</f>
        <v>0.92628574664100194</v>
      </c>
      <c r="F23" s="30">
        <f>+CORREL(Portafolio!$G$5:$G$256,Portafolio!I5:I256)</f>
        <v>0.93450648761668387</v>
      </c>
      <c r="G23" s="30">
        <f>+CORREL(Portafolio!$G$5:$G$256,Portafolio!J5:J256)</f>
        <v>0.92303175447933827</v>
      </c>
    </row>
    <row r="24" spans="1:7" x14ac:dyDescent="0.35">
      <c r="A24" s="1"/>
      <c r="C24" s="29" t="s">
        <v>29</v>
      </c>
      <c r="D24" s="30">
        <f>CORREL(Portafolio!$H$5:$H$256,Portafolio!G5:G256)</f>
        <v>0.92628574664100194</v>
      </c>
      <c r="E24" s="30">
        <f>CORREL(Portafolio!$H$5:$H$256,Portafolio!H5:H256)</f>
        <v>1.0000000000000002</v>
      </c>
      <c r="F24" s="30">
        <f>CORREL(Portafolio!$H$5:$H$256,Portafolio!I5:I256)</f>
        <v>0.9630298512076424</v>
      </c>
      <c r="G24" s="30">
        <f>CORREL(Portafolio!$H$5:$H$256,Portafolio!J5:J256)</f>
        <v>0.95088121566992645</v>
      </c>
    </row>
    <row r="25" spans="1:7" x14ac:dyDescent="0.35">
      <c r="A25" s="1"/>
      <c r="C25" s="29" t="s">
        <v>22</v>
      </c>
      <c r="D25" s="30">
        <f>CORREL(Portafolio!$I$5:$I$256,Portafolio!G5:G256)</f>
        <v>0.93450648761668387</v>
      </c>
      <c r="E25" s="30">
        <f>CORREL(Portafolio!$I$5:$I$256,Portafolio!H5:H256)</f>
        <v>0.9630298512076424</v>
      </c>
      <c r="F25" s="30">
        <f>CORREL(Portafolio!$I$5:$I$256,Portafolio!I5:I256)</f>
        <v>0.99999999999999978</v>
      </c>
      <c r="G25" s="30">
        <f>CORREL(Portafolio!$I$5:$I$256,Portafolio!J5:J256)</f>
        <v>0.96557053982893304</v>
      </c>
    </row>
    <row r="26" spans="1:7" x14ac:dyDescent="0.35">
      <c r="A26" s="1"/>
      <c r="C26" s="29" t="s">
        <v>30</v>
      </c>
      <c r="D26" s="30">
        <f>CORREL(Portafolio!G5:G256,Portafolio!$J$5:$J$256)</f>
        <v>0.92303175447933827</v>
      </c>
      <c r="E26" s="30">
        <f>CORREL(Portafolio!H5:H256,Portafolio!$J$5:$J$256)</f>
        <v>0.95088121566992645</v>
      </c>
      <c r="F26" s="30">
        <f>CORREL(Portafolio!I5:I256,Portafolio!$J$5:$J$256)</f>
        <v>0.96557053982893304</v>
      </c>
      <c r="G26" s="30">
        <f>CORREL(Portafolio!J5:J256,Portafolio!$J$5:$J$256)</f>
        <v>1</v>
      </c>
    </row>
    <row r="27" spans="1:7" x14ac:dyDescent="0.35">
      <c r="A27" s="1"/>
    </row>
    <row r="28" spans="1:7" ht="15.5" x14ac:dyDescent="0.35">
      <c r="A28" s="1"/>
      <c r="B28" s="28" t="s">
        <v>19</v>
      </c>
    </row>
    <row r="29" spans="1:7" x14ac:dyDescent="0.35">
      <c r="A29" s="1"/>
      <c r="D29" s="11" t="s">
        <v>28</v>
      </c>
      <c r="E29" s="11" t="s">
        <v>29</v>
      </c>
      <c r="F29" s="11" t="s">
        <v>22</v>
      </c>
      <c r="G29" s="11" t="s">
        <v>30</v>
      </c>
    </row>
    <row r="30" spans="1:7" x14ac:dyDescent="0.35">
      <c r="A30" s="1"/>
      <c r="C30" s="29" t="s">
        <v>28</v>
      </c>
      <c r="D30" s="31">
        <f>K9</f>
        <v>9.057945335856063E-2</v>
      </c>
      <c r="E30" s="32">
        <v>0</v>
      </c>
      <c r="F30" s="32">
        <v>0</v>
      </c>
      <c r="G30" s="32">
        <v>0</v>
      </c>
    </row>
    <row r="31" spans="1:7" x14ac:dyDescent="0.35">
      <c r="A31" s="1"/>
      <c r="C31" s="29" t="s">
        <v>29</v>
      </c>
      <c r="D31" s="32">
        <v>0</v>
      </c>
      <c r="E31" s="31">
        <f>K10</f>
        <v>0.14198003396830197</v>
      </c>
      <c r="F31" s="32">
        <v>0</v>
      </c>
      <c r="G31" s="32">
        <v>0</v>
      </c>
    </row>
    <row r="32" spans="1:7" x14ac:dyDescent="0.35">
      <c r="A32" s="1"/>
      <c r="C32" s="29" t="s">
        <v>22</v>
      </c>
      <c r="D32" s="32">
        <v>0</v>
      </c>
      <c r="E32" s="32">
        <v>0</v>
      </c>
      <c r="F32" s="31">
        <f>K11</f>
        <v>0.18249892104591781</v>
      </c>
      <c r="G32" s="32">
        <v>0</v>
      </c>
    </row>
    <row r="33" spans="1:15" x14ac:dyDescent="0.35">
      <c r="A33" s="1"/>
      <c r="C33" s="29" t="s">
        <v>30</v>
      </c>
      <c r="D33" s="32">
        <v>0</v>
      </c>
      <c r="E33" s="32">
        <v>0</v>
      </c>
      <c r="F33" s="32">
        <v>0</v>
      </c>
      <c r="G33" s="31">
        <f>K12</f>
        <v>0.27232832974517551</v>
      </c>
    </row>
    <row r="34" spans="1:15" x14ac:dyDescent="0.35">
      <c r="A34" s="1"/>
    </row>
    <row r="35" spans="1:15" x14ac:dyDescent="0.35">
      <c r="A35" s="1"/>
    </row>
    <row r="36" spans="1:15" x14ac:dyDescent="0.35">
      <c r="A36" s="1"/>
      <c r="C36" s="33"/>
      <c r="D36" s="33"/>
      <c r="E36" s="34"/>
      <c r="F36" s="34"/>
      <c r="G36" s="34"/>
      <c r="H36" s="34"/>
      <c r="I36" s="34"/>
      <c r="J36" s="34"/>
      <c r="K36" s="34"/>
      <c r="L36" s="34"/>
    </row>
    <row r="37" spans="1:15" x14ac:dyDescent="0.35">
      <c r="A37" s="1"/>
      <c r="C37" s="33"/>
      <c r="D37" s="34"/>
      <c r="E37" s="33"/>
      <c r="F37" s="34"/>
      <c r="G37" s="34"/>
      <c r="H37" s="34"/>
      <c r="I37" s="34"/>
      <c r="J37" s="34"/>
      <c r="K37" s="34"/>
      <c r="L37" s="34"/>
    </row>
    <row r="38" spans="1:15" x14ac:dyDescent="0.35">
      <c r="A38" s="1"/>
      <c r="D38" s="34"/>
      <c r="E38" s="34"/>
      <c r="F38" s="34"/>
      <c r="G38" s="34"/>
      <c r="H38" s="34"/>
      <c r="I38" s="34"/>
      <c r="J38" s="34"/>
      <c r="K38" s="34"/>
      <c r="L38" s="34"/>
    </row>
    <row r="39" spans="1:15" x14ac:dyDescent="0.35">
      <c r="A39" s="1"/>
      <c r="D39" s="34"/>
      <c r="E39" s="34"/>
      <c r="F39" s="34"/>
      <c r="G39" s="34"/>
      <c r="H39" s="34"/>
      <c r="I39" s="34"/>
      <c r="J39" s="34"/>
      <c r="K39" s="34"/>
      <c r="L39" s="34"/>
    </row>
    <row r="40" spans="1:15" x14ac:dyDescent="0.35">
      <c r="A40" s="1"/>
      <c r="D40" s="34"/>
      <c r="E40" s="34"/>
      <c r="F40" s="34"/>
      <c r="G40" s="34"/>
      <c r="H40" s="34"/>
      <c r="I40" s="34"/>
      <c r="J40" s="34"/>
      <c r="K40" s="34"/>
      <c r="L40" s="34"/>
    </row>
    <row r="41" spans="1:15" x14ac:dyDescent="0.35">
      <c r="A41" s="1"/>
      <c r="D41" s="34"/>
      <c r="E41" s="34"/>
      <c r="F41" s="34"/>
      <c r="G41" s="34"/>
      <c r="H41" s="34"/>
      <c r="I41" s="34"/>
      <c r="J41" s="34"/>
      <c r="K41" s="34"/>
      <c r="L41" s="34"/>
    </row>
    <row r="42" spans="1:15" x14ac:dyDescent="0.35">
      <c r="A42" s="1"/>
      <c r="D42" s="34"/>
      <c r="E42" s="34"/>
      <c r="F42" s="34"/>
      <c r="G42" s="34"/>
      <c r="H42" s="34"/>
      <c r="I42" s="34"/>
      <c r="J42" s="34"/>
      <c r="K42" s="34"/>
      <c r="L42" s="34"/>
    </row>
    <row r="43" spans="1:15" x14ac:dyDescent="0.35">
      <c r="A43" s="1"/>
      <c r="D43" s="34"/>
      <c r="E43" s="34"/>
      <c r="F43" s="34"/>
      <c r="G43" s="34"/>
      <c r="H43" s="34"/>
      <c r="I43" s="34"/>
      <c r="J43" s="34"/>
      <c r="K43" s="34"/>
      <c r="L43" s="34"/>
      <c r="M43" s="35"/>
      <c r="N43" s="35"/>
      <c r="O43" s="35"/>
    </row>
    <row r="44" spans="1:15" x14ac:dyDescent="0.35">
      <c r="A44" s="1"/>
    </row>
    <row r="45" spans="1:15" x14ac:dyDescent="0.35">
      <c r="A45" s="1"/>
    </row>
    <row r="46" spans="1:15" x14ac:dyDescent="0.35">
      <c r="A46" s="1"/>
    </row>
    <row r="47" spans="1:15" x14ac:dyDescent="0.35">
      <c r="A47" s="1"/>
    </row>
    <row r="48" spans="1:15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3" spans="1:1" x14ac:dyDescent="0.35">
      <c r="A253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</sheetData>
  <mergeCells count="2">
    <mergeCell ref="B5:N5"/>
    <mergeCell ref="L7:M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C2EC4-0077-4803-8F3B-2F7B0593729E}">
  <sheetPr codeName="Hoja5"/>
  <dimension ref="A1:Z259"/>
  <sheetViews>
    <sheetView zoomScale="95" zoomScaleNormal="95" workbookViewId="0">
      <pane xSplit="2" ySplit="4" topLeftCell="P5" activePane="bottomRight" state="frozen"/>
      <selection pane="topRight" activeCell="E1" sqref="E1"/>
      <selection pane="bottomLeft" activeCell="A5" sqref="A5"/>
      <selection pane="bottomRight" activeCell="V11" sqref="V11"/>
    </sheetView>
  </sheetViews>
  <sheetFormatPr baseColWidth="10" defaultColWidth="8.90625" defaultRowHeight="14.5" x14ac:dyDescent="0.35"/>
  <cols>
    <col min="1" max="1" width="4.36328125" bestFit="1" customWidth="1"/>
    <col min="2" max="2" width="13" bestFit="1" customWidth="1"/>
    <col min="3" max="10" width="13.08984375" customWidth="1"/>
    <col min="11" max="18" width="12.90625" bestFit="1" customWidth="1"/>
    <col min="19" max="19" width="14" customWidth="1"/>
    <col min="20" max="20" width="3.6328125" customWidth="1"/>
    <col min="21" max="21" width="16.36328125" bestFit="1" customWidth="1"/>
    <col min="22" max="22" width="14" bestFit="1" customWidth="1"/>
    <col min="23" max="23" width="10.1796875" bestFit="1" customWidth="1"/>
    <col min="24" max="24" width="17.08984375" bestFit="1" customWidth="1"/>
    <col min="25" max="28" width="10.1796875" bestFit="1" customWidth="1"/>
    <col min="29" max="29" width="11.1796875" bestFit="1" customWidth="1"/>
  </cols>
  <sheetData>
    <row r="1" spans="1:26" x14ac:dyDescent="0.35">
      <c r="B1" t="s">
        <v>42</v>
      </c>
      <c r="C1" s="42">
        <v>46450</v>
      </c>
      <c r="D1" s="42">
        <v>47269</v>
      </c>
      <c r="E1" s="42">
        <v>47997</v>
      </c>
      <c r="F1" s="42">
        <v>50727</v>
      </c>
      <c r="N1" s="8" t="s">
        <v>32</v>
      </c>
      <c r="O1" s="45">
        <f>+O2*C5</f>
        <v>295527.01660370955</v>
      </c>
      <c r="P1" s="45">
        <f>+P2*D5</f>
        <v>147314.83425994316</v>
      </c>
      <c r="Q1" s="45">
        <f>+Q2*E5</f>
        <v>185632.1602109732</v>
      </c>
      <c r="R1" s="45">
        <f>+R2*F5</f>
        <v>93380.639654701226</v>
      </c>
      <c r="S1" s="45">
        <f>+SUM(O1:R1)</f>
        <v>721854.65072932711</v>
      </c>
      <c r="U1" s="6"/>
    </row>
    <row r="2" spans="1:26" x14ac:dyDescent="0.35">
      <c r="B2" t="s">
        <v>41</v>
      </c>
      <c r="C2" s="37">
        <v>5.5E-2</v>
      </c>
      <c r="D2" s="37">
        <v>8.5000000000000006E-2</v>
      </c>
      <c r="E2" s="37">
        <v>7.7499999999999999E-2</v>
      </c>
      <c r="F2" s="37">
        <v>8.5000000000000006E-2</v>
      </c>
      <c r="L2" s="14">
        <f>(K5-C5)</f>
        <v>-0.72705697200147767</v>
      </c>
      <c r="N2" s="8" t="s">
        <v>33</v>
      </c>
      <c r="O2" s="46">
        <v>3300</v>
      </c>
      <c r="P2" s="46">
        <v>1500</v>
      </c>
      <c r="Q2" s="46">
        <v>2000</v>
      </c>
      <c r="R2" s="46">
        <v>1000</v>
      </c>
    </row>
    <row r="3" spans="1:26" x14ac:dyDescent="0.35">
      <c r="C3" s="77" t="s">
        <v>34</v>
      </c>
      <c r="D3" s="78"/>
      <c r="E3" s="78"/>
      <c r="F3" s="78"/>
      <c r="G3" s="79" t="s">
        <v>35</v>
      </c>
      <c r="H3" s="80"/>
      <c r="I3" s="80"/>
      <c r="J3" s="80"/>
      <c r="K3" s="86" t="s">
        <v>40</v>
      </c>
      <c r="L3" s="87"/>
      <c r="M3" s="87"/>
      <c r="N3" s="87"/>
      <c r="O3" s="88" t="s">
        <v>36</v>
      </c>
      <c r="P3" s="89"/>
      <c r="Q3" s="89"/>
      <c r="R3" s="89"/>
      <c r="S3" s="14"/>
    </row>
    <row r="4" spans="1:26" x14ac:dyDescent="0.35">
      <c r="A4" s="2" t="s">
        <v>2</v>
      </c>
      <c r="B4" s="2" t="s">
        <v>0</v>
      </c>
      <c r="C4" s="4" t="s">
        <v>28</v>
      </c>
      <c r="D4" s="4" t="s">
        <v>29</v>
      </c>
      <c r="E4" s="4" t="s">
        <v>22</v>
      </c>
      <c r="F4" s="4" t="s">
        <v>30</v>
      </c>
      <c r="G4" s="3" t="str">
        <f t="shared" ref="G4:R4" si="0">+C4</f>
        <v>BONOM_2027</v>
      </c>
      <c r="H4" s="3" t="str">
        <f t="shared" si="0"/>
        <v>BONOM_2029</v>
      </c>
      <c r="I4" s="3" t="str">
        <f t="shared" si="0"/>
        <v>BONOM_2031</v>
      </c>
      <c r="J4" s="3" t="str">
        <f t="shared" si="0"/>
        <v>BONOM_2038</v>
      </c>
      <c r="K4" s="3" t="str">
        <f t="shared" si="0"/>
        <v>BONOM_2027</v>
      </c>
      <c r="L4" s="3" t="str">
        <f t="shared" si="0"/>
        <v>BONOM_2029</v>
      </c>
      <c r="M4" s="3" t="str">
        <f t="shared" si="0"/>
        <v>BONOM_2031</v>
      </c>
      <c r="N4" s="3" t="str">
        <f t="shared" si="0"/>
        <v>BONOM_2038</v>
      </c>
      <c r="O4" s="3" t="str">
        <f t="shared" si="0"/>
        <v>BONOM_2027</v>
      </c>
      <c r="P4" s="3" t="str">
        <f t="shared" si="0"/>
        <v>BONOM_2029</v>
      </c>
      <c r="Q4" s="3" t="str">
        <f t="shared" si="0"/>
        <v>BONOM_2031</v>
      </c>
      <c r="R4" s="3" t="str">
        <f t="shared" si="0"/>
        <v>BONOM_2038</v>
      </c>
      <c r="S4" s="47" t="s">
        <v>37</v>
      </c>
      <c r="T4" s="48"/>
    </row>
    <row r="5" spans="1:26" x14ac:dyDescent="0.35">
      <c r="A5" s="7">
        <f t="shared" ref="A5:A68" si="1">+A6-1</f>
        <v>0</v>
      </c>
      <c r="B5" s="41">
        <v>45379</v>
      </c>
      <c r="C5" s="49" cm="1">
        <f t="array" ref="C5">BonoM(100,C$2,-$B5+C$1,Portafolio!C5)</f>
        <v>89.553641395063494</v>
      </c>
      <c r="D5" s="49" cm="1">
        <f t="array" ref="D5">BonoM(100,D$2,-$B5+D$1,Portafolio!D5)</f>
        <v>98.209889506628784</v>
      </c>
      <c r="E5" s="49" cm="1">
        <f t="array" ref="E5">BonoM(100,E$2,-$B5+E$1,Portafolio!E5)</f>
        <v>92.816080105486606</v>
      </c>
      <c r="F5" s="49" cm="1">
        <f t="array" ref="F5">BonoM(100,F$2,-$B5+F$1,Portafolio!F5)</f>
        <v>93.380639654701227</v>
      </c>
      <c r="G5" s="6">
        <f>IFERROR(C5/C6-1," ")</f>
        <v>-8.1186756973297136E-3</v>
      </c>
      <c r="H5" s="6">
        <f t="shared" ref="H5:J5" si="2">IFERROR(D5/D6-1," ")</f>
        <v>-1.4240455825010101E-2</v>
      </c>
      <c r="I5" s="6">
        <f t="shared" si="2"/>
        <v>-1.8060264465159737E-2</v>
      </c>
      <c r="J5" s="6">
        <f t="shared" si="2"/>
        <v>-2.6792782280400829E-2</v>
      </c>
      <c r="K5" s="13">
        <f>C$5*(1+G5)</f>
        <v>88.826584423062016</v>
      </c>
      <c r="L5" s="13">
        <f t="shared" ref="L5:N5" si="3">D$5*(1+H5)</f>
        <v>96.811335913530513</v>
      </c>
      <c r="M5" s="13">
        <f t="shared" si="3"/>
        <v>91.13979715216206</v>
      </c>
      <c r="N5" s="13">
        <f t="shared" si="3"/>
        <v>90.878712507228258</v>
      </c>
      <c r="O5" s="14">
        <f>(C$5-K5)*O$2</f>
        <v>2399.2880076048764</v>
      </c>
      <c r="P5" s="14">
        <f t="shared" ref="P5:R20" si="4">(D$5-L5)*P$2</f>
        <v>2097.8303896474058</v>
      </c>
      <c r="Q5" s="14">
        <f t="shared" si="4"/>
        <v>3352.5659066490903</v>
      </c>
      <c r="R5" s="14">
        <f t="shared" si="4"/>
        <v>2501.9271474729694</v>
      </c>
      <c r="S5" s="50">
        <f t="shared" ref="S5:S68" si="5">SUM(O5:R5)</f>
        <v>10351.611451374341</v>
      </c>
      <c r="T5" s="50"/>
      <c r="U5" s="90" t="s">
        <v>38</v>
      </c>
      <c r="V5" s="90"/>
      <c r="W5" s="90"/>
      <c r="X5" s="90"/>
      <c r="Y5" s="90"/>
      <c r="Z5" s="90"/>
    </row>
    <row r="6" spans="1:26" x14ac:dyDescent="0.35">
      <c r="A6" s="7">
        <f t="shared" si="1"/>
        <v>1</v>
      </c>
      <c r="B6" s="42">
        <v>45378</v>
      </c>
      <c r="C6" s="58" cm="1">
        <f t="array" ref="C6">BonoM(100,C$2,-$B6+C$1,Portafolio!C6)</f>
        <v>90.286649421515278</v>
      </c>
      <c r="D6" s="58" cm="1">
        <f t="array" ref="D6">BonoM(100,D$2,-$B6+D$1,Portafolio!D6)</f>
        <v>99.628646851016214</v>
      </c>
      <c r="E6" s="58" cm="1">
        <f t="array" ref="E6">BonoM(100,E$2,-$B6+E$1,Portafolio!E6)</f>
        <v>94.523193986983117</v>
      </c>
      <c r="F6" s="58" cm="1">
        <f t="array" ref="F6">BonoM(100,F$2,-$B6+F$1,Portafolio!F6)</f>
        <v>95.951445852928401</v>
      </c>
      <c r="G6" s="6">
        <f t="shared" ref="G6:G69" si="6">IFERROR(C6/C7-1," ")</f>
        <v>1.8435844368180909E-3</v>
      </c>
      <c r="H6" s="6">
        <f t="shared" ref="H6:H69" si="7">IFERROR(D6/D7-1," ")</f>
        <v>1.8652841529640529E-3</v>
      </c>
      <c r="I6" s="6">
        <f t="shared" ref="I6:I69" si="8">IFERROR(E6/E7-1," ")</f>
        <v>1.2997343897012126E-3</v>
      </c>
      <c r="J6" s="6">
        <f t="shared" ref="J6:J69" si="9">IFERROR(F6/F7-1," ")</f>
        <v>3.4126762077641981E-3</v>
      </c>
      <c r="K6" s="13">
        <f t="shared" ref="K6:K69" si="10">C$5*(1+G6)</f>
        <v>89.718741094599821</v>
      </c>
      <c r="L6" s="13">
        <f t="shared" ref="L6:L69" si="11">D$5*(1+H6)</f>
        <v>98.393078857189849</v>
      </c>
      <c r="M6" s="13">
        <f t="shared" ref="M6:M69" si="12">E$5*(1+I6)</f>
        <v>92.936716356716971</v>
      </c>
      <c r="N6" s="13">
        <f t="shared" ref="N6:N69" si="13">F$5*(1+J6)</f>
        <v>93.699317541916628</v>
      </c>
      <c r="O6" s="14">
        <f t="shared" ref="O6:R69" si="14">(C$5-K6)*O$2</f>
        <v>-544.82900846987968</v>
      </c>
      <c r="P6" s="14">
        <f t="shared" si="4"/>
        <v>-274.78402584159767</v>
      </c>
      <c r="Q6" s="14">
        <f t="shared" si="4"/>
        <v>-241.27250246073118</v>
      </c>
      <c r="R6" s="14">
        <f t="shared" si="4"/>
        <v>-318.6778872154008</v>
      </c>
      <c r="S6" s="50">
        <f t="shared" si="5"/>
        <v>-1379.5634239876094</v>
      </c>
      <c r="T6" s="50"/>
      <c r="V6" s="11" t="s">
        <v>3</v>
      </c>
      <c r="W6" s="11" t="s">
        <v>4</v>
      </c>
    </row>
    <row r="7" spans="1:26" ht="17.5" x14ac:dyDescent="0.45">
      <c r="A7" s="7">
        <f t="shared" si="1"/>
        <v>2</v>
      </c>
      <c r="B7" s="42">
        <v>45377</v>
      </c>
      <c r="C7" s="58" cm="1">
        <f t="array" ref="C7">BonoM(100,C$2,-$B7+C$1,Portafolio!C7)</f>
        <v>90.120504661682801</v>
      </c>
      <c r="D7" s="58" cm="1">
        <f t="array" ref="D7">BonoM(100,D$2,-$B7+D$1,Portafolio!D7)</f>
        <v>99.443157105945787</v>
      </c>
      <c r="E7" s="58" cm="1">
        <f t="array" ref="E7">BonoM(100,E$2,-$B7+E$1,Portafolio!E7)</f>
        <v>94.40049841279108</v>
      </c>
      <c r="F7" s="58" cm="1">
        <f t="array" ref="F7">BonoM(100,F$2,-$B7+F$1,Portafolio!F7)</f>
        <v>95.6251083208968</v>
      </c>
      <c r="G7" s="6">
        <f t="shared" si="6"/>
        <v>1.3164720830352028E-3</v>
      </c>
      <c r="H7" s="6">
        <f t="shared" si="7"/>
        <v>1.8666994064890918E-3</v>
      </c>
      <c r="I7" s="6">
        <f t="shared" si="8"/>
        <v>2.3498914075748001E-3</v>
      </c>
      <c r="J7" s="6">
        <f t="shared" si="9"/>
        <v>4.1996603652230124E-3</v>
      </c>
      <c r="K7" s="13">
        <f t="shared" si="10"/>
        <v>89.671536263894239</v>
      </c>
      <c r="L7" s="13">
        <f t="shared" si="11"/>
        <v>98.393217849082163</v>
      </c>
      <c r="M7" s="13">
        <f t="shared" si="12"/>
        <v>93.034187814611258</v>
      </c>
      <c r="N7" s="13">
        <f t="shared" si="13"/>
        <v>93.772806625938244</v>
      </c>
      <c r="O7" s="14">
        <f t="shared" si="14"/>
        <v>-389.05306714146093</v>
      </c>
      <c r="P7" s="14">
        <f t="shared" si="4"/>
        <v>-274.99251368006838</v>
      </c>
      <c r="Q7" s="14">
        <f t="shared" si="4"/>
        <v>-436.21541824930432</v>
      </c>
      <c r="R7" s="14">
        <f t="shared" si="4"/>
        <v>-392.16697123701749</v>
      </c>
      <c r="S7" s="50">
        <f t="shared" si="5"/>
        <v>-1492.427970307851</v>
      </c>
      <c r="T7" s="50"/>
      <c r="U7" s="5" t="s">
        <v>6</v>
      </c>
      <c r="V7" s="52">
        <f>PERCENTILE(S5:S256,0.01)</f>
        <v>-14894.895550827054</v>
      </c>
      <c r="W7" s="10">
        <f>V7/S1</f>
        <v>-2.0634203209438314E-2</v>
      </c>
      <c r="X7" s="53"/>
      <c r="Y7" s="54"/>
    </row>
    <row r="8" spans="1:26" x14ac:dyDescent="0.35">
      <c r="A8" s="7">
        <f t="shared" si="1"/>
        <v>3</v>
      </c>
      <c r="B8" s="42">
        <v>45376</v>
      </c>
      <c r="C8" s="58" cm="1">
        <f t="array" ref="C8">BonoM(100,C$2,-$B8+C$1,Portafolio!C8)</f>
        <v>90.002019515573764</v>
      </c>
      <c r="D8" s="58" cm="1">
        <f t="array" ref="D8">BonoM(100,D$2,-$B8+D$1,Portafolio!D8)</f>
        <v>99.257872494271368</v>
      </c>
      <c r="E8" s="58" cm="1">
        <f t="array" ref="E8">BonoM(100,E$2,-$B8+E$1,Portafolio!E8)</f>
        <v>94.17918754919684</v>
      </c>
      <c r="F8" s="58" cm="1">
        <f t="array" ref="F8">BonoM(100,F$2,-$B8+F$1,Portafolio!F8)</f>
        <v>95.22519484433839</v>
      </c>
      <c r="G8" s="6">
        <f t="shared" si="6"/>
        <v>7.9356974945015146E-3</v>
      </c>
      <c r="H8" s="6">
        <f t="shared" si="7"/>
        <v>9.7474118044420521E-3</v>
      </c>
      <c r="I8" s="6">
        <f t="shared" si="8"/>
        <v>1.304337348156559E-2</v>
      </c>
      <c r="J8" s="6">
        <f t="shared" si="9"/>
        <v>2.204836267069421E-2</v>
      </c>
      <c r="K8" s="13">
        <f t="shared" si="10"/>
        <v>90.264312002705793</v>
      </c>
      <c r="L8" s="13">
        <f t="shared" si="11"/>
        <v>99.167181742918643</v>
      </c>
      <c r="M8" s="13">
        <f t="shared" si="12"/>
        <v>94.026714903397377</v>
      </c>
      <c r="N8" s="13">
        <f t="shared" si="13"/>
        <v>95.439529864229485</v>
      </c>
      <c r="O8" s="14">
        <f t="shared" si="14"/>
        <v>-2345.2130052195885</v>
      </c>
      <c r="P8" s="14">
        <f t="shared" si="4"/>
        <v>-1435.9383544347893</v>
      </c>
      <c r="Q8" s="14">
        <f t="shared" si="4"/>
        <v>-2421.2695958215418</v>
      </c>
      <c r="R8" s="14">
        <f t="shared" si="4"/>
        <v>-2058.8902095282579</v>
      </c>
      <c r="S8" s="50">
        <f t="shared" si="5"/>
        <v>-8261.3111650041774</v>
      </c>
      <c r="T8" s="50"/>
      <c r="U8" s="8" t="s">
        <v>39</v>
      </c>
      <c r="V8" s="52">
        <f>AVERAGEIF(S5:S257,"&lt;"&amp;V7,S5:S257)</f>
        <v>-18832.988753641621</v>
      </c>
      <c r="W8" s="10">
        <f>V8/S1</f>
        <v>-2.6089724205023375E-2</v>
      </c>
      <c r="X8" s="55"/>
    </row>
    <row r="9" spans="1:26" x14ac:dyDescent="0.35">
      <c r="A9" s="7">
        <f t="shared" si="1"/>
        <v>4</v>
      </c>
      <c r="B9" s="42">
        <v>45374</v>
      </c>
      <c r="C9" s="58" cm="1">
        <f t="array" ref="C9">BonoM(100,C$2,-$B9+C$1,Portafolio!C9)</f>
        <v>89.293413993867148</v>
      </c>
      <c r="D9" s="58" cm="1">
        <f t="array" ref="D9">BonoM(100,D$2,-$B9+D$1,Portafolio!D9)</f>
        <v>98.299704791414371</v>
      </c>
      <c r="E9" s="58" cm="1">
        <f t="array" ref="E9">BonoM(100,E$2,-$B9+E$1,Portafolio!E9)</f>
        <v>92.96658959973999</v>
      </c>
      <c r="F9" s="58" cm="1">
        <f t="array" ref="F9">BonoM(100,F$2,-$B9+F$1,Portafolio!F9)</f>
        <v>93.170928424078994</v>
      </c>
      <c r="G9" s="6">
        <f t="shared" si="6"/>
        <v>-7.8927915967323958E-3</v>
      </c>
      <c r="H9" s="6">
        <f t="shared" si="7"/>
        <v>-1.3300521514298502E-2</v>
      </c>
      <c r="I9" s="6">
        <f t="shared" si="8"/>
        <v>-1.8329744545150795E-2</v>
      </c>
      <c r="J9" s="6">
        <f t="shared" si="9"/>
        <v>-2.5441582027821541E-2</v>
      </c>
      <c r="K9" s="13">
        <f t="shared" si="10"/>
        <v>88.846813166803756</v>
      </c>
      <c r="L9" s="13">
        <f t="shared" si="11"/>
        <v>96.903646758328989</v>
      </c>
      <c r="M9" s="13">
        <f t="shared" si="12"/>
        <v>91.114785067470777</v>
      </c>
      <c r="N9" s="13">
        <f t="shared" si="13"/>
        <v>91.004888451115704</v>
      </c>
      <c r="O9" s="14">
        <f t="shared" si="14"/>
        <v>2332.5331532571354</v>
      </c>
      <c r="P9" s="14">
        <f t="shared" si="4"/>
        <v>1959.3641224496921</v>
      </c>
      <c r="Q9" s="14">
        <f t="shared" si="4"/>
        <v>3402.5900760316572</v>
      </c>
      <c r="R9" s="14">
        <f t="shared" si="4"/>
        <v>2375.7512035855229</v>
      </c>
      <c r="S9" s="50">
        <f t="shared" si="5"/>
        <v>10070.238555324007</v>
      </c>
      <c r="T9" s="50"/>
    </row>
    <row r="10" spans="1:26" x14ac:dyDescent="0.35">
      <c r="A10" s="7">
        <f t="shared" si="1"/>
        <v>5</v>
      </c>
      <c r="B10" s="42">
        <v>45373</v>
      </c>
      <c r="C10" s="58" cm="1">
        <f t="array" ref="C10">BonoM(100,C$2,-$B10+C$1,Portafolio!C10)</f>
        <v>90.003795192234435</v>
      </c>
      <c r="D10" s="58" cm="1">
        <f t="array" ref="D10">BonoM(100,D$2,-$B10+D$1,Portafolio!D10)</f>
        <v>99.624766136773488</v>
      </c>
      <c r="E10" s="58" cm="1">
        <f t="array" ref="E10">BonoM(100,E$2,-$B10+E$1,Portafolio!E10)</f>
        <v>94.702461527332972</v>
      </c>
      <c r="F10" s="58" cm="1">
        <f t="array" ref="F10">BonoM(100,F$2,-$B10+F$1,Portafolio!F10)</f>
        <v>95.603225733707447</v>
      </c>
      <c r="G10" s="6">
        <f t="shared" si="6"/>
        <v>-2.660757790816537E-3</v>
      </c>
      <c r="H10" s="6">
        <f t="shared" si="7"/>
        <v>-1.7733751456383562E-3</v>
      </c>
      <c r="I10" s="6">
        <f t="shared" si="8"/>
        <v>-2.3769619368950723E-3</v>
      </c>
      <c r="J10" s="6">
        <f t="shared" si="9"/>
        <v>-5.2650031971074318E-3</v>
      </c>
      <c r="K10" s="13">
        <f t="shared" si="10"/>
        <v>89.315360846025584</v>
      </c>
      <c r="L10" s="13">
        <f t="shared" si="11"/>
        <v>98.035726529521838</v>
      </c>
      <c r="M10" s="13">
        <f t="shared" si="12"/>
        <v>92.595459815944054</v>
      </c>
      <c r="N10" s="13">
        <f t="shared" si="13"/>
        <v>92.888990288371289</v>
      </c>
      <c r="O10" s="14">
        <f t="shared" si="14"/>
        <v>786.32581182510251</v>
      </c>
      <c r="P10" s="14">
        <f t="shared" si="4"/>
        <v>261.24446566041826</v>
      </c>
      <c r="Q10" s="14">
        <f t="shared" si="4"/>
        <v>441.24057908510395</v>
      </c>
      <c r="R10" s="14">
        <f t="shared" si="4"/>
        <v>491.64936632993772</v>
      </c>
      <c r="S10" s="50">
        <f t="shared" si="5"/>
        <v>1980.4602229005625</v>
      </c>
      <c r="T10" s="50"/>
    </row>
    <row r="11" spans="1:26" x14ac:dyDescent="0.35">
      <c r="A11" s="7">
        <f t="shared" si="1"/>
        <v>6</v>
      </c>
      <c r="B11" s="42">
        <v>45372</v>
      </c>
      <c r="C11" s="58" cm="1">
        <f t="array" ref="C11">BonoM(100,C$2,-$B11+C$1,Portafolio!C11)</f>
        <v>90.243912385187087</v>
      </c>
      <c r="D11" s="58" cm="1">
        <f t="array" ref="D11">BonoM(100,D$2,-$B11+D$1,Portafolio!D11)</f>
        <v>99.801752083409369</v>
      </c>
      <c r="E11" s="58" cm="1">
        <f t="array" ref="E11">BonoM(100,E$2,-$B11+E$1,Portafolio!E11)</f>
        <v>94.928102012558512</v>
      </c>
      <c r="F11" s="58" cm="1">
        <f t="array" ref="F11">BonoM(100,F$2,-$B11+F$1,Portafolio!F11)</f>
        <v>96.109241195875299</v>
      </c>
      <c r="G11" s="6">
        <f t="shared" si="6"/>
        <v>6.1219653828166187E-3</v>
      </c>
      <c r="H11" s="6">
        <f t="shared" si="7"/>
        <v>4.7150854449262702E-3</v>
      </c>
      <c r="I11" s="6">
        <f t="shared" si="8"/>
        <v>6.0517162288851178E-3</v>
      </c>
      <c r="J11" s="6">
        <f t="shared" si="9"/>
        <v>5.8040808736659066E-3</v>
      </c>
      <c r="K11" s="13">
        <f t="shared" si="10"/>
        <v>90.101885687589245</v>
      </c>
      <c r="L11" s="13">
        <f t="shared" si="11"/>
        <v>98.672957527189311</v>
      </c>
      <c r="M11" s="13">
        <f t="shared" si="12"/>
        <v>93.377776683762477</v>
      </c>
      <c r="N11" s="13">
        <f t="shared" si="13"/>
        <v>93.922628439291771</v>
      </c>
      <c r="O11" s="14">
        <f t="shared" si="14"/>
        <v>-1809.2061653349801</v>
      </c>
      <c r="P11" s="14">
        <f t="shared" si="4"/>
        <v>-694.60203084079103</v>
      </c>
      <c r="Q11" s="14">
        <f t="shared" si="4"/>
        <v>-1123.3931565517423</v>
      </c>
      <c r="R11" s="14">
        <f t="shared" si="4"/>
        <v>-541.98878459054356</v>
      </c>
      <c r="S11" s="50">
        <f t="shared" si="5"/>
        <v>-4169.1901373180572</v>
      </c>
      <c r="T11" s="50"/>
    </row>
    <row r="12" spans="1:26" x14ac:dyDescent="0.35">
      <c r="A12" s="7">
        <f t="shared" si="1"/>
        <v>7</v>
      </c>
      <c r="B12" s="42">
        <v>45371</v>
      </c>
      <c r="C12" s="58" cm="1">
        <f t="array" ref="C12">BonoM(100,C$2,-$B12+C$1,Portafolio!C12)</f>
        <v>89.694803900688555</v>
      </c>
      <c r="D12" s="58" cm="1">
        <f t="array" ref="D12">BonoM(100,D$2,-$B12+D$1,Portafolio!D12)</f>
        <v>99.333386677690157</v>
      </c>
      <c r="E12" s="58" cm="1">
        <f t="array" ref="E12">BonoM(100,E$2,-$B12+E$1,Portafolio!E12)</f>
        <v>94.35707974177501</v>
      </c>
      <c r="F12" s="58" cm="1">
        <f t="array" ref="F12">BonoM(100,F$2,-$B12+F$1,Portafolio!F12)</f>
        <v>95.554634370137435</v>
      </c>
      <c r="G12" s="6">
        <f t="shared" si="6"/>
        <v>2.608554680916253E-4</v>
      </c>
      <c r="H12" s="6">
        <f t="shared" si="7"/>
        <v>6.5654961401584444E-4</v>
      </c>
      <c r="I12" s="6">
        <f t="shared" si="8"/>
        <v>1.3034540917331583E-3</v>
      </c>
      <c r="J12" s="6">
        <f t="shared" si="9"/>
        <v>1.835122267756395E-3</v>
      </c>
      <c r="K12" s="13">
        <f t="shared" si="10"/>
        <v>89.577001952108915</v>
      </c>
      <c r="L12" s="13">
        <f t="shared" si="11"/>
        <v>98.274369171676895</v>
      </c>
      <c r="M12" s="13">
        <f t="shared" si="12"/>
        <v>92.937061604878735</v>
      </c>
      <c r="N12" s="13">
        <f t="shared" si="13"/>
        <v>93.5520045459089</v>
      </c>
      <c r="O12" s="14">
        <f t="shared" si="14"/>
        <v>-77.089838249891329</v>
      </c>
      <c r="P12" s="14">
        <f t="shared" si="4"/>
        <v>-96.719497572166802</v>
      </c>
      <c r="Q12" s="14">
        <f t="shared" si="4"/>
        <v>-241.96299878425975</v>
      </c>
      <c r="R12" s="14">
        <f t="shared" si="4"/>
        <v>-171.36489120767351</v>
      </c>
      <c r="S12" s="50">
        <f t="shared" si="5"/>
        <v>-587.13722581399134</v>
      </c>
      <c r="T12" s="50"/>
    </row>
    <row r="13" spans="1:26" x14ac:dyDescent="0.35">
      <c r="A13" s="7">
        <f t="shared" si="1"/>
        <v>8</v>
      </c>
      <c r="B13" s="42">
        <v>45370</v>
      </c>
      <c r="C13" s="58" cm="1">
        <f t="array" ref="C13">BonoM(100,C$2,-$B13+C$1,Portafolio!C13)</f>
        <v>89.671412622374518</v>
      </c>
      <c r="D13" s="58" cm="1">
        <f t="array" ref="D13">BonoM(100,D$2,-$B13+D$1,Portafolio!D13)</f>
        <v>99.268212171305038</v>
      </c>
      <c r="E13" s="58" cm="1">
        <f t="array" ref="E13">BonoM(100,E$2,-$B13+E$1,Portafolio!E13)</f>
        <v>94.234249723391656</v>
      </c>
      <c r="F13" s="58" cm="1">
        <f t="array" ref="F13">BonoM(100,F$2,-$B13+F$1,Portafolio!F13)</f>
        <v>95.379601140195348</v>
      </c>
      <c r="G13" s="6">
        <f t="shared" si="6"/>
        <v>9.8363258599252212E-3</v>
      </c>
      <c r="H13" s="6">
        <f t="shared" si="7"/>
        <v>1.5412856983582524E-2</v>
      </c>
      <c r="I13" s="6">
        <f t="shared" si="8"/>
        <v>1.9740716372963707E-2</v>
      </c>
      <c r="J13" s="6">
        <f t="shared" si="9"/>
        <v>2.8637086868122053E-2</v>
      </c>
      <c r="K13" s="13">
        <f t="shared" si="10"/>
        <v>90.434520193768222</v>
      </c>
      <c r="L13" s="13">
        <f t="shared" si="11"/>
        <v>99.723584487967898</v>
      </c>
      <c r="M13" s="13">
        <f t="shared" si="12"/>
        <v>94.648336017699293</v>
      </c>
      <c r="N13" s="13">
        <f t="shared" si="13"/>
        <v>96.054789144293707</v>
      </c>
      <c r="O13" s="14">
        <f t="shared" si="14"/>
        <v>-2906.9000357256032</v>
      </c>
      <c r="P13" s="14">
        <f t="shared" si="4"/>
        <v>-2270.5424720086712</v>
      </c>
      <c r="Q13" s="14">
        <f t="shared" si="4"/>
        <v>-3664.5118244253754</v>
      </c>
      <c r="R13" s="14">
        <f t="shared" si="4"/>
        <v>-2674.1494895924802</v>
      </c>
      <c r="S13" s="50">
        <f t="shared" si="5"/>
        <v>-11516.103821752131</v>
      </c>
      <c r="T13" s="50"/>
    </row>
    <row r="14" spans="1:26" x14ac:dyDescent="0.35">
      <c r="A14" s="7">
        <f t="shared" si="1"/>
        <v>9</v>
      </c>
      <c r="B14" s="42">
        <v>45367</v>
      </c>
      <c r="C14" s="58" cm="1">
        <f t="array" ref="C14">BonoM(100,C$2,-$B14+C$1,Portafolio!C14)</f>
        <v>88.797966884400708</v>
      </c>
      <c r="D14" s="58" cm="1">
        <f t="array" ref="D14">BonoM(100,D$2,-$B14+D$1,Portafolio!D14)</f>
        <v>97.761429243858814</v>
      </c>
      <c r="E14" s="58" cm="1">
        <f t="array" ref="E14">BonoM(100,E$2,-$B14+E$1,Portafolio!E14)</f>
        <v>92.410009927392252</v>
      </c>
      <c r="F14" s="58" cm="1">
        <f t="array" ref="F14">BonoM(100,F$2,-$B14+F$1,Portafolio!F14)</f>
        <v>92.724248773293183</v>
      </c>
      <c r="G14" s="6">
        <f t="shared" si="6"/>
        <v>-8.7068522075748334E-3</v>
      </c>
      <c r="H14" s="6">
        <f t="shared" si="7"/>
        <v>-1.4587787759502757E-2</v>
      </c>
      <c r="I14" s="6">
        <f t="shared" si="8"/>
        <v>-1.8887209530605631E-2</v>
      </c>
      <c r="J14" s="6">
        <f t="shared" si="9"/>
        <v>-2.6848794847082358E-2</v>
      </c>
      <c r="K14" s="13">
        <f t="shared" si="10"/>
        <v>88.773911074786525</v>
      </c>
      <c r="L14" s="13">
        <f t="shared" si="11"/>
        <v>96.777224482621861</v>
      </c>
      <c r="M14" s="13">
        <f t="shared" si="12"/>
        <v>91.063043352724804</v>
      </c>
      <c r="N14" s="13">
        <f t="shared" si="13"/>
        <v>90.873482017922825</v>
      </c>
      <c r="O14" s="14">
        <f t="shared" si="14"/>
        <v>2573.1100569139953</v>
      </c>
      <c r="P14" s="14">
        <f t="shared" si="4"/>
        <v>2148.997536010384</v>
      </c>
      <c r="Q14" s="14">
        <f t="shared" si="4"/>
        <v>3506.0735055236023</v>
      </c>
      <c r="R14" s="14">
        <f t="shared" si="4"/>
        <v>2507.1576367784019</v>
      </c>
      <c r="S14" s="50">
        <f t="shared" si="5"/>
        <v>10735.338735226384</v>
      </c>
      <c r="T14" s="50"/>
    </row>
    <row r="15" spans="1:26" x14ac:dyDescent="0.35">
      <c r="A15" s="7">
        <f t="shared" si="1"/>
        <v>10</v>
      </c>
      <c r="B15" s="42">
        <v>45366</v>
      </c>
      <c r="C15" s="58" cm="1">
        <f t="array" ref="C15">BonoM(100,C$2,-$B15+C$1,Portafolio!C15)</f>
        <v>89.577908494727964</v>
      </c>
      <c r="D15" s="58" cm="1">
        <f t="array" ref="D15">BonoM(100,D$2,-$B15+D$1,Portafolio!D15)</f>
        <v>99.208664180832585</v>
      </c>
      <c r="E15" s="58" cm="1">
        <f t="array" ref="E15">BonoM(100,E$2,-$B15+E$1,Portafolio!E15)</f>
        <v>94.188976868990238</v>
      </c>
      <c r="F15" s="58" cm="1">
        <f t="array" ref="F15">BonoM(100,F$2,-$B15+F$1,Portafolio!F15)</f>
        <v>95.282468214919191</v>
      </c>
      <c r="G15" s="6">
        <f t="shared" si="6"/>
        <v>-1.8758945668392313E-3</v>
      </c>
      <c r="H15" s="6">
        <f t="shared" si="7"/>
        <v>-3.402383894828942E-3</v>
      </c>
      <c r="I15" s="6">
        <f t="shared" si="8"/>
        <v>-2.9076133609075017E-3</v>
      </c>
      <c r="J15" s="6">
        <f t="shared" si="9"/>
        <v>-8.4248939511487597E-3</v>
      </c>
      <c r="K15" s="13">
        <f t="shared" si="10"/>
        <v>89.385648205729822</v>
      </c>
      <c r="L15" s="13">
        <f t="shared" si="11"/>
        <v>97.875741760258506</v>
      </c>
      <c r="M15" s="13">
        <f t="shared" si="12"/>
        <v>92.546206830864833</v>
      </c>
      <c r="N15" s="13">
        <f t="shared" si="13"/>
        <v>92.593917668519936</v>
      </c>
      <c r="O15" s="14">
        <f t="shared" si="14"/>
        <v>554.3775248011159</v>
      </c>
      <c r="P15" s="14">
        <f t="shared" si="4"/>
        <v>501.221619555416</v>
      </c>
      <c r="Q15" s="14">
        <f t="shared" si="4"/>
        <v>539.74654924354581</v>
      </c>
      <c r="R15" s="14">
        <f t="shared" si="4"/>
        <v>786.7219861812913</v>
      </c>
      <c r="S15" s="50">
        <f t="shared" si="5"/>
        <v>2382.067679781369</v>
      </c>
      <c r="T15" s="50"/>
    </row>
    <row r="16" spans="1:26" x14ac:dyDescent="0.35">
      <c r="A16" s="7">
        <f t="shared" si="1"/>
        <v>11</v>
      </c>
      <c r="B16" s="42">
        <v>45365</v>
      </c>
      <c r="C16" s="58" cm="1">
        <f t="array" ref="C16">BonoM(100,C$2,-$B16+C$1,Portafolio!C16)</f>
        <v>89.746263021924918</v>
      </c>
      <c r="D16" s="58" cm="1">
        <f t="array" ref="D16">BonoM(100,D$2,-$B16+D$1,Portafolio!D16)</f>
        <v>99.547362523856449</v>
      </c>
      <c r="E16" s="58" cm="1">
        <f t="array" ref="E16">BonoM(100,E$2,-$B16+E$1,Portafolio!E16)</f>
        <v>94.463640612555267</v>
      </c>
      <c r="F16" s="58" cm="1">
        <f t="array" ref="F16">BonoM(100,F$2,-$B16+F$1,Portafolio!F16)</f>
        <v>96.092033405914265</v>
      </c>
      <c r="G16" s="6">
        <f t="shared" si="6"/>
        <v>-1.3465164608759128E-3</v>
      </c>
      <c r="H16" s="6">
        <f t="shared" si="7"/>
        <v>-1.3788081949154263E-3</v>
      </c>
      <c r="I16" s="6">
        <f t="shared" si="8"/>
        <v>-3.4402512757639725E-3</v>
      </c>
      <c r="J16" s="6">
        <f t="shared" si="9"/>
        <v>-2.9231954886193012E-3</v>
      </c>
      <c r="K16" s="13">
        <f t="shared" si="10"/>
        <v>89.433055942793658</v>
      </c>
      <c r="L16" s="13">
        <f t="shared" si="11"/>
        <v>98.074476906155311</v>
      </c>
      <c r="M16" s="13">
        <f t="shared" si="12"/>
        <v>92.4967694674923</v>
      </c>
      <c r="N16" s="13">
        <f t="shared" si="13"/>
        <v>93.107669790138218</v>
      </c>
      <c r="O16" s="14">
        <f t="shared" si="14"/>
        <v>397.9319924904587</v>
      </c>
      <c r="P16" s="14">
        <f t="shared" si="4"/>
        <v>203.11890071020855</v>
      </c>
      <c r="Q16" s="14">
        <f t="shared" si="4"/>
        <v>638.62127598861207</v>
      </c>
      <c r="R16" s="14">
        <f t="shared" si="4"/>
        <v>272.96986456300942</v>
      </c>
      <c r="S16" s="50">
        <f t="shared" si="5"/>
        <v>1512.6420337522889</v>
      </c>
      <c r="T16" s="50"/>
    </row>
    <row r="17" spans="1:20" x14ac:dyDescent="0.35">
      <c r="A17" s="7">
        <f t="shared" si="1"/>
        <v>12</v>
      </c>
      <c r="B17" s="42">
        <v>45364</v>
      </c>
      <c r="C17" s="58" cm="1">
        <f t="array" ref="C17">BonoM(100,C$2,-$B17+C$1,Portafolio!C17)</f>
        <v>89.867270781325971</v>
      </c>
      <c r="D17" s="58" cm="1">
        <f t="array" ref="D17">BonoM(100,D$2,-$B17+D$1,Portafolio!D17)</f>
        <v>99.684808755076531</v>
      </c>
      <c r="E17" s="58" cm="1">
        <f t="array" ref="E17">BonoM(100,E$2,-$B17+E$1,Portafolio!E17)</f>
        <v>94.789741140443013</v>
      </c>
      <c r="F17" s="58" cm="1">
        <f t="array" ref="F17">BonoM(100,F$2,-$B17+F$1,Portafolio!F17)</f>
        <v>96.373752725101596</v>
      </c>
      <c r="G17" s="6">
        <f t="shared" si="6"/>
        <v>1.0616053486849353E-3</v>
      </c>
      <c r="H17" s="6">
        <f t="shared" si="7"/>
        <v>1.8792993134819636E-3</v>
      </c>
      <c r="I17" s="6">
        <f t="shared" si="8"/>
        <v>1.8351080341985071E-3</v>
      </c>
      <c r="J17" s="6">
        <f t="shared" si="9"/>
        <v>1.8432169717983449E-3</v>
      </c>
      <c r="K17" s="13">
        <f t="shared" si="10"/>
        <v>89.648712019762712</v>
      </c>
      <c r="L17" s="13">
        <f t="shared" si="11"/>
        <v>98.394455284555733</v>
      </c>
      <c r="M17" s="13">
        <f t="shared" si="12"/>
        <v>92.986407639790997</v>
      </c>
      <c r="N17" s="13">
        <f t="shared" si="13"/>
        <v>93.552760434550152</v>
      </c>
      <c r="O17" s="14">
        <f t="shared" si="14"/>
        <v>-313.73306150742053</v>
      </c>
      <c r="P17" s="14">
        <f t="shared" si="4"/>
        <v>-276.84866689042309</v>
      </c>
      <c r="Q17" s="14">
        <f t="shared" si="4"/>
        <v>-340.65506860878259</v>
      </c>
      <c r="R17" s="14">
        <f t="shared" si="4"/>
        <v>-172.1207798489246</v>
      </c>
      <c r="S17" s="50">
        <f t="shared" si="5"/>
        <v>-1103.3575768555506</v>
      </c>
      <c r="T17" s="50"/>
    </row>
    <row r="18" spans="1:20" x14ac:dyDescent="0.35">
      <c r="A18" s="7">
        <f t="shared" si="1"/>
        <v>13</v>
      </c>
      <c r="B18" s="42">
        <v>45363</v>
      </c>
      <c r="C18" s="58" cm="1">
        <f t="array" ref="C18">BonoM(100,C$2,-$B18+C$1,Portafolio!C18)</f>
        <v>89.771968379532282</v>
      </c>
      <c r="D18" s="58" cm="1">
        <f t="array" ref="D18">BonoM(100,D$2,-$B18+D$1,Portafolio!D18)</f>
        <v>99.497822565436351</v>
      </c>
      <c r="E18" s="58" cm="1">
        <f t="array" ref="E18">BonoM(100,E$2,-$B18+E$1,Portafolio!E18)</f>
        <v>94.616110356163801</v>
      </c>
      <c r="F18" s="58" cm="1">
        <f t="array" ref="F18">BonoM(100,F$2,-$B18+F$1,Portafolio!F18)</f>
        <v>96.196441810929088</v>
      </c>
      <c r="G18" s="6">
        <f t="shared" si="6"/>
        <v>-1.0827971178750673E-3</v>
      </c>
      <c r="H18" s="6">
        <f t="shared" si="7"/>
        <v>-1.5872543267614336E-4</v>
      </c>
      <c r="I18" s="6">
        <f t="shared" si="8"/>
        <v>-8.0812583242684255E-4</v>
      </c>
      <c r="J18" s="6">
        <f t="shared" si="9"/>
        <v>-5.3094128428766707E-3</v>
      </c>
      <c r="K18" s="13">
        <f t="shared" si="10"/>
        <v>89.4566729702657</v>
      </c>
      <c r="L18" s="13">
        <f t="shared" si="11"/>
        <v>98.194301099423768</v>
      </c>
      <c r="M18" s="13">
        <f t="shared" si="12"/>
        <v>92.74107303348876</v>
      </c>
      <c r="N18" s="13">
        <f t="shared" si="13"/>
        <v>92.884843287242518</v>
      </c>
      <c r="O18" s="14">
        <f t="shared" si="14"/>
        <v>319.99580183271945</v>
      </c>
      <c r="P18" s="14">
        <f t="shared" si="4"/>
        <v>23.382610807523463</v>
      </c>
      <c r="Q18" s="14">
        <f t="shared" si="4"/>
        <v>150.01414399569057</v>
      </c>
      <c r="R18" s="14">
        <f t="shared" si="4"/>
        <v>495.79636745870914</v>
      </c>
      <c r="S18" s="50">
        <f t="shared" si="5"/>
        <v>989.18892409464263</v>
      </c>
      <c r="T18" s="50"/>
    </row>
    <row r="19" spans="1:20" x14ac:dyDescent="0.35">
      <c r="A19" s="7">
        <f t="shared" si="1"/>
        <v>14</v>
      </c>
      <c r="B19" s="42">
        <v>45362</v>
      </c>
      <c r="C19" s="58" cm="1">
        <f t="array" ref="C19">BonoM(100,C$2,-$B19+C$1,Portafolio!C19)</f>
        <v>89.869278575359189</v>
      </c>
      <c r="D19" s="58" cm="1">
        <f t="array" ref="D19">BonoM(100,D$2,-$B19+D$1,Portafolio!D19)</f>
        <v>99.513617907495885</v>
      </c>
      <c r="E19" s="58" cm="1">
        <f t="array" ref="E19">BonoM(100,E$2,-$B19+E$1,Portafolio!E19)</f>
        <v>94.692633919774906</v>
      </c>
      <c r="F19" s="58" cm="1">
        <f t="array" ref="F19">BonoM(100,F$2,-$B19+F$1,Portafolio!F19)</f>
        <v>96.709914673932374</v>
      </c>
      <c r="G19" s="6">
        <f t="shared" si="6"/>
        <v>9.5281222266052623E-3</v>
      </c>
      <c r="H19" s="6">
        <f t="shared" si="7"/>
        <v>1.4824346125905441E-2</v>
      </c>
      <c r="I19" s="6">
        <f t="shared" si="8"/>
        <v>1.8777948720805737E-2</v>
      </c>
      <c r="J19" s="6">
        <f t="shared" si="9"/>
        <v>2.7837086578898385E-2</v>
      </c>
      <c r="K19" s="13">
        <f t="shared" si="10"/>
        <v>90.406919436113242</v>
      </c>
      <c r="L19" s="13">
        <f t="shared" si="11"/>
        <v>99.665786901661974</v>
      </c>
      <c r="M19" s="13">
        <f t="shared" si="12"/>
        <v>94.558975698173626</v>
      </c>
      <c r="N19" s="13">
        <f t="shared" si="13"/>
        <v>95.980084605562055</v>
      </c>
      <c r="O19" s="14">
        <f t="shared" si="14"/>
        <v>-2815.8175354641685</v>
      </c>
      <c r="P19" s="14">
        <f t="shared" si="4"/>
        <v>-2183.8460925497857</v>
      </c>
      <c r="Q19" s="14">
        <f t="shared" si="4"/>
        <v>-3485.7911853740407</v>
      </c>
      <c r="R19" s="14">
        <f t="shared" si="4"/>
        <v>-2599.4449508608286</v>
      </c>
      <c r="S19" s="50">
        <f t="shared" si="5"/>
        <v>-11084.899764248823</v>
      </c>
      <c r="T19" s="50"/>
    </row>
    <row r="20" spans="1:20" x14ac:dyDescent="0.35">
      <c r="A20" s="7">
        <f t="shared" si="1"/>
        <v>15</v>
      </c>
      <c r="B20" s="42">
        <v>45360</v>
      </c>
      <c r="C20" s="58" cm="1">
        <f t="array" ref="C20">BonoM(100,C$2,-$B20+C$1,Portafolio!C20)</f>
        <v>89.02107489303458</v>
      </c>
      <c r="D20" s="58" cm="1">
        <f t="array" ref="D20">BonoM(100,D$2,-$B20+D$1,Portafolio!D20)</f>
        <v>98.059943365952321</v>
      </c>
      <c r="E20" s="58" cm="1">
        <f t="array" ref="E20">BonoM(100,E$2,-$B20+E$1,Portafolio!E20)</f>
        <v>92.947274760582047</v>
      </c>
      <c r="F20" s="58" cm="1">
        <f t="array" ref="F20">BonoM(100,F$2,-$B20+F$1,Portafolio!F20)</f>
        <v>94.090703611236904</v>
      </c>
      <c r="G20" s="6">
        <f t="shared" si="6"/>
        <v>-1.043481973653515E-2</v>
      </c>
      <c r="H20" s="6">
        <f t="shared" si="7"/>
        <v>-1.6930187032380917E-2</v>
      </c>
      <c r="I20" s="6">
        <f t="shared" si="8"/>
        <v>-1.9571578739238871E-2</v>
      </c>
      <c r="J20" s="6">
        <f t="shared" si="9"/>
        <v>-3.3181727655477555E-2</v>
      </c>
      <c r="K20" s="13">
        <f t="shared" si="10"/>
        <v>88.619165290355696</v>
      </c>
      <c r="L20" s="13">
        <f t="shared" si="11"/>
        <v>96.547177708852089</v>
      </c>
      <c r="M20" s="13">
        <f t="shared" si="12"/>
        <v>90.999522885434573</v>
      </c>
      <c r="N20" s="13">
        <f t="shared" si="13"/>
        <v>90.282108701384644</v>
      </c>
      <c r="O20" s="14">
        <f t="shared" si="14"/>
        <v>3083.7711455357335</v>
      </c>
      <c r="P20" s="14">
        <f t="shared" si="4"/>
        <v>2494.0676966650417</v>
      </c>
      <c r="Q20" s="14">
        <f t="shared" si="4"/>
        <v>3633.114440104066</v>
      </c>
      <c r="R20" s="14">
        <f t="shared" si="4"/>
        <v>3098.5309533165832</v>
      </c>
      <c r="S20" s="50">
        <f t="shared" si="5"/>
        <v>12309.484235621425</v>
      </c>
      <c r="T20" s="50"/>
    </row>
    <row r="21" spans="1:20" x14ac:dyDescent="0.35">
      <c r="A21" s="7">
        <f t="shared" si="1"/>
        <v>16</v>
      </c>
      <c r="B21" s="42">
        <v>45359</v>
      </c>
      <c r="C21" s="58" cm="1">
        <f t="array" ref="C21">BonoM(100,C$2,-$B21+C$1,Portafolio!C21)</f>
        <v>89.959789075574932</v>
      </c>
      <c r="D21" s="58" cm="1">
        <f t="array" ref="D21">BonoM(100,D$2,-$B21+D$1,Portafolio!D21)</f>
        <v>99.748707642579475</v>
      </c>
      <c r="E21" s="58" cm="1">
        <f t="array" ref="E21">BonoM(100,E$2,-$B21+E$1,Portafolio!E21)</f>
        <v>94.802713533190385</v>
      </c>
      <c r="F21" s="58" cm="1">
        <f t="array" ref="F21">BonoM(100,F$2,-$B21+F$1,Portafolio!F21)</f>
        <v>97.319947608218143</v>
      </c>
      <c r="G21" s="6">
        <f t="shared" si="6"/>
        <v>3.1151018081434501E-3</v>
      </c>
      <c r="H21" s="6">
        <f t="shared" si="7"/>
        <v>3.3597228893682551E-3</v>
      </c>
      <c r="I21" s="6">
        <f t="shared" si="8"/>
        <v>1.0960613449830792E-3</v>
      </c>
      <c r="J21" s="6">
        <f t="shared" si="9"/>
        <v>3.2947763318305068E-3</v>
      </c>
      <c r="K21" s="13">
        <f t="shared" si="10"/>
        <v>89.832610105299082</v>
      </c>
      <c r="L21" s="13">
        <f t="shared" si="11"/>
        <v>98.539847520366536</v>
      </c>
      <c r="M21" s="13">
        <f t="shared" si="12"/>
        <v>92.917812223083089</v>
      </c>
      <c r="N21" s="13">
        <f t="shared" si="13"/>
        <v>93.688307976086733</v>
      </c>
      <c r="O21" s="14">
        <f t="shared" si="14"/>
        <v>-920.59674377744182</v>
      </c>
      <c r="P21" s="14">
        <f t="shared" si="14"/>
        <v>-494.9370206066277</v>
      </c>
      <c r="Q21" s="14">
        <f t="shared" si="14"/>
        <v>-203.46423519296764</v>
      </c>
      <c r="R21" s="14">
        <f t="shared" si="14"/>
        <v>-307.66832138550626</v>
      </c>
      <c r="S21" s="50">
        <f t="shared" si="5"/>
        <v>-1926.6663209625433</v>
      </c>
      <c r="T21" s="50"/>
    </row>
    <row r="22" spans="1:20" x14ac:dyDescent="0.35">
      <c r="A22" s="7">
        <f t="shared" si="1"/>
        <v>17</v>
      </c>
      <c r="B22" s="42">
        <v>45358</v>
      </c>
      <c r="C22" s="58" cm="1">
        <f t="array" ref="C22">BonoM(100,C$2,-$B22+C$1,Portafolio!C22)</f>
        <v>89.680425420193416</v>
      </c>
      <c r="D22" s="58" cm="1">
        <f t="array" ref="D22">BonoM(100,D$2,-$B22+D$1,Portafolio!D22)</f>
        <v>99.414701793424385</v>
      </c>
      <c r="E22" s="58" cm="1">
        <f t="array" ref="E22">BonoM(100,E$2,-$B22+E$1,Portafolio!E22)</f>
        <v>94.698917710076628</v>
      </c>
      <c r="F22" s="58" cm="1">
        <f t="array" ref="F22">BonoM(100,F$2,-$B22+F$1,Portafolio!F22)</f>
        <v>97.000353140511592</v>
      </c>
      <c r="G22" s="6">
        <f t="shared" si="6"/>
        <v>-3.2357002693586323E-2</v>
      </c>
      <c r="H22" s="6">
        <f t="shared" si="7"/>
        <v>-1.6036271088049059E-4</v>
      </c>
      <c r="I22" s="6">
        <f t="shared" si="8"/>
        <v>2.4785671255234121E-4</v>
      </c>
      <c r="J22" s="6">
        <f t="shared" si="9"/>
        <v>2.651120288716502E-3</v>
      </c>
      <c r="K22" s="13">
        <f t="shared" si="10"/>
        <v>86.655953979222957</v>
      </c>
      <c r="L22" s="13">
        <f t="shared" si="11"/>
        <v>98.194140302512224</v>
      </c>
      <c r="M22" s="13">
        <f t="shared" si="12"/>
        <v>92.839085193973546</v>
      </c>
      <c r="N22" s="13">
        <f t="shared" si="13"/>
        <v>93.628202963063131</v>
      </c>
      <c r="O22" s="14">
        <f t="shared" si="14"/>
        <v>9562.3684722737707</v>
      </c>
      <c r="P22" s="14">
        <f t="shared" si="14"/>
        <v>23.623806174839501</v>
      </c>
      <c r="Q22" s="14">
        <f t="shared" si="14"/>
        <v>-46.010176973879879</v>
      </c>
      <c r="R22" s="14">
        <f t="shared" si="14"/>
        <v>-247.56330836190443</v>
      </c>
      <c r="S22" s="50">
        <f t="shared" si="5"/>
        <v>9292.4187931128254</v>
      </c>
      <c r="T22" s="50"/>
    </row>
    <row r="23" spans="1:20" x14ac:dyDescent="0.35">
      <c r="A23" s="7">
        <f t="shared" si="1"/>
        <v>18</v>
      </c>
      <c r="B23" s="42">
        <v>45357</v>
      </c>
      <c r="C23" s="58" cm="1">
        <f t="array" ref="C23">BonoM(100,C$2,-$B23+C$1,Portafolio!C23)</f>
        <v>92.679248100624889</v>
      </c>
      <c r="D23" s="58" cm="1">
        <f t="array" ref="D23">BonoM(100,D$2,-$B23+D$1,Portafolio!D23)</f>
        <v>99.430646761483658</v>
      </c>
      <c r="E23" s="58" cm="1">
        <f t="array" ref="E23">BonoM(100,E$2,-$B23+E$1,Portafolio!E23)</f>
        <v>94.675451763843029</v>
      </c>
      <c r="F23" s="58" cm="1">
        <f t="array" ref="F23">BonoM(100,F$2,-$B23+F$1,Portafolio!F23)</f>
        <v>96.743873494680813</v>
      </c>
      <c r="G23" s="6">
        <f t="shared" si="6"/>
        <v>1.8277642022657137E-3</v>
      </c>
      <c r="H23" s="6">
        <f t="shared" si="7"/>
        <v>1.8869214397587708E-3</v>
      </c>
      <c r="I23" s="6">
        <f t="shared" si="8"/>
        <v>3.9672358946365449E-3</v>
      </c>
      <c r="J23" s="6">
        <f t="shared" si="9"/>
        <v>2.6499987416517268E-3</v>
      </c>
      <c r="K23" s="13">
        <f t="shared" si="10"/>
        <v>89.717324334987936</v>
      </c>
      <c r="L23" s="13">
        <f t="shared" si="11"/>
        <v>98.395203852735179</v>
      </c>
      <c r="M23" s="13">
        <f t="shared" si="12"/>
        <v>93.184303390080558</v>
      </c>
      <c r="N23" s="13">
        <f t="shared" si="13"/>
        <v>93.62809823228082</v>
      </c>
      <c r="O23" s="14">
        <f t="shared" si="14"/>
        <v>-540.15370175065846</v>
      </c>
      <c r="P23" s="14">
        <f t="shared" si="14"/>
        <v>-277.97151915959262</v>
      </c>
      <c r="Q23" s="14">
        <f t="shared" si="14"/>
        <v>-736.44656918790474</v>
      </c>
      <c r="R23" s="14">
        <f t="shared" si="14"/>
        <v>-247.458577579593</v>
      </c>
      <c r="S23" s="50">
        <f t="shared" si="5"/>
        <v>-1802.0303676777489</v>
      </c>
      <c r="T23" s="50"/>
    </row>
    <row r="24" spans="1:20" x14ac:dyDescent="0.35">
      <c r="A24" s="7">
        <f t="shared" si="1"/>
        <v>19</v>
      </c>
      <c r="B24" s="42">
        <v>45356</v>
      </c>
      <c r="C24" s="58" cm="1">
        <f t="array" ref="C24">BonoM(100,C$2,-$B24+C$1,Portafolio!C24)</f>
        <v>92.510161339382933</v>
      </c>
      <c r="D24" s="58" cm="1">
        <f t="array" ref="D24">BonoM(100,D$2,-$B24+D$1,Portafolio!D24)</f>
        <v>99.243382295675772</v>
      </c>
      <c r="E24" s="58" cm="1">
        <f t="array" ref="E24">BonoM(100,E$2,-$B24+E$1,Portafolio!E24)</f>
        <v>94.301336118282393</v>
      </c>
      <c r="F24" s="58" cm="1">
        <f t="array" ref="F24">BonoM(100,F$2,-$B24+F$1,Portafolio!F24)</f>
        <v>96.488179939257506</v>
      </c>
      <c r="G24" s="6">
        <f t="shared" si="6"/>
        <v>1.5678975100259507E-3</v>
      </c>
      <c r="H24" s="6">
        <f t="shared" si="7"/>
        <v>1.8883331796606395E-3</v>
      </c>
      <c r="I24" s="6">
        <f t="shared" si="8"/>
        <v>1.3107963509990661E-3</v>
      </c>
      <c r="J24" s="6">
        <f t="shared" si="9"/>
        <v>2.6488779204052459E-3</v>
      </c>
      <c r="K24" s="13">
        <f t="shared" si="10"/>
        <v>89.694052326420575</v>
      </c>
      <c r="L24" s="13">
        <f t="shared" si="11"/>
        <v>98.395342499554957</v>
      </c>
      <c r="M24" s="13">
        <f t="shared" si="12"/>
        <v>92.937743084602914</v>
      </c>
      <c r="N24" s="13">
        <f t="shared" si="13"/>
        <v>93.627993569275887</v>
      </c>
      <c r="O24" s="14">
        <f t="shared" si="14"/>
        <v>-463.35607347836856</v>
      </c>
      <c r="P24" s="14">
        <f t="shared" si="14"/>
        <v>-278.17948938925952</v>
      </c>
      <c r="Q24" s="14">
        <f t="shared" si="14"/>
        <v>-243.32595823261727</v>
      </c>
      <c r="R24" s="14">
        <f t="shared" si="14"/>
        <v>-247.35391457465994</v>
      </c>
      <c r="S24" s="50">
        <f t="shared" si="5"/>
        <v>-1232.2154356749052</v>
      </c>
      <c r="T24" s="50"/>
    </row>
    <row r="25" spans="1:20" x14ac:dyDescent="0.35">
      <c r="A25" s="7">
        <f t="shared" si="1"/>
        <v>20</v>
      </c>
      <c r="B25" s="42">
        <v>45355</v>
      </c>
      <c r="C25" s="58" cm="1">
        <f t="array" ref="C25">BonoM(100,C$2,-$B25+C$1,Portafolio!C25)</f>
        <v>92.365341949727252</v>
      </c>
      <c r="D25" s="58" cm="1">
        <f t="array" ref="D25">BonoM(100,D$2,-$B25+D$1,Portafolio!D25)</f>
        <v>99.056330939307642</v>
      </c>
      <c r="E25" s="58" cm="1">
        <f t="array" ref="E25">BonoM(100,E$2,-$B25+E$1,Portafolio!E25)</f>
        <v>94.177888086234162</v>
      </c>
      <c r="F25" s="58" cm="1">
        <f t="array" ref="F25">BonoM(100,F$2,-$B25+F$1,Portafolio!F25)</f>
        <v>96.233269755792989</v>
      </c>
      <c r="G25" s="6">
        <f t="shared" si="6"/>
        <v>7.3090155099722054E-3</v>
      </c>
      <c r="H25" s="6">
        <f t="shared" si="7"/>
        <v>1.3309586317300504E-2</v>
      </c>
      <c r="I25" s="6">
        <f t="shared" si="8"/>
        <v>1.6623850795724371E-2</v>
      </c>
      <c r="J25" s="6">
        <f t="shared" si="9"/>
        <v>2.5594336422310793E-2</v>
      </c>
      <c r="K25" s="13">
        <f t="shared" si="10"/>
        <v>90.208190348994506</v>
      </c>
      <c r="L25" s="13">
        <f t="shared" si="11"/>
        <v>99.5170225082298</v>
      </c>
      <c r="M25" s="13">
        <f t="shared" si="12"/>
        <v>94.359040772604217</v>
      </c>
      <c r="N25" s="13">
        <f t="shared" si="13"/>
        <v>95.770655161354227</v>
      </c>
      <c r="O25" s="14">
        <f t="shared" si="14"/>
        <v>-2160.0115479723413</v>
      </c>
      <c r="P25" s="14">
        <f t="shared" si="14"/>
        <v>-1960.6995024015248</v>
      </c>
      <c r="Q25" s="14">
        <f t="shared" si="14"/>
        <v>-3085.9213342352232</v>
      </c>
      <c r="R25" s="14">
        <f t="shared" si="14"/>
        <v>-2390.0155066530006</v>
      </c>
      <c r="S25" s="50">
        <f t="shared" si="5"/>
        <v>-9596.6478912620896</v>
      </c>
      <c r="T25" s="50"/>
    </row>
    <row r="26" spans="1:20" x14ac:dyDescent="0.35">
      <c r="A26" s="7">
        <f t="shared" si="1"/>
        <v>21</v>
      </c>
      <c r="B26" s="42">
        <v>45353</v>
      </c>
      <c r="C26" s="58" cm="1">
        <f t="array" ref="C26">BonoM(100,C$2,-$B26+C$1,Portafolio!C26)</f>
        <v>91.695140743841435</v>
      </c>
      <c r="D26" s="58" cm="1">
        <f t="array" ref="D26">BonoM(100,D$2,-$B26+D$1,Portafolio!D26)</f>
        <v>97.755249014578894</v>
      </c>
      <c r="E26" s="58" cm="1">
        <f t="array" ref="E26">BonoM(100,E$2,-$B26+E$1,Portafolio!E26)</f>
        <v>92.637889630977995</v>
      </c>
      <c r="F26" s="58" cm="1">
        <f t="array" ref="F26">BonoM(100,F$2,-$B26+F$1,Portafolio!F26)</f>
        <v>93.83170941787148</v>
      </c>
      <c r="G26" s="6">
        <f t="shared" si="6"/>
        <v>-7.270539393942177E-3</v>
      </c>
      <c r="H26" s="6">
        <f t="shared" si="7"/>
        <v>-1.5224297718225754E-2</v>
      </c>
      <c r="I26" s="6">
        <f t="shared" si="8"/>
        <v>-1.9266394486924132E-2</v>
      </c>
      <c r="J26" s="6">
        <f t="shared" si="9"/>
        <v>-2.733824252649053E-2</v>
      </c>
      <c r="K26" s="13">
        <f t="shared" si="10"/>
        <v>88.902538117429714</v>
      </c>
      <c r="L26" s="13">
        <f t="shared" si="11"/>
        <v>96.714712909905813</v>
      </c>
      <c r="M26" s="13">
        <f t="shared" si="12"/>
        <v>91.02784889144435</v>
      </c>
      <c r="N26" s="13">
        <f t="shared" si="13"/>
        <v>90.827777080542191</v>
      </c>
      <c r="O26" s="14">
        <f t="shared" si="14"/>
        <v>2148.6408161914737</v>
      </c>
      <c r="P26" s="14">
        <f t="shared" si="14"/>
        <v>2242.7648950844555</v>
      </c>
      <c r="Q26" s="14">
        <f t="shared" si="14"/>
        <v>3576.462428084511</v>
      </c>
      <c r="R26" s="14">
        <f t="shared" si="14"/>
        <v>2552.8625741590358</v>
      </c>
      <c r="S26" s="50">
        <f t="shared" si="5"/>
        <v>10520.730713519475</v>
      </c>
      <c r="T26" s="50"/>
    </row>
    <row r="27" spans="1:20" x14ac:dyDescent="0.35">
      <c r="A27" s="7">
        <f t="shared" si="1"/>
        <v>22</v>
      </c>
      <c r="B27" s="42">
        <v>45352</v>
      </c>
      <c r="C27" s="58" cm="1">
        <f t="array" ref="C27">BonoM(100,C$2,-$B27+C$1,Portafolio!C27)</f>
        <v>92.366696449062644</v>
      </c>
      <c r="D27" s="58" cm="1">
        <f t="array" ref="D27">BonoM(100,D$2,-$B27+D$1,Portafolio!D27)</f>
        <v>99.266511945892987</v>
      </c>
      <c r="E27" s="58" cm="1">
        <f t="array" ref="E27">BonoM(100,E$2,-$B27+E$1,Portafolio!E27)</f>
        <v>94.457749902955555</v>
      </c>
      <c r="F27" s="58" cm="1">
        <f t="array" ref="F27">BonoM(100,F$2,-$B27+F$1,Portafolio!F27)</f>
        <v>96.469002401821058</v>
      </c>
      <c r="G27" s="6">
        <f t="shared" si="6"/>
        <v>-4.2688383152422738E-4</v>
      </c>
      <c r="H27" s="6">
        <f t="shared" si="7"/>
        <v>6.5938616714267262E-4</v>
      </c>
      <c r="I27" s="6">
        <f t="shared" si="8"/>
        <v>7.8029216058617124E-4</v>
      </c>
      <c r="J27" s="6">
        <f t="shared" si="9"/>
        <v>1.8512850081062737E-3</v>
      </c>
      <c r="K27" s="13">
        <f t="shared" si="10"/>
        <v>89.515412393497826</v>
      </c>
      <c r="L27" s="13">
        <f t="shared" si="11"/>
        <v>98.274647749246071</v>
      </c>
      <c r="M27" s="13">
        <f t="shared" si="12"/>
        <v>92.888503765169261</v>
      </c>
      <c r="N27" s="13">
        <f t="shared" si="13"/>
        <v>93.553513832941348</v>
      </c>
      <c r="O27" s="14">
        <f t="shared" si="14"/>
        <v>126.15570516670402</v>
      </c>
      <c r="P27" s="14">
        <f t="shared" si="14"/>
        <v>-97.137363925931197</v>
      </c>
      <c r="Q27" s="14">
        <f t="shared" si="14"/>
        <v>-144.84731936531148</v>
      </c>
      <c r="R27" s="14">
        <f t="shared" si="14"/>
        <v>-172.87417824012152</v>
      </c>
      <c r="S27" s="50">
        <f t="shared" si="5"/>
        <v>-288.70315636466017</v>
      </c>
      <c r="T27" s="50"/>
    </row>
    <row r="28" spans="1:20" x14ac:dyDescent="0.35">
      <c r="A28" s="7">
        <f t="shared" si="1"/>
        <v>23</v>
      </c>
      <c r="B28" s="42">
        <v>45351</v>
      </c>
      <c r="C28" s="58" cm="1">
        <f t="array" ref="C28">BonoM(100,C$2,-$B28+C$1,Portafolio!C28)</f>
        <v>92.406143137501559</v>
      </c>
      <c r="D28" s="58" cm="1">
        <f t="array" ref="D28">BonoM(100,D$2,-$B28+D$1,Portafolio!D28)</f>
        <v>99.20110011271332</v>
      </c>
      <c r="E28" s="58" cm="1">
        <f t="array" ref="E28">BonoM(100,E$2,-$B28+E$1,Portafolio!E28)</f>
        <v>94.384102727513323</v>
      </c>
      <c r="F28" s="58" cm="1">
        <f t="array" ref="F28">BonoM(100,F$2,-$B28+F$1,Portafolio!F28)</f>
        <v>96.290740796964187</v>
      </c>
      <c r="G28" s="6">
        <f t="shared" si="6"/>
        <v>9.4164123996187676E-4</v>
      </c>
      <c r="H28" s="6">
        <f t="shared" si="7"/>
        <v>2.3049283825360423E-3</v>
      </c>
      <c r="I28" s="6">
        <f t="shared" si="8"/>
        <v>2.3782270837706676E-3</v>
      </c>
      <c r="J28" s="6">
        <f t="shared" si="9"/>
        <v>6.6627446462173001E-3</v>
      </c>
      <c r="K28" s="13">
        <f t="shared" si="10"/>
        <v>89.637968796989838</v>
      </c>
      <c r="L28" s="13">
        <f t="shared" si="11"/>
        <v>98.436256268398338</v>
      </c>
      <c r="M28" s="13">
        <f t="shared" si="12"/>
        <v>93.036817821002899</v>
      </c>
      <c r="N28" s="13">
        <f t="shared" si="13"/>
        <v>94.002811011620935</v>
      </c>
      <c r="O28" s="14">
        <f t="shared" si="14"/>
        <v>-278.28042635693748</v>
      </c>
      <c r="P28" s="14">
        <f t="shared" si="14"/>
        <v>-339.55014265433192</v>
      </c>
      <c r="Q28" s="14">
        <f t="shared" si="14"/>
        <v>-441.47543103258613</v>
      </c>
      <c r="R28" s="14">
        <f t="shared" si="14"/>
        <v>-622.17135691970782</v>
      </c>
      <c r="S28" s="50">
        <f t="shared" si="5"/>
        <v>-1681.4773569635631</v>
      </c>
      <c r="T28" s="50"/>
    </row>
    <row r="29" spans="1:20" x14ac:dyDescent="0.35">
      <c r="A29" s="7">
        <f t="shared" si="1"/>
        <v>24</v>
      </c>
      <c r="B29" s="42">
        <v>45350</v>
      </c>
      <c r="C29" s="58" cm="1">
        <f t="array" ref="C29">BonoM(100,C$2,-$B29+C$1,Portafolio!C29)</f>
        <v>92.31921156065529</v>
      </c>
      <c r="D29" s="58" cm="1">
        <f t="array" ref="D29">BonoM(100,D$2,-$B29+D$1,Portafolio!D29)</f>
        <v>98.972974494696473</v>
      </c>
      <c r="E29" s="58" cm="1">
        <f t="array" ref="E29">BonoM(100,E$2,-$B29+E$1,Portafolio!E29)</f>
        <v>94.160168464658256</v>
      </c>
      <c r="F29" s="58" cm="1">
        <f t="array" ref="F29">BonoM(100,F$2,-$B29+F$1,Portafolio!F29)</f>
        <v>95.653426442045117</v>
      </c>
      <c r="G29" s="6">
        <f t="shared" si="6"/>
        <v>7.846174474657186E-4</v>
      </c>
      <c r="H29" s="6">
        <f t="shared" si="7"/>
        <v>2.7180843058891568E-3</v>
      </c>
      <c r="I29" s="6">
        <f t="shared" si="8"/>
        <v>2.9119091320894963E-3</v>
      </c>
      <c r="J29" s="6">
        <f t="shared" si="9"/>
        <v>4.2467970602579896E-3</v>
      </c>
      <c r="K29" s="13">
        <f t="shared" si="10"/>
        <v>89.623906744586151</v>
      </c>
      <c r="L29" s="13">
        <f t="shared" si="11"/>
        <v>98.476832265979866</v>
      </c>
      <c r="M29" s="13">
        <f t="shared" si="12"/>
        <v>93.086352096750517</v>
      </c>
      <c r="N29" s="13">
        <f t="shared" si="13"/>
        <v>93.777208280671829</v>
      </c>
      <c r="O29" s="14">
        <f t="shared" si="14"/>
        <v>-231.8756534247683</v>
      </c>
      <c r="P29" s="14">
        <f t="shared" si="14"/>
        <v>-400.41413902662271</v>
      </c>
      <c r="Q29" s="14">
        <f t="shared" si="14"/>
        <v>-540.54398252782221</v>
      </c>
      <c r="R29" s="14">
        <f t="shared" si="14"/>
        <v>-396.56862597060183</v>
      </c>
      <c r="S29" s="50">
        <f t="shared" si="5"/>
        <v>-1569.4024009498148</v>
      </c>
      <c r="T29" s="50"/>
    </row>
    <row r="30" spans="1:20" x14ac:dyDescent="0.35">
      <c r="A30" s="7">
        <f t="shared" si="1"/>
        <v>25</v>
      </c>
      <c r="B30" s="42">
        <v>45349</v>
      </c>
      <c r="C30" s="58" cm="1">
        <f t="array" ref="C30">BonoM(100,C$2,-$B30+C$1,Portafolio!C30)</f>
        <v>92.246833085942612</v>
      </c>
      <c r="D30" s="58" cm="1">
        <f t="array" ref="D30">BonoM(100,D$2,-$B30+D$1,Portafolio!D30)</f>
        <v>98.704686834493941</v>
      </c>
      <c r="E30" s="58" cm="1">
        <f t="array" ref="E30">BonoM(100,E$2,-$B30+E$1,Portafolio!E30)</f>
        <v>93.886778696389769</v>
      </c>
      <c r="F30" s="58" cm="1">
        <f t="array" ref="F30">BonoM(100,F$2,-$B30+F$1,Portafolio!F30)</f>
        <v>95.248923593336201</v>
      </c>
      <c r="G30" s="6">
        <f t="shared" si="6"/>
        <v>-2.9055775118992377E-3</v>
      </c>
      <c r="H30" s="6">
        <f t="shared" si="7"/>
        <v>-3.8512757959751065E-3</v>
      </c>
      <c r="I30" s="6">
        <f t="shared" si="8"/>
        <v>-3.4665779282938569E-3</v>
      </c>
      <c r="J30" s="6">
        <f t="shared" si="9"/>
        <v>-1.3396236766052283E-3</v>
      </c>
      <c r="K30" s="13">
        <f t="shared" si="10"/>
        <v>89.293436348517304</v>
      </c>
      <c r="L30" s="13">
        <f t="shared" si="11"/>
        <v>97.831656136246508</v>
      </c>
      <c r="M30" s="13">
        <f t="shared" si="12"/>
        <v>92.494325930802177</v>
      </c>
      <c r="N30" s="13">
        <f t="shared" si="13"/>
        <v>93.255544738883245</v>
      </c>
      <c r="O30" s="14">
        <f t="shared" si="14"/>
        <v>858.67665360242711</v>
      </c>
      <c r="P30" s="14">
        <f t="shared" si="14"/>
        <v>567.35005557341367</v>
      </c>
      <c r="Q30" s="14">
        <f t="shared" si="14"/>
        <v>643.50834936885803</v>
      </c>
      <c r="R30" s="14">
        <f t="shared" si="14"/>
        <v>125.09491581798216</v>
      </c>
      <c r="S30" s="50">
        <f t="shared" si="5"/>
        <v>2194.6299743626805</v>
      </c>
      <c r="T30" s="50"/>
    </row>
    <row r="31" spans="1:20" x14ac:dyDescent="0.35">
      <c r="A31" s="7">
        <f t="shared" si="1"/>
        <v>26</v>
      </c>
      <c r="B31" s="42">
        <v>45348</v>
      </c>
      <c r="C31" s="58" cm="1">
        <f t="array" ref="C31">BonoM(100,C$2,-$B31+C$1,Portafolio!C31)</f>
        <v>92.515644461990235</v>
      </c>
      <c r="D31" s="58" cm="1">
        <f t="array" ref="D31">BonoM(100,D$2,-$B31+D$1,Portafolio!D31)</f>
        <v>99.086295486012062</v>
      </c>
      <c r="E31" s="58" cm="1">
        <f t="array" ref="E31">BonoM(100,E$2,-$B31+E$1,Portafolio!E31)</f>
        <v>94.213376708637966</v>
      </c>
      <c r="F31" s="58" cm="1">
        <f t="array" ref="F31">BonoM(100,F$2,-$B31+F$1,Portafolio!F31)</f>
        <v>95.37669246876365</v>
      </c>
      <c r="G31" s="6">
        <f t="shared" si="6"/>
        <v>1.0819670302159023E-2</v>
      </c>
      <c r="H31" s="6">
        <f t="shared" si="7"/>
        <v>1.566181458403193E-2</v>
      </c>
      <c r="I31" s="6">
        <f t="shared" si="8"/>
        <v>1.9657135889113997E-2</v>
      </c>
      <c r="J31" s="6">
        <f t="shared" si="9"/>
        <v>2.7675588731139955E-2</v>
      </c>
      <c r="K31" s="13">
        <f t="shared" si="10"/>
        <v>90.522582269315862</v>
      </c>
      <c r="L31" s="13">
        <f t="shared" si="11"/>
        <v>99.748034586399868</v>
      </c>
      <c r="M31" s="13">
        <f t="shared" si="12"/>
        <v>94.640578404815045</v>
      </c>
      <c r="N31" s="13">
        <f t="shared" si="13"/>
        <v>95.965003833235514</v>
      </c>
      <c r="O31" s="14">
        <f t="shared" si="14"/>
        <v>-3197.5048850328149</v>
      </c>
      <c r="P31" s="14">
        <f t="shared" si="14"/>
        <v>-2307.2176196566261</v>
      </c>
      <c r="Q31" s="14">
        <f t="shared" si="14"/>
        <v>-3648.9965986568791</v>
      </c>
      <c r="R31" s="14">
        <f t="shared" si="14"/>
        <v>-2584.364178534287</v>
      </c>
      <c r="S31" s="50">
        <f t="shared" si="5"/>
        <v>-11738.083281880608</v>
      </c>
      <c r="T31" s="50"/>
    </row>
    <row r="32" spans="1:20" x14ac:dyDescent="0.35">
      <c r="A32" s="7">
        <f t="shared" si="1"/>
        <v>27</v>
      </c>
      <c r="B32" s="42">
        <v>45346</v>
      </c>
      <c r="C32" s="58" cm="1">
        <f t="array" ref="C32">BonoM(100,C$2,-$B32+C$1,Portafolio!C32)</f>
        <v>91.525370132869512</v>
      </c>
      <c r="D32" s="58" cm="1">
        <f t="array" ref="D32">BonoM(100,D$2,-$B32+D$1,Portafolio!D32)</f>
        <v>97.558354624755893</v>
      </c>
      <c r="E32" s="58" cm="1">
        <f t="array" ref="E32">BonoM(100,E$2,-$B32+E$1,Portafolio!E32)</f>
        <v>92.397114081378348</v>
      </c>
      <c r="F32" s="58" cm="1">
        <f t="array" ref="F32">BonoM(100,F$2,-$B32+F$1,Portafolio!F32)</f>
        <v>92.808171678500443</v>
      </c>
      <c r="G32" s="6">
        <f t="shared" si="6"/>
        <v>-9.9483603543656374E-3</v>
      </c>
      <c r="H32" s="6">
        <f t="shared" si="7"/>
        <v>-1.4684095160520605E-2</v>
      </c>
      <c r="I32" s="6">
        <f t="shared" si="8"/>
        <v>-1.8544857262095649E-2</v>
      </c>
      <c r="J32" s="6">
        <f t="shared" si="9"/>
        <v>-2.6191820750638417E-2</v>
      </c>
      <c r="K32" s="13">
        <f t="shared" si="10"/>
        <v>88.662729499419768</v>
      </c>
      <c r="L32" s="13">
        <f t="shared" si="11"/>
        <v>96.767766143409233</v>
      </c>
      <c r="M32" s="13">
        <f t="shared" si="12"/>
        <v>91.094819148303117</v>
      </c>
      <c r="N32" s="13">
        <f t="shared" si="13"/>
        <v>90.934830679285341</v>
      </c>
      <c r="O32" s="14">
        <f t="shared" si="14"/>
        <v>2940.0092556242939</v>
      </c>
      <c r="P32" s="14">
        <f t="shared" si="14"/>
        <v>2163.1850448293262</v>
      </c>
      <c r="Q32" s="14">
        <f t="shared" si="14"/>
        <v>3442.5219143669779</v>
      </c>
      <c r="R32" s="14">
        <f t="shared" si="14"/>
        <v>2445.8089754158864</v>
      </c>
      <c r="S32" s="50">
        <f t="shared" si="5"/>
        <v>10991.525190236485</v>
      </c>
      <c r="T32" s="50"/>
    </row>
    <row r="33" spans="1:20" x14ac:dyDescent="0.35">
      <c r="A33" s="7">
        <f t="shared" si="1"/>
        <v>28</v>
      </c>
      <c r="B33" s="42">
        <v>45345</v>
      </c>
      <c r="C33" s="58" cm="1">
        <f t="array" ref="C33">BonoM(100,C$2,-$B33+C$1,Portafolio!C33)</f>
        <v>92.445046771124851</v>
      </c>
      <c r="D33" s="58" cm="1">
        <f t="array" ref="D33">BonoM(100,D$2,-$B33+D$1,Portafolio!D33)</f>
        <v>99.012260073736854</v>
      </c>
      <c r="E33" s="58" cm="1">
        <f t="array" ref="E33">BonoM(100,E$2,-$B33+E$1,Portafolio!E33)</f>
        <v>94.142982249421877</v>
      </c>
      <c r="F33" s="58" cm="1">
        <f t="array" ref="F33">BonoM(100,F$2,-$B33+F$1,Portafolio!F33)</f>
        <v>95.30436656430588</v>
      </c>
      <c r="G33" s="6">
        <f t="shared" si="6"/>
        <v>5.197089235089436E-4</v>
      </c>
      <c r="H33" s="6">
        <f t="shared" si="7"/>
        <v>2.3129515922573063E-3</v>
      </c>
      <c r="I33" s="6">
        <f t="shared" si="8"/>
        <v>2.3844999057525129E-3</v>
      </c>
      <c r="J33" s="6">
        <f t="shared" si="9"/>
        <v>3.4496885881234451E-3</v>
      </c>
      <c r="K33" s="13">
        <f t="shared" si="10"/>
        <v>89.600183221629223</v>
      </c>
      <c r="L33" s="13">
        <f t="shared" si="11"/>
        <v>98.437044226938553</v>
      </c>
      <c r="M33" s="13">
        <f t="shared" si="12"/>
        <v>93.037400039750452</v>
      </c>
      <c r="N33" s="13">
        <f t="shared" si="13"/>
        <v>93.70277378166972</v>
      </c>
      <c r="O33" s="14">
        <f t="shared" si="14"/>
        <v>-153.58802766690616</v>
      </c>
      <c r="P33" s="14">
        <f t="shared" si="14"/>
        <v>-340.73208046465453</v>
      </c>
      <c r="Q33" s="14">
        <f t="shared" si="14"/>
        <v>-442.63986852769222</v>
      </c>
      <c r="R33" s="14">
        <f t="shared" si="14"/>
        <v>-322.13412696849275</v>
      </c>
      <c r="S33" s="50">
        <f t="shared" si="5"/>
        <v>-1259.0941036277457</v>
      </c>
      <c r="T33" s="50"/>
    </row>
    <row r="34" spans="1:20" x14ac:dyDescent="0.35">
      <c r="A34" s="7">
        <f t="shared" si="1"/>
        <v>29</v>
      </c>
      <c r="B34" s="42">
        <v>45344</v>
      </c>
      <c r="C34" s="58" cm="1">
        <f t="array" ref="C34">BonoM(100,C$2,-$B34+C$1,Portafolio!C34)</f>
        <v>92.397027211577296</v>
      </c>
      <c r="D34" s="58" cm="1">
        <f t="array" ref="D34">BonoM(100,D$2,-$B34+D$1,Portafolio!D34)</f>
        <v>98.783777977175347</v>
      </c>
      <c r="E34" s="58" cm="1">
        <f t="array" ref="E34">BonoM(100,E$2,-$B34+E$1,Portafolio!E34)</f>
        <v>93.919032325692896</v>
      </c>
      <c r="F34" s="58" cm="1">
        <f t="array" ref="F34">BonoM(100,F$2,-$B34+F$1,Portafolio!F34)</f>
        <v>94.976726434985778</v>
      </c>
      <c r="G34" s="6">
        <f t="shared" si="6"/>
        <v>1.768602917587625E-3</v>
      </c>
      <c r="H34" s="6">
        <f t="shared" si="7"/>
        <v>-2.8560894818596694E-4</v>
      </c>
      <c r="I34" s="6">
        <f t="shared" si="8"/>
        <v>2.5024653241767503E-4</v>
      </c>
      <c r="J34" s="6">
        <f t="shared" si="9"/>
        <v>-6.9107248685337241E-3</v>
      </c>
      <c r="K34" s="13">
        <f t="shared" si="10"/>
        <v>89.712026226515405</v>
      </c>
      <c r="L34" s="13">
        <f t="shared" si="11"/>
        <v>98.181839883385337</v>
      </c>
      <c r="M34" s="13">
        <f t="shared" si="12"/>
        <v>92.839307007685605</v>
      </c>
      <c r="N34" s="13">
        <f t="shared" si="13"/>
        <v>92.735311745999894</v>
      </c>
      <c r="O34" s="14">
        <f t="shared" si="14"/>
        <v>-522.66994379130836</v>
      </c>
      <c r="P34" s="14">
        <f t="shared" si="14"/>
        <v>42.074434865170929</v>
      </c>
      <c r="Q34" s="14">
        <f t="shared" si="14"/>
        <v>-46.45380439799851</v>
      </c>
      <c r="R34" s="14">
        <f t="shared" si="14"/>
        <v>645.32790870133283</v>
      </c>
      <c r="S34" s="50">
        <f t="shared" si="5"/>
        <v>118.27859537719689</v>
      </c>
      <c r="T34" s="50"/>
    </row>
    <row r="35" spans="1:20" x14ac:dyDescent="0.35">
      <c r="A35" s="7">
        <f t="shared" si="1"/>
        <v>30</v>
      </c>
      <c r="B35" s="42">
        <v>45343</v>
      </c>
      <c r="C35" s="58" cm="1">
        <f t="array" ref="C35">BonoM(100,C$2,-$B35+C$1,Portafolio!C35)</f>
        <v>92.233902063287672</v>
      </c>
      <c r="D35" s="58" cm="1">
        <f t="array" ref="D35">BonoM(100,D$2,-$B35+D$1,Portafolio!D35)</f>
        <v>98.811999568440243</v>
      </c>
      <c r="E35" s="58" cm="1">
        <f t="array" ref="E35">BonoM(100,E$2,-$B35+E$1,Portafolio!E35)</f>
        <v>93.895535293576174</v>
      </c>
      <c r="F35" s="58" cm="1">
        <f t="array" ref="F35">BonoM(100,F$2,-$B35+F$1,Portafolio!F35)</f>
        <v>95.637651934578244</v>
      </c>
      <c r="G35" s="6">
        <f t="shared" si="6"/>
        <v>3.2609032171513341E-3</v>
      </c>
      <c r="H35" s="6">
        <f t="shared" si="7"/>
        <v>2.8533348219474952E-3</v>
      </c>
      <c r="I35" s="6">
        <f t="shared" si="8"/>
        <v>3.9906607244826198E-3</v>
      </c>
      <c r="J35" s="6">
        <f t="shared" si="9"/>
        <v>5.8637979789248895E-3</v>
      </c>
      <c r="K35" s="13">
        <f t="shared" si="10"/>
        <v>89.845667152396274</v>
      </c>
      <c r="L35" s="13">
        <f t="shared" si="11"/>
        <v>98.490115204217659</v>
      </c>
      <c r="M35" s="13">
        <f t="shared" si="12"/>
        <v>93.186477590964003</v>
      </c>
      <c r="N35" s="13">
        <f t="shared" si="13"/>
        <v>93.928204860779175</v>
      </c>
      <c r="O35" s="14">
        <f t="shared" si="14"/>
        <v>-963.68499919817486</v>
      </c>
      <c r="P35" s="14">
        <f t="shared" si="14"/>
        <v>-420.33854638331292</v>
      </c>
      <c r="Q35" s="14">
        <f t="shared" si="14"/>
        <v>-740.79497095479496</v>
      </c>
      <c r="R35" s="14">
        <f t="shared" si="14"/>
        <v>-547.56520607794812</v>
      </c>
      <c r="S35" s="50">
        <f t="shared" si="5"/>
        <v>-2672.3837226142309</v>
      </c>
      <c r="T35" s="50"/>
    </row>
    <row r="36" spans="1:20" x14ac:dyDescent="0.35">
      <c r="A36" s="7">
        <f t="shared" si="1"/>
        <v>31</v>
      </c>
      <c r="B36" s="42">
        <v>45342</v>
      </c>
      <c r="C36" s="58" cm="1">
        <f t="array" ref="C36">BonoM(100,C$2,-$B36+C$1,Portafolio!C36)</f>
        <v>91.934113815779838</v>
      </c>
      <c r="D36" s="58" cm="1">
        <f t="array" ref="D36">BonoM(100,D$2,-$B36+D$1,Portafolio!D36)</f>
        <v>98.530858040157895</v>
      </c>
      <c r="E36" s="58" cm="1">
        <f t="array" ref="E36">BonoM(100,E$2,-$B36+E$1,Portafolio!E36)</f>
        <v>93.522319446498514</v>
      </c>
      <c r="F36" s="58" cm="1">
        <f t="array" ref="F36">BonoM(100,F$2,-$B36+F$1,Portafolio!F36)</f>
        <v>95.080121311396539</v>
      </c>
      <c r="G36" s="6">
        <f t="shared" si="6"/>
        <v>5.2495374015193441E-4</v>
      </c>
      <c r="H36" s="6">
        <f t="shared" si="7"/>
        <v>6.6469125861168266E-4</v>
      </c>
      <c r="I36" s="6">
        <f t="shared" si="8"/>
        <v>1.3191774216783081E-3</v>
      </c>
      <c r="J36" s="6">
        <f t="shared" si="9"/>
        <v>1.0523187406414891E-3</v>
      </c>
      <c r="K36" s="13">
        <f t="shared" si="10"/>
        <v>89.60065291405806</v>
      </c>
      <c r="L36" s="13">
        <f t="shared" si="11"/>
        <v>98.275168761693052</v>
      </c>
      <c r="M36" s="13">
        <f t="shared" si="12"/>
        <v>92.938520982730452</v>
      </c>
      <c r="N36" s="13">
        <f t="shared" si="13"/>
        <v>93.478905851822958</v>
      </c>
      <c r="O36" s="14">
        <f t="shared" si="14"/>
        <v>-155.13801268206748</v>
      </c>
      <c r="P36" s="14">
        <f t="shared" si="14"/>
        <v>-97.918882596403023</v>
      </c>
      <c r="Q36" s="14">
        <f t="shared" si="14"/>
        <v>-244.88175448769312</v>
      </c>
      <c r="R36" s="14">
        <f t="shared" si="14"/>
        <v>-98.266197121731125</v>
      </c>
      <c r="S36" s="50">
        <f t="shared" si="5"/>
        <v>-596.20484688789475</v>
      </c>
      <c r="T36" s="50"/>
    </row>
    <row r="37" spans="1:20" x14ac:dyDescent="0.35">
      <c r="A37" s="7">
        <f t="shared" si="1"/>
        <v>32</v>
      </c>
      <c r="B37" s="42">
        <v>45341</v>
      </c>
      <c r="C37" s="58" cm="1">
        <f t="array" ref="C37">BonoM(100,C$2,-$B37+C$1,Portafolio!C37)</f>
        <v>91.885877980466844</v>
      </c>
      <c r="D37" s="58" cm="1">
        <f t="array" ref="D37">BonoM(100,D$2,-$B37+D$1,Portafolio!D37)</f>
        <v>98.465408943557478</v>
      </c>
      <c r="E37" s="58" cm="1">
        <f t="array" ref="E37">BonoM(100,E$2,-$B37+E$1,Portafolio!E37)</f>
        <v>93.399109450107062</v>
      </c>
      <c r="F37" s="58" cm="1">
        <f t="array" ref="F37">BonoM(100,F$2,-$B37+F$1,Portafolio!F37)</f>
        <v>94.980171896520488</v>
      </c>
      <c r="G37" s="6">
        <f t="shared" si="6"/>
        <v>9.4679143157490042E-3</v>
      </c>
      <c r="H37" s="6">
        <f t="shared" si="7"/>
        <v>1.517512593226078E-2</v>
      </c>
      <c r="I37" s="6">
        <f t="shared" si="8"/>
        <v>1.8557660792953623E-2</v>
      </c>
      <c r="J37" s="6">
        <f t="shared" si="9"/>
        <v>2.6576086163495383E-2</v>
      </c>
      <c r="K37" s="13">
        <f t="shared" si="10"/>
        <v>90.401527598455274</v>
      </c>
      <c r="L37" s="13">
        <f t="shared" si="11"/>
        <v>99.700236947685298</v>
      </c>
      <c r="M37" s="13">
        <f t="shared" si="12"/>
        <v>94.538529436215839</v>
      </c>
      <c r="N37" s="13">
        <f t="shared" si="13"/>
        <v>95.862331580166881</v>
      </c>
      <c r="O37" s="14">
        <f t="shared" si="14"/>
        <v>-2798.0244711928763</v>
      </c>
      <c r="P37" s="14">
        <f t="shared" si="14"/>
        <v>-2235.5211615847707</v>
      </c>
      <c r="Q37" s="14">
        <f t="shared" si="14"/>
        <v>-3444.8986614584669</v>
      </c>
      <c r="R37" s="14">
        <f t="shared" si="14"/>
        <v>-2481.6919254656541</v>
      </c>
      <c r="S37" s="50">
        <f t="shared" si="5"/>
        <v>-10960.136219701766</v>
      </c>
      <c r="T37" s="50"/>
    </row>
    <row r="38" spans="1:20" x14ac:dyDescent="0.35">
      <c r="A38" s="7">
        <f t="shared" si="1"/>
        <v>33</v>
      </c>
      <c r="B38" s="42">
        <v>45339</v>
      </c>
      <c r="C38" s="58" cm="1">
        <f t="array" ref="C38">BonoM(100,C$2,-$B38+C$1,Portafolio!C38)</f>
        <v>91.024069886114361</v>
      </c>
      <c r="D38" s="58" cm="1">
        <f t="array" ref="D38">BonoM(100,D$2,-$B38+D$1,Portafolio!D38)</f>
        <v>96.993520062003313</v>
      </c>
      <c r="E38" s="58" cm="1">
        <f t="array" ref="E38">BonoM(100,E$2,-$B38+E$1,Portafolio!E38)</f>
        <v>91.697419837179623</v>
      </c>
      <c r="F38" s="58" cm="1">
        <f t="array" ref="F38">BonoM(100,F$2,-$B38+F$1,Portafolio!F38)</f>
        <v>92.521317393510458</v>
      </c>
      <c r="G38" s="6">
        <f t="shared" si="6"/>
        <v>-8.6076245849217026E-3</v>
      </c>
      <c r="H38" s="6">
        <f t="shared" si="7"/>
        <v>-1.4203087897735611E-2</v>
      </c>
      <c r="I38" s="6">
        <f t="shared" si="8"/>
        <v>-1.7475263335996805E-2</v>
      </c>
      <c r="J38" s="6">
        <f t="shared" si="9"/>
        <v>-2.8259549219538438E-2</v>
      </c>
      <c r="K38" s="13">
        <f t="shared" si="10"/>
        <v>88.782797269722082</v>
      </c>
      <c r="L38" s="13">
        <f t="shared" si="11"/>
        <v>96.81500581353923</v>
      </c>
      <c r="M38" s="13">
        <f t="shared" si="12"/>
        <v>91.194094663828253</v>
      </c>
      <c r="N38" s="13">
        <f t="shared" si="13"/>
        <v>90.741744872227216</v>
      </c>
      <c r="O38" s="14">
        <f t="shared" si="14"/>
        <v>2543.7856136266605</v>
      </c>
      <c r="P38" s="14">
        <f t="shared" si="14"/>
        <v>2092.3255396343307</v>
      </c>
      <c r="Q38" s="14">
        <f t="shared" si="14"/>
        <v>3243.970883316706</v>
      </c>
      <c r="R38" s="14">
        <f t="shared" si="14"/>
        <v>2638.8947824740117</v>
      </c>
      <c r="S38" s="50">
        <f t="shared" si="5"/>
        <v>10518.97681905171</v>
      </c>
      <c r="T38" s="50"/>
    </row>
    <row r="39" spans="1:20" x14ac:dyDescent="0.35">
      <c r="A39" s="7">
        <f t="shared" si="1"/>
        <v>34</v>
      </c>
      <c r="B39" s="42">
        <v>45338</v>
      </c>
      <c r="C39" s="58" cm="1">
        <f t="array" ref="C39">BonoM(100,C$2,-$B39+C$1,Portafolio!C39)</f>
        <v>91.814373545090262</v>
      </c>
      <c r="D39" s="58" cm="1">
        <f t="array" ref="D39">BonoM(100,D$2,-$B39+D$1,Portafolio!D39)</f>
        <v>98.390975738764965</v>
      </c>
      <c r="E39" s="58" cm="1">
        <f t="array" ref="E39">BonoM(100,E$2,-$B39+E$1,Portafolio!E39)</f>
        <v>93.32835746051822</v>
      </c>
      <c r="F39" s="58" cm="1">
        <f t="array" ref="F39">BonoM(100,F$2,-$B39+F$1,Portafolio!F39)</f>
        <v>95.211964593221552</v>
      </c>
      <c r="G39" s="6">
        <f t="shared" si="6"/>
        <v>-2.6710104195207807E-3</v>
      </c>
      <c r="H39" s="6">
        <f t="shared" si="7"/>
        <v>-3.0543048264858319E-3</v>
      </c>
      <c r="I39" s="6">
        <f t="shared" si="8"/>
        <v>-4.5471762581469344E-3</v>
      </c>
      <c r="J39" s="6">
        <f t="shared" si="9"/>
        <v>-2.9473740005071525E-3</v>
      </c>
      <c r="K39" s="13">
        <f t="shared" si="10"/>
        <v>89.314442685791249</v>
      </c>
      <c r="L39" s="13">
        <f t="shared" si="11"/>
        <v>97.909926567100044</v>
      </c>
      <c r="M39" s="13">
        <f t="shared" si="12"/>
        <v>92.394029029656679</v>
      </c>
      <c r="N39" s="13">
        <f t="shared" si="13"/>
        <v>93.105411985232237</v>
      </c>
      <c r="O39" s="14">
        <f t="shared" si="14"/>
        <v>789.3557405984069</v>
      </c>
      <c r="P39" s="14">
        <f t="shared" si="14"/>
        <v>449.94440929310997</v>
      </c>
      <c r="Q39" s="14">
        <f t="shared" si="14"/>
        <v>844.10215165985392</v>
      </c>
      <c r="R39" s="14">
        <f t="shared" si="14"/>
        <v>275.22766946898969</v>
      </c>
      <c r="S39" s="50">
        <f t="shared" si="5"/>
        <v>2358.6299710203602</v>
      </c>
      <c r="T39" s="50"/>
    </row>
    <row r="40" spans="1:20" x14ac:dyDescent="0.35">
      <c r="A40" s="7">
        <f t="shared" si="1"/>
        <v>35</v>
      </c>
      <c r="B40" s="42">
        <v>45337</v>
      </c>
      <c r="C40" s="58" cm="1">
        <f t="array" ref="C40">BonoM(100,C$2,-$B40+C$1,Portafolio!C40)</f>
        <v>92.060267478749878</v>
      </c>
      <c r="D40" s="58" cm="1">
        <f t="array" ref="D40">BonoM(100,D$2,-$B40+D$1,Portafolio!D40)</f>
        <v>98.692412450449908</v>
      </c>
      <c r="E40" s="58" cm="1">
        <f t="array" ref="E40">BonoM(100,E$2,-$B40+E$1,Portafolio!E40)</f>
        <v>93.75467649958739</v>
      </c>
      <c r="F40" s="58" cm="1">
        <f t="array" ref="F40">BonoM(100,F$2,-$B40+F$1,Portafolio!F40)</f>
        <v>95.493419414824331</v>
      </c>
      <c r="G40" s="6">
        <f t="shared" si="6"/>
        <v>1.3257117345544245E-3</v>
      </c>
      <c r="H40" s="6">
        <f t="shared" si="7"/>
        <v>1.9087156402417538E-3</v>
      </c>
      <c r="I40" s="6">
        <f t="shared" si="8"/>
        <v>1.8568419679974024E-3</v>
      </c>
      <c r="J40" s="6">
        <f t="shared" si="9"/>
        <v>5.0706346099576027E-3</v>
      </c>
      <c r="K40" s="13">
        <f t="shared" si="10"/>
        <v>89.672363708333009</v>
      </c>
      <c r="L40" s="13">
        <f t="shared" si="11"/>
        <v>98.397344258756505</v>
      </c>
      <c r="M40" s="13">
        <f t="shared" si="12"/>
        <v>92.988424898331488</v>
      </c>
      <c r="N40" s="13">
        <f t="shared" si="13"/>
        <v>93.854138758034338</v>
      </c>
      <c r="O40" s="14">
        <f t="shared" si="14"/>
        <v>-391.7836337894002</v>
      </c>
      <c r="P40" s="14">
        <f t="shared" si="14"/>
        <v>-281.18212819158117</v>
      </c>
      <c r="Q40" s="14">
        <f t="shared" si="14"/>
        <v>-344.68958568976404</v>
      </c>
      <c r="R40" s="14">
        <f t="shared" si="14"/>
        <v>-473.49910333311129</v>
      </c>
      <c r="S40" s="50">
        <f t="shared" si="5"/>
        <v>-1491.1544510038566</v>
      </c>
      <c r="T40" s="50"/>
    </row>
    <row r="41" spans="1:20" x14ac:dyDescent="0.35">
      <c r="A41" s="7">
        <f t="shared" si="1"/>
        <v>36</v>
      </c>
      <c r="B41" s="42">
        <v>45336</v>
      </c>
      <c r="C41" s="58" cm="1">
        <f t="array" ref="C41">BonoM(100,C$2,-$B41+C$1,Portafolio!C41)</f>
        <v>91.938383684643185</v>
      </c>
      <c r="D41" s="58" cm="1">
        <f t="array" ref="D41">BonoM(100,D$2,-$B41+D$1,Portafolio!D41)</f>
        <v>98.504395569992894</v>
      </c>
      <c r="E41" s="58" cm="1">
        <f t="array" ref="E41">BonoM(100,E$2,-$B41+E$1,Portafolio!E41)</f>
        <v>93.580911535644546</v>
      </c>
      <c r="F41" s="58" cm="1">
        <f t="array" ref="F41">BonoM(100,F$2,-$B41+F$1,Portafolio!F41)</f>
        <v>95.011650053712785</v>
      </c>
      <c r="G41" s="6">
        <f t="shared" si="6"/>
        <v>2.398267675530974E-3</v>
      </c>
      <c r="H41" s="6">
        <f t="shared" si="7"/>
        <v>2.325209908521142E-3</v>
      </c>
      <c r="I41" s="6">
        <f t="shared" si="8"/>
        <v>4.5396054748285675E-3</v>
      </c>
      <c r="J41" s="6">
        <f t="shared" si="9"/>
        <v>5.8657638369319365E-3</v>
      </c>
      <c r="K41" s="13">
        <f t="shared" si="10"/>
        <v>89.768414998447369</v>
      </c>
      <c r="L41" s="13">
        <f t="shared" si="11"/>
        <v>98.438248114824361</v>
      </c>
      <c r="M41" s="13">
        <f t="shared" si="12"/>
        <v>93.237428490885605</v>
      </c>
      <c r="N41" s="13">
        <f t="shared" si="13"/>
        <v>93.92838843385735</v>
      </c>
      <c r="O41" s="14">
        <f t="shared" si="14"/>
        <v>-708.75289116678891</v>
      </c>
      <c r="P41" s="14">
        <f t="shared" si="14"/>
        <v>-342.53791229336628</v>
      </c>
      <c r="Q41" s="14">
        <f t="shared" si="14"/>
        <v>-842.69677079799976</v>
      </c>
      <c r="R41" s="14">
        <f t="shared" si="14"/>
        <v>-547.74877915612308</v>
      </c>
      <c r="S41" s="50">
        <f t="shared" si="5"/>
        <v>-2441.7363534142778</v>
      </c>
      <c r="T41" s="50"/>
    </row>
    <row r="42" spans="1:20" x14ac:dyDescent="0.35">
      <c r="A42" s="7">
        <f t="shared" si="1"/>
        <v>37</v>
      </c>
      <c r="B42" s="42">
        <v>45335</v>
      </c>
      <c r="C42" s="58" cm="1">
        <f t="array" ref="C42">BonoM(100,C$2,-$B42+C$1,Portafolio!C42)</f>
        <v>91.718418366623695</v>
      </c>
      <c r="D42" s="58" cm="1">
        <f t="array" ref="D42">BonoM(100,D$2,-$B42+D$1,Portafolio!D42)</f>
        <v>98.275883511882398</v>
      </c>
      <c r="E42" s="58" cm="1">
        <f t="array" ref="E42">BonoM(100,E$2,-$B42+E$1,Portafolio!E42)</f>
        <v>93.158010919251367</v>
      </c>
      <c r="F42" s="58" cm="1">
        <f t="array" ref="F42">BonoM(100,F$2,-$B42+F$1,Portafolio!F42)</f>
        <v>94.45758417235065</v>
      </c>
      <c r="G42" s="6">
        <f t="shared" si="6"/>
        <v>-4.8127192422062759E-3</v>
      </c>
      <c r="H42" s="6">
        <f t="shared" si="7"/>
        <v>-7.1891273056806648E-3</v>
      </c>
      <c r="I42" s="6">
        <f t="shared" si="8"/>
        <v>-9.3412206386247476E-3</v>
      </c>
      <c r="J42" s="6">
        <f t="shared" si="9"/>
        <v>-6.9202537470178793E-3</v>
      </c>
      <c r="K42" s="13">
        <f t="shared" si="10"/>
        <v>89.122644861911837</v>
      </c>
      <c r="L42" s="13">
        <f t="shared" si="11"/>
        <v>97.503846108288798</v>
      </c>
      <c r="M42" s="13">
        <f t="shared" si="12"/>
        <v>91.949064622408983</v>
      </c>
      <c r="N42" s="13">
        <f t="shared" si="13"/>
        <v>92.734421933231857</v>
      </c>
      <c r="O42" s="14">
        <f t="shared" si="14"/>
        <v>1422.2885594004665</v>
      </c>
      <c r="P42" s="14">
        <f t="shared" si="14"/>
        <v>1059.0650975099791</v>
      </c>
      <c r="Q42" s="14">
        <f t="shared" si="14"/>
        <v>1734.0309661552453</v>
      </c>
      <c r="R42" s="14">
        <f t="shared" si="14"/>
        <v>646.21772146936962</v>
      </c>
      <c r="S42" s="50">
        <f t="shared" si="5"/>
        <v>4861.6023445350602</v>
      </c>
      <c r="T42" s="50"/>
    </row>
    <row r="43" spans="1:20" x14ac:dyDescent="0.35">
      <c r="A43" s="7">
        <f t="shared" si="1"/>
        <v>38</v>
      </c>
      <c r="B43" s="42">
        <v>45334</v>
      </c>
      <c r="C43" s="58" cm="1">
        <f t="array" ref="C43">BonoM(100,C$2,-$B43+C$1,Portafolio!C43)</f>
        <v>92.161968043626857</v>
      </c>
      <c r="D43" s="58" cm="1">
        <f t="array" ref="D43">BonoM(100,D$2,-$B43+D$1,Portafolio!D43)</f>
        <v>98.987517375971535</v>
      </c>
      <c r="E43" s="58" cm="1">
        <f t="array" ref="E43">BonoM(100,E$2,-$B43+E$1,Portafolio!E43)</f>
        <v>94.036425921855113</v>
      </c>
      <c r="F43" s="58" cm="1">
        <f t="array" ref="F43">BonoM(100,F$2,-$B43+F$1,Portafolio!F43)</f>
        <v>95.115809710903164</v>
      </c>
      <c r="G43" s="6">
        <f t="shared" si="6"/>
        <v>1.0559273665796898E-2</v>
      </c>
      <c r="H43" s="6">
        <f t="shared" si="7"/>
        <v>1.5343963073642275E-2</v>
      </c>
      <c r="I43" s="6">
        <f t="shared" si="8"/>
        <v>1.9745065104928683E-2</v>
      </c>
      <c r="J43" s="6">
        <f t="shared" si="9"/>
        <v>2.9931077080570079E-2</v>
      </c>
      <c r="K43" s="13">
        <f t="shared" si="10"/>
        <v>90.499262802322605</v>
      </c>
      <c r="L43" s="13">
        <f t="shared" si="11"/>
        <v>99.716818424684988</v>
      </c>
      <c r="M43" s="13">
        <f t="shared" si="12"/>
        <v>94.648739649953711</v>
      </c>
      <c r="N43" s="13">
        <f t="shared" si="13"/>
        <v>96.175622778039028</v>
      </c>
      <c r="O43" s="14">
        <f t="shared" si="14"/>
        <v>-3120.5506439550659</v>
      </c>
      <c r="P43" s="14">
        <f t="shared" si="14"/>
        <v>-2260.3933770843055</v>
      </c>
      <c r="Q43" s="14">
        <f t="shared" si="14"/>
        <v>-3665.3190889342113</v>
      </c>
      <c r="R43" s="14">
        <f t="shared" si="14"/>
        <v>-2794.9831233378009</v>
      </c>
      <c r="S43" s="50">
        <f t="shared" si="5"/>
        <v>-11841.246233311384</v>
      </c>
      <c r="T43" s="50"/>
    </row>
    <row r="44" spans="1:20" x14ac:dyDescent="0.35">
      <c r="A44" s="7">
        <f t="shared" si="1"/>
        <v>39</v>
      </c>
      <c r="B44" s="42">
        <v>45332</v>
      </c>
      <c r="C44" s="58" cm="1">
        <f t="array" ref="C44">BonoM(100,C$2,-$B44+C$1,Portafolio!C44)</f>
        <v>91.198973128325221</v>
      </c>
      <c r="D44" s="58" cm="1">
        <f t="array" ref="D44">BonoM(100,D$2,-$B44+D$1,Portafolio!D44)</f>
        <v>97.491609716491737</v>
      </c>
      <c r="E44" s="58" cm="1">
        <f t="array" ref="E44">BonoM(100,E$2,-$B44+E$1,Portafolio!E44)</f>
        <v>92.21562245283242</v>
      </c>
      <c r="F44" s="58" cm="1">
        <f t="array" ref="F44">BonoM(100,F$2,-$B44+F$1,Portafolio!F44)</f>
        <v>92.351626072413765</v>
      </c>
      <c r="G44" s="6">
        <f t="shared" si="6"/>
        <v>-9.1604547101190592E-3</v>
      </c>
      <c r="H44" s="6">
        <f t="shared" si="7"/>
        <v>-1.4380354191076195E-2</v>
      </c>
      <c r="I44" s="6">
        <f t="shared" si="8"/>
        <v>-1.8104751624872684E-2</v>
      </c>
      <c r="J44" s="6">
        <f t="shared" si="9"/>
        <v>-2.7545657051477934E-2</v>
      </c>
      <c r="K44" s="13">
        <f t="shared" si="10"/>
        <v>88.733289318937764</v>
      </c>
      <c r="L44" s="13">
        <f t="shared" si="11"/>
        <v>96.797596510456998</v>
      </c>
      <c r="M44" s="13">
        <f t="shared" si="12"/>
        <v>91.135668028382483</v>
      </c>
      <c r="N44" s="13">
        <f t="shared" si="13"/>
        <v>90.808408579525192</v>
      </c>
      <c r="O44" s="14">
        <f t="shared" si="14"/>
        <v>2707.1618512149071</v>
      </c>
      <c r="P44" s="14">
        <f t="shared" si="14"/>
        <v>2118.4394942576787</v>
      </c>
      <c r="Q44" s="14">
        <f t="shared" si="14"/>
        <v>3360.8241542082451</v>
      </c>
      <c r="R44" s="14">
        <f t="shared" si="14"/>
        <v>2572.2310751760347</v>
      </c>
      <c r="S44" s="50">
        <f t="shared" si="5"/>
        <v>10758.656574856865</v>
      </c>
      <c r="T44" s="50"/>
    </row>
    <row r="45" spans="1:20" x14ac:dyDescent="0.35">
      <c r="A45" s="7">
        <f t="shared" si="1"/>
        <v>40</v>
      </c>
      <c r="B45" s="42">
        <v>45331</v>
      </c>
      <c r="C45" s="58" cm="1">
        <f t="array" ref="C45">BonoM(100,C$2,-$B45+C$1,Portafolio!C45)</f>
        <v>92.042120807404757</v>
      </c>
      <c r="D45" s="58" cm="1">
        <f t="array" ref="D45">BonoM(100,D$2,-$B45+D$1,Portafolio!D45)</f>
        <v>98.914028480507639</v>
      </c>
      <c r="E45" s="58" cm="1">
        <f t="array" ref="E45">BonoM(100,E$2,-$B45+E$1,Portafolio!E45)</f>
        <v>93.915947353278142</v>
      </c>
      <c r="F45" s="58" cm="1">
        <f t="array" ref="F45">BonoM(100,F$2,-$B45+F$1,Portafolio!F45)</f>
        <v>94.967570191932907</v>
      </c>
      <c r="G45" s="6">
        <f t="shared" si="6"/>
        <v>1.8693591361793604E-3</v>
      </c>
      <c r="H45" s="6">
        <f t="shared" si="7"/>
        <v>3.1657260699882173E-3</v>
      </c>
      <c r="I45" s="6">
        <f t="shared" si="8"/>
        <v>3.4761934704687913E-3</v>
      </c>
      <c r="J45" s="6">
        <f t="shared" si="9"/>
        <v>2.6611580444972915E-3</v>
      </c>
      <c r="K45" s="13">
        <f t="shared" si="10"/>
        <v>89.721049312783492</v>
      </c>
      <c r="L45" s="13">
        <f t="shared" si="11"/>
        <v>98.520795114170582</v>
      </c>
      <c r="M45" s="13">
        <f t="shared" si="12"/>
        <v>93.138726757103811</v>
      </c>
      <c r="N45" s="13">
        <f t="shared" si="13"/>
        <v>93.629140295118631</v>
      </c>
      <c r="O45" s="14">
        <f t="shared" si="14"/>
        <v>-552.44612847599512</v>
      </c>
      <c r="P45" s="14">
        <f t="shared" si="14"/>
        <v>-466.35841131269729</v>
      </c>
      <c r="Q45" s="14">
        <f t="shared" si="14"/>
        <v>-645.29330323441059</v>
      </c>
      <c r="R45" s="14">
        <f t="shared" si="14"/>
        <v>-248.50064041740438</v>
      </c>
      <c r="S45" s="50">
        <f t="shared" si="5"/>
        <v>-1912.5984834405074</v>
      </c>
      <c r="T45" s="50"/>
    </row>
    <row r="46" spans="1:20" x14ac:dyDescent="0.35">
      <c r="A46" s="7">
        <f t="shared" si="1"/>
        <v>41</v>
      </c>
      <c r="B46" s="42">
        <v>45330</v>
      </c>
      <c r="C46" s="58" cm="1">
        <f t="array" ref="C46">BonoM(100,C$2,-$B46+C$1,Portafolio!C46)</f>
        <v>91.870382069339144</v>
      </c>
      <c r="D46" s="58" cm="1">
        <f t="array" ref="D46">BonoM(100,D$2,-$B46+D$1,Portafolio!D46)</f>
        <v>98.601881932324588</v>
      </c>
      <c r="E46" s="58" cm="1">
        <f t="array" ref="E46">BonoM(100,E$2,-$B46+E$1,Portafolio!E46)</f>
        <v>93.590608291836858</v>
      </c>
      <c r="F46" s="58" cm="1">
        <f t="array" ref="F46">BonoM(100,F$2,-$B46+F$1,Portafolio!F46)</f>
        <v>94.715517231314081</v>
      </c>
      <c r="G46" s="6">
        <f t="shared" si="6"/>
        <v>2.6801255857749062E-3</v>
      </c>
      <c r="H46" s="6">
        <f t="shared" si="7"/>
        <v>2.3329456928149472E-3</v>
      </c>
      <c r="I46" s="6">
        <f t="shared" si="8"/>
        <v>2.9382501473871336E-3</v>
      </c>
      <c r="J46" s="6">
        <f t="shared" si="9"/>
        <v>5.0694486627560487E-3</v>
      </c>
      <c r="K46" s="13">
        <f t="shared" si="10"/>
        <v>89.793656400665711</v>
      </c>
      <c r="L46" s="13">
        <f t="shared" si="11"/>
        <v>98.439007845345103</v>
      </c>
      <c r="M46" s="13">
        <f t="shared" si="12"/>
        <v>93.088796966536449</v>
      </c>
      <c r="N46" s="13">
        <f t="shared" si="13"/>
        <v>93.854028013526062</v>
      </c>
      <c r="O46" s="14">
        <f t="shared" si="14"/>
        <v>-792.04951848731616</v>
      </c>
      <c r="P46" s="14">
        <f t="shared" si="14"/>
        <v>-343.67750807447806</v>
      </c>
      <c r="Q46" s="14">
        <f t="shared" si="14"/>
        <v>-545.43372209968766</v>
      </c>
      <c r="R46" s="14">
        <f t="shared" si="14"/>
        <v>-473.38835882483465</v>
      </c>
      <c r="S46" s="50">
        <f t="shared" si="5"/>
        <v>-2154.5491074863166</v>
      </c>
      <c r="T46" s="50"/>
    </row>
    <row r="47" spans="1:20" x14ac:dyDescent="0.35">
      <c r="A47" s="7">
        <f t="shared" si="1"/>
        <v>42</v>
      </c>
      <c r="B47" s="42">
        <v>45329</v>
      </c>
      <c r="C47" s="58" cm="1">
        <f t="array" ref="C47">BonoM(100,C$2,-$B47+C$1,Portafolio!C47)</f>
        <v>91.624816055536783</v>
      </c>
      <c r="D47" s="58" cm="1">
        <f t="array" ref="D47">BonoM(100,D$2,-$B47+D$1,Portafolio!D47)</f>
        <v>98.372384501609616</v>
      </c>
      <c r="E47" s="58" cm="1">
        <f t="array" ref="E47">BonoM(100,E$2,-$B47+E$1,Portafolio!E47)</f>
        <v>93.316421303189131</v>
      </c>
      <c r="F47" s="58" cm="1">
        <f t="array" ref="F47">BonoM(100,F$2,-$B47+F$1,Portafolio!F47)</f>
        <v>94.237783625134554</v>
      </c>
      <c r="G47" s="6">
        <f t="shared" si="6"/>
        <v>2.4138606823600472E-3</v>
      </c>
      <c r="H47" s="6">
        <f t="shared" si="7"/>
        <v>1.0838725882813538E-3</v>
      </c>
      <c r="I47" s="6">
        <f t="shared" si="8"/>
        <v>2.5157376369278062E-4</v>
      </c>
      <c r="J47" s="6">
        <f t="shared" si="9"/>
        <v>-3.7407854922058004E-3</v>
      </c>
      <c r="K47" s="13">
        <f t="shared" si="10"/>
        <v>89.769811408989213</v>
      </c>
      <c r="L47" s="13">
        <f t="shared" si="11"/>
        <v>98.316336513763162</v>
      </c>
      <c r="M47" s="13">
        <f t="shared" si="12"/>
        <v>92.83943019608995</v>
      </c>
      <c r="N47" s="13">
        <f t="shared" si="13"/>
        <v>93.031322712628025</v>
      </c>
      <c r="O47" s="14">
        <f t="shared" si="14"/>
        <v>-713.36104595487336</v>
      </c>
      <c r="P47" s="14">
        <f t="shared" si="14"/>
        <v>-159.67051070156657</v>
      </c>
      <c r="Q47" s="14">
        <f t="shared" si="14"/>
        <v>-46.700181206688285</v>
      </c>
      <c r="R47" s="14">
        <f t="shared" si="14"/>
        <v>349.31694207320163</v>
      </c>
      <c r="S47" s="50">
        <f t="shared" si="5"/>
        <v>-570.41479578992664</v>
      </c>
      <c r="T47" s="50"/>
    </row>
    <row r="48" spans="1:20" x14ac:dyDescent="0.35">
      <c r="A48" s="7">
        <f t="shared" si="1"/>
        <v>43</v>
      </c>
      <c r="B48" s="42">
        <v>45328</v>
      </c>
      <c r="C48" s="58" cm="1">
        <f t="array" ref="C48">BonoM(100,C$2,-$B48+C$1,Portafolio!C48)</f>
        <v>91.404179101400516</v>
      </c>
      <c r="D48" s="58" cm="1">
        <f t="array" ref="D48">BonoM(100,D$2,-$B48+D$1,Portafolio!D48)</f>
        <v>98.265876811370333</v>
      </c>
      <c r="E48" s="58" cm="1">
        <f t="array" ref="E48">BonoM(100,E$2,-$B48+E$1,Portafolio!E48)</f>
        <v>93.292951244318587</v>
      </c>
      <c r="F48" s="58" cm="1">
        <f t="array" ref="F48">BonoM(100,F$2,-$B48+F$1,Portafolio!F48)</f>
        <v>94.591630624659373</v>
      </c>
      <c r="G48" s="6">
        <f t="shared" si="6"/>
        <v>9.1774354683673565E-3</v>
      </c>
      <c r="H48" s="6">
        <f t="shared" si="7"/>
        <v>1.337439941321561E-2</v>
      </c>
      <c r="I48" s="6">
        <f t="shared" si="8"/>
        <v>1.753349496742973E-2</v>
      </c>
      <c r="J48" s="6">
        <f t="shared" si="9"/>
        <v>2.7764763724065222E-2</v>
      </c>
      <c r="K48" s="13">
        <f t="shared" si="10"/>
        <v>90.375514159923995</v>
      </c>
      <c r="L48" s="13">
        <f t="shared" si="11"/>
        <v>99.523387795218213</v>
      </c>
      <c r="M48" s="13">
        <f t="shared" si="12"/>
        <v>94.443470378912707</v>
      </c>
      <c r="N48" s="13">
        <f t="shared" si="13"/>
        <v>95.973331051116077</v>
      </c>
      <c r="O48" s="14">
        <f t="shared" si="14"/>
        <v>-2712.1801240396535</v>
      </c>
      <c r="P48" s="14">
        <f t="shared" si="14"/>
        <v>-1970.2474328841433</v>
      </c>
      <c r="Q48" s="14">
        <f t="shared" si="14"/>
        <v>-3254.7805468522029</v>
      </c>
      <c r="R48" s="14">
        <f t="shared" si="14"/>
        <v>-2592.6913964148498</v>
      </c>
      <c r="S48" s="50">
        <f t="shared" si="5"/>
        <v>-10529.89950019085</v>
      </c>
      <c r="T48" s="50"/>
    </row>
    <row r="49" spans="1:20" x14ac:dyDescent="0.35">
      <c r="A49" s="7">
        <f t="shared" si="1"/>
        <v>44</v>
      </c>
      <c r="B49" s="42">
        <v>45325</v>
      </c>
      <c r="C49" s="58" cm="1">
        <f t="array" ref="C49">BonoM(100,C$2,-$B49+C$1,Portafolio!C49)</f>
        <v>90.572951682157949</v>
      </c>
      <c r="D49" s="58" cm="1">
        <f t="array" ref="D49">BonoM(100,D$2,-$B49+D$1,Portafolio!D49)</f>
        <v>96.968975008911045</v>
      </c>
      <c r="E49" s="58" cm="1">
        <f t="array" ref="E49">BonoM(100,E$2,-$B49+E$1,Portafolio!E49)</f>
        <v>91.685385990467864</v>
      </c>
      <c r="F49" s="58" cm="1">
        <f t="array" ref="F49">BonoM(100,F$2,-$B49+F$1,Portafolio!F49)</f>
        <v>92.036265460113967</v>
      </c>
      <c r="G49" s="6">
        <f t="shared" si="6"/>
        <v>-1.073259403340765E-2</v>
      </c>
      <c r="H49" s="6">
        <f t="shared" si="7"/>
        <v>-1.3441550649775147E-2</v>
      </c>
      <c r="I49" s="6">
        <f t="shared" si="8"/>
        <v>-1.7828519891931016E-2</v>
      </c>
      <c r="J49" s="6">
        <f t="shared" si="9"/>
        <v>-2.9929447377720964E-2</v>
      </c>
      <c r="K49" s="13">
        <f t="shared" si="10"/>
        <v>88.592498517756908</v>
      </c>
      <c r="L49" s="13">
        <f t="shared" si="11"/>
        <v>96.889796302516615</v>
      </c>
      <c r="M49" s="13">
        <f t="shared" si="12"/>
        <v>91.161306775034873</v>
      </c>
      <c r="N49" s="13">
        <f t="shared" si="13"/>
        <v>90.585808714057919</v>
      </c>
      <c r="O49" s="14">
        <f t="shared" si="14"/>
        <v>3171.7714951117314</v>
      </c>
      <c r="P49" s="14">
        <f t="shared" si="14"/>
        <v>1980.1398061682535</v>
      </c>
      <c r="Q49" s="14">
        <f t="shared" si="14"/>
        <v>3309.5466609034647</v>
      </c>
      <c r="R49" s="14">
        <f t="shared" si="14"/>
        <v>2794.8309406433082</v>
      </c>
      <c r="S49" s="50">
        <f t="shared" si="5"/>
        <v>11256.288902826756</v>
      </c>
      <c r="T49" s="50"/>
    </row>
    <row r="50" spans="1:20" x14ac:dyDescent="0.35">
      <c r="A50" s="7">
        <f t="shared" si="1"/>
        <v>45</v>
      </c>
      <c r="B50" s="42">
        <v>45324</v>
      </c>
      <c r="C50" s="58" cm="1">
        <f t="array" ref="C50">BonoM(100,C$2,-$B50+C$1,Portafolio!C50)</f>
        <v>91.555580559799225</v>
      </c>
      <c r="D50" s="58" cm="1">
        <f t="array" ref="D50">BonoM(100,D$2,-$B50+D$1,Portafolio!D50)</f>
        <v>98.290146998160665</v>
      </c>
      <c r="E50" s="58" cm="1">
        <f t="array" ref="E50">BonoM(100,E$2,-$B50+E$1,Portafolio!E50)</f>
        <v>93.349672483240568</v>
      </c>
      <c r="F50" s="58" cm="1">
        <f t="array" ref="F50">BonoM(100,F$2,-$B50+F$1,Portafolio!F50)</f>
        <v>94.875847134337832</v>
      </c>
      <c r="G50" s="6">
        <f t="shared" si="6"/>
        <v>-5.8398774165157041E-3</v>
      </c>
      <c r="H50" s="6">
        <f t="shared" si="7"/>
        <v>-8.9096114519999769E-3</v>
      </c>
      <c r="I50" s="6">
        <f t="shared" si="8"/>
        <v>-1.0477693690671863E-2</v>
      </c>
      <c r="J50" s="6">
        <f t="shared" si="9"/>
        <v>-1.25733686878301E-2</v>
      </c>
      <c r="K50" s="13">
        <f t="shared" si="10"/>
        <v>89.030659107113721</v>
      </c>
      <c r="L50" s="13">
        <f t="shared" si="11"/>
        <v>97.334877550380867</v>
      </c>
      <c r="M50" s="13">
        <f t="shared" si="12"/>
        <v>91.843581648572453</v>
      </c>
      <c r="N50" s="13">
        <f t="shared" si="13"/>
        <v>92.206530444017261</v>
      </c>
      <c r="O50" s="14">
        <f t="shared" si="14"/>
        <v>1725.8415502342516</v>
      </c>
      <c r="P50" s="14">
        <f t="shared" si="14"/>
        <v>1312.5179343718755</v>
      </c>
      <c r="Q50" s="14">
        <f t="shared" si="14"/>
        <v>1944.9969138283052</v>
      </c>
      <c r="R50" s="14">
        <f t="shared" si="14"/>
        <v>1174.109210683966</v>
      </c>
      <c r="S50" s="50">
        <f t="shared" si="5"/>
        <v>6157.4656091183979</v>
      </c>
      <c r="T50" s="50"/>
    </row>
    <row r="51" spans="1:20" x14ac:dyDescent="0.35">
      <c r="A51" s="7">
        <f t="shared" si="1"/>
        <v>46</v>
      </c>
      <c r="B51" s="42">
        <v>45323</v>
      </c>
      <c r="C51" s="58" cm="1">
        <f t="array" ref="C51">BonoM(100,C$2,-$B51+C$1,Portafolio!C51)</f>
        <v>92.093394695692865</v>
      </c>
      <c r="D51" s="58" cm="1">
        <f t="array" ref="D51">BonoM(100,D$2,-$B51+D$1,Portafolio!D51)</f>
        <v>99.17374654612577</v>
      </c>
      <c r="E51" s="58" cm="1">
        <f t="array" ref="E51">BonoM(100,E$2,-$B51+E$1,Portafolio!E51)</f>
        <v>94.338118391096813</v>
      </c>
      <c r="F51" s="58" cm="1">
        <f t="array" ref="F51">BonoM(100,F$2,-$B51+F$1,Portafolio!F51)</f>
        <v>96.083946012534994</v>
      </c>
      <c r="G51" s="6">
        <f t="shared" si="6"/>
        <v>2.8582934970822205E-3</v>
      </c>
      <c r="H51" s="6">
        <f t="shared" si="7"/>
        <v>3.6012191994461151E-3</v>
      </c>
      <c r="I51" s="6">
        <f t="shared" si="8"/>
        <v>7.2884117866709452E-3</v>
      </c>
      <c r="J51" s="6">
        <f t="shared" si="9"/>
        <v>9.1740509983047058E-3</v>
      </c>
      <c r="K51" s="13">
        <f t="shared" si="10"/>
        <v>89.809611985903032</v>
      </c>
      <c r="L51" s="13">
        <f t="shared" si="11"/>
        <v>98.563564846295534</v>
      </c>
      <c r="M51" s="13">
        <f t="shared" si="12"/>
        <v>93.492561917720025</v>
      </c>
      <c r="N51" s="13">
        <f t="shared" si="13"/>
        <v>94.237318405147775</v>
      </c>
      <c r="O51" s="14">
        <f t="shared" si="14"/>
        <v>-844.70294977047752</v>
      </c>
      <c r="P51" s="14">
        <f t="shared" si="14"/>
        <v>-530.51300950012603</v>
      </c>
      <c r="Q51" s="14">
        <f t="shared" si="14"/>
        <v>-1352.9636244668382</v>
      </c>
      <c r="R51" s="14">
        <f t="shared" si="14"/>
        <v>-856.67875044654807</v>
      </c>
      <c r="S51" s="50">
        <f t="shared" si="5"/>
        <v>-3584.8583341839894</v>
      </c>
      <c r="T51" s="50"/>
    </row>
    <row r="52" spans="1:20" x14ac:dyDescent="0.35">
      <c r="A52" s="7">
        <f t="shared" si="1"/>
        <v>47</v>
      </c>
      <c r="B52" s="42">
        <v>45322</v>
      </c>
      <c r="C52" s="58" cm="1">
        <f t="array" ref="C52">BonoM(100,C$2,-$B52+C$1,Portafolio!C52)</f>
        <v>91.830914988549992</v>
      </c>
      <c r="D52" s="58" cm="1">
        <f t="array" ref="D52">BonoM(100,D$2,-$B52+D$1,Portafolio!D52)</f>
        <v>98.817881693323173</v>
      </c>
      <c r="E52" s="58" cm="1">
        <f t="array" ref="E52">BonoM(100,E$2,-$B52+E$1,Portafolio!E52)</f>
        <v>93.655518406853531</v>
      </c>
      <c r="F52" s="58" cm="1">
        <f t="array" ref="F52">BonoM(100,F$2,-$B52+F$1,Portafolio!F52)</f>
        <v>95.21048021150159</v>
      </c>
      <c r="G52" s="6">
        <f t="shared" si="6"/>
        <v>3.5141068943729259E-3</v>
      </c>
      <c r="H52" s="6">
        <f t="shared" si="7"/>
        <v>5.2836148060404486E-3</v>
      </c>
      <c r="I52" s="6">
        <f t="shared" si="8"/>
        <v>6.1973427056205566E-3</v>
      </c>
      <c r="J52" s="6">
        <f t="shared" si="9"/>
        <v>6.7139257591075641E-3</v>
      </c>
      <c r="K52" s="13">
        <f t="shared" si="10"/>
        <v>89.868342463706085</v>
      </c>
      <c r="L52" s="13">
        <f t="shared" si="11"/>
        <v>98.728792732925598</v>
      </c>
      <c r="M52" s="13">
        <f t="shared" si="12"/>
        <v>93.39129316249263</v>
      </c>
      <c r="N52" s="13">
        <f t="shared" si="13"/>
        <v>94.007590336680863</v>
      </c>
      <c r="O52" s="14">
        <f t="shared" si="14"/>
        <v>-1038.513526520552</v>
      </c>
      <c r="P52" s="14">
        <f t="shared" si="14"/>
        <v>-778.35483944522116</v>
      </c>
      <c r="Q52" s="14">
        <f t="shared" si="14"/>
        <v>-1150.4261140120491</v>
      </c>
      <c r="R52" s="14">
        <f t="shared" si="14"/>
        <v>-626.95068197963622</v>
      </c>
      <c r="S52" s="50">
        <f t="shared" si="5"/>
        <v>-3594.2451619574585</v>
      </c>
      <c r="T52" s="50"/>
    </row>
    <row r="53" spans="1:20" x14ac:dyDescent="0.35">
      <c r="A53" s="7">
        <f t="shared" si="1"/>
        <v>48</v>
      </c>
      <c r="B53" s="42">
        <v>45321</v>
      </c>
      <c r="C53" s="58" cm="1">
        <f t="array" ref="C53">BonoM(100,C$2,-$B53+C$1,Portafolio!C53)</f>
        <v>91.509341381103141</v>
      </c>
      <c r="D53" s="58" cm="1">
        <f t="array" ref="D53">BonoM(100,D$2,-$B53+D$1,Portafolio!D53)</f>
        <v>98.298510229264124</v>
      </c>
      <c r="E53" s="58" cm="1">
        <f t="array" ref="E53">BonoM(100,E$2,-$B53+E$1,Portafolio!E53)</f>
        <v>93.078677941066658</v>
      </c>
      <c r="F53" s="58" cm="1">
        <f t="array" ref="F53">BonoM(100,F$2,-$B53+F$1,Portafolio!F53)</f>
        <v>94.575507277013784</v>
      </c>
      <c r="G53" s="6">
        <f t="shared" si="6"/>
        <v>-1.6391562143351912E-3</v>
      </c>
      <c r="H53" s="6">
        <f t="shared" si="7"/>
        <v>-1.8417822906100501E-3</v>
      </c>
      <c r="I53" s="6">
        <f t="shared" si="8"/>
        <v>-1.3641774447468169E-3</v>
      </c>
      <c r="J53" s="6">
        <f t="shared" si="9"/>
        <v>-5.5068661267132502E-4</v>
      </c>
      <c r="K53" s="13">
        <f t="shared" si="10"/>
        <v>89.406848987254435</v>
      </c>
      <c r="L53" s="13">
        <f t="shared" si="11"/>
        <v>98.029008271372703</v>
      </c>
      <c r="M53" s="13">
        <f t="shared" si="12"/>
        <v>92.68946250249688</v>
      </c>
      <c r="N53" s="13">
        <f t="shared" si="13"/>
        <v>93.3292161865607</v>
      </c>
      <c r="O53" s="14">
        <f t="shared" si="14"/>
        <v>484.4149457698947</v>
      </c>
      <c r="P53" s="14">
        <f t="shared" si="14"/>
        <v>271.32185288412103</v>
      </c>
      <c r="Q53" s="14">
        <f t="shared" si="14"/>
        <v>253.23520597945048</v>
      </c>
      <c r="R53" s="14">
        <f t="shared" si="14"/>
        <v>51.423468140527007</v>
      </c>
      <c r="S53" s="50">
        <f t="shared" si="5"/>
        <v>1060.3954727739933</v>
      </c>
      <c r="T53" s="50"/>
    </row>
    <row r="54" spans="1:20" x14ac:dyDescent="0.35">
      <c r="A54" s="7">
        <f t="shared" si="1"/>
        <v>49</v>
      </c>
      <c r="B54" s="42">
        <v>45320</v>
      </c>
      <c r="C54" s="58" cm="1">
        <f t="array" ref="C54">BonoM(100,C$2,-$B54+C$1,Portafolio!C54)</f>
        <v>91.659585760706193</v>
      </c>
      <c r="D54" s="58" cm="1">
        <f t="array" ref="D54">BonoM(100,D$2,-$B54+D$1,Portafolio!D54)</f>
        <v>98.479888744334687</v>
      </c>
      <c r="E54" s="58" cm="1">
        <f t="array" ref="E54">BonoM(100,E$2,-$B54+E$1,Portafolio!E54)</f>
        <v>93.20582722829046</v>
      </c>
      <c r="F54" s="58" cm="1">
        <f t="array" ref="F54">BonoM(100,F$2,-$B54+F$1,Portafolio!F54)</f>
        <v>94.627617439126496</v>
      </c>
      <c r="G54" s="6">
        <f t="shared" si="6"/>
        <v>1.0286945210479237E-2</v>
      </c>
      <c r="H54" s="6">
        <f t="shared" si="7"/>
        <v>1.5346252066920307E-2</v>
      </c>
      <c r="I54" s="6">
        <f t="shared" si="8"/>
        <v>2.007492109121678E-2</v>
      </c>
      <c r="J54" s="6">
        <f t="shared" si="9"/>
        <v>3.0703156518608665E-2</v>
      </c>
      <c r="K54" s="13">
        <f t="shared" si="10"/>
        <v>90.474874797493413</v>
      </c>
      <c r="L54" s="13">
        <f t="shared" si="11"/>
        <v>99.717043226461897</v>
      </c>
      <c r="M54" s="13">
        <f t="shared" si="12"/>
        <v>94.679355589600306</v>
      </c>
      <c r="N54" s="13">
        <f t="shared" si="13"/>
        <v>96.247720049827308</v>
      </c>
      <c r="O54" s="14">
        <f t="shared" si="14"/>
        <v>-3040.0702280187347</v>
      </c>
      <c r="P54" s="14">
        <f t="shared" si="14"/>
        <v>-2260.7305797496692</v>
      </c>
      <c r="Q54" s="14">
        <f t="shared" si="14"/>
        <v>-3726.5509682274001</v>
      </c>
      <c r="R54" s="14">
        <f t="shared" si="14"/>
        <v>-2867.0803951260809</v>
      </c>
      <c r="S54" s="50">
        <f t="shared" si="5"/>
        <v>-11894.432171121885</v>
      </c>
      <c r="T54" s="50"/>
    </row>
    <row r="55" spans="1:20" x14ac:dyDescent="0.35">
      <c r="A55" s="7">
        <f t="shared" si="1"/>
        <v>50</v>
      </c>
      <c r="B55" s="42">
        <v>45318</v>
      </c>
      <c r="C55" s="58" cm="1">
        <f t="array" ref="C55">BonoM(100,C$2,-$B55+C$1,Portafolio!C55)</f>
        <v>90.726289392574699</v>
      </c>
      <c r="D55" s="58" cm="1">
        <f t="array" ref="D55">BonoM(100,D$2,-$B55+D$1,Portafolio!D55)</f>
        <v>96.991433753619646</v>
      </c>
      <c r="E55" s="58" cm="1">
        <f t="array" ref="E55">BonoM(100,E$2,-$B55+E$1,Portafolio!E55)</f>
        <v>91.371550560800273</v>
      </c>
      <c r="F55" s="58" cm="1">
        <f t="array" ref="F55">BonoM(100,F$2,-$B55+F$1,Portafolio!F55)</f>
        <v>91.808797557920414</v>
      </c>
      <c r="G55" s="6">
        <f t="shared" si="6"/>
        <v>-9.4200015882286436E-3</v>
      </c>
      <c r="H55" s="6">
        <f t="shared" si="7"/>
        <v>-1.3552054207279007E-2</v>
      </c>
      <c r="I55" s="6">
        <f t="shared" si="8"/>
        <v>-1.8941357031696748E-2</v>
      </c>
      <c r="J55" s="6">
        <f t="shared" si="9"/>
        <v>-2.7487235425689205E-2</v>
      </c>
      <c r="K55" s="13">
        <f t="shared" si="10"/>
        <v>88.710045950890333</v>
      </c>
      <c r="L55" s="13">
        <f t="shared" si="11"/>
        <v>96.878943760344072</v>
      </c>
      <c r="M55" s="13">
        <f t="shared" si="12"/>
        <v>91.058017593926024</v>
      </c>
      <c r="N55" s="13">
        <f t="shared" si="13"/>
        <v>90.813864028311002</v>
      </c>
      <c r="O55" s="14">
        <f t="shared" si="14"/>
        <v>2783.8649657714313</v>
      </c>
      <c r="P55" s="14">
        <f t="shared" si="14"/>
        <v>1996.4186194270681</v>
      </c>
      <c r="Q55" s="14">
        <f t="shared" si="14"/>
        <v>3516.1250231211625</v>
      </c>
      <c r="R55" s="14">
        <f t="shared" si="14"/>
        <v>2566.7756263902247</v>
      </c>
      <c r="S55" s="50">
        <f t="shared" si="5"/>
        <v>10863.184234709886</v>
      </c>
      <c r="T55" s="50"/>
    </row>
    <row r="56" spans="1:20" x14ac:dyDescent="0.35">
      <c r="A56" s="7">
        <f t="shared" si="1"/>
        <v>51</v>
      </c>
      <c r="B56" s="42">
        <v>45317</v>
      </c>
      <c r="C56" s="58" cm="1">
        <f t="array" ref="C56">BonoM(100,C$2,-$B56+C$1,Portafolio!C56)</f>
        <v>91.58905846881531</v>
      </c>
      <c r="D56" s="58" cm="1">
        <f t="array" ref="D56">BonoM(100,D$2,-$B56+D$1,Portafolio!D56)</f>
        <v>98.323924913925595</v>
      </c>
      <c r="E56" s="58" cm="1">
        <f t="array" ref="E56">BonoM(100,E$2,-$B56+E$1,Portafolio!E56)</f>
        <v>93.135666471828202</v>
      </c>
      <c r="F56" s="58" cm="1">
        <f t="array" ref="F56">BonoM(100,F$2,-$B56+F$1,Portafolio!F56)</f>
        <v>94.403694123343513</v>
      </c>
      <c r="G56" s="6">
        <f t="shared" si="6"/>
        <v>-2.8821667440448451E-4</v>
      </c>
      <c r="H56" s="6">
        <f t="shared" si="7"/>
        <v>-1.0098509451219595E-3</v>
      </c>
      <c r="I56" s="6">
        <f t="shared" si="8"/>
        <v>2.5104290943289698E-4</v>
      </c>
      <c r="J56" s="6">
        <f t="shared" si="9"/>
        <v>-2.1598953999691917E-3</v>
      </c>
      <c r="K56" s="13">
        <f t="shared" si="10"/>
        <v>89.527830542359794</v>
      </c>
      <c r="L56" s="13">
        <f t="shared" si="11"/>
        <v>98.110712156890187</v>
      </c>
      <c r="M56" s="13">
        <f t="shared" si="12"/>
        <v>92.839380924278444</v>
      </c>
      <c r="N56" s="13">
        <f t="shared" si="13"/>
        <v>93.178947240664854</v>
      </c>
      <c r="O56" s="14">
        <f t="shared" si="14"/>
        <v>85.175813922208476</v>
      </c>
      <c r="P56" s="14">
        <f t="shared" si="14"/>
        <v>148.76602460789456</v>
      </c>
      <c r="Q56" s="14">
        <f t="shared" si="14"/>
        <v>-46.601637583677302</v>
      </c>
      <c r="R56" s="14">
        <f t="shared" si="14"/>
        <v>201.69241403637272</v>
      </c>
      <c r="S56" s="50">
        <f t="shared" si="5"/>
        <v>389.03261498279846</v>
      </c>
      <c r="T56" s="50"/>
    </row>
    <row r="57" spans="1:20" x14ac:dyDescent="0.35">
      <c r="A57" s="7">
        <f t="shared" si="1"/>
        <v>52</v>
      </c>
      <c r="B57" s="42">
        <v>45316</v>
      </c>
      <c r="C57" s="58" cm="1">
        <f t="array" ref="C57">BonoM(100,C$2,-$B57+C$1,Portafolio!C57)</f>
        <v>91.615463573050363</v>
      </c>
      <c r="D57" s="58" cm="1">
        <f t="array" ref="D57">BonoM(100,D$2,-$B57+D$1,Portafolio!D57)</f>
        <v>98.423317794422331</v>
      </c>
      <c r="E57" s="58" cm="1">
        <f t="array" ref="E57">BonoM(100,E$2,-$B57+E$1,Portafolio!E57)</f>
        <v>93.112291291318456</v>
      </c>
      <c r="F57" s="58" cm="1">
        <f t="array" ref="F57">BonoM(100,F$2,-$B57+F$1,Portafolio!F57)</f>
        <v>94.60803758853109</v>
      </c>
      <c r="G57" s="6">
        <f t="shared" si="6"/>
        <v>1.3476245551151678E-3</v>
      </c>
      <c r="H57" s="6">
        <f t="shared" si="7"/>
        <v>-1.431664569637392E-3</v>
      </c>
      <c r="I57" s="6">
        <f t="shared" si="8"/>
        <v>-3.527675101504868E-3</v>
      </c>
      <c r="J57" s="6">
        <f t="shared" si="9"/>
        <v>-5.5314448976495623E-4</v>
      </c>
      <c r="K57" s="13">
        <f t="shared" si="10"/>
        <v>89.674326081207454</v>
      </c>
      <c r="L57" s="13">
        <f t="shared" si="11"/>
        <v>98.069285887434134</v>
      </c>
      <c r="M57" s="13">
        <f t="shared" si="12"/>
        <v>92.488655130679206</v>
      </c>
      <c r="N57" s="13">
        <f t="shared" si="13"/>
        <v>93.3289866684255</v>
      </c>
      <c r="O57" s="14">
        <f t="shared" si="14"/>
        <v>-398.25946427506835</v>
      </c>
      <c r="P57" s="14">
        <f t="shared" si="14"/>
        <v>210.90542879197471</v>
      </c>
      <c r="Q57" s="14">
        <f t="shared" si="14"/>
        <v>654.8499496147997</v>
      </c>
      <c r="R57" s="14">
        <f t="shared" si="14"/>
        <v>51.652986275726676</v>
      </c>
      <c r="S57" s="50">
        <f t="shared" si="5"/>
        <v>519.14890040743273</v>
      </c>
      <c r="T57" s="50"/>
    </row>
    <row r="58" spans="1:20" x14ac:dyDescent="0.35">
      <c r="A58" s="7">
        <f t="shared" si="1"/>
        <v>53</v>
      </c>
      <c r="B58" s="42">
        <v>45315</v>
      </c>
      <c r="C58" s="58" cm="1">
        <f t="array" ref="C58">BonoM(100,C$2,-$B58+C$1,Portafolio!C58)</f>
        <v>91.492166482897332</v>
      </c>
      <c r="D58" s="58" cm="1">
        <f t="array" ref="D58">BonoM(100,D$2,-$B58+D$1,Portafolio!D58)</f>
        <v>98.564428995241357</v>
      </c>
      <c r="E58" s="58" cm="1">
        <f t="array" ref="E58">BonoM(100,E$2,-$B58+E$1,Portafolio!E58)</f>
        <v>93.441924040191751</v>
      </c>
      <c r="F58" s="58" cm="1">
        <f t="array" ref="F58">BonoM(100,F$2,-$B58+F$1,Portafolio!F58)</f>
        <v>94.660398466341704</v>
      </c>
      <c r="G58" s="6">
        <f t="shared" si="6"/>
        <v>-2.6138761489269413E-4</v>
      </c>
      <c r="H58" s="6">
        <f t="shared" si="7"/>
        <v>1.3837546766848341E-3</v>
      </c>
      <c r="I58" s="6">
        <f t="shared" si="8"/>
        <v>3.1757664241052197E-3</v>
      </c>
      <c r="J58" s="6">
        <f t="shared" si="9"/>
        <v>-5.0645339224720809E-3</v>
      </c>
      <c r="K58" s="13">
        <f t="shared" si="10"/>
        <v>89.530233182334285</v>
      </c>
      <c r="L58" s="13">
        <f t="shared" si="11"/>
        <v>98.345787900530283</v>
      </c>
      <c r="M58" s="13">
        <f t="shared" si="12"/>
        <v>93.110842296302664</v>
      </c>
      <c r="N58" s="13">
        <f t="shared" si="13"/>
        <v>92.907710237467853</v>
      </c>
      <c r="O58" s="14">
        <f t="shared" si="14"/>
        <v>77.247102006387536</v>
      </c>
      <c r="P58" s="14">
        <f t="shared" si="14"/>
        <v>-203.84759085224857</v>
      </c>
      <c r="Q58" s="14">
        <f t="shared" si="14"/>
        <v>-589.52438163211696</v>
      </c>
      <c r="R58" s="14">
        <f t="shared" si="14"/>
        <v>472.92941723337378</v>
      </c>
      <c r="S58" s="50">
        <f t="shared" si="5"/>
        <v>-243.19545324460421</v>
      </c>
      <c r="T58" s="50"/>
    </row>
    <row r="59" spans="1:20" x14ac:dyDescent="0.35">
      <c r="A59" s="7">
        <f t="shared" si="1"/>
        <v>54</v>
      </c>
      <c r="B59" s="42">
        <v>45314</v>
      </c>
      <c r="C59" s="58" cm="1">
        <f t="array" ref="C59">BonoM(100,C$2,-$B59+C$1,Portafolio!C59)</f>
        <v>91.516087654773727</v>
      </c>
      <c r="D59" s="58" cm="1">
        <f t="array" ref="D59">BonoM(100,D$2,-$B59+D$1,Portafolio!D59)</f>
        <v>98.428228473772975</v>
      </c>
      <c r="E59" s="58" cm="1">
        <f t="array" ref="E59">BonoM(100,E$2,-$B59+E$1,Portafolio!E59)</f>
        <v>93.146113739641521</v>
      </c>
      <c r="F59" s="58" cm="1">
        <f t="array" ref="F59">BonoM(100,F$2,-$B59+F$1,Portafolio!F59)</f>
        <v>95.142249616987243</v>
      </c>
      <c r="G59" s="6">
        <f t="shared" si="6"/>
        <v>-3.4440612185571151E-4</v>
      </c>
      <c r="H59" s="6">
        <f t="shared" si="7"/>
        <v>-8.4576236227307255E-4</v>
      </c>
      <c r="I59" s="6">
        <f t="shared" si="8"/>
        <v>-2.7228657781037668E-3</v>
      </c>
      <c r="J59" s="6">
        <f t="shared" si="9"/>
        <v>4.3004880732366857E-3</v>
      </c>
      <c r="K59" s="13">
        <f t="shared" si="10"/>
        <v>89.522798572732569</v>
      </c>
      <c r="L59" s="13">
        <f t="shared" si="11"/>
        <v>98.126827278481073</v>
      </c>
      <c r="M59" s="13">
        <f t="shared" si="12"/>
        <v>92.563354377309636</v>
      </c>
      <c r="N59" s="13">
        <f t="shared" si="13"/>
        <v>93.782221981807481</v>
      </c>
      <c r="O59" s="14">
        <f t="shared" si="14"/>
        <v>101.78131369205232</v>
      </c>
      <c r="P59" s="14">
        <f t="shared" si="14"/>
        <v>124.59334222156571</v>
      </c>
      <c r="Q59" s="14">
        <f t="shared" si="14"/>
        <v>505.45145635393851</v>
      </c>
      <c r="R59" s="14">
        <f t="shared" si="14"/>
        <v>-401.58232710625441</v>
      </c>
      <c r="S59" s="50">
        <f t="shared" si="5"/>
        <v>330.24378516130207</v>
      </c>
      <c r="T59" s="50"/>
    </row>
    <row r="60" spans="1:20" x14ac:dyDescent="0.35">
      <c r="A60" s="7">
        <f t="shared" si="1"/>
        <v>55</v>
      </c>
      <c r="B60" s="42">
        <v>45313</v>
      </c>
      <c r="C60" s="58" cm="1">
        <f t="array" ref="C60">BonoM(100,C$2,-$B60+C$1,Portafolio!C60)</f>
        <v>91.547617214583738</v>
      </c>
      <c r="D60" s="58" cm="1">
        <f t="array" ref="D60">BonoM(100,D$2,-$B60+D$1,Portafolio!D60)</f>
        <v>98.511545831486586</v>
      </c>
      <c r="E60" s="58" cm="1">
        <f t="array" ref="E60">BonoM(100,E$2,-$B60+E$1,Portafolio!E60)</f>
        <v>93.4004305757163</v>
      </c>
      <c r="F60" s="58" cm="1">
        <f t="array" ref="F60">BonoM(100,F$2,-$B60+F$1,Portafolio!F60)</f>
        <v>94.734843552171185</v>
      </c>
      <c r="G60" s="6">
        <f t="shared" si="6"/>
        <v>1.1265173104917814E-2</v>
      </c>
      <c r="H60" s="6">
        <f t="shared" si="7"/>
        <v>1.6868054148079681E-2</v>
      </c>
      <c r="I60" s="6">
        <f t="shared" si="8"/>
        <v>2.2692663651377121E-2</v>
      </c>
      <c r="J60" s="6">
        <f t="shared" si="9"/>
        <v>3.295016366760084E-2</v>
      </c>
      <c r="K60" s="13">
        <f t="shared" si="10"/>
        <v>90.562478667554615</v>
      </c>
      <c r="L60" s="13">
        <f t="shared" si="11"/>
        <v>99.866499240703519</v>
      </c>
      <c r="M60" s="13">
        <f t="shared" si="12"/>
        <v>94.922324192759689</v>
      </c>
      <c r="N60" s="13">
        <f t="shared" si="13"/>
        <v>96.457547014708894</v>
      </c>
      <c r="O60" s="14">
        <f t="shared" si="14"/>
        <v>-3329.162999220699</v>
      </c>
      <c r="P60" s="14">
        <f t="shared" si="14"/>
        <v>-2484.914601112102</v>
      </c>
      <c r="Q60" s="14">
        <f t="shared" si="14"/>
        <v>-4212.4881745461662</v>
      </c>
      <c r="R60" s="14">
        <f t="shared" si="14"/>
        <v>-3076.9073600076667</v>
      </c>
      <c r="S60" s="50">
        <f t="shared" si="5"/>
        <v>-13103.473134886633</v>
      </c>
      <c r="T60" s="50"/>
    </row>
    <row r="61" spans="1:20" x14ac:dyDescent="0.35">
      <c r="A61" s="7">
        <f t="shared" si="1"/>
        <v>56</v>
      </c>
      <c r="B61" s="42">
        <v>45311</v>
      </c>
      <c r="C61" s="58" cm="1">
        <f t="array" ref="C61">BonoM(100,C$2,-$B61+C$1,Portafolio!C61)</f>
        <v>90.527805811310941</v>
      </c>
      <c r="D61" s="58" cm="1">
        <f t="array" ref="D61">BonoM(100,D$2,-$B61+D$1,Portafolio!D61)</f>
        <v>96.877412393507072</v>
      </c>
      <c r="E61" s="58" cm="1">
        <f t="array" ref="E61">BonoM(100,E$2,-$B61+E$1,Portafolio!E61)</f>
        <v>91.327955988501472</v>
      </c>
      <c r="F61" s="58" cm="1">
        <f t="array" ref="F61">BonoM(100,F$2,-$B61+F$1,Portafolio!F61)</f>
        <v>91.712888854003296</v>
      </c>
      <c r="G61" s="6">
        <f t="shared" si="6"/>
        <v>-1.0244272765709272E-2</v>
      </c>
      <c r="H61" s="6">
        <f t="shared" si="7"/>
        <v>-1.5028077729754341E-2</v>
      </c>
      <c r="I61" s="6">
        <f t="shared" si="8"/>
        <v>-1.9067869407105809E-2</v>
      </c>
      <c r="J61" s="6">
        <f t="shared" si="9"/>
        <v>-3.0618261738173058E-2</v>
      </c>
      <c r="K61" s="13">
        <f t="shared" si="10"/>
        <v>88.636229465449944</v>
      </c>
      <c r="L61" s="13">
        <f t="shared" si="11"/>
        <v>96.733983653292583</v>
      </c>
      <c r="M61" s="13">
        <f t="shared" si="12"/>
        <v>91.046275211155717</v>
      </c>
      <c r="N61" s="13">
        <f t="shared" si="13"/>
        <v>90.521486788475556</v>
      </c>
      <c r="O61" s="14">
        <f t="shared" si="14"/>
        <v>3027.4593677247153</v>
      </c>
      <c r="P61" s="14">
        <f t="shared" si="14"/>
        <v>2213.8587800043015</v>
      </c>
      <c r="Q61" s="14">
        <f t="shared" si="14"/>
        <v>3539.6097886617781</v>
      </c>
      <c r="R61" s="14">
        <f t="shared" si="14"/>
        <v>2859.1528662256706</v>
      </c>
      <c r="S61" s="50">
        <f t="shared" si="5"/>
        <v>11640.080802616467</v>
      </c>
      <c r="T61" s="50"/>
    </row>
    <row r="62" spans="1:20" x14ac:dyDescent="0.35">
      <c r="A62" s="7">
        <f t="shared" si="1"/>
        <v>57</v>
      </c>
      <c r="B62" s="42">
        <v>45310</v>
      </c>
      <c r="C62" s="58" cm="1">
        <f t="array" ref="C62">BonoM(100,C$2,-$B62+C$1,Portafolio!C62)</f>
        <v>91.464796131340378</v>
      </c>
      <c r="D62" s="58" cm="1">
        <f t="array" ref="D62">BonoM(100,D$2,-$B62+D$1,Portafolio!D62)</f>
        <v>98.355506591716761</v>
      </c>
      <c r="E62" s="58" cm="1">
        <f t="array" ref="E62">BonoM(100,E$2,-$B62+E$1,Portafolio!E62)</f>
        <v>93.1032363404195</v>
      </c>
      <c r="F62" s="58" cm="1">
        <f t="array" ref="F62">BonoM(100,F$2,-$B62+F$1,Portafolio!F62)</f>
        <v>94.609672571768556</v>
      </c>
      <c r="G62" s="6">
        <f t="shared" si="6"/>
        <v>3.9337563828834021E-4</v>
      </c>
      <c r="H62" s="6">
        <f t="shared" si="7"/>
        <v>-3.4272374544896955E-4</v>
      </c>
      <c r="I62" s="6">
        <f t="shared" si="8"/>
        <v>-1.8090722102996892E-3</v>
      </c>
      <c r="J62" s="6">
        <f t="shared" si="9"/>
        <v>-2.7362136341748666E-3</v>
      </c>
      <c r="K62" s="13">
        <f t="shared" si="10"/>
        <v>89.588869615908322</v>
      </c>
      <c r="L62" s="13">
        <f t="shared" si="11"/>
        <v>98.17623064545694</v>
      </c>
      <c r="M62" s="13">
        <f t="shared" si="12"/>
        <v>92.648169114298824</v>
      </c>
      <c r="N62" s="13">
        <f t="shared" si="13"/>
        <v>93.12513027531007</v>
      </c>
      <c r="O62" s="14">
        <f t="shared" si="14"/>
        <v>-116.25312878793466</v>
      </c>
      <c r="P62" s="14">
        <f t="shared" si="14"/>
        <v>50.488291757766035</v>
      </c>
      <c r="Q62" s="14">
        <f t="shared" si="14"/>
        <v>335.82198237556327</v>
      </c>
      <c r="R62" s="14">
        <f t="shared" si="14"/>
        <v>255.5093793911567</v>
      </c>
      <c r="S62" s="50">
        <f t="shared" si="5"/>
        <v>525.5665247365514</v>
      </c>
      <c r="T62" s="50"/>
    </row>
    <row r="63" spans="1:20" x14ac:dyDescent="0.35">
      <c r="A63" s="7">
        <f t="shared" si="1"/>
        <v>58</v>
      </c>
      <c r="B63" s="42">
        <v>45309</v>
      </c>
      <c r="C63" s="58" cm="1">
        <f t="array" ref="C63">BonoM(100,C$2,-$B63+C$1,Portafolio!C63)</f>
        <v>91.428830256880119</v>
      </c>
      <c r="D63" s="58" cm="1">
        <f t="array" ref="D63">BonoM(100,D$2,-$B63+D$1,Portafolio!D63)</f>
        <v>98.389226916077263</v>
      </c>
      <c r="E63" s="58" cm="1">
        <f t="array" ref="E63">BonoM(100,E$2,-$B63+E$1,Portafolio!E63)</f>
        <v>93.271972073096791</v>
      </c>
      <c r="F63" s="58" cm="1">
        <f t="array" ref="F63">BonoM(100,F$2,-$B63+F$1,Portafolio!F63)</f>
        <v>94.869255121094909</v>
      </c>
      <c r="G63" s="6">
        <f t="shared" si="6"/>
        <v>1.190232648471401E-4</v>
      </c>
      <c r="H63" s="6">
        <f t="shared" si="7"/>
        <v>-5.967904013670644E-4</v>
      </c>
      <c r="I63" s="6">
        <f t="shared" si="8"/>
        <v>-3.8166336454450445E-3</v>
      </c>
      <c r="J63" s="6">
        <f t="shared" si="9"/>
        <v>-5.5817252271717077E-4</v>
      </c>
      <c r="K63" s="13">
        <f t="shared" si="10"/>
        <v>89.564300361841291</v>
      </c>
      <c r="L63" s="13">
        <f t="shared" si="11"/>
        <v>98.151278787251911</v>
      </c>
      <c r="M63" s="13">
        <f t="shared" si="12"/>
        <v>92.461835131317684</v>
      </c>
      <c r="N63" s="13">
        <f t="shared" si="13"/>
        <v>93.328517147492221</v>
      </c>
      <c r="O63" s="14">
        <f t="shared" si="14"/>
        <v>-35.174590366729319</v>
      </c>
      <c r="P63" s="14">
        <f t="shared" si="14"/>
        <v>87.91607906530885</v>
      </c>
      <c r="Q63" s="14">
        <f t="shared" si="14"/>
        <v>708.48994833784218</v>
      </c>
      <c r="R63" s="14">
        <f t="shared" si="14"/>
        <v>52.12250720900613</v>
      </c>
      <c r="S63" s="50">
        <f t="shared" si="5"/>
        <v>813.3539442454279</v>
      </c>
      <c r="T63" s="50"/>
    </row>
    <row r="64" spans="1:20" x14ac:dyDescent="0.35">
      <c r="A64" s="7">
        <f t="shared" si="1"/>
        <v>59</v>
      </c>
      <c r="B64" s="42">
        <v>45308</v>
      </c>
      <c r="C64" s="58" cm="1">
        <f t="array" ref="C64">BonoM(100,C$2,-$B64+C$1,Portafolio!C64)</f>
        <v>91.41794939407761</v>
      </c>
      <c r="D64" s="58" cm="1">
        <f t="array" ref="D64">BonoM(100,D$2,-$B64+D$1,Portafolio!D64)</f>
        <v>98.447979725411372</v>
      </c>
      <c r="E64" s="58" cm="1">
        <f t="array" ref="E64">BonoM(100,E$2,-$B64+E$1,Portafolio!E64)</f>
        <v>93.629320889403459</v>
      </c>
      <c r="F64" s="58" cm="1">
        <f t="array" ref="F64">BonoM(100,F$2,-$B64+F$1,Portafolio!F64)</f>
        <v>94.922238106200609</v>
      </c>
      <c r="G64" s="6">
        <f t="shared" si="6"/>
        <v>-5.0932780456539595E-3</v>
      </c>
      <c r="H64" s="6">
        <f t="shared" si="7"/>
        <v>-5.7831520712885442E-3</v>
      </c>
      <c r="I64" s="6">
        <f t="shared" si="8"/>
        <v>-4.6381887898100382E-3</v>
      </c>
      <c r="J64" s="6">
        <f t="shared" si="9"/>
        <v>-3.7960667293207573E-3</v>
      </c>
      <c r="K64" s="13">
        <f t="shared" si="10"/>
        <v>89.097519799437649</v>
      </c>
      <c r="L64" s="13">
        <f t="shared" si="11"/>
        <v>97.641926780707507</v>
      </c>
      <c r="M64" s="13">
        <f t="shared" si="12"/>
        <v>92.385581603227223</v>
      </c>
      <c r="N64" s="13">
        <f t="shared" si="13"/>
        <v>93.026160515345325</v>
      </c>
      <c r="O64" s="14">
        <f t="shared" si="14"/>
        <v>1505.2012655652888</v>
      </c>
      <c r="P64" s="14">
        <f t="shared" si="14"/>
        <v>851.94408888191469</v>
      </c>
      <c r="Q64" s="14">
        <f t="shared" si="14"/>
        <v>860.99700451876515</v>
      </c>
      <c r="R64" s="14">
        <f t="shared" si="14"/>
        <v>354.47913935590236</v>
      </c>
      <c r="S64" s="50">
        <f t="shared" si="5"/>
        <v>3572.6214983218706</v>
      </c>
      <c r="T64" s="50"/>
    </row>
    <row r="65" spans="1:20" x14ac:dyDescent="0.35">
      <c r="A65" s="7">
        <f t="shared" si="1"/>
        <v>60</v>
      </c>
      <c r="B65" s="42">
        <v>45307</v>
      </c>
      <c r="C65" s="58" cm="1">
        <f t="array" ref="C65">BonoM(100,C$2,-$B65+C$1,Portafolio!C65)</f>
        <v>91.885950086356502</v>
      </c>
      <c r="D65" s="58" cm="1">
        <f t="array" ref="D65">BonoM(100,D$2,-$B65+D$1,Portafolio!D65)</f>
        <v>99.020631093218412</v>
      </c>
      <c r="E65" s="58" cm="1">
        <f t="array" ref="E65">BonoM(100,E$2,-$B65+E$1,Portafolio!E65)</f>
        <v>94.065614970265131</v>
      </c>
      <c r="F65" s="58" cm="1">
        <f t="array" ref="F65">BonoM(100,F$2,-$B65+F$1,Portafolio!F65)</f>
        <v>95.283942309439993</v>
      </c>
      <c r="G65" s="6">
        <f t="shared" si="6"/>
        <v>3.0624711096605139E-5</v>
      </c>
      <c r="H65" s="6">
        <f t="shared" si="7"/>
        <v>-3.4366513092657369E-3</v>
      </c>
      <c r="I65" s="6">
        <f t="shared" si="8"/>
        <v>-6.493941799401548E-3</v>
      </c>
      <c r="J65" s="6">
        <f t="shared" si="9"/>
        <v>-1.3504160925314146E-2</v>
      </c>
      <c r="K65" s="13">
        <f t="shared" si="10"/>
        <v>89.556383949458862</v>
      </c>
      <c r="L65" s="13">
        <f t="shared" si="11"/>
        <v>97.872376361272984</v>
      </c>
      <c r="M65" s="13">
        <f t="shared" si="12"/>
        <v>92.213337883232981</v>
      </c>
      <c r="N65" s="13">
        <f t="shared" si="13"/>
        <v>92.119612469495365</v>
      </c>
      <c r="O65" s="14">
        <f t="shared" si="14"/>
        <v>-9.050429504715396</v>
      </c>
      <c r="P65" s="14">
        <f t="shared" si="14"/>
        <v>506.26971803369969</v>
      </c>
      <c r="Q65" s="14">
        <f t="shared" si="14"/>
        <v>1205.484444507249</v>
      </c>
      <c r="R65" s="14">
        <f t="shared" si="14"/>
        <v>1261.0271852058618</v>
      </c>
      <c r="S65" s="50">
        <f t="shared" si="5"/>
        <v>2963.730918242095</v>
      </c>
      <c r="T65" s="50"/>
    </row>
    <row r="66" spans="1:20" x14ac:dyDescent="0.35">
      <c r="A66" s="7">
        <f t="shared" si="1"/>
        <v>61</v>
      </c>
      <c r="B66" s="42">
        <v>45306</v>
      </c>
      <c r="C66" s="58" cm="1">
        <f t="array" ref="C66">BonoM(100,C$2,-$B66+C$1,Portafolio!C66)</f>
        <v>91.883136191855968</v>
      </c>
      <c r="D66" s="58" cm="1">
        <f t="array" ref="D66">BonoM(100,D$2,-$B66+D$1,Portafolio!D66)</f>
        <v>99.362103998014589</v>
      </c>
      <c r="E66" s="58" cm="1">
        <f t="array" ref="E66">BonoM(100,E$2,-$B66+E$1,Portafolio!E66)</f>
        <v>94.680464395590406</v>
      </c>
      <c r="F66" s="58" cm="1">
        <f t="array" ref="F66">BonoM(100,F$2,-$B66+F$1,Portafolio!F66)</f>
        <v>96.588286068002574</v>
      </c>
      <c r="G66" s="6">
        <f t="shared" si="6"/>
        <v>1.059094534753946E-2</v>
      </c>
      <c r="H66" s="6">
        <f t="shared" si="7"/>
        <v>1.5167222632667565E-2</v>
      </c>
      <c r="I66" s="6">
        <f t="shared" si="8"/>
        <v>2.0297188367236707E-2</v>
      </c>
      <c r="J66" s="6">
        <f t="shared" si="9"/>
        <v>2.9675026426156936E-2</v>
      </c>
      <c r="K66" s="13">
        <f t="shared" si="10"/>
        <v>90.502099116751765</v>
      </c>
      <c r="L66" s="13">
        <f t="shared" si="11"/>
        <v>99.699460765505506</v>
      </c>
      <c r="M66" s="13">
        <f t="shared" si="12"/>
        <v>94.699985566896203</v>
      </c>
      <c r="N66" s="13">
        <f t="shared" si="13"/>
        <v>96.151712604145928</v>
      </c>
      <c r="O66" s="14">
        <f t="shared" si="14"/>
        <v>-3129.9104815712953</v>
      </c>
      <c r="P66" s="14">
        <f t="shared" si="14"/>
        <v>-2234.3568883150838</v>
      </c>
      <c r="Q66" s="14">
        <f t="shared" si="14"/>
        <v>-3767.8109228191943</v>
      </c>
      <c r="R66" s="14">
        <f t="shared" si="14"/>
        <v>-2771.072949444701</v>
      </c>
      <c r="S66" s="50">
        <f t="shared" si="5"/>
        <v>-11903.151242150274</v>
      </c>
      <c r="T66" s="50"/>
    </row>
    <row r="67" spans="1:20" x14ac:dyDescent="0.35">
      <c r="A67" s="7">
        <f t="shared" si="1"/>
        <v>62</v>
      </c>
      <c r="B67" s="42">
        <v>45304</v>
      </c>
      <c r="C67" s="58" cm="1">
        <f t="array" ref="C67">BonoM(100,C$2,-$B67+C$1,Portafolio!C67)</f>
        <v>90.920205266887294</v>
      </c>
      <c r="D67" s="58" cm="1">
        <f t="array" ref="D67">BonoM(100,D$2,-$B67+D$1,Portafolio!D67)</f>
        <v>97.877573056718163</v>
      </c>
      <c r="E67" s="58" cm="1">
        <f t="array" ref="E67">BonoM(100,E$2,-$B67+E$1,Portafolio!E67)</f>
        <v>92.796947276808481</v>
      </c>
      <c r="F67" s="58" cm="1">
        <f t="array" ref="F67">BonoM(100,F$2,-$B67+F$1,Portafolio!F67)</f>
        <v>93.804631159449997</v>
      </c>
      <c r="G67" s="6">
        <f t="shared" si="6"/>
        <v>-9.2153625987569932E-3</v>
      </c>
      <c r="H67" s="6">
        <f t="shared" si="7"/>
        <v>-1.3265509035700673E-2</v>
      </c>
      <c r="I67" s="6">
        <f t="shared" si="8"/>
        <v>-1.6338960330402275E-2</v>
      </c>
      <c r="J67" s="6">
        <f t="shared" si="9"/>
        <v>-2.6037101770444937E-2</v>
      </c>
      <c r="K67" s="13">
        <f t="shared" si="10"/>
        <v>88.728372117568924</v>
      </c>
      <c r="L67" s="13">
        <f t="shared" si="11"/>
        <v>96.907085329983431</v>
      </c>
      <c r="M67" s="13">
        <f t="shared" si="12"/>
        <v>91.299561854619625</v>
      </c>
      <c r="N67" s="13">
        <f t="shared" si="13"/>
        <v>90.949278436622521</v>
      </c>
      <c r="O67" s="14">
        <f t="shared" si="14"/>
        <v>2723.3886157320812</v>
      </c>
      <c r="P67" s="14">
        <f t="shared" si="14"/>
        <v>1954.206264968029</v>
      </c>
      <c r="Q67" s="14">
        <f t="shared" si="14"/>
        <v>3033.03650173396</v>
      </c>
      <c r="R67" s="14">
        <f t="shared" si="14"/>
        <v>2431.3612180787059</v>
      </c>
      <c r="S67" s="50">
        <f t="shared" si="5"/>
        <v>10141.992600512776</v>
      </c>
      <c r="T67" s="50"/>
    </row>
    <row r="68" spans="1:20" x14ac:dyDescent="0.35">
      <c r="A68" s="7">
        <f t="shared" si="1"/>
        <v>63</v>
      </c>
      <c r="B68" s="42">
        <v>45303</v>
      </c>
      <c r="C68" s="58" cm="1">
        <f t="array" ref="C68">BonoM(100,C$2,-$B68+C$1,Portafolio!C68)</f>
        <v>91.765860949726132</v>
      </c>
      <c r="D68" s="58" cm="1">
        <f t="array" ref="D68">BonoM(100,D$2,-$B68+D$1,Portafolio!D68)</f>
        <v>99.19342432336181</v>
      </c>
      <c r="E68" s="58" cm="1">
        <f t="array" ref="E68">BonoM(100,E$2,-$B68+E$1,Portafolio!E68)</f>
        <v>94.338337633030662</v>
      </c>
      <c r="F68" s="58" cm="1">
        <f t="array" ref="F68">BonoM(100,F$2,-$B68+F$1,Portafolio!F68)</f>
        <v>96.312324966346935</v>
      </c>
      <c r="G68" s="6">
        <f t="shared" si="6"/>
        <v>3.8514016341419932E-3</v>
      </c>
      <c r="H68" s="6">
        <f t="shared" si="7"/>
        <v>6.2033983948956983E-3</v>
      </c>
      <c r="I68" s="6">
        <f t="shared" si="8"/>
        <v>7.3651044513500796E-3</v>
      </c>
      <c r="J68" s="6">
        <f t="shared" si="9"/>
        <v>8.4394014642288351E-3</v>
      </c>
      <c r="K68" s="13">
        <f t="shared" si="10"/>
        <v>89.89854843587581</v>
      </c>
      <c r="L68" s="13">
        <f t="shared" si="11"/>
        <v>98.819124577557091</v>
      </c>
      <c r="M68" s="13">
        <f t="shared" si="12"/>
        <v>93.499680230228392</v>
      </c>
      <c r="N68" s="13">
        <f t="shared" si="13"/>
        <v>94.168716361733743</v>
      </c>
      <c r="O68" s="14">
        <f t="shared" si="14"/>
        <v>-1138.1932346806436</v>
      </c>
      <c r="P68" s="14">
        <f t="shared" si="14"/>
        <v>-913.85260639246007</v>
      </c>
      <c r="Q68" s="14">
        <f t="shared" si="14"/>
        <v>-1367.2002494835738</v>
      </c>
      <c r="R68" s="14">
        <f t="shared" si="14"/>
        <v>-788.07670703251631</v>
      </c>
      <c r="S68" s="50">
        <f t="shared" si="5"/>
        <v>-4207.3227975891932</v>
      </c>
      <c r="T68" s="50"/>
    </row>
    <row r="69" spans="1:20" x14ac:dyDescent="0.35">
      <c r="A69" s="7">
        <f t="shared" ref="A69:A132" si="15">+A70-1</f>
        <v>64</v>
      </c>
      <c r="B69" s="42">
        <v>45302</v>
      </c>
      <c r="C69" s="58" cm="1">
        <f t="array" ref="C69">BonoM(100,C$2,-$B69+C$1,Portafolio!C69)</f>
        <v>91.413789730574692</v>
      </c>
      <c r="D69" s="58" cm="1">
        <f t="array" ref="D69">BonoM(100,D$2,-$B69+D$1,Portafolio!D69)</f>
        <v>98.581881637048753</v>
      </c>
      <c r="E69" s="58" cm="1">
        <f t="array" ref="E69">BonoM(100,E$2,-$B69+E$1,Portafolio!E69)</f>
        <v>93.64860586908155</v>
      </c>
      <c r="F69" s="58" cm="1">
        <f t="array" ref="F69">BonoM(100,F$2,-$B69+F$1,Portafolio!F69)</f>
        <v>95.506308883314006</v>
      </c>
      <c r="G69" s="6">
        <f t="shared" si="6"/>
        <v>2.192225994134045E-3</v>
      </c>
      <c r="H69" s="6">
        <f t="shared" si="7"/>
        <v>2.7948492474401121E-3</v>
      </c>
      <c r="I69" s="6">
        <f t="shared" si="8"/>
        <v>2.4308536755266452E-3</v>
      </c>
      <c r="J69" s="6">
        <f t="shared" si="9"/>
        <v>1.0635936711307359E-3</v>
      </c>
      <c r="K69" s="13">
        <f t="shared" si="10"/>
        <v>89.749963215599109</v>
      </c>
      <c r="L69" s="13">
        <f t="shared" si="11"/>
        <v>98.484371342407556</v>
      </c>
      <c r="M69" s="13">
        <f t="shared" si="12"/>
        <v>93.041702414959005</v>
      </c>
      <c r="N69" s="13">
        <f t="shared" si="13"/>
        <v>93.479958712044109</v>
      </c>
      <c r="O69" s="14">
        <f t="shared" si="14"/>
        <v>-647.86200776753162</v>
      </c>
      <c r="P69" s="14">
        <f t="shared" si="14"/>
        <v>-411.72275366815825</v>
      </c>
      <c r="Q69" s="14">
        <f t="shared" si="14"/>
        <v>-451.2446189447985</v>
      </c>
      <c r="R69" s="14">
        <f t="shared" si="14"/>
        <v>-99.319057342881933</v>
      </c>
      <c r="S69" s="50">
        <f t="shared" ref="S69:S132" si="16">SUM(O69:R69)</f>
        <v>-1610.1484377233703</v>
      </c>
      <c r="T69" s="50"/>
    </row>
    <row r="70" spans="1:20" x14ac:dyDescent="0.35">
      <c r="A70" s="7">
        <f t="shared" si="15"/>
        <v>65</v>
      </c>
      <c r="B70" s="42">
        <v>45301</v>
      </c>
      <c r="C70" s="58" cm="1">
        <f t="array" ref="C70">BonoM(100,C$2,-$B70+C$1,Portafolio!C70)</f>
        <v>91.213828404920946</v>
      </c>
      <c r="D70" s="58" cm="1">
        <f t="array" ref="D70">BonoM(100,D$2,-$B70+D$1,Portafolio!D70)</f>
        <v>98.307128034244244</v>
      </c>
      <c r="E70" s="58" cm="1">
        <f t="array" ref="E70">BonoM(100,E$2,-$B70+E$1,Portafolio!E70)</f>
        <v>93.421511843643174</v>
      </c>
      <c r="F70" s="58" cm="1">
        <f t="array" ref="F70">BonoM(100,F$2,-$B70+F$1,Portafolio!F70)</f>
        <v>95.404836902589153</v>
      </c>
      <c r="G70" s="6">
        <f t="shared" ref="G70:G133" si="17">IFERROR(C70/C71-1," ")</f>
        <v>1.3639344148852484E-3</v>
      </c>
      <c r="H70" s="6">
        <f t="shared" ref="H70:H133" si="18">IFERROR(D70/D71-1," ")</f>
        <v>2.3711346361967589E-3</v>
      </c>
      <c r="I70" s="6">
        <f t="shared" ref="I70:I133" si="19">IFERROR(E70/E71-1," ")</f>
        <v>1.8853352527976597E-3</v>
      </c>
      <c r="J70" s="6">
        <f t="shared" ref="J70:J133" si="20">IFERROR(F70/F71-1," ")</f>
        <v>1.8790881452432906E-3</v>
      </c>
      <c r="K70" s="13">
        <f t="shared" ref="K70:K133" si="21">C$5*(1+G70)</f>
        <v>89.675786688540512</v>
      </c>
      <c r="L70" s="13">
        <f t="shared" ref="L70:L133" si="22">D$5*(1+H70)</f>
        <v>98.442758377255004</v>
      </c>
      <c r="M70" s="13">
        <f t="shared" ref="M70:M133" si="23">E$5*(1+I70)</f>
        <v>92.991069533335974</v>
      </c>
      <c r="N70" s="13">
        <f t="shared" ref="N70:N133" si="24">F$5*(1+J70)</f>
        <v>93.556110107671614</v>
      </c>
      <c r="O70" s="14">
        <f t="shared" ref="O70:R133" si="25">(C$5-K70)*O$2</f>
        <v>-403.07946847416076</v>
      </c>
      <c r="P70" s="14">
        <f t="shared" si="25"/>
        <v>-349.30330593932979</v>
      </c>
      <c r="Q70" s="14">
        <f t="shared" si="25"/>
        <v>-349.97885569873688</v>
      </c>
      <c r="R70" s="14">
        <f t="shared" si="25"/>
        <v>-175.47045297038721</v>
      </c>
      <c r="S70" s="50">
        <f t="shared" si="16"/>
        <v>-1277.8320830826146</v>
      </c>
      <c r="T70" s="50"/>
    </row>
    <row r="71" spans="1:20" x14ac:dyDescent="0.35">
      <c r="A71" s="7">
        <f t="shared" si="15"/>
        <v>66</v>
      </c>
      <c r="B71" s="42">
        <v>45300</v>
      </c>
      <c r="C71" s="58" cm="1">
        <f t="array" ref="C71">BonoM(100,C$2,-$B71+C$1,Portafolio!C71)</f>
        <v>91.089588180763471</v>
      </c>
      <c r="D71" s="58" cm="1">
        <f t="array" ref="D71">BonoM(100,D$2,-$B71+D$1,Portafolio!D71)</f>
        <v>98.074580000674189</v>
      </c>
      <c r="E71" s="58" cm="1">
        <f t="array" ref="E71">BonoM(100,E$2,-$B71+E$1,Portafolio!E71)</f>
        <v>93.245712414855205</v>
      </c>
      <c r="F71" s="58" cm="1">
        <f t="array" ref="F71">BonoM(100,F$2,-$B71+F$1,Portafolio!F71)</f>
        <v>95.225899044574362</v>
      </c>
      <c r="G71" s="6">
        <f t="shared" si="17"/>
        <v>-1.1261252171514968E-3</v>
      </c>
      <c r="H71" s="6">
        <f t="shared" si="18"/>
        <v>-2.7205673830633659E-3</v>
      </c>
      <c r="I71" s="6">
        <f t="shared" si="19"/>
        <v>-2.4769695084165821E-3</v>
      </c>
      <c r="J71" s="6">
        <f t="shared" si="20"/>
        <v>-3.817958733957405E-3</v>
      </c>
      <c r="K71" s="13">
        <f t="shared" si="21"/>
        <v>89.45279278120077</v>
      </c>
      <c r="L71" s="13">
        <f t="shared" si="22"/>
        <v>97.942702884542797</v>
      </c>
      <c r="M71" s="13">
        <f t="shared" si="23"/>
        <v>92.586177505174561</v>
      </c>
      <c r="N71" s="13">
        <f t="shared" si="24"/>
        <v>93.02411622594903</v>
      </c>
      <c r="O71" s="14">
        <f t="shared" si="25"/>
        <v>332.80042574698712</v>
      </c>
      <c r="P71" s="14">
        <f t="shared" si="25"/>
        <v>400.7799331289803</v>
      </c>
      <c r="Q71" s="14">
        <f t="shared" si="25"/>
        <v>459.80520062408914</v>
      </c>
      <c r="R71" s="14">
        <f t="shared" si="25"/>
        <v>356.52342875219745</v>
      </c>
      <c r="S71" s="50">
        <f t="shared" si="16"/>
        <v>1549.9089882522539</v>
      </c>
      <c r="T71" s="50"/>
    </row>
    <row r="72" spans="1:20" x14ac:dyDescent="0.35">
      <c r="A72" s="7">
        <f t="shared" si="15"/>
        <v>67</v>
      </c>
      <c r="B72" s="42">
        <v>45299</v>
      </c>
      <c r="C72" s="58" cm="1">
        <f t="array" ref="C72">BonoM(100,C$2,-$B72+C$1,Portafolio!C72)</f>
        <v>91.192282109256297</v>
      </c>
      <c r="D72" s="58" cm="1">
        <f t="array" ref="D72">BonoM(100,D$2,-$B72+D$1,Portafolio!D72)</f>
        <v>98.342126382090399</v>
      </c>
      <c r="E72" s="58" cm="1">
        <f t="array" ref="E72">BonoM(100,E$2,-$B72+E$1,Portafolio!E72)</f>
        <v>93.477252719572135</v>
      </c>
      <c r="F72" s="58" cm="1">
        <f t="array" ref="F72">BonoM(100,F$2,-$B72+F$1,Portafolio!F72)</f>
        <v>95.590861007243475</v>
      </c>
      <c r="G72" s="6">
        <f t="shared" si="17"/>
        <v>2.7162296297342792E-3</v>
      </c>
      <c r="H72" s="6">
        <f t="shared" si="18"/>
        <v>3.2967792487883507E-3</v>
      </c>
      <c r="I72" s="6">
        <f t="shared" si="19"/>
        <v>3.4795098806237323E-3</v>
      </c>
      <c r="J72" s="6">
        <f t="shared" si="20"/>
        <v>3.1974819855045133E-3</v>
      </c>
      <c r="K72" s="13">
        <f t="shared" si="21"/>
        <v>89.796889649271364</v>
      </c>
      <c r="L72" s="13">
        <f t="shared" si="22"/>
        <v>98.533665832380038</v>
      </c>
      <c r="M72" s="13">
        <f t="shared" si="23"/>
        <v>93.13903457329441</v>
      </c>
      <c r="N72" s="13">
        <f t="shared" si="24"/>
        <v>93.679222567792024</v>
      </c>
      <c r="O72" s="14">
        <f t="shared" si="25"/>
        <v>-802.71923888597166</v>
      </c>
      <c r="P72" s="14">
        <f t="shared" si="25"/>
        <v>-485.66448862688105</v>
      </c>
      <c r="Q72" s="14">
        <f t="shared" si="25"/>
        <v>-645.90893561560847</v>
      </c>
      <c r="R72" s="14">
        <f t="shared" si="25"/>
        <v>-298.58291309079732</v>
      </c>
      <c r="S72" s="50">
        <f t="shared" si="16"/>
        <v>-2232.8755762192586</v>
      </c>
      <c r="T72" s="50"/>
    </row>
    <row r="73" spans="1:20" x14ac:dyDescent="0.35">
      <c r="A73" s="7">
        <f t="shared" si="15"/>
        <v>68</v>
      </c>
      <c r="B73" s="42">
        <v>45296</v>
      </c>
      <c r="C73" s="58" cm="1">
        <f t="array" ref="C73">BonoM(100,C$2,-$B73+C$1,Portafolio!C73)</f>
        <v>90.945253915886255</v>
      </c>
      <c r="D73" s="58" cm="1">
        <f t="array" ref="D73">BonoM(100,D$2,-$B73+D$1,Portafolio!D73)</f>
        <v>98.01897944466981</v>
      </c>
      <c r="E73" s="58" cm="1">
        <f t="array" ref="E73">BonoM(100,E$2,-$B73+E$1,Portafolio!E73)</f>
        <v>93.153125498987421</v>
      </c>
      <c r="F73" s="58" cm="1">
        <f t="array" ref="F73">BonoM(100,F$2,-$B73+F$1,Portafolio!F73)</f>
        <v>95.286185146769228</v>
      </c>
      <c r="G73" s="6">
        <f t="shared" si="17"/>
        <v>3.6938121088092579E-4</v>
      </c>
      <c r="H73" s="6">
        <f t="shared" si="18"/>
        <v>-3.0540986497629152E-4</v>
      </c>
      <c r="I73" s="6">
        <f t="shared" si="19"/>
        <v>1.9372147016127883E-4</v>
      </c>
      <c r="J73" s="6">
        <f t="shared" si="20"/>
        <v>8.2024366872790466E-4</v>
      </c>
      <c r="K73" s="13">
        <f t="shared" si="21"/>
        <v>89.586720827560796</v>
      </c>
      <c r="L73" s="13">
        <f t="shared" si="22"/>
        <v>98.179895237535234</v>
      </c>
      <c r="M73" s="13">
        <f t="shared" si="23"/>
        <v>92.834060572979254</v>
      </c>
      <c r="N73" s="13">
        <f t="shared" si="24"/>
        <v>93.457234533159763</v>
      </c>
      <c r="O73" s="14">
        <f t="shared" si="25"/>
        <v>-109.16212724109897</v>
      </c>
      <c r="P73" s="14">
        <f t="shared" si="25"/>
        <v>44.991403640324279</v>
      </c>
      <c r="Q73" s="14">
        <f t="shared" si="25"/>
        <v>-35.960934985297399</v>
      </c>
      <c r="R73" s="14">
        <f t="shared" si="25"/>
        <v>-76.594878458536186</v>
      </c>
      <c r="S73" s="50">
        <f t="shared" si="16"/>
        <v>-176.72653704460828</v>
      </c>
      <c r="T73" s="50"/>
    </row>
    <row r="74" spans="1:20" x14ac:dyDescent="0.35">
      <c r="A74" s="7">
        <f t="shared" si="15"/>
        <v>69</v>
      </c>
      <c r="B74" s="42">
        <v>45295</v>
      </c>
      <c r="C74" s="58" cm="1">
        <f t="array" ref="C74">BonoM(100,C$2,-$B74+C$1,Portafolio!C74)</f>
        <v>90.911672852084934</v>
      </c>
      <c r="D74" s="58" cm="1">
        <f t="array" ref="D74">BonoM(100,D$2,-$B74+D$1,Portafolio!D74)</f>
        <v>98.048924553478756</v>
      </c>
      <c r="E74" s="58" cm="1">
        <f t="array" ref="E74">BonoM(100,E$2,-$B74+E$1,Portafolio!E74)</f>
        <v>93.135083233739792</v>
      </c>
      <c r="F74" s="58" cm="1">
        <f t="array" ref="F74">BonoM(100,F$2,-$B74+F$1,Portafolio!F74)</f>
        <v>95.208091312658354</v>
      </c>
      <c r="G74" s="6">
        <f t="shared" si="17"/>
        <v>-1.9652998780732567E-3</v>
      </c>
      <c r="H74" s="6">
        <f t="shared" si="18"/>
        <v>-2.6036540830951527E-3</v>
      </c>
      <c r="I74" s="6">
        <f t="shared" si="19"/>
        <v>-4.6108542004729136E-3</v>
      </c>
      <c r="J74" s="6">
        <f t="shared" si="20"/>
        <v>-3.5825687664221562E-3</v>
      </c>
      <c r="K74" s="13">
        <f t="shared" si="21"/>
        <v>89.377641634548766</v>
      </c>
      <c r="L74" s="13">
        <f t="shared" si="22"/>
        <v>97.95418492681452</v>
      </c>
      <c r="M74" s="13">
        <f t="shared" si="23"/>
        <v>92.388118692660797</v>
      </c>
      <c r="N74" s="13">
        <f t="shared" si="24"/>
        <v>93.046097091685766</v>
      </c>
      <c r="O74" s="14">
        <f t="shared" si="25"/>
        <v>580.79920969860132</v>
      </c>
      <c r="P74" s="14">
        <f t="shared" si="25"/>
        <v>383.5568697213958</v>
      </c>
      <c r="Q74" s="14">
        <f t="shared" si="25"/>
        <v>855.92282565161781</v>
      </c>
      <c r="R74" s="14">
        <f t="shared" si="25"/>
        <v>334.54256301546081</v>
      </c>
      <c r="S74" s="50">
        <f t="shared" si="16"/>
        <v>2154.8214680870756</v>
      </c>
      <c r="T74" s="50"/>
    </row>
    <row r="75" spans="1:20" x14ac:dyDescent="0.35">
      <c r="A75" s="7">
        <f t="shared" si="15"/>
        <v>70</v>
      </c>
      <c r="B75" s="42">
        <v>45294</v>
      </c>
      <c r="C75" s="58" cm="1">
        <f t="array" ref="C75">BonoM(100,C$2,-$B75+C$1,Portafolio!C75)</f>
        <v>91.090693380679596</v>
      </c>
      <c r="D75" s="58" cm="1">
        <f t="array" ref="D75">BonoM(100,D$2,-$B75+D$1,Portafolio!D75)</f>
        <v>98.304876446426661</v>
      </c>
      <c r="E75" s="58" cm="1">
        <f t="array" ref="E75">BonoM(100,E$2,-$B75+E$1,Portafolio!E75)</f>
        <v>93.56650474516762</v>
      </c>
      <c r="F75" s="58" cm="1">
        <f t="array" ref="F75">BonoM(100,F$2,-$B75+F$1,Portafolio!F75)</f>
        <v>95.550407217173515</v>
      </c>
      <c r="G75" s="6">
        <f t="shared" si="17"/>
        <v>9.807493864315564E-4</v>
      </c>
      <c r="H75" s="6">
        <f t="shared" si="18"/>
        <v>-1.8854234540082171E-3</v>
      </c>
      <c r="I75" s="6">
        <f t="shared" si="19"/>
        <v>-1.943992411727713E-3</v>
      </c>
      <c r="J75" s="6">
        <f t="shared" si="20"/>
        <v>-1.3869906253312081E-3</v>
      </c>
      <c r="K75" s="13">
        <f t="shared" si="21"/>
        <v>89.641471073914417</v>
      </c>
      <c r="L75" s="13">
        <f t="shared" si="22"/>
        <v>98.024722277537435</v>
      </c>
      <c r="M75" s="13">
        <f t="shared" si="23"/>
        <v>92.635646350075234</v>
      </c>
      <c r="N75" s="13">
        <f t="shared" si="24"/>
        <v>93.251121582912731</v>
      </c>
      <c r="O75" s="14">
        <f t="shared" si="25"/>
        <v>-289.83794020804652</v>
      </c>
      <c r="P75" s="14">
        <f t="shared" si="25"/>
        <v>277.75084363702263</v>
      </c>
      <c r="Q75" s="14">
        <f t="shared" si="25"/>
        <v>360.86751082274304</v>
      </c>
      <c r="R75" s="14">
        <f t="shared" si="25"/>
        <v>129.51807178849606</v>
      </c>
      <c r="S75" s="50">
        <f t="shared" si="16"/>
        <v>478.29848604021521</v>
      </c>
      <c r="T75" s="50"/>
    </row>
    <row r="76" spans="1:20" x14ac:dyDescent="0.35">
      <c r="A76" s="7">
        <f t="shared" si="15"/>
        <v>71</v>
      </c>
      <c r="B76" s="42">
        <v>45293</v>
      </c>
      <c r="C76" s="58" cm="1">
        <f t="array" ref="C76">BonoM(100,C$2,-$B76+C$1,Portafolio!C76)</f>
        <v>91.001443770537264</v>
      </c>
      <c r="D76" s="58" cm="1">
        <f t="array" ref="D76">BonoM(100,D$2,-$B76+D$1,Portafolio!D76)</f>
        <v>98.490572882538103</v>
      </c>
      <c r="E76" s="58" cm="1">
        <f t="array" ref="E76">BonoM(100,E$2,-$B76+E$1,Portafolio!E76)</f>
        <v>93.748751606900385</v>
      </c>
      <c r="F76" s="58" cm="1">
        <f t="array" ref="F76">BonoM(100,F$2,-$B76+F$1,Portafolio!F76)</f>
        <v>95.683118805959836</v>
      </c>
      <c r="G76" s="6">
        <f t="shared" si="17"/>
        <v>-4.5566235288104773E-3</v>
      </c>
      <c r="H76" s="6">
        <f t="shared" si="18"/>
        <v>1.3586242888766087E-2</v>
      </c>
      <c r="I76" s="6">
        <f t="shared" si="19"/>
        <v>1.5758231474034989E-2</v>
      </c>
      <c r="J76" s="6">
        <f t="shared" si="20"/>
        <v>2.4996955937647725E-2</v>
      </c>
      <c r="K76" s="13">
        <f t="shared" si="21"/>
        <v>89.145579165592096</v>
      </c>
      <c r="L76" s="13">
        <f t="shared" si="22"/>
        <v>99.544192919544727</v>
      </c>
      <c r="M76" s="13">
        <f t="shared" si="23"/>
        <v>94.278697380301438</v>
      </c>
      <c r="N76" s="13">
        <f t="shared" si="24"/>
        <v>95.714871389579159</v>
      </c>
      <c r="O76" s="14">
        <f t="shared" si="25"/>
        <v>1346.605357255612</v>
      </c>
      <c r="P76" s="14">
        <f t="shared" si="25"/>
        <v>-2001.4551193739153</v>
      </c>
      <c r="Q76" s="14">
        <f t="shared" si="25"/>
        <v>-2925.2345496296639</v>
      </c>
      <c r="R76" s="14">
        <f t="shared" si="25"/>
        <v>-2334.2317348779316</v>
      </c>
      <c r="S76" s="50">
        <f t="shared" si="16"/>
        <v>-5914.3160466258987</v>
      </c>
      <c r="T76" s="50"/>
    </row>
    <row r="77" spans="1:20" x14ac:dyDescent="0.35">
      <c r="A77" s="7">
        <f t="shared" si="15"/>
        <v>72</v>
      </c>
      <c r="B77" s="42">
        <v>45290</v>
      </c>
      <c r="C77" s="58" cm="1">
        <f t="array" ref="C77">BonoM(100,C$2,-$B77+C$1,Portafolio!C77)</f>
        <v>91.418001185696838</v>
      </c>
      <c r="D77" s="58" cm="1">
        <f t="array" ref="D77">BonoM(100,D$2,-$B77+D$1,Portafolio!D77)</f>
        <v>97.170392330736036</v>
      </c>
      <c r="E77" s="58" cm="1">
        <f t="array" ref="E77">BonoM(100,E$2,-$B77+E$1,Portafolio!E77)</f>
        <v>92.294355784698169</v>
      </c>
      <c r="F77" s="58" cm="1">
        <f t="array" ref="F77">BonoM(100,F$2,-$B77+F$1,Portafolio!F77)</f>
        <v>93.349661432341264</v>
      </c>
      <c r="G77" s="6">
        <f t="shared" si="17"/>
        <v>2.5181263147344701E-4</v>
      </c>
      <c r="H77" s="6">
        <f t="shared" si="18"/>
        <v>-1.8171859526634915E-2</v>
      </c>
      <c r="I77" s="6">
        <f t="shared" si="19"/>
        <v>-2.2696209457939265E-2</v>
      </c>
      <c r="J77" s="6">
        <f t="shared" si="20"/>
        <v>-3.5461660115273741E-2</v>
      </c>
      <c r="K77" s="13">
        <f t="shared" si="21"/>
        <v>89.576192133161214</v>
      </c>
      <c r="L77" s="13">
        <f t="shared" si="22"/>
        <v>96.425233190387985</v>
      </c>
      <c r="M77" s="13">
        <f t="shared" si="23"/>
        <v>90.709506910347613</v>
      </c>
      <c r="N77" s="13">
        <f t="shared" si="24"/>
        <v>90.069207149919364</v>
      </c>
      <c r="O77" s="14">
        <f t="shared" si="25"/>
        <v>-74.417435722477876</v>
      </c>
      <c r="P77" s="14">
        <f t="shared" si="25"/>
        <v>2676.9844743611984</v>
      </c>
      <c r="Q77" s="14">
        <f t="shared" si="25"/>
        <v>4213.1463902779842</v>
      </c>
      <c r="R77" s="14">
        <f t="shared" si="25"/>
        <v>3311.4325047818625</v>
      </c>
      <c r="S77" s="50">
        <f t="shared" si="16"/>
        <v>10127.145933698566</v>
      </c>
      <c r="T77" s="50"/>
    </row>
    <row r="78" spans="1:20" x14ac:dyDescent="0.35">
      <c r="A78" s="7">
        <f t="shared" si="15"/>
        <v>73</v>
      </c>
      <c r="B78" s="42">
        <v>45289</v>
      </c>
      <c r="C78" s="58" cm="1">
        <f t="array" ref="C78">BonoM(100,C$2,-$B78+C$1,Portafolio!C78)</f>
        <v>91.394986773573905</v>
      </c>
      <c r="D78" s="58" cm="1">
        <f t="array" ref="D78">BonoM(100,D$2,-$B78+D$1,Portafolio!D78)</f>
        <v>98.968840192223098</v>
      </c>
      <c r="E78" s="58" cm="1">
        <f t="array" ref="E78">BonoM(100,E$2,-$B78+E$1,Portafolio!E78)</f>
        <v>94.437734385034133</v>
      </c>
      <c r="F78" s="58" cm="1">
        <f t="array" ref="F78">BonoM(100,F$2,-$B78+F$1,Portafolio!F78)</f>
        <v>96.781701226617542</v>
      </c>
      <c r="G78" s="6">
        <f t="shared" si="17"/>
        <v>1.5134722421075164E-3</v>
      </c>
      <c r="H78" s="6">
        <f t="shared" si="18"/>
        <v>4.5351583216826086E-3</v>
      </c>
      <c r="I78" s="6">
        <f t="shared" si="19"/>
        <v>5.4836633225483489E-3</v>
      </c>
      <c r="J78" s="6">
        <f t="shared" si="20"/>
        <v>3.1306343018864258E-3</v>
      </c>
      <c r="K78" s="13">
        <f t="shared" si="21"/>
        <v>89.689178345494568</v>
      </c>
      <c r="L78" s="13">
        <f t="shared" si="22"/>
        <v>98.655286904296304</v>
      </c>
      <c r="M78" s="13">
        <f t="shared" si="23"/>
        <v>93.325052239703766</v>
      </c>
      <c r="N78" s="13">
        <f t="shared" si="24"/>
        <v>93.672980288336333</v>
      </c>
      <c r="O78" s="14">
        <f t="shared" si="25"/>
        <v>-447.27193642254548</v>
      </c>
      <c r="P78" s="14">
        <f t="shared" si="25"/>
        <v>-668.09609650128004</v>
      </c>
      <c r="Q78" s="14">
        <f t="shared" si="25"/>
        <v>-1017.9442684343201</v>
      </c>
      <c r="R78" s="14">
        <f t="shared" si="25"/>
        <v>-292.34063363510643</v>
      </c>
      <c r="S78" s="50">
        <f t="shared" si="16"/>
        <v>-2425.6529349932516</v>
      </c>
      <c r="T78" s="50"/>
    </row>
    <row r="79" spans="1:20" x14ac:dyDescent="0.35">
      <c r="A79" s="7">
        <f t="shared" si="15"/>
        <v>74</v>
      </c>
      <c r="B79" s="42">
        <v>45288</v>
      </c>
      <c r="C79" s="58" cm="1">
        <f t="array" ref="C79">BonoM(100,C$2,-$B79+C$1,Portafolio!C79)</f>
        <v>91.256872030853643</v>
      </c>
      <c r="D79" s="58" cm="1">
        <f t="array" ref="D79">BonoM(100,D$2,-$B79+D$1,Portafolio!D79)</f>
        <v>98.522027200694822</v>
      </c>
      <c r="E79" s="58" cm="1">
        <f t="array" ref="E79">BonoM(100,E$2,-$B79+E$1,Portafolio!E79)</f>
        <v>93.922693953048864</v>
      </c>
      <c r="F79" s="58" cm="1">
        <f t="array" ref="F79">BonoM(100,F$2,-$B79+F$1,Portafolio!F79)</f>
        <v>96.479658697664348</v>
      </c>
      <c r="G79" s="6">
        <f t="shared" si="17"/>
        <v>1.5435517012836186E-3</v>
      </c>
      <c r="H79" s="6">
        <f t="shared" si="18"/>
        <v>2.2162694101446334E-3</v>
      </c>
      <c r="I79" s="6">
        <f t="shared" si="19"/>
        <v>2.7772066976874399E-3</v>
      </c>
      <c r="J79" s="6">
        <f t="shared" si="20"/>
        <v>3.2112614211963209E-3</v>
      </c>
      <c r="K79" s="13">
        <f t="shared" si="21"/>
        <v>89.691872070594982</v>
      </c>
      <c r="L79" s="13">
        <f t="shared" si="22"/>
        <v>98.427549080516016</v>
      </c>
      <c r="M79" s="13">
        <f t="shared" si="23"/>
        <v>93.073849544808652</v>
      </c>
      <c r="N79" s="13">
        <f t="shared" si="24"/>
        <v>93.680509300311002</v>
      </c>
      <c r="O79" s="14">
        <f t="shared" si="25"/>
        <v>-456.16122925391238</v>
      </c>
      <c r="P79" s="14">
        <f t="shared" si="25"/>
        <v>-326.48936083084834</v>
      </c>
      <c r="Q79" s="14">
        <f t="shared" si="25"/>
        <v>-515.53887864409376</v>
      </c>
      <c r="R79" s="14">
        <f t="shared" si="25"/>
        <v>-299.86964560977469</v>
      </c>
      <c r="S79" s="50">
        <f t="shared" si="16"/>
        <v>-1598.0591143386291</v>
      </c>
      <c r="T79" s="50"/>
    </row>
    <row r="80" spans="1:20" x14ac:dyDescent="0.35">
      <c r="A80" s="7">
        <f t="shared" si="15"/>
        <v>75</v>
      </c>
      <c r="B80" s="42">
        <v>45287</v>
      </c>
      <c r="C80" s="58" cm="1">
        <f t="array" ref="C80">BonoM(100,C$2,-$B80+C$1,Portafolio!C80)</f>
        <v>91.116229419917971</v>
      </c>
      <c r="D80" s="58" cm="1">
        <f t="array" ref="D80">BonoM(100,D$2,-$B80+D$1,Portafolio!D80)</f>
        <v>98.304158700876059</v>
      </c>
      <c r="E80" s="58" cm="1">
        <f t="array" ref="E80">BonoM(100,E$2,-$B80+E$1,Portafolio!E80)</f>
        <v>93.662573626251387</v>
      </c>
      <c r="F80" s="58" cm="1">
        <f t="array" ref="F80">BonoM(100,F$2,-$B80+F$1,Portafolio!F80)</f>
        <v>96.170829024573266</v>
      </c>
      <c r="G80" s="6">
        <f t="shared" si="17"/>
        <v>2.7820089604888576E-3</v>
      </c>
      <c r="H80" s="6">
        <f t="shared" si="18"/>
        <v>4.5377137490403285E-3</v>
      </c>
      <c r="I80" s="6">
        <f t="shared" si="19"/>
        <v>6.3102769784471047E-3</v>
      </c>
      <c r="J80" s="6">
        <f t="shared" si="20"/>
        <v>6.0130618862956897E-3</v>
      </c>
      <c r="K80" s="13">
        <f t="shared" si="21"/>
        <v>89.802780427868967</v>
      </c>
      <c r="L80" s="13">
        <f t="shared" si="22"/>
        <v>98.655537872534751</v>
      </c>
      <c r="M80" s="13">
        <f t="shared" si="23"/>
        <v>93.40177527900596</v>
      </c>
      <c r="N80" s="13">
        <f t="shared" si="24"/>
        <v>93.94214321992682</v>
      </c>
      <c r="O80" s="14">
        <f t="shared" si="25"/>
        <v>-822.15880825806244</v>
      </c>
      <c r="P80" s="14">
        <f t="shared" si="25"/>
        <v>-668.47254885895063</v>
      </c>
      <c r="Q80" s="14">
        <f t="shared" si="25"/>
        <v>-1171.3903470387095</v>
      </c>
      <c r="R80" s="14">
        <f t="shared" si="25"/>
        <v>-561.50356522559264</v>
      </c>
      <c r="S80" s="50">
        <f t="shared" si="16"/>
        <v>-3223.5252693813154</v>
      </c>
      <c r="T80" s="50"/>
    </row>
    <row r="81" spans="1:20" x14ac:dyDescent="0.35">
      <c r="A81" s="7">
        <f t="shared" si="15"/>
        <v>76</v>
      </c>
      <c r="B81" s="42">
        <v>45286</v>
      </c>
      <c r="C81" s="58" cm="1">
        <f t="array" ref="C81">BonoM(100,C$2,-$B81+C$1,Portafolio!C81)</f>
        <v>90.86344649758081</v>
      </c>
      <c r="D81" s="58" cm="1">
        <f t="array" ref="D81">BonoM(100,D$2,-$B81+D$1,Portafolio!D81)</f>
        <v>97.860097590556961</v>
      </c>
      <c r="E81" s="58" cm="1">
        <f t="array" ref="E81">BonoM(100,E$2,-$B81+E$1,Portafolio!E81)</f>
        <v>93.075243062689538</v>
      </c>
      <c r="F81" s="58" cm="1">
        <f t="array" ref="F81">BonoM(100,F$2,-$B81+F$1,Portafolio!F81)</f>
        <v>95.596004334427761</v>
      </c>
      <c r="G81" s="6">
        <f t="shared" si="17"/>
        <v>1.0484762714766171E-2</v>
      </c>
      <c r="H81" s="6">
        <f t="shared" si="18"/>
        <v>1.4069639698142566E-2</v>
      </c>
      <c r="I81" s="6">
        <f t="shared" si="19"/>
        <v>1.9360779989763266E-2</v>
      </c>
      <c r="J81" s="6">
        <f t="shared" si="20"/>
        <v>3.2151832732364216E-2</v>
      </c>
      <c r="K81" s="13">
        <f t="shared" si="21"/>
        <v>90.492590075333993</v>
      </c>
      <c r="L81" s="13">
        <f t="shared" si="22"/>
        <v>99.591667266781442</v>
      </c>
      <c r="M81" s="13">
        <f t="shared" si="23"/>
        <v>94.613071811921174</v>
      </c>
      <c r="N81" s="13">
        <f t="shared" si="24"/>
        <v>96.382998361320361</v>
      </c>
      <c r="O81" s="14">
        <f t="shared" si="25"/>
        <v>-3098.5306448926481</v>
      </c>
      <c r="P81" s="14">
        <f t="shared" si="25"/>
        <v>-2072.6666402289879</v>
      </c>
      <c r="Q81" s="14">
        <f t="shared" si="25"/>
        <v>-3593.9834128691359</v>
      </c>
      <c r="R81" s="14">
        <f t="shared" si="25"/>
        <v>-3002.358706619134</v>
      </c>
      <c r="S81" s="50">
        <f t="shared" si="16"/>
        <v>-11767.539404609906</v>
      </c>
      <c r="T81" s="50"/>
    </row>
    <row r="82" spans="1:20" x14ac:dyDescent="0.35">
      <c r="A82" s="7">
        <f t="shared" si="15"/>
        <v>77</v>
      </c>
      <c r="B82" s="42">
        <v>45283</v>
      </c>
      <c r="C82" s="58" cm="1">
        <f t="array" ref="C82">BonoM(100,C$2,-$B82+C$1,Portafolio!C82)</f>
        <v>89.920649821049523</v>
      </c>
      <c r="D82" s="58" cm="1">
        <f t="array" ref="D82">BonoM(100,D$2,-$B82+D$1,Portafolio!D82)</f>
        <v>96.502344375172214</v>
      </c>
      <c r="E82" s="58" cm="1">
        <f t="array" ref="E82">BonoM(100,E$2,-$B82+E$1,Portafolio!E82)</f>
        <v>91.307459429255488</v>
      </c>
      <c r="F82" s="58" cm="1">
        <f t="array" ref="F82">BonoM(100,F$2,-$B82+F$1,Portafolio!F82)</f>
        <v>92.618160722886302</v>
      </c>
      <c r="G82" s="6">
        <f t="shared" si="17"/>
        <v>-9.6385262652607384E-3</v>
      </c>
      <c r="H82" s="6">
        <f t="shared" si="18"/>
        <v>-1.3322005615662991E-2</v>
      </c>
      <c r="I82" s="6">
        <f t="shared" si="19"/>
        <v>-2.0126733752461545E-2</v>
      </c>
      <c r="J82" s="6">
        <f t="shared" si="20"/>
        <v>-2.7003137064021021E-2</v>
      </c>
      <c r="K82" s="13">
        <f t="shared" si="21"/>
        <v>88.690476270327437</v>
      </c>
      <c r="L82" s="13">
        <f t="shared" si="22"/>
        <v>96.901536807107831</v>
      </c>
      <c r="M82" s="13">
        <f t="shared" si="23"/>
        <v>90.947995573256335</v>
      </c>
      <c r="N82" s="13">
        <f t="shared" si="24"/>
        <v>90.859069442979376</v>
      </c>
      <c r="O82" s="14">
        <f t="shared" si="25"/>
        <v>2848.4449116289866</v>
      </c>
      <c r="P82" s="14">
        <f t="shared" si="25"/>
        <v>1962.5290492814288</v>
      </c>
      <c r="Q82" s="14">
        <f t="shared" si="25"/>
        <v>3736.1690644605405</v>
      </c>
      <c r="R82" s="14">
        <f t="shared" si="25"/>
        <v>2521.5702117218511</v>
      </c>
      <c r="S82" s="50">
        <f t="shared" si="16"/>
        <v>11068.713237092807</v>
      </c>
      <c r="T82" s="50"/>
    </row>
    <row r="83" spans="1:20" x14ac:dyDescent="0.35">
      <c r="A83" s="7">
        <f t="shared" si="15"/>
        <v>78</v>
      </c>
      <c r="B83" s="42">
        <v>45282</v>
      </c>
      <c r="C83" s="58" cm="1">
        <f t="array" ref="C83">BonoM(100,C$2,-$B83+C$1,Portafolio!C83)</f>
        <v>90.795787402705528</v>
      </c>
      <c r="D83" s="58" cm="1">
        <f t="array" ref="D83">BonoM(100,D$2,-$B83+D$1,Portafolio!D83)</f>
        <v>97.805307227295899</v>
      </c>
      <c r="E83" s="58" cm="1">
        <f t="array" ref="E83">BonoM(100,E$2,-$B83+E$1,Portafolio!E83)</f>
        <v>93.182927399296076</v>
      </c>
      <c r="F83" s="58" cm="1">
        <f t="array" ref="F83">BonoM(100,F$2,-$B83+F$1,Portafolio!F83)</f>
        <v>95.188550190608751</v>
      </c>
      <c r="G83" s="6">
        <f t="shared" si="17"/>
        <v>-2.5391706408917081E-5</v>
      </c>
      <c r="H83" s="6">
        <f t="shared" si="18"/>
        <v>-6.1172799438358183E-4</v>
      </c>
      <c r="I83" s="6">
        <f t="shared" si="19"/>
        <v>1.2937669369625926E-3</v>
      </c>
      <c r="J83" s="6">
        <f t="shared" si="20"/>
        <v>-5.723671633443006E-4</v>
      </c>
      <c r="K83" s="13">
        <f t="shared" si="21"/>
        <v>89.551367475293347</v>
      </c>
      <c r="L83" s="13">
        <f t="shared" si="22"/>
        <v>98.14981176789226</v>
      </c>
      <c r="M83" s="13">
        <f t="shared" si="23"/>
        <v>92.936162481145558</v>
      </c>
      <c r="N83" s="13">
        <f t="shared" si="24"/>
        <v>93.327191642870787</v>
      </c>
      <c r="O83" s="14">
        <f t="shared" si="25"/>
        <v>7.5039352414847826</v>
      </c>
      <c r="P83" s="14">
        <f t="shared" si="25"/>
        <v>90.116608104786167</v>
      </c>
      <c r="Q83" s="14">
        <f t="shared" si="25"/>
        <v>-240.16475131790571</v>
      </c>
      <c r="R83" s="14">
        <f t="shared" si="25"/>
        <v>53.448011830440123</v>
      </c>
      <c r="S83" s="50">
        <f t="shared" si="16"/>
        <v>-89.096196141194639</v>
      </c>
      <c r="T83" s="50"/>
    </row>
    <row r="84" spans="1:20" x14ac:dyDescent="0.35">
      <c r="A84" s="7">
        <f t="shared" si="15"/>
        <v>79</v>
      </c>
      <c r="B84" s="42">
        <v>45281</v>
      </c>
      <c r="C84" s="58" cm="1">
        <f t="array" ref="C84">BonoM(100,C$2,-$B84+C$1,Portafolio!C84)</f>
        <v>90.798092921223471</v>
      </c>
      <c r="D84" s="58" cm="1">
        <f t="array" ref="D84">BonoM(100,D$2,-$B84+D$1,Portafolio!D84)</f>
        <v>97.865174093964399</v>
      </c>
      <c r="E84" s="58" cm="1">
        <f t="array" ref="E84">BonoM(100,E$2,-$B84+E$1,Portafolio!E84)</f>
        <v>93.062526179854373</v>
      </c>
      <c r="F84" s="58" cm="1">
        <f t="array" ref="F84">BonoM(100,F$2,-$B84+F$1,Portafolio!F84)</f>
        <v>95.243064193089168</v>
      </c>
      <c r="G84" s="6">
        <f t="shared" si="17"/>
        <v>-8.7165104672093374E-4</v>
      </c>
      <c r="H84" s="6">
        <f t="shared" si="18"/>
        <v>-1.4719165088512565E-3</v>
      </c>
      <c r="I84" s="6">
        <f t="shared" si="19"/>
        <v>-1.4051333869599114E-3</v>
      </c>
      <c r="J84" s="6">
        <f t="shared" si="20"/>
        <v>-3.8537067100331557E-3</v>
      </c>
      <c r="K84" s="13">
        <f t="shared" si="21"/>
        <v>89.475581869803818</v>
      </c>
      <c r="L84" s="13">
        <f t="shared" si="22"/>
        <v>98.065332748931525</v>
      </c>
      <c r="M84" s="13">
        <f t="shared" si="23"/>
        <v>92.685661132483645</v>
      </c>
      <c r="N84" s="13">
        <f t="shared" si="24"/>
        <v>93.020778057076711</v>
      </c>
      <c r="O84" s="14">
        <f t="shared" si="25"/>
        <v>257.59643335692886</v>
      </c>
      <c r="P84" s="14">
        <f t="shared" si="25"/>
        <v>216.83513654588893</v>
      </c>
      <c r="Q84" s="14">
        <f t="shared" si="25"/>
        <v>260.83794600592114</v>
      </c>
      <c r="R84" s="14">
        <f t="shared" si="25"/>
        <v>359.86159762451564</v>
      </c>
      <c r="S84" s="50">
        <f t="shared" si="16"/>
        <v>1095.1311135332544</v>
      </c>
      <c r="T84" s="50"/>
    </row>
    <row r="85" spans="1:20" x14ac:dyDescent="0.35">
      <c r="A85" s="7">
        <f t="shared" si="15"/>
        <v>80</v>
      </c>
      <c r="B85" s="42">
        <v>45280</v>
      </c>
      <c r="C85" s="58" cm="1">
        <f t="array" ref="C85">BonoM(100,C$2,-$B85+C$1,Portafolio!C85)</f>
        <v>90.877306220313585</v>
      </c>
      <c r="D85" s="58" cm="1">
        <f t="array" ref="D85">BonoM(100,D$2,-$B85+D$1,Portafolio!D85)</f>
        <v>98.00943580054242</v>
      </c>
      <c r="E85" s="58" cm="1">
        <f t="array" ref="E85">BonoM(100,E$2,-$B85+E$1,Portafolio!E85)</f>
        <v>93.193475443647074</v>
      </c>
      <c r="F85" s="58" cm="1">
        <f t="array" ref="F85">BonoM(100,F$2,-$B85+F$1,Portafolio!F85)</f>
        <v>95.611522960679224</v>
      </c>
      <c r="G85" s="6">
        <f t="shared" si="17"/>
        <v>2.5161348603897071E-3</v>
      </c>
      <c r="H85" s="6">
        <f t="shared" si="18"/>
        <v>4.9876193455939966E-3</v>
      </c>
      <c r="I85" s="6">
        <f t="shared" si="19"/>
        <v>4.1127392397475315E-3</v>
      </c>
      <c r="J85" s="6">
        <f t="shared" si="20"/>
        <v>4.3663080386742159E-3</v>
      </c>
      <c r="K85" s="13">
        <f t="shared" si="21"/>
        <v>89.778970434052454</v>
      </c>
      <c r="L85" s="13">
        <f t="shared" si="22"/>
        <v>98.699723051460694</v>
      </c>
      <c r="M85" s="13">
        <f t="shared" si="23"/>
        <v>93.197808440215994</v>
      </c>
      <c r="N85" s="13">
        <f t="shared" si="24"/>
        <v>93.788368292282087</v>
      </c>
      <c r="O85" s="14">
        <f t="shared" si="25"/>
        <v>-743.58582866356778</v>
      </c>
      <c r="P85" s="14">
        <f t="shared" si="25"/>
        <v>-734.75031724786527</v>
      </c>
      <c r="Q85" s="14">
        <f t="shared" si="25"/>
        <v>-763.4566694587761</v>
      </c>
      <c r="R85" s="14">
        <f t="shared" si="25"/>
        <v>-407.72863758085975</v>
      </c>
      <c r="S85" s="50">
        <f t="shared" si="16"/>
        <v>-2649.521452951069</v>
      </c>
      <c r="T85" s="50"/>
    </row>
    <row r="86" spans="1:20" x14ac:dyDescent="0.35">
      <c r="A86" s="7">
        <f t="shared" si="15"/>
        <v>81</v>
      </c>
      <c r="B86" s="42">
        <v>45279</v>
      </c>
      <c r="C86" s="58" cm="1">
        <f t="array" ref="C86">BonoM(100,C$2,-$B86+C$1,Portafolio!C86)</f>
        <v>90.649220556404458</v>
      </c>
      <c r="D86" s="58" cm="1">
        <f t="array" ref="D86">BonoM(100,D$2,-$B86+D$1,Portafolio!D86)</f>
        <v>97.523028059153688</v>
      </c>
      <c r="E86" s="58" cm="1">
        <f t="array" ref="E86">BonoM(100,E$2,-$B86+E$1,Portafolio!E86)</f>
        <v>92.811764856411898</v>
      </c>
      <c r="F86" s="58" cm="1">
        <f t="array" ref="F86">BonoM(100,F$2,-$B86+F$1,Portafolio!F86)</f>
        <v>95.19586847490865</v>
      </c>
      <c r="G86" s="6">
        <f t="shared" si="17"/>
        <v>-8.1595466420814056E-4</v>
      </c>
      <c r="H86" s="6">
        <f t="shared" si="18"/>
        <v>-4.0456705448227437E-3</v>
      </c>
      <c r="I86" s="6">
        <f t="shared" si="19"/>
        <v>-4.7043093775577249E-3</v>
      </c>
      <c r="J86" s="6">
        <f t="shared" si="20"/>
        <v>-4.6760742711887682E-3</v>
      </c>
      <c r="K86" s="13">
        <f t="shared" si="21"/>
        <v>89.480569683670367</v>
      </c>
      <c r="L86" s="13">
        <f t="shared" si="22"/>
        <v>97.812564649441526</v>
      </c>
      <c r="M86" s="13">
        <f t="shared" si="23"/>
        <v>92.379444549458213</v>
      </c>
      <c r="N86" s="13">
        <f t="shared" si="24"/>
        <v>92.943984848184726</v>
      </c>
      <c r="O86" s="14">
        <f t="shared" si="25"/>
        <v>241.13664759731677</v>
      </c>
      <c r="P86" s="14">
        <f t="shared" si="25"/>
        <v>595.98728578088617</v>
      </c>
      <c r="Q86" s="14">
        <f t="shared" si="25"/>
        <v>873.2711120567842</v>
      </c>
      <c r="R86" s="14">
        <f t="shared" si="25"/>
        <v>436.65480651650057</v>
      </c>
      <c r="S86" s="50">
        <f t="shared" si="16"/>
        <v>2147.0498519514877</v>
      </c>
      <c r="T86" s="50"/>
    </row>
    <row r="87" spans="1:20" x14ac:dyDescent="0.35">
      <c r="A87" s="7">
        <f t="shared" si="15"/>
        <v>82</v>
      </c>
      <c r="B87" s="42">
        <v>45278</v>
      </c>
      <c r="C87" s="58" cm="1">
        <f t="array" ref="C87">BonoM(100,C$2,-$B87+C$1,Portafolio!C87)</f>
        <v>90.723246612630135</v>
      </c>
      <c r="D87" s="58" cm="1">
        <f t="array" ref="D87">BonoM(100,D$2,-$B87+D$1,Portafolio!D87)</f>
        <v>97.919176788460049</v>
      </c>
      <c r="E87" s="58" cm="1">
        <f t="array" ref="E87">BonoM(100,E$2,-$B87+E$1,Portafolio!E87)</f>
        <v>93.250443793611609</v>
      </c>
      <c r="F87" s="58" cm="1">
        <f t="array" ref="F87">BonoM(100,F$2,-$B87+F$1,Portafolio!F87)</f>
        <v>95.64310272678604</v>
      </c>
      <c r="G87" s="6">
        <f t="shared" si="17"/>
        <v>9.2635127445375165E-3</v>
      </c>
      <c r="H87" s="6">
        <f t="shared" si="18"/>
        <v>1.4971720066378147E-2</v>
      </c>
      <c r="I87" s="6">
        <f t="shared" si="19"/>
        <v>1.8907703341627613E-2</v>
      </c>
      <c r="J87" s="6">
        <f t="shared" si="20"/>
        <v>2.8736074485679497E-2</v>
      </c>
      <c r="K87" s="13">
        <f t="shared" si="21"/>
        <v>90.383222693446413</v>
      </c>
      <c r="L87" s="13">
        <f t="shared" si="22"/>
        <v>99.680260480071965</v>
      </c>
      <c r="M87" s="13">
        <f t="shared" si="23"/>
        <v>94.571019013453892</v>
      </c>
      <c r="N87" s="13">
        <f t="shared" si="24"/>
        <v>96.06403267133912</v>
      </c>
      <c r="O87" s="14">
        <f t="shared" si="25"/>
        <v>-2737.6182846636339</v>
      </c>
      <c r="P87" s="14">
        <f t="shared" si="25"/>
        <v>-2205.5564601647716</v>
      </c>
      <c r="Q87" s="14">
        <f t="shared" si="25"/>
        <v>-3509.8778159345729</v>
      </c>
      <c r="R87" s="14">
        <f t="shared" si="25"/>
        <v>-2683.3930166378932</v>
      </c>
      <c r="S87" s="50">
        <f t="shared" si="16"/>
        <v>-11136.445577400871</v>
      </c>
      <c r="T87" s="50"/>
    </row>
    <row r="88" spans="1:20" x14ac:dyDescent="0.35">
      <c r="A88" s="7">
        <f t="shared" si="15"/>
        <v>83</v>
      </c>
      <c r="B88" s="42">
        <v>45276</v>
      </c>
      <c r="C88" s="58" cm="1">
        <f t="array" ref="C88">BonoM(100,C$2,-$B88+C$1,Portafolio!C88)</f>
        <v>89.89054440888502</v>
      </c>
      <c r="D88" s="58" cm="1">
        <f t="array" ref="D88">BonoM(100,D$2,-$B88+D$1,Portafolio!D88)</f>
        <v>96.47478333884635</v>
      </c>
      <c r="E88" s="58" cm="1">
        <f t="array" ref="E88">BonoM(100,E$2,-$B88+E$1,Portafolio!E88)</f>
        <v>91.520010583672899</v>
      </c>
      <c r="F88" s="58" cm="1">
        <f t="array" ref="F88">BonoM(100,F$2,-$B88+F$1,Portafolio!F88)</f>
        <v>92.971467705750641</v>
      </c>
      <c r="G88" s="6">
        <f t="shared" si="17"/>
        <v>-9.3155677082330524E-3</v>
      </c>
      <c r="H88" s="6">
        <f t="shared" si="18"/>
        <v>-1.5724071221468905E-2</v>
      </c>
      <c r="I88" s="6">
        <f t="shared" si="19"/>
        <v>-1.8375841004213855E-2</v>
      </c>
      <c r="J88" s="6">
        <f t="shared" si="20"/>
        <v>-2.5610812975296993E-2</v>
      </c>
      <c r="K88" s="13">
        <f t="shared" si="21"/>
        <v>88.719398385128954</v>
      </c>
      <c r="L88" s="13">
        <f t="shared" si="22"/>
        <v>96.665630209373958</v>
      </c>
      <c r="M88" s="13">
        <f t="shared" si="23"/>
        <v>91.110506574833806</v>
      </c>
      <c r="N88" s="13">
        <f t="shared" si="24"/>
        <v>90.989085556991071</v>
      </c>
      <c r="O88" s="14">
        <f t="shared" si="25"/>
        <v>2753.0019327839796</v>
      </c>
      <c r="P88" s="14">
        <f t="shared" si="25"/>
        <v>2316.3889458822382</v>
      </c>
      <c r="Q88" s="14">
        <f t="shared" si="25"/>
        <v>3411.1470613055985</v>
      </c>
      <c r="R88" s="14">
        <f t="shared" si="25"/>
        <v>2391.5540977101555</v>
      </c>
      <c r="S88" s="50">
        <f t="shared" si="16"/>
        <v>10872.092037681972</v>
      </c>
      <c r="T88" s="50"/>
    </row>
    <row r="89" spans="1:20" x14ac:dyDescent="0.35">
      <c r="A89" s="7">
        <f t="shared" si="15"/>
        <v>84</v>
      </c>
      <c r="B89" s="42">
        <v>45275</v>
      </c>
      <c r="C89" s="58" cm="1">
        <f t="array" ref="C89">BonoM(100,C$2,-$B89+C$1,Portafolio!C89)</f>
        <v>90.735799896380442</v>
      </c>
      <c r="D89" s="58" cm="1">
        <f t="array" ref="D89">BonoM(100,D$2,-$B89+D$1,Portafolio!D89)</f>
        <v>98.015993806299662</v>
      </c>
      <c r="E89" s="58" cm="1">
        <f t="array" ref="E89">BonoM(100,E$2,-$B89+E$1,Portafolio!E89)</f>
        <v>93.233249961267276</v>
      </c>
      <c r="F89" s="58" cm="1">
        <f t="array" ref="F89">BonoM(100,F$2,-$B89+F$1,Portafolio!F89)</f>
        <v>95.41512666990792</v>
      </c>
      <c r="G89" s="6">
        <f t="shared" si="17"/>
        <v>-4.5587751189978265E-3</v>
      </c>
      <c r="H89" s="6">
        <f t="shared" si="18"/>
        <v>-3.6358605298676405E-3</v>
      </c>
      <c r="I89" s="6">
        <f t="shared" si="19"/>
        <v>-4.1725197865095653E-3</v>
      </c>
      <c r="J89" s="6">
        <f t="shared" si="20"/>
        <v>-2.2236504768213816E-3</v>
      </c>
      <c r="K89" s="13">
        <f t="shared" si="21"/>
        <v>89.145386482856026</v>
      </c>
      <c r="L89" s="13">
        <f t="shared" si="22"/>
        <v>97.852812045728967</v>
      </c>
      <c r="M89" s="13">
        <f t="shared" si="23"/>
        <v>92.42880317474021</v>
      </c>
      <c r="N89" s="13">
        <f t="shared" si="24"/>
        <v>93.172993750807166</v>
      </c>
      <c r="O89" s="14">
        <f t="shared" si="25"/>
        <v>1347.2412102846447</v>
      </c>
      <c r="P89" s="14">
        <f t="shared" si="25"/>
        <v>535.61619134972466</v>
      </c>
      <c r="Q89" s="14">
        <f t="shared" si="25"/>
        <v>774.55386149279093</v>
      </c>
      <c r="R89" s="14">
        <f t="shared" si="25"/>
        <v>207.64590389406123</v>
      </c>
      <c r="S89" s="50">
        <f t="shared" si="16"/>
        <v>2865.0571670212212</v>
      </c>
      <c r="T89" s="50"/>
    </row>
    <row r="90" spans="1:20" x14ac:dyDescent="0.35">
      <c r="A90" s="7">
        <f t="shared" si="15"/>
        <v>85</v>
      </c>
      <c r="B90" s="42">
        <v>45274</v>
      </c>
      <c r="C90" s="58" cm="1">
        <f t="array" ref="C90">BonoM(100,C$2,-$B90+C$1,Portafolio!C90)</f>
        <v>91.151338349712461</v>
      </c>
      <c r="D90" s="58" cm="1">
        <f t="array" ref="D90">BonoM(100,D$2,-$B90+D$1,Portafolio!D90)</f>
        <v>98.373666738372066</v>
      </c>
      <c r="E90" s="58" cm="1">
        <f t="array" ref="E90">BonoM(100,E$2,-$B90+E$1,Portafolio!E90)</f>
        <v>93.623897526185431</v>
      </c>
      <c r="F90" s="58" cm="1">
        <f t="array" ref="F90">BonoM(100,F$2,-$B90+F$1,Portafolio!F90)</f>
        <v>95.627769404942583</v>
      </c>
      <c r="G90" s="6">
        <f t="shared" si="17"/>
        <v>6.5201148185825009E-3</v>
      </c>
      <c r="H90" s="6">
        <f t="shared" si="18"/>
        <v>7.6148489364689098E-3</v>
      </c>
      <c r="I90" s="6">
        <f t="shared" si="19"/>
        <v>8.0223171999909137E-3</v>
      </c>
      <c r="J90" s="6">
        <f t="shared" si="20"/>
        <v>2.0994203843085923E-2</v>
      </c>
      <c r="K90" s="13">
        <f t="shared" si="21"/>
        <v>90.137541419381463</v>
      </c>
      <c r="L90" s="13">
        <f t="shared" si="22"/>
        <v>98.957742979289065</v>
      </c>
      <c r="M90" s="13">
        <f t="shared" si="23"/>
        <v>93.560680141352591</v>
      </c>
      <c r="N90" s="13">
        <f t="shared" si="24"/>
        <v>95.341091838609771</v>
      </c>
      <c r="O90" s="14">
        <f t="shared" si="25"/>
        <v>-1926.8700802493001</v>
      </c>
      <c r="P90" s="14">
        <f t="shared" si="25"/>
        <v>-1121.7802089904226</v>
      </c>
      <c r="Q90" s="14">
        <f t="shared" si="25"/>
        <v>-1489.2000717319718</v>
      </c>
      <c r="R90" s="14">
        <f t="shared" si="25"/>
        <v>-1960.4521839085437</v>
      </c>
      <c r="S90" s="50">
        <f t="shared" si="16"/>
        <v>-6498.3025448802382</v>
      </c>
      <c r="T90" s="50"/>
    </row>
    <row r="91" spans="1:20" x14ac:dyDescent="0.35">
      <c r="A91" s="7">
        <f t="shared" si="15"/>
        <v>86</v>
      </c>
      <c r="B91" s="42">
        <v>45273</v>
      </c>
      <c r="C91" s="58" cm="1">
        <f t="array" ref="C91">BonoM(100,C$2,-$B91+C$1,Portafolio!C91)</f>
        <v>90.560871072250535</v>
      </c>
      <c r="D91" s="58" cm="1">
        <f t="array" ref="D91">BonoM(100,D$2,-$B91+D$1,Portafolio!D91)</f>
        <v>97.630227305805235</v>
      </c>
      <c r="E91" s="58" cm="1">
        <f t="array" ref="E91">BonoM(100,E$2,-$B91+E$1,Portafolio!E91)</f>
        <v>92.878794376544064</v>
      </c>
      <c r="F91" s="58" cm="1">
        <f t="array" ref="F91">BonoM(100,F$2,-$B91+F$1,Portafolio!F91)</f>
        <v>93.661422410620645</v>
      </c>
      <c r="G91" s="6">
        <f t="shared" si="17"/>
        <v>1.6466806569219283E-2</v>
      </c>
      <c r="H91" s="6">
        <f t="shared" si="18"/>
        <v>2.6287027129969998E-2</v>
      </c>
      <c r="I91" s="6">
        <f t="shared" si="19"/>
        <v>3.4637288836375735E-2</v>
      </c>
      <c r="J91" s="6">
        <f t="shared" si="20"/>
        <v>3.8096275816685177E-2</v>
      </c>
      <c r="K91" s="13">
        <f t="shared" si="21"/>
        <v>91.028303885485229</v>
      </c>
      <c r="L91" s="13">
        <f t="shared" si="22"/>
        <v>100.7915355365209</v>
      </c>
      <c r="M91" s="13">
        <f t="shared" si="23"/>
        <v>96.030977480760527</v>
      </c>
      <c r="N91" s="13">
        <f t="shared" si="24"/>
        <v>96.938094258925219</v>
      </c>
      <c r="O91" s="14">
        <f t="shared" si="25"/>
        <v>-4866.3862183917272</v>
      </c>
      <c r="P91" s="14">
        <f t="shared" si="25"/>
        <v>-3872.4690448381693</v>
      </c>
      <c r="Q91" s="14">
        <f t="shared" si="25"/>
        <v>-6429.7947505478423</v>
      </c>
      <c r="R91" s="14">
        <f t="shared" si="25"/>
        <v>-3557.4546042239917</v>
      </c>
      <c r="S91" s="50">
        <f t="shared" si="16"/>
        <v>-18726.104618001729</v>
      </c>
      <c r="T91" s="50"/>
    </row>
    <row r="92" spans="1:20" x14ac:dyDescent="0.35">
      <c r="A92" s="7">
        <f t="shared" si="15"/>
        <v>87</v>
      </c>
      <c r="B92" s="42">
        <v>45272</v>
      </c>
      <c r="C92" s="58" cm="1">
        <f t="array" ref="C92">BonoM(100,C$2,-$B92+C$1,Portafolio!C92)</f>
        <v>89.093781013776308</v>
      </c>
      <c r="D92" s="58" cm="1">
        <f t="array" ref="D92">BonoM(100,D$2,-$B92+D$1,Portafolio!D92)</f>
        <v>95.129554135386385</v>
      </c>
      <c r="E92" s="58" cm="1">
        <f t="array" ref="E92">BonoM(100,E$2,-$B92+E$1,Portafolio!E92)</f>
        <v>89.769424878357086</v>
      </c>
      <c r="F92" s="58" cm="1">
        <f t="array" ref="F92">BonoM(100,F$2,-$B92+F$1,Portafolio!F92)</f>
        <v>90.224215800153857</v>
      </c>
      <c r="G92" s="6">
        <f t="shared" si="17"/>
        <v>-1.0366559005044462E-2</v>
      </c>
      <c r="H92" s="6">
        <f t="shared" si="18"/>
        <v>-1.4982661974259126E-2</v>
      </c>
      <c r="I92" s="6">
        <f t="shared" si="19"/>
        <v>-1.9555613997806254E-2</v>
      </c>
      <c r="J92" s="6">
        <f t="shared" si="20"/>
        <v>-2.751797455574434E-2</v>
      </c>
      <c r="K92" s="13">
        <f t="shared" si="21"/>
        <v>88.625278287424976</v>
      </c>
      <c r="L92" s="13">
        <f t="shared" si="22"/>
        <v>96.738443929621624</v>
      </c>
      <c r="M92" s="13">
        <f t="shared" si="23"/>
        <v>91.001004670154245</v>
      </c>
      <c r="N92" s="13">
        <f t="shared" si="24"/>
        <v>90.810993588684028</v>
      </c>
      <c r="O92" s="14">
        <f t="shared" si="25"/>
        <v>3063.5982552071082</v>
      </c>
      <c r="P92" s="14">
        <f t="shared" si="25"/>
        <v>2207.168365510739</v>
      </c>
      <c r="Q92" s="14">
        <f t="shared" si="25"/>
        <v>3630.150870664721</v>
      </c>
      <c r="R92" s="14">
        <f t="shared" si="25"/>
        <v>2569.6460660171992</v>
      </c>
      <c r="S92" s="50">
        <f t="shared" si="16"/>
        <v>11470.563557399768</v>
      </c>
      <c r="T92" s="50"/>
    </row>
    <row r="93" spans="1:20" x14ac:dyDescent="0.35">
      <c r="A93" s="7">
        <f t="shared" si="15"/>
        <v>88</v>
      </c>
      <c r="B93" s="42">
        <v>45271</v>
      </c>
      <c r="C93" s="58" cm="1">
        <f t="array" ref="C93">BonoM(100,C$2,-$B93+C$1,Portafolio!C93)</f>
        <v>90.027051757874503</v>
      </c>
      <c r="D93" s="58" cm="1">
        <f t="array" ref="D93">BonoM(100,D$2,-$B93+D$1,Portafolio!D93)</f>
        <v>96.576527603111515</v>
      </c>
      <c r="E93" s="58" cm="1">
        <f t="array" ref="E93">BonoM(100,E$2,-$B93+E$1,Portafolio!E93)</f>
        <v>91.559935637344992</v>
      </c>
      <c r="F93" s="58" cm="1">
        <f t="array" ref="F93">BonoM(100,F$2,-$B93+F$1,Portafolio!F93)</f>
        <v>92.777258025861229</v>
      </c>
      <c r="G93" s="6">
        <f t="shared" si="17"/>
        <v>8.7756709900224106E-3</v>
      </c>
      <c r="H93" s="6">
        <f t="shared" si="18"/>
        <v>1.0300541584242984E-2</v>
      </c>
      <c r="I93" s="6">
        <f t="shared" si="19"/>
        <v>1.4714216025963678E-2</v>
      </c>
      <c r="J93" s="6">
        <f t="shared" si="20"/>
        <v>1.5333252911624129E-2</v>
      </c>
      <c r="K93" s="13">
        <f t="shared" si="21"/>
        <v>90.339534687905029</v>
      </c>
      <c r="L93" s="13">
        <f t="shared" si="22"/>
        <v>99.221504557475726</v>
      </c>
      <c r="M93" s="13">
        <f t="shared" si="23"/>
        <v>94.181795958841889</v>
      </c>
      <c r="N93" s="13">
        <f t="shared" si="24"/>
        <v>94.812468619575995</v>
      </c>
      <c r="O93" s="14">
        <f t="shared" si="25"/>
        <v>-2593.4478663770678</v>
      </c>
      <c r="P93" s="14">
        <f t="shared" si="25"/>
        <v>-1517.4225762704125</v>
      </c>
      <c r="Q93" s="14">
        <f t="shared" si="25"/>
        <v>-2731.4317067105662</v>
      </c>
      <c r="R93" s="14">
        <f t="shared" si="25"/>
        <v>-1431.828964874768</v>
      </c>
      <c r="S93" s="50">
        <f t="shared" si="16"/>
        <v>-8274.1311142328159</v>
      </c>
      <c r="T93" s="50"/>
    </row>
    <row r="94" spans="1:20" x14ac:dyDescent="0.35">
      <c r="A94" s="7">
        <f t="shared" si="15"/>
        <v>89</v>
      </c>
      <c r="B94" s="42">
        <v>45269</v>
      </c>
      <c r="C94" s="58" cm="1">
        <f t="array" ref="C94">BonoM(100,C$2,-$B94+C$1,Portafolio!C94)</f>
        <v>89.243876856705967</v>
      </c>
      <c r="D94" s="58" cm="1">
        <f t="array" ref="D94">BonoM(100,D$2,-$B94+D$1,Portafolio!D94)</f>
        <v>95.591879473479011</v>
      </c>
      <c r="E94" s="58" cm="1">
        <f t="array" ref="E94">BonoM(100,E$2,-$B94+E$1,Portafolio!E94)</f>
        <v>90.232238980479835</v>
      </c>
      <c r="F94" s="58" cm="1">
        <f t="array" ref="F94">BonoM(100,F$2,-$B94+F$1,Portafolio!F94)</f>
        <v>91.376164190238214</v>
      </c>
      <c r="G94" s="6">
        <f t="shared" si="17"/>
        <v>-1.0743022887491405E-2</v>
      </c>
      <c r="H94" s="6">
        <f t="shared" si="18"/>
        <v>-1.3714092208536255E-2</v>
      </c>
      <c r="I94" s="6">
        <f t="shared" si="19"/>
        <v>-1.9726636946726606E-2</v>
      </c>
      <c r="J94" s="6">
        <f t="shared" si="20"/>
        <v>-2.7160746575424111E-2</v>
      </c>
      <c r="K94" s="13">
        <f t="shared" si="21"/>
        <v>88.591564575898133</v>
      </c>
      <c r="L94" s="13">
        <f t="shared" si="22"/>
        <v>96.863030026144713</v>
      </c>
      <c r="M94" s="13">
        <f t="shared" si="23"/>
        <v>90.985130990427379</v>
      </c>
      <c r="N94" s="13">
        <f t="shared" si="24"/>
        <v>90.84435176598889</v>
      </c>
      <c r="O94" s="14">
        <f t="shared" si="25"/>
        <v>3174.8535032456912</v>
      </c>
      <c r="P94" s="14">
        <f t="shared" si="25"/>
        <v>2020.2892207261059</v>
      </c>
      <c r="Q94" s="14">
        <f t="shared" si="25"/>
        <v>3661.8982301184533</v>
      </c>
      <c r="R94" s="14">
        <f t="shared" si="25"/>
        <v>2536.287888712337</v>
      </c>
      <c r="S94" s="50">
        <f t="shared" si="16"/>
        <v>11393.328842802588</v>
      </c>
      <c r="T94" s="50"/>
    </row>
    <row r="95" spans="1:20" x14ac:dyDescent="0.35">
      <c r="A95" s="7">
        <f t="shared" si="15"/>
        <v>90</v>
      </c>
      <c r="B95" s="42">
        <v>45268</v>
      </c>
      <c r="C95" s="58" cm="1">
        <f t="array" ref="C95">BonoM(100,C$2,-$B95+C$1,Portafolio!C95)</f>
        <v>90.2130375842234</v>
      </c>
      <c r="D95" s="58" cm="1">
        <f t="array" ref="D95">BonoM(100,D$2,-$B95+D$1,Portafolio!D95)</f>
        <v>96.92106388048542</v>
      </c>
      <c r="E95" s="58" cm="1">
        <f t="array" ref="E95">BonoM(100,E$2,-$B95+E$1,Portafolio!E95)</f>
        <v>92.048037191821692</v>
      </c>
      <c r="F95" s="58" cm="1">
        <f t="array" ref="F95">BonoM(100,F$2,-$B95+F$1,Portafolio!F95)</f>
        <v>93.927299775967143</v>
      </c>
      <c r="G95" s="6">
        <f t="shared" si="17"/>
        <v>-1.7365325802239928E-3</v>
      </c>
      <c r="H95" s="6">
        <f t="shared" si="18"/>
        <v>-4.931208296928169E-3</v>
      </c>
      <c r="I95" s="6">
        <f t="shared" si="19"/>
        <v>-5.2717809268323368E-3</v>
      </c>
      <c r="J95" s="6">
        <f t="shared" si="20"/>
        <v>-5.9757861584827099E-3</v>
      </c>
      <c r="K95" s="13">
        <f t="shared" si="21"/>
        <v>89.398128579103272</v>
      </c>
      <c r="L95" s="13">
        <f t="shared" si="22"/>
        <v>97.725596084653304</v>
      </c>
      <c r="M95" s="13">
        <f t="shared" si="23"/>
        <v>92.326774064683164</v>
      </c>
      <c r="N95" s="13">
        <f t="shared" si="24"/>
        <v>92.822616920782409</v>
      </c>
      <c r="O95" s="14">
        <f t="shared" si="25"/>
        <v>513.19229266873231</v>
      </c>
      <c r="P95" s="14">
        <f t="shared" si="25"/>
        <v>726.4401329632193</v>
      </c>
      <c r="Q95" s="14">
        <f t="shared" si="25"/>
        <v>978.61208160688307</v>
      </c>
      <c r="R95" s="14">
        <f t="shared" si="25"/>
        <v>558.0227339188184</v>
      </c>
      <c r="S95" s="50">
        <f t="shared" si="16"/>
        <v>2776.2672411576532</v>
      </c>
      <c r="T95" s="50"/>
    </row>
    <row r="96" spans="1:20" x14ac:dyDescent="0.35">
      <c r="A96" s="7">
        <f t="shared" si="15"/>
        <v>91</v>
      </c>
      <c r="B96" s="42">
        <v>45267</v>
      </c>
      <c r="C96" s="58" cm="1">
        <f t="array" ref="C96">BonoM(100,C$2,-$B96+C$1,Portafolio!C96)</f>
        <v>90.369967977890809</v>
      </c>
      <c r="D96" s="58" cm="1">
        <f t="array" ref="D96">BonoM(100,D$2,-$B96+D$1,Portafolio!D96)</f>
        <v>97.401370325969012</v>
      </c>
      <c r="E96" s="58" cm="1">
        <f t="array" ref="E96">BonoM(100,E$2,-$B96+E$1,Portafolio!E96)</f>
        <v>92.535866005276219</v>
      </c>
      <c r="F96" s="58" cm="1">
        <f t="array" ref="F96">BonoM(100,F$2,-$B96+F$1,Portafolio!F96)</f>
        <v>94.49196354380004</v>
      </c>
      <c r="G96" s="6">
        <f t="shared" si="17"/>
        <v>-1.9988252987956923E-4</v>
      </c>
      <c r="H96" s="6">
        <f t="shared" si="18"/>
        <v>-3.9629788612262407E-2</v>
      </c>
      <c r="I96" s="6">
        <f t="shared" si="19"/>
        <v>-3.7317610665588252E-2</v>
      </c>
      <c r="J96" s="6">
        <f t="shared" si="20"/>
        <v>-4.2054864849029761E-2</v>
      </c>
      <c r="K96" s="13">
        <f t="shared" si="21"/>
        <v>89.535741186661525</v>
      </c>
      <c r="L96" s="13">
        <f t="shared" si="22"/>
        <v>94.317852345847442</v>
      </c>
      <c r="M96" s="13">
        <f t="shared" si="23"/>
        <v>89.352405764604001</v>
      </c>
      <c r="N96" s="13">
        <f t="shared" si="24"/>
        <v>89.453529474506823</v>
      </c>
      <c r="O96" s="14">
        <f t="shared" si="25"/>
        <v>59.070687726496374</v>
      </c>
      <c r="P96" s="14">
        <f t="shared" si="25"/>
        <v>5838.0557411720129</v>
      </c>
      <c r="Q96" s="14">
        <f t="shared" si="25"/>
        <v>6927.3486817652101</v>
      </c>
      <c r="R96" s="14">
        <f t="shared" si="25"/>
        <v>3927.1101801944042</v>
      </c>
      <c r="S96" s="50">
        <f t="shared" si="16"/>
        <v>16751.585290858122</v>
      </c>
      <c r="T96" s="50"/>
    </row>
    <row r="97" spans="1:20" x14ac:dyDescent="0.35">
      <c r="A97" s="7">
        <f t="shared" si="15"/>
        <v>92</v>
      </c>
      <c r="B97" s="42">
        <v>45266</v>
      </c>
      <c r="C97" s="58" cm="1">
        <f t="array" ref="C97">BonoM(100,C$2,-$B97+C$1,Portafolio!C97)</f>
        <v>90.388034966990858</v>
      </c>
      <c r="D97" s="58" cm="1">
        <f t="array" ref="D97">BonoM(100,D$2,-$B97+D$1,Portafolio!D97)</f>
        <v>101.42064921528934</v>
      </c>
      <c r="E97" s="58" cm="1">
        <f t="array" ref="E97">BonoM(100,E$2,-$B97+E$1,Portafolio!E97)</f>
        <v>96.122944628970018</v>
      </c>
      <c r="F97" s="58" cm="1">
        <f t="array" ref="F97">BonoM(100,F$2,-$B97+F$1,Portafolio!F97)</f>
        <v>98.640266625403655</v>
      </c>
      <c r="G97" s="6">
        <f t="shared" si="17"/>
        <v>1.859234379756769E-3</v>
      </c>
      <c r="H97" s="6">
        <f t="shared" si="18"/>
        <v>1.4948342497955736E-3</v>
      </c>
      <c r="I97" s="6">
        <f t="shared" si="19"/>
        <v>3.443205331605137E-3</v>
      </c>
      <c r="J97" s="6">
        <f t="shared" si="20"/>
        <v>7.3474863791327394E-3</v>
      </c>
      <c r="K97" s="13">
        <f t="shared" si="21"/>
        <v>89.720142603977607</v>
      </c>
      <c r="L97" s="13">
        <f t="shared" si="22"/>
        <v>98.356697013131935</v>
      </c>
      <c r="M97" s="13">
        <f t="shared" si="23"/>
        <v>93.135664927364502</v>
      </c>
      <c r="N97" s="13">
        <f t="shared" si="24"/>
        <v>94.066752632638853</v>
      </c>
      <c r="O97" s="14">
        <f t="shared" si="25"/>
        <v>-549.45398941657254</v>
      </c>
      <c r="P97" s="14">
        <f t="shared" si="25"/>
        <v>-220.211259754727</v>
      </c>
      <c r="Q97" s="14">
        <f t="shared" si="25"/>
        <v>-639.16964375579255</v>
      </c>
      <c r="R97" s="14">
        <f t="shared" si="25"/>
        <v>-686.1129779376256</v>
      </c>
      <c r="S97" s="50">
        <f t="shared" si="16"/>
        <v>-2094.9478708647175</v>
      </c>
      <c r="T97" s="50"/>
    </row>
    <row r="98" spans="1:20" x14ac:dyDescent="0.35">
      <c r="A98" s="7">
        <f t="shared" si="15"/>
        <v>93</v>
      </c>
      <c r="B98" s="42">
        <v>45265</v>
      </c>
      <c r="C98" s="58" cm="1">
        <f t="array" ref="C98">BonoM(100,C$2,-$B98+C$1,Portafolio!C98)</f>
        <v>90.220294294087509</v>
      </c>
      <c r="D98" s="58" cm="1">
        <f t="array" ref="D98">BonoM(100,D$2,-$B98+D$1,Portafolio!D98)</f>
        <v>101.26926844436697</v>
      </c>
      <c r="E98" s="58" cm="1">
        <f t="array" ref="E98">BonoM(100,E$2,-$B98+E$1,Portafolio!E98)</f>
        <v>95.793109284351104</v>
      </c>
      <c r="F98" s="58" cm="1">
        <f t="array" ref="F98">BonoM(100,F$2,-$B98+F$1,Portafolio!F98)</f>
        <v>97.92079491850609</v>
      </c>
      <c r="G98" s="6">
        <f t="shared" si="17"/>
        <v>1.4032934384313744E-3</v>
      </c>
      <c r="H98" s="6">
        <f t="shared" si="18"/>
        <v>3.575465796686883E-3</v>
      </c>
      <c r="I98" s="6">
        <f t="shared" si="19"/>
        <v>5.5748729655427098E-3</v>
      </c>
      <c r="J98" s="6">
        <f t="shared" si="20"/>
        <v>8.901783336985325E-3</v>
      </c>
      <c r="K98" s="13">
        <f t="shared" si="21"/>
        <v>89.679311432420818</v>
      </c>
      <c r="L98" s="13">
        <f t="shared" si="22"/>
        <v>98.561035607456134</v>
      </c>
      <c r="M98" s="13">
        <f t="shared" si="23"/>
        <v>93.333517961234335</v>
      </c>
      <c r="N98" s="13">
        <f t="shared" si="24"/>
        <v>94.211893876776472</v>
      </c>
      <c r="O98" s="14">
        <f t="shared" si="25"/>
        <v>-414.7111232791687</v>
      </c>
      <c r="P98" s="14">
        <f t="shared" si="25"/>
        <v>-526.71915124102497</v>
      </c>
      <c r="Q98" s="14">
        <f t="shared" si="25"/>
        <v>-1034.8757114954594</v>
      </c>
      <c r="R98" s="14">
        <f t="shared" si="25"/>
        <v>-831.2542220752448</v>
      </c>
      <c r="S98" s="50">
        <f t="shared" si="16"/>
        <v>-2807.560208090898</v>
      </c>
      <c r="T98" s="50"/>
    </row>
    <row r="99" spans="1:20" x14ac:dyDescent="0.35">
      <c r="A99" s="7">
        <f t="shared" si="15"/>
        <v>94</v>
      </c>
      <c r="B99" s="42">
        <v>45264</v>
      </c>
      <c r="C99" s="58" cm="1">
        <f t="array" ref="C99">BonoM(100,C$2,-$B99+C$1,Portafolio!C99)</f>
        <v>90.093866162858262</v>
      </c>
      <c r="D99" s="58" cm="1">
        <f t="array" ref="D99">BonoM(100,D$2,-$B99+D$1,Portafolio!D99)</f>
        <v>100.9084736482418</v>
      </c>
      <c r="E99" s="58" cm="1">
        <f t="array" ref="E99">BonoM(100,E$2,-$B99+E$1,Portafolio!E99)</f>
        <v>95.262035537788918</v>
      </c>
      <c r="F99" s="58" cm="1">
        <f t="array" ref="F99">BonoM(100,F$2,-$B99+F$1,Portafolio!F99)</f>
        <v>97.05681616958681</v>
      </c>
      <c r="G99" s="6">
        <f t="shared" si="17"/>
        <v>9.6956608500622377E-3</v>
      </c>
      <c r="H99" s="6">
        <f t="shared" si="18"/>
        <v>1.0342287789425697E-2</v>
      </c>
      <c r="I99" s="6">
        <f t="shared" si="19"/>
        <v>1.3150327199822787E-2</v>
      </c>
      <c r="J99" s="6">
        <f t="shared" si="20"/>
        <v>2.3072390093117345E-2</v>
      </c>
      <c r="K99" s="13">
        <f t="shared" si="21"/>
        <v>90.421923129918127</v>
      </c>
      <c r="L99" s="13">
        <f t="shared" si="22"/>
        <v>99.225604447674044</v>
      </c>
      <c r="M99" s="13">
        <f t="shared" si="23"/>
        <v>94.036641928278712</v>
      </c>
      <c r="N99" s="13">
        <f t="shared" si="24"/>
        <v>95.535154199959322</v>
      </c>
      <c r="O99" s="14">
        <f t="shared" si="25"/>
        <v>-2865.3297250202913</v>
      </c>
      <c r="P99" s="14">
        <f t="shared" si="25"/>
        <v>-1523.5724115678906</v>
      </c>
      <c r="Q99" s="14">
        <f t="shared" si="25"/>
        <v>-2441.1236455842127</v>
      </c>
      <c r="R99" s="14">
        <f t="shared" si="25"/>
        <v>-2154.5145452580955</v>
      </c>
      <c r="S99" s="50">
        <f t="shared" si="16"/>
        <v>-8984.5403274304899</v>
      </c>
      <c r="T99" s="50"/>
    </row>
    <row r="100" spans="1:20" x14ac:dyDescent="0.35">
      <c r="A100" s="7">
        <f t="shared" si="15"/>
        <v>95</v>
      </c>
      <c r="B100" s="42">
        <v>45262</v>
      </c>
      <c r="C100" s="58" cm="1">
        <f t="array" ref="C100">BonoM(100,C$2,-$B100+C$1,Portafolio!C100)</f>
        <v>89.22873461396108</v>
      </c>
      <c r="D100" s="58" cm="1">
        <f t="array" ref="D100">BonoM(100,D$2,-$B100+D$1,Portafolio!D100)</f>
        <v>99.875532151607828</v>
      </c>
      <c r="E100" s="58" cm="1">
        <f t="array" ref="E100">BonoM(100,E$2,-$B100+E$1,Portafolio!E100)</f>
        <v>94.025568546256281</v>
      </c>
      <c r="F100" s="58" cm="1">
        <f t="array" ref="F100">BonoM(100,F$2,-$B100+F$1,Portafolio!F100)</f>
        <v>94.86798501204099</v>
      </c>
      <c r="G100" s="6">
        <f t="shared" si="17"/>
        <v>-9.684523942861345E-3</v>
      </c>
      <c r="H100" s="6">
        <f t="shared" si="18"/>
        <v>-1.3598180543256344E-2</v>
      </c>
      <c r="I100" s="6">
        <f t="shared" si="19"/>
        <v>-1.7464590884629594E-2</v>
      </c>
      <c r="J100" s="6">
        <f t="shared" si="20"/>
        <v>-2.5624267413591917E-2</v>
      </c>
      <c r="K100" s="13">
        <f t="shared" si="21"/>
        <v>88.686357010802581</v>
      </c>
      <c r="L100" s="13">
        <f t="shared" si="22"/>
        <v>96.874413697984394</v>
      </c>
      <c r="M100" s="13">
        <f t="shared" si="23"/>
        <v>91.195085238929281</v>
      </c>
      <c r="N100" s="13">
        <f t="shared" si="24"/>
        <v>90.987829172936898</v>
      </c>
      <c r="O100" s="14">
        <f t="shared" si="25"/>
        <v>2862.0384680610114</v>
      </c>
      <c r="P100" s="14">
        <f t="shared" si="25"/>
        <v>2003.2137129665841</v>
      </c>
      <c r="Q100" s="14">
        <f t="shared" si="25"/>
        <v>3241.9897331146503</v>
      </c>
      <c r="R100" s="14">
        <f t="shared" si="25"/>
        <v>2392.8104817643289</v>
      </c>
      <c r="S100" s="50">
        <f t="shared" si="16"/>
        <v>10500.052395906576</v>
      </c>
      <c r="T100" s="50"/>
    </row>
    <row r="101" spans="1:20" x14ac:dyDescent="0.35">
      <c r="A101" s="7">
        <f t="shared" si="15"/>
        <v>96</v>
      </c>
      <c r="B101" s="42">
        <v>45261</v>
      </c>
      <c r="C101" s="58" cm="1">
        <f t="array" ref="C101">BonoM(100,C$2,-$B101+C$1,Portafolio!C101)</f>
        <v>90.101323034168971</v>
      </c>
      <c r="D101" s="58" cm="1">
        <f t="array" ref="D101">BonoM(100,D$2,-$B101+D$1,Portafolio!D101)</f>
        <v>101.25238029935288</v>
      </c>
      <c r="E101" s="58" cm="1">
        <f t="array" ref="E101">BonoM(100,E$2,-$B101+E$1,Portafolio!E101)</f>
        <v>95.696875322704727</v>
      </c>
      <c r="F101" s="58" cm="1">
        <f t="array" ref="F101">BonoM(100,F$2,-$B101+F$1,Portafolio!F101)</f>
        <v>97.362836367261494</v>
      </c>
      <c r="G101" s="6">
        <f t="shared" si="17"/>
        <v>3.7092877869346896E-3</v>
      </c>
      <c r="H101" s="6">
        <f t="shared" si="18"/>
        <v>5.2547570208085759E-3</v>
      </c>
      <c r="I101" s="6">
        <f t="shared" si="19"/>
        <v>6.6547093028324067E-3</v>
      </c>
      <c r="J101" s="6">
        <f t="shared" si="20"/>
        <v>8.894086350479391E-3</v>
      </c>
      <c r="K101" s="13">
        <f t="shared" si="21"/>
        <v>89.885821623365729</v>
      </c>
      <c r="L101" s="13">
        <f t="shared" si="22"/>
        <v>98.725958613026577</v>
      </c>
      <c r="M101" s="13">
        <f t="shared" si="23"/>
        <v>93.433744137217019</v>
      </c>
      <c r="N101" s="13">
        <f t="shared" si="24"/>
        <v>94.211175127253142</v>
      </c>
      <c r="O101" s="14">
        <f t="shared" si="25"/>
        <v>-1096.1947533973757</v>
      </c>
      <c r="P101" s="14">
        <f t="shared" si="25"/>
        <v>-774.10365959669036</v>
      </c>
      <c r="Q101" s="14">
        <f t="shared" si="25"/>
        <v>-1235.3280634608268</v>
      </c>
      <c r="R101" s="14">
        <f t="shared" si="25"/>
        <v>-830.53547255191518</v>
      </c>
      <c r="S101" s="50">
        <f t="shared" si="16"/>
        <v>-3936.1619490068078</v>
      </c>
      <c r="T101" s="50"/>
    </row>
    <row r="102" spans="1:20" x14ac:dyDescent="0.35">
      <c r="A102" s="7">
        <f t="shared" si="15"/>
        <v>97</v>
      </c>
      <c r="B102" s="42">
        <v>45260</v>
      </c>
      <c r="C102" s="58" cm="1">
        <f t="array" ref="C102">BonoM(100,C$2,-$B102+C$1,Portafolio!C102)</f>
        <v>89.768346403202244</v>
      </c>
      <c r="D102" s="58" cm="1">
        <f t="array" ref="D102">BonoM(100,D$2,-$B102+D$1,Portafolio!D102)</f>
        <v>100.72310485694818</v>
      </c>
      <c r="E102" s="58" cm="1">
        <f t="array" ref="E102">BonoM(100,E$2,-$B102+E$1,Portafolio!E102)</f>
        <v>95.064250371391438</v>
      </c>
      <c r="F102" s="58" cm="1">
        <f t="array" ref="F102">BonoM(100,F$2,-$B102+F$1,Portafolio!F102)</f>
        <v>96.504516861087694</v>
      </c>
      <c r="G102" s="6">
        <f t="shared" si="17"/>
        <v>-4.6120153793273166E-3</v>
      </c>
      <c r="H102" s="6">
        <f t="shared" si="18"/>
        <v>-3.0721282955584739E-3</v>
      </c>
      <c r="I102" s="6">
        <f t="shared" si="19"/>
        <v>-6.6405985421885694E-3</v>
      </c>
      <c r="J102" s="6">
        <f t="shared" si="20"/>
        <v>-1.3747300513366922E-2</v>
      </c>
      <c r="K102" s="13">
        <f t="shared" si="21"/>
        <v>89.140618623674698</v>
      </c>
      <c r="L102" s="13">
        <f t="shared" si="22"/>
        <v>97.908176126171796</v>
      </c>
      <c r="M102" s="13">
        <f t="shared" si="23"/>
        <v>92.19972577924645</v>
      </c>
      <c r="N102" s="13">
        <f t="shared" si="24"/>
        <v>92.096907939237624</v>
      </c>
      <c r="O102" s="14">
        <f t="shared" si="25"/>
        <v>1362.9751455830274</v>
      </c>
      <c r="P102" s="14">
        <f t="shared" si="25"/>
        <v>452.57007068548205</v>
      </c>
      <c r="Q102" s="14">
        <f t="shared" si="25"/>
        <v>1232.7086524803121</v>
      </c>
      <c r="R102" s="14">
        <f t="shared" si="25"/>
        <v>1283.7317154636025</v>
      </c>
      <c r="S102" s="50">
        <f t="shared" si="16"/>
        <v>4331.9855842124234</v>
      </c>
      <c r="T102" s="50"/>
    </row>
    <row r="103" spans="1:20" x14ac:dyDescent="0.35">
      <c r="A103" s="7">
        <f t="shared" si="15"/>
        <v>98</v>
      </c>
      <c r="B103" s="42">
        <v>45259</v>
      </c>
      <c r="C103" s="58" cm="1">
        <f t="array" ref="C103">BonoM(100,C$2,-$B103+C$1,Portafolio!C103)</f>
        <v>90.18427767883054</v>
      </c>
      <c r="D103" s="58" cm="1">
        <f t="array" ref="D103">BonoM(100,D$2,-$B103+D$1,Portafolio!D103)</f>
        <v>101.03349270869768</v>
      </c>
      <c r="E103" s="58" cm="1">
        <f t="array" ref="E103">BonoM(100,E$2,-$B103+E$1,Portafolio!E103)</f>
        <v>95.699754018413927</v>
      </c>
      <c r="F103" s="58" cm="1">
        <f t="array" ref="F103">BonoM(100,F$2,-$B103+F$1,Portafolio!F103)</f>
        <v>97.849685898269769</v>
      </c>
      <c r="G103" s="6">
        <f t="shared" si="17"/>
        <v>3.1384624780950166E-3</v>
      </c>
      <c r="H103" s="6">
        <f t="shared" si="18"/>
        <v>3.5879545417814018E-3</v>
      </c>
      <c r="I103" s="6">
        <f t="shared" si="19"/>
        <v>5.5915208756143198E-3</v>
      </c>
      <c r="J103" s="6">
        <f t="shared" si="20"/>
        <v>1.8423075531668998E-2</v>
      </c>
      <c r="K103" s="13">
        <f t="shared" si="21"/>
        <v>89.834702138358679</v>
      </c>
      <c r="L103" s="13">
        <f t="shared" si="22"/>
        <v>98.562262125731948</v>
      </c>
      <c r="M103" s="13">
        <f t="shared" si="23"/>
        <v>93.335063154989129</v>
      </c>
      <c r="N103" s="13">
        <f t="shared" si="24"/>
        <v>95.10099823225535</v>
      </c>
      <c r="O103" s="14">
        <f t="shared" si="25"/>
        <v>-927.50045287411217</v>
      </c>
      <c r="P103" s="14">
        <f t="shared" si="25"/>
        <v>-528.5589286547463</v>
      </c>
      <c r="Q103" s="14">
        <f t="shared" si="25"/>
        <v>-1037.9660990050468</v>
      </c>
      <c r="R103" s="14">
        <f t="shared" si="25"/>
        <v>-1720.3585775541228</v>
      </c>
      <c r="S103" s="50">
        <f t="shared" si="16"/>
        <v>-4214.3840580880278</v>
      </c>
      <c r="T103" s="50"/>
    </row>
    <row r="104" spans="1:20" x14ac:dyDescent="0.35">
      <c r="A104" s="7">
        <f t="shared" si="15"/>
        <v>99</v>
      </c>
      <c r="B104" s="42">
        <v>45258</v>
      </c>
      <c r="C104" s="58" cm="1">
        <f t="array" ref="C104">BonoM(100,C$2,-$B104+C$1,Portafolio!C104)</f>
        <v>89.902123238345922</v>
      </c>
      <c r="D104" s="58" cm="1">
        <f t="array" ref="D104">BonoM(100,D$2,-$B104+D$1,Portafolio!D104)</f>
        <v>100.67228512604817</v>
      </c>
      <c r="E104" s="58" cm="1">
        <f t="array" ref="E104">BonoM(100,E$2,-$B104+E$1,Portafolio!E104)</f>
        <v>95.167622271798578</v>
      </c>
      <c r="F104" s="58" cm="1">
        <f t="array" ref="F104">BonoM(100,F$2,-$B104+F$1,Portafolio!F104)</f>
        <v>96.079604094975195</v>
      </c>
      <c r="G104" s="6">
        <f t="shared" si="17"/>
        <v>5.4521067191861672E-3</v>
      </c>
      <c r="H104" s="6">
        <f t="shared" si="18"/>
        <v>6.9332391208969391E-3</v>
      </c>
      <c r="I104" s="6">
        <f t="shared" si="19"/>
        <v>9.3331165490015966E-3</v>
      </c>
      <c r="J104" s="6">
        <f t="shared" si="20"/>
        <v>1.5122638400839827E-2</v>
      </c>
      <c r="K104" s="13">
        <f t="shared" si="21"/>
        <v>90.041897405041112</v>
      </c>
      <c r="L104" s="13">
        <f t="shared" si="22"/>
        <v>98.890802154615102</v>
      </c>
      <c r="M104" s="13">
        <f t="shared" si="23"/>
        <v>93.682343398732584</v>
      </c>
      <c r="N104" s="13">
        <f t="shared" si="24"/>
        <v>94.792801301838395</v>
      </c>
      <c r="O104" s="14">
        <f t="shared" si="25"/>
        <v>-1611.244832926141</v>
      </c>
      <c r="P104" s="14">
        <f t="shared" si="25"/>
        <v>-1021.3689719794772</v>
      </c>
      <c r="Q104" s="14">
        <f t="shared" si="25"/>
        <v>-1732.5265864919572</v>
      </c>
      <c r="R104" s="14">
        <f t="shared" si="25"/>
        <v>-1412.1616471371681</v>
      </c>
      <c r="S104" s="50">
        <f t="shared" si="16"/>
        <v>-5777.3020385347436</v>
      </c>
      <c r="T104" s="50"/>
    </row>
    <row r="105" spans="1:20" x14ac:dyDescent="0.35">
      <c r="A105" s="7">
        <f t="shared" si="15"/>
        <v>100</v>
      </c>
      <c r="B105" s="42">
        <v>45257</v>
      </c>
      <c r="C105" s="58" cm="1">
        <f t="array" ref="C105">BonoM(100,C$2,-$B105+C$1,Portafolio!C105)</f>
        <v>89.414625159719108</v>
      </c>
      <c r="D105" s="58" cm="1">
        <f t="array" ref="D105">BonoM(100,D$2,-$B105+D$1,Portafolio!D105)</f>
        <v>99.979106076526094</v>
      </c>
      <c r="E105" s="58" cm="1">
        <f t="array" ref="E105">BonoM(100,E$2,-$B105+E$1,Portafolio!E105)</f>
        <v>94.287624879668101</v>
      </c>
      <c r="F105" s="58" cm="1">
        <f t="array" ref="F105">BonoM(100,F$2,-$B105+F$1,Portafolio!F105)</f>
        <v>94.648272494772598</v>
      </c>
      <c r="G105" s="6">
        <f t="shared" si="17"/>
        <v>1.455063201387552E-2</v>
      </c>
      <c r="H105" s="6">
        <f t="shared" si="18"/>
        <v>2.0176007000756169E-2</v>
      </c>
      <c r="I105" s="6">
        <f t="shared" si="19"/>
        <v>2.5820756243666532E-2</v>
      </c>
      <c r="J105" s="6">
        <f t="shared" si="20"/>
        <v>3.4396983960413907E-2</v>
      </c>
      <c r="K105" s="13">
        <f t="shared" si="21"/>
        <v>90.856703476505629</v>
      </c>
      <c r="L105" s="13">
        <f t="shared" si="22"/>
        <v>100.19137292485802</v>
      </c>
      <c r="M105" s="13">
        <f t="shared" si="23"/>
        <v>95.212661485382995</v>
      </c>
      <c r="N105" s="13">
        <f t="shared" si="24"/>
        <v>96.592652019117182</v>
      </c>
      <c r="O105" s="14">
        <f t="shared" si="25"/>
        <v>-4300.1048687590464</v>
      </c>
      <c r="P105" s="14">
        <f t="shared" si="25"/>
        <v>-2972.2251273438474</v>
      </c>
      <c r="Q105" s="14">
        <f t="shared" si="25"/>
        <v>-4793.1627597927782</v>
      </c>
      <c r="R105" s="14">
        <f t="shared" si="25"/>
        <v>-3212.0123644159548</v>
      </c>
      <c r="S105" s="50">
        <f t="shared" si="16"/>
        <v>-15277.505120311627</v>
      </c>
      <c r="T105" s="50"/>
    </row>
    <row r="106" spans="1:20" x14ac:dyDescent="0.35">
      <c r="A106" s="7">
        <f t="shared" si="15"/>
        <v>101</v>
      </c>
      <c r="B106" s="42">
        <v>45255</v>
      </c>
      <c r="C106" s="58" cm="1">
        <f t="array" ref="C106">BonoM(100,C$2,-$B106+C$1,Portafolio!C106)</f>
        <v>88.132245289948457</v>
      </c>
      <c r="D106" s="58" cm="1">
        <f t="array" ref="D106">BonoM(100,D$2,-$B106+D$1,Portafolio!D106)</f>
        <v>98.001820656866315</v>
      </c>
      <c r="E106" s="58" cm="1">
        <f t="array" ref="E106">BonoM(100,E$2,-$B106+E$1,Portafolio!E106)</f>
        <v>91.914327435651586</v>
      </c>
      <c r="F106" s="58" cm="1">
        <f t="array" ref="F106">BonoM(100,F$2,-$B106+F$1,Portafolio!F106)</f>
        <v>91.500916923008702</v>
      </c>
      <c r="G106" s="6">
        <f t="shared" si="17"/>
        <v>-1.1567405893967764E-2</v>
      </c>
      <c r="H106" s="6">
        <f t="shared" si="18"/>
        <v>-1.7387131070821238E-2</v>
      </c>
      <c r="I106" s="6">
        <f t="shared" si="19"/>
        <v>-2.2858906606572749E-2</v>
      </c>
      <c r="J106" s="6">
        <f t="shared" si="20"/>
        <v>-3.5484247773718613E-2</v>
      </c>
      <c r="K106" s="13">
        <f t="shared" si="21"/>
        <v>88.517738075763958</v>
      </c>
      <c r="L106" s="13">
        <f t="shared" si="22"/>
        <v>96.502301285326155</v>
      </c>
      <c r="M106" s="13">
        <f t="shared" si="23"/>
        <v>90.69440599876711</v>
      </c>
      <c r="N106" s="13">
        <f t="shared" si="24"/>
        <v>90.067097899925471</v>
      </c>
      <c r="O106" s="14">
        <f t="shared" si="25"/>
        <v>3418.4809536884673</v>
      </c>
      <c r="P106" s="14">
        <f t="shared" si="25"/>
        <v>2561.3823319539433</v>
      </c>
      <c r="Q106" s="14">
        <f t="shared" si="25"/>
        <v>4243.3482134389924</v>
      </c>
      <c r="R106" s="14">
        <f t="shared" si="25"/>
        <v>3313.5417547757556</v>
      </c>
      <c r="S106" s="50">
        <f t="shared" si="16"/>
        <v>13536.753253857158</v>
      </c>
      <c r="T106" s="50"/>
    </row>
    <row r="107" spans="1:20" x14ac:dyDescent="0.35">
      <c r="A107" s="7">
        <f t="shared" si="15"/>
        <v>102</v>
      </c>
      <c r="B107" s="42">
        <v>45254</v>
      </c>
      <c r="C107" s="58" cm="1">
        <f t="array" ref="C107">BonoM(100,C$2,-$B107+C$1,Portafolio!C107)</f>
        <v>89.163637273270894</v>
      </c>
      <c r="D107" s="58" cm="1">
        <f t="array" ref="D107">BonoM(100,D$2,-$B107+D$1,Portafolio!D107)</f>
        <v>99.735942562675447</v>
      </c>
      <c r="E107" s="58" cm="1">
        <f t="array" ref="E107">BonoM(100,E$2,-$B107+E$1,Portafolio!E107)</f>
        <v>94.064539969811747</v>
      </c>
      <c r="F107" s="58" cm="1">
        <f t="array" ref="F107">BonoM(100,F$2,-$B107+F$1,Portafolio!F107)</f>
        <v>94.867208453369059</v>
      </c>
      <c r="G107" s="6">
        <f t="shared" si="17"/>
        <v>-9.1577391216279835E-4</v>
      </c>
      <c r="H107" s="6">
        <f t="shared" si="18"/>
        <v>-9.499802135145563E-4</v>
      </c>
      <c r="I107" s="6">
        <f t="shared" si="19"/>
        <v>-2.3440115543769124E-3</v>
      </c>
      <c r="J107" s="6">
        <f t="shared" si="20"/>
        <v>-1.98705774837038E-3</v>
      </c>
      <c r="K107" s="13">
        <f t="shared" si="21"/>
        <v>89.471630506534709</v>
      </c>
      <c r="L107" s="13">
        <f t="shared" si="22"/>
        <v>98.116592054826029</v>
      </c>
      <c r="M107" s="13">
        <f t="shared" si="23"/>
        <v>92.598518141287371</v>
      </c>
      <c r="N107" s="13">
        <f t="shared" si="24"/>
        <v>93.195086931127577</v>
      </c>
      <c r="O107" s="14">
        <f t="shared" si="25"/>
        <v>270.63593214499093</v>
      </c>
      <c r="P107" s="14">
        <f t="shared" si="25"/>
        <v>139.94617770413242</v>
      </c>
      <c r="Q107" s="14">
        <f t="shared" si="25"/>
        <v>435.12392839846825</v>
      </c>
      <c r="R107" s="14">
        <f t="shared" si="25"/>
        <v>185.55272357365027</v>
      </c>
      <c r="S107" s="50">
        <f t="shared" si="16"/>
        <v>1031.2587618212419</v>
      </c>
      <c r="T107" s="50"/>
    </row>
    <row r="108" spans="1:20" x14ac:dyDescent="0.35">
      <c r="A108" s="7">
        <f t="shared" si="15"/>
        <v>103</v>
      </c>
      <c r="B108" s="42">
        <v>45253</v>
      </c>
      <c r="C108" s="58" cm="1">
        <f t="array" ref="C108">BonoM(100,C$2,-$B108+C$1,Portafolio!C108)</f>
        <v>89.245365851098754</v>
      </c>
      <c r="D108" s="58" cm="1">
        <f t="array" ref="D108">BonoM(100,D$2,-$B108+D$1,Portafolio!D108)</f>
        <v>99.830779828211973</v>
      </c>
      <c r="E108" s="58" cm="1">
        <f t="array" ref="E108">BonoM(100,E$2,-$B108+E$1,Portafolio!E108)</f>
        <v>94.28554637993706</v>
      </c>
      <c r="F108" s="58" cm="1">
        <f t="array" ref="F108">BonoM(100,F$2,-$B108+F$1,Portafolio!F108)</f>
        <v>95.056090394316882</v>
      </c>
      <c r="G108" s="6">
        <f t="shared" si="17"/>
        <v>1.2765722522916079E-3</v>
      </c>
      <c r="H108" s="6">
        <f t="shared" si="18"/>
        <v>1.8842295330017134E-3</v>
      </c>
      <c r="I108" s="6">
        <f t="shared" si="19"/>
        <v>2.8688038928923465E-3</v>
      </c>
      <c r="J108" s="6">
        <f t="shared" si="20"/>
        <v>1.8343810059051613E-4</v>
      </c>
      <c r="K108" s="13">
        <f t="shared" si="21"/>
        <v>89.667963088760104</v>
      </c>
      <c r="L108" s="13">
        <f t="shared" si="22"/>
        <v>98.394939480870008</v>
      </c>
      <c r="M108" s="13">
        <f t="shared" si="23"/>
        <v>93.082351237416233</v>
      </c>
      <c r="N108" s="13">
        <f t="shared" si="24"/>
        <v>93.397769221871414</v>
      </c>
      <c r="O108" s="14">
        <f t="shared" si="25"/>
        <v>-377.26158919881243</v>
      </c>
      <c r="P108" s="14">
        <f t="shared" si="25"/>
        <v>-277.5749613618359</v>
      </c>
      <c r="Q108" s="14">
        <f t="shared" si="25"/>
        <v>-532.54226385925563</v>
      </c>
      <c r="R108" s="14">
        <f t="shared" si="25"/>
        <v>-17.129567170186988</v>
      </c>
      <c r="S108" s="50">
        <f t="shared" si="16"/>
        <v>-1204.5083815900907</v>
      </c>
      <c r="T108" s="50"/>
    </row>
    <row r="109" spans="1:20" x14ac:dyDescent="0.35">
      <c r="A109" s="7">
        <f t="shared" si="15"/>
        <v>104</v>
      </c>
      <c r="B109" s="42">
        <v>45252</v>
      </c>
      <c r="C109" s="58" cm="1">
        <f t="array" ref="C109">BonoM(100,C$2,-$B109+C$1,Portafolio!C109)</f>
        <v>89.131582945507688</v>
      </c>
      <c r="D109" s="58" cm="1">
        <f t="array" ref="D109">BonoM(100,D$2,-$B109+D$1,Portafolio!D109)</f>
        <v>99.643029489290484</v>
      </c>
      <c r="E109" s="58" cm="1">
        <f t="array" ref="E109">BonoM(100,E$2,-$B109+E$1,Portafolio!E109)</f>
        <v>94.01583339111113</v>
      </c>
      <c r="F109" s="58" cm="1">
        <f t="array" ref="F109">BonoM(100,F$2,-$B109+F$1,Portafolio!F109)</f>
        <v>95.038656683652164</v>
      </c>
      <c r="G109" s="6">
        <f t="shared" si="17"/>
        <v>-2.0437751579077679E-3</v>
      </c>
      <c r="H109" s="6">
        <f t="shared" si="18"/>
        <v>-1.8259730155014697E-3</v>
      </c>
      <c r="I109" s="6">
        <f t="shared" si="19"/>
        <v>-1.8683693809248281E-3</v>
      </c>
      <c r="J109" s="6">
        <f t="shared" si="20"/>
        <v>-2.0697766440392895E-3</v>
      </c>
      <c r="K109" s="13">
        <f t="shared" si="21"/>
        <v>89.370613887480076</v>
      </c>
      <c r="L109" s="13">
        <f t="shared" si="22"/>
        <v>98.030560898534304</v>
      </c>
      <c r="M109" s="13">
        <f t="shared" si="23"/>
        <v>92.642665383360054</v>
      </c>
      <c r="N109" s="13">
        <f t="shared" si="24"/>
        <v>93.187362587738477</v>
      </c>
      <c r="O109" s="14">
        <f t="shared" si="25"/>
        <v>603.99077502527939</v>
      </c>
      <c r="P109" s="14">
        <f t="shared" si="25"/>
        <v>268.99291214171939</v>
      </c>
      <c r="Q109" s="14">
        <f t="shared" si="25"/>
        <v>346.82944425310325</v>
      </c>
      <c r="R109" s="14">
        <f t="shared" si="25"/>
        <v>193.27706696275015</v>
      </c>
      <c r="S109" s="50">
        <f t="shared" si="16"/>
        <v>1413.0901983828521</v>
      </c>
      <c r="T109" s="50"/>
    </row>
    <row r="110" spans="1:20" x14ac:dyDescent="0.35">
      <c r="A110" s="7">
        <f t="shared" si="15"/>
        <v>105</v>
      </c>
      <c r="B110" s="42">
        <v>45251</v>
      </c>
      <c r="C110" s="58" cm="1">
        <f t="array" ref="C110">BonoM(100,C$2,-$B110+C$1,Portafolio!C110)</f>
        <v>89.314120927108888</v>
      </c>
      <c r="D110" s="58" cm="1">
        <f t="array" ref="D110">BonoM(100,D$2,-$B110+D$1,Portafolio!D110)</f>
        <v>99.82530780761131</v>
      </c>
      <c r="E110" s="58" cm="1">
        <f t="array" ref="E110">BonoM(100,E$2,-$B110+E$1,Portafolio!E110)</f>
        <v>94.191818500731529</v>
      </c>
      <c r="F110" s="58" cm="1">
        <f t="array" ref="F110">BonoM(100,F$2,-$B110+F$1,Portafolio!F110)</f>
        <v>95.235773463243405</v>
      </c>
      <c r="G110" s="6">
        <f t="shared" si="17"/>
        <v>9.2331832757377441E-3</v>
      </c>
      <c r="H110" s="6">
        <f t="shared" si="18"/>
        <v>1.240577793492581E-2</v>
      </c>
      <c r="I110" s="6">
        <f t="shared" si="19"/>
        <v>1.5361349410874636E-2</v>
      </c>
      <c r="J110" s="6">
        <f t="shared" si="20"/>
        <v>2.414009793167704E-2</v>
      </c>
      <c r="K110" s="13">
        <f t="shared" si="21"/>
        <v>90.38050657907381</v>
      </c>
      <c r="L110" s="13">
        <f t="shared" si="22"/>
        <v>99.428259586861614</v>
      </c>
      <c r="M110" s="13">
        <f t="shared" si="23"/>
        <v>94.241860342934714</v>
      </c>
      <c r="N110" s="13">
        <f t="shared" si="24"/>
        <v>95.634857440888354</v>
      </c>
      <c r="O110" s="14">
        <f t="shared" si="25"/>
        <v>-2728.655107234043</v>
      </c>
      <c r="P110" s="14">
        <f t="shared" si="25"/>
        <v>-1827.5551203492455</v>
      </c>
      <c r="Q110" s="14">
        <f t="shared" si="25"/>
        <v>-2851.5604748962178</v>
      </c>
      <c r="R110" s="14">
        <f t="shared" si="25"/>
        <v>-2254.2177861871269</v>
      </c>
      <c r="S110" s="50">
        <f t="shared" si="16"/>
        <v>-9661.9884886666332</v>
      </c>
      <c r="T110" s="50"/>
    </row>
    <row r="111" spans="1:20" x14ac:dyDescent="0.35">
      <c r="A111" s="7">
        <f t="shared" si="15"/>
        <v>106</v>
      </c>
      <c r="B111" s="42">
        <v>45248</v>
      </c>
      <c r="C111" s="58" cm="1">
        <f t="array" ref="C111">BonoM(100,C$2,-$B111+C$1,Portafolio!C111)</f>
        <v>88.497011797824456</v>
      </c>
      <c r="D111" s="58" cm="1">
        <f t="array" ref="D111">BonoM(100,D$2,-$B111+D$1,Portafolio!D111)</f>
        <v>98.602072393573167</v>
      </c>
      <c r="E111" s="58" cm="1">
        <f t="array" ref="E111">BonoM(100,E$2,-$B111+E$1,Portafolio!E111)</f>
        <v>92.766795343729413</v>
      </c>
      <c r="F111" s="58" cm="1">
        <f t="array" ref="F111">BonoM(100,F$2,-$B111+F$1,Portafolio!F111)</f>
        <v>92.99096252122024</v>
      </c>
      <c r="G111" s="6">
        <f t="shared" si="17"/>
        <v>-1.0516619028537844E-2</v>
      </c>
      <c r="H111" s="6">
        <f t="shared" si="18"/>
        <v>-1.4544374765078527E-2</v>
      </c>
      <c r="I111" s="6">
        <f t="shared" si="19"/>
        <v>-1.9362663960078019E-2</v>
      </c>
      <c r="J111" s="6">
        <f t="shared" si="20"/>
        <v>-2.7878337027016031E-2</v>
      </c>
      <c r="K111" s="13">
        <f t="shared" si="21"/>
        <v>88.611839865893316</v>
      </c>
      <c r="L111" s="13">
        <f t="shared" si="22"/>
        <v>96.78148806800742</v>
      </c>
      <c r="M111" s="13">
        <f t="shared" si="23"/>
        <v>91.018913536312382</v>
      </c>
      <c r="N111" s="13">
        <f t="shared" si="24"/>
        <v>90.777342710609133</v>
      </c>
      <c r="O111" s="14">
        <f t="shared" si="25"/>
        <v>3107.9450462615869</v>
      </c>
      <c r="P111" s="14">
        <f t="shared" si="25"/>
        <v>2142.6021579320463</v>
      </c>
      <c r="Q111" s="14">
        <f t="shared" si="25"/>
        <v>3594.3331383484465</v>
      </c>
      <c r="R111" s="14">
        <f t="shared" si="25"/>
        <v>2603.2969440920938</v>
      </c>
      <c r="S111" s="50">
        <f t="shared" si="16"/>
        <v>11448.177286634174</v>
      </c>
      <c r="T111" s="50"/>
    </row>
    <row r="112" spans="1:20" x14ac:dyDescent="0.35">
      <c r="A112" s="7">
        <f t="shared" si="15"/>
        <v>107</v>
      </c>
      <c r="B112" s="42">
        <v>45247</v>
      </c>
      <c r="C112" s="58" cm="1">
        <f t="array" ref="C112">BonoM(100,C$2,-$B112+C$1,Portafolio!C112)</f>
        <v>89.437592889068256</v>
      </c>
      <c r="D112" s="58" cm="1">
        <f t="array" ref="D112">BonoM(100,D$2,-$B112+D$1,Portafolio!D112)</f>
        <v>100.05734390127161</v>
      </c>
      <c r="E112" s="58" cm="1">
        <f t="array" ref="E112">BonoM(100,E$2,-$B112+E$1,Portafolio!E112)</f>
        <v>94.598473803115382</v>
      </c>
      <c r="F112" s="58" cm="1">
        <f t="array" ref="F112">BonoM(100,F$2,-$B112+F$1,Portafolio!F112)</f>
        <v>95.657741271633952</v>
      </c>
      <c r="G112" s="6">
        <f t="shared" si="17"/>
        <v>-2.6413210454064862E-3</v>
      </c>
      <c r="H112" s="6">
        <f t="shared" si="18"/>
        <v>-2.6760683378063144E-3</v>
      </c>
      <c r="I112" s="6">
        <f t="shared" si="19"/>
        <v>-2.4163612816409108E-3</v>
      </c>
      <c r="J112" s="6">
        <f t="shared" si="20"/>
        <v>-5.2326159165239083E-4</v>
      </c>
      <c r="K112" s="13">
        <f t="shared" si="21"/>
        <v>89.31710147735393</v>
      </c>
      <c r="L112" s="13">
        <f t="shared" si="22"/>
        <v>97.947073130860645</v>
      </c>
      <c r="M112" s="13">
        <f t="shared" si="23"/>
        <v>92.591802923206032</v>
      </c>
      <c r="N112" s="13">
        <f t="shared" si="24"/>
        <v>93.331777152565991</v>
      </c>
      <c r="O112" s="14">
        <f t="shared" si="25"/>
        <v>780.58172844156104</v>
      </c>
      <c r="P112" s="14">
        <f t="shared" si="25"/>
        <v>394.22456365220881</v>
      </c>
      <c r="Q112" s="14">
        <f t="shared" si="25"/>
        <v>448.55436456114717</v>
      </c>
      <c r="R112" s="14">
        <f t="shared" si="25"/>
        <v>48.862502135236241</v>
      </c>
      <c r="S112" s="50">
        <f t="shared" si="16"/>
        <v>1672.2231587901533</v>
      </c>
      <c r="T112" s="50"/>
    </row>
    <row r="113" spans="1:20" x14ac:dyDescent="0.35">
      <c r="A113" s="7">
        <f t="shared" si="15"/>
        <v>108</v>
      </c>
      <c r="B113" s="42">
        <v>45246</v>
      </c>
      <c r="C113" s="58" cm="1">
        <f t="array" ref="C113">BonoM(100,C$2,-$B113+C$1,Portafolio!C113)</f>
        <v>89.674451906123195</v>
      </c>
      <c r="D113" s="58" cm="1">
        <f t="array" ref="D113">BonoM(100,D$2,-$B113+D$1,Portafolio!D113)</f>
        <v>100.32582265875307</v>
      </c>
      <c r="E113" s="58" cm="1">
        <f t="array" ref="E113">BonoM(100,E$2,-$B113+E$1,Portafolio!E113)</f>
        <v>94.827611572148811</v>
      </c>
      <c r="F113" s="58" cm="1">
        <f t="array" ref="F113">BonoM(100,F$2,-$B113+F$1,Portafolio!F113)</f>
        <v>95.707821498644918</v>
      </c>
      <c r="G113" s="6">
        <f t="shared" si="17"/>
        <v>1.4242146118472743E-3</v>
      </c>
      <c r="H113" s="6">
        <f t="shared" si="18"/>
        <v>4.8769898855316463E-3</v>
      </c>
      <c r="I113" s="6">
        <f t="shared" si="19"/>
        <v>5.0817300298939827E-3</v>
      </c>
      <c r="J113" s="6">
        <f t="shared" si="20"/>
        <v>8.8831304803556055E-3</v>
      </c>
      <c r="K113" s="13">
        <f t="shared" si="21"/>
        <v>89.681184999682472</v>
      </c>
      <c r="L113" s="13">
        <f t="shared" si="22"/>
        <v>98.688858144411796</v>
      </c>
      <c r="M113" s="13">
        <f t="shared" si="23"/>
        <v>93.2877463670157</v>
      </c>
      <c r="N113" s="13">
        <f t="shared" si="24"/>
        <v>94.210152061093012</v>
      </c>
      <c r="O113" s="14">
        <f t="shared" si="25"/>
        <v>-420.89389524262799</v>
      </c>
      <c r="P113" s="14">
        <f t="shared" si="25"/>
        <v>-718.45295667451842</v>
      </c>
      <c r="Q113" s="14">
        <f t="shared" si="25"/>
        <v>-943.3325230581886</v>
      </c>
      <c r="R113" s="14">
        <f t="shared" si="25"/>
        <v>-829.51240639178536</v>
      </c>
      <c r="S113" s="50">
        <f t="shared" si="16"/>
        <v>-2912.1917813671207</v>
      </c>
      <c r="T113" s="50"/>
    </row>
    <row r="114" spans="1:20" x14ac:dyDescent="0.35">
      <c r="A114" s="7">
        <f t="shared" si="15"/>
        <v>109</v>
      </c>
      <c r="B114" s="42">
        <v>45245</v>
      </c>
      <c r="C114" s="58" cm="1">
        <f t="array" ref="C114">BonoM(100,C$2,-$B114+C$1,Portafolio!C114)</f>
        <v>89.546917877236552</v>
      </c>
      <c r="D114" s="58" cm="1">
        <f t="array" ref="D114">BonoM(100,D$2,-$B114+D$1,Portafolio!D114)</f>
        <v>99.838909307876037</v>
      </c>
      <c r="E114" s="58" cm="1">
        <f t="array" ref="E114">BonoM(100,E$2,-$B114+E$1,Portafolio!E114)</f>
        <v>94.348159695757644</v>
      </c>
      <c r="F114" s="58" cm="1">
        <f t="array" ref="F114">BonoM(100,F$2,-$B114+F$1,Portafolio!F114)</f>
        <v>94.865122239754299</v>
      </c>
      <c r="G114" s="6">
        <f t="shared" si="17"/>
        <v>-3.0936296280037467E-5</v>
      </c>
      <c r="H114" s="6">
        <f t="shared" si="18"/>
        <v>2.5555354603645775E-4</v>
      </c>
      <c r="I114" s="6">
        <f t="shared" si="19"/>
        <v>-8.1323446827985535E-4</v>
      </c>
      <c r="J114" s="6">
        <f t="shared" si="20"/>
        <v>-5.1798760009280631E-4</v>
      </c>
      <c r="K114" s="13">
        <f t="shared" si="21"/>
        <v>89.550870937080333</v>
      </c>
      <c r="L114" s="13">
        <f t="shared" si="22"/>
        <v>98.234987392148057</v>
      </c>
      <c r="M114" s="13">
        <f t="shared" si="23"/>
        <v>92.740598869934203</v>
      </c>
      <c r="N114" s="13">
        <f t="shared" si="24"/>
        <v>93.332269641271353</v>
      </c>
      <c r="O114" s="14">
        <f t="shared" si="25"/>
        <v>9.1425113444302042</v>
      </c>
      <c r="P114" s="14">
        <f t="shared" si="25"/>
        <v>-37.646828278909084</v>
      </c>
      <c r="Q114" s="14">
        <f t="shared" si="25"/>
        <v>150.96247110480476</v>
      </c>
      <c r="R114" s="14">
        <f t="shared" si="25"/>
        <v>48.370013429874348</v>
      </c>
      <c r="S114" s="50">
        <f t="shared" si="16"/>
        <v>170.82816760020023</v>
      </c>
      <c r="T114" s="50"/>
    </row>
    <row r="115" spans="1:20" x14ac:dyDescent="0.35">
      <c r="A115" s="7">
        <f t="shared" si="15"/>
        <v>110</v>
      </c>
      <c r="B115" s="42">
        <v>45244</v>
      </c>
      <c r="C115" s="58" cm="1">
        <f t="array" ref="C115">BonoM(100,C$2,-$B115+C$1,Portafolio!C115)</f>
        <v>89.549688212922888</v>
      </c>
      <c r="D115" s="58" cm="1">
        <f t="array" ref="D115">BonoM(100,D$2,-$B115+D$1,Portafolio!D115)</f>
        <v>99.813401639145198</v>
      </c>
      <c r="E115" s="58" cm="1">
        <f t="array" ref="E115">BonoM(100,E$2,-$B115+E$1,Portafolio!E115)</f>
        <v>94.424949319209603</v>
      </c>
      <c r="F115" s="58" cm="1">
        <f t="array" ref="F115">BonoM(100,F$2,-$B115+F$1,Portafolio!F115)</f>
        <v>94.914286663317554</v>
      </c>
      <c r="G115" s="6">
        <f t="shared" si="17"/>
        <v>5.8119242112106839E-3</v>
      </c>
      <c r="H115" s="6">
        <f t="shared" si="18"/>
        <v>8.6739064993326398E-3</v>
      </c>
      <c r="I115" s="6">
        <f t="shared" si="19"/>
        <v>1.1543160810636888E-2</v>
      </c>
      <c r="J115" s="6">
        <f t="shared" si="20"/>
        <v>1.3560113411918095E-2</v>
      </c>
      <c r="K115" s="13">
        <f t="shared" si="21"/>
        <v>90.074120371689546</v>
      </c>
      <c r="L115" s="13">
        <f t="shared" si="22"/>
        <v>99.061752905519072</v>
      </c>
      <c r="M115" s="13">
        <f t="shared" si="23"/>
        <v>93.887471043957191</v>
      </c>
      <c r="N115" s="13">
        <f t="shared" si="24"/>
        <v>94.646891718896427</v>
      </c>
      <c r="O115" s="14">
        <f t="shared" si="25"/>
        <v>-1717.580622865971</v>
      </c>
      <c r="P115" s="14">
        <f t="shared" si="25"/>
        <v>-1277.7950983354317</v>
      </c>
      <c r="Q115" s="14">
        <f t="shared" si="25"/>
        <v>-2142.7818769411715</v>
      </c>
      <c r="R115" s="14">
        <f t="shared" si="25"/>
        <v>-1266.2520641952001</v>
      </c>
      <c r="S115" s="50">
        <f t="shared" si="16"/>
        <v>-6404.4096623377736</v>
      </c>
      <c r="T115" s="50"/>
    </row>
    <row r="116" spans="1:20" x14ac:dyDescent="0.35">
      <c r="A116" s="7">
        <f t="shared" si="15"/>
        <v>111</v>
      </c>
      <c r="B116" s="42">
        <v>45243</v>
      </c>
      <c r="C116" s="58" cm="1">
        <f t="array" ref="C116">BonoM(100,C$2,-$B116+C$1,Portafolio!C116)</f>
        <v>89.03223958410571</v>
      </c>
      <c r="D116" s="58" cm="1">
        <f t="array" ref="D116">BonoM(100,D$2,-$B116+D$1,Portafolio!D116)</f>
        <v>98.955074574650183</v>
      </c>
      <c r="E116" s="58" cm="1">
        <f t="array" ref="E116">BonoM(100,E$2,-$B116+E$1,Portafolio!E116)</f>
        <v>93.347424981390546</v>
      </c>
      <c r="F116" s="58" cm="1">
        <f t="array" ref="F116">BonoM(100,F$2,-$B116+F$1,Portafolio!F116)</f>
        <v>93.644457203244059</v>
      </c>
      <c r="G116" s="6">
        <f t="shared" si="17"/>
        <v>-3.4490832499534108E-4</v>
      </c>
      <c r="H116" s="6">
        <f t="shared" si="18"/>
        <v>1.4594879387466397E-2</v>
      </c>
      <c r="I116" s="6">
        <f t="shared" si="19"/>
        <v>1.9122787745156744E-2</v>
      </c>
      <c r="J116" s="6">
        <f t="shared" si="20"/>
        <v>2.7679876921186786E-2</v>
      </c>
      <c r="K116" s="13">
        <f t="shared" si="21"/>
        <v>89.522753598612695</v>
      </c>
      <c r="L116" s="13">
        <f t="shared" si="22"/>
        <v>99.643250998634429</v>
      </c>
      <c r="M116" s="13">
        <f t="shared" si="23"/>
        <v>94.59098230468129</v>
      </c>
      <c r="N116" s="13">
        <f t="shared" si="24"/>
        <v>95.965404267165056</v>
      </c>
      <c r="O116" s="14">
        <f t="shared" si="25"/>
        <v>101.92972828763516</v>
      </c>
      <c r="P116" s="14">
        <f t="shared" si="25"/>
        <v>-2150.0422380084674</v>
      </c>
      <c r="Q116" s="14">
        <f t="shared" si="25"/>
        <v>-3549.8043983893695</v>
      </c>
      <c r="R116" s="14">
        <f t="shared" si="25"/>
        <v>-2584.7646124638286</v>
      </c>
      <c r="S116" s="50">
        <f t="shared" si="16"/>
        <v>-8182.6815205740304</v>
      </c>
      <c r="T116" s="50"/>
    </row>
    <row r="117" spans="1:20" x14ac:dyDescent="0.35">
      <c r="A117" s="7">
        <f t="shared" si="15"/>
        <v>112</v>
      </c>
      <c r="B117" s="42">
        <v>45241</v>
      </c>
      <c r="C117" s="58" cm="1">
        <f t="array" ref="C117">BonoM(100,C$2,-$B117+C$1,Portafolio!C117)</f>
        <v>89.062958139816843</v>
      </c>
      <c r="D117" s="58" cm="1">
        <f t="array" ref="D117">BonoM(100,D$2,-$B117+D$1,Portafolio!D117)</f>
        <v>97.531612454412908</v>
      </c>
      <c r="E117" s="58" cm="1">
        <f t="array" ref="E117">BonoM(100,E$2,-$B117+E$1,Portafolio!E117)</f>
        <v>91.59585685246509</v>
      </c>
      <c r="F117" s="58" cm="1">
        <f t="array" ref="F117">BonoM(100,F$2,-$B117+F$1,Portafolio!F117)</f>
        <v>91.122205762938862</v>
      </c>
      <c r="G117" s="6">
        <f t="shared" si="17"/>
        <v>2.6429899171365179E-4</v>
      </c>
      <c r="H117" s="6">
        <f t="shared" si="18"/>
        <v>-1.4853725222184755E-2</v>
      </c>
      <c r="I117" s="6">
        <f t="shared" si="19"/>
        <v>-1.8518806443091007E-2</v>
      </c>
      <c r="J117" s="6">
        <f t="shared" si="20"/>
        <v>-2.9929980301239278E-2</v>
      </c>
      <c r="K117" s="13">
        <f t="shared" si="21"/>
        <v>89.577310332188489</v>
      </c>
      <c r="L117" s="13">
        <f t="shared" si="22"/>
        <v>96.751106793796197</v>
      </c>
      <c r="M117" s="13">
        <f t="shared" si="23"/>
        <v>91.097237083206664</v>
      </c>
      <c r="N117" s="13">
        <f t="shared" si="24"/>
        <v>90.585758949318901</v>
      </c>
      <c r="O117" s="14">
        <f t="shared" si="25"/>
        <v>-78.1074925124841</v>
      </c>
      <c r="P117" s="14">
        <f t="shared" si="25"/>
        <v>2188.1740692488806</v>
      </c>
      <c r="Q117" s="14">
        <f t="shared" si="25"/>
        <v>3437.6860445598822</v>
      </c>
      <c r="R117" s="14">
        <f t="shared" si="25"/>
        <v>2794.8807053823257</v>
      </c>
      <c r="S117" s="50">
        <f t="shared" si="16"/>
        <v>8342.6333266786041</v>
      </c>
      <c r="T117" s="50"/>
    </row>
    <row r="118" spans="1:20" x14ac:dyDescent="0.35">
      <c r="A118" s="7">
        <f t="shared" si="15"/>
        <v>113</v>
      </c>
      <c r="B118" s="42">
        <v>45240</v>
      </c>
      <c r="C118" s="58" cm="1">
        <f t="array" ref="C118">BonoM(100,C$2,-$B118+C$1,Portafolio!C118)</f>
        <v>89.039425109537632</v>
      </c>
      <c r="D118" s="58" cm="1">
        <f t="array" ref="D118">BonoM(100,D$2,-$B118+D$1,Portafolio!D118)</f>
        <v>99.002163385746627</v>
      </c>
      <c r="E118" s="58" cm="1">
        <f t="array" ref="E118">BonoM(100,E$2,-$B118+E$1,Portafolio!E118)</f>
        <v>93.324107943953294</v>
      </c>
      <c r="F118" s="58" cm="1">
        <f t="array" ref="F118">BonoM(100,F$2,-$B118+F$1,Portafolio!F118)</f>
        <v>93.933637688581868</v>
      </c>
      <c r="G118" s="6">
        <f t="shared" si="17"/>
        <v>3.7770253446223201E-3</v>
      </c>
      <c r="H118" s="6">
        <f t="shared" si="18"/>
        <v>6.7997840300226819E-4</v>
      </c>
      <c r="I118" s="6">
        <f t="shared" si="19"/>
        <v>1.3308798861202398E-3</v>
      </c>
      <c r="J118" s="6">
        <f t="shared" si="20"/>
        <v>-5.1293407760366616E-4</v>
      </c>
      <c r="K118" s="13">
        <f t="shared" si="21"/>
        <v>89.891887768315868</v>
      </c>
      <c r="L118" s="13">
        <f t="shared" si="22"/>
        <v>98.276670110454532</v>
      </c>
      <c r="M118" s="13">
        <f t="shared" si="23"/>
        <v>92.939607159607519</v>
      </c>
      <c r="N118" s="13">
        <f t="shared" si="24"/>
        <v>93.332741542433908</v>
      </c>
      <c r="O118" s="14">
        <f t="shared" si="25"/>
        <v>-1116.2130317328363</v>
      </c>
      <c r="P118" s="14">
        <f t="shared" si="25"/>
        <v>-100.1709057386222</v>
      </c>
      <c r="Q118" s="14">
        <f t="shared" si="25"/>
        <v>-247.0541082418265</v>
      </c>
      <c r="R118" s="14">
        <f t="shared" si="25"/>
        <v>47.898112267318993</v>
      </c>
      <c r="S118" s="50">
        <f t="shared" si="16"/>
        <v>-1415.539933445966</v>
      </c>
      <c r="T118" s="50"/>
    </row>
    <row r="119" spans="1:20" x14ac:dyDescent="0.35">
      <c r="A119" s="7">
        <f t="shared" si="15"/>
        <v>114</v>
      </c>
      <c r="B119" s="42">
        <v>45239</v>
      </c>
      <c r="C119" s="58" cm="1">
        <f t="array" ref="C119">BonoM(100,C$2,-$B119+C$1,Portafolio!C119)</f>
        <v>88.704386393948525</v>
      </c>
      <c r="D119" s="58" cm="1">
        <f t="array" ref="D119">BonoM(100,D$2,-$B119+D$1,Portafolio!D119)</f>
        <v>98.934889797381004</v>
      </c>
      <c r="E119" s="58" cm="1">
        <f t="array" ref="E119">BonoM(100,E$2,-$B119+E$1,Portafolio!E119)</f>
        <v>93.20006984561077</v>
      </c>
      <c r="F119" s="58" cm="1">
        <f t="array" ref="F119">BonoM(100,F$2,-$B119+F$1,Portafolio!F119)</f>
        <v>93.981844179137383</v>
      </c>
      <c r="G119" s="6">
        <f t="shared" si="17"/>
        <v>2.608503877836954E-3</v>
      </c>
      <c r="H119" s="6">
        <f t="shared" si="18"/>
        <v>1.100712586197039E-3</v>
      </c>
      <c r="I119" s="6">
        <f t="shared" si="19"/>
        <v>7.9651640710021177E-4</v>
      </c>
      <c r="J119" s="6">
        <f t="shared" si="20"/>
        <v>-2.8446810207862772E-3</v>
      </c>
      <c r="K119" s="13">
        <f t="shared" si="21"/>
        <v>89.787242415916936</v>
      </c>
      <c r="L119" s="13">
        <f t="shared" si="22"/>
        <v>98.317990368097753</v>
      </c>
      <c r="M119" s="13">
        <f t="shared" si="23"/>
        <v>92.890009636133357</v>
      </c>
      <c r="N119" s="13">
        <f t="shared" si="24"/>
        <v>93.115001521366622</v>
      </c>
      <c r="O119" s="14">
        <f t="shared" si="25"/>
        <v>-770.88336881635792</v>
      </c>
      <c r="P119" s="14">
        <f t="shared" si="25"/>
        <v>-162.15129220345403</v>
      </c>
      <c r="Q119" s="14">
        <f t="shared" si="25"/>
        <v>-147.85906129350224</v>
      </c>
      <c r="R119" s="14">
        <f t="shared" si="25"/>
        <v>265.63813333460473</v>
      </c>
      <c r="S119" s="50">
        <f t="shared" si="16"/>
        <v>-815.2555889787094</v>
      </c>
      <c r="T119" s="50"/>
    </row>
    <row r="120" spans="1:20" x14ac:dyDescent="0.35">
      <c r="A120" s="7">
        <f t="shared" si="15"/>
        <v>115</v>
      </c>
      <c r="B120" s="42">
        <v>45238</v>
      </c>
      <c r="C120" s="58" cm="1">
        <f t="array" ref="C120">BonoM(100,C$2,-$B120+C$1,Portafolio!C120)</f>
        <v>88.473602658328062</v>
      </c>
      <c r="D120" s="58" cm="1">
        <f t="array" ref="D120">BonoM(100,D$2,-$B120+D$1,Portafolio!D120)</f>
        <v>98.826110653539757</v>
      </c>
      <c r="E120" s="58" cm="1">
        <f t="array" ref="E120">BonoM(100,E$2,-$B120+E$1,Portafolio!E120)</f>
        <v>93.125893543477517</v>
      </c>
      <c r="F120" s="58" cm="1">
        <f t="array" ref="F120">BonoM(100,F$2,-$B120+F$1,Portafolio!F120)</f>
        <v>94.249955238012916</v>
      </c>
      <c r="G120" s="6">
        <f t="shared" si="17"/>
        <v>2.6115063933418448E-3</v>
      </c>
      <c r="H120" s="6">
        <f t="shared" si="18"/>
        <v>7.000508964588148E-3</v>
      </c>
      <c r="I120" s="6">
        <f t="shared" si="19"/>
        <v>9.3841842762012462E-3</v>
      </c>
      <c r="J120" s="6">
        <f t="shared" si="20"/>
        <v>8.8517002971120196E-3</v>
      </c>
      <c r="K120" s="13">
        <f t="shared" si="21"/>
        <v>89.787511302113742</v>
      </c>
      <c r="L120" s="13">
        <f t="shared" si="22"/>
        <v>98.897408718531153</v>
      </c>
      <c r="M120" s="13">
        <f t="shared" si="23"/>
        <v>93.687083304991148</v>
      </c>
      <c r="N120" s="13">
        <f t="shared" si="24"/>
        <v>94.207217090477258</v>
      </c>
      <c r="O120" s="14">
        <f t="shared" si="25"/>
        <v>-771.77069326582023</v>
      </c>
      <c r="P120" s="14">
        <f t="shared" si="25"/>
        <v>-1031.2788178535541</v>
      </c>
      <c r="Q120" s="14">
        <f t="shared" si="25"/>
        <v>-1742.0063990090853</v>
      </c>
      <c r="R120" s="14">
        <f t="shared" si="25"/>
        <v>-826.57743577603071</v>
      </c>
      <c r="S120" s="50">
        <f t="shared" si="16"/>
        <v>-4371.6333459044909</v>
      </c>
      <c r="T120" s="50"/>
    </row>
    <row r="121" spans="1:20" x14ac:dyDescent="0.35">
      <c r="A121" s="7">
        <f t="shared" si="15"/>
        <v>116</v>
      </c>
      <c r="B121" s="42">
        <v>45237</v>
      </c>
      <c r="C121" s="58" cm="1">
        <f t="array" ref="C121">BonoM(100,C$2,-$B121+C$1,Portafolio!C121)</f>
        <v>88.243155094629785</v>
      </c>
      <c r="D121" s="58" cm="1">
        <f t="array" ref="D121">BonoM(100,D$2,-$B121+D$1,Portafolio!D121)</f>
        <v>98.139087094557809</v>
      </c>
      <c r="E121" s="58" cm="1">
        <f t="array" ref="E121">BonoM(100,E$2,-$B121+E$1,Portafolio!E121)</f>
        <v>92.260107691557764</v>
      </c>
      <c r="F121" s="58" cm="1">
        <f t="array" ref="F121">BonoM(100,F$2,-$B121+F$1,Portafolio!F121)</f>
        <v>93.42300281622741</v>
      </c>
      <c r="G121" s="6">
        <f t="shared" si="17"/>
        <v>-8.981008324644435E-4</v>
      </c>
      <c r="H121" s="6">
        <f t="shared" si="18"/>
        <v>-5.7399277058178821E-4</v>
      </c>
      <c r="I121" s="6">
        <f t="shared" si="19"/>
        <v>-1.8667032632495584E-3</v>
      </c>
      <c r="J121" s="6">
        <f t="shared" si="20"/>
        <v>-5.1025254408731957E-4</v>
      </c>
      <c r="K121" s="13">
        <f t="shared" si="21"/>
        <v>89.473213195176371</v>
      </c>
      <c r="L121" s="13">
        <f t="shared" si="22"/>
        <v>98.153517740052337</v>
      </c>
      <c r="M121" s="13">
        <f t="shared" si="23"/>
        <v>92.642820025871657</v>
      </c>
      <c r="N121" s="13">
        <f t="shared" si="24"/>
        <v>93.332991945748915</v>
      </c>
      <c r="O121" s="14">
        <f t="shared" si="25"/>
        <v>265.4130596275067</v>
      </c>
      <c r="P121" s="14">
        <f t="shared" si="25"/>
        <v>84.557649864670736</v>
      </c>
      <c r="Q121" s="14">
        <f t="shared" si="25"/>
        <v>346.52015922989676</v>
      </c>
      <c r="R121" s="14">
        <f t="shared" si="25"/>
        <v>47.647708952311518</v>
      </c>
      <c r="S121" s="50">
        <f t="shared" si="16"/>
        <v>744.13857767438571</v>
      </c>
      <c r="T121" s="50"/>
    </row>
    <row r="122" spans="1:20" x14ac:dyDescent="0.35">
      <c r="A122" s="7">
        <f t="shared" si="15"/>
        <v>117</v>
      </c>
      <c r="B122" s="42">
        <v>45236</v>
      </c>
      <c r="C122" s="58" cm="1">
        <f t="array" ref="C122">BonoM(100,C$2,-$B122+C$1,Portafolio!C122)</f>
        <v>88.322477585274441</v>
      </c>
      <c r="D122" s="58" cm="1">
        <f t="array" ref="D122">BonoM(100,D$2,-$B122+D$1,Portafolio!D122)</f>
        <v>98.195450573290898</v>
      </c>
      <c r="E122" s="58" cm="1">
        <f t="array" ref="E122">BonoM(100,E$2,-$B122+E$1,Portafolio!E122)</f>
        <v>92.432652024723126</v>
      </c>
      <c r="F122" s="58" cm="1">
        <f t="array" ref="F122">BonoM(100,F$2,-$B122+F$1,Portafolio!F122)</f>
        <v>93.470696476902361</v>
      </c>
      <c r="G122" s="6">
        <f t="shared" si="17"/>
        <v>1.1674636569907415E-2</v>
      </c>
      <c r="H122" s="6">
        <f t="shared" si="18"/>
        <v>1.5744912603417482E-2</v>
      </c>
      <c r="I122" s="6">
        <f t="shared" si="19"/>
        <v>2.0936060073736495E-2</v>
      </c>
      <c r="J122" s="6">
        <f t="shared" si="20"/>
        <v>3.0344665886107069E-2</v>
      </c>
      <c r="K122" s="13">
        <f t="shared" si="21"/>
        <v>90.599147611862676</v>
      </c>
      <c r="L122" s="13">
        <f t="shared" si="22"/>
        <v>99.756195633701935</v>
      </c>
      <c r="M122" s="13">
        <f t="shared" si="23"/>
        <v>94.759283134383807</v>
      </c>
      <c r="N122" s="13">
        <f t="shared" si="24"/>
        <v>96.214243965254099</v>
      </c>
      <c r="O122" s="14">
        <f t="shared" si="25"/>
        <v>-3450.1705154373026</v>
      </c>
      <c r="P122" s="14">
        <f t="shared" si="25"/>
        <v>-2319.4591906097271</v>
      </c>
      <c r="Q122" s="14">
        <f t="shared" si="25"/>
        <v>-3886.4060577944028</v>
      </c>
      <c r="R122" s="14">
        <f t="shared" si="25"/>
        <v>-2833.6043105528715</v>
      </c>
      <c r="S122" s="50">
        <f t="shared" si="16"/>
        <v>-12489.640074394303</v>
      </c>
      <c r="T122" s="50"/>
    </row>
    <row r="123" spans="1:20" x14ac:dyDescent="0.35">
      <c r="A123" s="7">
        <f t="shared" si="15"/>
        <v>118</v>
      </c>
      <c r="B123" s="42">
        <v>45234</v>
      </c>
      <c r="C123" s="58" cm="1">
        <f t="array" ref="C123">BonoM(100,C$2,-$B123+C$1,Portafolio!C123)</f>
        <v>87.303243940890582</v>
      </c>
      <c r="D123" s="58" cm="1">
        <f t="array" ref="D123">BonoM(100,D$2,-$B123+D$1,Portafolio!D123)</f>
        <v>96.673337326012145</v>
      </c>
      <c r="E123" s="58" cm="1">
        <f t="array" ref="E123">BonoM(100,E$2,-$B123+E$1,Portafolio!E123)</f>
        <v>90.537160591670386</v>
      </c>
      <c r="F123" s="58" cm="1">
        <f t="array" ref="F123">BonoM(100,F$2,-$B123+F$1,Portafolio!F123)</f>
        <v>90.717892343836809</v>
      </c>
      <c r="G123" s="6">
        <f t="shared" si="17"/>
        <v>-1.0446854049145693E-2</v>
      </c>
      <c r="H123" s="6">
        <f t="shared" si="18"/>
        <v>-1.513346143030625E-2</v>
      </c>
      <c r="I123" s="6">
        <f t="shared" si="19"/>
        <v>-1.9726773575908463E-2</v>
      </c>
      <c r="J123" s="6">
        <f t="shared" si="20"/>
        <v>-2.7923370065575992E-2</v>
      </c>
      <c r="K123" s="13">
        <f t="shared" si="21"/>
        <v>88.61808757383973</v>
      </c>
      <c r="L123" s="13">
        <f t="shared" si="22"/>
        <v>96.723633931705578</v>
      </c>
      <c r="M123" s="13">
        <f t="shared" si="23"/>
        <v>90.985118309042292</v>
      </c>
      <c r="N123" s="13">
        <f t="shared" si="24"/>
        <v>90.773137496662798</v>
      </c>
      <c r="O123" s="14">
        <f t="shared" si="25"/>
        <v>3087.3276100384187</v>
      </c>
      <c r="P123" s="14">
        <f t="shared" si="25"/>
        <v>2229.3833623848086</v>
      </c>
      <c r="Q123" s="14">
        <f t="shared" si="25"/>
        <v>3661.9235928886269</v>
      </c>
      <c r="R123" s="14">
        <f t="shared" si="25"/>
        <v>2607.5021580384287</v>
      </c>
      <c r="S123" s="50">
        <f t="shared" si="16"/>
        <v>11586.136723350282</v>
      </c>
      <c r="T123" s="50"/>
    </row>
    <row r="124" spans="1:20" x14ac:dyDescent="0.35">
      <c r="A124" s="7">
        <f t="shared" si="15"/>
        <v>119</v>
      </c>
      <c r="B124" s="42">
        <v>45233</v>
      </c>
      <c r="C124" s="58" cm="1">
        <f t="array" ref="C124">BonoM(100,C$2,-$B124+C$1,Portafolio!C124)</f>
        <v>88.224916769883578</v>
      </c>
      <c r="D124" s="58" cm="1">
        <f t="array" ref="D124">BonoM(100,D$2,-$B124+D$1,Portafolio!D124)</f>
        <v>98.158820043179986</v>
      </c>
      <c r="E124" s="58" cm="1">
        <f t="array" ref="E124">BonoM(100,E$2,-$B124+E$1,Portafolio!E124)</f>
        <v>92.359107798892055</v>
      </c>
      <c r="F124" s="58" cm="1">
        <f t="array" ref="F124">BonoM(100,F$2,-$B124+F$1,Portafolio!F124)</f>
        <v>93.323807558213403</v>
      </c>
      <c r="G124" s="6">
        <f t="shared" si="17"/>
        <v>2.0457217232373148E-2</v>
      </c>
      <c r="H124" s="6">
        <f t="shared" si="18"/>
        <v>2.8959419165035749E-2</v>
      </c>
      <c r="I124" s="6">
        <f t="shared" si="19"/>
        <v>3.962826552131693E-2</v>
      </c>
      <c r="J124" s="6">
        <f t="shared" si="20"/>
        <v>5.1694479659453396E-2</v>
      </c>
      <c r="K124" s="13">
        <f t="shared" si="21"/>
        <v>91.385659691032359</v>
      </c>
      <c r="L124" s="13">
        <f t="shared" si="22"/>
        <v>101.05399086300309</v>
      </c>
      <c r="M124" s="13">
        <f t="shared" si="23"/>
        <v>96.494220372554651</v>
      </c>
      <c r="N124" s="13">
        <f t="shared" si="24"/>
        <v>98.207903231917925</v>
      </c>
      <c r="O124" s="14">
        <f t="shared" si="25"/>
        <v>-6045.6603766972548</v>
      </c>
      <c r="P124" s="14">
        <f t="shared" si="25"/>
        <v>-4266.1520345614645</v>
      </c>
      <c r="Q124" s="14">
        <f t="shared" si="25"/>
        <v>-7356.28053413609</v>
      </c>
      <c r="R124" s="14">
        <f t="shared" si="25"/>
        <v>-4827.2635772166977</v>
      </c>
      <c r="S124" s="50">
        <f t="shared" si="16"/>
        <v>-22495.356522611506</v>
      </c>
      <c r="T124" s="50"/>
    </row>
    <row r="125" spans="1:20" x14ac:dyDescent="0.35">
      <c r="A125" s="7">
        <f t="shared" si="15"/>
        <v>120</v>
      </c>
      <c r="B125" s="42">
        <v>45232</v>
      </c>
      <c r="C125" s="58" cm="1">
        <f t="array" ref="C125">BonoM(100,C$2,-$B125+C$1,Portafolio!C125)</f>
        <v>86.456262232298428</v>
      </c>
      <c r="D125" s="58" cm="1">
        <f t="array" ref="D125">BonoM(100,D$2,-$B125+D$1,Portafolio!D125)</f>
        <v>95.396201458394145</v>
      </c>
      <c r="E125" s="58" cm="1">
        <f t="array" ref="E125">BonoM(100,E$2,-$B125+E$1,Portafolio!E125)</f>
        <v>88.838588620499834</v>
      </c>
      <c r="F125" s="58" cm="1">
        <f t="array" ref="F125">BonoM(100,F$2,-$B125+F$1,Portafolio!F125)</f>
        <v>88.736614447603031</v>
      </c>
      <c r="G125" s="6">
        <f t="shared" si="17"/>
        <v>-1.1886004502918768E-2</v>
      </c>
      <c r="H125" s="6">
        <f t="shared" si="18"/>
        <v>-1.611952390712279E-2</v>
      </c>
      <c r="I125" s="6">
        <f t="shared" si="19"/>
        <v>-2.0506815398695588E-2</v>
      </c>
      <c r="J125" s="6">
        <f t="shared" si="20"/>
        <v>-3.0825605548186141E-2</v>
      </c>
      <c r="K125" s="13">
        <f t="shared" si="21"/>
        <v>88.489206410188999</v>
      </c>
      <c r="L125" s="13">
        <f t="shared" si="22"/>
        <v>96.626792844810794</v>
      </c>
      <c r="M125" s="13">
        <f t="shared" si="23"/>
        <v>90.912717884732857</v>
      </c>
      <c r="N125" s="13">
        <f t="shared" si="24"/>
        <v>90.502124890868103</v>
      </c>
      <c r="O125" s="14">
        <f t="shared" si="25"/>
        <v>3512.6354500858342</v>
      </c>
      <c r="P125" s="14">
        <f t="shared" si="25"/>
        <v>2374.644992726985</v>
      </c>
      <c r="Q125" s="14">
        <f t="shared" si="25"/>
        <v>3806.7244415074983</v>
      </c>
      <c r="R125" s="14">
        <f t="shared" si="25"/>
        <v>2878.5147638331237</v>
      </c>
      <c r="S125" s="50">
        <f t="shared" si="16"/>
        <v>12572.519648153442</v>
      </c>
      <c r="T125" s="50"/>
    </row>
    <row r="126" spans="1:20" x14ac:dyDescent="0.35">
      <c r="A126" s="7">
        <f t="shared" si="15"/>
        <v>121</v>
      </c>
      <c r="B126" s="42">
        <v>45231</v>
      </c>
      <c r="C126" s="58" cm="1">
        <f t="array" ref="C126">BonoM(100,C$2,-$B126+C$1,Portafolio!C126)</f>
        <v>87.496242970231066</v>
      </c>
      <c r="D126" s="58" cm="1">
        <f t="array" ref="D126">BonoM(100,D$2,-$B126+D$1,Portafolio!D126)</f>
        <v>96.959136578485015</v>
      </c>
      <c r="E126" s="58" cm="1">
        <f t="array" ref="E126">BonoM(100,E$2,-$B126+E$1,Portafolio!E126)</f>
        <v>90.698526561632931</v>
      </c>
      <c r="F126" s="58" cm="1">
        <f t="array" ref="F126">BonoM(100,F$2,-$B126+F$1,Portafolio!F126)</f>
        <v>91.558975304743157</v>
      </c>
      <c r="G126" s="6">
        <f t="shared" si="17"/>
        <v>3.1006778614266484E-3</v>
      </c>
      <c r="H126" s="6">
        <f t="shared" si="18"/>
        <v>5.3201843201546861E-3</v>
      </c>
      <c r="I126" s="6">
        <f t="shared" si="19"/>
        <v>5.0755284820760416E-3</v>
      </c>
      <c r="J126" s="6">
        <f t="shared" si="20"/>
        <v>7.2139242742319531E-3</v>
      </c>
      <c r="K126" s="13">
        <f t="shared" si="21"/>
        <v>89.831318388347313</v>
      </c>
      <c r="L126" s="13">
        <f t="shared" si="22"/>
        <v>98.732384220866081</v>
      </c>
      <c r="M126" s="13">
        <f t="shared" si="23"/>
        <v>93.287170763656661</v>
      </c>
      <c r="N126" s="13">
        <f t="shared" si="24"/>
        <v>94.054280517849577</v>
      </c>
      <c r="O126" s="14">
        <f t="shared" si="25"/>
        <v>-916.33407783660346</v>
      </c>
      <c r="P126" s="14">
        <f t="shared" si="25"/>
        <v>-783.74207135594531</v>
      </c>
      <c r="Q126" s="14">
        <f t="shared" si="25"/>
        <v>-942.18131634011115</v>
      </c>
      <c r="R126" s="14">
        <f t="shared" si="25"/>
        <v>-673.64086314834992</v>
      </c>
      <c r="S126" s="50">
        <f t="shared" si="16"/>
        <v>-3315.8983286810098</v>
      </c>
      <c r="T126" s="50"/>
    </row>
    <row r="127" spans="1:20" x14ac:dyDescent="0.35">
      <c r="A127" s="7">
        <f t="shared" si="15"/>
        <v>122</v>
      </c>
      <c r="B127" s="42">
        <v>45230</v>
      </c>
      <c r="C127" s="58" cm="1">
        <f t="array" ref="C127">BonoM(100,C$2,-$B127+C$1,Portafolio!C127)</f>
        <v>87.225783913106113</v>
      </c>
      <c r="D127" s="58" cm="1">
        <f t="array" ref="D127">BonoM(100,D$2,-$B127+D$1,Portafolio!D127)</f>
        <v>96.446025943519075</v>
      </c>
      <c r="E127" s="58" cm="1">
        <f t="array" ref="E127">BonoM(100,E$2,-$B127+E$1,Portafolio!E127)</f>
        <v>90.240508291562094</v>
      </c>
      <c r="F127" s="58" cm="1">
        <f t="array" ref="F127">BonoM(100,F$2,-$B127+F$1,Portafolio!F127)</f>
        <v>90.903206457076934</v>
      </c>
      <c r="G127" s="6">
        <f t="shared" si="17"/>
        <v>2.8042846992581971E-4</v>
      </c>
      <c r="H127" s="6">
        <f t="shared" si="18"/>
        <v>6.9454517300249208E-4</v>
      </c>
      <c r="I127" s="6">
        <f t="shared" si="19"/>
        <v>2.4062978464574059E-3</v>
      </c>
      <c r="J127" s="6">
        <f t="shared" si="20"/>
        <v>5.6537480585663324E-3</v>
      </c>
      <c r="K127" s="13">
        <f t="shared" si="21"/>
        <v>89.578754785696191</v>
      </c>
      <c r="L127" s="13">
        <f t="shared" si="22"/>
        <v>98.278100711326715</v>
      </c>
      <c r="M127" s="13">
        <f t="shared" si="23"/>
        <v>93.039423239161053</v>
      </c>
      <c r="N127" s="13">
        <f t="shared" si="24"/>
        <v>93.90859026485667</v>
      </c>
      <c r="O127" s="14">
        <f t="shared" si="25"/>
        <v>-82.874189087900163</v>
      </c>
      <c r="P127" s="14">
        <f t="shared" si="25"/>
        <v>-102.31680704689694</v>
      </c>
      <c r="Q127" s="14">
        <f t="shared" si="25"/>
        <v>-446.68626734889472</v>
      </c>
      <c r="R127" s="14">
        <f t="shared" si="25"/>
        <v>-527.9506101554432</v>
      </c>
      <c r="S127" s="50">
        <f t="shared" si="16"/>
        <v>-1159.8278736391351</v>
      </c>
      <c r="T127" s="50"/>
    </row>
    <row r="128" spans="1:20" x14ac:dyDescent="0.35">
      <c r="A128" s="7">
        <f t="shared" si="15"/>
        <v>123</v>
      </c>
      <c r="B128" s="42">
        <v>45229</v>
      </c>
      <c r="C128" s="58" cm="1">
        <f t="array" ref="C128">BonoM(100,C$2,-$B128+C$1,Portafolio!C128)</f>
        <v>87.201330177508936</v>
      </c>
      <c r="D128" s="58" cm="1">
        <f t="array" ref="D128">BonoM(100,D$2,-$B128+D$1,Portafolio!D128)</f>
        <v>96.379086314341052</v>
      </c>
      <c r="E128" s="58" cm="1">
        <f t="array" ref="E128">BonoM(100,E$2,-$B128+E$1,Portafolio!E128)</f>
        <v>90.023884013331084</v>
      </c>
      <c r="F128" s="58" cm="1">
        <f t="array" ref="F128">BonoM(100,F$2,-$B128+F$1,Portafolio!F128)</f>
        <v>90.392152003179319</v>
      </c>
      <c r="G128" s="6">
        <f t="shared" si="17"/>
        <v>9.6309809508610122E-3</v>
      </c>
      <c r="H128" s="6">
        <f t="shared" si="18"/>
        <v>1.3085072799255304E-2</v>
      </c>
      <c r="I128" s="6">
        <f t="shared" si="19"/>
        <v>1.5537348594787614E-2</v>
      </c>
      <c r="J128" s="6">
        <f t="shared" si="20"/>
        <v>2.3115104251586249E-2</v>
      </c>
      <c r="K128" s="13">
        <f t="shared" si="21"/>
        <v>90.416130809419585</v>
      </c>
      <c r="L128" s="13">
        <f t="shared" si="22"/>
        <v>99.494973060429842</v>
      </c>
      <c r="M128" s="13">
        <f t="shared" si="23"/>
        <v>94.25819589728728</v>
      </c>
      <c r="N128" s="13">
        <f t="shared" si="24"/>
        <v>95.539142875399449</v>
      </c>
      <c r="O128" s="14">
        <f t="shared" si="25"/>
        <v>-2846.2150673750998</v>
      </c>
      <c r="P128" s="14">
        <f t="shared" si="25"/>
        <v>-1927.6253307015877</v>
      </c>
      <c r="Q128" s="14">
        <f t="shared" si="25"/>
        <v>-2884.2315836013486</v>
      </c>
      <c r="R128" s="14">
        <f t="shared" si="25"/>
        <v>-2158.5032206982219</v>
      </c>
      <c r="S128" s="50">
        <f t="shared" si="16"/>
        <v>-9816.5752023762579</v>
      </c>
      <c r="T128" s="50"/>
    </row>
    <row r="129" spans="1:20" x14ac:dyDescent="0.35">
      <c r="A129" s="7">
        <f t="shared" si="15"/>
        <v>124</v>
      </c>
      <c r="B129" s="42">
        <v>45227</v>
      </c>
      <c r="C129" s="58" cm="1">
        <f t="array" ref="C129">BonoM(100,C$2,-$B129+C$1,Portafolio!C129)</f>
        <v>86.369507099894591</v>
      </c>
      <c r="D129" s="58" cm="1">
        <f t="array" ref="D129">BonoM(100,D$2,-$B129+D$1,Portafolio!D129)</f>
        <v>95.134247756741701</v>
      </c>
      <c r="E129" s="58" cm="1">
        <f t="array" ref="E129">BonoM(100,E$2,-$B129+E$1,Portafolio!E129)</f>
        <v>88.646551638793312</v>
      </c>
      <c r="F129" s="58" cm="1">
        <f t="array" ref="F129">BonoM(100,F$2,-$B129+F$1,Portafolio!F129)</f>
        <v>88.349934066608881</v>
      </c>
      <c r="G129" s="6">
        <f t="shared" si="17"/>
        <v>-1.1505198787880699E-2</v>
      </c>
      <c r="H129" s="6">
        <f t="shared" si="18"/>
        <v>-1.6246336094357328E-2</v>
      </c>
      <c r="I129" s="6">
        <f t="shared" si="19"/>
        <v>-2.0761680454201126E-2</v>
      </c>
      <c r="J129" s="6">
        <f t="shared" si="20"/>
        <v>-3.0008024161940372E-2</v>
      </c>
      <c r="K129" s="13">
        <f t="shared" si="21"/>
        <v>88.523308948634707</v>
      </c>
      <c r="L129" s="13">
        <f t="shared" si="22"/>
        <v>96.6143386339144</v>
      </c>
      <c r="M129" s="13">
        <f t="shared" si="23"/>
        <v>90.889062309324956</v>
      </c>
      <c r="N129" s="13">
        <f t="shared" si="24"/>
        <v>90.578471163685506</v>
      </c>
      <c r="O129" s="14">
        <f t="shared" si="25"/>
        <v>3400.0970732149967</v>
      </c>
      <c r="P129" s="14">
        <f t="shared" si="25"/>
        <v>2393.3263090715755</v>
      </c>
      <c r="Q129" s="14">
        <f t="shared" si="25"/>
        <v>3854.0355923232992</v>
      </c>
      <c r="R129" s="14">
        <f t="shared" si="25"/>
        <v>2802.1684910157205</v>
      </c>
      <c r="S129" s="50">
        <f t="shared" si="16"/>
        <v>12449.627465625592</v>
      </c>
      <c r="T129" s="50"/>
    </row>
    <row r="130" spans="1:20" x14ac:dyDescent="0.35">
      <c r="A130" s="7">
        <f t="shared" si="15"/>
        <v>125</v>
      </c>
      <c r="B130" s="42">
        <v>45226</v>
      </c>
      <c r="C130" s="58" cm="1">
        <f t="array" ref="C130">BonoM(100,C$2,-$B130+C$1,Portafolio!C130)</f>
        <v>87.374771211731158</v>
      </c>
      <c r="D130" s="58" cm="1">
        <f t="array" ref="D130">BonoM(100,D$2,-$B130+D$1,Portafolio!D130)</f>
        <v>96.705355463729745</v>
      </c>
      <c r="E130" s="58" cm="1">
        <f t="array" ref="E130">BonoM(100,E$2,-$B130+E$1,Portafolio!E130)</f>
        <v>90.526024022334354</v>
      </c>
      <c r="F130" s="58" cm="1">
        <f t="array" ref="F130">BonoM(100,F$2,-$B130+F$1,Portafolio!F130)</f>
        <v>91.083159724363455</v>
      </c>
      <c r="G130" s="6">
        <f t="shared" si="17"/>
        <v>1.7539370151555822E-3</v>
      </c>
      <c r="H130" s="6">
        <f t="shared" si="18"/>
        <v>1.1150052794983711E-3</v>
      </c>
      <c r="I130" s="6">
        <f t="shared" si="19"/>
        <v>-7.9297337650041655E-4</v>
      </c>
      <c r="J130" s="6">
        <f t="shared" si="20"/>
        <v>3.3548459809102926E-3</v>
      </c>
      <c r="K130" s="13">
        <f t="shared" si="21"/>
        <v>89.710712841548258</v>
      </c>
      <c r="L130" s="13">
        <f t="shared" si="22"/>
        <v>98.319394051927631</v>
      </c>
      <c r="M130" s="13">
        <f t="shared" si="23"/>
        <v>92.742479425051826</v>
      </c>
      <c r="N130" s="13">
        <f t="shared" si="24"/>
        <v>93.693917318341633</v>
      </c>
      <c r="O130" s="14">
        <f t="shared" si="25"/>
        <v>-518.33577339972123</v>
      </c>
      <c r="P130" s="14">
        <f t="shared" si="25"/>
        <v>-164.25681794827085</v>
      </c>
      <c r="Q130" s="14">
        <f t="shared" si="25"/>
        <v>147.20136086955904</v>
      </c>
      <c r="R130" s="14">
        <f t="shared" si="25"/>
        <v>-313.27766364040599</v>
      </c>
      <c r="S130" s="50">
        <f t="shared" si="16"/>
        <v>-848.66889411883903</v>
      </c>
      <c r="T130" s="50"/>
    </row>
    <row r="131" spans="1:20" x14ac:dyDescent="0.35">
      <c r="A131" s="7">
        <f t="shared" si="15"/>
        <v>126</v>
      </c>
      <c r="B131" s="42">
        <v>45225</v>
      </c>
      <c r="C131" s="58" cm="1">
        <f t="array" ref="C131">BonoM(100,C$2,-$B131+C$1,Portafolio!C131)</f>
        <v>87.221789686272288</v>
      </c>
      <c r="D131" s="58" cm="1">
        <f t="array" ref="D131">BonoM(100,D$2,-$B131+D$1,Portafolio!D131)</f>
        <v>96.597648575580848</v>
      </c>
      <c r="E131" s="58" cm="1">
        <f t="array" ref="E131">BonoM(100,E$2,-$B131+E$1,Portafolio!E131)</f>
        <v>90.597865717816347</v>
      </c>
      <c r="F131" s="58" cm="1">
        <f t="array" ref="F131">BonoM(100,F$2,-$B131+F$1,Portafolio!F131)</f>
        <v>90.778611464539026</v>
      </c>
      <c r="G131" s="6">
        <f t="shared" si="17"/>
        <v>4.8926812893665961E-3</v>
      </c>
      <c r="H131" s="6">
        <f t="shared" si="18"/>
        <v>7.0296813704340266E-3</v>
      </c>
      <c r="I131" s="6">
        <f t="shared" si="19"/>
        <v>7.773121837521435E-3</v>
      </c>
      <c r="J131" s="6">
        <f t="shared" si="20"/>
        <v>7.2051662256209514E-3</v>
      </c>
      <c r="K131" s="13">
        <f t="shared" si="21"/>
        <v>89.991798820711765</v>
      </c>
      <c r="L131" s="13">
        <f t="shared" si="22"/>
        <v>98.900273737285914</v>
      </c>
      <c r="M131" s="13">
        <f t="shared" si="23"/>
        <v>93.537550804627699</v>
      </c>
      <c r="N131" s="13">
        <f t="shared" si="24"/>
        <v>94.053462685668165</v>
      </c>
      <c r="O131" s="14">
        <f t="shared" si="25"/>
        <v>-1445.9195046392936</v>
      </c>
      <c r="P131" s="14">
        <f t="shared" si="25"/>
        <v>-1035.576345985696</v>
      </c>
      <c r="Q131" s="14">
        <f t="shared" si="25"/>
        <v>-1442.941398282187</v>
      </c>
      <c r="R131" s="14">
        <f t="shared" si="25"/>
        <v>-672.82303096693852</v>
      </c>
      <c r="S131" s="50">
        <f t="shared" si="16"/>
        <v>-4597.2602798741154</v>
      </c>
      <c r="T131" s="50"/>
    </row>
    <row r="132" spans="1:20" x14ac:dyDescent="0.35">
      <c r="A132" s="7">
        <f t="shared" si="15"/>
        <v>127</v>
      </c>
      <c r="B132" s="42">
        <v>45224</v>
      </c>
      <c r="C132" s="58" cm="1">
        <f t="array" ref="C132">BonoM(100,C$2,-$B132+C$1,Portafolio!C132)</f>
        <v>86.797119045945266</v>
      </c>
      <c r="D132" s="58" cm="1">
        <f t="array" ref="D132">BonoM(100,D$2,-$B132+D$1,Portafolio!D132)</f>
        <v>95.923338072939657</v>
      </c>
      <c r="E132" s="58" cm="1">
        <f t="array" ref="E132">BonoM(100,E$2,-$B132+E$1,Portafolio!E132)</f>
        <v>89.899069299074853</v>
      </c>
      <c r="F132" s="58" cm="1">
        <f t="array" ref="F132">BonoM(100,F$2,-$B132+F$1,Portafolio!F132)</f>
        <v>90.129215485183465</v>
      </c>
      <c r="G132" s="6">
        <f t="shared" si="17"/>
        <v>-3.2538233657063431E-3</v>
      </c>
      <c r="H132" s="6">
        <f t="shared" si="18"/>
        <v>-7.2754829671235477E-3</v>
      </c>
      <c r="I132" s="6">
        <f t="shared" si="19"/>
        <v>-9.8201988076490609E-3</v>
      </c>
      <c r="J132" s="6">
        <f t="shared" si="20"/>
        <v>-1.5754579500457666E-2</v>
      </c>
      <c r="K132" s="13">
        <f t="shared" si="21"/>
        <v>89.262249664208156</v>
      </c>
      <c r="L132" s="13">
        <f t="shared" si="22"/>
        <v>97.495365128320216</v>
      </c>
      <c r="M132" s="13">
        <f t="shared" si="23"/>
        <v>91.904607746304052</v>
      </c>
      <c r="N132" s="13">
        <f t="shared" si="24"/>
        <v>91.909466943457645</v>
      </c>
      <c r="O132" s="14">
        <f t="shared" si="25"/>
        <v>961.59271182261534</v>
      </c>
      <c r="P132" s="14">
        <f t="shared" si="25"/>
        <v>1071.7865674628513</v>
      </c>
      <c r="Q132" s="14">
        <f t="shared" si="25"/>
        <v>1822.9447183651075</v>
      </c>
      <c r="R132" s="14">
        <f t="shared" si="25"/>
        <v>1471.1727112435824</v>
      </c>
      <c r="S132" s="50">
        <f t="shared" si="16"/>
        <v>5327.4967088941557</v>
      </c>
      <c r="T132" s="50"/>
    </row>
    <row r="133" spans="1:20" x14ac:dyDescent="0.35">
      <c r="A133" s="7">
        <f t="shared" ref="A133:A196" si="26">+A134-1</f>
        <v>128</v>
      </c>
      <c r="B133" s="42">
        <v>45223</v>
      </c>
      <c r="C133" s="58" cm="1">
        <f t="array" ref="C133">BonoM(100,C$2,-$B133+C$1,Portafolio!C133)</f>
        <v>87.080463492754532</v>
      </c>
      <c r="D133" s="58" cm="1">
        <f t="array" ref="D133">BonoM(100,D$2,-$B133+D$1,Portafolio!D133)</f>
        <v>96.626341373780065</v>
      </c>
      <c r="E133" s="58" cm="1">
        <f t="array" ref="E133">BonoM(100,E$2,-$B133+E$1,Portafolio!E133)</f>
        <v>90.790651547143796</v>
      </c>
      <c r="F133" s="58" cm="1">
        <f t="array" ref="F133">BonoM(100,F$2,-$B133+F$1,Portafolio!F133)</f>
        <v>91.571892139908996</v>
      </c>
      <c r="G133" s="6">
        <f t="shared" si="17"/>
        <v>-1.1973134526491735E-3</v>
      </c>
      <c r="H133" s="6">
        <f t="shared" si="18"/>
        <v>-1.8355227609284652E-3</v>
      </c>
      <c r="I133" s="6">
        <f t="shared" si="19"/>
        <v>-4.003527783371319E-3</v>
      </c>
      <c r="J133" s="6">
        <f t="shared" si="20"/>
        <v>-4.3624792100013243E-3</v>
      </c>
      <c r="K133" s="13">
        <f t="shared" si="21"/>
        <v>89.446417615487462</v>
      </c>
      <c r="L133" s="13">
        <f t="shared" si="22"/>
        <v>98.02962301909109</v>
      </c>
      <c r="M133" s="13">
        <f t="shared" si="23"/>
        <v>92.444488350040672</v>
      </c>
      <c r="N133" s="13">
        <f t="shared" si="24"/>
        <v>92.973268555590963</v>
      </c>
      <c r="O133" s="14">
        <f t="shared" si="25"/>
        <v>353.8384726009042</v>
      </c>
      <c r="P133" s="14">
        <f t="shared" si="25"/>
        <v>270.39973130654005</v>
      </c>
      <c r="Q133" s="14">
        <f t="shared" si="25"/>
        <v>743.18351089186763</v>
      </c>
      <c r="R133" s="14">
        <f t="shared" ref="R133:R196" si="27">(F$5-N133)*R$2</f>
        <v>407.37109911026437</v>
      </c>
      <c r="S133" s="50">
        <f t="shared" ref="S133:S196" si="28">SUM(O133:R133)</f>
        <v>1774.7928139095761</v>
      </c>
      <c r="T133" s="50"/>
    </row>
    <row r="134" spans="1:20" x14ac:dyDescent="0.35">
      <c r="A134" s="7">
        <f t="shared" si="26"/>
        <v>129</v>
      </c>
      <c r="B134" s="42">
        <v>45222</v>
      </c>
      <c r="C134" s="58" cm="1">
        <f t="array" ref="C134">BonoM(100,C$2,-$B134+C$1,Portafolio!C134)</f>
        <v>87.184851087829202</v>
      </c>
      <c r="D134" s="58" cm="1">
        <f t="array" ref="D134">BonoM(100,D$2,-$B134+D$1,Portafolio!D134)</f>
        <v>96.804027369366082</v>
      </c>
      <c r="E134" s="58" cm="1">
        <f t="array" ref="E134">BonoM(100,E$2,-$B134+E$1,Portafolio!E134)</f>
        <v>91.155595506363284</v>
      </c>
      <c r="F134" s="58" cm="1">
        <f t="array" ref="F134">BonoM(100,F$2,-$B134+F$1,Portafolio!F134)</f>
        <v>91.973122976774064</v>
      </c>
      <c r="G134" s="6">
        <f t="shared" ref="G134:G197" si="29">IFERROR(C134/C135-1," ")</f>
        <v>1.1749737832825957E-2</v>
      </c>
      <c r="H134" s="6">
        <f t="shared" ref="H134:H197" si="30">IFERROR(D134/D135-1," ")</f>
        <v>1.5333390896296928E-2</v>
      </c>
      <c r="I134" s="6">
        <f t="shared" ref="I134:I197" si="31">IFERROR(E134/E135-1," ")</f>
        <v>2.4236630576117912E-2</v>
      </c>
      <c r="J134" s="6">
        <f t="shared" ref="J134:J197" si="32">IFERROR(F134/F135-1," ")</f>
        <v>3.0931220678074078E-2</v>
      </c>
      <c r="K134" s="13">
        <f t="shared" ref="K134:K197" si="33">C$5*(1+G134)</f>
        <v>90.605873203430406</v>
      </c>
      <c r="L134" s="13">
        <f t="shared" ref="L134:L197" si="34">D$5*(1+H134)</f>
        <v>99.715780132316056</v>
      </c>
      <c r="M134" s="13">
        <f t="shared" ref="M134:M197" si="35">E$5*(1+I134)</f>
        <v>95.065629150526647</v>
      </c>
      <c r="N134" s="13">
        <f t="shared" ref="N134:N197" si="36">F$5*(1+J134)</f>
        <v>96.269016826920506</v>
      </c>
      <c r="O134" s="14">
        <f t="shared" ref="O134:R197" si="37">(C$5-K134)*O$2</f>
        <v>-3472.3649676108098</v>
      </c>
      <c r="P134" s="14">
        <f t="shared" si="37"/>
        <v>-2258.8359385309077</v>
      </c>
      <c r="Q134" s="14">
        <f t="shared" si="37"/>
        <v>-4499.0980900800823</v>
      </c>
      <c r="R134" s="14">
        <f t="shared" si="27"/>
        <v>-2888.3771722192791</v>
      </c>
      <c r="S134" s="50">
        <f t="shared" si="28"/>
        <v>-13118.676168441079</v>
      </c>
      <c r="T134" s="50"/>
    </row>
    <row r="135" spans="1:20" x14ac:dyDescent="0.35">
      <c r="A135" s="7">
        <f t="shared" si="26"/>
        <v>130</v>
      </c>
      <c r="B135" s="42">
        <v>45220</v>
      </c>
      <c r="C135" s="58" cm="1">
        <f t="array" ref="C135">BonoM(100,C$2,-$B135+C$1,Portafolio!C135)</f>
        <v>86.17234858353379</v>
      </c>
      <c r="D135" s="58" cm="1">
        <f t="array" ref="D135">BonoM(100,D$2,-$B135+D$1,Portafolio!D135)</f>
        <v>95.342109534988538</v>
      </c>
      <c r="E135" s="58" cm="1">
        <f t="array" ref="E135">BonoM(100,E$2,-$B135+E$1,Portafolio!E135)</f>
        <v>88.99857004244187</v>
      </c>
      <c r="F135" s="58" cm="1">
        <f t="array" ref="F135">BonoM(100,F$2,-$B135+F$1,Portafolio!F135)</f>
        <v>89.213636304738742</v>
      </c>
      <c r="G135" s="6">
        <f t="shared" si="29"/>
        <v>-1.137265011009736E-2</v>
      </c>
      <c r="H135" s="6">
        <f t="shared" si="30"/>
        <v>-1.5550229638449542E-2</v>
      </c>
      <c r="I135" s="6">
        <f t="shared" si="31"/>
        <v>-2.1296912111428923E-2</v>
      </c>
      <c r="J135" s="6">
        <f t="shared" si="32"/>
        <v>-3.0723772203976374E-2</v>
      </c>
      <c r="K135" s="13">
        <f t="shared" si="33"/>
        <v>88.535179165392307</v>
      </c>
      <c r="L135" s="13">
        <f t="shared" si="34"/>
        <v>96.682703172033953</v>
      </c>
      <c r="M135" s="13">
        <f t="shared" si="35"/>
        <v>90.839384204952708</v>
      </c>
      <c r="N135" s="13">
        <f t="shared" si="36"/>
        <v>90.51163415368859</v>
      </c>
      <c r="O135" s="14">
        <f t="shared" si="37"/>
        <v>3360.9253579149154</v>
      </c>
      <c r="P135" s="14">
        <f t="shared" si="37"/>
        <v>2290.7795018922457</v>
      </c>
      <c r="Q135" s="14">
        <f t="shared" si="37"/>
        <v>3953.3918010677953</v>
      </c>
      <c r="R135" s="14">
        <f t="shared" si="27"/>
        <v>2869.0055010126371</v>
      </c>
      <c r="S135" s="50">
        <f t="shared" si="28"/>
        <v>12474.102161887593</v>
      </c>
      <c r="T135" s="50"/>
    </row>
    <row r="136" spans="1:20" x14ac:dyDescent="0.35">
      <c r="A136" s="7">
        <f t="shared" si="26"/>
        <v>131</v>
      </c>
      <c r="B136" s="42">
        <v>45219</v>
      </c>
      <c r="C136" s="58" cm="1">
        <f t="array" ref="C136">BonoM(100,C$2,-$B136+C$1,Portafolio!C136)</f>
        <v>87.163630050423222</v>
      </c>
      <c r="D136" s="58" cm="1">
        <f t="array" ref="D136">BonoM(100,D$2,-$B136+D$1,Portafolio!D136)</f>
        <v>96.848120041688929</v>
      </c>
      <c r="E136" s="58" cm="1">
        <f t="array" ref="E136">BonoM(100,E$2,-$B136+E$1,Portafolio!E136)</f>
        <v>90.935209200621912</v>
      </c>
      <c r="F136" s="58" cm="1">
        <f t="array" ref="F136">BonoM(100,F$2,-$B136+F$1,Portafolio!F136)</f>
        <v>92.041498332829264</v>
      </c>
      <c r="G136" s="6">
        <f t="shared" si="29"/>
        <v>2.952812987614184E-3</v>
      </c>
      <c r="H136" s="6">
        <f t="shared" si="30"/>
        <v>2.3889413995918929E-3</v>
      </c>
      <c r="I136" s="6">
        <f t="shared" si="31"/>
        <v>2.9576310387420257E-3</v>
      </c>
      <c r="J136" s="6">
        <f t="shared" si="32"/>
        <v>6.491869618985735E-3</v>
      </c>
      <c r="K136" s="13">
        <f t="shared" si="33"/>
        <v>89.818076550462976</v>
      </c>
      <c r="L136" s="13">
        <f t="shared" si="34"/>
        <v>98.444507177520521</v>
      </c>
      <c r="M136" s="13">
        <f t="shared" si="35"/>
        <v>93.090595824900959</v>
      </c>
      <c r="N136" s="13">
        <f t="shared" si="36"/>
        <v>93.986854592277041</v>
      </c>
      <c r="O136" s="14">
        <f t="shared" si="37"/>
        <v>-872.63601281829187</v>
      </c>
      <c r="P136" s="14">
        <f t="shared" si="37"/>
        <v>-351.92650633760536</v>
      </c>
      <c r="Q136" s="14">
        <f t="shared" si="37"/>
        <v>-549.03143882870609</v>
      </c>
      <c r="R136" s="14">
        <f t="shared" si="27"/>
        <v>-606.21493757581391</v>
      </c>
      <c r="S136" s="50">
        <f t="shared" si="28"/>
        <v>-2379.8088955604171</v>
      </c>
      <c r="T136" s="50"/>
    </row>
    <row r="137" spans="1:20" x14ac:dyDescent="0.35">
      <c r="A137" s="7">
        <f t="shared" si="26"/>
        <v>132</v>
      </c>
      <c r="B137" s="42">
        <v>45218</v>
      </c>
      <c r="C137" s="58" cm="1">
        <f t="array" ref="C137">BonoM(100,C$2,-$B137+C$1,Portafolio!C137)</f>
        <v>86.90700990286733</v>
      </c>
      <c r="D137" s="58" cm="1">
        <f t="array" ref="D137">BonoM(100,D$2,-$B137+D$1,Portafolio!D137)</f>
        <v>96.617306957181839</v>
      </c>
      <c r="E137" s="58" cm="1">
        <f t="array" ref="E137">BonoM(100,E$2,-$B137+E$1,Portafolio!E137)</f>
        <v>90.667049520768131</v>
      </c>
      <c r="F137" s="58" cm="1">
        <f t="array" ref="F137">BonoM(100,F$2,-$B137+F$1,Portafolio!F137)</f>
        <v>91.447830937444323</v>
      </c>
      <c r="G137" s="6">
        <f t="shared" si="29"/>
        <v>1.4690276931059731E-3</v>
      </c>
      <c r="H137" s="6">
        <f t="shared" si="30"/>
        <v>6.951698187409594E-4</v>
      </c>
      <c r="I137" s="6">
        <f t="shared" si="31"/>
        <v>8.0920791768424039E-4</v>
      </c>
      <c r="J137" s="6">
        <f t="shared" si="32"/>
        <v>-2.8243380660262218E-3</v>
      </c>
      <c r="K137" s="13">
        <f t="shared" si="33"/>
        <v>89.68519817429133</v>
      </c>
      <c r="L137" s="13">
        <f t="shared" si="34"/>
        <v>98.278162057715676</v>
      </c>
      <c r="M137" s="13">
        <f t="shared" si="35"/>
        <v>92.891187612396379</v>
      </c>
      <c r="N137" s="13">
        <f t="shared" si="36"/>
        <v>93.116901159494574</v>
      </c>
      <c r="O137" s="14">
        <f t="shared" si="37"/>
        <v>-434.1373714518582</v>
      </c>
      <c r="P137" s="14">
        <f t="shared" si="37"/>
        <v>-102.40882663033801</v>
      </c>
      <c r="Q137" s="14">
        <f t="shared" si="37"/>
        <v>-150.21501381954749</v>
      </c>
      <c r="R137" s="14">
        <f t="shared" si="27"/>
        <v>263.7384952066526</v>
      </c>
      <c r="S137" s="50">
        <f t="shared" si="28"/>
        <v>-423.02271669509116</v>
      </c>
      <c r="T137" s="50"/>
    </row>
    <row r="138" spans="1:20" x14ac:dyDescent="0.35">
      <c r="A138" s="7">
        <f t="shared" si="26"/>
        <v>133</v>
      </c>
      <c r="B138" s="42">
        <v>45217</v>
      </c>
      <c r="C138" s="58" cm="1">
        <f t="array" ref="C138">BonoM(100,C$2,-$B138+C$1,Portafolio!C138)</f>
        <v>86.779528372493459</v>
      </c>
      <c r="D138" s="58" cm="1">
        <f t="array" ref="D138">BonoM(100,D$2,-$B138+D$1,Portafolio!D138)</f>
        <v>96.550188180365083</v>
      </c>
      <c r="E138" s="58" cm="1">
        <f t="array" ref="E138">BonoM(100,E$2,-$B138+E$1,Portafolio!E138)</f>
        <v>90.593740348785261</v>
      </c>
      <c r="F138" s="58" cm="1">
        <f t="array" ref="F138">BonoM(100,F$2,-$B138+F$1,Portafolio!F138)</f>
        <v>91.706842062396206</v>
      </c>
      <c r="G138" s="6">
        <f t="shared" si="29"/>
        <v>-3.1237944701512088E-4</v>
      </c>
      <c r="H138" s="6">
        <f t="shared" si="30"/>
        <v>-2.2673975360403276E-3</v>
      </c>
      <c r="I138" s="6">
        <f t="shared" si="31"/>
        <v>-5.0851957974346051E-3</v>
      </c>
      <c r="J138" s="6">
        <f t="shared" si="32"/>
        <v>-5.154608447146547E-3</v>
      </c>
      <c r="K138" s="13">
        <f t="shared" si="33"/>
        <v>89.52566667808631</v>
      </c>
      <c r="L138" s="13">
        <f t="shared" si="34"/>
        <v>97.987208645146666</v>
      </c>
      <c r="M138" s="13">
        <f t="shared" si="35"/>
        <v>92.344092164999836</v>
      </c>
      <c r="N138" s="13">
        <f t="shared" si="36"/>
        <v>92.899299020737161</v>
      </c>
      <c r="O138" s="14">
        <f t="shared" si="37"/>
        <v>92.316566024706503</v>
      </c>
      <c r="P138" s="14">
        <f t="shared" si="37"/>
        <v>334.02129222317711</v>
      </c>
      <c r="Q138" s="14">
        <f t="shared" si="37"/>
        <v>943.97588097353946</v>
      </c>
      <c r="R138" s="14">
        <f t="shared" si="27"/>
        <v>481.34063396406646</v>
      </c>
      <c r="S138" s="50">
        <f t="shared" si="28"/>
        <v>1851.6543731854895</v>
      </c>
      <c r="T138" s="50"/>
    </row>
    <row r="139" spans="1:20" x14ac:dyDescent="0.35">
      <c r="A139" s="7">
        <f t="shared" si="26"/>
        <v>134</v>
      </c>
      <c r="B139" s="42">
        <v>45216</v>
      </c>
      <c r="C139" s="58" cm="1">
        <f t="array" ref="C139">BonoM(100,C$2,-$B139+C$1,Portafolio!C139)</f>
        <v>86.80664498425088</v>
      </c>
      <c r="D139" s="58" cm="1">
        <f t="array" ref="D139">BonoM(100,D$2,-$B139+D$1,Portafolio!D139)</f>
        <v>96.769603340543028</v>
      </c>
      <c r="E139" s="58" cm="1">
        <f t="array" ref="E139">BonoM(100,E$2,-$B139+E$1,Portafolio!E139)</f>
        <v>91.056781913499705</v>
      </c>
      <c r="F139" s="58" cm="1">
        <f t="array" ref="F139">BonoM(100,F$2,-$B139+F$1,Portafolio!F139)</f>
        <v>92.182004199920016</v>
      </c>
      <c r="G139" s="6">
        <f t="shared" si="29"/>
        <v>-1.5021539066700784E-3</v>
      </c>
      <c r="H139" s="6">
        <f t="shared" si="30"/>
        <v>-3.5421223569015448E-3</v>
      </c>
      <c r="I139" s="6">
        <f t="shared" si="31"/>
        <v>-4.0271703603161901E-3</v>
      </c>
      <c r="J139" s="6">
        <f t="shared" si="32"/>
        <v>-4.3970802597904646E-3</v>
      </c>
      <c r="K139" s="13">
        <f t="shared" si="33"/>
        <v>89.419118042785371</v>
      </c>
      <c r="L139" s="13">
        <f t="shared" si="34"/>
        <v>97.862018061338517</v>
      </c>
      <c r="M139" s="13">
        <f t="shared" si="35"/>
        <v>92.442293938725058</v>
      </c>
      <c r="N139" s="13">
        <f t="shared" si="36"/>
        <v>92.970037487428939</v>
      </c>
      <c r="O139" s="14">
        <f t="shared" si="37"/>
        <v>443.92706251780538</v>
      </c>
      <c r="P139" s="14">
        <f t="shared" si="37"/>
        <v>521.80716793539978</v>
      </c>
      <c r="Q139" s="14">
        <f t="shared" si="37"/>
        <v>747.57233352309527</v>
      </c>
      <c r="R139" s="14">
        <f t="shared" si="27"/>
        <v>410.60216727228749</v>
      </c>
      <c r="S139" s="50">
        <f t="shared" si="28"/>
        <v>2123.9087312485881</v>
      </c>
      <c r="T139" s="50"/>
    </row>
    <row r="140" spans="1:20" x14ac:dyDescent="0.35">
      <c r="A140" s="7">
        <f t="shared" si="26"/>
        <v>135</v>
      </c>
      <c r="B140" s="42">
        <v>45215</v>
      </c>
      <c r="C140" s="58" cm="1">
        <f t="array" ref="C140">BonoM(100,C$2,-$B140+C$1,Portafolio!C140)</f>
        <v>86.937238096092031</v>
      </c>
      <c r="D140" s="58" cm="1">
        <f t="array" ref="D140">BonoM(100,D$2,-$B140+D$1,Portafolio!D140)</f>
        <v>97.113591564382233</v>
      </c>
      <c r="E140" s="58" cm="1">
        <f t="array" ref="E140">BonoM(100,E$2,-$B140+E$1,Portafolio!E140)</f>
        <v>91.424965826067364</v>
      </c>
      <c r="F140" s="58" cm="1">
        <f t="array" ref="F140">BonoM(100,F$2,-$B140+F$1,Portafolio!F140)</f>
        <v>92.589126018205917</v>
      </c>
      <c r="G140" s="6">
        <f t="shared" si="29"/>
        <v>1.0616813298058858E-2</v>
      </c>
      <c r="H140" s="6">
        <f t="shared" si="30"/>
        <v>1.3052564513168496E-2</v>
      </c>
      <c r="I140" s="6">
        <f t="shared" si="31"/>
        <v>1.8989627940318554E-2</v>
      </c>
      <c r="J140" s="6">
        <f t="shared" si="32"/>
        <v>2.5993285459304794E-2</v>
      </c>
      <c r="K140" s="13">
        <f t="shared" si="33"/>
        <v>90.5044156859162</v>
      </c>
      <c r="L140" s="13">
        <f t="shared" si="34"/>
        <v>99.49178042524521</v>
      </c>
      <c r="M140" s="13">
        <f t="shared" si="35"/>
        <v>94.578622933568596</v>
      </c>
      <c r="N140" s="13">
        <f t="shared" si="36"/>
        <v>95.80790927761835</v>
      </c>
      <c r="O140" s="14">
        <f t="shared" si="37"/>
        <v>-3137.5551598139309</v>
      </c>
      <c r="P140" s="14">
        <f t="shared" si="37"/>
        <v>-1922.8363779246392</v>
      </c>
      <c r="Q140" s="14">
        <f t="shared" si="37"/>
        <v>-3525.0856561639807</v>
      </c>
      <c r="R140" s="14">
        <f t="shared" si="27"/>
        <v>-2427.2696229171233</v>
      </c>
      <c r="S140" s="50">
        <f t="shared" si="28"/>
        <v>-11012.746816819674</v>
      </c>
      <c r="T140" s="50"/>
    </row>
    <row r="141" spans="1:20" x14ac:dyDescent="0.35">
      <c r="A141" s="7">
        <f t="shared" si="26"/>
        <v>136</v>
      </c>
      <c r="B141" s="42">
        <v>45213</v>
      </c>
      <c r="C141" s="58" cm="1">
        <f t="array" ref="C141">BonoM(100,C$2,-$B141+C$1,Portafolio!C141)</f>
        <v>86.023938007106793</v>
      </c>
      <c r="D141" s="58" cm="1">
        <f t="array" ref="D141">BonoM(100,D$2,-$B141+D$1,Portafolio!D141)</f>
        <v>95.862342158968858</v>
      </c>
      <c r="E141" s="58" cm="1">
        <f t="array" ref="E141">BonoM(100,E$2,-$B141+E$1,Portafolio!E141)</f>
        <v>89.721193738609927</v>
      </c>
      <c r="F141" s="58" cm="1">
        <f t="array" ref="F141">BonoM(100,F$2,-$B141+F$1,Portafolio!F141)</f>
        <v>90.243403470965887</v>
      </c>
      <c r="G141" s="6">
        <f t="shared" si="29"/>
        <v>-1.1150973101613282E-2</v>
      </c>
      <c r="H141" s="6">
        <f t="shared" si="30"/>
        <v>-1.4189894014196458E-2</v>
      </c>
      <c r="I141" s="6">
        <f t="shared" si="31"/>
        <v>-2.0492574529464624E-2</v>
      </c>
      <c r="J141" s="6">
        <f t="shared" si="32"/>
        <v>-3.0639386242375388E-2</v>
      </c>
      <c r="K141" s="13">
        <f t="shared" si="33"/>
        <v>88.555031148715614</v>
      </c>
      <c r="L141" s="13">
        <f t="shared" si="34"/>
        <v>96.816301583383776</v>
      </c>
      <c r="M141" s="13">
        <f t="shared" si="35"/>
        <v>90.914039666392156</v>
      </c>
      <c r="N141" s="13">
        <f t="shared" si="36"/>
        <v>90.519514168760765</v>
      </c>
      <c r="O141" s="14">
        <f t="shared" si="37"/>
        <v>3295.4138129480043</v>
      </c>
      <c r="P141" s="14">
        <f t="shared" si="37"/>
        <v>2090.3818848675114</v>
      </c>
      <c r="Q141" s="14">
        <f t="shared" si="37"/>
        <v>3804.0808781888982</v>
      </c>
      <c r="R141" s="14">
        <f t="shared" si="27"/>
        <v>2861.1254859404626</v>
      </c>
      <c r="S141" s="50">
        <f t="shared" si="28"/>
        <v>12051.002061944877</v>
      </c>
      <c r="T141" s="50"/>
    </row>
    <row r="142" spans="1:20" x14ac:dyDescent="0.35">
      <c r="A142" s="7">
        <f t="shared" si="26"/>
        <v>137</v>
      </c>
      <c r="B142" s="42">
        <v>45212</v>
      </c>
      <c r="C142" s="58" cm="1">
        <f t="array" ref="C142">BonoM(100,C$2,-$B142+C$1,Portafolio!C142)</f>
        <v>86.99400582607494</v>
      </c>
      <c r="D142" s="58" cm="1">
        <f t="array" ref="D142">BonoM(100,D$2,-$B142+D$1,Portafolio!D142)</f>
        <v>97.242198651541671</v>
      </c>
      <c r="E142" s="58" cm="1">
        <f t="array" ref="E142">BonoM(100,E$2,-$B142+E$1,Portafolio!E142)</f>
        <v>91.598278283096931</v>
      </c>
      <c r="F142" s="58" cm="1">
        <f t="array" ref="F142">BonoM(100,F$2,-$B142+F$1,Portafolio!F142)</f>
        <v>93.095801696694494</v>
      </c>
      <c r="G142" s="6">
        <f t="shared" si="29"/>
        <v>5.7705726407841773E-4</v>
      </c>
      <c r="H142" s="6">
        <f t="shared" si="30"/>
        <v>1.5451850039389647E-3</v>
      </c>
      <c r="I142" s="6">
        <f t="shared" si="31"/>
        <v>1.8881688865843849E-3</v>
      </c>
      <c r="J142" s="6">
        <f t="shared" si="32"/>
        <v>1.8329563669343685E-3</v>
      </c>
      <c r="K142" s="13">
        <f t="shared" si="33"/>
        <v>89.605318974355185</v>
      </c>
      <c r="L142" s="13">
        <f t="shared" si="34"/>
        <v>98.361641955132924</v>
      </c>
      <c r="M142" s="13">
        <f t="shared" si="35"/>
        <v>92.991332540116503</v>
      </c>
      <c r="N142" s="13">
        <f t="shared" si="36"/>
        <v>93.551802292704721</v>
      </c>
      <c r="O142" s="14">
        <f t="shared" si="37"/>
        <v>-170.53601166258261</v>
      </c>
      <c r="P142" s="14">
        <f t="shared" si="37"/>
        <v>-227.6286727562109</v>
      </c>
      <c r="Q142" s="14">
        <f t="shared" si="37"/>
        <v>-350.50486925979385</v>
      </c>
      <c r="R142" s="14">
        <f t="shared" si="27"/>
        <v>-171.16263800349429</v>
      </c>
      <c r="S142" s="50">
        <f t="shared" si="28"/>
        <v>-919.83219168208166</v>
      </c>
      <c r="T142" s="50"/>
    </row>
    <row r="143" spans="1:20" x14ac:dyDescent="0.35">
      <c r="A143" s="7">
        <f t="shared" si="26"/>
        <v>138</v>
      </c>
      <c r="B143" s="42">
        <v>45211</v>
      </c>
      <c r="C143" s="58" cm="1">
        <f t="array" ref="C143">BonoM(100,C$2,-$B143+C$1,Portafolio!C143)</f>
        <v>86.943834254951298</v>
      </c>
      <c r="D143" s="58" cm="1">
        <f t="array" ref="D143">BonoM(100,D$2,-$B143+D$1,Portafolio!D143)</f>
        <v>97.092173281387417</v>
      </c>
      <c r="E143" s="58" cm="1">
        <f t="array" ref="E143">BonoM(100,E$2,-$B143+E$1,Portafolio!E143)</f>
        <v>91.425651213040751</v>
      </c>
      <c r="F143" s="58" cm="1">
        <f t="array" ref="F143">BonoM(100,F$2,-$B143+F$1,Portafolio!F143)</f>
        <v>92.925473358651359</v>
      </c>
      <c r="G143" s="6">
        <f t="shared" si="29"/>
        <v>-3.6019004278354805E-3</v>
      </c>
      <c r="H143" s="6">
        <f t="shared" si="30"/>
        <v>-5.2606733488065327E-3</v>
      </c>
      <c r="I143" s="6">
        <f t="shared" si="31"/>
        <v>-5.1243591240702768E-3</v>
      </c>
      <c r="J143" s="6">
        <f t="shared" si="32"/>
        <v>-7.5552634938302887E-3</v>
      </c>
      <c r="K143" s="13">
        <f t="shared" si="33"/>
        <v>89.231078095808385</v>
      </c>
      <c r="L143" s="13">
        <f t="shared" si="34"/>
        <v>97.693239358312027</v>
      </c>
      <c r="M143" s="13">
        <f t="shared" si="35"/>
        <v>92.340457178537619</v>
      </c>
      <c r="N143" s="13">
        <f t="shared" si="36"/>
        <v>92.675124316887548</v>
      </c>
      <c r="O143" s="14">
        <f t="shared" si="37"/>
        <v>1064.4588875418576</v>
      </c>
      <c r="P143" s="14">
        <f t="shared" si="37"/>
        <v>774.97522247513473</v>
      </c>
      <c r="Q143" s="14">
        <f t="shared" si="37"/>
        <v>951.24585389797289</v>
      </c>
      <c r="R143" s="14">
        <f t="shared" si="27"/>
        <v>705.51533781367937</v>
      </c>
      <c r="S143" s="50">
        <f t="shared" si="28"/>
        <v>3496.1953017286442</v>
      </c>
      <c r="T143" s="50"/>
    </row>
    <row r="144" spans="1:20" x14ac:dyDescent="0.35">
      <c r="A144" s="7">
        <f t="shared" si="26"/>
        <v>139</v>
      </c>
      <c r="B144" s="42">
        <v>45210</v>
      </c>
      <c r="C144" s="58" cm="1">
        <f t="array" ref="C144">BonoM(100,C$2,-$B144+C$1,Portafolio!C144)</f>
        <v>87.258129348383363</v>
      </c>
      <c r="D144" s="58" cm="1">
        <f t="array" ref="D144">BonoM(100,D$2,-$B144+D$1,Portafolio!D144)</f>
        <v>97.605644695128163</v>
      </c>
      <c r="E144" s="58" cm="1">
        <f t="array" ref="E144">BonoM(100,E$2,-$B144+E$1,Portafolio!E144)</f>
        <v>91.896562200021123</v>
      </c>
      <c r="F144" s="58" cm="1">
        <f t="array" ref="F144">BonoM(100,F$2,-$B144+F$1,Portafolio!F144)</f>
        <v>93.632894548656481</v>
      </c>
      <c r="G144" s="6">
        <f t="shared" si="29"/>
        <v>-6.2294993503386742E-4</v>
      </c>
      <c r="H144" s="6">
        <f t="shared" si="30"/>
        <v>2.6403418144682611E-4</v>
      </c>
      <c r="I144" s="6">
        <f t="shared" si="31"/>
        <v>-2.7643103752539311E-4</v>
      </c>
      <c r="J144" s="6">
        <f t="shared" si="32"/>
        <v>3.4126669534206844E-3</v>
      </c>
      <c r="K144" s="13">
        <f t="shared" si="33"/>
        <v>89.497853959974393</v>
      </c>
      <c r="L144" s="13">
        <f t="shared" si="34"/>
        <v>98.23582027441465</v>
      </c>
      <c r="M144" s="13">
        <f t="shared" si="35"/>
        <v>92.790422860164</v>
      </c>
      <c r="N144" s="13">
        <f t="shared" si="36"/>
        <v>93.699316677740114</v>
      </c>
      <c r="O144" s="14">
        <f t="shared" si="37"/>
        <v>184.09853579403404</v>
      </c>
      <c r="P144" s="14">
        <f t="shared" si="37"/>
        <v>-38.896151678798674</v>
      </c>
      <c r="Q144" s="14">
        <f t="shared" si="37"/>
        <v>51.314490645211208</v>
      </c>
      <c r="R144" s="14">
        <f t="shared" si="27"/>
        <v>-318.67702303888734</v>
      </c>
      <c r="S144" s="50">
        <f t="shared" si="28"/>
        <v>-122.16014827844077</v>
      </c>
      <c r="T144" s="50"/>
    </row>
    <row r="145" spans="1:20" x14ac:dyDescent="0.35">
      <c r="A145" s="7">
        <f t="shared" si="26"/>
        <v>140</v>
      </c>
      <c r="B145" s="42">
        <v>45209</v>
      </c>
      <c r="C145" s="58" cm="1">
        <f t="array" ref="C145">BonoM(100,C$2,-$B145+C$1,Portafolio!C145)</f>
        <v>87.312520677467035</v>
      </c>
      <c r="D145" s="58" cm="1">
        <f t="array" ref="D145">BonoM(100,D$2,-$B145+D$1,Portafolio!D145)</f>
        <v>97.579880271315048</v>
      </c>
      <c r="E145" s="58" cm="1">
        <f t="array" ref="E145">BonoM(100,E$2,-$B145+E$1,Portafolio!E145)</f>
        <v>91.921972286191576</v>
      </c>
      <c r="F145" s="58" cm="1">
        <f t="array" ref="F145">BonoM(100,F$2,-$B145+F$1,Portafolio!F145)</f>
        <v>93.314443431281703</v>
      </c>
      <c r="G145" s="6">
        <f t="shared" si="29"/>
        <v>2.3746239433601879E-3</v>
      </c>
      <c r="H145" s="6">
        <f t="shared" si="30"/>
        <v>4.5434425660095812E-3</v>
      </c>
      <c r="I145" s="6">
        <f t="shared" si="31"/>
        <v>4.604768546640825E-3</v>
      </c>
      <c r="J145" s="6">
        <f t="shared" si="32"/>
        <v>8.9272104731146218E-3</v>
      </c>
      <c r="K145" s="13">
        <f t="shared" si="33"/>
        <v>89.766297616135304</v>
      </c>
      <c r="L145" s="13">
        <f t="shared" si="34"/>
        <v>98.656100499016304</v>
      </c>
      <c r="M145" s="13">
        <f t="shared" si="35"/>
        <v>93.243476671778851</v>
      </c>
      <c r="N145" s="13">
        <f t="shared" si="36"/>
        <v>94.214268279012813</v>
      </c>
      <c r="O145" s="14">
        <f t="shared" si="37"/>
        <v>-701.76552953697501</v>
      </c>
      <c r="P145" s="14">
        <f t="shared" si="37"/>
        <v>-669.31648858128051</v>
      </c>
      <c r="Q145" s="14">
        <f t="shared" si="37"/>
        <v>-854.79313258448997</v>
      </c>
      <c r="R145" s="14">
        <f t="shared" si="27"/>
        <v>-833.62862431158646</v>
      </c>
      <c r="S145" s="50">
        <f t="shared" si="28"/>
        <v>-3059.5037750143319</v>
      </c>
      <c r="T145" s="50"/>
    </row>
    <row r="146" spans="1:20" x14ac:dyDescent="0.35">
      <c r="A146" s="7">
        <f t="shared" si="26"/>
        <v>141</v>
      </c>
      <c r="B146" s="42">
        <v>45208</v>
      </c>
      <c r="C146" s="58" cm="1">
        <f t="array" ref="C146">BonoM(100,C$2,-$B146+C$1,Portafolio!C146)</f>
        <v>87.105677450191209</v>
      </c>
      <c r="D146" s="58" cm="1">
        <f t="array" ref="D146">BonoM(100,D$2,-$B146+D$1,Portafolio!D146)</f>
        <v>97.138536907927687</v>
      </c>
      <c r="E146" s="58" cm="1">
        <f t="array" ref="E146">BonoM(100,E$2,-$B146+E$1,Portafolio!E146)</f>
        <v>91.50063304912922</v>
      </c>
      <c r="F146" s="58" cm="1">
        <f t="array" ref="F146">BonoM(100,F$2,-$B146+F$1,Portafolio!F146)</f>
        <v>92.488776655675593</v>
      </c>
      <c r="G146" s="6">
        <f t="shared" si="29"/>
        <v>1.3438203746331201E-2</v>
      </c>
      <c r="H146" s="6">
        <f t="shared" si="30"/>
        <v>1.7993858027401277E-2</v>
      </c>
      <c r="I146" s="6">
        <f t="shared" si="31"/>
        <v>2.4837641171225E-2</v>
      </c>
      <c r="J146" s="6">
        <f t="shared" si="32"/>
        <v>3.528044818003151E-2</v>
      </c>
      <c r="K146" s="13">
        <f t="shared" si="33"/>
        <v>90.757081474356241</v>
      </c>
      <c r="L146" s="13">
        <f t="shared" si="34"/>
        <v>99.977064315297824</v>
      </c>
      <c r="M146" s="13">
        <f t="shared" si="35"/>
        <v>95.121412598066357</v>
      </c>
      <c r="N146" s="13">
        <f t="shared" si="36"/>
        <v>96.675150473057116</v>
      </c>
      <c r="O146" s="14">
        <f t="shared" si="37"/>
        <v>-3971.3522616660653</v>
      </c>
      <c r="P146" s="14">
        <f t="shared" si="37"/>
        <v>-2650.7622130035597</v>
      </c>
      <c r="Q146" s="14">
        <f t="shared" si="37"/>
        <v>-4610.6649851595021</v>
      </c>
      <c r="R146" s="14">
        <f t="shared" si="27"/>
        <v>-3294.5108183558887</v>
      </c>
      <c r="S146" s="50">
        <f t="shared" si="28"/>
        <v>-14527.290278185013</v>
      </c>
      <c r="T146" s="50"/>
    </row>
    <row r="147" spans="1:20" x14ac:dyDescent="0.35">
      <c r="A147" s="7">
        <f t="shared" si="26"/>
        <v>142</v>
      </c>
      <c r="B147" s="42">
        <v>45206</v>
      </c>
      <c r="C147" s="58" cm="1">
        <f t="array" ref="C147">BonoM(100,C$2,-$B147+C$1,Portafolio!C147)</f>
        <v>85.950655035690957</v>
      </c>
      <c r="D147" s="58" cm="1">
        <f t="array" ref="D147">BonoM(100,D$2,-$B147+D$1,Portafolio!D147)</f>
        <v>95.421535348117018</v>
      </c>
      <c r="E147" s="58" cm="1">
        <f t="array" ref="E147">BonoM(100,E$2,-$B147+E$1,Portafolio!E147)</f>
        <v>89.2830526253492</v>
      </c>
      <c r="F147" s="58" cm="1">
        <f t="array" ref="F147">BonoM(100,F$2,-$B147+F$1,Portafolio!F147)</f>
        <v>89.336929735576476</v>
      </c>
      <c r="G147" s="6">
        <f t="shared" si="29"/>
        <v>-1.1255096654737784E-2</v>
      </c>
      <c r="H147" s="6">
        <f t="shared" si="30"/>
        <v>-1.4786942401254666E-2</v>
      </c>
      <c r="I147" s="6">
        <f t="shared" si="31"/>
        <v>-2.0807679258603606E-2</v>
      </c>
      <c r="J147" s="6">
        <f t="shared" si="32"/>
        <v>-3.1033662902734793E-2</v>
      </c>
      <c r="K147" s="13">
        <f t="shared" si="33"/>
        <v>88.545706505378334</v>
      </c>
      <c r="L147" s="13">
        <f t="shared" si="34"/>
        <v>96.757665527260684</v>
      </c>
      <c r="M147" s="13">
        <f t="shared" si="35"/>
        <v>90.884792880610775</v>
      </c>
      <c r="N147" s="13">
        <f t="shared" si="36"/>
        <v>90.482696362015474</v>
      </c>
      <c r="O147" s="14">
        <f t="shared" si="37"/>
        <v>3326.1851359610278</v>
      </c>
      <c r="P147" s="14">
        <f t="shared" si="37"/>
        <v>2178.3359690521493</v>
      </c>
      <c r="Q147" s="14">
        <f t="shared" si="37"/>
        <v>3862.5744497516621</v>
      </c>
      <c r="R147" s="14">
        <f t="shared" si="27"/>
        <v>2897.9432926857526</v>
      </c>
      <c r="S147" s="50">
        <f t="shared" si="28"/>
        <v>12265.038847450593</v>
      </c>
      <c r="T147" s="50"/>
    </row>
    <row r="148" spans="1:20" x14ac:dyDescent="0.35">
      <c r="A148" s="7">
        <f t="shared" si="26"/>
        <v>143</v>
      </c>
      <c r="B148" s="42">
        <v>45205</v>
      </c>
      <c r="C148" s="58" cm="1">
        <f t="array" ref="C148">BonoM(100,C$2,-$B148+C$1,Portafolio!C148)</f>
        <v>86.929049894356467</v>
      </c>
      <c r="D148" s="58" cm="1">
        <f t="array" ref="D148">BonoM(100,D$2,-$B148+D$1,Portafolio!D148)</f>
        <v>96.853705512884119</v>
      </c>
      <c r="E148" s="58" cm="1">
        <f t="array" ref="E148">BonoM(100,E$2,-$B148+E$1,Portafolio!E148)</f>
        <v>91.180303127529072</v>
      </c>
      <c r="F148" s="58" cm="1">
        <f t="array" ref="F148">BonoM(100,F$2,-$B148+F$1,Portafolio!F148)</f>
        <v>92.198176877024778</v>
      </c>
      <c r="G148" s="6">
        <f t="shared" si="29"/>
        <v>5.7792869226291899E-4</v>
      </c>
      <c r="H148" s="6">
        <f t="shared" si="30"/>
        <v>1.1233978188842642E-3</v>
      </c>
      <c r="I148" s="6">
        <f t="shared" si="31"/>
        <v>4.0641041839517555E-3</v>
      </c>
      <c r="J148" s="6">
        <f t="shared" si="32"/>
        <v>4.9681727013604071E-3</v>
      </c>
      <c r="K148" s="13">
        <f t="shared" si="33"/>
        <v>89.605397013922328</v>
      </c>
      <c r="L148" s="13">
        <f t="shared" si="34"/>
        <v>98.320218282293396</v>
      </c>
      <c r="M148" s="13">
        <f t="shared" si="35"/>
        <v>93.193294324981309</v>
      </c>
      <c r="N148" s="13">
        <f t="shared" si="36"/>
        <v>93.844570799469281</v>
      </c>
      <c r="O148" s="14">
        <f t="shared" si="37"/>
        <v>-170.79354223415351</v>
      </c>
      <c r="P148" s="14">
        <f t="shared" si="37"/>
        <v>-165.49316349691878</v>
      </c>
      <c r="Q148" s="14">
        <f t="shared" si="37"/>
        <v>-754.42843898940737</v>
      </c>
      <c r="R148" s="14">
        <f t="shared" si="27"/>
        <v>-463.93114476805408</v>
      </c>
      <c r="S148" s="50">
        <f t="shared" si="28"/>
        <v>-1554.6462894885337</v>
      </c>
      <c r="T148" s="50"/>
    </row>
    <row r="149" spans="1:20" x14ac:dyDescent="0.35">
      <c r="A149" s="7">
        <f t="shared" si="26"/>
        <v>144</v>
      </c>
      <c r="B149" s="42">
        <v>45204</v>
      </c>
      <c r="C149" s="58" cm="1">
        <f t="array" ref="C149">BonoM(100,C$2,-$B149+C$1,Portafolio!C149)</f>
        <v>86.878840119900659</v>
      </c>
      <c r="D149" s="58" cm="1">
        <f t="array" ref="D149">BonoM(100,D$2,-$B149+D$1,Portafolio!D149)</f>
        <v>96.745022365770495</v>
      </c>
      <c r="E149" s="58" cm="1">
        <f t="array" ref="E149">BonoM(100,E$2,-$B149+E$1,Portafolio!E149)</f>
        <v>90.811236800099948</v>
      </c>
      <c r="F149" s="58" cm="1">
        <f t="array" ref="F149">BonoM(100,F$2,-$B149+F$1,Portafolio!F149)</f>
        <v>91.742384864980878</v>
      </c>
      <c r="G149" s="6">
        <f t="shared" si="29"/>
        <v>2.7752335248099058E-4</v>
      </c>
      <c r="H149" s="6">
        <f t="shared" si="30"/>
        <v>-2.2954723415536948E-3</v>
      </c>
      <c r="I149" s="6">
        <f t="shared" si="31"/>
        <v>-3.5137421357446241E-3</v>
      </c>
      <c r="J149" s="6">
        <f t="shared" si="32"/>
        <v>-1.2925710679171365E-3</v>
      </c>
      <c r="K149" s="13">
        <f t="shared" si="33"/>
        <v>89.578494621850325</v>
      </c>
      <c r="L149" s="13">
        <f t="shared" si="34"/>
        <v>97.984451421599275</v>
      </c>
      <c r="M149" s="13">
        <f t="shared" si="35"/>
        <v>92.489948333945307</v>
      </c>
      <c r="N149" s="13">
        <f t="shared" si="36"/>
        <v>93.25993854157997</v>
      </c>
      <c r="O149" s="14">
        <f t="shared" si="37"/>
        <v>-82.015648396543384</v>
      </c>
      <c r="P149" s="14">
        <f t="shared" si="37"/>
        <v>338.15712754426386</v>
      </c>
      <c r="Q149" s="14">
        <f t="shared" si="37"/>
        <v>652.26354308259715</v>
      </c>
      <c r="R149" s="14">
        <f t="shared" si="27"/>
        <v>120.70111312125675</v>
      </c>
      <c r="S149" s="50">
        <f t="shared" si="28"/>
        <v>1029.1061353515743</v>
      </c>
      <c r="T149" s="50"/>
    </row>
    <row r="150" spans="1:20" x14ac:dyDescent="0.35">
      <c r="A150" s="7">
        <f t="shared" si="26"/>
        <v>145</v>
      </c>
      <c r="B150" s="42">
        <v>45203</v>
      </c>
      <c r="C150" s="58" cm="1">
        <f t="array" ref="C150">BonoM(100,C$2,-$B150+C$1,Portafolio!C150)</f>
        <v>86.854735902414177</v>
      </c>
      <c r="D150" s="58" cm="1">
        <f t="array" ref="D150">BonoM(100,D$2,-$B150+D$1,Portafolio!D150)</f>
        <v>96.967608829866052</v>
      </c>
      <c r="E150" s="58" cm="1">
        <f t="array" ref="E150">BonoM(100,E$2,-$B150+E$1,Portafolio!E150)</f>
        <v>91.131449213091457</v>
      </c>
      <c r="F150" s="58" cm="1">
        <f t="array" ref="F150">BonoM(100,F$2,-$B150+F$1,Portafolio!F150)</f>
        <v>91.861121893406704</v>
      </c>
      <c r="G150" s="6">
        <f t="shared" si="29"/>
        <v>2.5984264568452708E-3</v>
      </c>
      <c r="H150" s="6">
        <f t="shared" si="30"/>
        <v>5.7169819999374205E-3</v>
      </c>
      <c r="I150" s="6">
        <f t="shared" si="31"/>
        <v>2.9340556470576873E-2</v>
      </c>
      <c r="J150" s="6">
        <f t="shared" si="32"/>
        <v>1.1557895971422427E-2</v>
      </c>
      <c r="K150" s="13">
        <f t="shared" si="33"/>
        <v>89.786339946171267</v>
      </c>
      <c r="L150" s="13">
        <f t="shared" si="34"/>
        <v>98.771353677154025</v>
      </c>
      <c r="M150" s="13">
        <f t="shared" si="35"/>
        <v>95.539355545199228</v>
      </c>
      <c r="N150" s="13">
        <f t="shared" si="36"/>
        <v>94.459923373575151</v>
      </c>
      <c r="O150" s="14">
        <f t="shared" si="37"/>
        <v>-767.90521865565324</v>
      </c>
      <c r="P150" s="14">
        <f t="shared" si="37"/>
        <v>-842.19625578786145</v>
      </c>
      <c r="Q150" s="14">
        <f t="shared" si="37"/>
        <v>-5446.5508794252455</v>
      </c>
      <c r="R150" s="14">
        <f t="shared" si="27"/>
        <v>-1079.283718873924</v>
      </c>
      <c r="S150" s="50">
        <f t="shared" si="28"/>
        <v>-8135.9360727426838</v>
      </c>
      <c r="T150" s="50"/>
    </row>
    <row r="151" spans="1:20" x14ac:dyDescent="0.35">
      <c r="A151" s="7">
        <f t="shared" si="26"/>
        <v>146</v>
      </c>
      <c r="B151" s="42">
        <v>45202</v>
      </c>
      <c r="C151" s="58" cm="1">
        <f t="array" ref="C151">BonoM(100,C$2,-$B151+C$1,Portafolio!C151)</f>
        <v>86.629635166450811</v>
      </c>
      <c r="D151" s="58" cm="1">
        <f t="array" ref="D151">BonoM(100,D$2,-$B151+D$1,Portafolio!D151)</f>
        <v>96.416398017898928</v>
      </c>
      <c r="E151" s="58" cm="1">
        <f t="array" ref="E151">BonoM(100,E$2,-$B151+E$1,Portafolio!E151)</f>
        <v>88.533817734302389</v>
      </c>
      <c r="F151" s="58" cm="1">
        <f t="array" ref="F151">BonoM(100,F$2,-$B151+F$1,Portafolio!F151)</f>
        <v>90.811531657503735</v>
      </c>
      <c r="G151" s="6">
        <f t="shared" si="29"/>
        <v>6.8695635141224898E-5</v>
      </c>
      <c r="H151" s="6">
        <f t="shared" si="30"/>
        <v>-2.9195122372871474E-5</v>
      </c>
      <c r="I151" s="6">
        <f t="shared" si="31"/>
        <v>-2.3760576491374308E-2</v>
      </c>
      <c r="J151" s="6">
        <f t="shared" si="32"/>
        <v>-3.9228071506439699E-3</v>
      </c>
      <c r="K151" s="13">
        <f t="shared" si="33"/>
        <v>89.559793339338341</v>
      </c>
      <c r="L151" s="13">
        <f t="shared" si="34"/>
        <v>98.207022256886418</v>
      </c>
      <c r="M151" s="13">
        <f t="shared" si="35"/>
        <v>90.610716534510672</v>
      </c>
      <c r="N151" s="13">
        <f t="shared" si="36"/>
        <v>93.014325413732053</v>
      </c>
      <c r="O151" s="14">
        <f t="shared" si="37"/>
        <v>-20.301416106997294</v>
      </c>
      <c r="P151" s="14">
        <f t="shared" si="37"/>
        <v>4.3008746135484444</v>
      </c>
      <c r="Q151" s="14">
        <f t="shared" si="37"/>
        <v>4410.7271419518665</v>
      </c>
      <c r="R151" s="14">
        <f t="shared" si="27"/>
        <v>366.31424096917442</v>
      </c>
      <c r="S151" s="50">
        <f t="shared" si="28"/>
        <v>4761.0408414275926</v>
      </c>
      <c r="T151" s="50"/>
    </row>
    <row r="152" spans="1:20" x14ac:dyDescent="0.35">
      <c r="A152" s="7">
        <f t="shared" si="26"/>
        <v>147</v>
      </c>
      <c r="B152" s="42">
        <v>45201</v>
      </c>
      <c r="C152" s="58" cm="1">
        <f t="array" ref="C152">BonoM(100,C$2,-$B152+C$1,Portafolio!C152)</f>
        <v>86.623684497425984</v>
      </c>
      <c r="D152" s="58" cm="1">
        <f t="array" ref="D152">BonoM(100,D$2,-$B152+D$1,Portafolio!D152)</f>
        <v>96.419212988621226</v>
      </c>
      <c r="E152" s="58" cm="1">
        <f t="array" ref="E152">BonoM(100,E$2,-$B152+E$1,Portafolio!E152)</f>
        <v>90.688631909690685</v>
      </c>
      <c r="F152" s="58" cm="1">
        <f t="array" ref="F152">BonoM(100,F$2,-$B152+F$1,Portafolio!F152)</f>
        <v>91.169170732370958</v>
      </c>
      <c r="G152" s="6">
        <f t="shared" si="29"/>
        <v>1.1016243397383052E-2</v>
      </c>
      <c r="H152" s="6">
        <f t="shared" si="30"/>
        <v>1.1511980428163149E-2</v>
      </c>
      <c r="I152" s="6">
        <f t="shared" si="31"/>
        <v>1.9261651933927038E-2</v>
      </c>
      <c r="J152" s="6">
        <f t="shared" si="32"/>
        <v>2.7073675004263054E-2</v>
      </c>
      <c r="K152" s="13">
        <f t="shared" si="33"/>
        <v>90.540186105793467</v>
      </c>
      <c r="L152" s="13">
        <f t="shared" si="34"/>
        <v>99.340479832481165</v>
      </c>
      <c r="M152" s="13">
        <f t="shared" si="35"/>
        <v>94.603871134349973</v>
      </c>
      <c r="N152" s="13">
        <f t="shared" si="36"/>
        <v>95.908796744402807</v>
      </c>
      <c r="O152" s="14">
        <f t="shared" si="37"/>
        <v>-3255.5975454089107</v>
      </c>
      <c r="P152" s="14">
        <f t="shared" si="37"/>
        <v>-1695.8854887785719</v>
      </c>
      <c r="Q152" s="14">
        <f t="shared" si="37"/>
        <v>-3575.5820577267341</v>
      </c>
      <c r="R152" s="14">
        <f t="shared" si="27"/>
        <v>-2528.1570897015799</v>
      </c>
      <c r="S152" s="50">
        <f t="shared" si="28"/>
        <v>-11055.222181615798</v>
      </c>
      <c r="T152" s="50"/>
    </row>
    <row r="153" spans="1:20" x14ac:dyDescent="0.35">
      <c r="A153" s="7">
        <f t="shared" si="26"/>
        <v>148</v>
      </c>
      <c r="B153" s="42">
        <v>45199</v>
      </c>
      <c r="C153" s="58" cm="1">
        <f t="array" ref="C153">BonoM(100,C$2,-$B153+C$1,Portafolio!C153)</f>
        <v>85.679814803310009</v>
      </c>
      <c r="D153" s="58" cm="1">
        <f t="array" ref="D153">BonoM(100,D$2,-$B153+D$1,Portafolio!D153)</f>
        <v>95.321869492645973</v>
      </c>
      <c r="E153" s="58" cm="1">
        <f t="array" ref="E153">BonoM(100,E$2,-$B153+E$1,Portafolio!E153)</f>
        <v>88.974829708956335</v>
      </c>
      <c r="F153" s="58" cm="1">
        <f t="array" ref="F153">BonoM(100,F$2,-$B153+F$1,Portafolio!F153)</f>
        <v>88.765950244019791</v>
      </c>
      <c r="G153" s="6">
        <f t="shared" si="29"/>
        <v>-1.0365893889754951E-2</v>
      </c>
      <c r="H153" s="6">
        <f t="shared" si="30"/>
        <v>-1.2698406530621598E-2</v>
      </c>
      <c r="I153" s="6">
        <f t="shared" si="31"/>
        <v>-2.0762336477066157E-2</v>
      </c>
      <c r="J153" s="6">
        <f t="shared" si="32"/>
        <v>-2.8606762533202157E-2</v>
      </c>
      <c r="K153" s="13">
        <f t="shared" si="33"/>
        <v>88.625337850921099</v>
      </c>
      <c r="L153" s="13">
        <f t="shared" si="34"/>
        <v>96.962780404346177</v>
      </c>
      <c r="M153" s="13">
        <f t="shared" si="35"/>
        <v>90.889001419854168</v>
      </c>
      <c r="N153" s="13">
        <f t="shared" si="36"/>
        <v>90.709321870900666</v>
      </c>
      <c r="O153" s="14">
        <f t="shared" si="37"/>
        <v>3063.4016956699029</v>
      </c>
      <c r="P153" s="14">
        <f t="shared" si="37"/>
        <v>1870.663653423911</v>
      </c>
      <c r="Q153" s="14">
        <f t="shared" si="37"/>
        <v>3854.1573712648756</v>
      </c>
      <c r="R153" s="14">
        <f t="shared" si="27"/>
        <v>2671.3177838005604</v>
      </c>
      <c r="S153" s="50">
        <f t="shared" si="28"/>
        <v>11459.540504159249</v>
      </c>
      <c r="T153" s="50"/>
    </row>
    <row r="154" spans="1:20" x14ac:dyDescent="0.35">
      <c r="A154" s="7">
        <f t="shared" si="26"/>
        <v>149</v>
      </c>
      <c r="B154" s="42">
        <v>45198</v>
      </c>
      <c r="C154" s="58" cm="1">
        <f t="array" ref="C154">BonoM(100,C$2,-$B154+C$1,Portafolio!C154)</f>
        <v>86.577265551279709</v>
      </c>
      <c r="D154" s="58" cm="1">
        <f t="array" ref="D154">BonoM(100,D$2,-$B154+D$1,Portafolio!D154)</f>
        <v>96.547873641816849</v>
      </c>
      <c r="E154" s="58" cm="1">
        <f t="array" ref="E154">BonoM(100,E$2,-$B154+E$1,Portafolio!E154)</f>
        <v>90.861323071314374</v>
      </c>
      <c r="F154" s="58" cm="1">
        <f t="array" ref="F154">BonoM(100,F$2,-$B154+F$1,Portafolio!F154)</f>
        <v>91.380037270491911</v>
      </c>
      <c r="G154" s="6">
        <f t="shared" si="29"/>
        <v>1.4890622042971202E-3</v>
      </c>
      <c r="H154" s="6">
        <f t="shared" si="30"/>
        <v>2.4167548124096605E-3</v>
      </c>
      <c r="I154" s="6">
        <f t="shared" si="31"/>
        <v>2.4431148835519778E-3</v>
      </c>
      <c r="J154" s="6">
        <f t="shared" si="32"/>
        <v>1.8334353265234693E-3</v>
      </c>
      <c r="K154" s="13">
        <f t="shared" si="33"/>
        <v>89.68699233772206</v>
      </c>
      <c r="L154" s="13">
        <f t="shared" si="34"/>
        <v>98.447238729720155</v>
      </c>
      <c r="M154" s="13">
        <f t="shared" si="35"/>
        <v>93.042840452225278</v>
      </c>
      <c r="N154" s="13">
        <f t="shared" si="36"/>
        <v>93.551847018257519</v>
      </c>
      <c r="O154" s="14">
        <f t="shared" si="37"/>
        <v>-440.05811077326911</v>
      </c>
      <c r="P154" s="14">
        <f t="shared" si="37"/>
        <v>-356.02383463705678</v>
      </c>
      <c r="Q154" s="14">
        <f t="shared" si="37"/>
        <v>-453.52069347734414</v>
      </c>
      <c r="R154" s="14">
        <f t="shared" si="27"/>
        <v>-171.20736355629163</v>
      </c>
      <c r="S154" s="50">
        <f t="shared" si="28"/>
        <v>-1420.8100024439618</v>
      </c>
      <c r="T154" s="50"/>
    </row>
    <row r="155" spans="1:20" x14ac:dyDescent="0.35">
      <c r="A155" s="7">
        <f t="shared" si="26"/>
        <v>150</v>
      </c>
      <c r="B155" s="42">
        <v>45197</v>
      </c>
      <c r="C155" s="58" cm="1">
        <f t="array" ref="C155">BonoM(100,C$2,-$B155+C$1,Portafolio!C155)</f>
        <v>86.448538300280035</v>
      </c>
      <c r="D155" s="58" cm="1">
        <f t="array" ref="D155">BonoM(100,D$2,-$B155+D$1,Portafolio!D155)</f>
        <v>96.315103651559212</v>
      </c>
      <c r="E155" s="58" cm="1">
        <f t="array" ref="E155">BonoM(100,E$2,-$B155+E$1,Portafolio!E155)</f>
        <v>90.639879432828664</v>
      </c>
      <c r="F155" s="58" cm="1">
        <f t="array" ref="F155">BonoM(100,F$2,-$B155+F$1,Portafolio!F155)</f>
        <v>91.212804492504077</v>
      </c>
      <c r="G155" s="6">
        <f t="shared" si="29"/>
        <v>5.7373352785801135E-3</v>
      </c>
      <c r="H155" s="6">
        <f t="shared" si="30"/>
        <v>8.0182563590114331E-3</v>
      </c>
      <c r="I155" s="6">
        <f t="shared" si="31"/>
        <v>1.117201818637259E-2</v>
      </c>
      <c r="J155" s="6">
        <f t="shared" si="32"/>
        <v>1.4380568596837895E-2</v>
      </c>
      <c r="K155" s="13">
        <f t="shared" si="33"/>
        <v>90.06744066116471</v>
      </c>
      <c r="L155" s="13">
        <f t="shared" si="34"/>
        <v>98.997361577683122</v>
      </c>
      <c r="M155" s="13">
        <f t="shared" si="35"/>
        <v>93.853023040412921</v>
      </c>
      <c r="N155" s="13">
        <f t="shared" si="36"/>
        <v>94.723506348872263</v>
      </c>
      <c r="O155" s="14">
        <f t="shared" si="37"/>
        <v>-1695.5375781340138</v>
      </c>
      <c r="P155" s="14">
        <f t="shared" si="37"/>
        <v>-1181.2081065815078</v>
      </c>
      <c r="Q155" s="14">
        <f t="shared" si="37"/>
        <v>-2073.8858698526315</v>
      </c>
      <c r="R155" s="14">
        <f t="shared" si="27"/>
        <v>-1342.8666941710362</v>
      </c>
      <c r="S155" s="50">
        <f t="shared" si="28"/>
        <v>-6293.4982487391899</v>
      </c>
      <c r="T155" s="50"/>
    </row>
    <row r="156" spans="1:20" x14ac:dyDescent="0.35">
      <c r="A156" s="7">
        <f t="shared" si="26"/>
        <v>151</v>
      </c>
      <c r="B156" s="42">
        <v>45196</v>
      </c>
      <c r="C156" s="58" cm="1">
        <f t="array" ref="C156">BonoM(100,C$2,-$B156+C$1,Portafolio!C156)</f>
        <v>85.955383446448835</v>
      </c>
      <c r="D156" s="58" cm="1">
        <f t="array" ref="D156">BonoM(100,D$2,-$B156+D$1,Portafolio!D156)</f>
        <v>95.548967535024516</v>
      </c>
      <c r="E156" s="58" cm="1">
        <f t="array" ref="E156">BonoM(100,E$2,-$B156+E$1,Portafolio!E156)</f>
        <v>89.638437182428561</v>
      </c>
      <c r="F156" s="58" cm="1">
        <f t="array" ref="F156">BonoM(100,F$2,-$B156+F$1,Portafolio!F156)</f>
        <v>89.919707963921283</v>
      </c>
      <c r="G156" s="6">
        <f t="shared" si="29"/>
        <v>-8.4857791998972365E-3</v>
      </c>
      <c r="H156" s="6">
        <f t="shared" si="30"/>
        <v>-1.3203040884696593E-2</v>
      </c>
      <c r="I156" s="6">
        <f t="shared" si="31"/>
        <v>-1.3521475933943705E-2</v>
      </c>
      <c r="J156" s="6">
        <f t="shared" si="32"/>
        <v>-1.6416504875543469E-2</v>
      </c>
      <c r="K156" s="13">
        <f t="shared" si="33"/>
        <v>88.79370896763821</v>
      </c>
      <c r="L156" s="13">
        <f t="shared" si="34"/>
        <v>96.913220320191229</v>
      </c>
      <c r="M156" s="13">
        <f t="shared" si="35"/>
        <v>91.561069712057275</v>
      </c>
      <c r="N156" s="13">
        <f t="shared" si="36"/>
        <v>91.847655928528454</v>
      </c>
      <c r="O156" s="14">
        <f t="shared" si="37"/>
        <v>2507.777010503436</v>
      </c>
      <c r="P156" s="14">
        <f t="shared" si="37"/>
        <v>1945.0037796563322</v>
      </c>
      <c r="Q156" s="14">
        <f t="shared" si="37"/>
        <v>2510.0207868586608</v>
      </c>
      <c r="R156" s="14">
        <f t="shared" si="27"/>
        <v>1532.9837261727732</v>
      </c>
      <c r="S156" s="50">
        <f t="shared" si="28"/>
        <v>8495.7853031912018</v>
      </c>
      <c r="T156" s="50"/>
    </row>
    <row r="157" spans="1:20" x14ac:dyDescent="0.35">
      <c r="A157" s="7">
        <f t="shared" si="26"/>
        <v>152</v>
      </c>
      <c r="B157" s="42">
        <v>45195</v>
      </c>
      <c r="C157" s="58" cm="1">
        <f t="array" ref="C157">BonoM(100,C$2,-$B157+C$1,Portafolio!C157)</f>
        <v>86.691024337590548</v>
      </c>
      <c r="D157" s="58" cm="1">
        <f t="array" ref="D157">BonoM(100,D$2,-$B157+D$1,Portafolio!D157)</f>
        <v>96.827383437305457</v>
      </c>
      <c r="E157" s="58" cm="1">
        <f t="array" ref="E157">BonoM(100,E$2,-$B157+E$1,Portafolio!E157)</f>
        <v>90.867094412717506</v>
      </c>
      <c r="F157" s="58" cm="1">
        <f t="array" ref="F157">BonoM(100,F$2,-$B157+F$1,Portafolio!F157)</f>
        <v>91.420513265671872</v>
      </c>
      <c r="G157" s="6">
        <f t="shared" si="29"/>
        <v>9.1427557642798085E-4</v>
      </c>
      <c r="H157" s="6">
        <f t="shared" si="30"/>
        <v>4.4054959312709308E-3</v>
      </c>
      <c r="I157" s="6">
        <f t="shared" si="31"/>
        <v>5.948790139986837E-4</v>
      </c>
      <c r="J157" s="6">
        <f t="shared" si="32"/>
        <v>2.305773032292846E-3</v>
      </c>
      <c r="K157" s="13">
        <f t="shared" si="33"/>
        <v>89.63551810217119</v>
      </c>
      <c r="L157" s="13">
        <f t="shared" si="34"/>
        <v>98.64255277526081</v>
      </c>
      <c r="M157" s="13">
        <f t="shared" si="35"/>
        <v>92.871294443702979</v>
      </c>
      <c r="N157" s="13">
        <f t="shared" si="36"/>
        <v>93.595954215355292</v>
      </c>
      <c r="O157" s="14">
        <f t="shared" si="37"/>
        <v>-270.19313345539757</v>
      </c>
      <c r="P157" s="14">
        <f t="shared" si="37"/>
        <v>-648.99490294803991</v>
      </c>
      <c r="Q157" s="14">
        <f t="shared" si="37"/>
        <v>-110.4286764327469</v>
      </c>
      <c r="R157" s="14">
        <f t="shared" si="27"/>
        <v>-215.31456065406473</v>
      </c>
      <c r="S157" s="50">
        <f t="shared" si="28"/>
        <v>-1244.9312734902492</v>
      </c>
      <c r="T157" s="50"/>
    </row>
    <row r="158" spans="1:20" x14ac:dyDescent="0.35">
      <c r="A158" s="7">
        <f t="shared" si="26"/>
        <v>153</v>
      </c>
      <c r="B158" s="42">
        <v>45194</v>
      </c>
      <c r="C158" s="58" cm="1">
        <f t="array" ref="C158">BonoM(100,C$2,-$B158+C$1,Portafolio!C158)</f>
        <v>86.611837250163177</v>
      </c>
      <c r="D158" s="58" cm="1">
        <f t="array" ref="D158">BonoM(100,D$2,-$B158+D$1,Portafolio!D158)</f>
        <v>96.402681814806726</v>
      </c>
      <c r="E158" s="58" cm="1">
        <f t="array" ref="E158">BonoM(100,E$2,-$B158+E$1,Portafolio!E158)</f>
        <v>90.813071622212689</v>
      </c>
      <c r="F158" s="58" cm="1">
        <f t="array" ref="F158">BonoM(100,F$2,-$B158+F$1,Portafolio!F158)</f>
        <v>91.210203238773957</v>
      </c>
      <c r="G158" s="6">
        <f t="shared" si="29"/>
        <v>8.6942622776180478E-3</v>
      </c>
      <c r="H158" s="6">
        <f t="shared" si="30"/>
        <v>1.1476163293798747E-2</v>
      </c>
      <c r="I158" s="6">
        <f t="shared" si="31"/>
        <v>1.5980224668535881E-2</v>
      </c>
      <c r="J158" s="6">
        <f t="shared" si="32"/>
        <v>2.2733758345190536E-2</v>
      </c>
      <c r="K158" s="13">
        <f t="shared" si="33"/>
        <v>90.332244241267929</v>
      </c>
      <c r="L158" s="13">
        <f t="shared" si="34"/>
        <v>99.336962235672786</v>
      </c>
      <c r="M158" s="13">
        <f t="shared" si="35"/>
        <v>94.299301918425101</v>
      </c>
      <c r="N158" s="13">
        <f t="shared" si="36"/>
        <v>95.503532550730526</v>
      </c>
      <c r="O158" s="14">
        <f t="shared" si="37"/>
        <v>-2569.3893924746376</v>
      </c>
      <c r="P158" s="14">
        <f t="shared" si="37"/>
        <v>-1690.6090935660031</v>
      </c>
      <c r="Q158" s="14">
        <f t="shared" si="37"/>
        <v>-2966.4436258769911</v>
      </c>
      <c r="R158" s="14">
        <f t="shared" si="27"/>
        <v>-2122.8928960292988</v>
      </c>
      <c r="S158" s="50">
        <f t="shared" si="28"/>
        <v>-9349.335007946931</v>
      </c>
      <c r="T158" s="50"/>
    </row>
    <row r="159" spans="1:20" x14ac:dyDescent="0.35">
      <c r="A159" s="7">
        <f t="shared" si="26"/>
        <v>154</v>
      </c>
      <c r="B159" s="42">
        <v>45192</v>
      </c>
      <c r="C159" s="58" cm="1">
        <f t="array" ref="C159">BonoM(100,C$2,-$B159+C$1,Portafolio!C159)</f>
        <v>85.865301795803632</v>
      </c>
      <c r="D159" s="58" cm="1">
        <f t="array" ref="D159">BonoM(100,D$2,-$B159+D$1,Portafolio!D159)</f>
        <v>95.30890130013384</v>
      </c>
      <c r="E159" s="58" cm="1">
        <f t="array" ref="E159">BonoM(100,E$2,-$B159+E$1,Portafolio!E159)</f>
        <v>89.384684285405754</v>
      </c>
      <c r="F159" s="58" cm="1">
        <f t="array" ref="F159">BonoM(100,F$2,-$B159+F$1,Portafolio!F159)</f>
        <v>89.182744281712573</v>
      </c>
      <c r="G159" s="6">
        <f t="shared" si="29"/>
        <v>-1.1406649858702322E-2</v>
      </c>
      <c r="H159" s="6">
        <f t="shared" si="30"/>
        <v>-1.5651891148745323E-2</v>
      </c>
      <c r="I159" s="6">
        <f t="shared" si="31"/>
        <v>-2.0825743397682062E-2</v>
      </c>
      <c r="J159" s="6">
        <f t="shared" si="32"/>
        <v>-3.1368711283934592E-2</v>
      </c>
      <c r="K159" s="13">
        <f t="shared" si="33"/>
        <v>88.532134364098212</v>
      </c>
      <c r="L159" s="13">
        <f t="shared" si="34"/>
        <v>96.672719006340728</v>
      </c>
      <c r="M159" s="13">
        <f t="shared" si="35"/>
        <v>90.883116238031036</v>
      </c>
      <c r="N159" s="13">
        <f t="shared" si="36"/>
        <v>90.451409329863765</v>
      </c>
      <c r="O159" s="14">
        <f t="shared" si="37"/>
        <v>3370.9732021854293</v>
      </c>
      <c r="P159" s="14">
        <f t="shared" si="37"/>
        <v>2305.7557504320839</v>
      </c>
      <c r="Q159" s="14">
        <f t="shared" si="37"/>
        <v>3865.9277349111389</v>
      </c>
      <c r="R159" s="14">
        <f t="shared" si="27"/>
        <v>2929.2303248374624</v>
      </c>
      <c r="S159" s="50">
        <f t="shared" si="28"/>
        <v>12471.887012366115</v>
      </c>
      <c r="T159" s="50"/>
    </row>
    <row r="160" spans="1:20" x14ac:dyDescent="0.35">
      <c r="A160" s="7">
        <f t="shared" si="26"/>
        <v>155</v>
      </c>
      <c r="B160" s="42">
        <v>45191</v>
      </c>
      <c r="C160" s="58" cm="1">
        <f t="array" ref="C160">BonoM(100,C$2,-$B160+C$1,Portafolio!C160)</f>
        <v>86.856038211799699</v>
      </c>
      <c r="D160" s="58" cm="1">
        <f t="array" ref="D160">BonoM(100,D$2,-$B160+D$1,Portafolio!D160)</f>
        <v>96.82438605115054</v>
      </c>
      <c r="E160" s="58" cm="1">
        <f t="array" ref="E160">BonoM(100,E$2,-$B160+E$1,Portafolio!E160)</f>
        <v>91.285778483970574</v>
      </c>
      <c r="F160" s="58" cm="1">
        <f t="array" ref="F160">BonoM(100,F$2,-$B160+F$1,Portafolio!F160)</f>
        <v>92.070889429893981</v>
      </c>
      <c r="G160" s="6">
        <f t="shared" si="29"/>
        <v>-9.4292556288855245E-4</v>
      </c>
      <c r="H160" s="6">
        <f t="shared" si="30"/>
        <v>-1.6573493958726981E-4</v>
      </c>
      <c r="I160" s="6">
        <f t="shared" si="31"/>
        <v>-2.8039159439807726E-4</v>
      </c>
      <c r="J160" s="6">
        <f t="shared" si="32"/>
        <v>1.0538213519777351E-3</v>
      </c>
      <c r="K160" s="13">
        <f t="shared" si="33"/>
        <v>89.46919897734233</v>
      </c>
      <c r="L160" s="13">
        <f t="shared" si="34"/>
        <v>98.193612696524525</v>
      </c>
      <c r="M160" s="13">
        <f t="shared" si="35"/>
        <v>92.790055256800045</v>
      </c>
      <c r="N160" s="13">
        <f t="shared" si="36"/>
        <v>93.479046166630695</v>
      </c>
      <c r="O160" s="14">
        <f t="shared" si="37"/>
        <v>278.65997847983976</v>
      </c>
      <c r="P160" s="14">
        <f t="shared" si="37"/>
        <v>24.415215156388115</v>
      </c>
      <c r="Q160" s="14">
        <f t="shared" si="37"/>
        <v>52.049697373121262</v>
      </c>
      <c r="R160" s="14">
        <f t="shared" si="27"/>
        <v>-98.406511929468365</v>
      </c>
      <c r="S160" s="50">
        <f t="shared" si="28"/>
        <v>256.71837907988078</v>
      </c>
      <c r="T160" s="50"/>
    </row>
    <row r="161" spans="1:20" x14ac:dyDescent="0.35">
      <c r="A161" s="7">
        <f t="shared" si="26"/>
        <v>156</v>
      </c>
      <c r="B161" s="42">
        <v>45190</v>
      </c>
      <c r="C161" s="58" cm="1">
        <f t="array" ref="C161">BonoM(100,C$2,-$B161+C$1,Portafolio!C161)</f>
        <v>86.938014287858493</v>
      </c>
      <c r="D161" s="58" cm="1">
        <f t="array" ref="D161">BonoM(100,D$2,-$B161+D$1,Portafolio!D161)</f>
        <v>96.840435894943198</v>
      </c>
      <c r="E161" s="58" cm="1">
        <f t="array" ref="E161">BonoM(100,E$2,-$B161+E$1,Portafolio!E161)</f>
        <v>91.311381427795808</v>
      </c>
      <c r="F161" s="58" cm="1">
        <f t="array" ref="F161">BonoM(100,F$2,-$B161+F$1,Portafolio!F161)</f>
        <v>91.973965301433267</v>
      </c>
      <c r="G161" s="6">
        <f t="shared" si="29"/>
        <v>-1.858777149611357E-3</v>
      </c>
      <c r="H161" s="6">
        <f t="shared" si="30"/>
        <v>-5.2530791001670352E-3</v>
      </c>
      <c r="I161" s="6">
        <f t="shared" si="31"/>
        <v>-5.2434593577022071E-3</v>
      </c>
      <c r="J161" s="6">
        <f t="shared" si="32"/>
        <v>-2.8796884146775614E-3</v>
      </c>
      <c r="K161" s="13">
        <f t="shared" si="33"/>
        <v>89.387181132773861</v>
      </c>
      <c r="L161" s="13">
        <f t="shared" si="34"/>
        <v>97.6939851886318</v>
      </c>
      <c r="M161" s="13">
        <f t="shared" si="35"/>
        <v>92.329402761712259</v>
      </c>
      <c r="N161" s="13">
        <f t="shared" si="36"/>
        <v>93.111732508532398</v>
      </c>
      <c r="O161" s="14">
        <f t="shared" si="37"/>
        <v>549.31886555578728</v>
      </c>
      <c r="P161" s="14">
        <f t="shared" si="37"/>
        <v>773.85647699547633</v>
      </c>
      <c r="Q161" s="14">
        <f t="shared" si="37"/>
        <v>973.35468754869225</v>
      </c>
      <c r="R161" s="14">
        <f t="shared" si="27"/>
        <v>268.9071461688286</v>
      </c>
      <c r="S161" s="50">
        <f t="shared" si="28"/>
        <v>2565.4371762687847</v>
      </c>
      <c r="T161" s="50"/>
    </row>
    <row r="162" spans="1:20" x14ac:dyDescent="0.35">
      <c r="A162" s="7">
        <f t="shared" si="26"/>
        <v>157</v>
      </c>
      <c r="B162" s="42">
        <v>45189</v>
      </c>
      <c r="C162" s="58" cm="1">
        <f t="array" ref="C162">BonoM(100,C$2,-$B162+C$1,Portafolio!C162)</f>
        <v>87.099913617022935</v>
      </c>
      <c r="D162" s="58" cm="1">
        <f t="array" ref="D162">BonoM(100,D$2,-$B162+D$1,Portafolio!D162)</f>
        <v>97.35183277304624</v>
      </c>
      <c r="E162" s="58" cm="1">
        <f t="array" ref="E162">BonoM(100,E$2,-$B162+E$1,Portafolio!E162)</f>
        <v>91.792692681203746</v>
      </c>
      <c r="F162" s="58" cm="1">
        <f t="array" ref="F162">BonoM(100,F$2,-$B162+F$1,Portafolio!F162)</f>
        <v>92.239586570254275</v>
      </c>
      <c r="G162" s="6">
        <f t="shared" si="29"/>
        <v>5.770234801187879E-4</v>
      </c>
      <c r="H162" s="6">
        <f t="shared" si="30"/>
        <v>3.2093558018617685E-3</v>
      </c>
      <c r="I162" s="6">
        <f t="shared" si="31"/>
        <v>2.5098401753003152E-3</v>
      </c>
      <c r="J162" s="6">
        <f t="shared" si="32"/>
        <v>-1.1217004922782214E-2</v>
      </c>
      <c r="K162" s="13">
        <f t="shared" si="33"/>
        <v>89.605315948878584</v>
      </c>
      <c r="L162" s="13">
        <f t="shared" si="34"/>
        <v>98.525079985317092</v>
      </c>
      <c r="M162" s="13">
        <f t="shared" si="35"/>
        <v>93.049033632249248</v>
      </c>
      <c r="N162" s="13">
        <f t="shared" si="36"/>
        <v>92.333188560001886</v>
      </c>
      <c r="O162" s="14">
        <f t="shared" si="37"/>
        <v>-170.52602758979702</v>
      </c>
      <c r="P162" s="14">
        <f t="shared" si="37"/>
        <v>-472.78571803246194</v>
      </c>
      <c r="Q162" s="14">
        <f t="shared" si="37"/>
        <v>-465.90705352528516</v>
      </c>
      <c r="R162" s="14">
        <f t="shared" si="27"/>
        <v>1047.4510946993405</v>
      </c>
      <c r="S162" s="50">
        <f t="shared" si="28"/>
        <v>-61.767704448203631</v>
      </c>
      <c r="T162" s="50"/>
    </row>
    <row r="163" spans="1:20" x14ac:dyDescent="0.35">
      <c r="A163" s="7">
        <f t="shared" si="26"/>
        <v>158</v>
      </c>
      <c r="B163" s="42">
        <v>45188</v>
      </c>
      <c r="C163" s="58" cm="1">
        <f t="array" ref="C163">BonoM(100,C$2,-$B163+C$1,Portafolio!C163)</f>
        <v>87.049683905472563</v>
      </c>
      <c r="D163" s="58" cm="1">
        <f t="array" ref="D163">BonoM(100,D$2,-$B163+D$1,Portafolio!D163)</f>
        <v>97.040395616359916</v>
      </c>
      <c r="E163" s="58" cm="1">
        <f t="array" ref="E163">BonoM(100,E$2,-$B163+E$1,Portafolio!E163)</f>
        <v>91.562884475181562</v>
      </c>
      <c r="F163" s="58" cm="1">
        <f t="array" ref="F163">BonoM(100,F$2,-$B163+F$1,Portafolio!F163)</f>
        <v>93.285975820256638</v>
      </c>
      <c r="G163" s="6">
        <f t="shared" si="29"/>
        <v>-3.0843439270411555E-3</v>
      </c>
      <c r="H163" s="6">
        <f t="shared" si="30"/>
        <v>-4.0577305320381729E-3</v>
      </c>
      <c r="I163" s="6">
        <f t="shared" si="31"/>
        <v>-5.2013176979794906E-3</v>
      </c>
      <c r="J163" s="6">
        <f t="shared" si="32"/>
        <v>-5.5657831798505697E-5</v>
      </c>
      <c r="K163" s="13">
        <f t="shared" si="33"/>
        <v>89.277427165082202</v>
      </c>
      <c r="L163" s="13">
        <f t="shared" si="34"/>
        <v>97.811380239429639</v>
      </c>
      <c r="M163" s="13">
        <f t="shared" si="35"/>
        <v>92.33331418537685</v>
      </c>
      <c r="N163" s="13">
        <f t="shared" si="36"/>
        <v>93.375442290766088</v>
      </c>
      <c r="O163" s="14">
        <f t="shared" si="37"/>
        <v>911.50695893826423</v>
      </c>
      <c r="P163" s="14">
        <f t="shared" si="37"/>
        <v>597.76390079871794</v>
      </c>
      <c r="Q163" s="14">
        <f t="shared" si="37"/>
        <v>965.53184021951211</v>
      </c>
      <c r="R163" s="14">
        <f t="shared" si="27"/>
        <v>5.1973639351388101</v>
      </c>
      <c r="S163" s="50">
        <f t="shared" si="28"/>
        <v>2480.0000638916335</v>
      </c>
      <c r="T163" s="50"/>
    </row>
    <row r="164" spans="1:20" x14ac:dyDescent="0.35">
      <c r="A164" s="7">
        <f t="shared" si="26"/>
        <v>159</v>
      </c>
      <c r="B164" s="42">
        <v>45187</v>
      </c>
      <c r="C164" s="58" cm="1">
        <f t="array" ref="C164">BonoM(100,C$2,-$B164+C$1,Portafolio!C164)</f>
        <v>87.319005750574618</v>
      </c>
      <c r="D164" s="58" cm="1">
        <f t="array" ref="D164">BonoM(100,D$2,-$B164+D$1,Portafolio!D164)</f>
        <v>97.435763689595646</v>
      </c>
      <c r="E164" s="58" cm="1">
        <f t="array" ref="E164">BonoM(100,E$2,-$B164+E$1,Portafolio!E164)</f>
        <v>92.041622193648124</v>
      </c>
      <c r="F164" s="58" cm="1">
        <f t="array" ref="F164">BonoM(100,F$2,-$B164+F$1,Portafolio!F164)</f>
        <v>93.29116820440484</v>
      </c>
      <c r="G164" s="6">
        <f t="shared" si="29"/>
        <v>1.0595469795121382E-2</v>
      </c>
      <c r="H164" s="6">
        <f t="shared" si="30"/>
        <v>1.3429275731848822E-2</v>
      </c>
      <c r="I164" s="6">
        <f t="shared" si="31"/>
        <v>1.7868769382402672E-2</v>
      </c>
      <c r="J164" s="6">
        <f t="shared" si="32"/>
        <v>2.940685742965754E-2</v>
      </c>
      <c r="K164" s="13">
        <f t="shared" si="33"/>
        <v>90.502504297508025</v>
      </c>
      <c r="L164" s="13">
        <f t="shared" si="34"/>
        <v>99.528777192407702</v>
      </c>
      <c r="M164" s="13">
        <f t="shared" si="35"/>
        <v>94.474589235870155</v>
      </c>
      <c r="N164" s="13">
        <f t="shared" si="36"/>
        <v>96.126670811717247</v>
      </c>
      <c r="O164" s="14">
        <f t="shared" si="37"/>
        <v>-3131.2475780669542</v>
      </c>
      <c r="P164" s="14">
        <f t="shared" si="37"/>
        <v>-1978.3315286683774</v>
      </c>
      <c r="Q164" s="14">
        <f t="shared" si="37"/>
        <v>-3317.0182607670995</v>
      </c>
      <c r="R164" s="14">
        <f t="shared" si="27"/>
        <v>-2746.0311570160202</v>
      </c>
      <c r="S164" s="50">
        <f t="shared" si="28"/>
        <v>-11172.628524518452</v>
      </c>
      <c r="T164" s="50"/>
    </row>
    <row r="165" spans="1:20" x14ac:dyDescent="0.35">
      <c r="A165" s="7">
        <f t="shared" si="26"/>
        <v>160</v>
      </c>
      <c r="B165" s="42">
        <v>45185</v>
      </c>
      <c r="C165" s="58" cm="1">
        <f t="array" ref="C165">BonoM(100,C$2,-$B165+C$1,Portafolio!C165)</f>
        <v>86.403519865646004</v>
      </c>
      <c r="D165" s="58" cm="1">
        <f t="array" ref="D165">BonoM(100,D$2,-$B165+D$1,Portafolio!D165)</f>
        <v>96.144611195716962</v>
      </c>
      <c r="E165" s="58" cm="1">
        <f t="array" ref="E165">BonoM(100,E$2,-$B165+E$1,Portafolio!E165)</f>
        <v>90.425823998406855</v>
      </c>
      <c r="F165" s="58" cm="1">
        <f t="array" ref="F165">BonoM(100,F$2,-$B165+F$1,Portafolio!F165)</f>
        <v>90.626138276701454</v>
      </c>
      <c r="G165" s="6">
        <f t="shared" si="29"/>
        <v>-1.0595566037039372E-2</v>
      </c>
      <c r="H165" s="6">
        <f t="shared" si="30"/>
        <v>-1.7739474254375276E-2</v>
      </c>
      <c r="I165" s="6">
        <f t="shared" si="31"/>
        <v>-1.7325064793043299E-2</v>
      </c>
      <c r="J165" s="6">
        <f t="shared" si="32"/>
        <v>-2.4712719173532238E-2</v>
      </c>
      <c r="K165" s="13">
        <f t="shared" si="33"/>
        <v>88.604769873804756</v>
      </c>
      <c r="L165" s="13">
        <f t="shared" si="34"/>
        <v>96.467697700200901</v>
      </c>
      <c r="M165" s="13">
        <f t="shared" si="35"/>
        <v>91.208035503822757</v>
      </c>
      <c r="N165" s="13">
        <f t="shared" si="36"/>
        <v>91.072950130669781</v>
      </c>
      <c r="O165" s="14">
        <f t="shared" si="37"/>
        <v>3131.2760201538354</v>
      </c>
      <c r="P165" s="14">
        <f t="shared" si="37"/>
        <v>2613.2877096418242</v>
      </c>
      <c r="Q165" s="14">
        <f t="shared" si="37"/>
        <v>3216.0892033276978</v>
      </c>
      <c r="R165" s="14">
        <f t="shared" si="27"/>
        <v>2307.6895240314457</v>
      </c>
      <c r="S165" s="50">
        <f t="shared" si="28"/>
        <v>11268.342457154804</v>
      </c>
      <c r="T165" s="50"/>
    </row>
    <row r="166" spans="1:20" x14ac:dyDescent="0.35">
      <c r="A166" s="7">
        <f t="shared" si="26"/>
        <v>161</v>
      </c>
      <c r="B166" s="42">
        <v>45184</v>
      </c>
      <c r="C166" s="58" cm="1">
        <f t="array" ref="C166">BonoM(100,C$2,-$B166+C$1,Portafolio!C166)</f>
        <v>87.328818125026316</v>
      </c>
      <c r="D166" s="58" cm="1">
        <f t="array" ref="D166">BonoM(100,D$2,-$B166+D$1,Portafolio!D166)</f>
        <v>97.880968109488563</v>
      </c>
      <c r="E166" s="58" cm="1">
        <f t="array" ref="E166">BonoM(100,E$2,-$B166+E$1,Portafolio!E166)</f>
        <v>92.020077808703533</v>
      </c>
      <c r="F166" s="58" cm="1">
        <f t="array" ref="F166">BonoM(100,F$2,-$B166+F$1,Portafolio!F166)</f>
        <v>92.922506074214354</v>
      </c>
      <c r="G166" s="6">
        <f t="shared" si="29"/>
        <v>-3.8553269165353399E-5</v>
      </c>
      <c r="H166" s="6">
        <f t="shared" si="30"/>
        <v>9.1089770311936213E-4</v>
      </c>
      <c r="I166" s="6">
        <f t="shared" si="31"/>
        <v>-2.8865254891996539E-4</v>
      </c>
      <c r="J166" s="6">
        <f t="shared" si="32"/>
        <v>-2.9088620756839711E-3</v>
      </c>
      <c r="K166" s="13">
        <f t="shared" si="33"/>
        <v>89.550188809422053</v>
      </c>
      <c r="L166" s="13">
        <f t="shared" si="34"/>
        <v>98.299348669403983</v>
      </c>
      <c r="M166" s="13">
        <f t="shared" si="35"/>
        <v>92.789288507383404</v>
      </c>
      <c r="N166" s="13">
        <f t="shared" si="36"/>
        <v>93.109008253406557</v>
      </c>
      <c r="O166" s="14">
        <f t="shared" si="37"/>
        <v>11.393532616753532</v>
      </c>
      <c r="P166" s="14">
        <f t="shared" si="37"/>
        <v>-134.18874416279891</v>
      </c>
      <c r="Q166" s="14">
        <f t="shared" si="37"/>
        <v>53.583196206403727</v>
      </c>
      <c r="R166" s="14">
        <f t="shared" si="27"/>
        <v>271.63140129466967</v>
      </c>
      <c r="S166" s="50">
        <f t="shared" si="28"/>
        <v>202.41938595502802</v>
      </c>
      <c r="T166" s="50"/>
    </row>
    <row r="167" spans="1:20" x14ac:dyDescent="0.35">
      <c r="A167" s="7">
        <f t="shared" si="26"/>
        <v>162</v>
      </c>
      <c r="B167" s="42">
        <v>45183</v>
      </c>
      <c r="C167" s="58" cm="1">
        <f t="array" ref="C167">BonoM(100,C$2,-$B167+C$1,Portafolio!C167)</f>
        <v>87.332185066263975</v>
      </c>
      <c r="D167" s="58" cm="1">
        <f t="array" ref="D167">BonoM(100,D$2,-$B167+D$1,Portafolio!D167)</f>
        <v>97.791889701775517</v>
      </c>
      <c r="E167" s="58" cm="1">
        <f t="array" ref="E167">BonoM(100,E$2,-$B167+E$1,Portafolio!E167)</f>
        <v>92.046647308068543</v>
      </c>
      <c r="F167" s="58" cm="1">
        <f t="array" ref="F167">BonoM(100,F$2,-$B167+F$1,Portafolio!F167)</f>
        <v>93.193593383704922</v>
      </c>
      <c r="G167" s="6">
        <f t="shared" si="29"/>
        <v>-3.9102393929124624E-5</v>
      </c>
      <c r="H167" s="6">
        <f t="shared" si="30"/>
        <v>3.2214918277406746E-3</v>
      </c>
      <c r="I167" s="6">
        <f t="shared" si="31"/>
        <v>-2.892735317848727E-4</v>
      </c>
      <c r="J167" s="6">
        <f t="shared" si="32"/>
        <v>3.4443701694388817E-3</v>
      </c>
      <c r="K167" s="13">
        <f t="shared" si="33"/>
        <v>89.550139633299878</v>
      </c>
      <c r="L167" s="13">
        <f t="shared" si="34"/>
        <v>98.52627186307771</v>
      </c>
      <c r="M167" s="13">
        <f t="shared" si="35"/>
        <v>92.789230870188064</v>
      </c>
      <c r="N167" s="13">
        <f t="shared" si="36"/>
        <v>93.702277144331006</v>
      </c>
      <c r="O167" s="14">
        <f t="shared" si="37"/>
        <v>11.555813819931871</v>
      </c>
      <c r="P167" s="14">
        <f t="shared" si="37"/>
        <v>-474.57353467338947</v>
      </c>
      <c r="Q167" s="14">
        <f t="shared" si="37"/>
        <v>53.698470597083769</v>
      </c>
      <c r="R167" s="14">
        <f t="shared" si="27"/>
        <v>-321.63748962977934</v>
      </c>
      <c r="S167" s="50">
        <f t="shared" si="28"/>
        <v>-730.95673988615317</v>
      </c>
      <c r="T167" s="50"/>
    </row>
    <row r="168" spans="1:20" x14ac:dyDescent="0.35">
      <c r="A168" s="7">
        <f t="shared" si="26"/>
        <v>163</v>
      </c>
      <c r="B168" s="42">
        <v>45182</v>
      </c>
      <c r="C168" s="58" cm="1">
        <f t="array" ref="C168">BonoM(100,C$2,-$B168+C$1,Portafolio!C168)</f>
        <v>87.335600097303015</v>
      </c>
      <c r="D168" s="58" cm="1">
        <f t="array" ref="D168">BonoM(100,D$2,-$B168+D$1,Portafolio!D168)</f>
        <v>97.477865554506081</v>
      </c>
      <c r="E168" s="58" cm="1">
        <f t="array" ref="E168">BonoM(100,E$2,-$B168+E$1,Portafolio!E168)</f>
        <v>92.073281671440668</v>
      </c>
      <c r="F168" s="58" cm="1">
        <f t="array" ref="F168">BonoM(100,F$2,-$B168+F$1,Portafolio!F168)</f>
        <v>92.873701975096552</v>
      </c>
      <c r="G168" s="6">
        <f t="shared" si="29"/>
        <v>4.5790468471083035E-3</v>
      </c>
      <c r="H168" s="6">
        <f t="shared" si="30"/>
        <v>5.4922593872350767E-3</v>
      </c>
      <c r="I168" s="6">
        <f t="shared" si="31"/>
        <v>7.9856088762211286E-3</v>
      </c>
      <c r="J168" s="6">
        <f t="shared" si="32"/>
        <v>5.8287523970188548E-3</v>
      </c>
      <c r="K168" s="13">
        <f t="shared" si="33"/>
        <v>89.963711714340633</v>
      </c>
      <c r="L168" s="13">
        <f t="shared" si="34"/>
        <v>98.749283694190879</v>
      </c>
      <c r="M168" s="13">
        <f t="shared" si="35"/>
        <v>93.557273018633026</v>
      </c>
      <c r="N168" s="13">
        <f t="shared" si="36"/>
        <v>93.924932281923716</v>
      </c>
      <c r="O168" s="14">
        <f t="shared" si="37"/>
        <v>-1353.2320536145589</v>
      </c>
      <c r="P168" s="14">
        <f t="shared" si="37"/>
        <v>-809.09128134314301</v>
      </c>
      <c r="Q168" s="14">
        <f t="shared" si="37"/>
        <v>-1482.3858262928411</v>
      </c>
      <c r="R168" s="14">
        <f t="shared" si="27"/>
        <v>-544.2926272224895</v>
      </c>
      <c r="S168" s="50">
        <f t="shared" si="28"/>
        <v>-4189.0017884730332</v>
      </c>
      <c r="T168" s="50"/>
    </row>
    <row r="169" spans="1:20" x14ac:dyDescent="0.35">
      <c r="A169" s="7">
        <f t="shared" si="26"/>
        <v>164</v>
      </c>
      <c r="B169" s="42">
        <v>45181</v>
      </c>
      <c r="C169" s="58" cm="1">
        <f t="array" ref="C169">BonoM(100,C$2,-$B169+C$1,Portafolio!C169)</f>
        <v>86.937509170042475</v>
      </c>
      <c r="D169" s="58" cm="1">
        <f t="array" ref="D169">BonoM(100,D$2,-$B169+D$1,Portafolio!D169)</f>
        <v>96.945416182428716</v>
      </c>
      <c r="E169" s="58" cm="1">
        <f t="array" ref="E169">BonoM(100,E$2,-$B169+E$1,Portafolio!E169)</f>
        <v>91.343845448439438</v>
      </c>
      <c r="F169" s="58" cm="1">
        <f t="array" ref="F169">BonoM(100,F$2,-$B169+F$1,Portafolio!F169)</f>
        <v>92.33550120114046</v>
      </c>
      <c r="G169" s="6">
        <f t="shared" si="29"/>
        <v>2.7331376748989111E-3</v>
      </c>
      <c r="H169" s="6">
        <f t="shared" si="30"/>
        <v>3.3105104585842149E-3</v>
      </c>
      <c r="I169" s="6">
        <f t="shared" si="31"/>
        <v>3.013227464566226E-3</v>
      </c>
      <c r="J169" s="6">
        <f t="shared" si="32"/>
        <v>3.4354781197760698E-3</v>
      </c>
      <c r="K169" s="13">
        <f t="shared" si="33"/>
        <v>89.798403826284726</v>
      </c>
      <c r="L169" s="13">
        <f t="shared" si="34"/>
        <v>98.535014372976875</v>
      </c>
      <c r="M169" s="13">
        <f t="shared" si="35"/>
        <v>93.095756067213841</v>
      </c>
      <c r="N169" s="13">
        <f t="shared" si="36"/>
        <v>93.701446799045641</v>
      </c>
      <c r="O169" s="14">
        <f t="shared" si="37"/>
        <v>-807.71602303006773</v>
      </c>
      <c r="P169" s="14">
        <f t="shared" si="37"/>
        <v>-487.68729952213619</v>
      </c>
      <c r="Q169" s="14">
        <f t="shared" si="37"/>
        <v>-559.35192345447149</v>
      </c>
      <c r="R169" s="14">
        <f t="shared" si="27"/>
        <v>-320.80714434441404</v>
      </c>
      <c r="S169" s="50">
        <f t="shared" si="28"/>
        <v>-2175.5623903510896</v>
      </c>
      <c r="T169" s="50"/>
    </row>
    <row r="170" spans="1:20" x14ac:dyDescent="0.35">
      <c r="A170" s="7">
        <f t="shared" si="26"/>
        <v>165</v>
      </c>
      <c r="B170" s="42">
        <v>45180</v>
      </c>
      <c r="C170" s="58" cm="1">
        <f t="array" ref="C170">BonoM(100,C$2,-$B170+C$1,Portafolio!C170)</f>
        <v>86.70054464503886</v>
      </c>
      <c r="D170" s="58" cm="1">
        <f t="array" ref="D170">BonoM(100,D$2,-$B170+D$1,Portafolio!D170)</f>
        <v>96.625536333829274</v>
      </c>
      <c r="E170" s="58" cm="1">
        <f t="array" ref="E170">BonoM(100,E$2,-$B170+E$1,Portafolio!E170)</f>
        <v>91.069432533148088</v>
      </c>
      <c r="F170" s="58" cm="1">
        <f t="array" ref="F170">BonoM(100,F$2,-$B170+F$1,Portafolio!F170)</f>
        <v>92.019370666619722</v>
      </c>
      <c r="G170" s="6">
        <f t="shared" si="29"/>
        <v>7.1526595637241286E-3</v>
      </c>
      <c r="H170" s="6">
        <f t="shared" si="30"/>
        <v>8.2969768574718827E-3</v>
      </c>
      <c r="I170" s="6">
        <f t="shared" si="31"/>
        <v>1.0345787252730609E-2</v>
      </c>
      <c r="J170" s="6">
        <f t="shared" si="32"/>
        <v>1.4829978092714358E-2</v>
      </c>
      <c r="K170" s="13">
        <f t="shared" si="33"/>
        <v>90.194188104654216</v>
      </c>
      <c r="L170" s="13">
        <f t="shared" si="34"/>
        <v>99.024734687040151</v>
      </c>
      <c r="M170" s="13">
        <f t="shared" si="35"/>
        <v>93.776335523890367</v>
      </c>
      <c r="N170" s="13">
        <f t="shared" si="36"/>
        <v>94.765472495064103</v>
      </c>
      <c r="O170" s="14">
        <f t="shared" si="37"/>
        <v>-2113.8041416493847</v>
      </c>
      <c r="P170" s="14">
        <f t="shared" si="37"/>
        <v>-1222.2677706170516</v>
      </c>
      <c r="Q170" s="14">
        <f t="shared" si="37"/>
        <v>-1920.510836807523</v>
      </c>
      <c r="R170" s="14">
        <f t="shared" si="27"/>
        <v>-1384.8328403628757</v>
      </c>
      <c r="S170" s="50">
        <f t="shared" si="28"/>
        <v>-6641.415589436835</v>
      </c>
      <c r="T170" s="50"/>
    </row>
    <row r="171" spans="1:20" x14ac:dyDescent="0.35">
      <c r="A171" s="7">
        <f t="shared" si="26"/>
        <v>166</v>
      </c>
      <c r="B171" s="42">
        <v>45178</v>
      </c>
      <c r="C171" s="58" cm="1">
        <f t="array" ref="C171">BonoM(100,C$2,-$B171+C$1,Portafolio!C171)</f>
        <v>86.084809310433215</v>
      </c>
      <c r="D171" s="58" cm="1">
        <f t="array" ref="D171">BonoM(100,D$2,-$B171+D$1,Portafolio!D171)</f>
        <v>95.830433445292186</v>
      </c>
      <c r="E171" s="58" cm="1">
        <f t="array" ref="E171">BonoM(100,E$2,-$B171+E$1,Portafolio!E171)</f>
        <v>90.136895389823337</v>
      </c>
      <c r="F171" s="58" cm="1">
        <f t="array" ref="F171">BonoM(100,F$2,-$B171+F$1,Portafolio!F171)</f>
        <v>90.674667336455926</v>
      </c>
      <c r="G171" s="6">
        <f t="shared" si="29"/>
        <v>-1.3731759822680378E-2</v>
      </c>
      <c r="H171" s="6">
        <f t="shared" si="30"/>
        <v>-1.7679397991295032E-2</v>
      </c>
      <c r="I171" s="6">
        <f t="shared" si="31"/>
        <v>-2.2616948603237375E-2</v>
      </c>
      <c r="J171" s="6">
        <f t="shared" si="32"/>
        <v>-3.3089051384339041E-2</v>
      </c>
      <c r="K171" s="13">
        <f t="shared" si="33"/>
        <v>88.323912300180041</v>
      </c>
      <c r="L171" s="13">
        <f t="shared" si="34"/>
        <v>96.473597783359978</v>
      </c>
      <c r="M171" s="13">
        <f t="shared" si="35"/>
        <v>90.716863592186854</v>
      </c>
      <c r="N171" s="13">
        <f t="shared" si="36"/>
        <v>90.29076287086437</v>
      </c>
      <c r="O171" s="14">
        <f t="shared" si="37"/>
        <v>4058.1060131153945</v>
      </c>
      <c r="P171" s="14">
        <f t="shared" si="37"/>
        <v>2604.4375849032094</v>
      </c>
      <c r="Q171" s="14">
        <f t="shared" si="37"/>
        <v>4198.4330265995031</v>
      </c>
      <c r="R171" s="14">
        <f t="shared" si="27"/>
        <v>3089.8767838368572</v>
      </c>
      <c r="S171" s="50">
        <f t="shared" si="28"/>
        <v>13950.853408454963</v>
      </c>
      <c r="T171" s="50"/>
    </row>
    <row r="172" spans="1:20" x14ac:dyDescent="0.35">
      <c r="A172" s="7">
        <f t="shared" si="26"/>
        <v>167</v>
      </c>
      <c r="B172" s="42">
        <v>45177</v>
      </c>
      <c r="C172" s="58" cm="1">
        <f t="array" ref="C172">BonoM(100,C$2,-$B172+C$1,Portafolio!C172)</f>
        <v>87.283363494454775</v>
      </c>
      <c r="D172" s="58" cm="1">
        <f t="array" ref="D172">BonoM(100,D$2,-$B172+D$1,Portafolio!D172)</f>
        <v>97.555149764071601</v>
      </c>
      <c r="E172" s="58" cm="1">
        <f t="array" ref="E172">BonoM(100,E$2,-$B172+E$1,Portafolio!E172)</f>
        <v>92.222691258059086</v>
      </c>
      <c r="F172" s="58" cm="1">
        <f t="array" ref="F172">BonoM(100,F$2,-$B172+F$1,Portafolio!F172)</f>
        <v>93.777681870575606</v>
      </c>
      <c r="G172" s="6">
        <f t="shared" si="29"/>
        <v>4.5239900914784137E-4</v>
      </c>
      <c r="H172" s="6">
        <f t="shared" si="30"/>
        <v>1.0454283818102095E-3</v>
      </c>
      <c r="I172" s="6">
        <f t="shared" si="31"/>
        <v>3.6935204087407136E-4</v>
      </c>
      <c r="J172" s="6">
        <f t="shared" si="32"/>
        <v>2.4995855752969476E-3</v>
      </c>
      <c r="K172" s="13">
        <f t="shared" si="33"/>
        <v>89.594155373696196</v>
      </c>
      <c r="L172" s="13">
        <f t="shared" si="34"/>
        <v>98.312560912493453</v>
      </c>
      <c r="M172" s="13">
        <f t="shared" si="35"/>
        <v>92.850361914099494</v>
      </c>
      <c r="N172" s="13">
        <f t="shared" si="36"/>
        <v>93.614052554594124</v>
      </c>
      <c r="O172" s="14">
        <f t="shared" si="37"/>
        <v>-133.69612948791882</v>
      </c>
      <c r="P172" s="14">
        <f t="shared" si="37"/>
        <v>-154.00710879700341</v>
      </c>
      <c r="Q172" s="14">
        <f t="shared" si="37"/>
        <v>-68.563617225777307</v>
      </c>
      <c r="R172" s="14">
        <f t="shared" si="27"/>
        <v>-233.41289989289749</v>
      </c>
      <c r="S172" s="50">
        <f t="shared" si="28"/>
        <v>-589.67975540359703</v>
      </c>
      <c r="T172" s="50"/>
    </row>
    <row r="173" spans="1:20" x14ac:dyDescent="0.35">
      <c r="A173" s="7">
        <f t="shared" si="26"/>
        <v>168</v>
      </c>
      <c r="B173" s="42">
        <v>45176</v>
      </c>
      <c r="C173" s="58" cm="1">
        <f t="array" ref="C173">BonoM(100,C$2,-$B173+C$1,Portafolio!C173)</f>
        <v>87.243894443054529</v>
      </c>
      <c r="D173" s="58" cm="1">
        <f t="array" ref="D173">BonoM(100,D$2,-$B173+D$1,Portafolio!D173)</f>
        <v>97.453269350392503</v>
      </c>
      <c r="E173" s="58" cm="1">
        <f t="array" ref="E173">BonoM(100,E$2,-$B173+E$1,Portafolio!E173)</f>
        <v>92.188641195288199</v>
      </c>
      <c r="F173" s="58" cm="1">
        <f t="array" ref="F173">BonoM(100,F$2,-$B173+F$1,Portafolio!F173)</f>
        <v>93.543860984999924</v>
      </c>
      <c r="G173" s="6">
        <f t="shared" si="29"/>
        <v>-2.8652353988998569E-2</v>
      </c>
      <c r="H173" s="6">
        <f t="shared" si="30"/>
        <v>6.9652079050541715E-4</v>
      </c>
      <c r="I173" s="6">
        <f t="shared" si="31"/>
        <v>1.9723825884772062E-3</v>
      </c>
      <c r="J173" s="6">
        <f t="shared" si="32"/>
        <v>-2.1361080405557509E-3</v>
      </c>
      <c r="K173" s="13">
        <f t="shared" si="33"/>
        <v>86.987718760808292</v>
      </c>
      <c r="L173" s="13">
        <f t="shared" si="34"/>
        <v>98.278294736503398</v>
      </c>
      <c r="M173" s="13">
        <f t="shared" si="35"/>
        <v>92.99914892581738</v>
      </c>
      <c r="N173" s="13">
        <f t="shared" si="36"/>
        <v>93.181168519502577</v>
      </c>
      <c r="O173" s="14">
        <f t="shared" si="37"/>
        <v>8467.5446930421658</v>
      </c>
      <c r="P173" s="14">
        <f t="shared" si="37"/>
        <v>-102.60784481192076</v>
      </c>
      <c r="Q173" s="14">
        <f t="shared" si="37"/>
        <v>-366.13764066154886</v>
      </c>
      <c r="R173" s="14">
        <f t="shared" si="27"/>
        <v>199.47113519864956</v>
      </c>
      <c r="S173" s="50">
        <f t="shared" si="28"/>
        <v>8198.2703427673459</v>
      </c>
      <c r="T173" s="50"/>
    </row>
    <row r="174" spans="1:20" x14ac:dyDescent="0.35">
      <c r="A174" s="7">
        <f t="shared" si="26"/>
        <v>169</v>
      </c>
      <c r="B174" s="42">
        <v>45175</v>
      </c>
      <c r="C174" s="58" cm="1">
        <f t="array" ref="C174">BonoM(100,C$2,-$B174+C$1,Portafolio!C174)</f>
        <v>89.817373626565015</v>
      </c>
      <c r="D174" s="58" cm="1">
        <f t="array" ref="D174">BonoM(100,D$2,-$B174+D$1,Portafolio!D174)</f>
        <v>97.385438367876787</v>
      </c>
      <c r="E174" s="58" cm="1">
        <f t="array" ref="E174">BonoM(100,E$2,-$B174+E$1,Portafolio!E174)</f>
        <v>92.007167859387238</v>
      </c>
      <c r="F174" s="58" cm="1">
        <f t="array" ref="F174">BonoM(100,F$2,-$B174+F$1,Portafolio!F174)</f>
        <v>93.744108528983418</v>
      </c>
      <c r="G174" s="6">
        <f t="shared" si="29"/>
        <v>-2.4248665429617011E-3</v>
      </c>
      <c r="H174" s="6">
        <f t="shared" si="30"/>
        <v>-3.2328475203913243E-3</v>
      </c>
      <c r="I174" s="6">
        <f t="shared" si="31"/>
        <v>-4.7028275053030422E-3</v>
      </c>
      <c r="J174" s="6">
        <f t="shared" si="32"/>
        <v>-5.4116992183506074E-4</v>
      </c>
      <c r="K174" s="13">
        <f t="shared" si="33"/>
        <v>89.336485766244209</v>
      </c>
      <c r="L174" s="13">
        <f t="shared" si="34"/>
        <v>97.892391908859366</v>
      </c>
      <c r="M174" s="13">
        <f t="shared" si="35"/>
        <v>92.37958209103212</v>
      </c>
      <c r="N174" s="13">
        <f t="shared" si="36"/>
        <v>93.330104861238382</v>
      </c>
      <c r="O174" s="14">
        <f t="shared" si="37"/>
        <v>716.61357510363928</v>
      </c>
      <c r="P174" s="14">
        <f t="shared" si="37"/>
        <v>476.24639665412616</v>
      </c>
      <c r="Q174" s="14">
        <f t="shared" si="37"/>
        <v>872.99602890897177</v>
      </c>
      <c r="R174" s="14">
        <f t="shared" si="27"/>
        <v>50.534793462844618</v>
      </c>
      <c r="S174" s="50">
        <f t="shared" si="28"/>
        <v>2116.390794129582</v>
      </c>
      <c r="T174" s="50"/>
    </row>
    <row r="175" spans="1:20" x14ac:dyDescent="0.35">
      <c r="A175" s="7">
        <f t="shared" si="26"/>
        <v>170</v>
      </c>
      <c r="B175" s="42">
        <v>45174</v>
      </c>
      <c r="C175" s="58" cm="1">
        <f t="array" ref="C175">BonoM(100,C$2,-$B175+C$1,Portafolio!C175)</f>
        <v>90.035698178750863</v>
      </c>
      <c r="D175" s="58" cm="1">
        <f t="array" ref="D175">BonoM(100,D$2,-$B175+D$1,Portafolio!D175)</f>
        <v>97.701291746638944</v>
      </c>
      <c r="E175" s="58" cm="1">
        <f t="array" ref="E175">BonoM(100,E$2,-$B175+E$1,Portafolio!E175)</f>
        <v>92.441906198500192</v>
      </c>
      <c r="F175" s="58" cm="1">
        <f t="array" ref="F175">BonoM(100,F$2,-$B175+F$1,Portafolio!F175)</f>
        <v>93.794867490091562</v>
      </c>
      <c r="G175" s="6">
        <f t="shared" si="29"/>
        <v>-2.7308789578657233E-3</v>
      </c>
      <c r="H175" s="6">
        <f t="shared" si="30"/>
        <v>-3.240433422574962E-3</v>
      </c>
      <c r="I175" s="6">
        <f t="shared" si="31"/>
        <v>-4.1633214424039444E-3</v>
      </c>
      <c r="J175" s="6">
        <f t="shared" si="32"/>
        <v>-3.7417747042683969E-3</v>
      </c>
      <c r="K175" s="13">
        <f t="shared" si="33"/>
        <v>89.309081240177463</v>
      </c>
      <c r="L175" s="13">
        <f t="shared" si="34"/>
        <v>97.891646898244105</v>
      </c>
      <c r="M175" s="13">
        <f t="shared" si="35"/>
        <v>92.429656928983547</v>
      </c>
      <c r="N175" s="13">
        <f t="shared" si="36"/>
        <v>93.031230339372868</v>
      </c>
      <c r="O175" s="14">
        <f t="shared" si="37"/>
        <v>807.04851112390224</v>
      </c>
      <c r="P175" s="14">
        <f t="shared" si="37"/>
        <v>477.36391257701882</v>
      </c>
      <c r="Q175" s="14">
        <f t="shared" si="37"/>
        <v>772.84635300611626</v>
      </c>
      <c r="R175" s="14">
        <f t="shared" si="27"/>
        <v>349.40931532835862</v>
      </c>
      <c r="S175" s="50">
        <f t="shared" si="28"/>
        <v>2406.6680920353956</v>
      </c>
      <c r="T175" s="50"/>
    </row>
    <row r="176" spans="1:20" x14ac:dyDescent="0.35">
      <c r="A176" s="7">
        <f t="shared" si="26"/>
        <v>171</v>
      </c>
      <c r="B176" s="42">
        <v>45173</v>
      </c>
      <c r="C176" s="58" cm="1">
        <f t="array" ref="C176">BonoM(100,C$2,-$B176+C$1,Portafolio!C176)</f>
        <v>90.28224807027479</v>
      </c>
      <c r="D176" s="58" cm="1">
        <f t="array" ref="D176">BonoM(100,D$2,-$B176+D$1,Portafolio!D176)</f>
        <v>98.018915516523236</v>
      </c>
      <c r="E176" s="58" cm="1">
        <f t="array" ref="E176">BonoM(100,E$2,-$B176+E$1,Portafolio!E176)</f>
        <v>92.82838058585692</v>
      </c>
      <c r="F176" s="58" cm="1">
        <f t="array" ref="F176">BonoM(100,F$2,-$B176+F$1,Portafolio!F176)</f>
        <v>94.147144895340034</v>
      </c>
      <c r="G176" s="6">
        <f t="shared" si="29"/>
        <v>-7.3578691137332619E-5</v>
      </c>
      <c r="H176" s="6">
        <f t="shared" si="30"/>
        <v>1.4095131010385176E-2</v>
      </c>
      <c r="I176" s="6">
        <f t="shared" si="31"/>
        <v>1.8994807951995263E-2</v>
      </c>
      <c r="J176" s="6">
        <f t="shared" si="32"/>
        <v>2.7036048460016948E-2</v>
      </c>
      <c r="K176" s="13">
        <f t="shared" si="33"/>
        <v>89.547052155343067</v>
      </c>
      <c r="L176" s="13">
        <f t="shared" si="34"/>
        <v>99.594170765740174</v>
      </c>
      <c r="M176" s="13">
        <f t="shared" si="35"/>
        <v>94.579103721947334</v>
      </c>
      <c r="N176" s="13">
        <f t="shared" si="36"/>
        <v>95.905283153633107</v>
      </c>
      <c r="O176" s="14">
        <f t="shared" si="37"/>
        <v>21.744491077407702</v>
      </c>
      <c r="P176" s="14">
        <f t="shared" si="37"/>
        <v>-2076.4218886670847</v>
      </c>
      <c r="Q176" s="14">
        <f t="shared" si="37"/>
        <v>-3526.0472329214563</v>
      </c>
      <c r="R176" s="14">
        <f t="shared" si="27"/>
        <v>-2524.64349893188</v>
      </c>
      <c r="S176" s="50">
        <f t="shared" si="28"/>
        <v>-8105.3681294430135</v>
      </c>
      <c r="T176" s="50"/>
    </row>
    <row r="177" spans="1:20" x14ac:dyDescent="0.35">
      <c r="A177" s="7">
        <f t="shared" si="26"/>
        <v>172</v>
      </c>
      <c r="B177" s="42">
        <v>45171</v>
      </c>
      <c r="C177" s="58" cm="1">
        <f t="array" ref="C177">BonoM(100,C$2,-$B177+C$1,Portafolio!C177)</f>
        <v>90.288891408728887</v>
      </c>
      <c r="D177" s="58" cm="1">
        <f t="array" ref="D177">BonoM(100,D$2,-$B177+D$1,Portafolio!D177)</f>
        <v>96.656529076185308</v>
      </c>
      <c r="E177" s="58" cm="1">
        <f t="array" ref="E177">BonoM(100,E$2,-$B177+E$1,Portafolio!E177)</f>
        <v>91.097991728167926</v>
      </c>
      <c r="F177" s="58" cm="1">
        <f t="array" ref="F177">BonoM(100,F$2,-$B177+F$1,Portafolio!F177)</f>
        <v>91.668783229671831</v>
      </c>
      <c r="G177" s="6">
        <f t="shared" si="29"/>
        <v>2.6350452284251702E-4</v>
      </c>
      <c r="H177" s="6">
        <f t="shared" si="30"/>
        <v>-1.4009054490866313E-2</v>
      </c>
      <c r="I177" s="6">
        <f t="shared" si="31"/>
        <v>-1.8433753445074808E-2</v>
      </c>
      <c r="J177" s="6">
        <f t="shared" si="32"/>
        <v>-2.7918458883981145E-2</v>
      </c>
      <c r="K177" s="13">
        <f t="shared" si="33"/>
        <v>89.577239184608104</v>
      </c>
      <c r="L177" s="13">
        <f t="shared" si="34"/>
        <v>96.834061812988466</v>
      </c>
      <c r="M177" s="13">
        <f t="shared" si="35"/>
        <v>91.10513136908375</v>
      </c>
      <c r="N177" s="13">
        <f t="shared" si="36"/>
        <v>90.773596105941593</v>
      </c>
      <c r="O177" s="14">
        <f t="shared" si="37"/>
        <v>-77.87270549721228</v>
      </c>
      <c r="P177" s="14">
        <f t="shared" si="37"/>
        <v>2063.7415404604767</v>
      </c>
      <c r="Q177" s="14">
        <f t="shared" si="37"/>
        <v>3421.8974728057105</v>
      </c>
      <c r="R177" s="14">
        <f t="shared" si="27"/>
        <v>2607.0435487596342</v>
      </c>
      <c r="S177" s="50">
        <f t="shared" si="28"/>
        <v>8014.8098565286091</v>
      </c>
      <c r="T177" s="50"/>
    </row>
    <row r="178" spans="1:20" x14ac:dyDescent="0.35">
      <c r="A178" s="7">
        <f t="shared" si="26"/>
        <v>173</v>
      </c>
      <c r="B178" s="42">
        <v>45170</v>
      </c>
      <c r="C178" s="58" cm="1">
        <f t="array" ref="C178">BonoM(100,C$2,-$B178+C$1,Portafolio!C178)</f>
        <v>90.265106145004822</v>
      </c>
      <c r="D178" s="58" cm="1">
        <f t="array" ref="D178">BonoM(100,D$2,-$B178+D$1,Portafolio!D178)</f>
        <v>98.029834367571212</v>
      </c>
      <c r="E178" s="58" cm="1">
        <f t="array" ref="E178">BonoM(100,E$2,-$B178+E$1,Portafolio!E178)</f>
        <v>92.808806382555645</v>
      </c>
      <c r="F178" s="58" cm="1">
        <f t="array" ref="F178">BonoM(100,F$2,-$B178+F$1,Portafolio!F178)</f>
        <v>94.301536807734806</v>
      </c>
      <c r="G178" s="6">
        <f t="shared" si="29"/>
        <v>-6.404521166314403E-4</v>
      </c>
      <c r="H178" s="6">
        <f t="shared" si="30"/>
        <v>-1.062563144856199E-3</v>
      </c>
      <c r="I178" s="6">
        <f t="shared" si="31"/>
        <v>-3.0730729316967853E-3</v>
      </c>
      <c r="J178" s="6">
        <f t="shared" si="32"/>
        <v>-4.5645017704805113E-3</v>
      </c>
      <c r="K178" s="13">
        <f t="shared" si="33"/>
        <v>89.496286575879978</v>
      </c>
      <c r="L178" s="13">
        <f t="shared" si="34"/>
        <v>98.105535297578641</v>
      </c>
      <c r="M178" s="13">
        <f t="shared" si="35"/>
        <v>92.530849522088232</v>
      </c>
      <c r="N178" s="13">
        <f t="shared" si="36"/>
        <v>92.954403559668734</v>
      </c>
      <c r="O178" s="14">
        <f t="shared" si="37"/>
        <v>189.27090330560219</v>
      </c>
      <c r="P178" s="14">
        <f t="shared" si="37"/>
        <v>156.53131357521488</v>
      </c>
      <c r="Q178" s="14">
        <f t="shared" si="37"/>
        <v>570.46116679674697</v>
      </c>
      <c r="R178" s="14">
        <f t="shared" si="27"/>
        <v>426.23609503249327</v>
      </c>
      <c r="S178" s="50">
        <f t="shared" si="28"/>
        <v>1342.4994787100572</v>
      </c>
      <c r="T178" s="50"/>
    </row>
    <row r="179" spans="1:20" x14ac:dyDescent="0.35">
      <c r="A179" s="7">
        <f t="shared" si="26"/>
        <v>174</v>
      </c>
      <c r="B179" s="42">
        <v>45169</v>
      </c>
      <c r="C179" s="58" cm="1">
        <f t="array" ref="C179">BonoM(100,C$2,-$B179+C$1,Portafolio!C179)</f>
        <v>90.322953671864369</v>
      </c>
      <c r="D179" s="58" cm="1">
        <f t="array" ref="D179">BonoM(100,D$2,-$B179+D$1,Portafolio!D179)</f>
        <v>98.13410805404277</v>
      </c>
      <c r="E179" s="58" cm="1">
        <f t="array" ref="E179">BonoM(100,E$2,-$B179+E$1,Portafolio!E179)</f>
        <v>93.09489378071234</v>
      </c>
      <c r="F179" s="58" cm="1">
        <f t="array" ref="F179">BonoM(100,F$2,-$B179+F$1,Portafolio!F179)</f>
        <v>94.733950090648179</v>
      </c>
      <c r="G179" s="6">
        <f t="shared" si="29"/>
        <v>1.1682788235949371E-3</v>
      </c>
      <c r="H179" s="6">
        <f t="shared" si="30"/>
        <v>1.3102218982445901E-3</v>
      </c>
      <c r="I179" s="6">
        <f t="shared" si="31"/>
        <v>1.3661596166720802E-3</v>
      </c>
      <c r="J179" s="6">
        <f t="shared" si="32"/>
        <v>2.1920101924999269E-3</v>
      </c>
      <c r="K179" s="13">
        <f t="shared" si="33"/>
        <v>89.658265017881163</v>
      </c>
      <c r="L179" s="13">
        <f t="shared" si="34"/>
        <v>98.338566254484547</v>
      </c>
      <c r="M179" s="13">
        <f t="shared" si="35"/>
        <v>92.942881685904524</v>
      </c>
      <c r="N179" s="13">
        <f t="shared" si="36"/>
        <v>93.585330968606499</v>
      </c>
      <c r="O179" s="14">
        <f t="shared" si="37"/>
        <v>-345.25795529830958</v>
      </c>
      <c r="P179" s="14">
        <f t="shared" si="37"/>
        <v>-193.01512178364533</v>
      </c>
      <c r="Q179" s="14">
        <f t="shared" si="37"/>
        <v>-253.60316083583712</v>
      </c>
      <c r="R179" s="14">
        <f t="shared" si="27"/>
        <v>-204.69131390527195</v>
      </c>
      <c r="S179" s="50">
        <f t="shared" si="28"/>
        <v>-996.56755182306392</v>
      </c>
      <c r="T179" s="50"/>
    </row>
    <row r="180" spans="1:20" x14ac:dyDescent="0.35">
      <c r="A180" s="7">
        <f t="shared" si="26"/>
        <v>175</v>
      </c>
      <c r="B180" s="42">
        <v>45168</v>
      </c>
      <c r="C180" s="58" cm="1">
        <f t="array" ref="C180">BonoM(100,C$2,-$B180+C$1,Portafolio!C180)</f>
        <v>90.217554413526514</v>
      </c>
      <c r="D180" s="58" cm="1">
        <f t="array" ref="D180">BonoM(100,D$2,-$B180+D$1,Portafolio!D180)</f>
        <v>98.005698841268185</v>
      </c>
      <c r="E180" s="58" cm="1">
        <f t="array" ref="E180">BonoM(100,E$2,-$B180+E$1,Portafolio!E180)</f>
        <v>92.967884810836352</v>
      </c>
      <c r="F180" s="58" cm="1">
        <f t="array" ref="F180">BonoM(100,F$2,-$B180+F$1,Portafolio!F180)</f>
        <v>94.526746498858827</v>
      </c>
      <c r="G180" s="6">
        <f t="shared" si="29"/>
        <v>-3.354967601579939E-3</v>
      </c>
      <c r="H180" s="6">
        <f t="shared" si="30"/>
        <v>-3.8746174937642763E-3</v>
      </c>
      <c r="I180" s="6">
        <f t="shared" si="31"/>
        <v>-3.079492164010933E-3</v>
      </c>
      <c r="J180" s="6">
        <f t="shared" si="32"/>
        <v>-4.8970942712538434E-3</v>
      </c>
      <c r="K180" s="13">
        <f t="shared" si="33"/>
        <v>89.253191829579549</v>
      </c>
      <c r="L180" s="13">
        <f t="shared" si="34"/>
        <v>97.829363750685744</v>
      </c>
      <c r="M180" s="13">
        <f t="shared" si="35"/>
        <v>92.530253714107545</v>
      </c>
      <c r="N180" s="13">
        <f t="shared" si="36"/>
        <v>92.923345859202172</v>
      </c>
      <c r="O180" s="14">
        <f t="shared" si="37"/>
        <v>991.48356609701693</v>
      </c>
      <c r="P180" s="14">
        <f t="shared" si="37"/>
        <v>570.78863391456025</v>
      </c>
      <c r="Q180" s="14">
        <f t="shared" si="37"/>
        <v>571.6527827581217</v>
      </c>
      <c r="R180" s="14">
        <f t="shared" si="27"/>
        <v>457.29379549905502</v>
      </c>
      <c r="S180" s="50">
        <f t="shared" si="28"/>
        <v>2591.2187782687542</v>
      </c>
      <c r="T180" s="50"/>
    </row>
    <row r="181" spans="1:20" x14ac:dyDescent="0.35">
      <c r="A181" s="7">
        <f t="shared" si="26"/>
        <v>176</v>
      </c>
      <c r="B181" s="42">
        <v>45167</v>
      </c>
      <c r="C181" s="58" cm="1">
        <f t="array" ref="C181">BonoM(100,C$2,-$B181+C$1,Portafolio!C181)</f>
        <v>90.521250275455174</v>
      </c>
      <c r="D181" s="58" cm="1">
        <f t="array" ref="D181">BonoM(100,D$2,-$B181+D$1,Portafolio!D181)</f>
        <v>98.386910485793862</v>
      </c>
      <c r="E181" s="58" cm="1">
        <f t="array" ref="E181">BonoM(100,E$2,-$B181+E$1,Portafolio!E181)</f>
        <v>93.255063046743146</v>
      </c>
      <c r="F181" s="58" cm="1">
        <f t="array" ref="F181">BonoM(100,F$2,-$B181+F$1,Portafolio!F181)</f>
        <v>94.991930939678866</v>
      </c>
      <c r="G181" s="6">
        <f t="shared" si="29"/>
        <v>2.19764279394985E-3</v>
      </c>
      <c r="H181" s="6">
        <f t="shared" si="30"/>
        <v>2.1929427437781257E-3</v>
      </c>
      <c r="I181" s="6">
        <f t="shared" si="31"/>
        <v>1.0324437890756322E-3</v>
      </c>
      <c r="J181" s="6">
        <f t="shared" si="32"/>
        <v>5.7738063706458398E-4</v>
      </c>
      <c r="K181" s="13">
        <f t="shared" si="33"/>
        <v>89.750448309747327</v>
      </c>
      <c r="L181" s="13">
        <f t="shared" si="34"/>
        <v>98.425258171189597</v>
      </c>
      <c r="M181" s="13">
        <f t="shared" si="35"/>
        <v>92.911907490917855</v>
      </c>
      <c r="N181" s="13">
        <f t="shared" si="36"/>
        <v>93.434555827914551</v>
      </c>
      <c r="O181" s="14">
        <f t="shared" si="37"/>
        <v>-649.46281845664942</v>
      </c>
      <c r="P181" s="14">
        <f t="shared" si="37"/>
        <v>-323.05299684121991</v>
      </c>
      <c r="Q181" s="14">
        <f t="shared" si="37"/>
        <v>-191.65477086249894</v>
      </c>
      <c r="R181" s="14">
        <f t="shared" si="27"/>
        <v>-53.916173213323759</v>
      </c>
      <c r="S181" s="50">
        <f t="shared" si="28"/>
        <v>-1218.0867593736921</v>
      </c>
      <c r="T181" s="50"/>
    </row>
    <row r="182" spans="1:20" x14ac:dyDescent="0.35">
      <c r="A182" s="7">
        <f t="shared" si="26"/>
        <v>177</v>
      </c>
      <c r="B182" s="42">
        <v>45166</v>
      </c>
      <c r="C182" s="58" cm="1">
        <f t="array" ref="C182">BonoM(100,C$2,-$B182+C$1,Portafolio!C182)</f>
        <v>90.322753127913899</v>
      </c>
      <c r="D182" s="58" cm="1">
        <f t="array" ref="D182">BonoM(100,D$2,-$B182+D$1,Portafolio!D182)</f>
        <v>98.171625731501067</v>
      </c>
      <c r="E182" s="58" cm="1">
        <f t="array" ref="E182">BonoM(100,E$2,-$B182+E$1,Portafolio!E182)</f>
        <v>93.158881737895626</v>
      </c>
      <c r="F182" s="58" cm="1">
        <f t="array" ref="F182">BonoM(100,F$2,-$B182+F$1,Portafolio!F182)</f>
        <v>94.93711608711142</v>
      </c>
      <c r="G182" s="6">
        <f t="shared" si="29"/>
        <v>1.2300195390626101E-2</v>
      </c>
      <c r="H182" s="6">
        <f t="shared" si="30"/>
        <v>1.594468450959674E-2</v>
      </c>
      <c r="I182" s="6">
        <f t="shared" si="31"/>
        <v>2.0268497274879227E-2</v>
      </c>
      <c r="J182" s="6">
        <f t="shared" si="32"/>
        <v>2.6406217051973879E-2</v>
      </c>
      <c r="K182" s="13">
        <f t="shared" si="33"/>
        <v>90.655168682164842</v>
      </c>
      <c r="L182" s="13">
        <f t="shared" si="34"/>
        <v>99.775815210534333</v>
      </c>
      <c r="M182" s="13">
        <f t="shared" si="35"/>
        <v>94.697322572169639</v>
      </c>
      <c r="N182" s="13">
        <f t="shared" si="36"/>
        <v>95.846469093875427</v>
      </c>
      <c r="O182" s="14">
        <f t="shared" si="37"/>
        <v>-3635.0400474344483</v>
      </c>
      <c r="P182" s="14">
        <f t="shared" si="37"/>
        <v>-2348.8885558583233</v>
      </c>
      <c r="Q182" s="14">
        <f t="shared" si="37"/>
        <v>-3762.4849333660677</v>
      </c>
      <c r="R182" s="14">
        <f t="shared" si="27"/>
        <v>-2465.8294391742002</v>
      </c>
      <c r="S182" s="50">
        <f t="shared" si="28"/>
        <v>-12212.24297583304</v>
      </c>
      <c r="T182" s="50"/>
    </row>
    <row r="183" spans="1:20" x14ac:dyDescent="0.35">
      <c r="A183" s="7">
        <f t="shared" si="26"/>
        <v>178</v>
      </c>
      <c r="B183" s="42">
        <v>45164</v>
      </c>
      <c r="C183" s="58" cm="1">
        <f t="array" ref="C183">BonoM(100,C$2,-$B183+C$1,Portafolio!C183)</f>
        <v>89.225264935427759</v>
      </c>
      <c r="D183" s="58" cm="1">
        <f t="array" ref="D183">BonoM(100,D$2,-$B183+D$1,Portafolio!D183)</f>
        <v>96.630876885673317</v>
      </c>
      <c r="E183" s="58" cm="1">
        <f t="array" ref="E183">BonoM(100,E$2,-$B183+E$1,Portafolio!E183)</f>
        <v>91.308201700553823</v>
      </c>
      <c r="F183" s="58" cm="1">
        <f t="array" ref="F183">BonoM(100,F$2,-$B183+F$1,Portafolio!F183)</f>
        <v>92.494681452522926</v>
      </c>
      <c r="G183" s="6">
        <f t="shared" si="29"/>
        <v>-1.02949834421312E-2</v>
      </c>
      <c r="H183" s="6">
        <f t="shared" si="30"/>
        <v>-1.425005891085307E-2</v>
      </c>
      <c r="I183" s="6">
        <f t="shared" si="31"/>
        <v>-1.9341242790603896E-2</v>
      </c>
      <c r="J183" s="6">
        <f t="shared" si="32"/>
        <v>-2.8451326289851253E-2</v>
      </c>
      <c r="K183" s="13">
        <f t="shared" si="33"/>
        <v>88.631688139718761</v>
      </c>
      <c r="L183" s="13">
        <f t="shared" si="34"/>
        <v>96.810392795530959</v>
      </c>
      <c r="M183" s="13">
        <f t="shared" si="35"/>
        <v>91.020901765294255</v>
      </c>
      <c r="N183" s="13">
        <f t="shared" si="36"/>
        <v>90.723836606730302</v>
      </c>
      <c r="O183" s="14">
        <f t="shared" si="37"/>
        <v>3042.4457426376166</v>
      </c>
      <c r="P183" s="14">
        <f t="shared" si="37"/>
        <v>2099.2450666467375</v>
      </c>
      <c r="Q183" s="14">
        <f t="shared" si="37"/>
        <v>3590.3566803847016</v>
      </c>
      <c r="R183" s="14">
        <f t="shared" si="27"/>
        <v>2656.803047970925</v>
      </c>
      <c r="S183" s="50">
        <f t="shared" si="28"/>
        <v>11388.850537639981</v>
      </c>
      <c r="T183" s="50"/>
    </row>
    <row r="184" spans="1:20" x14ac:dyDescent="0.35">
      <c r="A184" s="7">
        <f t="shared" si="26"/>
        <v>179</v>
      </c>
      <c r="B184" s="42">
        <v>45163</v>
      </c>
      <c r="C184" s="58" cm="1">
        <f t="array" ref="C184">BonoM(100,C$2,-$B184+C$1,Portafolio!C184)</f>
        <v>90.153392619699517</v>
      </c>
      <c r="D184" s="58" cm="1">
        <f t="array" ref="D184">BonoM(100,D$2,-$B184+D$1,Portafolio!D184)</f>
        <v>98.027778504259061</v>
      </c>
      <c r="E184" s="58" cm="1">
        <f t="array" ref="E184">BonoM(100,E$2,-$B184+E$1,Portafolio!E184)</f>
        <v>93.10904637244488</v>
      </c>
      <c r="F184" s="58" cm="1">
        <f t="array" ref="F184">BonoM(100,F$2,-$B184+F$1,Portafolio!F184)</f>
        <v>95.203342823066563</v>
      </c>
      <c r="G184" s="6">
        <f t="shared" si="29"/>
        <v>-6.4667361454162631E-4</v>
      </c>
      <c r="H184" s="6">
        <f t="shared" si="30"/>
        <v>-1.8744039079687802E-4</v>
      </c>
      <c r="I184" s="6">
        <f t="shared" si="31"/>
        <v>-3.0526740374414718E-4</v>
      </c>
      <c r="J184" s="6">
        <f t="shared" si="32"/>
        <v>1.8752028073678595E-3</v>
      </c>
      <c r="K184" s="13">
        <f t="shared" si="33"/>
        <v>89.49572941808718</v>
      </c>
      <c r="L184" s="13">
        <f t="shared" si="34"/>
        <v>98.191481006559542</v>
      </c>
      <c r="M184" s="13">
        <f t="shared" si="35"/>
        <v>92.7877463816871</v>
      </c>
      <c r="N184" s="13">
        <f t="shared" si="36"/>
        <v>93.555747292335525</v>
      </c>
      <c r="O184" s="14">
        <f t="shared" si="37"/>
        <v>191.10952402183585</v>
      </c>
      <c r="P184" s="14">
        <f t="shared" si="37"/>
        <v>27.612750103862993</v>
      </c>
      <c r="Q184" s="14">
        <f t="shared" si="37"/>
        <v>56.667447599011211</v>
      </c>
      <c r="R184" s="14">
        <f t="shared" si="27"/>
        <v>-175.10763763429793</v>
      </c>
      <c r="S184" s="50">
        <f t="shared" si="28"/>
        <v>100.28208409041213</v>
      </c>
      <c r="T184" s="50"/>
    </row>
    <row r="185" spans="1:20" x14ac:dyDescent="0.35">
      <c r="A185" s="7">
        <f t="shared" si="26"/>
        <v>180</v>
      </c>
      <c r="B185" s="42">
        <v>45162</v>
      </c>
      <c r="C185" s="58" cm="1">
        <f t="array" ref="C185">BonoM(100,C$2,-$B185+C$1,Portafolio!C185)</f>
        <v>90.21173016531958</v>
      </c>
      <c r="D185" s="58" cm="1">
        <f t="array" ref="D185">BonoM(100,D$2,-$B185+D$1,Portafolio!D185)</f>
        <v>98.046156314114711</v>
      </c>
      <c r="E185" s="58" cm="1">
        <f t="array" ref="E185">BonoM(100,E$2,-$B185+E$1,Portafolio!E185)</f>
        <v>93.137478208608897</v>
      </c>
      <c r="F185" s="58" cm="1">
        <f t="array" ref="F185">BonoM(100,F$2,-$B185+F$1,Portafolio!F185)</f>
        <v>95.025151392404965</v>
      </c>
      <c r="G185" s="6">
        <f t="shared" si="29"/>
        <v>-9.5187349648018227E-4</v>
      </c>
      <c r="H185" s="6">
        <f t="shared" si="30"/>
        <v>-1.9534819097942746E-3</v>
      </c>
      <c r="I185" s="6">
        <f t="shared" si="31"/>
        <v>-1.4217476914745175E-3</v>
      </c>
      <c r="J185" s="6">
        <f t="shared" si="32"/>
        <v>-1.3667745166349166E-3</v>
      </c>
      <c r="K185" s="13">
        <f t="shared" si="33"/>
        <v>89.468397657306241</v>
      </c>
      <c r="L185" s="13">
        <f t="shared" si="34"/>
        <v>98.018038264114693</v>
      </c>
      <c r="M185" s="13">
        <f t="shared" si="35"/>
        <v>92.684119057864919</v>
      </c>
      <c r="N185" s="13">
        <f t="shared" si="36"/>
        <v>93.253009376074118</v>
      </c>
      <c r="O185" s="14">
        <f t="shared" si="37"/>
        <v>281.30433459893425</v>
      </c>
      <c r="P185" s="14">
        <f t="shared" si="37"/>
        <v>287.77686377113554</v>
      </c>
      <c r="Q185" s="14">
        <f t="shared" si="37"/>
        <v>263.92209524337318</v>
      </c>
      <c r="R185" s="14">
        <f t="shared" si="27"/>
        <v>127.63027862710885</v>
      </c>
      <c r="S185" s="50">
        <f t="shared" si="28"/>
        <v>960.63357224055187</v>
      </c>
      <c r="T185" s="50"/>
    </row>
    <row r="186" spans="1:20" x14ac:dyDescent="0.35">
      <c r="A186" s="7">
        <f t="shared" si="26"/>
        <v>181</v>
      </c>
      <c r="B186" s="42">
        <v>45161</v>
      </c>
      <c r="C186" s="58" cm="1">
        <f t="array" ref="C186">BonoM(100,C$2,-$B186+C$1,Portafolio!C186)</f>
        <v>90.297682135738185</v>
      </c>
      <c r="D186" s="58" cm="1">
        <f t="array" ref="D186">BonoM(100,D$2,-$B186+D$1,Portafolio!D186)</f>
        <v>98.238062592241889</v>
      </c>
      <c r="E186" s="58" cm="1">
        <f t="array" ref="E186">BonoM(100,E$2,-$B186+E$1,Portafolio!E186)</f>
        <v>93.270084736266313</v>
      </c>
      <c r="F186" s="58" cm="1">
        <f t="array" ref="F186">BonoM(100,F$2,-$B186+F$1,Portafolio!F186)</f>
        <v>95.155207104600649</v>
      </c>
      <c r="G186" s="6">
        <f t="shared" si="29"/>
        <v>6.6606840765979225E-3</v>
      </c>
      <c r="H186" s="6">
        <f t="shared" si="30"/>
        <v>8.6822421440242437E-3</v>
      </c>
      <c r="I186" s="6">
        <f t="shared" si="31"/>
        <v>1.14739241071804E-2</v>
      </c>
      <c r="J186" s="6">
        <f t="shared" si="32"/>
        <v>1.7365757711210517E-2</v>
      </c>
      <c r="K186" s="13">
        <f t="shared" si="33"/>
        <v>90.150129908304947</v>
      </c>
      <c r="L186" s="13">
        <f t="shared" si="34"/>
        <v>99.062571548263207</v>
      </c>
      <c r="M186" s="13">
        <f t="shared" si="35"/>
        <v>93.881044764542935</v>
      </c>
      <c r="N186" s="13">
        <f t="shared" si="36"/>
        <v>95.002265217862629</v>
      </c>
      <c r="O186" s="14">
        <f t="shared" si="37"/>
        <v>-1968.4120936967972</v>
      </c>
      <c r="P186" s="14">
        <f t="shared" si="37"/>
        <v>-1279.0230624516355</v>
      </c>
      <c r="Q186" s="14">
        <f t="shared" si="37"/>
        <v>-2129.9293181126586</v>
      </c>
      <c r="R186" s="14">
        <f t="shared" si="27"/>
        <v>-1621.6255631614017</v>
      </c>
      <c r="S186" s="50">
        <f t="shared" si="28"/>
        <v>-6998.9900374224926</v>
      </c>
      <c r="T186" s="50"/>
    </row>
    <row r="187" spans="1:20" x14ac:dyDescent="0.35">
      <c r="A187" s="7">
        <f t="shared" si="26"/>
        <v>182</v>
      </c>
      <c r="B187" s="42">
        <v>45160</v>
      </c>
      <c r="C187" s="58" cm="1">
        <f t="array" ref="C187">BonoM(100,C$2,-$B187+C$1,Portafolio!C187)</f>
        <v>89.70021732652404</v>
      </c>
      <c r="D187" s="58" cm="1">
        <f t="array" ref="D187">BonoM(100,D$2,-$B187+D$1,Portafolio!D187)</f>
        <v>97.392477519411926</v>
      </c>
      <c r="E187" s="58" cm="1">
        <f t="array" ref="E187">BonoM(100,E$2,-$B187+E$1,Portafolio!E187)</f>
        <v>92.212050665166714</v>
      </c>
      <c r="F187" s="58" cm="1">
        <f t="array" ref="F187">BonoM(100,F$2,-$B187+F$1,Portafolio!F187)</f>
        <v>93.53097092502243</v>
      </c>
      <c r="G187" s="6">
        <f t="shared" si="29"/>
        <v>8.7442056245690125E-4</v>
      </c>
      <c r="H187" s="6">
        <f t="shared" si="30"/>
        <v>1.1408613198542472E-3</v>
      </c>
      <c r="I187" s="6">
        <f t="shared" si="31"/>
        <v>1.372007699348865E-3</v>
      </c>
      <c r="J187" s="6">
        <f t="shared" si="32"/>
        <v>1.0635772100318075E-3</v>
      </c>
      <c r="K187" s="13">
        <f t="shared" si="33"/>
        <v>89.63194894054223</v>
      </c>
      <c r="L187" s="13">
        <f t="shared" si="34"/>
        <v>98.321933370794056</v>
      </c>
      <c r="M187" s="13">
        <f t="shared" si="35"/>
        <v>92.94342448201472</v>
      </c>
      <c r="N187" s="13">
        <f t="shared" si="36"/>
        <v>93.479957174896157</v>
      </c>
      <c r="O187" s="14">
        <f t="shared" si="37"/>
        <v>-258.41490007983055</v>
      </c>
      <c r="P187" s="14">
        <f t="shared" si="37"/>
        <v>-168.06579624790885</v>
      </c>
      <c r="Q187" s="14">
        <f t="shared" si="37"/>
        <v>-254.68875305622873</v>
      </c>
      <c r="R187" s="14">
        <f t="shared" si="27"/>
        <v>-99.317520194929898</v>
      </c>
      <c r="S187" s="50">
        <f t="shared" si="28"/>
        <v>-780.48696957889808</v>
      </c>
      <c r="T187" s="50"/>
    </row>
    <row r="188" spans="1:20" x14ac:dyDescent="0.35">
      <c r="A188" s="7">
        <f t="shared" si="26"/>
        <v>183</v>
      </c>
      <c r="B188" s="42">
        <v>45159</v>
      </c>
      <c r="C188" s="58" cm="1">
        <f t="array" ref="C188">BonoM(100,C$2,-$B188+C$1,Portafolio!C188)</f>
        <v>89.621850137918017</v>
      </c>
      <c r="D188" s="58" cm="1">
        <f t="array" ref="D188">BonoM(100,D$2,-$B188+D$1,Portafolio!D188)</f>
        <v>97.281492827107797</v>
      </c>
      <c r="E188" s="58" cm="1">
        <f t="array" ref="E188">BonoM(100,E$2,-$B188+E$1,Portafolio!E188)</f>
        <v>92.085708364290923</v>
      </c>
      <c r="F188" s="58" cm="1">
        <f t="array" ref="F188">BonoM(100,F$2,-$B188+F$1,Portafolio!F188)</f>
        <v>93.431599205410734</v>
      </c>
      <c r="G188" s="6">
        <f t="shared" si="29"/>
        <v>8.9922900275860584E-3</v>
      </c>
      <c r="H188" s="6">
        <f t="shared" si="30"/>
        <v>1.0945199358737057E-2</v>
      </c>
      <c r="I188" s="6">
        <f t="shared" si="31"/>
        <v>1.362833438486577E-2</v>
      </c>
      <c r="J188" s="6">
        <f t="shared" si="32"/>
        <v>1.8965494322074283E-2</v>
      </c>
      <c r="K188" s="13">
        <f t="shared" si="33"/>
        <v>90.358933711514339</v>
      </c>
      <c r="L188" s="13">
        <f t="shared" si="34"/>
        <v>99.284816326278374</v>
      </c>
      <c r="M188" s="13">
        <f t="shared" si="35"/>
        <v>94.081008681456666</v>
      </c>
      <c r="N188" s="13">
        <f t="shared" si="36"/>
        <v>95.151649645864126</v>
      </c>
      <c r="O188" s="14">
        <f t="shared" si="37"/>
        <v>-2657.4646442877906</v>
      </c>
      <c r="P188" s="14">
        <f t="shared" si="37"/>
        <v>-1612.3902294743857</v>
      </c>
      <c r="Q188" s="14">
        <f t="shared" si="37"/>
        <v>-2529.8571519401207</v>
      </c>
      <c r="R188" s="14">
        <f t="shared" si="27"/>
        <v>-1771.0099911628986</v>
      </c>
      <c r="S188" s="50">
        <f t="shared" si="28"/>
        <v>-8570.7220168651966</v>
      </c>
      <c r="T188" s="50"/>
    </row>
    <row r="189" spans="1:20" x14ac:dyDescent="0.35">
      <c r="A189" s="7">
        <f t="shared" si="26"/>
        <v>184</v>
      </c>
      <c r="B189" s="42">
        <v>45157</v>
      </c>
      <c r="C189" s="58" cm="1">
        <f t="array" ref="C189">BonoM(100,C$2,-$B189+C$1,Portafolio!C189)</f>
        <v>88.823126820391991</v>
      </c>
      <c r="D189" s="58" cm="1">
        <f t="array" ref="D189">BonoM(100,D$2,-$B189+D$1,Portafolio!D189)</f>
        <v>96.228255387943292</v>
      </c>
      <c r="E189" s="58" cm="1">
        <f t="array" ref="E189">BonoM(100,E$2,-$B189+E$1,Portafolio!E189)</f>
        <v>90.847606800745567</v>
      </c>
      <c r="F189" s="58" cm="1">
        <f t="array" ref="F189">BonoM(100,F$2,-$B189+F$1,Portafolio!F189)</f>
        <v>91.692603651482329</v>
      </c>
      <c r="G189" s="6">
        <f t="shared" si="29"/>
        <v>-1.0531191237013626E-2</v>
      </c>
      <c r="H189" s="6">
        <f t="shared" si="30"/>
        <v>-1.4431111245745476E-2</v>
      </c>
      <c r="I189" s="6">
        <f t="shared" si="31"/>
        <v>-1.8179616526314613E-2</v>
      </c>
      <c r="J189" s="6">
        <f t="shared" si="32"/>
        <v>-2.8890301433673216E-2</v>
      </c>
      <c r="K189" s="13">
        <f t="shared" si="33"/>
        <v>88.610534871561143</v>
      </c>
      <c r="L189" s="13">
        <f t="shared" si="34"/>
        <v>96.792611665726255</v>
      </c>
      <c r="M189" s="13">
        <f t="shared" si="35"/>
        <v>91.128719361693157</v>
      </c>
      <c r="N189" s="13">
        <f t="shared" si="36"/>
        <v>90.682844827007685</v>
      </c>
      <c r="O189" s="14">
        <f t="shared" si="37"/>
        <v>3112.2515275577584</v>
      </c>
      <c r="P189" s="14">
        <f t="shared" si="37"/>
        <v>2125.9167613537925</v>
      </c>
      <c r="Q189" s="14">
        <f t="shared" si="37"/>
        <v>3374.7214875868963</v>
      </c>
      <c r="R189" s="14">
        <f t="shared" si="27"/>
        <v>2697.7948276935422</v>
      </c>
      <c r="S189" s="50">
        <f t="shared" si="28"/>
        <v>11310.684604191989</v>
      </c>
      <c r="T189" s="50"/>
    </row>
    <row r="190" spans="1:20" x14ac:dyDescent="0.35">
      <c r="A190" s="7">
        <f t="shared" si="26"/>
        <v>185</v>
      </c>
      <c r="B190" s="42">
        <v>45156</v>
      </c>
      <c r="C190" s="58" cm="1">
        <f t="array" ref="C190">BonoM(100,C$2,-$B190+C$1,Portafolio!C190)</f>
        <v>89.768496019027467</v>
      </c>
      <c r="D190" s="58" cm="1">
        <f t="array" ref="D190">BonoM(100,D$2,-$B190+D$1,Portafolio!D190)</f>
        <v>97.637269688549608</v>
      </c>
      <c r="E190" s="58" cm="1">
        <f t="array" ref="E190">BonoM(100,E$2,-$B190+E$1,Portafolio!E190)</f>
        <v>92.529762398419848</v>
      </c>
      <c r="F190" s="58" cm="1">
        <f t="array" ref="F190">BonoM(100,F$2,-$B190+F$1,Portafolio!F190)</f>
        <v>94.420438583664009</v>
      </c>
      <c r="G190" s="6">
        <f t="shared" si="29"/>
        <v>-1.2589965241759371E-3</v>
      </c>
      <c r="H190" s="6">
        <f t="shared" si="30"/>
        <v>-2.842666242379277E-3</v>
      </c>
      <c r="I190" s="6">
        <f t="shared" si="31"/>
        <v>-4.2112797660199819E-3</v>
      </c>
      <c r="J190" s="6">
        <f t="shared" si="32"/>
        <v>-5.4075662979354844E-3</v>
      </c>
      <c r="K190" s="13">
        <f t="shared" si="33"/>
        <v>89.440893671819808</v>
      </c>
      <c r="L190" s="13">
        <f t="shared" si="34"/>
        <v>97.930711569060492</v>
      </c>
      <c r="M190" s="13">
        <f t="shared" si="35"/>
        <v>92.425205625377075</v>
      </c>
      <c r="N190" s="13">
        <f t="shared" si="36"/>
        <v>92.875677654824813</v>
      </c>
      <c r="O190" s="14">
        <f t="shared" si="37"/>
        <v>372.06748670416374</v>
      </c>
      <c r="P190" s="14">
        <f t="shared" si="37"/>
        <v>418.76690635243818</v>
      </c>
      <c r="Q190" s="14">
        <f t="shared" si="37"/>
        <v>781.74896021906193</v>
      </c>
      <c r="R190" s="14">
        <f t="shared" si="27"/>
        <v>504.96199987641432</v>
      </c>
      <c r="S190" s="50">
        <f t="shared" si="28"/>
        <v>2077.545353152078</v>
      </c>
      <c r="T190" s="50"/>
    </row>
    <row r="191" spans="1:20" x14ac:dyDescent="0.35">
      <c r="A191" s="7">
        <f t="shared" si="26"/>
        <v>186</v>
      </c>
      <c r="B191" s="42">
        <v>45155</v>
      </c>
      <c r="C191" s="58" cm="1">
        <f t="array" ref="C191">BonoM(100,C$2,-$B191+C$1,Portafolio!C191)</f>
        <v>89.881656712415577</v>
      </c>
      <c r="D191" s="58" cm="1">
        <f t="array" ref="D191">BonoM(100,D$2,-$B191+D$1,Portafolio!D191)</f>
        <v>97.915611090799359</v>
      </c>
      <c r="E191" s="58" cm="1">
        <f t="array" ref="E191">BonoM(100,E$2,-$B191+E$1,Portafolio!E191)</f>
        <v>92.921079058495636</v>
      </c>
      <c r="F191" s="58" cm="1">
        <f t="array" ref="F191">BonoM(100,F$2,-$B191+F$1,Portafolio!F191)</f>
        <v>94.933799397822639</v>
      </c>
      <c r="G191" s="6">
        <f t="shared" si="29"/>
        <v>-2.7864182653076774E-3</v>
      </c>
      <c r="H191" s="6">
        <f t="shared" si="30"/>
        <v>-4.6185817233447279E-3</v>
      </c>
      <c r="I191" s="6">
        <f t="shared" si="31"/>
        <v>-4.7795951156597294E-3</v>
      </c>
      <c r="J191" s="6">
        <f t="shared" si="32"/>
        <v>-7.0465130835891676E-3</v>
      </c>
      <c r="K191" s="13">
        <f t="shared" si="33"/>
        <v>89.304107492955481</v>
      </c>
      <c r="L191" s="13">
        <f t="shared" si="34"/>
        <v>97.756299105901761</v>
      </c>
      <c r="M191" s="13">
        <f t="shared" si="35"/>
        <v>92.372456822359737</v>
      </c>
      <c r="N191" s="13">
        <f t="shared" si="36"/>
        <v>92.722631755620455</v>
      </c>
      <c r="O191" s="14">
        <f t="shared" si="37"/>
        <v>823.46187695644198</v>
      </c>
      <c r="P191" s="14">
        <f t="shared" si="37"/>
        <v>680.38560109053492</v>
      </c>
      <c r="Q191" s="14">
        <f t="shared" si="37"/>
        <v>887.24656625373655</v>
      </c>
      <c r="R191" s="14">
        <f t="shared" si="27"/>
        <v>658.00789908077206</v>
      </c>
      <c r="S191" s="50">
        <f t="shared" si="28"/>
        <v>3049.1019433814854</v>
      </c>
      <c r="T191" s="50"/>
    </row>
    <row r="192" spans="1:20" x14ac:dyDescent="0.35">
      <c r="A192" s="7">
        <f t="shared" si="26"/>
        <v>187</v>
      </c>
      <c r="B192" s="42">
        <v>45154</v>
      </c>
      <c r="C192" s="58" cm="1">
        <f t="array" ref="C192">BonoM(100,C$2,-$B192+C$1,Portafolio!C192)</f>
        <v>90.132804404912832</v>
      </c>
      <c r="D192" s="58" cm="1">
        <f t="array" ref="D192">BonoM(100,D$2,-$B192+D$1,Portafolio!D192)</f>
        <v>98.369940701047724</v>
      </c>
      <c r="E192" s="58" cm="1">
        <f t="array" ref="E192">BonoM(100,E$2,-$B192+E$1,Portafolio!E192)</f>
        <v>93.367337126989952</v>
      </c>
      <c r="F192" s="58" cm="1">
        <f t="array" ref="F192">BonoM(100,F$2,-$B192+F$1,Portafolio!F192)</f>
        <v>95.607498889637711</v>
      </c>
      <c r="G192" s="6">
        <f t="shared" si="29"/>
        <v>-8.3952459052694106E-4</v>
      </c>
      <c r="H192" s="6">
        <f t="shared" si="30"/>
        <v>-2.8577791859898394E-3</v>
      </c>
      <c r="I192" s="6">
        <f t="shared" si="31"/>
        <v>-3.1130828932903754E-3</v>
      </c>
      <c r="J192" s="6">
        <f t="shared" si="32"/>
        <v>-5.6479544041831975E-4</v>
      </c>
      <c r="K192" s="13">
        <f t="shared" si="33"/>
        <v>89.4784589109411</v>
      </c>
      <c r="L192" s="13">
        <f t="shared" si="34"/>
        <v>97.929227328538374</v>
      </c>
      <c r="M192" s="13">
        <f t="shared" si="35"/>
        <v>92.527135954287942</v>
      </c>
      <c r="N192" s="13">
        <f t="shared" si="36"/>
        <v>93.327898695200901</v>
      </c>
      <c r="O192" s="14">
        <f t="shared" si="37"/>
        <v>248.10219760389884</v>
      </c>
      <c r="P192" s="14">
        <f t="shared" si="37"/>
        <v>420.99326713561425</v>
      </c>
      <c r="Q192" s="14">
        <f t="shared" si="37"/>
        <v>577.88830239732647</v>
      </c>
      <c r="R192" s="14">
        <f t="shared" si="27"/>
        <v>52.740959500326312</v>
      </c>
      <c r="S192" s="50">
        <f t="shared" si="28"/>
        <v>1299.724726637166</v>
      </c>
      <c r="T192" s="50"/>
    </row>
    <row r="193" spans="1:20" x14ac:dyDescent="0.35">
      <c r="A193" s="7">
        <f t="shared" si="26"/>
        <v>188</v>
      </c>
      <c r="B193" s="42">
        <v>45153</v>
      </c>
      <c r="C193" s="58" cm="1">
        <f t="array" ref="C193">BonoM(100,C$2,-$B193+C$1,Portafolio!C193)</f>
        <v>90.208536689739319</v>
      </c>
      <c r="D193" s="58" cm="1">
        <f t="array" ref="D193">BonoM(100,D$2,-$B193+D$1,Portafolio!D193)</f>
        <v>98.651865950219317</v>
      </c>
      <c r="E193" s="58" cm="1">
        <f t="array" ref="E193">BonoM(100,E$2,-$B193+E$1,Portafolio!E193)</f>
        <v>93.658905062143219</v>
      </c>
      <c r="F193" s="58" cm="1">
        <f t="array" ref="F193">BonoM(100,F$2,-$B193+F$1,Portafolio!F193)</f>
        <v>95.661528084523297</v>
      </c>
      <c r="G193" s="6">
        <f t="shared" si="29"/>
        <v>-1.6845591279146532E-4</v>
      </c>
      <c r="H193" s="6">
        <f t="shared" si="30"/>
        <v>1.5848557625186555E-3</v>
      </c>
      <c r="I193" s="6">
        <f t="shared" si="31"/>
        <v>1.3731798653213723E-3</v>
      </c>
      <c r="J193" s="6">
        <f t="shared" si="32"/>
        <v>-1.3814530836820937E-3</v>
      </c>
      <c r="K193" s="13">
        <f t="shared" si="33"/>
        <v>89.538555554658487</v>
      </c>
      <c r="L193" s="13">
        <f t="shared" si="34"/>
        <v>98.365538015949681</v>
      </c>
      <c r="M193" s="13">
        <f t="shared" si="35"/>
        <v>92.943533277865512</v>
      </c>
      <c r="N193" s="13">
        <f t="shared" si="36"/>
        <v>93.25163868209404</v>
      </c>
      <c r="O193" s="14">
        <f t="shared" si="37"/>
        <v>49.783273336522882</v>
      </c>
      <c r="P193" s="14">
        <f t="shared" si="37"/>
        <v>-233.47276398134653</v>
      </c>
      <c r="Q193" s="14">
        <f t="shared" si="37"/>
        <v>-254.90634475781349</v>
      </c>
      <c r="R193" s="14">
        <f t="shared" si="27"/>
        <v>129.00097260718724</v>
      </c>
      <c r="S193" s="50">
        <f t="shared" si="28"/>
        <v>-309.5948627954499</v>
      </c>
      <c r="T193" s="50"/>
    </row>
    <row r="194" spans="1:20" x14ac:dyDescent="0.35">
      <c r="A194" s="7">
        <f t="shared" si="26"/>
        <v>189</v>
      </c>
      <c r="B194" s="42">
        <v>45152</v>
      </c>
      <c r="C194" s="58" cm="1">
        <f t="array" ref="C194">BonoM(100,C$2,-$B194+C$1,Portafolio!C194)</f>
        <v>90.223735411443513</v>
      </c>
      <c r="D194" s="58" cm="1">
        <f t="array" ref="D194">BonoM(100,D$2,-$B194+D$1,Portafolio!D194)</f>
        <v>98.495764370473083</v>
      </c>
      <c r="E194" s="58" cm="1">
        <f t="array" ref="E194">BonoM(100,E$2,-$B194+E$1,Portafolio!E194)</f>
        <v>93.530470902705588</v>
      </c>
      <c r="F194" s="58" cm="1">
        <f t="array" ref="F194">BonoM(100,F$2,-$B194+F$1,Portafolio!F194)</f>
        <v>95.79386281170234</v>
      </c>
      <c r="G194" s="6">
        <f t="shared" si="29"/>
        <v>8.2132376400407825E-3</v>
      </c>
      <c r="H194" s="6">
        <f t="shared" si="30"/>
        <v>1.0563333478639469E-2</v>
      </c>
      <c r="I194" s="6">
        <f t="shared" si="31"/>
        <v>1.3495998618331839E-2</v>
      </c>
      <c r="J194" s="6">
        <f t="shared" si="32"/>
        <v>2.6015742360951055E-2</v>
      </c>
      <c r="K194" s="13">
        <f t="shared" si="33"/>
        <v>90.289166733372141</v>
      </c>
      <c r="L194" s="13">
        <f t="shared" si="34"/>
        <v>99.247313320387633</v>
      </c>
      <c r="M194" s="13">
        <f t="shared" si="35"/>
        <v>94.068725794349234</v>
      </c>
      <c r="N194" s="13">
        <f t="shared" si="36"/>
        <v>95.810006317458743</v>
      </c>
      <c r="O194" s="14">
        <f t="shared" si="37"/>
        <v>-2427.2336164185376</v>
      </c>
      <c r="P194" s="14">
        <f t="shared" si="37"/>
        <v>-1556.1357206382738</v>
      </c>
      <c r="Q194" s="14">
        <f t="shared" si="37"/>
        <v>-2505.291377725257</v>
      </c>
      <c r="R194" s="14">
        <f t="shared" si="27"/>
        <v>-2429.3666627575162</v>
      </c>
      <c r="S194" s="50">
        <f t="shared" si="28"/>
        <v>-8918.0273775395854</v>
      </c>
      <c r="T194" s="50"/>
    </row>
    <row r="195" spans="1:20" x14ac:dyDescent="0.35">
      <c r="A195" s="7">
        <f t="shared" si="26"/>
        <v>190</v>
      </c>
      <c r="B195" s="42">
        <v>45150</v>
      </c>
      <c r="C195" s="58" cm="1">
        <f t="array" ref="C195">BonoM(100,C$2,-$B195+C$1,Portafolio!C195)</f>
        <v>89.48874309826887</v>
      </c>
      <c r="D195" s="58" cm="1">
        <f t="array" ref="D195">BonoM(100,D$2,-$B195+D$1,Portafolio!D195)</f>
        <v>97.4661964346394</v>
      </c>
      <c r="E195" s="58" cm="1">
        <f t="array" ref="E195">BonoM(100,E$2,-$B195+E$1,Portafolio!E195)</f>
        <v>92.284992767818352</v>
      </c>
      <c r="F195" s="58" cm="1">
        <f t="array" ref="F195">BonoM(100,F$2,-$B195+F$1,Portafolio!F195)</f>
        <v>93.364905485048766</v>
      </c>
      <c r="G195" s="6">
        <f t="shared" si="29"/>
        <v>-1.0720416278265255E-2</v>
      </c>
      <c r="H195" s="6">
        <f t="shared" si="30"/>
        <v>-1.4998393298555568E-2</v>
      </c>
      <c r="I195" s="6">
        <f t="shared" si="31"/>
        <v>-1.8121775684509789E-2</v>
      </c>
      <c r="J195" s="6">
        <f t="shared" si="32"/>
        <v>-2.781195265842662E-2</v>
      </c>
      <c r="K195" s="13">
        <f t="shared" si="33"/>
        <v>88.593589080073926</v>
      </c>
      <c r="L195" s="13">
        <f t="shared" si="34"/>
        <v>96.73689895800068</v>
      </c>
      <c r="M195" s="13">
        <f t="shared" si="35"/>
        <v>91.134087921899479</v>
      </c>
      <c r="N195" s="13">
        <f t="shared" si="36"/>
        <v>90.783541725411084</v>
      </c>
      <c r="O195" s="14">
        <f t="shared" si="37"/>
        <v>3168.1726394655739</v>
      </c>
      <c r="P195" s="14">
        <f t="shared" si="37"/>
        <v>2209.4858229421561</v>
      </c>
      <c r="Q195" s="14">
        <f t="shared" si="37"/>
        <v>3363.9843671742537</v>
      </c>
      <c r="R195" s="14">
        <f t="shared" si="27"/>
        <v>2597.0979292901434</v>
      </c>
      <c r="S195" s="50">
        <f t="shared" si="28"/>
        <v>11338.740758872125</v>
      </c>
      <c r="T195" s="50"/>
    </row>
    <row r="196" spans="1:20" x14ac:dyDescent="0.35">
      <c r="A196" s="7">
        <f t="shared" si="26"/>
        <v>191</v>
      </c>
      <c r="B196" s="42">
        <v>45149</v>
      </c>
      <c r="C196" s="58" cm="1">
        <f t="array" ref="C196">BonoM(100,C$2,-$B196+C$1,Portafolio!C196)</f>
        <v>90.458495829466472</v>
      </c>
      <c r="D196" s="58" cm="1">
        <f t="array" ref="D196">BonoM(100,D$2,-$B196+D$1,Portafolio!D196)</f>
        <v>98.950291828489938</v>
      </c>
      <c r="E196" s="58" cm="1">
        <f t="array" ref="E196">BonoM(100,E$2,-$B196+E$1,Portafolio!E196)</f>
        <v>93.988226322214459</v>
      </c>
      <c r="F196" s="58" cm="1">
        <f t="array" ref="F196">BonoM(100,F$2,-$B196+F$1,Portafolio!F196)</f>
        <v>96.03584999872507</v>
      </c>
      <c r="G196" s="6">
        <f t="shared" si="29"/>
        <v>-2.201221391943009E-3</v>
      </c>
      <c r="H196" s="6">
        <f t="shared" si="30"/>
        <v>-2.8771963257951949E-3</v>
      </c>
      <c r="I196" s="6">
        <f t="shared" si="31"/>
        <v>-4.256905517378673E-3</v>
      </c>
      <c r="J196" s="6">
        <f t="shared" si="32"/>
        <v>-4.6605631956935234E-3</v>
      </c>
      <c r="K196" s="13">
        <f t="shared" si="33"/>
        <v>89.356514003898283</v>
      </c>
      <c r="L196" s="13">
        <f t="shared" si="34"/>
        <v>97.927320373383566</v>
      </c>
      <c r="M196" s="13">
        <f t="shared" si="35"/>
        <v>92.420970821984099</v>
      </c>
      <c r="N196" s="13">
        <f t="shared" si="36"/>
        <v>92.945433282336211</v>
      </c>
      <c r="O196" s="14">
        <f t="shared" si="37"/>
        <v>650.5203908451947</v>
      </c>
      <c r="P196" s="14">
        <f t="shared" si="37"/>
        <v>423.85369986782706</v>
      </c>
      <c r="Q196" s="14">
        <f t="shared" si="37"/>
        <v>790.21856700501303</v>
      </c>
      <c r="R196" s="14">
        <f t="shared" si="27"/>
        <v>435.20637236501614</v>
      </c>
      <c r="S196" s="50">
        <f t="shared" si="28"/>
        <v>2299.7990300830511</v>
      </c>
      <c r="T196" s="50"/>
    </row>
    <row r="197" spans="1:20" x14ac:dyDescent="0.35">
      <c r="A197" s="7">
        <f t="shared" ref="A197:A255" si="38">+A198-1</f>
        <v>192</v>
      </c>
      <c r="B197" s="42">
        <v>45148</v>
      </c>
      <c r="C197" s="58" cm="1">
        <f t="array" ref="C197">BonoM(100,C$2,-$B197+C$1,Portafolio!C197)</f>
        <v>90.658054277894905</v>
      </c>
      <c r="D197" s="58" cm="1">
        <f t="array" ref="D197">BonoM(100,D$2,-$B197+D$1,Portafolio!D197)</f>
        <v>99.23581274430515</v>
      </c>
      <c r="E197" s="58" cm="1">
        <f t="array" ref="E197">BonoM(100,E$2,-$B197+E$1,Portafolio!E197)</f>
        <v>94.390035786338899</v>
      </c>
      <c r="F197" s="58" cm="1">
        <f t="array" ref="F197">BonoM(100,F$2,-$B197+F$1,Portafolio!F197)</f>
        <v>96.48552689428567</v>
      </c>
      <c r="G197" s="6">
        <f t="shared" si="29"/>
        <v>-3.6109095657477219E-4</v>
      </c>
      <c r="H197" s="6">
        <f t="shared" si="30"/>
        <v>-1.5438488475109091E-3</v>
      </c>
      <c r="I197" s="6">
        <f t="shared" si="31"/>
        <v>-3.2031500481766173E-4</v>
      </c>
      <c r="J197" s="6">
        <f t="shared" si="32"/>
        <v>-3.8556481455371827E-3</v>
      </c>
      <c r="K197" s="13">
        <f t="shared" si="33"/>
        <v>89.521304385027392</v>
      </c>
      <c r="L197" s="13">
        <f t="shared" si="34"/>
        <v>98.058268281899799</v>
      </c>
      <c r="M197" s="13">
        <f t="shared" si="35"/>
        <v>92.786349722340461</v>
      </c>
      <c r="N197" s="13">
        <f t="shared" si="36"/>
        <v>93.020596764587509</v>
      </c>
      <c r="O197" s="14">
        <f t="shared" si="37"/>
        <v>106.7121331191359</v>
      </c>
      <c r="P197" s="14">
        <f t="shared" si="37"/>
        <v>227.43183709347647</v>
      </c>
      <c r="Q197" s="14">
        <f t="shared" si="37"/>
        <v>59.460766292289691</v>
      </c>
      <c r="R197" s="14">
        <f t="shared" si="37"/>
        <v>360.04289011371782</v>
      </c>
      <c r="S197" s="50">
        <f t="shared" ref="S197:S256" si="39">SUM(O197:R197)</f>
        <v>753.64762661861982</v>
      </c>
      <c r="T197" s="50"/>
    </row>
    <row r="198" spans="1:20" x14ac:dyDescent="0.35">
      <c r="A198" s="7">
        <f t="shared" si="38"/>
        <v>193</v>
      </c>
      <c r="B198" s="42">
        <v>45147</v>
      </c>
      <c r="C198" s="58" cm="1">
        <f t="array" ref="C198">BonoM(100,C$2,-$B198+C$1,Portafolio!C198)</f>
        <v>90.690801906307783</v>
      </c>
      <c r="D198" s="58" cm="1">
        <f t="array" ref="D198">BonoM(100,D$2,-$B198+D$1,Portafolio!D198)</f>
        <v>99.389254730676072</v>
      </c>
      <c r="E198" s="58" cm="1">
        <f t="array" ref="E198">BonoM(100,E$2,-$B198+E$1,Portafolio!E198)</f>
        <v>94.420280018788006</v>
      </c>
      <c r="F198" s="58" cm="1">
        <f t="array" ref="F198">BonoM(100,F$2,-$B198+F$1,Portafolio!F198)</f>
        <v>96.858981044930175</v>
      </c>
      <c r="G198" s="6">
        <f t="shared" ref="G198:G257" si="40">IFERROR(C198/C199-1," ")</f>
        <v>2.7229965720438898E-3</v>
      </c>
      <c r="H198" s="6">
        <f t="shared" ref="H198:H257" si="41">IFERROR(D198/D199-1," ")</f>
        <v>5.1784450803789017E-3</v>
      </c>
      <c r="I198" s="6">
        <f t="shared" ref="I198:I257" si="42">IFERROR(E198/E199-1," ")</f>
        <v>5.9074132054777184E-3</v>
      </c>
      <c r="J198" s="6">
        <f t="shared" ref="J198:J257" si="43">IFERROR(F198/F199-1," ")</f>
        <v>6.0181809682888776E-3</v>
      </c>
      <c r="K198" s="13">
        <f t="shared" ref="K198:K256" si="44">C$5*(1+G198)</f>
        <v>89.7974956535963</v>
      </c>
      <c r="L198" s="13">
        <f t="shared" ref="L198:L256" si="45">D$5*(1+H198)</f>
        <v>98.718464025788947</v>
      </c>
      <c r="M198" s="13">
        <f t="shared" ref="M198:M256" si="46">E$5*(1+I198)</f>
        <v>93.364383042782435</v>
      </c>
      <c r="N198" s="13">
        <f t="shared" ref="N198:N256" si="47">F$5*(1+J198)</f>
        <v>93.942621243077795</v>
      </c>
      <c r="O198" s="14">
        <f t="shared" ref="O198:R256" si="48">(C$5-K198)*O$2</f>
        <v>-804.71905315826143</v>
      </c>
      <c r="P198" s="14">
        <f t="shared" si="48"/>
        <v>-762.86177874024474</v>
      </c>
      <c r="Q198" s="14">
        <f t="shared" si="48"/>
        <v>-1096.6058745916598</v>
      </c>
      <c r="R198" s="14">
        <f t="shared" si="48"/>
        <v>-561.9815883765682</v>
      </c>
      <c r="S198" s="50">
        <f t="shared" si="39"/>
        <v>-3226.1682948667344</v>
      </c>
      <c r="T198" s="50"/>
    </row>
    <row r="199" spans="1:20" x14ac:dyDescent="0.35">
      <c r="A199" s="7">
        <f t="shared" si="38"/>
        <v>194</v>
      </c>
      <c r="B199" s="42">
        <v>45146</v>
      </c>
      <c r="C199" s="58" cm="1">
        <f t="array" ref="C199">BonoM(100,C$2,-$B199+C$1,Portafolio!C199)</f>
        <v>90.444521783531087</v>
      </c>
      <c r="D199" s="58" cm="1">
        <f t="array" ref="D199">BonoM(100,D$2,-$B199+D$1,Portafolio!D199)</f>
        <v>98.877224454140006</v>
      </c>
      <c r="E199" s="58" cm="1">
        <f t="array" ref="E199">BonoM(100,E$2,-$B199+E$1,Portafolio!E199)</f>
        <v>93.865776093550551</v>
      </c>
      <c r="F199" s="58" cm="1">
        <f t="array" ref="F199">BonoM(100,F$2,-$B199+F$1,Portafolio!F199)</f>
        <v>96.27955326980647</v>
      </c>
      <c r="G199" s="6">
        <f t="shared" si="40"/>
        <v>1.1818463934334389E-3</v>
      </c>
      <c r="H199" s="6">
        <f t="shared" si="41"/>
        <v>1.5894796877105044E-3</v>
      </c>
      <c r="I199" s="6">
        <f t="shared" si="42"/>
        <v>1.3763260954613443E-3</v>
      </c>
      <c r="J199" s="6">
        <f t="shared" si="43"/>
        <v>6.0061859713202992E-3</v>
      </c>
      <c r="K199" s="13">
        <f t="shared" si="44"/>
        <v>89.659480043165075</v>
      </c>
      <c r="L199" s="13">
        <f t="shared" si="45"/>
        <v>98.365992131131861</v>
      </c>
      <c r="M199" s="13">
        <f t="shared" si="46"/>
        <v>92.943825298614215</v>
      </c>
      <c r="N199" s="13">
        <f t="shared" si="47"/>
        <v>93.941501142588208</v>
      </c>
      <c r="O199" s="14">
        <f t="shared" si="48"/>
        <v>-349.26753873521932</v>
      </c>
      <c r="P199" s="14">
        <f t="shared" si="48"/>
        <v>-234.15393675461615</v>
      </c>
      <c r="Q199" s="14">
        <f t="shared" si="48"/>
        <v>-255.49038625521803</v>
      </c>
      <c r="R199" s="14">
        <f t="shared" si="48"/>
        <v>-560.86148788698154</v>
      </c>
      <c r="S199" s="50">
        <f t="shared" si="39"/>
        <v>-1399.7733496320352</v>
      </c>
      <c r="T199" s="50"/>
    </row>
    <row r="200" spans="1:20" x14ac:dyDescent="0.35">
      <c r="A200" s="7">
        <f t="shared" si="38"/>
        <v>195</v>
      </c>
      <c r="B200" s="42">
        <v>45145</v>
      </c>
      <c r="C200" s="58" cm="1">
        <f t="array" ref="C200">BonoM(100,C$2,-$B200+C$1,Portafolio!C200)</f>
        <v>90.337756431901184</v>
      </c>
      <c r="D200" s="58" cm="1">
        <f t="array" ref="D200">BonoM(100,D$2,-$B200+D$1,Portafolio!D200)</f>
        <v>98.720310525794787</v>
      </c>
      <c r="E200" s="58" cm="1">
        <f t="array" ref="E200">BonoM(100,E$2,-$B200+E$1,Portafolio!E200)</f>
        <v>93.736763739511773</v>
      </c>
      <c r="F200" s="58" cm="1">
        <f t="array" ref="F200">BonoM(100,F$2,-$B200+F$1,Portafolio!F200)</f>
        <v>95.704732845997881</v>
      </c>
      <c r="G200" s="6">
        <f t="shared" si="40"/>
        <v>9.2862292125936996E-3</v>
      </c>
      <c r="H200" s="6">
        <f t="shared" si="41"/>
        <v>1.0837269242850001E-2</v>
      </c>
      <c r="I200" s="6">
        <f t="shared" si="42"/>
        <v>1.3778621866722851E-2</v>
      </c>
      <c r="J200" s="6">
        <f t="shared" si="43"/>
        <v>1.8704664868586462E-2</v>
      </c>
      <c r="K200" s="13">
        <f t="shared" si="44"/>
        <v>90.385257035880471</v>
      </c>
      <c r="L200" s="13">
        <f t="shared" si="45"/>
        <v>99.274216521522675</v>
      </c>
      <c r="M200" s="13">
        <f t="shared" si="46"/>
        <v>94.094957776411562</v>
      </c>
      <c r="N200" s="13">
        <f t="shared" si="47"/>
        <v>95.127293224656654</v>
      </c>
      <c r="O200" s="14">
        <f t="shared" si="48"/>
        <v>-2744.3316146960256</v>
      </c>
      <c r="P200" s="14">
        <f t="shared" si="48"/>
        <v>-1596.4905223408366</v>
      </c>
      <c r="Q200" s="14">
        <f t="shared" si="48"/>
        <v>-2557.7553418499119</v>
      </c>
      <c r="R200" s="14">
        <f t="shared" si="48"/>
        <v>-1746.653569955427</v>
      </c>
      <c r="S200" s="50">
        <f t="shared" si="39"/>
        <v>-8645.2310488422008</v>
      </c>
      <c r="T200" s="50"/>
    </row>
    <row r="201" spans="1:20" x14ac:dyDescent="0.35">
      <c r="A201" s="7">
        <f t="shared" si="38"/>
        <v>196</v>
      </c>
      <c r="B201" s="42">
        <v>45143</v>
      </c>
      <c r="C201" s="58" cm="1">
        <f t="array" ref="C201">BonoM(100,C$2,-$B201+C$1,Portafolio!C201)</f>
        <v>89.506577834098877</v>
      </c>
      <c r="D201" s="58" cm="1">
        <f t="array" ref="D201">BonoM(100,D$2,-$B201+D$1,Portafolio!D201)</f>
        <v>97.661921982496267</v>
      </c>
      <c r="E201" s="58" cm="1">
        <f t="array" ref="E201">BonoM(100,E$2,-$B201+E$1,Portafolio!E201)</f>
        <v>92.46275440974425</v>
      </c>
      <c r="F201" s="58" cm="1">
        <f t="array" ref="F201">BonoM(100,F$2,-$B201+F$1,Portafolio!F201)</f>
        <v>93.947476777623123</v>
      </c>
      <c r="G201" s="6">
        <f t="shared" si="40"/>
        <v>-1.0273547091382618E-2</v>
      </c>
      <c r="H201" s="6">
        <f t="shared" si="41"/>
        <v>-1.3973883969363721E-2</v>
      </c>
      <c r="I201" s="6">
        <f t="shared" si="42"/>
        <v>-1.7869912180582315E-2</v>
      </c>
      <c r="J201" s="6">
        <f t="shared" si="43"/>
        <v>-2.7264079645827444E-2</v>
      </c>
      <c r="K201" s="13">
        <f t="shared" si="44"/>
        <v>88.633607842986521</v>
      </c>
      <c r="L201" s="13">
        <f t="shared" si="45"/>
        <v>96.837515906019121</v>
      </c>
      <c r="M201" s="13">
        <f t="shared" si="46"/>
        <v>91.157464905055662</v>
      </c>
      <c r="N201" s="13">
        <f t="shared" si="47"/>
        <v>90.834702457777141</v>
      </c>
      <c r="O201" s="14">
        <f t="shared" si="48"/>
        <v>3036.1107218540101</v>
      </c>
      <c r="P201" s="14">
        <f t="shared" si="48"/>
        <v>2058.5604009144945</v>
      </c>
      <c r="Q201" s="14">
        <f t="shared" si="48"/>
        <v>3317.230400861888</v>
      </c>
      <c r="R201" s="14">
        <f t="shared" si="48"/>
        <v>2545.9371969240865</v>
      </c>
      <c r="S201" s="50">
        <f t="shared" si="39"/>
        <v>10957.838720554479</v>
      </c>
      <c r="T201" s="50"/>
    </row>
    <row r="202" spans="1:20" x14ac:dyDescent="0.35">
      <c r="A202" s="7">
        <f t="shared" si="38"/>
        <v>197</v>
      </c>
      <c r="B202" s="42">
        <v>45142</v>
      </c>
      <c r="C202" s="58" cm="1">
        <f t="array" ref="C202">BonoM(100,C$2,-$B202+C$1,Portafolio!C202)</f>
        <v>90.43567297919148</v>
      </c>
      <c r="D202" s="58" cm="1">
        <f t="array" ref="D202">BonoM(100,D$2,-$B202+D$1,Portafolio!D202)</f>
        <v>99.045979000683857</v>
      </c>
      <c r="E202" s="58" cm="1">
        <f t="array" ref="E202">BonoM(100,E$2,-$B202+E$1,Portafolio!E202)</f>
        <v>94.145119426119436</v>
      </c>
      <c r="F202" s="58" cm="1">
        <f t="array" ref="F202">BonoM(100,F$2,-$B202+F$1,Portafolio!F202)</f>
        <v>96.58065957245303</v>
      </c>
      <c r="G202" s="6">
        <f t="shared" si="40"/>
        <v>-6.7267740945609056E-4</v>
      </c>
      <c r="H202" s="6">
        <f t="shared" si="41"/>
        <v>-6.5283183033026937E-4</v>
      </c>
      <c r="I202" s="6">
        <f t="shared" si="42"/>
        <v>-3.2119409834296953E-4</v>
      </c>
      <c r="J202" s="6">
        <f t="shared" si="43"/>
        <v>-1.4008232867686043E-3</v>
      </c>
      <c r="K202" s="13">
        <f t="shared" si="44"/>
        <v>89.493400683562498</v>
      </c>
      <c r="L202" s="13">
        <f t="shared" si="45"/>
        <v>98.145774964705637</v>
      </c>
      <c r="M202" s="13">
        <f t="shared" si="46"/>
        <v>92.786268128325389</v>
      </c>
      <c r="N202" s="13">
        <f t="shared" si="47"/>
        <v>93.249829880139572</v>
      </c>
      <c r="O202" s="14">
        <f t="shared" si="48"/>
        <v>198.7943479532845</v>
      </c>
      <c r="P202" s="14">
        <f t="shared" si="48"/>
        <v>96.171812884719543</v>
      </c>
      <c r="Q202" s="14">
        <f t="shared" si="48"/>
        <v>59.623954322432837</v>
      </c>
      <c r="R202" s="14">
        <f t="shared" si="48"/>
        <v>130.80977456165499</v>
      </c>
      <c r="S202" s="50">
        <f t="shared" si="39"/>
        <v>485.39988972209187</v>
      </c>
      <c r="T202" s="50"/>
    </row>
    <row r="203" spans="1:20" x14ac:dyDescent="0.35">
      <c r="A203" s="7">
        <f t="shared" si="38"/>
        <v>198</v>
      </c>
      <c r="B203" s="42">
        <v>45141</v>
      </c>
      <c r="C203" s="58" cm="1">
        <f t="array" ref="C203">BonoM(100,C$2,-$B203+C$1,Portafolio!C203)</f>
        <v>90.49654796263971</v>
      </c>
      <c r="D203" s="58" cm="1">
        <f t="array" ref="D203">BonoM(100,D$2,-$B203+D$1,Portafolio!D203)</f>
        <v>99.110681608363521</v>
      </c>
      <c r="E203" s="58" cm="1">
        <f t="array" ref="E203">BonoM(100,E$2,-$B203+E$1,Portafolio!E203)</f>
        <v>94.175367998529836</v>
      </c>
      <c r="F203" s="58" cm="1">
        <f t="array" ref="F203">BonoM(100,F$2,-$B203+F$1,Portafolio!F203)</f>
        <v>96.716141796087399</v>
      </c>
      <c r="G203" s="6">
        <f t="shared" si="40"/>
        <v>-9.8407043807036132E-4</v>
      </c>
      <c r="H203" s="6">
        <f t="shared" si="41"/>
        <v>-2.0003562053295676E-3</v>
      </c>
      <c r="I203" s="6">
        <f t="shared" si="42"/>
        <v>-3.1508083485375371E-3</v>
      </c>
      <c r="J203" s="6">
        <f t="shared" si="43"/>
        <v>-8.8064796751320396E-3</v>
      </c>
      <c r="K203" s="13">
        <f t="shared" si="44"/>
        <v>89.465514303945056</v>
      </c>
      <c r="L203" s="13">
        <f t="shared" si="45"/>
        <v>98.013434744729466</v>
      </c>
      <c r="M203" s="13">
        <f t="shared" si="46"/>
        <v>92.523634425411714</v>
      </c>
      <c r="N203" s="13">
        <f t="shared" si="47"/>
        <v>92.55828494953127</v>
      </c>
      <c r="O203" s="14">
        <f t="shared" si="48"/>
        <v>290.81940069084311</v>
      </c>
      <c r="P203" s="14">
        <f t="shared" si="48"/>
        <v>294.68214284897698</v>
      </c>
      <c r="Q203" s="14">
        <f t="shared" si="48"/>
        <v>584.89136014978271</v>
      </c>
      <c r="R203" s="14">
        <f t="shared" si="48"/>
        <v>822.3547051699569</v>
      </c>
      <c r="S203" s="50">
        <f t="shared" si="39"/>
        <v>1992.7476088595599</v>
      </c>
      <c r="T203" s="50"/>
    </row>
    <row r="204" spans="1:20" x14ac:dyDescent="0.35">
      <c r="A204" s="7">
        <f t="shared" si="38"/>
        <v>199</v>
      </c>
      <c r="B204" s="42">
        <v>45140</v>
      </c>
      <c r="C204" s="58" cm="1">
        <f t="array" ref="C204">BonoM(100,C$2,-$B204+C$1,Portafolio!C204)</f>
        <v>90.585690662933288</v>
      </c>
      <c r="D204" s="58" cm="1">
        <f t="array" ref="D204">BonoM(100,D$2,-$B204+D$1,Portafolio!D204)</f>
        <v>99.309335654186526</v>
      </c>
      <c r="E204" s="58" cm="1">
        <f t="array" ref="E204">BonoM(100,E$2,-$B204+E$1,Portafolio!E204)</f>
        <v>94.473034424104981</v>
      </c>
      <c r="F204" s="58" cm="1">
        <f t="array" ref="F204">BonoM(100,F$2,-$B204+F$1,Portafolio!F204)</f>
        <v>97.575437906805789</v>
      </c>
      <c r="G204" s="6">
        <f t="shared" si="40"/>
        <v>6.7584025895017774E-5</v>
      </c>
      <c r="H204" s="6">
        <f t="shared" si="41"/>
        <v>-2.4533141748668275E-3</v>
      </c>
      <c r="I204" s="6">
        <f t="shared" si="42"/>
        <v>-4.2888903711771897E-3</v>
      </c>
      <c r="J204" s="6">
        <f t="shared" si="43"/>
        <v>-2.241444018105998E-3</v>
      </c>
      <c r="K204" s="13">
        <f t="shared" si="44"/>
        <v>89.55969379068253</v>
      </c>
      <c r="L204" s="13">
        <f t="shared" si="45"/>
        <v>97.968949792590067</v>
      </c>
      <c r="M204" s="13">
        <f t="shared" si="46"/>
        <v>92.418002113231779</v>
      </c>
      <c r="N204" s="13">
        <f t="shared" si="47"/>
        <v>93.171332178540283</v>
      </c>
      <c r="O204" s="14">
        <f t="shared" si="48"/>
        <v>-19.97290554282074</v>
      </c>
      <c r="P204" s="14">
        <f t="shared" si="48"/>
        <v>361.40957105807558</v>
      </c>
      <c r="Q204" s="14">
        <f t="shared" si="48"/>
        <v>796.15598450965308</v>
      </c>
      <c r="R204" s="14">
        <f t="shared" si="48"/>
        <v>209.30747616094436</v>
      </c>
      <c r="S204" s="50">
        <f t="shared" si="39"/>
        <v>1346.9001261858523</v>
      </c>
      <c r="T204" s="50"/>
    </row>
    <row r="205" spans="1:20" x14ac:dyDescent="0.35">
      <c r="A205" s="7">
        <f t="shared" si="38"/>
        <v>200</v>
      </c>
      <c r="B205" s="42">
        <v>45139</v>
      </c>
      <c r="C205" s="58" cm="1">
        <f t="array" ref="C205">BonoM(100,C$2,-$B205+C$1,Portafolio!C205)</f>
        <v>90.579568931001091</v>
      </c>
      <c r="D205" s="58" cm="1">
        <f t="array" ref="D205">BonoM(100,D$2,-$B205+D$1,Portafolio!D205)</f>
        <v>99.553571843147949</v>
      </c>
      <c r="E205" s="58" cm="1">
        <f t="array" ref="E205">BonoM(100,E$2,-$B205+E$1,Portafolio!E205)</f>
        <v>94.879964188932533</v>
      </c>
      <c r="F205" s="58" cm="1">
        <f t="array" ref="F205">BonoM(100,F$2,-$B205+F$1,Portafolio!F205)</f>
        <v>97.794639115654405</v>
      </c>
      <c r="G205" s="6">
        <f t="shared" si="40"/>
        <v>1.2934786371232576E-4</v>
      </c>
      <c r="H205" s="6">
        <f t="shared" si="41"/>
        <v>-1.1092685554323634E-3</v>
      </c>
      <c r="I205" s="6">
        <f t="shared" si="42"/>
        <v>-2.5982354000152474E-3</v>
      </c>
      <c r="J205" s="6">
        <f t="shared" si="43"/>
        <v>-5.5583298694633632E-3</v>
      </c>
      <c r="K205" s="13">
        <f t="shared" si="44"/>
        <v>89.565224967265607</v>
      </c>
      <c r="L205" s="13">
        <f t="shared" si="45"/>
        <v>98.100948364366587</v>
      </c>
      <c r="M205" s="13">
        <f t="shared" si="46"/>
        <v>92.574922080465882</v>
      </c>
      <c r="N205" s="13">
        <f t="shared" si="47"/>
        <v>92.861599256078904</v>
      </c>
      <c r="O205" s="14">
        <f t="shared" si="48"/>
        <v>-38.225788266973382</v>
      </c>
      <c r="P205" s="14">
        <f t="shared" si="48"/>
        <v>163.41171339329463</v>
      </c>
      <c r="Q205" s="14">
        <f t="shared" si="48"/>
        <v>482.3160500414474</v>
      </c>
      <c r="R205" s="14">
        <f t="shared" si="48"/>
        <v>519.0403986223231</v>
      </c>
      <c r="S205" s="50">
        <f t="shared" si="39"/>
        <v>1126.5423737900919</v>
      </c>
      <c r="T205" s="50"/>
    </row>
    <row r="206" spans="1:20" x14ac:dyDescent="0.35">
      <c r="A206" s="7">
        <f t="shared" si="38"/>
        <v>201</v>
      </c>
      <c r="B206" s="42">
        <v>45138</v>
      </c>
      <c r="C206" s="58" cm="1">
        <f t="array" ref="C206">BonoM(100,C$2,-$B206+C$1,Portafolio!C206)</f>
        <v>90.567854172542866</v>
      </c>
      <c r="D206" s="58" cm="1">
        <f t="array" ref="D206">BonoM(100,D$2,-$B206+D$1,Portafolio!D206)</f>
        <v>99.664126124362355</v>
      </c>
      <c r="E206" s="58" cm="1">
        <f t="array" ref="E206">BonoM(100,E$2,-$B206+E$1,Portafolio!E206)</f>
        <v>95.127126857435258</v>
      </c>
      <c r="F206" s="58" cm="1">
        <f t="array" ref="F206">BonoM(100,F$2,-$B206+F$1,Portafolio!F206)</f>
        <v>98.341252235354602</v>
      </c>
      <c r="G206" s="6">
        <f t="shared" si="40"/>
        <v>1.3355889011299915E-2</v>
      </c>
      <c r="H206" s="6">
        <f t="shared" si="41"/>
        <v>1.6912398235938708E-2</v>
      </c>
      <c r="I206" s="6">
        <f t="shared" si="42"/>
        <v>2.1942894252532597E-2</v>
      </c>
      <c r="J206" s="6">
        <f t="shared" si="43"/>
        <v>3.2907581478163417E-2</v>
      </c>
      <c r="K206" s="13">
        <f t="shared" si="44"/>
        <v>90.749709890093712</v>
      </c>
      <c r="L206" s="13">
        <f t="shared" si="45"/>
        <v>99.870854268672431</v>
      </c>
      <c r="M206" s="13">
        <f t="shared" si="46"/>
        <v>94.85273353617589</v>
      </c>
      <c r="N206" s="13">
        <f t="shared" si="47"/>
        <v>96.453570662621331</v>
      </c>
      <c r="O206" s="14">
        <f t="shared" si="48"/>
        <v>-3947.0260335997195</v>
      </c>
      <c r="P206" s="14">
        <f t="shared" si="48"/>
        <v>-2491.4471430654712</v>
      </c>
      <c r="Q206" s="14">
        <f t="shared" si="48"/>
        <v>-4073.306861378569</v>
      </c>
      <c r="R206" s="14">
        <f t="shared" si="48"/>
        <v>-3072.9310079201041</v>
      </c>
      <c r="S206" s="50">
        <f t="shared" si="39"/>
        <v>-13584.711045963864</v>
      </c>
      <c r="T206" s="50"/>
    </row>
    <row r="207" spans="1:20" x14ac:dyDescent="0.35">
      <c r="A207" s="7">
        <f t="shared" si="38"/>
        <v>202</v>
      </c>
      <c r="B207" s="42">
        <v>45136</v>
      </c>
      <c r="C207" s="58" cm="1">
        <f t="array" ref="C207">BonoM(100,C$2,-$B207+C$1,Portafolio!C207)</f>
        <v>89.37418251045753</v>
      </c>
      <c r="D207" s="58" cm="1">
        <f t="array" ref="D207">BonoM(100,D$2,-$B207+D$1,Portafolio!D207)</f>
        <v>98.006599484136487</v>
      </c>
      <c r="E207" s="58" cm="1">
        <f t="array" ref="E207">BonoM(100,E$2,-$B207+E$1,Portafolio!E207)</f>
        <v>93.08458172412162</v>
      </c>
      <c r="F207" s="58" cm="1">
        <f t="array" ref="F207">BonoM(100,F$2,-$B207+F$1,Portafolio!F207)</f>
        <v>95.208181253371521</v>
      </c>
      <c r="G207" s="6">
        <f t="shared" si="40"/>
        <v>-9.9682856206562143E-3</v>
      </c>
      <c r="H207" s="6">
        <f t="shared" si="41"/>
        <v>-1.4144324798282093E-2</v>
      </c>
      <c r="I207" s="6">
        <f t="shared" si="42"/>
        <v>-1.8312045982004865E-2</v>
      </c>
      <c r="J207" s="6">
        <f t="shared" si="43"/>
        <v>-2.5180257326606004E-2</v>
      </c>
      <c r="K207" s="13">
        <f t="shared" si="44"/>
        <v>88.66094511926768</v>
      </c>
      <c r="L207" s="13">
        <f t="shared" si="45"/>
        <v>96.820776931043625</v>
      </c>
      <c r="M207" s="13">
        <f t="shared" si="46"/>
        <v>91.116427778725495</v>
      </c>
      <c r="N207" s="13">
        <f t="shared" si="47"/>
        <v>91.029291118872777</v>
      </c>
      <c r="O207" s="14">
        <f t="shared" si="48"/>
        <v>2945.8977101261853</v>
      </c>
      <c r="P207" s="14">
        <f t="shared" si="48"/>
        <v>2083.6688633777385</v>
      </c>
      <c r="Q207" s="14">
        <f t="shared" si="48"/>
        <v>3399.304653522222</v>
      </c>
      <c r="R207" s="14">
        <f t="shared" si="48"/>
        <v>2351.3485358284497</v>
      </c>
      <c r="S207" s="50">
        <f t="shared" si="39"/>
        <v>10780.219762854595</v>
      </c>
      <c r="T207" s="50"/>
    </row>
    <row r="208" spans="1:20" x14ac:dyDescent="0.35">
      <c r="A208" s="7">
        <f t="shared" si="38"/>
        <v>203</v>
      </c>
      <c r="B208" s="42">
        <v>45135</v>
      </c>
      <c r="C208" s="58" cm="1">
        <f t="array" ref="C208">BonoM(100,C$2,-$B208+C$1,Portafolio!C208)</f>
        <v>90.274060125929083</v>
      </c>
      <c r="D208" s="58" cm="1">
        <f t="array" ref="D208">BonoM(100,D$2,-$B208+D$1,Portafolio!D208)</f>
        <v>99.412725360720941</v>
      </c>
      <c r="E208" s="58" cm="1">
        <f t="array" ref="E208">BonoM(100,E$2,-$B208+E$1,Portafolio!E208)</f>
        <v>94.820947270598069</v>
      </c>
      <c r="F208" s="58" cm="1">
        <f t="array" ref="F208">BonoM(100,F$2,-$B208+F$1,Portafolio!F208)</f>
        <v>97.667473365145312</v>
      </c>
      <c r="G208" s="6">
        <f t="shared" si="40"/>
        <v>5.6696679637502356E-4</v>
      </c>
      <c r="H208" s="6">
        <f t="shared" si="41"/>
        <v>1.5799843403385694E-5</v>
      </c>
      <c r="I208" s="6">
        <f t="shared" si="42"/>
        <v>-2.7169832135132133E-4</v>
      </c>
      <c r="J208" s="6">
        <f t="shared" si="43"/>
        <v>1.5722703324603238E-3</v>
      </c>
      <c r="K208" s="13">
        <f t="shared" si="44"/>
        <v>89.604415336228968</v>
      </c>
      <c r="L208" s="13">
        <f t="shared" si="45"/>
        <v>98.211441207503654</v>
      </c>
      <c r="M208" s="13">
        <f t="shared" si="46"/>
        <v>92.790862132327533</v>
      </c>
      <c r="N208" s="13">
        <f t="shared" si="47"/>
        <v>93.527459264056475</v>
      </c>
      <c r="O208" s="14">
        <f t="shared" si="48"/>
        <v>-167.55400584606406</v>
      </c>
      <c r="P208" s="14">
        <f t="shared" si="48"/>
        <v>-2.3275513123053315</v>
      </c>
      <c r="Q208" s="14">
        <f t="shared" si="48"/>
        <v>50.435946318145852</v>
      </c>
      <c r="R208" s="14">
        <f t="shared" si="48"/>
        <v>-146.81960935524785</v>
      </c>
      <c r="S208" s="50">
        <f t="shared" si="39"/>
        <v>-266.26522019547139</v>
      </c>
      <c r="T208" s="50"/>
    </row>
    <row r="209" spans="1:20" x14ac:dyDescent="0.35">
      <c r="A209" s="7">
        <f t="shared" si="38"/>
        <v>204</v>
      </c>
      <c r="B209" s="42">
        <v>45134</v>
      </c>
      <c r="C209" s="58" cm="1">
        <f t="array" ref="C209">BonoM(100,C$2,-$B209+C$1,Portafolio!C209)</f>
        <v>90.222906733538721</v>
      </c>
      <c r="D209" s="58" cm="1">
        <f t="array" ref="D209">BonoM(100,D$2,-$B209+D$1,Portafolio!D209)</f>
        <v>99.411154680044447</v>
      </c>
      <c r="E209" s="58" cm="1">
        <f t="array" ref="E209">BonoM(100,E$2,-$B209+E$1,Portafolio!E209)</f>
        <v>94.846716964382978</v>
      </c>
      <c r="F209" s="58" cm="1">
        <f t="array" ref="F209">BonoM(100,F$2,-$B209+F$1,Portafolio!F209)</f>
        <v>97.514154752632805</v>
      </c>
      <c r="G209" s="6">
        <f t="shared" si="40"/>
        <v>-9.9006275006086053E-4</v>
      </c>
      <c r="H209" s="6">
        <f t="shared" si="41"/>
        <v>-1.338638710588369E-3</v>
      </c>
      <c r="I209" s="6">
        <f t="shared" si="42"/>
        <v>-1.7526115670030151E-3</v>
      </c>
      <c r="J209" s="6">
        <f t="shared" si="43"/>
        <v>-4.7343604152959573E-3</v>
      </c>
      <c r="K209" s="13">
        <f t="shared" si="44"/>
        <v>89.464977670585938</v>
      </c>
      <c r="L209" s="13">
        <f t="shared" si="45"/>
        <v>98.078421946772607</v>
      </c>
      <c r="M209" s="13">
        <f t="shared" si="46"/>
        <v>92.653409569889845</v>
      </c>
      <c r="N209" s="13">
        <f t="shared" si="47"/>
        <v>92.938542050764994</v>
      </c>
      <c r="O209" s="14">
        <f t="shared" si="48"/>
        <v>292.59029077593368</v>
      </c>
      <c r="P209" s="14">
        <f t="shared" si="48"/>
        <v>197.20133978426446</v>
      </c>
      <c r="Q209" s="14">
        <f t="shared" si="48"/>
        <v>325.34107119352029</v>
      </c>
      <c r="R209" s="14">
        <f t="shared" si="48"/>
        <v>442.09760393623299</v>
      </c>
      <c r="S209" s="50">
        <f t="shared" si="39"/>
        <v>1257.2303056899514</v>
      </c>
      <c r="T209" s="50"/>
    </row>
    <row r="210" spans="1:20" x14ac:dyDescent="0.35">
      <c r="A210" s="7">
        <f t="shared" si="38"/>
        <v>205</v>
      </c>
      <c r="B210" s="42">
        <v>45133</v>
      </c>
      <c r="C210" s="58" cm="1">
        <f t="array" ref="C210">BonoM(100,C$2,-$B210+C$1,Portafolio!C210)</f>
        <v>90.312321599025438</v>
      </c>
      <c r="D210" s="58" cm="1">
        <f t="array" ref="D210">BonoM(100,D$2,-$B210+D$1,Portafolio!D210)</f>
        <v>99.544408678924682</v>
      </c>
      <c r="E210" s="58" cm="1">
        <f t="array" ref="E210">BonoM(100,E$2,-$B210+E$1,Portafolio!E210)</f>
        <v>95.013238264784249</v>
      </c>
      <c r="F210" s="58" cm="1">
        <f t="array" ref="F210">BonoM(100,F$2,-$B210+F$1,Portafolio!F210)</f>
        <v>97.978018002633632</v>
      </c>
      <c r="G210" s="6">
        <f t="shared" si="40"/>
        <v>2.5475781882033921E-4</v>
      </c>
      <c r="H210" s="6">
        <f t="shared" si="41"/>
        <v>1.5975145510023214E-3</v>
      </c>
      <c r="I210" s="6">
        <f t="shared" si="42"/>
        <v>1.9520735876810136E-3</v>
      </c>
      <c r="J210" s="6">
        <f t="shared" si="43"/>
        <v>1.4908695891100443E-3</v>
      </c>
      <c r="K210" s="13">
        <f t="shared" si="44"/>
        <v>89.576455885412713</v>
      </c>
      <c r="L210" s="13">
        <f t="shared" si="45"/>
        <v>98.366781234167959</v>
      </c>
      <c r="M210" s="13">
        <f t="shared" si="46"/>
        <v>92.997263923972611</v>
      </c>
      <c r="N210" s="13">
        <f t="shared" si="47"/>
        <v>93.519858010574069</v>
      </c>
      <c r="O210" s="14">
        <f t="shared" si="48"/>
        <v>-75.287818152423824</v>
      </c>
      <c r="P210" s="14">
        <f t="shared" si="48"/>
        <v>-235.33759130876319</v>
      </c>
      <c r="Q210" s="14">
        <f t="shared" si="48"/>
        <v>-362.36763697201013</v>
      </c>
      <c r="R210" s="14">
        <f t="shared" si="48"/>
        <v>-139.21835587284193</v>
      </c>
      <c r="S210" s="50">
        <f t="shared" si="39"/>
        <v>-812.21140230603908</v>
      </c>
      <c r="T210" s="50"/>
    </row>
    <row r="211" spans="1:20" x14ac:dyDescent="0.35">
      <c r="A211" s="7">
        <f t="shared" si="38"/>
        <v>206</v>
      </c>
      <c r="B211" s="42">
        <v>45132</v>
      </c>
      <c r="C211" s="58" cm="1">
        <f t="array" ref="C211">BonoM(100,C$2,-$B211+C$1,Portafolio!C211)</f>
        <v>90.28931968887872</v>
      </c>
      <c r="D211" s="58" cm="1">
        <f t="array" ref="D211">BonoM(100,D$2,-$B211+D$1,Portafolio!D211)</f>
        <v>99.38563867498074</v>
      </c>
      <c r="E211" s="58" cm="1">
        <f t="array" ref="E211">BonoM(100,E$2,-$B211+E$1,Portafolio!E211)</f>
        <v>94.828126783121647</v>
      </c>
      <c r="F211" s="58" cm="1">
        <f t="array" ref="F211">BonoM(100,F$2,-$B211+F$1,Portafolio!F211)</f>
        <v>97.832163005971182</v>
      </c>
      <c r="G211" s="6">
        <f t="shared" si="40"/>
        <v>-1.6173455456093278E-3</v>
      </c>
      <c r="H211" s="6">
        <f t="shared" si="41"/>
        <v>-1.1148455668467117E-3</v>
      </c>
      <c r="I211" s="6">
        <f t="shared" si="42"/>
        <v>-9.0003669940075248E-4</v>
      </c>
      <c r="J211" s="6">
        <f t="shared" si="43"/>
        <v>-1.0068844793388321E-3</v>
      </c>
      <c r="K211" s="13">
        <f t="shared" si="44"/>
        <v>89.408802212060095</v>
      </c>
      <c r="L211" s="13">
        <f t="shared" si="45"/>
        <v>98.10040064669181</v>
      </c>
      <c r="M211" s="13">
        <f t="shared" si="46"/>
        <v>92.732542227097142</v>
      </c>
      <c r="N211" s="13">
        <f t="shared" si="47"/>
        <v>93.28661613796217</v>
      </c>
      <c r="O211" s="14">
        <f t="shared" si="48"/>
        <v>477.96930391121464</v>
      </c>
      <c r="P211" s="14">
        <f t="shared" si="48"/>
        <v>164.23328990546082</v>
      </c>
      <c r="Q211" s="14">
        <f t="shared" si="48"/>
        <v>167.07575677892805</v>
      </c>
      <c r="R211" s="14">
        <f t="shared" si="48"/>
        <v>94.023516739056845</v>
      </c>
      <c r="S211" s="50">
        <f t="shared" si="39"/>
        <v>903.30186733466041</v>
      </c>
      <c r="T211" s="50"/>
    </row>
    <row r="212" spans="1:20" x14ac:dyDescent="0.35">
      <c r="A212" s="7">
        <f t="shared" si="38"/>
        <v>207</v>
      </c>
      <c r="B212" s="42">
        <v>45131</v>
      </c>
      <c r="C212" s="58" cm="1">
        <f t="array" ref="C212">BonoM(100,C$2,-$B212+C$1,Portafolio!C212)</f>
        <v>90.435585279895733</v>
      </c>
      <c r="D212" s="58" cm="1">
        <f t="array" ref="D212">BonoM(100,D$2,-$B212+D$1,Portafolio!D212)</f>
        <v>99.496561976016196</v>
      </c>
      <c r="E212" s="58" cm="1">
        <f t="array" ref="E212">BonoM(100,E$2,-$B212+E$1,Portafolio!E212)</f>
        <v>94.913552463609392</v>
      </c>
      <c r="F212" s="58" cm="1">
        <f t="array" ref="F212">BonoM(100,F$2,-$B212+F$1,Portafolio!F212)</f>
        <v>97.930767976296252</v>
      </c>
      <c r="G212" s="6">
        <f t="shared" si="40"/>
        <v>9.898256618924961E-3</v>
      </c>
      <c r="H212" s="6">
        <f t="shared" si="41"/>
        <v>-8.7756786336024017E-4</v>
      </c>
      <c r="I212" s="6">
        <f t="shared" si="42"/>
        <v>1.6568514209673202E-2</v>
      </c>
      <c r="J212" s="6">
        <f t="shared" si="43"/>
        <v>2.4566629822551755E-2</v>
      </c>
      <c r="K212" s="13">
        <f t="shared" si="44"/>
        <v>90.440066318751008</v>
      </c>
      <c r="L212" s="13">
        <f t="shared" si="45"/>
        <v>98.123703663733608</v>
      </c>
      <c r="M212" s="13">
        <f t="shared" si="46"/>
        <v>94.35390464760053</v>
      </c>
      <c r="N212" s="13">
        <f t="shared" si="47"/>
        <v>95.674687261691375</v>
      </c>
      <c r="O212" s="14">
        <f t="shared" si="48"/>
        <v>-2925.2022481687959</v>
      </c>
      <c r="P212" s="14">
        <f t="shared" si="48"/>
        <v>129.27876434276442</v>
      </c>
      <c r="Q212" s="14">
        <f t="shared" si="48"/>
        <v>-3075.6490842278481</v>
      </c>
      <c r="R212" s="14">
        <f t="shared" si="48"/>
        <v>-2294.0476069901479</v>
      </c>
      <c r="S212" s="50">
        <f t="shared" si="39"/>
        <v>-8165.6201750440277</v>
      </c>
      <c r="T212" s="50"/>
    </row>
    <row r="213" spans="1:20" x14ac:dyDescent="0.35">
      <c r="A213" s="7">
        <f t="shared" si="38"/>
        <v>208</v>
      </c>
      <c r="B213" s="42">
        <v>45129</v>
      </c>
      <c r="C213" s="58" cm="1">
        <f t="array" ref="C213">BonoM(100,C$2,-$B213+C$1,Portafolio!C213)</f>
        <v>89.549204275951837</v>
      </c>
      <c r="D213" s="58" cm="1">
        <f t="array" ref="D213">BonoM(100,D$2,-$B213+D$1,Portafolio!D213)</f>
        <v>99.583953653448816</v>
      </c>
      <c r="E213" s="58" cm="1">
        <f t="array" ref="E213">BonoM(100,E$2,-$B213+E$1,Portafolio!E213)</f>
        <v>93.36660651682638</v>
      </c>
      <c r="F213" s="58" cm="1">
        <f t="array" ref="F213">BonoM(100,F$2,-$B213+F$1,Portafolio!F213)</f>
        <v>95.582625010202833</v>
      </c>
      <c r="G213" s="6">
        <f t="shared" si="40"/>
        <v>-1.047541412606301E-2</v>
      </c>
      <c r="H213" s="6">
        <f t="shared" si="41"/>
        <v>2.3961719119802716E-4</v>
      </c>
      <c r="I213" s="6">
        <f t="shared" si="42"/>
        <v>-1.7838123054902066E-2</v>
      </c>
      <c r="J213" s="6">
        <f t="shared" si="43"/>
        <v>-2.6525342200583224E-2</v>
      </c>
      <c r="K213" s="13">
        <f t="shared" si="44"/>
        <v>88.615529914953271</v>
      </c>
      <c r="L213" s="13">
        <f t="shared" si="45"/>
        <v>98.233422284500236</v>
      </c>
      <c r="M213" s="13">
        <f t="shared" si="46"/>
        <v>91.160415447091282</v>
      </c>
      <c r="N213" s="13">
        <f t="shared" si="47"/>
        <v>90.903686232950932</v>
      </c>
      <c r="O213" s="14">
        <f t="shared" si="48"/>
        <v>3095.7678843637354</v>
      </c>
      <c r="P213" s="14">
        <f t="shared" si="48"/>
        <v>-35.29916680717804</v>
      </c>
      <c r="Q213" s="14">
        <f t="shared" si="48"/>
        <v>3311.3293167906477</v>
      </c>
      <c r="R213" s="14">
        <f t="shared" si="48"/>
        <v>2476.9534217502951</v>
      </c>
      <c r="S213" s="50">
        <f t="shared" si="39"/>
        <v>8848.7514560974996</v>
      </c>
      <c r="T213" s="50"/>
    </row>
    <row r="214" spans="1:20" x14ac:dyDescent="0.35">
      <c r="A214" s="7">
        <f t="shared" si="38"/>
        <v>209</v>
      </c>
      <c r="B214" s="42">
        <v>45128</v>
      </c>
      <c r="C214" s="58" cm="1">
        <f t="array" ref="C214">BonoM(100,C$2,-$B214+C$1,Portafolio!C214)</f>
        <v>90.497199922387964</v>
      </c>
      <c r="D214" s="58" cm="1">
        <f t="array" ref="D214">BonoM(100,D$2,-$B214+D$1,Portafolio!D214)</f>
        <v>99.560097342568184</v>
      </c>
      <c r="E214" s="58" cm="1">
        <f t="array" ref="E214">BonoM(100,E$2,-$B214+E$1,Portafolio!E214)</f>
        <v>95.062340239912913</v>
      </c>
      <c r="F214" s="58" cm="1">
        <f t="array" ref="F214">BonoM(100,F$2,-$B214+F$1,Portafolio!F214)</f>
        <v>98.187070659108528</v>
      </c>
      <c r="G214" s="6">
        <f t="shared" si="40"/>
        <v>1.5381124126809809E-3</v>
      </c>
      <c r="H214" s="6">
        <f t="shared" si="41"/>
        <v>1.6011900270123114E-3</v>
      </c>
      <c r="I214" s="6">
        <f t="shared" si="42"/>
        <v>2.5289963396051274E-3</v>
      </c>
      <c r="J214" s="6">
        <f t="shared" si="43"/>
        <v>3.5849092543889238E-3</v>
      </c>
      <c r="K214" s="13">
        <f t="shared" si="44"/>
        <v>89.691384962494027</v>
      </c>
      <c r="L214" s="13">
        <f t="shared" si="45"/>
        <v>98.36714220226078</v>
      </c>
      <c r="M214" s="13">
        <f t="shared" si="46"/>
        <v>93.050811632329882</v>
      </c>
      <c r="N214" s="13">
        <f t="shared" si="47"/>
        <v>93.715400773980122</v>
      </c>
      <c r="O214" s="14">
        <f t="shared" si="48"/>
        <v>-454.55377252075948</v>
      </c>
      <c r="P214" s="14">
        <f t="shared" si="48"/>
        <v>-235.87904344799426</v>
      </c>
      <c r="Q214" s="14">
        <f t="shared" si="48"/>
        <v>-469.46305368655317</v>
      </c>
      <c r="R214" s="14">
        <f t="shared" si="48"/>
        <v>-334.76111927889463</v>
      </c>
      <c r="S214" s="50">
        <f t="shared" si="39"/>
        <v>-1494.6569889342013</v>
      </c>
      <c r="T214" s="50"/>
    </row>
    <row r="215" spans="1:20" x14ac:dyDescent="0.35">
      <c r="A215" s="7">
        <f t="shared" si="38"/>
        <v>210</v>
      </c>
      <c r="B215" s="42">
        <v>45127</v>
      </c>
      <c r="C215" s="58" cm="1">
        <f t="array" ref="C215">BonoM(100,C$2,-$B215+C$1,Portafolio!C215)</f>
        <v>90.358218824426359</v>
      </c>
      <c r="D215" s="58" cm="1">
        <f t="array" ref="D215">BonoM(100,D$2,-$B215+D$1,Portafolio!D215)</f>
        <v>99.40093755268316</v>
      </c>
      <c r="E215" s="58" cm="1">
        <f t="array" ref="E215">BonoM(100,E$2,-$B215+E$1,Portafolio!E215)</f>
        <v>94.822534397509529</v>
      </c>
      <c r="F215" s="58" cm="1">
        <f t="array" ref="F215">BonoM(100,F$2,-$B215+F$1,Portafolio!F215)</f>
        <v>97.836336271792277</v>
      </c>
      <c r="G215" s="6">
        <f t="shared" si="40"/>
        <v>-1.1579270096599981E-3</v>
      </c>
      <c r="H215" s="6">
        <f t="shared" si="41"/>
        <v>-2.0263555067591144E-3</v>
      </c>
      <c r="I215" s="6">
        <f t="shared" si="42"/>
        <v>-5.4680892120165803E-3</v>
      </c>
      <c r="J215" s="6">
        <f t="shared" si="43"/>
        <v>-2.2603581357730773E-3</v>
      </c>
      <c r="K215" s="13">
        <f t="shared" si="44"/>
        <v>89.449944814878748</v>
      </c>
      <c r="L215" s="13">
        <f t="shared" si="45"/>
        <v>98.010881356208827</v>
      </c>
      <c r="M215" s="13">
        <f t="shared" si="46"/>
        <v>92.308553499160126</v>
      </c>
      <c r="N215" s="13">
        <f t="shared" si="47"/>
        <v>93.16956596613403</v>
      </c>
      <c r="O215" s="14">
        <f t="shared" si="48"/>
        <v>342.19871460966118</v>
      </c>
      <c r="P215" s="14">
        <f t="shared" si="48"/>
        <v>298.51222562993485</v>
      </c>
      <c r="Q215" s="14">
        <f t="shared" si="48"/>
        <v>1015.0532126529583</v>
      </c>
      <c r="R215" s="14">
        <f t="shared" si="48"/>
        <v>211.07368856719688</v>
      </c>
      <c r="S215" s="50">
        <f t="shared" si="39"/>
        <v>1866.8378414597514</v>
      </c>
      <c r="T215" s="50"/>
    </row>
    <row r="216" spans="1:20" x14ac:dyDescent="0.35">
      <c r="A216" s="7">
        <f t="shared" si="38"/>
        <v>211</v>
      </c>
      <c r="B216" s="42">
        <v>45126</v>
      </c>
      <c r="C216" s="58" cm="1">
        <f t="array" ref="C216">BonoM(100,C$2,-$B216+C$1,Portafolio!C216)</f>
        <v>90.462968338839914</v>
      </c>
      <c r="D216" s="58" cm="1">
        <f t="array" ref="D216">BonoM(100,D$2,-$B216+D$1,Portafolio!D216)</f>
        <v>99.602768170453814</v>
      </c>
      <c r="E216" s="58" cm="1">
        <f t="array" ref="E216">BonoM(100,E$2,-$B216+E$1,Portafolio!E216)</f>
        <v>95.343883256978785</v>
      </c>
      <c r="F216" s="58" cm="1">
        <f t="array" ref="F216">BonoM(100,F$2,-$B216+F$1,Portafolio!F216)</f>
        <v>98.057982430155775</v>
      </c>
      <c r="G216" s="6">
        <f t="shared" si="40"/>
        <v>-2.5718672349194227E-3</v>
      </c>
      <c r="H216" s="6">
        <f t="shared" si="41"/>
        <v>-2.9370377083711707E-3</v>
      </c>
      <c r="I216" s="6">
        <f t="shared" si="42"/>
        <v>-2.6256016876715638E-3</v>
      </c>
      <c r="J216" s="6">
        <f t="shared" si="43"/>
        <v>-3.93310444928896E-3</v>
      </c>
      <c r="K216" s="13">
        <f t="shared" si="44"/>
        <v>89.323321318991802</v>
      </c>
      <c r="L216" s="13">
        <f t="shared" si="45"/>
        <v>97.921443357812848</v>
      </c>
      <c r="M216" s="13">
        <f t="shared" si="46"/>
        <v>92.572382048918584</v>
      </c>
      <c r="N216" s="13">
        <f t="shared" si="47"/>
        <v>93.013363845397876</v>
      </c>
      <c r="O216" s="14">
        <f t="shared" si="48"/>
        <v>760.05625103658326</v>
      </c>
      <c r="P216" s="14">
        <f t="shared" si="48"/>
        <v>432.669223223904</v>
      </c>
      <c r="Q216" s="14">
        <f t="shared" si="48"/>
        <v>487.39611313604314</v>
      </c>
      <c r="R216" s="14">
        <f t="shared" si="48"/>
        <v>367.2758093033508</v>
      </c>
      <c r="S216" s="50">
        <f t="shared" si="39"/>
        <v>2047.3973966998813</v>
      </c>
      <c r="T216" s="50"/>
    </row>
    <row r="217" spans="1:20" x14ac:dyDescent="0.35">
      <c r="A217" s="7">
        <f t="shared" si="38"/>
        <v>212</v>
      </c>
      <c r="B217" s="42">
        <v>45125</v>
      </c>
      <c r="C217" s="58" cm="1">
        <f t="array" ref="C217">BonoM(100,C$2,-$B217+C$1,Portafolio!C217)</f>
        <v>90.696226993374992</v>
      </c>
      <c r="D217" s="58" cm="1">
        <f t="array" ref="D217">BonoM(100,D$2,-$B217+D$1,Portafolio!D217)</f>
        <v>99.896166979795211</v>
      </c>
      <c r="E217" s="58" cm="1">
        <f t="array" ref="E217">BonoM(100,E$2,-$B217+E$1,Portafolio!E217)</f>
        <v>95.594877328224527</v>
      </c>
      <c r="F217" s="58" cm="1">
        <f t="array" ref="F217">BonoM(100,F$2,-$B217+F$1,Portafolio!F217)</f>
        <v>98.445177596170311</v>
      </c>
      <c r="G217" s="6">
        <f t="shared" si="40"/>
        <v>2.494500406211575E-4</v>
      </c>
      <c r="H217" s="6">
        <f t="shared" si="41"/>
        <v>-1.1268028465432067E-3</v>
      </c>
      <c r="I217" s="6">
        <f t="shared" si="42"/>
        <v>1.3841287642626376E-3</v>
      </c>
      <c r="J217" s="6">
        <f t="shared" si="43"/>
        <v>2.3908518707904669E-4</v>
      </c>
      <c r="K217" s="13">
        <f t="shared" si="44"/>
        <v>89.575980554547272</v>
      </c>
      <c r="L217" s="13">
        <f t="shared" si="45"/>
        <v>98.099226323574015</v>
      </c>
      <c r="M217" s="13">
        <f t="shared" si="46"/>
        <v>92.944549511746715</v>
      </c>
      <c r="N217" s="13">
        <f t="shared" si="47"/>
        <v>93.402965582402629</v>
      </c>
      <c r="O217" s="14">
        <f t="shared" si="48"/>
        <v>-73.7192262964669</v>
      </c>
      <c r="P217" s="14">
        <f t="shared" si="48"/>
        <v>165.99477458215262</v>
      </c>
      <c r="Q217" s="14">
        <f t="shared" si="48"/>
        <v>-256.93881252021811</v>
      </c>
      <c r="R217" s="14">
        <f t="shared" si="48"/>
        <v>-22.325927701402293</v>
      </c>
      <c r="S217" s="50">
        <f t="shared" si="39"/>
        <v>-186.98919193593468</v>
      </c>
      <c r="T217" s="50"/>
    </row>
    <row r="218" spans="1:20" x14ac:dyDescent="0.35">
      <c r="A218" s="7">
        <f t="shared" si="38"/>
        <v>213</v>
      </c>
      <c r="B218" s="42">
        <v>45124</v>
      </c>
      <c r="C218" s="58" cm="1">
        <f t="array" ref="C218">BonoM(100,C$2,-$B218+C$1,Portafolio!C218)</f>
        <v>90.673608458061864</v>
      </c>
      <c r="D218" s="58" cm="1">
        <f t="array" ref="D218">BonoM(100,D$2,-$B218+D$1,Portafolio!D218)</f>
        <v>100.0088572448182</v>
      </c>
      <c r="E218" s="58" cm="1">
        <f t="array" ref="E218">BonoM(100,E$2,-$B218+E$1,Portafolio!E218)</f>
        <v>95.462744597511644</v>
      </c>
      <c r="F218" s="58" cm="1">
        <f t="array" ref="F218">BonoM(100,F$2,-$B218+F$1,Portafolio!F218)</f>
        <v>98.421646438418961</v>
      </c>
      <c r="G218" s="6">
        <f t="shared" si="40"/>
        <v>1.2021579777631963E-2</v>
      </c>
      <c r="H218" s="6">
        <f t="shared" si="41"/>
        <v>1.6517198537575828E-2</v>
      </c>
      <c r="I218" s="6">
        <f t="shared" si="42"/>
        <v>2.0896370581833246E-2</v>
      </c>
      <c r="J218" s="6">
        <f t="shared" si="43"/>
        <v>3.0730472783425666E-2</v>
      </c>
      <c r="K218" s="13">
        <f t="shared" si="44"/>
        <v>90.630217639471695</v>
      </c>
      <c r="L218" s="13">
        <f t="shared" si="45"/>
        <v>99.832041749963153</v>
      </c>
      <c r="M218" s="13">
        <f t="shared" si="46"/>
        <v>94.755599311323977</v>
      </c>
      <c r="N218" s="13">
        <f t="shared" si="47"/>
        <v>96.250270860108898</v>
      </c>
      <c r="O218" s="14">
        <f t="shared" si="48"/>
        <v>-3552.7016065470648</v>
      </c>
      <c r="P218" s="14">
        <f t="shared" si="48"/>
        <v>-2433.2283650015543</v>
      </c>
      <c r="Q218" s="14">
        <f t="shared" si="48"/>
        <v>-3879.0384116747418</v>
      </c>
      <c r="R218" s="14">
        <f t="shared" si="48"/>
        <v>-2869.6312054076716</v>
      </c>
      <c r="S218" s="50">
        <f t="shared" si="39"/>
        <v>-12734.599588631032</v>
      </c>
      <c r="T218" s="50"/>
    </row>
    <row r="219" spans="1:20" x14ac:dyDescent="0.35">
      <c r="A219" s="7">
        <f t="shared" si="38"/>
        <v>214</v>
      </c>
      <c r="B219" s="42">
        <v>45122</v>
      </c>
      <c r="C219" s="58" cm="1">
        <f t="array" ref="C219">BonoM(100,C$2,-$B219+C$1,Portafolio!C219)</f>
        <v>89.5965167837481</v>
      </c>
      <c r="D219" s="58" cm="1">
        <f t="array" ref="D219">BonoM(100,D$2,-$B219+D$1,Portafolio!D219)</f>
        <v>98.383831959456373</v>
      </c>
      <c r="E219" s="58" cm="1">
        <f t="array" ref="E219">BonoM(100,E$2,-$B219+E$1,Portafolio!E219)</f>
        <v>93.508751082252502</v>
      </c>
      <c r="F219" s="58" cm="1">
        <f t="array" ref="F219">BonoM(100,F$2,-$B219+F$1,Portafolio!F219)</f>
        <v>95.487277263315235</v>
      </c>
      <c r="G219" s="6">
        <f t="shared" si="40"/>
        <v>-1.0515455195293844E-2</v>
      </c>
      <c r="H219" s="6">
        <f t="shared" si="41"/>
        <v>-1.3305658300682088E-2</v>
      </c>
      <c r="I219" s="6">
        <f t="shared" si="42"/>
        <v>-1.7519852554320536E-2</v>
      </c>
      <c r="J219" s="6">
        <f t="shared" si="43"/>
        <v>-2.6675430907090014E-2</v>
      </c>
      <c r="K219" s="13">
        <f t="shared" si="44"/>
        <v>88.611944091398286</v>
      </c>
      <c r="L219" s="13">
        <f t="shared" si="45"/>
        <v>96.903142275105836</v>
      </c>
      <c r="M219" s="13">
        <f t="shared" si="46"/>
        <v>91.18995606736847</v>
      </c>
      <c r="N219" s="13">
        <f t="shared" si="47"/>
        <v>90.88967085353238</v>
      </c>
      <c r="O219" s="14">
        <f t="shared" si="48"/>
        <v>3107.6011020951869</v>
      </c>
      <c r="P219" s="14">
        <f t="shared" si="48"/>
        <v>1960.1208472844221</v>
      </c>
      <c r="Q219" s="14">
        <f t="shared" si="48"/>
        <v>3252.2480762362702</v>
      </c>
      <c r="R219" s="14">
        <f t="shared" si="48"/>
        <v>2490.9688011688472</v>
      </c>
      <c r="S219" s="50">
        <f t="shared" si="39"/>
        <v>10810.938826784726</v>
      </c>
      <c r="T219" s="50"/>
    </row>
    <row r="220" spans="1:20" x14ac:dyDescent="0.35">
      <c r="A220" s="7">
        <f t="shared" si="38"/>
        <v>215</v>
      </c>
      <c r="B220" s="42">
        <v>45121</v>
      </c>
      <c r="C220" s="58" cm="1">
        <f t="array" ref="C220">BonoM(100,C$2,-$B220+C$1,Portafolio!C220)</f>
        <v>90.548677343345162</v>
      </c>
      <c r="D220" s="58" cm="1">
        <f t="array" ref="D220">BonoM(100,D$2,-$B220+D$1,Portafolio!D220)</f>
        <v>99.710546419082988</v>
      </c>
      <c r="E220" s="58" cm="1">
        <f t="array" ref="E220">BonoM(100,E$2,-$B220+E$1,Portafolio!E220)</f>
        <v>95.1762245022081</v>
      </c>
      <c r="F220" s="58" cm="1">
        <f t="array" ref="F220">BonoM(100,F$2,-$B220+F$1,Portafolio!F220)</f>
        <v>98.104250417005929</v>
      </c>
      <c r="G220" s="6">
        <f t="shared" si="40"/>
        <v>-1.3269309489863934E-3</v>
      </c>
      <c r="H220" s="6">
        <f t="shared" si="41"/>
        <v>-2.0396329048065764E-3</v>
      </c>
      <c r="I220" s="6">
        <f t="shared" si="42"/>
        <v>-2.0581876697444157E-3</v>
      </c>
      <c r="J220" s="6">
        <f t="shared" si="43"/>
        <v>1.9158820612450445E-3</v>
      </c>
      <c r="K220" s="13">
        <f t="shared" si="44"/>
        <v>89.43480989670195</v>
      </c>
      <c r="L220" s="13">
        <f t="shared" si="45"/>
        <v>98.009577384413646</v>
      </c>
      <c r="M220" s="13">
        <f t="shared" si="46"/>
        <v>92.625047193859487</v>
      </c>
      <c r="N220" s="13">
        <f t="shared" si="47"/>
        <v>93.559545947083251</v>
      </c>
      <c r="O220" s="14">
        <f t="shared" si="48"/>
        <v>392.14394459309574</v>
      </c>
      <c r="P220" s="14">
        <f t="shared" si="48"/>
        <v>300.46818332270675</v>
      </c>
      <c r="Q220" s="14">
        <f t="shared" si="48"/>
        <v>382.0658232542371</v>
      </c>
      <c r="R220" s="14">
        <f t="shared" si="48"/>
        <v>-178.90629238202393</v>
      </c>
      <c r="S220" s="50">
        <f t="shared" si="39"/>
        <v>895.77165878801577</v>
      </c>
      <c r="T220" s="50"/>
    </row>
    <row r="221" spans="1:20" x14ac:dyDescent="0.35">
      <c r="A221" s="7">
        <f t="shared" si="38"/>
        <v>216</v>
      </c>
      <c r="B221" s="42">
        <v>45120</v>
      </c>
      <c r="C221" s="58" cm="1">
        <f t="array" ref="C221">BonoM(100,C$2,-$B221+C$1,Portafolio!C221)</f>
        <v>90.668988830737973</v>
      </c>
      <c r="D221" s="58" cm="1">
        <f t="array" ref="D221">BonoM(100,D$2,-$B221+D$1,Portafolio!D221)</f>
        <v>99.914334984378996</v>
      </c>
      <c r="E221" s="58" cm="1">
        <f t="array" ref="E221">BonoM(100,E$2,-$B221+E$1,Portafolio!E221)</f>
        <v>95.372519044938855</v>
      </c>
      <c r="F221" s="58" cm="1">
        <f t="array" ref="F221">BonoM(100,F$2,-$B221+F$1,Portafolio!F221)</f>
        <v>97.916653656767778</v>
      </c>
      <c r="G221" s="6">
        <f t="shared" si="40"/>
        <v>3.0953470928811733E-3</v>
      </c>
      <c r="H221" s="6">
        <f t="shared" si="41"/>
        <v>2.5203399057629472E-3</v>
      </c>
      <c r="I221" s="6">
        <f t="shared" si="42"/>
        <v>3.1145486723955784E-3</v>
      </c>
      <c r="J221" s="6">
        <f t="shared" si="43"/>
        <v>2.4041510135952571E-4</v>
      </c>
      <c r="K221" s="13">
        <f t="shared" si="44"/>
        <v>89.830840998612629</v>
      </c>
      <c r="L221" s="13">
        <f t="shared" si="45"/>
        <v>98.457411810292911</v>
      </c>
      <c r="M221" s="13">
        <f t="shared" si="46"/>
        <v>93.105160304556108</v>
      </c>
      <c r="N221" s="13">
        <f t="shared" si="47"/>
        <v>93.403089770648833</v>
      </c>
      <c r="O221" s="14">
        <f t="shared" si="48"/>
        <v>-914.75869171214731</v>
      </c>
      <c r="P221" s="14">
        <f t="shared" si="48"/>
        <v>-371.28345549619013</v>
      </c>
      <c r="Q221" s="14">
        <f t="shared" si="48"/>
        <v>-578.16039813900488</v>
      </c>
      <c r="R221" s="14">
        <f t="shared" si="48"/>
        <v>-22.450115947606264</v>
      </c>
      <c r="S221" s="50">
        <f t="shared" si="39"/>
        <v>-1886.6526612949485</v>
      </c>
      <c r="T221" s="50"/>
    </row>
    <row r="222" spans="1:20" x14ac:dyDescent="0.35">
      <c r="A222" s="7">
        <f t="shared" si="38"/>
        <v>217</v>
      </c>
      <c r="B222" s="42">
        <v>45119</v>
      </c>
      <c r="C222" s="58" cm="1">
        <f t="array" ref="C222">BonoM(100,C$2,-$B222+C$1,Portafolio!C222)</f>
        <v>90.389202874392865</v>
      </c>
      <c r="D222" s="58" cm="1">
        <f t="array" ref="D222">BonoM(100,D$2,-$B222+D$1,Portafolio!D222)</f>
        <v>99.663149970374619</v>
      </c>
      <c r="E222" s="58" cm="1">
        <f t="array" ref="E222">BonoM(100,E$2,-$B222+E$1,Portafolio!E222)</f>
        <v>95.07639897274214</v>
      </c>
      <c r="F222" s="58" cm="1">
        <f t="array" ref="F222">BonoM(100,F$2,-$B222+F$1,Portafolio!F222)</f>
        <v>97.893118672719666</v>
      </c>
      <c r="G222" s="6">
        <f t="shared" si="40"/>
        <v>7.2218820379532644E-3</v>
      </c>
      <c r="H222" s="6">
        <f t="shared" si="41"/>
        <v>1.0775860105278312E-2</v>
      </c>
      <c r="I222" s="6">
        <f t="shared" si="42"/>
        <v>1.1782171215611426E-2</v>
      </c>
      <c r="J222" s="6">
        <f t="shared" si="43"/>
        <v>1.3689131116087605E-2</v>
      </c>
      <c r="K222" s="13">
        <f t="shared" si="44"/>
        <v>90.200387229287813</v>
      </c>
      <c r="L222" s="13">
        <f t="shared" si="45"/>
        <v>99.268185536907055</v>
      </c>
      <c r="M222" s="13">
        <f t="shared" si="46"/>
        <v>93.909655052851349</v>
      </c>
      <c r="N222" s="13">
        <f t="shared" si="47"/>
        <v>94.658939474638558</v>
      </c>
      <c r="O222" s="14">
        <f t="shared" si="48"/>
        <v>-2134.2612529402531</v>
      </c>
      <c r="P222" s="14">
        <f t="shared" si="48"/>
        <v>-1587.4440454174064</v>
      </c>
      <c r="Q222" s="14">
        <f t="shared" si="48"/>
        <v>-2187.1498947294867</v>
      </c>
      <c r="R222" s="14">
        <f t="shared" si="48"/>
        <v>-1278.299819937331</v>
      </c>
      <c r="S222" s="50">
        <f t="shared" si="39"/>
        <v>-7187.1550130244777</v>
      </c>
      <c r="T222" s="50"/>
    </row>
    <row r="223" spans="1:20" x14ac:dyDescent="0.35">
      <c r="A223" s="7">
        <f t="shared" si="38"/>
        <v>218</v>
      </c>
      <c r="B223" s="42">
        <v>45118</v>
      </c>
      <c r="C223" s="58" cm="1">
        <f t="array" ref="C223">BonoM(100,C$2,-$B223+C$1,Portafolio!C223)</f>
        <v>89.741103213032559</v>
      </c>
      <c r="D223" s="58" cm="1">
        <f t="array" ref="D223">BonoM(100,D$2,-$B223+D$1,Portafolio!D223)</f>
        <v>98.600643232609571</v>
      </c>
      <c r="E223" s="58" cm="1">
        <f t="array" ref="E223">BonoM(100,E$2,-$B223+E$1,Portafolio!E223)</f>
        <v>93.969237329525242</v>
      </c>
      <c r="F223" s="58" cm="1">
        <f t="array" ref="F223">BonoM(100,F$2,-$B223+F$1,Portafolio!F223)</f>
        <v>96.571143625598324</v>
      </c>
      <c r="G223" s="6">
        <f t="shared" si="40"/>
        <v>8.885719383158186E-4</v>
      </c>
      <c r="H223" s="6">
        <f t="shared" si="41"/>
        <v>6.9938472421626763E-4</v>
      </c>
      <c r="I223" s="6">
        <f t="shared" si="42"/>
        <v>2.4307397014844412E-4</v>
      </c>
      <c r="J223" s="6">
        <f t="shared" si="43"/>
        <v>1.9107141001541983E-3</v>
      </c>
      <c r="K223" s="13">
        <f t="shared" si="44"/>
        <v>89.633216247781149</v>
      </c>
      <c r="L223" s="13">
        <f t="shared" si="45"/>
        <v>98.278576003116683</v>
      </c>
      <c r="M223" s="13">
        <f t="shared" si="46"/>
        <v>92.838641278571458</v>
      </c>
      <c r="N223" s="13">
        <f t="shared" si="47"/>
        <v>93.559063359570885</v>
      </c>
      <c r="O223" s="14">
        <f t="shared" si="48"/>
        <v>-262.59701396826358</v>
      </c>
      <c r="P223" s="14">
        <f t="shared" si="48"/>
        <v>-103.02974473184889</v>
      </c>
      <c r="Q223" s="14">
        <f t="shared" si="48"/>
        <v>-45.122346169705452</v>
      </c>
      <c r="R223" s="14">
        <f t="shared" si="48"/>
        <v>-178.4237048696582</v>
      </c>
      <c r="S223" s="50">
        <f t="shared" si="39"/>
        <v>-589.17280973947618</v>
      </c>
      <c r="T223" s="50"/>
    </row>
    <row r="224" spans="1:20" x14ac:dyDescent="0.35">
      <c r="A224" s="7">
        <f t="shared" si="38"/>
        <v>219</v>
      </c>
      <c r="B224" s="42">
        <v>45117</v>
      </c>
      <c r="C224" s="58" cm="1">
        <f t="array" ref="C224">BonoM(100,C$2,-$B224+C$1,Portafolio!C224)</f>
        <v>89.661432580092693</v>
      </c>
      <c r="D224" s="58" cm="1">
        <f t="array" ref="D224">BonoM(100,D$2,-$B224+D$1,Portafolio!D224)</f>
        <v>98.531731644646726</v>
      </c>
      <c r="E224" s="58" cm="1">
        <f t="array" ref="E224">BonoM(100,E$2,-$B224+E$1,Portafolio!E224)</f>
        <v>93.946401404754639</v>
      </c>
      <c r="F224" s="58" cm="1">
        <f t="array" ref="F224">BonoM(100,F$2,-$B224+F$1,Portafolio!F224)</f>
        <v>96.38697567211041</v>
      </c>
      <c r="G224" s="6">
        <f t="shared" si="40"/>
        <v>9.8483912501108328E-3</v>
      </c>
      <c r="H224" s="6">
        <f t="shared" si="41"/>
        <v>1.4745527745199993E-2</v>
      </c>
      <c r="I224" s="6">
        <f t="shared" si="42"/>
        <v>1.8101655272904749E-2</v>
      </c>
      <c r="J224" s="6">
        <f t="shared" si="43"/>
        <v>2.6483867936907268E-2</v>
      </c>
      <c r="K224" s="13">
        <f t="shared" si="44"/>
        <v>90.435600693394207</v>
      </c>
      <c r="L224" s="13">
        <f t="shared" si="45"/>
        <v>99.658046157201809</v>
      </c>
      <c r="M224" s="13">
        <f t="shared" si="46"/>
        <v>94.496204791338442</v>
      </c>
      <c r="N224" s="13">
        <f t="shared" si="47"/>
        <v>95.853720183180258</v>
      </c>
      <c r="O224" s="14">
        <f t="shared" si="48"/>
        <v>-2910.4656844913534</v>
      </c>
      <c r="P224" s="14">
        <f t="shared" si="48"/>
        <v>-2172.2349758595383</v>
      </c>
      <c r="Q224" s="14">
        <f t="shared" si="48"/>
        <v>-3360.2493717036737</v>
      </c>
      <c r="R224" s="14">
        <f t="shared" si="48"/>
        <v>-2473.0805284790308</v>
      </c>
      <c r="S224" s="50">
        <f t="shared" si="39"/>
        <v>-10916.030560533596</v>
      </c>
      <c r="T224" s="50"/>
    </row>
    <row r="225" spans="1:20" x14ac:dyDescent="0.35">
      <c r="A225" s="7">
        <f t="shared" si="38"/>
        <v>220</v>
      </c>
      <c r="B225" s="42">
        <v>45115</v>
      </c>
      <c r="C225" s="58" cm="1">
        <f t="array" ref="C225">BonoM(100,C$2,-$B225+C$1,Portafolio!C225)</f>
        <v>88.787023237318891</v>
      </c>
      <c r="D225" s="58" cm="1">
        <f t="array" ref="D225">BonoM(100,D$2,-$B225+D$1,Portafolio!D225)</f>
        <v>97.099941759376534</v>
      </c>
      <c r="E225" s="58" cm="1">
        <f t="array" ref="E225">BonoM(100,E$2,-$B225+E$1,Portafolio!E225)</f>
        <v>92.27605211934565</v>
      </c>
      <c r="F225" s="58" cm="1">
        <f t="array" ref="F225">BonoM(100,F$2,-$B225+F$1,Portafolio!F225)</f>
        <v>93.900136848555732</v>
      </c>
      <c r="G225" s="6">
        <f t="shared" si="40"/>
        <v>-1.0241215282907334E-2</v>
      </c>
      <c r="H225" s="6">
        <f t="shared" si="41"/>
        <v>-1.4259006682837971E-2</v>
      </c>
      <c r="I225" s="6">
        <f t="shared" si="42"/>
        <v>-1.8754717375874308E-2</v>
      </c>
      <c r="J225" s="6">
        <f t="shared" si="43"/>
        <v>-2.7517288594838152E-2</v>
      </c>
      <c r="K225" s="13">
        <f t="shared" si="44"/>
        <v>88.636503274168362</v>
      </c>
      <c r="L225" s="13">
        <f t="shared" si="45"/>
        <v>96.80951403583299</v>
      </c>
      <c r="M225" s="13">
        <f t="shared" si="46"/>
        <v>91.075340755171695</v>
      </c>
      <c r="N225" s="13">
        <f t="shared" si="47"/>
        <v>90.811057644152228</v>
      </c>
      <c r="O225" s="14">
        <f t="shared" si="48"/>
        <v>3026.5557989539348</v>
      </c>
      <c r="P225" s="14">
        <f t="shared" si="48"/>
        <v>2100.5632061936908</v>
      </c>
      <c r="Q225" s="14">
        <f t="shared" si="48"/>
        <v>3481.478700629822</v>
      </c>
      <c r="R225" s="14">
        <f t="shared" si="48"/>
        <v>2569.5820105489984</v>
      </c>
      <c r="S225" s="50">
        <f t="shared" si="39"/>
        <v>11178.179716326445</v>
      </c>
      <c r="T225" s="50"/>
    </row>
    <row r="226" spans="1:20" x14ac:dyDescent="0.35">
      <c r="A226" s="7">
        <f t="shared" si="38"/>
        <v>221</v>
      </c>
      <c r="B226" s="42">
        <v>45114</v>
      </c>
      <c r="C226" s="58" cm="1">
        <f t="array" ref="C226">BonoM(100,C$2,-$B226+C$1,Portafolio!C226)</f>
        <v>89.705718815819651</v>
      </c>
      <c r="D226" s="58" cm="1">
        <f t="array" ref="D226">BonoM(100,D$2,-$B226+D$1,Portafolio!D226)</f>
        <v>98.504518344743971</v>
      </c>
      <c r="E226" s="58" cm="1">
        <f t="array" ref="E226">BonoM(100,E$2,-$B226+E$1,Portafolio!E226)</f>
        <v>94.03974088168205</v>
      </c>
      <c r="F226" s="58" cm="1">
        <f t="array" ref="F226">BonoM(100,F$2,-$B226+F$1,Portafolio!F226)</f>
        <v>96.557127183142768</v>
      </c>
      <c r="G226" s="6">
        <f t="shared" si="40"/>
        <v>-4.2039437192872287E-3</v>
      </c>
      <c r="H226" s="6">
        <f t="shared" si="41"/>
        <v>-4.3133826005985476E-3</v>
      </c>
      <c r="I226" s="6">
        <f t="shared" si="42"/>
        <v>-3.5449210466271808E-3</v>
      </c>
      <c r="J226" s="6">
        <f t="shared" si="43"/>
        <v>-3.5881768947805259E-3</v>
      </c>
      <c r="K226" s="13">
        <f t="shared" si="44"/>
        <v>89.177162926781421</v>
      </c>
      <c r="L226" s="13">
        <f t="shared" si="45"/>
        <v>97.78627267802419</v>
      </c>
      <c r="M226" s="13">
        <f t="shared" si="46"/>
        <v>92.487054429655231</v>
      </c>
      <c r="N226" s="13">
        <f t="shared" si="47"/>
        <v>93.045573401072403</v>
      </c>
      <c r="O226" s="14">
        <f t="shared" si="48"/>
        <v>1242.3789453308416</v>
      </c>
      <c r="P226" s="14">
        <f t="shared" si="48"/>
        <v>635.42524290689073</v>
      </c>
      <c r="Q226" s="14">
        <f t="shared" si="48"/>
        <v>658.05135166274908</v>
      </c>
      <c r="R226" s="14">
        <f t="shared" si="48"/>
        <v>335.06625362882403</v>
      </c>
      <c r="S226" s="50">
        <f t="shared" si="39"/>
        <v>2870.9217935293059</v>
      </c>
      <c r="T226" s="50"/>
    </row>
    <row r="227" spans="1:20" x14ac:dyDescent="0.35">
      <c r="A227" s="7">
        <f t="shared" si="38"/>
        <v>222</v>
      </c>
      <c r="B227" s="42">
        <v>45113</v>
      </c>
      <c r="C227" s="58" cm="1">
        <f t="array" ref="C227">BonoM(100,C$2,-$B227+C$1,Portafolio!C227)</f>
        <v>90.084428683991291</v>
      </c>
      <c r="D227" s="58" cm="1">
        <f t="array" ref="D227">BonoM(100,D$2,-$B227+D$1,Portafolio!D227)</f>
        <v>98.931246662754617</v>
      </c>
      <c r="E227" s="58" cm="1">
        <f t="array" ref="E227">BonoM(100,E$2,-$B227+E$1,Portafolio!E227)</f>
        <v>94.374290289590121</v>
      </c>
      <c r="F227" s="58" cm="1">
        <f t="array" ref="F227">BonoM(100,F$2,-$B227+F$1,Portafolio!F227)</f>
        <v>96.904838887029641</v>
      </c>
      <c r="G227" s="6">
        <f t="shared" si="40"/>
        <v>-1.3020543559421061E-3</v>
      </c>
      <c r="H227" s="6">
        <f t="shared" si="41"/>
        <v>-2.0433358702314219E-3</v>
      </c>
      <c r="I227" s="6">
        <f t="shared" si="42"/>
        <v>-5.1583947485537296E-3</v>
      </c>
      <c r="J227" s="6">
        <f t="shared" si="43"/>
        <v>-3.4305552317989152E-3</v>
      </c>
      <c r="K227" s="13">
        <f t="shared" si="44"/>
        <v>89.437037686194572</v>
      </c>
      <c r="L227" s="13">
        <f t="shared" si="45"/>
        <v>98.00921371658842</v>
      </c>
      <c r="M227" s="13">
        <f t="shared" si="46"/>
        <v>92.337298125289124</v>
      </c>
      <c r="N227" s="13">
        <f t="shared" si="47"/>
        <v>93.060292212785058</v>
      </c>
      <c r="O227" s="14">
        <f t="shared" si="48"/>
        <v>384.79223926744339</v>
      </c>
      <c r="P227" s="14">
        <f t="shared" si="48"/>
        <v>301.01368506054627</v>
      </c>
      <c r="Q227" s="14">
        <f t="shared" si="48"/>
        <v>957.56396039496394</v>
      </c>
      <c r="R227" s="14">
        <f t="shared" si="48"/>
        <v>320.34744191616937</v>
      </c>
      <c r="S227" s="50">
        <f t="shared" si="39"/>
        <v>1963.717326639123</v>
      </c>
      <c r="T227" s="50"/>
    </row>
    <row r="228" spans="1:20" x14ac:dyDescent="0.35">
      <c r="A228" s="7">
        <f t="shared" si="38"/>
        <v>223</v>
      </c>
      <c r="B228" s="42">
        <v>45112</v>
      </c>
      <c r="C228" s="58" cm="1">
        <f t="array" ref="C228">BonoM(100,C$2,-$B228+C$1,Portafolio!C228)</f>
        <v>90.20187643011127</v>
      </c>
      <c r="D228" s="58" cm="1">
        <f t="array" ref="D228">BonoM(100,D$2,-$B228+D$1,Portafolio!D228)</f>
        <v>99.133810333361495</v>
      </c>
      <c r="E228" s="58" cm="1">
        <f t="array" ref="E228">BonoM(100,E$2,-$B228+E$1,Portafolio!E228)</f>
        <v>94.863634362916514</v>
      </c>
      <c r="F228" s="58" cm="1">
        <f t="array" ref="F228">BonoM(100,F$2,-$B228+F$1,Portafolio!F228)</f>
        <v>97.238420659755832</v>
      </c>
      <c r="G228" s="6">
        <f t="shared" si="40"/>
        <v>-1.3369548553874289E-3</v>
      </c>
      <c r="H228" s="6">
        <f t="shared" si="41"/>
        <v>-2.0473230729859404E-3</v>
      </c>
      <c r="I228" s="6">
        <f t="shared" si="42"/>
        <v>-1.490715168586898E-3</v>
      </c>
      <c r="J228" s="6">
        <f t="shared" si="43"/>
        <v>-3.9404673022475079E-3</v>
      </c>
      <c r="K228" s="13">
        <f t="shared" si="44"/>
        <v>89.433912219382734</v>
      </c>
      <c r="L228" s="13">
        <f t="shared" si="45"/>
        <v>98.008822133846465</v>
      </c>
      <c r="M228" s="13">
        <f t="shared" si="46"/>
        <v>92.677717766984586</v>
      </c>
      <c r="N228" s="13">
        <f t="shared" si="47"/>
        <v>93.012676297478919</v>
      </c>
      <c r="O228" s="14">
        <f t="shared" si="48"/>
        <v>395.10627974650845</v>
      </c>
      <c r="P228" s="14">
        <f t="shared" si="48"/>
        <v>301.60105917347835</v>
      </c>
      <c r="Q228" s="14">
        <f t="shared" si="48"/>
        <v>276.72467700404013</v>
      </c>
      <c r="R228" s="14">
        <f t="shared" si="48"/>
        <v>367.96335722230822</v>
      </c>
      <c r="S228" s="50">
        <f t="shared" si="39"/>
        <v>1341.3953731463353</v>
      </c>
      <c r="T228" s="50"/>
    </row>
    <row r="229" spans="1:20" x14ac:dyDescent="0.35">
      <c r="A229" s="7">
        <f t="shared" si="38"/>
        <v>224</v>
      </c>
      <c r="B229" s="42">
        <v>45111</v>
      </c>
      <c r="C229" s="58" cm="1">
        <f t="array" ref="C229">BonoM(100,C$2,-$B229+C$1,Portafolio!C229)</f>
        <v>90.322633713806326</v>
      </c>
      <c r="D229" s="58" cm="1">
        <f t="array" ref="D229">BonoM(100,D$2,-$B229+D$1,Portafolio!D229)</f>
        <v>99.337185645539094</v>
      </c>
      <c r="E229" s="58" cm="1">
        <f t="array" ref="E229">BonoM(100,E$2,-$B229+E$1,Portafolio!E229)</f>
        <v>95.005260145310672</v>
      </c>
      <c r="F229" s="58" cm="1">
        <f t="array" ref="F229">BonoM(100,F$2,-$B229+F$1,Portafolio!F229)</f>
        <v>97.623101298366038</v>
      </c>
      <c r="G229" s="6">
        <f t="shared" si="40"/>
        <v>-1.3401860787138897E-3</v>
      </c>
      <c r="H229" s="6">
        <f t="shared" si="41"/>
        <v>-1.5936513387281304E-3</v>
      </c>
      <c r="I229" s="6">
        <f t="shared" si="42"/>
        <v>-2.0694408327684988E-3</v>
      </c>
      <c r="J229" s="6">
        <f t="shared" si="43"/>
        <v>-3.9511060892073457E-3</v>
      </c>
      <c r="K229" s="13">
        <f t="shared" si="44"/>
        <v>89.433622851567691</v>
      </c>
      <c r="L229" s="13">
        <f t="shared" si="45"/>
        <v>98.053377184740199</v>
      </c>
      <c r="M229" s="13">
        <f t="shared" si="46"/>
        <v>92.624002719378794</v>
      </c>
      <c r="N229" s="13">
        <f t="shared" si="47"/>
        <v>93.011682840747454</v>
      </c>
      <c r="O229" s="14">
        <f t="shared" si="48"/>
        <v>396.06119353614986</v>
      </c>
      <c r="P229" s="14">
        <f t="shared" si="48"/>
        <v>234.76848283287666</v>
      </c>
      <c r="Q229" s="14">
        <f t="shared" si="48"/>
        <v>384.15477221562355</v>
      </c>
      <c r="R229" s="14">
        <f t="shared" si="48"/>
        <v>368.95681395377267</v>
      </c>
      <c r="S229" s="50">
        <f t="shared" si="39"/>
        <v>1383.9412625384227</v>
      </c>
      <c r="T229" s="50"/>
    </row>
    <row r="230" spans="1:20" x14ac:dyDescent="0.35">
      <c r="A230" s="7">
        <f t="shared" si="38"/>
        <v>225</v>
      </c>
      <c r="B230" s="42">
        <v>45110</v>
      </c>
      <c r="C230" s="58" cm="1">
        <f t="array" ref="C230">BonoM(100,C$2,-$B230+C$1,Portafolio!C230)</f>
        <v>90.443845296177614</v>
      </c>
      <c r="D230" s="58" cm="1">
        <f t="array" ref="D230">BonoM(100,D$2,-$B230+D$1,Portafolio!D230)</f>
        <v>99.495747176224242</v>
      </c>
      <c r="E230" s="58" cm="1">
        <f t="array" ref="E230">BonoM(100,E$2,-$B230+E$1,Portafolio!E230)</f>
        <v>95.202275621855023</v>
      </c>
      <c r="F230" s="58" cm="1">
        <f t="array" ref="F230">BonoM(100,F$2,-$B230+F$1,Portafolio!F230)</f>
        <v>98.010350591393035</v>
      </c>
      <c r="G230" s="6">
        <f t="shared" si="40"/>
        <v>9.458862403840973E-3</v>
      </c>
      <c r="H230" s="6">
        <f t="shared" si="41"/>
        <v>1.3765845414996702E-2</v>
      </c>
      <c r="I230" s="6">
        <f t="shared" si="42"/>
        <v>1.7692780230491367E-2</v>
      </c>
      <c r="J230" s="6">
        <f t="shared" si="43"/>
        <v>2.5304505590761917E-2</v>
      </c>
      <c r="K230" s="13">
        <f t="shared" si="44"/>
        <v>90.400716966782312</v>
      </c>
      <c r="L230" s="13">
        <f t="shared" si="45"/>
        <v>99.561831663800945</v>
      </c>
      <c r="M230" s="13">
        <f t="shared" si="46"/>
        <v>94.458254612648659</v>
      </c>
      <c r="N230" s="13">
        <f t="shared" si="47"/>
        <v>95.743590572912538</v>
      </c>
      <c r="O230" s="14">
        <f t="shared" si="48"/>
        <v>-2795.3493866721005</v>
      </c>
      <c r="P230" s="14">
        <f t="shared" si="48"/>
        <v>-2027.9132357582412</v>
      </c>
      <c r="Q230" s="14">
        <f t="shared" si="48"/>
        <v>-3284.349014324107</v>
      </c>
      <c r="R230" s="14">
        <f t="shared" si="48"/>
        <v>-2362.9509182113111</v>
      </c>
      <c r="S230" s="50">
        <f t="shared" si="39"/>
        <v>-10470.56255496576</v>
      </c>
      <c r="T230" s="50"/>
    </row>
    <row r="231" spans="1:20" x14ac:dyDescent="0.35">
      <c r="A231" s="7">
        <f t="shared" si="38"/>
        <v>226</v>
      </c>
      <c r="B231" s="42">
        <v>45108</v>
      </c>
      <c r="C231" s="58" cm="1">
        <f t="array" ref="C231">BonoM(100,C$2,-$B231+C$1,Portafolio!C231)</f>
        <v>89.596365602063472</v>
      </c>
      <c r="D231" s="58" cm="1">
        <f t="array" ref="D231">BonoM(100,D$2,-$B231+D$1,Portafolio!D231)</f>
        <v>98.144702375028743</v>
      </c>
      <c r="E231" s="58" cm="1">
        <f t="array" ref="E231">BonoM(100,E$2,-$B231+E$1,Portafolio!E231)</f>
        <v>93.547166169630501</v>
      </c>
      <c r="F231" s="58" cm="1">
        <f t="array" ref="F231">BonoM(100,F$2,-$B231+F$1,Portafolio!F231)</f>
        <v>95.591456057165416</v>
      </c>
      <c r="G231" s="6">
        <f t="shared" si="40"/>
        <v>-9.8956850030714749E-3</v>
      </c>
      <c r="H231" s="6">
        <f t="shared" si="41"/>
        <v>-1.4235322012481899E-2</v>
      </c>
      <c r="I231" s="6">
        <f t="shared" si="42"/>
        <v>-1.7825445837854614E-2</v>
      </c>
      <c r="J231" s="6">
        <f t="shared" si="43"/>
        <v>-2.644180499510318E-2</v>
      </c>
      <c r="K231" s="13">
        <f t="shared" si="44"/>
        <v>88.667446768939925</v>
      </c>
      <c r="L231" s="13">
        <f t="shared" si="45"/>
        <v>96.811840104691655</v>
      </c>
      <c r="M231" s="13">
        <f t="shared" si="46"/>
        <v>91.161592096684274</v>
      </c>
      <c r="N231" s="13">
        <f t="shared" si="47"/>
        <v>90.91148699063362</v>
      </c>
      <c r="O231" s="14">
        <f t="shared" si="48"/>
        <v>2924.4422662077768</v>
      </c>
      <c r="P231" s="14">
        <f t="shared" si="48"/>
        <v>2097.074102905694</v>
      </c>
      <c r="Q231" s="14">
        <f t="shared" si="48"/>
        <v>3308.9760176046639</v>
      </c>
      <c r="R231" s="14">
        <f t="shared" si="48"/>
        <v>2469.1526640676075</v>
      </c>
      <c r="S231" s="50">
        <f t="shared" si="39"/>
        <v>10799.645050785743</v>
      </c>
      <c r="T231" s="50"/>
    </row>
    <row r="232" spans="1:20" x14ac:dyDescent="0.35">
      <c r="A232" s="7">
        <f t="shared" si="38"/>
        <v>227</v>
      </c>
      <c r="B232" s="42">
        <v>45107</v>
      </c>
      <c r="C232" s="58" cm="1">
        <f t="array" ref="C232">BonoM(100,C$2,-$B232+C$1,Portafolio!C232)</f>
        <v>90.491844389488818</v>
      </c>
      <c r="D232" s="58" cm="1">
        <f t="array" ref="D232">BonoM(100,D$2,-$B232+D$1,Portafolio!D232)</f>
        <v>99.561999498090628</v>
      </c>
      <c r="E232" s="58" cm="1">
        <f t="array" ref="E232">BonoM(100,E$2,-$B232+E$1,Portafolio!E232)</f>
        <v>95.244949864774213</v>
      </c>
      <c r="F232" s="58" cm="1">
        <f t="array" ref="F232">BonoM(100,F$2,-$B232+F$1,Portafolio!F232)</f>
        <v>98.187716510038328</v>
      </c>
      <c r="G232" s="6">
        <f t="shared" si="40"/>
        <v>-1.348922350736026E-3</v>
      </c>
      <c r="H232" s="6">
        <f t="shared" si="41"/>
        <v>2.3669053454167255E-4</v>
      </c>
      <c r="I232" s="6">
        <f t="shared" si="42"/>
        <v>1.9730103638808671E-3</v>
      </c>
      <c r="J232" s="6">
        <f t="shared" si="43"/>
        <v>3.6134554541060737E-3</v>
      </c>
      <c r="K232" s="13">
        <f t="shared" si="44"/>
        <v>89.432840486595893</v>
      </c>
      <c r="L232" s="13">
        <f t="shared" si="45"/>
        <v>98.233134857873381</v>
      </c>
      <c r="M232" s="13">
        <f t="shared" si="46"/>
        <v>92.99920719346953</v>
      </c>
      <c r="N232" s="13">
        <f t="shared" si="47"/>
        <v>93.718066436369426</v>
      </c>
      <c r="O232" s="14">
        <f t="shared" si="48"/>
        <v>398.64299794308238</v>
      </c>
      <c r="P232" s="14">
        <f t="shared" si="48"/>
        <v>-34.868026866895718</v>
      </c>
      <c r="Q232" s="14">
        <f t="shared" si="48"/>
        <v>-366.25417596584953</v>
      </c>
      <c r="R232" s="14">
        <f t="shared" si="48"/>
        <v>-337.42678166819928</v>
      </c>
      <c r="S232" s="50">
        <f t="shared" si="39"/>
        <v>-339.90598655786215</v>
      </c>
      <c r="T232" s="50"/>
    </row>
    <row r="233" spans="1:20" x14ac:dyDescent="0.35">
      <c r="A233" s="7">
        <f t="shared" si="38"/>
        <v>228</v>
      </c>
      <c r="B233" s="42">
        <v>45106</v>
      </c>
      <c r="C233" s="58" cm="1">
        <f t="array" ref="C233">BonoM(100,C$2,-$B233+C$1,Portafolio!C233)</f>
        <v>90.614075741547879</v>
      </c>
      <c r="D233" s="58" cm="1">
        <f t="array" ref="D233">BonoM(100,D$2,-$B233+D$1,Portafolio!D233)</f>
        <v>99.538439691592572</v>
      </c>
      <c r="E233" s="58" cm="1">
        <f t="array" ref="E233">BonoM(100,E$2,-$B233+E$1,Portafolio!E233)</f>
        <v>95.057400628171251</v>
      </c>
      <c r="F233" s="58" cm="1">
        <f t="array" ref="F233">BonoM(100,F$2,-$B233+F$1,Portafolio!F233)</f>
        <v>97.834196997300353</v>
      </c>
      <c r="G233" s="6">
        <f t="shared" si="40"/>
        <v>-3.267658199757939E-3</v>
      </c>
      <c r="H233" s="6">
        <f t="shared" si="41"/>
        <v>-5.2727566821716421E-3</v>
      </c>
      <c r="I233" s="6">
        <f t="shared" si="42"/>
        <v>-7.2668801548797513E-3</v>
      </c>
      <c r="J233" s="6">
        <f t="shared" si="43"/>
        <v>-5.6443884591167448E-3</v>
      </c>
      <c r="K233" s="13">
        <f t="shared" si="44"/>
        <v>89.261010704440736</v>
      </c>
      <c r="L233" s="13">
        <f t="shared" si="45"/>
        <v>97.692052655477369</v>
      </c>
      <c r="M233" s="13">
        <f t="shared" si="46"/>
        <v>92.141596774914319</v>
      </c>
      <c r="N233" s="13">
        <f t="shared" si="47"/>
        <v>92.853563049929292</v>
      </c>
      <c r="O233" s="14">
        <f t="shared" si="48"/>
        <v>965.68127905510153</v>
      </c>
      <c r="P233" s="14">
        <f t="shared" si="48"/>
        <v>776.75527672712269</v>
      </c>
      <c r="Q233" s="14">
        <f t="shared" si="48"/>
        <v>1348.9666611445728</v>
      </c>
      <c r="R233" s="14">
        <f t="shared" si="48"/>
        <v>527.07660477193485</v>
      </c>
      <c r="S233" s="50">
        <f t="shared" si="39"/>
        <v>3618.4798216987319</v>
      </c>
      <c r="T233" s="50"/>
    </row>
    <row r="234" spans="1:20" x14ac:dyDescent="0.35">
      <c r="A234" s="7">
        <f t="shared" si="38"/>
        <v>229</v>
      </c>
      <c r="B234" s="42">
        <v>45105</v>
      </c>
      <c r="C234" s="58" cm="1">
        <f t="array" ref="C234">BonoM(100,C$2,-$B234+C$1,Portafolio!C234)</f>
        <v>90.911142281071989</v>
      </c>
      <c r="D234" s="58" cm="1">
        <f t="array" ref="D234">BonoM(100,D$2,-$B234+D$1,Portafolio!D234)</f>
        <v>100.06606369761278</v>
      </c>
      <c r="E234" s="58" cm="1">
        <f t="array" ref="E234">BonoM(100,E$2,-$B234+E$1,Portafolio!E234)</f>
        <v>95.753227859468907</v>
      </c>
      <c r="F234" s="58" cm="1">
        <f t="array" ref="F234">BonoM(100,F$2,-$B234+F$1,Portafolio!F234)</f>
        <v>98.38954581419172</v>
      </c>
      <c r="G234" s="6">
        <f t="shared" si="40"/>
        <v>-7.702373333973167E-5</v>
      </c>
      <c r="H234" s="6">
        <f t="shared" si="41"/>
        <v>-2.2740036357871141E-4</v>
      </c>
      <c r="I234" s="6">
        <f t="shared" si="42"/>
        <v>8.1330176609717419E-4</v>
      </c>
      <c r="J234" s="6">
        <f t="shared" si="43"/>
        <v>2.7728469034311587E-3</v>
      </c>
      <c r="K234" s="13">
        <f t="shared" si="44"/>
        <v>89.546743639269081</v>
      </c>
      <c r="L234" s="13">
        <f t="shared" si="45"/>
        <v>98.187556542047957</v>
      </c>
      <c r="M234" s="13">
        <f t="shared" si="46"/>
        <v>92.891567587358608</v>
      </c>
      <c r="N234" s="13">
        <f t="shared" si="47"/>
        <v>93.639569872208185</v>
      </c>
      <c r="O234" s="14">
        <f t="shared" si="48"/>
        <v>22.762594121560653</v>
      </c>
      <c r="P234" s="14">
        <f t="shared" si="48"/>
        <v>33.499446871239513</v>
      </c>
      <c r="Q234" s="14">
        <f t="shared" si="48"/>
        <v>-150.97496374400521</v>
      </c>
      <c r="R234" s="14">
        <f t="shared" si="48"/>
        <v>-258.93021750695766</v>
      </c>
      <c r="S234" s="50">
        <f t="shared" si="39"/>
        <v>-353.6431402581627</v>
      </c>
      <c r="T234" s="50"/>
    </row>
    <row r="235" spans="1:20" x14ac:dyDescent="0.35">
      <c r="A235" s="7">
        <f t="shared" si="38"/>
        <v>230</v>
      </c>
      <c r="B235" s="42">
        <v>45104</v>
      </c>
      <c r="C235" s="58" cm="1">
        <f t="array" ref="C235">BonoM(100,C$2,-$B235+C$1,Portafolio!C235)</f>
        <v>90.918145136038689</v>
      </c>
      <c r="D235" s="58" cm="1">
        <f t="array" ref="D235">BonoM(100,D$2,-$B235+D$1,Portafolio!D235)</f>
        <v>100.08882393256521</v>
      </c>
      <c r="E235" s="58" cm="1">
        <f t="array" ref="E235">BonoM(100,E$2,-$B235+E$1,Portafolio!E235)</f>
        <v>95.675414875578525</v>
      </c>
      <c r="F235" s="58" cm="1">
        <f t="array" ref="F235">BonoM(100,F$2,-$B235+F$1,Portafolio!F235)</f>
        <v>98.117481060660211</v>
      </c>
      <c r="G235" s="6">
        <f t="shared" si="40"/>
        <v>-1.3593946769083765E-3</v>
      </c>
      <c r="H235" s="6">
        <f t="shared" si="41"/>
        <v>-1.6106795470371971E-3</v>
      </c>
      <c r="I235" s="6">
        <f t="shared" si="42"/>
        <v>-2.0863750957520466E-3</v>
      </c>
      <c r="J235" s="6">
        <f t="shared" si="43"/>
        <v>-2.2909280778508068E-3</v>
      </c>
      <c r="K235" s="13">
        <f t="shared" si="44"/>
        <v>89.431902651653289</v>
      </c>
      <c r="L235" s="13">
        <f t="shared" si="45"/>
        <v>98.05170484628367</v>
      </c>
      <c r="M235" s="13">
        <f t="shared" si="46"/>
        <v>92.622430947469198</v>
      </c>
      <c r="N235" s="13">
        <f t="shared" si="47"/>
        <v>93.166711325388604</v>
      </c>
      <c r="O235" s="14">
        <f t="shared" si="48"/>
        <v>401.73785325367675</v>
      </c>
      <c r="P235" s="14">
        <f t="shared" si="48"/>
        <v>237.27699051767104</v>
      </c>
      <c r="Q235" s="14">
        <f t="shared" si="48"/>
        <v>387.29831603481557</v>
      </c>
      <c r="R235" s="14">
        <f t="shared" si="48"/>
        <v>213.92832931262262</v>
      </c>
      <c r="S235" s="50">
        <f t="shared" si="39"/>
        <v>1240.2414891187859</v>
      </c>
      <c r="T235" s="50"/>
    </row>
    <row r="236" spans="1:20" x14ac:dyDescent="0.35">
      <c r="A236" s="7">
        <f t="shared" si="38"/>
        <v>231</v>
      </c>
      <c r="B236" s="42">
        <v>45103</v>
      </c>
      <c r="C236" s="58" cm="1">
        <f t="array" ref="C236">BonoM(100,C$2,-$B236+C$1,Portafolio!C236)</f>
        <v>91.041907019817017</v>
      </c>
      <c r="D236" s="58" cm="1">
        <f t="array" ref="D236">BonoM(100,D$2,-$B236+D$1,Portafolio!D236)</f>
        <v>100.25029503235827</v>
      </c>
      <c r="E236" s="58" cm="1">
        <f t="array" ref="E236">BonoM(100,E$2,-$B236+E$1,Portafolio!E236)</f>
        <v>95.875447020536271</v>
      </c>
      <c r="F236" s="58" cm="1">
        <f t="array" ref="F236">BonoM(100,F$2,-$B236+F$1,Portafolio!F236)</f>
        <v>98.342777290408634</v>
      </c>
      <c r="G236" s="6">
        <f t="shared" si="40"/>
        <v>1.2203722071627565E-2</v>
      </c>
      <c r="H236" s="6">
        <f t="shared" si="41"/>
        <v>1.5895995012257469E-2</v>
      </c>
      <c r="I236" s="6">
        <f t="shared" si="42"/>
        <v>2.0021275152498186E-2</v>
      </c>
      <c r="J236" s="6">
        <f t="shared" si="43"/>
        <v>3.2970450696246711E-2</v>
      </c>
      <c r="K236" s="13">
        <f t="shared" si="44"/>
        <v>90.64652914515105</v>
      </c>
      <c r="L236" s="13">
        <f t="shared" si="45"/>
        <v>99.771033420380519</v>
      </c>
      <c r="M236" s="13">
        <f t="shared" si="46"/>
        <v>94.674376383854863</v>
      </c>
      <c r="N236" s="13">
        <f t="shared" si="47"/>
        <v>96.45944143042054</v>
      </c>
      <c r="O236" s="14">
        <f t="shared" si="48"/>
        <v>-3606.5295752889342</v>
      </c>
      <c r="P236" s="14">
        <f t="shared" si="48"/>
        <v>-2341.7158706276027</v>
      </c>
      <c r="Q236" s="14">
        <f t="shared" si="48"/>
        <v>-3716.5925567365148</v>
      </c>
      <c r="R236" s="14">
        <f t="shared" si="48"/>
        <v>-3078.8017757193129</v>
      </c>
      <c r="S236" s="50">
        <f t="shared" si="39"/>
        <v>-12743.639778372362</v>
      </c>
      <c r="T236" s="50"/>
    </row>
    <row r="237" spans="1:20" x14ac:dyDescent="0.35">
      <c r="A237" s="7">
        <f t="shared" si="38"/>
        <v>232</v>
      </c>
      <c r="B237" s="42">
        <v>45101</v>
      </c>
      <c r="C237" s="58" cm="1">
        <f t="array" ref="C237">BonoM(100,C$2,-$B237+C$1,Portafolio!C237)</f>
        <v>89.944252362050221</v>
      </c>
      <c r="D237" s="58" cm="1">
        <f t="array" ref="D237">BonoM(100,D$2,-$B237+D$1,Portafolio!D237)</f>
        <v>98.681651984609587</v>
      </c>
      <c r="E237" s="58" cm="1">
        <f t="array" ref="E237">BonoM(100,E$2,-$B237+E$1,Portafolio!E237)</f>
        <v>93.993575777331131</v>
      </c>
      <c r="F237" s="58" cm="1">
        <f t="array" ref="F237">BonoM(100,F$2,-$B237+F$1,Portafolio!F237)</f>
        <v>95.203863018659689</v>
      </c>
      <c r="G237" s="6">
        <f t="shared" si="40"/>
        <v>-9.4312044576293497E-3</v>
      </c>
      <c r="H237" s="6">
        <f t="shared" si="41"/>
        <v>-1.4050624627364838E-2</v>
      </c>
      <c r="I237" s="6">
        <f t="shared" si="42"/>
        <v>-1.7233003563746019E-2</v>
      </c>
      <c r="J237" s="6">
        <f t="shared" si="43"/>
        <v>-2.6307123483457762E-2</v>
      </c>
      <c r="K237" s="13">
        <f t="shared" si="44"/>
        <v>88.709042693141427</v>
      </c>
      <c r="L237" s="13">
        <f t="shared" si="45"/>
        <v>96.829979214476168</v>
      </c>
      <c r="M237" s="13">
        <f t="shared" si="46"/>
        <v>91.216580266255818</v>
      </c>
      <c r="N237" s="13">
        <f t="shared" si="47"/>
        <v>90.924063636340733</v>
      </c>
      <c r="O237" s="14">
        <f t="shared" si="48"/>
        <v>2787.1757163428201</v>
      </c>
      <c r="P237" s="14">
        <f t="shared" si="48"/>
        <v>2069.8654382289233</v>
      </c>
      <c r="Q237" s="14">
        <f t="shared" si="48"/>
        <v>3198.9996784615755</v>
      </c>
      <c r="R237" s="14">
        <f t="shared" si="48"/>
        <v>2456.5760183604934</v>
      </c>
      <c r="S237" s="50">
        <f t="shared" si="39"/>
        <v>10512.616851393814</v>
      </c>
      <c r="T237" s="50"/>
    </row>
    <row r="238" spans="1:20" x14ac:dyDescent="0.35">
      <c r="A238" s="7">
        <f t="shared" si="38"/>
        <v>233</v>
      </c>
      <c r="B238" s="42">
        <v>45100</v>
      </c>
      <c r="C238" s="58" cm="1">
        <f t="array" ref="C238">BonoM(100,C$2,-$B238+C$1,Portafolio!C238)</f>
        <v>90.800611493927221</v>
      </c>
      <c r="D238" s="58" cm="1">
        <f t="array" ref="D238">BonoM(100,D$2,-$B238+D$1,Portafolio!D238)</f>
        <v>100.08795020262912</v>
      </c>
      <c r="E238" s="58" cm="1">
        <f t="array" ref="E238">BonoM(100,E$2,-$B238+E$1,Portafolio!E238)</f>
        <v>95.641770753570384</v>
      </c>
      <c r="F238" s="58" cm="1">
        <f t="array" ref="F238">BonoM(100,F$2,-$B238+F$1,Portafolio!F238)</f>
        <v>97.776070170358537</v>
      </c>
      <c r="G238" s="6">
        <f t="shared" si="40"/>
        <v>3.7872395182543261E-3</v>
      </c>
      <c r="H238" s="6">
        <f t="shared" si="41"/>
        <v>4.8653889403413864E-3</v>
      </c>
      <c r="I238" s="6">
        <f t="shared" si="42"/>
        <v>6.0607420613940644E-3</v>
      </c>
      <c r="J238" s="6">
        <f t="shared" si="43"/>
        <v>7.0026089136903114E-3</v>
      </c>
      <c r="K238" s="13">
        <f t="shared" si="44"/>
        <v>89.892802484758448</v>
      </c>
      <c r="L238" s="13">
        <f t="shared" si="45"/>
        <v>98.687718816866479</v>
      </c>
      <c r="M238" s="13">
        <f t="shared" si="46"/>
        <v>93.37861442615565</v>
      </c>
      <c r="N238" s="13">
        <f t="shared" si="47"/>
        <v>94.034547754313337</v>
      </c>
      <c r="O238" s="14">
        <f t="shared" si="48"/>
        <v>-1119.2315959933494</v>
      </c>
      <c r="P238" s="14">
        <f t="shared" si="48"/>
        <v>-716.74396535654239</v>
      </c>
      <c r="Q238" s="14">
        <f t="shared" si="48"/>
        <v>-1125.068641338089</v>
      </c>
      <c r="R238" s="14">
        <f t="shared" si="48"/>
        <v>-653.90809961211005</v>
      </c>
      <c r="S238" s="50">
        <f t="shared" si="39"/>
        <v>-3614.9523023000911</v>
      </c>
      <c r="T238" s="50"/>
    </row>
    <row r="239" spans="1:20" x14ac:dyDescent="0.35">
      <c r="A239" s="7">
        <f t="shared" si="38"/>
        <v>234</v>
      </c>
      <c r="B239" s="42">
        <v>45099</v>
      </c>
      <c r="C239" s="58" cm="1">
        <f t="array" ref="C239">BonoM(100,C$2,-$B239+C$1,Portafolio!C239)</f>
        <v>90.458025285821506</v>
      </c>
      <c r="D239" s="58" cm="1">
        <f t="array" ref="D239">BonoM(100,D$2,-$B239+D$1,Portafolio!D239)</f>
        <v>99.603341207895184</v>
      </c>
      <c r="E239" s="58" cm="1">
        <f t="array" ref="E239">BonoM(100,E$2,-$B239+E$1,Portafolio!E239)</f>
        <v>95.065602656955591</v>
      </c>
      <c r="F239" s="58" cm="1">
        <f t="array" ref="F239">BonoM(100,F$2,-$B239+F$1,Portafolio!F239)</f>
        <v>97.09614384796383</v>
      </c>
      <c r="G239" s="6">
        <f t="shared" si="40"/>
        <v>3.1451759797973544E-3</v>
      </c>
      <c r="H239" s="6">
        <f t="shared" si="41"/>
        <v>3.9380709479877041E-3</v>
      </c>
      <c r="I239" s="6">
        <f t="shared" si="42"/>
        <v>4.3078874039292891E-3</v>
      </c>
      <c r="J239" s="6">
        <f t="shared" si="43"/>
        <v>2.4147880239433483E-4</v>
      </c>
      <c r="K239" s="13">
        <f t="shared" si="44"/>
        <v>89.835303356882633</v>
      </c>
      <c r="L239" s="13">
        <f t="shared" si="45"/>
        <v>98.596647019299922</v>
      </c>
      <c r="M239" s="13">
        <f t="shared" si="46"/>
        <v>93.215921327855128</v>
      </c>
      <c r="N239" s="13">
        <f t="shared" si="47"/>
        <v>93.403189099731861</v>
      </c>
      <c r="O239" s="14">
        <f t="shared" si="48"/>
        <v>-929.4844740031607</v>
      </c>
      <c r="P239" s="14">
        <f t="shared" si="48"/>
        <v>-580.13626900670806</v>
      </c>
      <c r="Q239" s="14">
        <f t="shared" si="48"/>
        <v>-799.68244473704431</v>
      </c>
      <c r="R239" s="14">
        <f t="shared" si="48"/>
        <v>-22.549445030634274</v>
      </c>
      <c r="S239" s="50">
        <f t="shared" si="39"/>
        <v>-2331.8526327775471</v>
      </c>
      <c r="T239" s="50"/>
    </row>
    <row r="240" spans="1:20" x14ac:dyDescent="0.35">
      <c r="A240" s="7">
        <f t="shared" si="38"/>
        <v>235</v>
      </c>
      <c r="B240" s="42">
        <v>45098</v>
      </c>
      <c r="C240" s="58" cm="1">
        <f t="array" ref="C240">BonoM(100,C$2,-$B240+C$1,Portafolio!C240)</f>
        <v>90.174410894683177</v>
      </c>
      <c r="D240" s="58" cm="1">
        <f t="array" ref="D240">BonoM(100,D$2,-$B240+D$1,Portafolio!D240)</f>
        <v>99.21263481306454</v>
      </c>
      <c r="E240" s="58" cm="1">
        <f t="array" ref="E240">BonoM(100,E$2,-$B240+E$1,Portafolio!E240)</f>
        <v>94.657827394638915</v>
      </c>
      <c r="F240" s="58" cm="1">
        <f t="array" ref="F240">BonoM(100,F$2,-$B240+F$1,Portafolio!F240)</f>
        <v>97.072702847934934</v>
      </c>
      <c r="G240" s="6">
        <f t="shared" si="40"/>
        <v>5.7048994587582946E-4</v>
      </c>
      <c r="H240" s="6">
        <f t="shared" si="41"/>
        <v>1.6243184490558615E-3</v>
      </c>
      <c r="I240" s="6">
        <f t="shared" si="42"/>
        <v>1.3990081533679088E-3</v>
      </c>
      <c r="J240" s="6">
        <f t="shared" si="43"/>
        <v>2.7686547336309708E-3</v>
      </c>
      <c r="K240" s="13">
        <f t="shared" si="44"/>
        <v>89.604730847095951</v>
      </c>
      <c r="L240" s="13">
        <f t="shared" si="45"/>
        <v>98.369413642034132</v>
      </c>
      <c r="M240" s="13">
        <f t="shared" si="46"/>
        <v>92.945930558317826</v>
      </c>
      <c r="N240" s="13">
        <f t="shared" si="47"/>
        <v>93.639178404710705</v>
      </c>
      <c r="O240" s="14">
        <f t="shared" si="48"/>
        <v>-168.59519170710797</v>
      </c>
      <c r="P240" s="14">
        <f t="shared" si="48"/>
        <v>-239.28620310802273</v>
      </c>
      <c r="Q240" s="14">
        <f t="shared" si="48"/>
        <v>-259.70090566244153</v>
      </c>
      <c r="R240" s="14">
        <f t="shared" si="48"/>
        <v>-258.53875000947824</v>
      </c>
      <c r="S240" s="50">
        <f t="shared" si="39"/>
        <v>-926.12105048705052</v>
      </c>
      <c r="T240" s="50"/>
    </row>
    <row r="241" spans="1:20" x14ac:dyDescent="0.35">
      <c r="A241" s="7">
        <f t="shared" si="38"/>
        <v>236</v>
      </c>
      <c r="B241" s="42">
        <v>45097</v>
      </c>
      <c r="C241" s="58" cm="1">
        <f t="array" ref="C241">BonoM(100,C$2,-$B241+C$1,Portafolio!C241)</f>
        <v>90.122996631212871</v>
      </c>
      <c r="D241" s="58" cm="1">
        <f t="array" ref="D241">BonoM(100,D$2,-$B241+D$1,Portafolio!D241)</f>
        <v>99.05174323911011</v>
      </c>
      <c r="E241" s="58" cm="1">
        <f t="array" ref="E241">BonoM(100,E$2,-$B241+E$1,Portafolio!E241)</f>
        <v>94.525585330060295</v>
      </c>
      <c r="F241" s="58" cm="1">
        <f t="array" ref="F241">BonoM(100,F$2,-$B241+F$1,Portafolio!F241)</f>
        <v>96.804684101060872</v>
      </c>
      <c r="G241" s="6">
        <f t="shared" si="40"/>
        <v>1.8601153464214981E-3</v>
      </c>
      <c r="H241" s="6">
        <f t="shared" si="41"/>
        <v>1.6254334067344889E-3</v>
      </c>
      <c r="I241" s="6">
        <f t="shared" si="42"/>
        <v>1.9809129685566251E-3</v>
      </c>
      <c r="J241" s="6">
        <f t="shared" si="43"/>
        <v>4.4526767422425895E-3</v>
      </c>
      <c r="K241" s="13">
        <f t="shared" si="44"/>
        <v>89.720221497750373</v>
      </c>
      <c r="L241" s="13">
        <f t="shared" si="45"/>
        <v>98.369523141904565</v>
      </c>
      <c r="M241" s="13">
        <f t="shared" si="46"/>
        <v>92.999940682258156</v>
      </c>
      <c r="N241" s="13">
        <f t="shared" si="47"/>
        <v>93.796433457067451</v>
      </c>
      <c r="O241" s="14">
        <f t="shared" si="48"/>
        <v>-549.71433886670127</v>
      </c>
      <c r="P241" s="14">
        <f t="shared" si="48"/>
        <v>-239.45045291367251</v>
      </c>
      <c r="Q241" s="14">
        <f t="shared" si="48"/>
        <v>-367.72115354310131</v>
      </c>
      <c r="R241" s="14">
        <f t="shared" si="48"/>
        <v>-415.79380236622399</v>
      </c>
      <c r="S241" s="50">
        <f t="shared" si="39"/>
        <v>-1572.6797476896991</v>
      </c>
      <c r="T241" s="50"/>
    </row>
    <row r="242" spans="1:20" x14ac:dyDescent="0.35">
      <c r="A242" s="7">
        <f t="shared" si="38"/>
        <v>237</v>
      </c>
      <c r="B242" s="42">
        <v>45096</v>
      </c>
      <c r="C242" s="58" cm="1">
        <f t="array" ref="C242">BonoM(100,C$2,-$B242+C$1,Portafolio!C242)</f>
        <v>89.955668711345282</v>
      </c>
      <c r="D242" s="58" cm="1">
        <f t="array" ref="D242">BonoM(100,D$2,-$B242+D$1,Portafolio!D242)</f>
        <v>98.891002500021102</v>
      </c>
      <c r="E242" s="58" cm="1">
        <f t="array" ref="E242">BonoM(100,E$2,-$B242+E$1,Portafolio!E242)</f>
        <v>94.338708558839201</v>
      </c>
      <c r="F242" s="58" cm="1">
        <f t="array" ref="F242">BonoM(100,F$2,-$B242+F$1,Portafolio!F242)</f>
        <v>96.375554909195969</v>
      </c>
      <c r="G242" s="6">
        <f t="shared" si="40"/>
        <v>1.1448243302228045E-2</v>
      </c>
      <c r="H242" s="6">
        <f t="shared" si="41"/>
        <v>1.4475905163177982E-2</v>
      </c>
      <c r="I242" s="6">
        <f t="shared" si="42"/>
        <v>1.8312064946829576E-2</v>
      </c>
      <c r="J242" s="6">
        <f t="shared" si="43"/>
        <v>2.8168171800399655E-2</v>
      </c>
      <c r="K242" s="13">
        <f t="shared" si="44"/>
        <v>90.578873270354663</v>
      </c>
      <c r="L242" s="13">
        <f t="shared" si="45"/>
        <v>99.631566553212934</v>
      </c>
      <c r="M242" s="13">
        <f t="shared" si="46"/>
        <v>94.515734192488409</v>
      </c>
      <c r="N242" s="13">
        <f t="shared" si="47"/>
        <v>96.011001555326061</v>
      </c>
      <c r="O242" s="14">
        <f t="shared" si="48"/>
        <v>-3383.2651884608581</v>
      </c>
      <c r="P242" s="14">
        <f t="shared" si="48"/>
        <v>-2132.515569876226</v>
      </c>
      <c r="Q242" s="14">
        <f t="shared" si="48"/>
        <v>-3399.3081740036077</v>
      </c>
      <c r="R242" s="14">
        <f t="shared" si="48"/>
        <v>-2630.3619006248341</v>
      </c>
      <c r="S242" s="50">
        <f t="shared" si="39"/>
        <v>-11545.450832965525</v>
      </c>
      <c r="T242" s="50"/>
    </row>
    <row r="243" spans="1:20" x14ac:dyDescent="0.35">
      <c r="A243" s="7">
        <f t="shared" si="38"/>
        <v>238</v>
      </c>
      <c r="B243" s="42">
        <v>45094</v>
      </c>
      <c r="C243" s="58" cm="1">
        <f t="array" ref="C243">BonoM(100,C$2,-$B243+C$1,Portafolio!C243)</f>
        <v>88.937490679358348</v>
      </c>
      <c r="D243" s="58" cm="1">
        <f t="array" ref="D243">BonoM(100,D$2,-$B243+D$1,Portafolio!D243)</f>
        <v>97.47989281629566</v>
      </c>
      <c r="E243" s="58" cm="1">
        <f t="array" ref="E243">BonoM(100,E$2,-$B243+E$1,Portafolio!E243)</f>
        <v>92.642237881925752</v>
      </c>
      <c r="F243" s="58" cm="1">
        <f t="array" ref="F243">BonoM(100,F$2,-$B243+F$1,Portafolio!F243)</f>
        <v>93.735205535914545</v>
      </c>
      <c r="G243" s="6">
        <f t="shared" si="40"/>
        <v>-1.0576236490755009E-2</v>
      </c>
      <c r="H243" s="6">
        <f t="shared" si="41"/>
        <v>-1.6115481905634277E-2</v>
      </c>
      <c r="I243" s="6">
        <f t="shared" si="42"/>
        <v>-1.9218828470565996E-2</v>
      </c>
      <c r="J243" s="6">
        <f t="shared" si="43"/>
        <v>-3.1258654660251906E-2</v>
      </c>
      <c r="K243" s="13">
        <f t="shared" si="44"/>
        <v>88.60650090506104</v>
      </c>
      <c r="L243" s="13">
        <f t="shared" si="45"/>
        <v>96.627189809330361</v>
      </c>
      <c r="M243" s="13">
        <f t="shared" si="46"/>
        <v>91.032263782628945</v>
      </c>
      <c r="N243" s="13">
        <f t="shared" si="47"/>
        <v>90.461686487781492</v>
      </c>
      <c r="O243" s="14">
        <f t="shared" si="48"/>
        <v>3125.5636170080975</v>
      </c>
      <c r="P243" s="14">
        <f t="shared" si="48"/>
        <v>2374.0495459476351</v>
      </c>
      <c r="Q243" s="14">
        <f t="shared" si="48"/>
        <v>3567.6326457153209</v>
      </c>
      <c r="R243" s="14">
        <f t="shared" si="48"/>
        <v>2918.9531669197349</v>
      </c>
      <c r="S243" s="50">
        <f t="shared" si="39"/>
        <v>11986.198975590789</v>
      </c>
      <c r="T243" s="50"/>
    </row>
    <row r="244" spans="1:20" x14ac:dyDescent="0.35">
      <c r="A244" s="7">
        <f t="shared" si="38"/>
        <v>239</v>
      </c>
      <c r="B244" s="42">
        <v>45093</v>
      </c>
      <c r="C244" s="58" cm="1">
        <f t="array" ref="C244">BonoM(100,C$2,-$B244+C$1,Portafolio!C244)</f>
        <v>89.88816921469396</v>
      </c>
      <c r="D244" s="58" cm="1">
        <f t="array" ref="D244">BonoM(100,D$2,-$B244+D$1,Portafolio!D244)</f>
        <v>99.076559315212464</v>
      </c>
      <c r="E244" s="58" cm="1">
        <f t="array" ref="E244">BonoM(100,E$2,-$B244+E$1,Portafolio!E244)</f>
        <v>94.457602339020312</v>
      </c>
      <c r="F244" s="58" cm="1">
        <f t="array" ref="F244">BonoM(100,F$2,-$B244+F$1,Portafolio!F244)</f>
        <v>96.759786280248619</v>
      </c>
      <c r="G244" s="6">
        <f t="shared" si="40"/>
        <v>-7.2696805974992174E-5</v>
      </c>
      <c r="H244" s="6">
        <f t="shared" si="41"/>
        <v>2.8348560002413592E-3</v>
      </c>
      <c r="I244" s="6">
        <f t="shared" si="42"/>
        <v>1.6346981533452709E-3</v>
      </c>
      <c r="J244" s="6">
        <f t="shared" si="43"/>
        <v>4.1211288195199813E-3</v>
      </c>
      <c r="K244" s="13">
        <f t="shared" si="44"/>
        <v>89.547131131370648</v>
      </c>
      <c r="L244" s="13">
        <f t="shared" si="45"/>
        <v>98.488300401179686</v>
      </c>
      <c r="M244" s="13">
        <f t="shared" si="46"/>
        <v>92.967806380235785</v>
      </c>
      <c r="N244" s="13">
        <f t="shared" si="47"/>
        <v>93.765473299967425</v>
      </c>
      <c r="O244" s="14">
        <f t="shared" si="48"/>
        <v>21.48387018639113</v>
      </c>
      <c r="P244" s="14">
        <f t="shared" si="48"/>
        <v>-417.61634182635277</v>
      </c>
      <c r="Q244" s="14">
        <f t="shared" si="48"/>
        <v>-303.45254949835976</v>
      </c>
      <c r="R244" s="14">
        <f t="shared" si="48"/>
        <v>-384.83364526619823</v>
      </c>
      <c r="S244" s="50">
        <f t="shared" si="39"/>
        <v>-1084.4186664045196</v>
      </c>
      <c r="T244" s="50"/>
    </row>
    <row r="245" spans="1:20" x14ac:dyDescent="0.35">
      <c r="A245" s="7">
        <f t="shared" si="38"/>
        <v>240</v>
      </c>
      <c r="B245" s="42">
        <v>45092</v>
      </c>
      <c r="C245" s="58" cm="1">
        <f t="array" ref="C245">BonoM(100,C$2,-$B245+C$1,Portafolio!C245)</f>
        <v>89.894704272568646</v>
      </c>
      <c r="D245" s="58" cm="1">
        <f t="array" ref="D245">BonoM(100,D$2,-$B245+D$1,Portafolio!D245)</f>
        <v>98.796485505474507</v>
      </c>
      <c r="E245" s="58" cm="1">
        <f t="array" ref="E245">BonoM(100,E$2,-$B245+E$1,Portafolio!E245)</f>
        <v>94.303444672160637</v>
      </c>
      <c r="F245" s="58" cm="1">
        <f t="array" ref="F245">BonoM(100,F$2,-$B245+F$1,Portafolio!F245)</f>
        <v>96.362663331268422</v>
      </c>
      <c r="G245" s="6">
        <f t="shared" si="40"/>
        <v>1.5437194459386738E-3</v>
      </c>
      <c r="H245" s="6">
        <f t="shared" si="41"/>
        <v>3.0218521385927399E-3</v>
      </c>
      <c r="I245" s="6">
        <f t="shared" si="42"/>
        <v>3.1503427835057884E-3</v>
      </c>
      <c r="J245" s="6">
        <f t="shared" si="43"/>
        <v>3.611076771958821E-3</v>
      </c>
      <c r="K245" s="13">
        <f t="shared" si="44"/>
        <v>89.691887092739677</v>
      </c>
      <c r="L245" s="13">
        <f t="shared" si="45"/>
        <v>98.506665271265348</v>
      </c>
      <c r="M245" s="13">
        <f t="shared" si="46"/>
        <v>93.108482573640217</v>
      </c>
      <c r="N245" s="13">
        <f t="shared" si="47"/>
        <v>93.717844313508976</v>
      </c>
      <c r="O245" s="14">
        <f t="shared" si="48"/>
        <v>-456.2108023314039</v>
      </c>
      <c r="P245" s="14">
        <f t="shared" si="48"/>
        <v>-445.16364695484612</v>
      </c>
      <c r="Q245" s="14">
        <f t="shared" si="48"/>
        <v>-584.80493630722208</v>
      </c>
      <c r="R245" s="14">
        <f t="shared" si="48"/>
        <v>-337.20465880774952</v>
      </c>
      <c r="S245" s="50">
        <f t="shared" si="39"/>
        <v>-1823.3840444012217</v>
      </c>
      <c r="T245" s="50"/>
    </row>
    <row r="246" spans="1:20" x14ac:dyDescent="0.35">
      <c r="A246" s="7">
        <f t="shared" si="38"/>
        <v>241</v>
      </c>
      <c r="B246" s="42">
        <v>45091</v>
      </c>
      <c r="C246" s="58" cm="1">
        <f t="array" ref="C246">BonoM(100,C$2,-$B246+C$1,Portafolio!C246)</f>
        <v>89.7561459646505</v>
      </c>
      <c r="D246" s="58" cm="1">
        <f t="array" ref="D246">BonoM(100,D$2,-$B246+D$1,Portafolio!D246)</f>
        <v>98.498836585489741</v>
      </c>
      <c r="E246" s="58" cm="1">
        <f t="array" ref="E246">BonoM(100,E$2,-$B246+E$1,Portafolio!E246)</f>
        <v>94.007289486131057</v>
      </c>
      <c r="F246" s="58" cm="1">
        <f t="array" ref="F246">BonoM(100,F$2,-$B246+F$1,Portafolio!F246)</f>
        <v>96.015942391959086</v>
      </c>
      <c r="G246" s="6">
        <f t="shared" si="40"/>
        <v>-7.23609305068873E-5</v>
      </c>
      <c r="H246" s="6">
        <f t="shared" si="41"/>
        <v>7.0401745656978321E-4</v>
      </c>
      <c r="I246" s="6">
        <f t="shared" si="42"/>
        <v>1.4034703159468975E-3</v>
      </c>
      <c r="J246" s="6">
        <f t="shared" si="43"/>
        <v>2.7665711962197026E-3</v>
      </c>
      <c r="K246" s="13">
        <f t="shared" si="44"/>
        <v>89.547161210241867</v>
      </c>
      <c r="L246" s="13">
        <f t="shared" si="45"/>
        <v>98.279030983249243</v>
      </c>
      <c r="M246" s="13">
        <f t="shared" si="46"/>
        <v>92.946344718757203</v>
      </c>
      <c r="N246" s="13">
        <f t="shared" si="47"/>
        <v>93.638983842654497</v>
      </c>
      <c r="O246" s="14">
        <f t="shared" si="48"/>
        <v>21.384609911366681</v>
      </c>
      <c r="P246" s="14">
        <f t="shared" si="48"/>
        <v>-103.71221493068816</v>
      </c>
      <c r="Q246" s="14">
        <f t="shared" si="48"/>
        <v>-260.5292265411947</v>
      </c>
      <c r="R246" s="14">
        <f t="shared" si="48"/>
        <v>-258.34418795326997</v>
      </c>
      <c r="S246" s="50">
        <f t="shared" si="39"/>
        <v>-601.20101951378615</v>
      </c>
      <c r="T246" s="50"/>
    </row>
    <row r="247" spans="1:20" x14ac:dyDescent="0.35">
      <c r="A247" s="7">
        <f t="shared" si="38"/>
        <v>242</v>
      </c>
      <c r="B247" s="42">
        <v>45090</v>
      </c>
      <c r="C247" s="58" cm="1">
        <f t="array" ref="C247">BonoM(100,C$2,-$B247+C$1,Portafolio!C247)</f>
        <v>89.762641272897767</v>
      </c>
      <c r="D247" s="58" cm="1">
        <f t="array" ref="D247">BonoM(100,D$2,-$B247+D$1,Portafolio!D247)</f>
        <v>98.429540470756194</v>
      </c>
      <c r="E247" s="58" cm="1">
        <f t="array" ref="E247">BonoM(100,E$2,-$B247+E$1,Portafolio!E247)</f>
        <v>93.875537955217368</v>
      </c>
      <c r="F247" s="58" cm="1">
        <f t="array" ref="F247">BonoM(100,F$2,-$B247+F$1,Portafolio!F247)</f>
        <v>95.751040321796737</v>
      </c>
      <c r="G247" s="6">
        <f t="shared" si="40"/>
        <v>-7.2915180900579024E-5</v>
      </c>
      <c r="H247" s="6">
        <f t="shared" si="41"/>
        <v>-2.2244083534506132E-4</v>
      </c>
      <c r="I247" s="6">
        <f t="shared" si="42"/>
        <v>2.4041510135952571E-4</v>
      </c>
      <c r="J247" s="6">
        <f t="shared" si="43"/>
        <v>-5.9405801015166571E-4</v>
      </c>
      <c r="K247" s="13">
        <f t="shared" si="44"/>
        <v>89.547111575100871</v>
      </c>
      <c r="L247" s="13">
        <f t="shared" si="45"/>
        <v>98.188043616767786</v>
      </c>
      <c r="M247" s="13">
        <f t="shared" si="46"/>
        <v>92.838394492792958</v>
      </c>
      <c r="N247" s="13">
        <f t="shared" si="47"/>
        <v>93.325166137721268</v>
      </c>
      <c r="O247" s="14">
        <f t="shared" si="48"/>
        <v>21.548405876654897</v>
      </c>
      <c r="P247" s="14">
        <f t="shared" si="48"/>
        <v>32.76883479149717</v>
      </c>
      <c r="Q247" s="14">
        <f t="shared" si="48"/>
        <v>-44.628774612704092</v>
      </c>
      <c r="R247" s="14">
        <f t="shared" si="48"/>
        <v>55.473516979958504</v>
      </c>
      <c r="S247" s="50">
        <f t="shared" si="39"/>
        <v>65.161983035406479</v>
      </c>
      <c r="T247" s="50"/>
    </row>
    <row r="248" spans="1:20" x14ac:dyDescent="0.35">
      <c r="A248" s="7">
        <f t="shared" si="38"/>
        <v>243</v>
      </c>
      <c r="B248" s="42">
        <v>45089</v>
      </c>
      <c r="C248" s="58" cm="1">
        <f t="array" ref="C248">BonoM(100,C$2,-$B248+C$1,Portafolio!C248)</f>
        <v>89.769186809393275</v>
      </c>
      <c r="D248" s="58" cm="1">
        <f t="array" ref="D248">BonoM(100,D$2,-$B248+D$1,Portafolio!D248)</f>
        <v>98.451440091331037</v>
      </c>
      <c r="E248" s="58" cm="1">
        <f t="array" ref="E248">BonoM(100,E$2,-$B248+E$1,Portafolio!E248)</f>
        <v>93.852974282892248</v>
      </c>
      <c r="F248" s="58" cm="1">
        <f t="array" ref="F248">BonoM(100,F$2,-$B248+F$1,Portafolio!F248)</f>
        <v>95.80795580537918</v>
      </c>
      <c r="G248" s="6">
        <f t="shared" si="40"/>
        <v>1.1511440896333047E-2</v>
      </c>
      <c r="H248" s="6">
        <f t="shared" si="41"/>
        <v>9.4566630288372977E-4</v>
      </c>
      <c r="I248" s="6">
        <f t="shared" si="42"/>
        <v>2.0126489778663936E-2</v>
      </c>
      <c r="J248" s="6">
        <f t="shared" si="43"/>
        <v>2.9459590231885935E-2</v>
      </c>
      <c r="K248" s="13">
        <f t="shared" si="44"/>
        <v>90.584532845034175</v>
      </c>
      <c r="L248" s="13">
        <f t="shared" si="45"/>
        <v>98.302763289745144</v>
      </c>
      <c r="M248" s="13">
        <f t="shared" si="46"/>
        <v>94.684141993025335</v>
      </c>
      <c r="N248" s="13">
        <f t="shared" si="47"/>
        <v>96.131595034520117</v>
      </c>
      <c r="O248" s="14">
        <f t="shared" si="48"/>
        <v>-3401.9417849032493</v>
      </c>
      <c r="P248" s="14">
        <f t="shared" si="48"/>
        <v>-139.31067467454028</v>
      </c>
      <c r="Q248" s="14">
        <f t="shared" si="48"/>
        <v>-3736.123775077459</v>
      </c>
      <c r="R248" s="14">
        <f t="shared" si="48"/>
        <v>-2750.9553798188904</v>
      </c>
      <c r="S248" s="50">
        <f t="shared" si="39"/>
        <v>-10028.331614474138</v>
      </c>
      <c r="T248" s="50"/>
    </row>
    <row r="249" spans="1:20" x14ac:dyDescent="0.35">
      <c r="A249" s="7">
        <f t="shared" si="38"/>
        <v>244</v>
      </c>
      <c r="B249" s="42">
        <v>45087</v>
      </c>
      <c r="C249" s="58" cm="1">
        <f t="array" ref="C249">BonoM(100,C$2,-$B249+C$1,Portafolio!C249)</f>
        <v>88.747574352541079</v>
      </c>
      <c r="D249" s="58" cm="1">
        <f t="array" ref="D249">BonoM(100,D$2,-$B249+D$1,Portafolio!D249)</f>
        <v>98.358425842407186</v>
      </c>
      <c r="E249" s="58" cm="1">
        <f t="array" ref="E249">BonoM(100,E$2,-$B249+E$1,Portafolio!E249)</f>
        <v>92.001310840634531</v>
      </c>
      <c r="F249" s="58" cm="1">
        <f t="array" ref="F249">BonoM(100,F$2,-$B249+F$1,Portafolio!F249)</f>
        <v>93.066261866382177</v>
      </c>
      <c r="G249" s="6">
        <f t="shared" si="40"/>
        <v>-1.0316205580988558E-2</v>
      </c>
      <c r="H249" s="6">
        <f t="shared" si="41"/>
        <v>2.4094697747023552E-4</v>
      </c>
      <c r="I249" s="6">
        <f t="shared" si="42"/>
        <v>-1.7879314985040473E-2</v>
      </c>
      <c r="J249" s="6">
        <f t="shared" si="43"/>
        <v>-2.7902607600028606E-2</v>
      </c>
      <c r="K249" s="13">
        <f t="shared" si="44"/>
        <v>88.629787619905898</v>
      </c>
      <c r="L249" s="13">
        <f t="shared" si="45"/>
        <v>98.233552882663091</v>
      </c>
      <c r="M249" s="13">
        <f t="shared" si="46"/>
        <v>91.156592173603869</v>
      </c>
      <c r="N249" s="13">
        <f t="shared" si="47"/>
        <v>90.775076308976423</v>
      </c>
      <c r="O249" s="14">
        <f t="shared" si="48"/>
        <v>3048.7174580200672</v>
      </c>
      <c r="P249" s="14">
        <f t="shared" si="48"/>
        <v>-35.49506405146019</v>
      </c>
      <c r="Q249" s="14">
        <f t="shared" si="48"/>
        <v>3318.9758637654732</v>
      </c>
      <c r="R249" s="14">
        <f t="shared" si="48"/>
        <v>2605.5633457248036</v>
      </c>
      <c r="S249" s="50">
        <f t="shared" si="39"/>
        <v>8937.7616034588846</v>
      </c>
      <c r="T249" s="50"/>
    </row>
    <row r="250" spans="1:20" x14ac:dyDescent="0.35">
      <c r="A250" s="7">
        <f t="shared" si="38"/>
        <v>245</v>
      </c>
      <c r="B250" s="42">
        <v>45086</v>
      </c>
      <c r="C250" s="58" cm="1">
        <f t="array" ref="C250">BonoM(100,C$2,-$B250+C$1,Portafolio!C250)</f>
        <v>89.672655905859173</v>
      </c>
      <c r="D250" s="58" cm="1">
        <f t="array" ref="D250">BonoM(100,D$2,-$B250+D$1,Portafolio!D250)</f>
        <v>98.334732385858473</v>
      </c>
      <c r="E250" s="58" cm="1">
        <f t="array" ref="E250">BonoM(100,E$2,-$B250+E$1,Portafolio!E250)</f>
        <v>93.676176710638345</v>
      </c>
      <c r="F250" s="58" cm="1">
        <f t="array" ref="F250">BonoM(100,F$2,-$B250+F$1,Portafolio!F250)</f>
        <v>95.737590280552752</v>
      </c>
      <c r="G250" s="6">
        <f t="shared" si="40"/>
        <v>-7.2323936358686947E-4</v>
      </c>
      <c r="H250" s="6">
        <f t="shared" si="41"/>
        <v>-2.0796894800373389E-3</v>
      </c>
      <c r="I250" s="6">
        <f t="shared" si="42"/>
        <v>-2.6685115896217804E-3</v>
      </c>
      <c r="J250" s="6">
        <f t="shared" si="43"/>
        <v>1.9273735131772884E-3</v>
      </c>
      <c r="K250" s="13">
        <f t="shared" si="44"/>
        <v>89.488872676454037</v>
      </c>
      <c r="L250" s="13">
        <f t="shared" si="45"/>
        <v>98.005643432586226</v>
      </c>
      <c r="M250" s="13">
        <f t="shared" si="46"/>
        <v>92.568399320021854</v>
      </c>
      <c r="N250" s="13">
        <f t="shared" si="47"/>
        <v>93.56061902621525</v>
      </c>
      <c r="O250" s="14">
        <f t="shared" si="48"/>
        <v>213.73677141120879</v>
      </c>
      <c r="P250" s="14">
        <f t="shared" si="48"/>
        <v>306.36911106383735</v>
      </c>
      <c r="Q250" s="14">
        <f t="shared" si="48"/>
        <v>495.36157092950361</v>
      </c>
      <c r="R250" s="14">
        <f t="shared" si="48"/>
        <v>-179.97937151402255</v>
      </c>
      <c r="S250" s="50">
        <f t="shared" si="39"/>
        <v>835.48808189052727</v>
      </c>
      <c r="T250" s="50"/>
    </row>
    <row r="251" spans="1:20" x14ac:dyDescent="0.35">
      <c r="A251" s="7">
        <f t="shared" si="38"/>
        <v>246</v>
      </c>
      <c r="B251" s="42">
        <v>45085</v>
      </c>
      <c r="C251" s="58" cm="1">
        <f t="array" ref="C251">BonoM(100,C$2,-$B251+C$1,Portafolio!C251)</f>
        <v>89.737557639936526</v>
      </c>
      <c r="D251" s="58" cm="1">
        <f t="array" ref="D251">BonoM(100,D$2,-$B251+D$1,Portafolio!D251)</f>
        <v>98.539664289046812</v>
      </c>
      <c r="E251" s="58" cm="1">
        <f t="array" ref="E251">BonoM(100,E$2,-$B251+E$1,Portafolio!E251)</f>
        <v>93.926821522447327</v>
      </c>
      <c r="F251" s="58" cm="1">
        <f t="array" ref="F251">BonoM(100,F$2,-$B251+F$1,Portafolio!F251)</f>
        <v>95.553423143692186</v>
      </c>
      <c r="G251" s="6">
        <f t="shared" si="40"/>
        <v>3.8313914181564712E-3</v>
      </c>
      <c r="H251" s="6">
        <f t="shared" si="41"/>
        <v>-3.8564773310933997E-2</v>
      </c>
      <c r="I251" s="6">
        <f t="shared" si="42"/>
        <v>-3.6585034416968476E-2</v>
      </c>
      <c r="J251" s="6">
        <f t="shared" si="43"/>
        <v>-3.8178137018584191E-2</v>
      </c>
      <c r="K251" s="13">
        <f t="shared" si="44"/>
        <v>89.896756448169199</v>
      </c>
      <c r="L251" s="13">
        <f t="shared" si="45"/>
        <v>94.422447380913766</v>
      </c>
      <c r="M251" s="13">
        <f t="shared" si="46"/>
        <v>89.420400620379269</v>
      </c>
      <c r="N251" s="13">
        <f t="shared" si="47"/>
        <v>89.815540799081006</v>
      </c>
      <c r="O251" s="14">
        <f t="shared" si="48"/>
        <v>-1132.2796752488287</v>
      </c>
      <c r="P251" s="14">
        <f t="shared" si="48"/>
        <v>5681.1631885725265</v>
      </c>
      <c r="Q251" s="14">
        <f t="shared" si="48"/>
        <v>6791.3589702146737</v>
      </c>
      <c r="R251" s="14">
        <f t="shared" si="48"/>
        <v>3565.098855620221</v>
      </c>
      <c r="S251" s="50">
        <f t="shared" si="39"/>
        <v>14905.341339158593</v>
      </c>
      <c r="T251" s="50"/>
    </row>
    <row r="252" spans="1:20" x14ac:dyDescent="0.35">
      <c r="A252" s="7">
        <f t="shared" si="38"/>
        <v>247</v>
      </c>
      <c r="B252" s="42">
        <v>45084</v>
      </c>
      <c r="C252" s="58" cm="1">
        <f t="array" ref="C252">BonoM(100,C$2,-$B252+C$1,Portafolio!C252)</f>
        <v>89.395050211729639</v>
      </c>
      <c r="D252" s="58" cm="1">
        <f t="array" ref="D252">BonoM(100,D$2,-$B252+D$1,Portafolio!D252)</f>
        <v>102.49225486400358</v>
      </c>
      <c r="E252" s="58" cm="1">
        <f t="array" ref="E252">BonoM(100,E$2,-$B252+E$1,Portafolio!E252)</f>
        <v>97.493629306044113</v>
      </c>
      <c r="F252" s="58" cm="1">
        <f t="array" ref="F252">BonoM(100,F$2,-$B252+F$1,Portafolio!F252)</f>
        <v>99.346278995467642</v>
      </c>
      <c r="G252" s="6">
        <f t="shared" si="40"/>
        <v>-7.2214337472154E-4</v>
      </c>
      <c r="H252" s="6">
        <f t="shared" si="41"/>
        <v>-2.0394118095456992E-4</v>
      </c>
      <c r="I252" s="6">
        <f t="shared" si="42"/>
        <v>-3.6704470637871633E-3</v>
      </c>
      <c r="J252" s="6">
        <f t="shared" si="43"/>
        <v>-3.7618434191968309E-3</v>
      </c>
      <c r="K252" s="13">
        <f t="shared" si="44"/>
        <v>89.488970826247865</v>
      </c>
      <c r="L252" s="13">
        <f t="shared" si="45"/>
        <v>98.189860465781379</v>
      </c>
      <c r="M252" s="13">
        <f t="shared" si="46"/>
        <v>92.475403596791182</v>
      </c>
      <c r="N252" s="13">
        <f t="shared" si="47"/>
        <v>93.029356309935793</v>
      </c>
      <c r="O252" s="14">
        <f t="shared" si="48"/>
        <v>213.41287709157513</v>
      </c>
      <c r="P252" s="14">
        <f t="shared" si="48"/>
        <v>30.043561271106967</v>
      </c>
      <c r="Q252" s="14">
        <f t="shared" si="48"/>
        <v>681.35301739084753</v>
      </c>
      <c r="R252" s="14">
        <f t="shared" si="48"/>
        <v>351.28334476543444</v>
      </c>
      <c r="S252" s="50">
        <f t="shared" si="39"/>
        <v>1276.0928005189639</v>
      </c>
      <c r="T252" s="50"/>
    </row>
    <row r="253" spans="1:20" x14ac:dyDescent="0.35">
      <c r="A253" s="7">
        <f t="shared" si="38"/>
        <v>248</v>
      </c>
      <c r="B253" s="42">
        <v>45083</v>
      </c>
      <c r="C253" s="58" cm="1">
        <f t="array" ref="C253">BonoM(100,C$2,-$B253+C$1,Portafolio!C253)</f>
        <v>89.459652907381596</v>
      </c>
      <c r="D253" s="58" cm="1">
        <f t="array" ref="D253">BonoM(100,D$2,-$B253+D$1,Portafolio!D253)</f>
        <v>102.5131615192272</v>
      </c>
      <c r="E253" s="58" cm="1">
        <f t="array" ref="E253">BonoM(100,E$2,-$B253+E$1,Portafolio!E253)</f>
        <v>97.852792802067839</v>
      </c>
      <c r="F253" s="58" cm="1">
        <f t="array" ref="F253">BonoM(100,F$2,-$B253+F$1,Portafolio!F253)</f>
        <v>99.721415345538247</v>
      </c>
      <c r="G253" s="6">
        <f t="shared" si="40"/>
        <v>2.5324374361030966E-3</v>
      </c>
      <c r="H253" s="6">
        <f t="shared" si="41"/>
        <v>2.4121289632983434E-4</v>
      </c>
      <c r="I253" s="6">
        <f t="shared" si="42"/>
        <v>2.4831512001510792E-3</v>
      </c>
      <c r="J253" s="6">
        <f t="shared" si="43"/>
        <v>-5.5860815364228156E-4</v>
      </c>
      <c r="K253" s="13">
        <f t="shared" si="44"/>
        <v>89.780430389071711</v>
      </c>
      <c r="L253" s="13">
        <f t="shared" si="45"/>
        <v>98.233578998524905</v>
      </c>
      <c r="M253" s="13">
        <f t="shared" si="46"/>
        <v>93.046556466193863</v>
      </c>
      <c r="N253" s="13">
        <f t="shared" si="47"/>
        <v>93.328476467997774</v>
      </c>
      <c r="O253" s="14">
        <f t="shared" si="48"/>
        <v>-748.4036802271163</v>
      </c>
      <c r="P253" s="14">
        <f t="shared" si="48"/>
        <v>-35.53423784418186</v>
      </c>
      <c r="Q253" s="14">
        <f t="shared" si="48"/>
        <v>-460.9527214145146</v>
      </c>
      <c r="R253" s="14">
        <f t="shared" si="48"/>
        <v>52.16318670345288</v>
      </c>
      <c r="S253" s="50">
        <f t="shared" si="39"/>
        <v>-1192.7274527823597</v>
      </c>
      <c r="T253" s="50"/>
    </row>
    <row r="254" spans="1:20" x14ac:dyDescent="0.35">
      <c r="A254" s="7">
        <f t="shared" si="38"/>
        <v>249</v>
      </c>
      <c r="B254" s="42">
        <v>45082</v>
      </c>
      <c r="C254" s="58" cm="1">
        <f t="array" ref="C254">BonoM(100,C$2,-$B254+C$1,Portafolio!C254)</f>
        <v>89.233674210250527</v>
      </c>
      <c r="D254" s="58" cm="1">
        <f t="array" ref="D254">BonoM(100,D$2,-$B254+D$1,Portafolio!D254)</f>
        <v>102.4884399857779</v>
      </c>
      <c r="E254" s="58" cm="1">
        <f t="array" ref="E254">BonoM(100,E$2,-$B254+E$1,Portafolio!E254)</f>
        <v>97.610411391872873</v>
      </c>
      <c r="F254" s="58" cm="1">
        <f t="array" ref="F254">BonoM(100,F$2,-$B254+F$1,Portafolio!F254)</f>
        <v>99.77715167601167</v>
      </c>
      <c r="G254" s="6">
        <f t="shared" si="40"/>
        <v>1.1867265760880485E-2</v>
      </c>
      <c r="H254" s="6">
        <f t="shared" si="41"/>
        <v>1.5787411002398555E-2</v>
      </c>
      <c r="I254" s="6">
        <f t="shared" si="42"/>
        <v>1.9272836147975259E-2</v>
      </c>
      <c r="J254" s="6">
        <f t="shared" si="43"/>
        <v>2.102737207426042E-3</v>
      </c>
      <c r="K254" s="13">
        <f t="shared" si="44"/>
        <v>90.616398257353296</v>
      </c>
      <c r="L254" s="13">
        <f t="shared" si="45"/>
        <v>99.760369396770088</v>
      </c>
      <c r="M254" s="13">
        <f t="shared" si="46"/>
        <v>94.604909209257002</v>
      </c>
      <c r="N254" s="13">
        <f t="shared" si="47"/>
        <v>93.576994600156411</v>
      </c>
      <c r="O254" s="14">
        <f t="shared" si="48"/>
        <v>-3507.0976455563482</v>
      </c>
      <c r="P254" s="14">
        <f t="shared" si="48"/>
        <v>-2325.7198352119558</v>
      </c>
      <c r="Q254" s="14">
        <f t="shared" si="48"/>
        <v>-3577.6582075407932</v>
      </c>
      <c r="R254" s="14">
        <f t="shared" si="48"/>
        <v>-196.35494545518384</v>
      </c>
      <c r="S254" s="50">
        <f t="shared" si="39"/>
        <v>-9606.8306337642807</v>
      </c>
      <c r="T254" s="50"/>
    </row>
    <row r="255" spans="1:20" x14ac:dyDescent="0.35">
      <c r="A255" s="7">
        <f t="shared" si="38"/>
        <v>250</v>
      </c>
      <c r="B255" s="42">
        <v>45080</v>
      </c>
      <c r="C255" s="58" cm="1">
        <f t="array" ref="C255">BonoM(100,C$2,-$B255+C$1,Portafolio!C255)</f>
        <v>88.187134053744359</v>
      </c>
      <c r="D255" s="58" cm="1">
        <f t="array" ref="D255">BonoM(100,D$2,-$B255+D$1,Portafolio!D255)</f>
        <v>100.89556030689565</v>
      </c>
      <c r="E255" s="58" cm="1">
        <f t="array" ref="E255">BonoM(100,E$2,-$B255+E$1,Portafolio!E255)</f>
        <v>95.764752998579922</v>
      </c>
      <c r="F255" s="58" cm="1">
        <f t="array" ref="F255">BonoM(100,F$2,-$B255+F$1,Portafolio!F255)</f>
        <v>99.56778678607553</v>
      </c>
      <c r="G255" s="6">
        <f t="shared" si="40"/>
        <v>-1.0329892169232635E-2</v>
      </c>
      <c r="H255" s="6">
        <f t="shared" si="41"/>
        <v>-1.3509210919253278E-2</v>
      </c>
      <c r="I255" s="6">
        <f t="shared" si="42"/>
        <v>-1.7099071695986456E-2</v>
      </c>
      <c r="J255" s="6">
        <f t="shared" si="43"/>
        <v>2.4599724900165043E-4</v>
      </c>
      <c r="K255" s="13">
        <f t="shared" si="44"/>
        <v>88.628561936090364</v>
      </c>
      <c r="L255" s="13">
        <f t="shared" si="45"/>
        <v>96.883151394927182</v>
      </c>
      <c r="M255" s="13">
        <f t="shared" si="46"/>
        <v>91.22901129722247</v>
      </c>
      <c r="N255" s="13">
        <f t="shared" si="47"/>
        <v>93.403611035166293</v>
      </c>
      <c r="O255" s="14">
        <f t="shared" si="48"/>
        <v>3052.762214611329</v>
      </c>
      <c r="P255" s="14">
        <f t="shared" si="48"/>
        <v>1990.1071675524022</v>
      </c>
      <c r="Q255" s="14">
        <f t="shared" si="48"/>
        <v>3174.13761652827</v>
      </c>
      <c r="R255" s="14">
        <f t="shared" si="48"/>
        <v>-22.971380465065749</v>
      </c>
      <c r="S255" s="50">
        <f t="shared" si="39"/>
        <v>8194.035618226937</v>
      </c>
      <c r="T255" s="50"/>
    </row>
    <row r="256" spans="1:20" x14ac:dyDescent="0.35">
      <c r="A256" s="7">
        <f>+A257-1</f>
        <v>251</v>
      </c>
      <c r="B256" s="42">
        <v>45079</v>
      </c>
      <c r="C256" s="58" cm="1">
        <f t="array" ref="C256">BonoM(100,C$2,-$B256+C$1,Portafolio!C256)</f>
        <v>89.107606015341304</v>
      </c>
      <c r="D256" s="58" cm="1">
        <f t="array" ref="D256">BonoM(100,D$2,-$B256+D$1,Portafolio!D256)</f>
        <v>102.27724518433095</v>
      </c>
      <c r="E256" s="58" cm="1">
        <f t="array" ref="E256">BonoM(100,E$2,-$B256+E$1,Portafolio!E256)</f>
        <v>97.430728002079633</v>
      </c>
      <c r="F256" s="58" cm="1">
        <f t="array" ref="F256">BonoM(100,F$2,-$B256+F$1,Portafolio!F256)</f>
        <v>99.543299408264559</v>
      </c>
      <c r="G256" s="6">
        <f t="shared" si="40"/>
        <v>-2.6790632868405329E-3</v>
      </c>
      <c r="H256" s="6">
        <f t="shared" si="41"/>
        <v>-3.7726371064382702E-3</v>
      </c>
      <c r="I256" s="6">
        <f t="shared" si="42"/>
        <v>-3.6806944026924748E-3</v>
      </c>
      <c r="J256" s="6">
        <f t="shared" si="43"/>
        <v>-2.9723909201848642E-3</v>
      </c>
      <c r="K256" s="13">
        <f t="shared" si="44"/>
        <v>89.313721522199103</v>
      </c>
      <c r="L256" s="13">
        <f t="shared" si="45"/>
        <v>97.839379233256878</v>
      </c>
      <c r="M256" s="13">
        <f t="shared" si="46"/>
        <v>92.47445247896249</v>
      </c>
      <c r="N256" s="13">
        <f t="shared" si="47"/>
        <v>93.103075889270542</v>
      </c>
      <c r="O256" s="14">
        <f t="shared" si="48"/>
        <v>791.73558045249024</v>
      </c>
      <c r="P256" s="14">
        <f t="shared" si="48"/>
        <v>555.76541005785884</v>
      </c>
      <c r="Q256" s="14">
        <f t="shared" si="48"/>
        <v>683.25525304823032</v>
      </c>
      <c r="R256" s="14">
        <f t="shared" si="48"/>
        <v>277.56376543068484</v>
      </c>
      <c r="S256" s="50">
        <f t="shared" si="39"/>
        <v>2308.3200089892644</v>
      </c>
      <c r="T256" s="50"/>
    </row>
    <row r="257" spans="1:20" x14ac:dyDescent="0.35">
      <c r="A257" s="7">
        <v>252</v>
      </c>
      <c r="B257" s="42">
        <v>45078</v>
      </c>
      <c r="C257" s="58" cm="1">
        <f t="array" ref="C257">BonoM(100,C$2,-$B257+C$1,Portafolio!C257)</f>
        <v>89.346972208375121</v>
      </c>
      <c r="D257" s="58" cm="1">
        <f t="array" ref="D257">BonoM(100,D$2,-$B257+D$1,Portafolio!D257)</f>
        <v>102.66456131787497</v>
      </c>
      <c r="E257" s="58" cm="1">
        <f t="array" ref="E257">BonoM(100,E$2,-$B257+E$1,Portafolio!E257)</f>
        <v>97.790665557432447</v>
      </c>
      <c r="F257" s="58" cm="1">
        <f t="array" ref="F257">BonoM(100,F$2,-$B257+F$1,Portafolio!F257)</f>
        <v>99.840063105309468</v>
      </c>
      <c r="G257" s="6" t="str">
        <f t="shared" si="40"/>
        <v xml:space="preserve"> </v>
      </c>
      <c r="H257" s="6" t="str">
        <f t="shared" si="41"/>
        <v xml:space="preserve"> </v>
      </c>
      <c r="I257" s="6" t="str">
        <f t="shared" si="42"/>
        <v xml:space="preserve"> </v>
      </c>
      <c r="J257" s="6" t="str">
        <f t="shared" si="43"/>
        <v xml:space="preserve"> </v>
      </c>
      <c r="K257" s="13"/>
      <c r="L257" s="13"/>
      <c r="M257" s="13"/>
      <c r="N257" s="13"/>
      <c r="O257" s="14">
        <v>0</v>
      </c>
      <c r="P257" s="14">
        <v>0</v>
      </c>
      <c r="Q257" s="14">
        <v>0</v>
      </c>
      <c r="R257" s="14">
        <v>0</v>
      </c>
      <c r="S257" s="50"/>
      <c r="T257" s="50"/>
    </row>
    <row r="258" spans="1:20" x14ac:dyDescent="0.35">
      <c r="O258" s="14"/>
      <c r="P258" s="14"/>
      <c r="Q258" s="14"/>
      <c r="R258" s="14"/>
      <c r="S258" s="50"/>
    </row>
    <row r="259" spans="1:20" x14ac:dyDescent="0.35">
      <c r="G259" s="56"/>
      <c r="H259" s="56"/>
      <c r="I259" s="56"/>
      <c r="J259" s="56"/>
      <c r="O259" s="51"/>
      <c r="P259" s="51"/>
      <c r="Q259" s="51"/>
      <c r="R259" s="51"/>
    </row>
  </sheetData>
  <mergeCells count="5">
    <mergeCell ref="C3:F3"/>
    <mergeCell ref="G3:J3"/>
    <mergeCell ref="K3:N3"/>
    <mergeCell ref="O3:R3"/>
    <mergeCell ref="U5:Z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D2B9A-7410-4691-ADCF-F7FB82BB7960}">
  <sheetPr codeName="Hoja2"/>
  <dimension ref="A1:C17"/>
  <sheetViews>
    <sheetView workbookViewId="0">
      <selection activeCell="F21" sqref="F21"/>
    </sheetView>
  </sheetViews>
  <sheetFormatPr baseColWidth="10" defaultRowHeight="14.5" x14ac:dyDescent="0.35"/>
  <sheetData>
    <row r="1" spans="1:3" x14ac:dyDescent="0.35">
      <c r="A1" s="62" t="s">
        <v>46</v>
      </c>
      <c r="B1" s="62" t="s">
        <v>48</v>
      </c>
      <c r="C1" s="62" t="s">
        <v>49</v>
      </c>
    </row>
    <row r="2" spans="1:3" x14ac:dyDescent="0.35">
      <c r="A2">
        <v>-22495.356522611506</v>
      </c>
      <c r="B2">
        <v>1</v>
      </c>
      <c r="C2" s="59">
        <v>3.968253968253968E-3</v>
      </c>
    </row>
    <row r="3" spans="1:3" x14ac:dyDescent="0.35">
      <c r="A3">
        <v>-19878.893735046862</v>
      </c>
      <c r="B3">
        <v>0</v>
      </c>
      <c r="C3" s="59">
        <v>3.968253968253968E-3</v>
      </c>
    </row>
    <row r="4" spans="1:3" x14ac:dyDescent="0.35">
      <c r="A4">
        <v>-17262.430947482222</v>
      </c>
      <c r="B4">
        <v>1</v>
      </c>
      <c r="C4" s="59">
        <v>7.9365079365079361E-3</v>
      </c>
    </row>
    <row r="5" spans="1:3" x14ac:dyDescent="0.35">
      <c r="A5">
        <v>-14645.96815991758</v>
      </c>
      <c r="B5">
        <v>1</v>
      </c>
      <c r="C5" s="59">
        <v>1.1904761904761904E-2</v>
      </c>
    </row>
    <row r="6" spans="1:3" x14ac:dyDescent="0.35">
      <c r="A6">
        <v>-12029.505372352938</v>
      </c>
      <c r="B6">
        <v>8</v>
      </c>
      <c r="C6" s="59">
        <v>4.3650793650793648E-2</v>
      </c>
    </row>
    <row r="7" spans="1:3" x14ac:dyDescent="0.35">
      <c r="A7">
        <v>-9413.0425847882962</v>
      </c>
      <c r="B7">
        <v>21</v>
      </c>
      <c r="C7" s="59">
        <v>0.12698412698412698</v>
      </c>
    </row>
    <row r="8" spans="1:3" x14ac:dyDescent="0.35">
      <c r="A8">
        <v>-6796.5797972236542</v>
      </c>
      <c r="B8">
        <v>13</v>
      </c>
      <c r="C8" s="59">
        <v>0.17857142857142858</v>
      </c>
    </row>
    <row r="9" spans="1:3" x14ac:dyDescent="0.35">
      <c r="A9">
        <v>-4180.1170096590104</v>
      </c>
      <c r="B9">
        <v>11</v>
      </c>
      <c r="C9" s="59">
        <v>0.22222222222222221</v>
      </c>
    </row>
    <row r="10" spans="1:3" x14ac:dyDescent="0.35">
      <c r="A10">
        <v>-1563.6542220943702</v>
      </c>
      <c r="B10">
        <v>31</v>
      </c>
      <c r="C10" s="59">
        <v>0.34523809523809523</v>
      </c>
    </row>
    <row r="11" spans="1:3" x14ac:dyDescent="0.35">
      <c r="A11">
        <v>1052.80856547027</v>
      </c>
      <c r="B11">
        <v>66</v>
      </c>
      <c r="C11" s="59">
        <v>0.6071428571428571</v>
      </c>
    </row>
    <row r="12" spans="1:3" x14ac:dyDescent="0.35">
      <c r="A12">
        <v>3669.2713530349138</v>
      </c>
      <c r="B12">
        <v>44</v>
      </c>
      <c r="C12" s="59">
        <v>0.78174603174603174</v>
      </c>
    </row>
    <row r="13" spans="1:3" x14ac:dyDescent="0.35">
      <c r="A13">
        <v>6285.7341405995576</v>
      </c>
      <c r="B13">
        <v>5</v>
      </c>
      <c r="C13" s="59">
        <v>0.80158730158730163</v>
      </c>
    </row>
    <row r="14" spans="1:3" x14ac:dyDescent="0.35">
      <c r="A14">
        <v>8902.1969281641977</v>
      </c>
      <c r="B14">
        <v>6</v>
      </c>
      <c r="C14" s="59">
        <v>0.82539682539682535</v>
      </c>
    </row>
    <row r="15" spans="1:3" x14ac:dyDescent="0.35">
      <c r="A15">
        <v>11518.659715728838</v>
      </c>
      <c r="B15">
        <v>30</v>
      </c>
      <c r="C15" s="59">
        <v>0.94444444444444442</v>
      </c>
    </row>
    <row r="16" spans="1:3" x14ac:dyDescent="0.35">
      <c r="A16">
        <v>14135.122503293485</v>
      </c>
      <c r="B16">
        <v>12</v>
      </c>
      <c r="C16" s="59">
        <v>0.99206349206349209</v>
      </c>
    </row>
    <row r="17" spans="1:3" ht="15" thickBot="1" x14ac:dyDescent="0.4">
      <c r="A17" s="60" t="s">
        <v>47</v>
      </c>
      <c r="B17" s="60">
        <v>2</v>
      </c>
      <c r="C17" s="61">
        <v>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601EB-319C-4A74-87C2-0A34E26951C1}">
  <dimension ref="A1:C72"/>
  <sheetViews>
    <sheetView zoomScale="72" zoomScaleNormal="72" workbookViewId="0">
      <selection activeCell="S20" sqref="S20"/>
    </sheetView>
  </sheetViews>
  <sheetFormatPr baseColWidth="10" defaultRowHeight="14.5" x14ac:dyDescent="0.35"/>
  <sheetData>
    <row r="1" spans="1:3" x14ac:dyDescent="0.35">
      <c r="A1" s="100" t="s">
        <v>46</v>
      </c>
      <c r="B1" s="100" t="s">
        <v>48</v>
      </c>
      <c r="C1" s="100" t="s">
        <v>49</v>
      </c>
    </row>
    <row r="2" spans="1:3" x14ac:dyDescent="0.35">
      <c r="A2" s="96">
        <v>-12057.380000000001</v>
      </c>
      <c r="B2" s="96">
        <v>1</v>
      </c>
      <c r="C2" s="97">
        <v>2.0000000000000001E-4</v>
      </c>
    </row>
    <row r="3" spans="1:3" x14ac:dyDescent="0.35">
      <c r="A3" s="96">
        <v>-11704.310714285715</v>
      </c>
      <c r="B3" s="96">
        <v>1</v>
      </c>
      <c r="C3" s="97">
        <v>4.0000000000000002E-4</v>
      </c>
    </row>
    <row r="4" spans="1:3" x14ac:dyDescent="0.35">
      <c r="A4" s="96">
        <v>-11351.241428571429</v>
      </c>
      <c r="B4" s="96">
        <v>0</v>
      </c>
      <c r="C4" s="97">
        <v>4.0000000000000002E-4</v>
      </c>
    </row>
    <row r="5" spans="1:3" x14ac:dyDescent="0.35">
      <c r="A5" s="96">
        <v>-10998.172142857144</v>
      </c>
      <c r="B5" s="96">
        <v>1</v>
      </c>
      <c r="C5" s="97">
        <v>5.9999999999999995E-4</v>
      </c>
    </row>
    <row r="6" spans="1:3" x14ac:dyDescent="0.35">
      <c r="A6" s="96">
        <v>-10645.102857142858</v>
      </c>
      <c r="B6" s="96">
        <v>3</v>
      </c>
      <c r="C6" s="97">
        <v>1.1999999999999999E-3</v>
      </c>
    </row>
    <row r="7" spans="1:3" x14ac:dyDescent="0.35">
      <c r="A7" s="96">
        <v>-10292.033571428572</v>
      </c>
      <c r="B7" s="96">
        <v>2</v>
      </c>
      <c r="C7" s="97">
        <v>1.6000000000000001E-3</v>
      </c>
    </row>
    <row r="8" spans="1:3" x14ac:dyDescent="0.35">
      <c r="A8" s="96">
        <v>-9938.9642857142862</v>
      </c>
      <c r="B8" s="96">
        <v>3</v>
      </c>
      <c r="C8" s="97">
        <v>2.2000000000000001E-3</v>
      </c>
    </row>
    <row r="9" spans="1:3" x14ac:dyDescent="0.35">
      <c r="A9" s="96">
        <v>-9585.8950000000004</v>
      </c>
      <c r="B9" s="96">
        <v>3</v>
      </c>
      <c r="C9" s="97">
        <v>2.8E-3</v>
      </c>
    </row>
    <row r="10" spans="1:3" x14ac:dyDescent="0.35">
      <c r="A10" s="96">
        <v>-9232.8257142857146</v>
      </c>
      <c r="B10" s="96">
        <v>7</v>
      </c>
      <c r="C10" s="97">
        <v>4.1999999999999997E-3</v>
      </c>
    </row>
    <row r="11" spans="1:3" x14ac:dyDescent="0.35">
      <c r="A11" s="96">
        <v>-8879.7564285714288</v>
      </c>
      <c r="B11" s="96">
        <v>11</v>
      </c>
      <c r="C11" s="97">
        <v>6.4000000000000003E-3</v>
      </c>
    </row>
    <row r="12" spans="1:3" x14ac:dyDescent="0.35">
      <c r="A12" s="96">
        <v>-8526.687142857143</v>
      </c>
      <c r="B12" s="96">
        <v>8</v>
      </c>
      <c r="C12" s="97">
        <v>8.0000000000000002E-3</v>
      </c>
    </row>
    <row r="13" spans="1:3" x14ac:dyDescent="0.35">
      <c r="A13" s="96">
        <v>-8173.6178571428591</v>
      </c>
      <c r="B13" s="96">
        <v>7</v>
      </c>
      <c r="C13" s="97">
        <v>9.4000000000000004E-3</v>
      </c>
    </row>
    <row r="14" spans="1:3" x14ac:dyDescent="0.35">
      <c r="A14" s="96">
        <v>-7820.5485714285733</v>
      </c>
      <c r="B14" s="96">
        <v>12</v>
      </c>
      <c r="C14" s="97">
        <v>1.18E-2</v>
      </c>
    </row>
    <row r="15" spans="1:3" x14ac:dyDescent="0.35">
      <c r="A15" s="96">
        <v>-7467.4792857142875</v>
      </c>
      <c r="B15" s="96">
        <v>20</v>
      </c>
      <c r="C15" s="97">
        <v>1.5800000000000002E-2</v>
      </c>
    </row>
    <row r="16" spans="1:3" x14ac:dyDescent="0.35">
      <c r="A16" s="96">
        <v>-7114.4100000000017</v>
      </c>
      <c r="B16" s="96">
        <v>12</v>
      </c>
      <c r="C16" s="97">
        <v>1.8200000000000001E-2</v>
      </c>
    </row>
    <row r="17" spans="1:3" x14ac:dyDescent="0.35">
      <c r="A17" s="96">
        <v>-6761.3407142857159</v>
      </c>
      <c r="B17" s="96">
        <v>34</v>
      </c>
      <c r="C17" s="97">
        <v>2.5000000000000001E-2</v>
      </c>
    </row>
    <row r="18" spans="1:3" x14ac:dyDescent="0.35">
      <c r="A18" s="96">
        <v>-6408.2714285714301</v>
      </c>
      <c r="B18" s="96">
        <v>30</v>
      </c>
      <c r="C18" s="97">
        <v>3.1E-2</v>
      </c>
    </row>
    <row r="19" spans="1:3" x14ac:dyDescent="0.35">
      <c r="A19" s="96">
        <v>-6055.2021428571443</v>
      </c>
      <c r="B19" s="96">
        <v>48</v>
      </c>
      <c r="C19" s="97">
        <v>4.0599999999999997E-2</v>
      </c>
    </row>
    <row r="20" spans="1:3" x14ac:dyDescent="0.35">
      <c r="A20" s="96">
        <v>-5702.1328571428585</v>
      </c>
      <c r="B20" s="96">
        <v>49</v>
      </c>
      <c r="C20" s="97">
        <v>5.04E-2</v>
      </c>
    </row>
    <row r="21" spans="1:3" x14ac:dyDescent="0.35">
      <c r="A21" s="96">
        <v>-5349.0635714285727</v>
      </c>
      <c r="B21" s="96">
        <v>70</v>
      </c>
      <c r="C21" s="97">
        <v>6.4399999999999999E-2</v>
      </c>
    </row>
    <row r="22" spans="1:3" x14ac:dyDescent="0.35">
      <c r="A22" s="96">
        <v>-4995.9942857142869</v>
      </c>
      <c r="B22" s="96">
        <v>87</v>
      </c>
      <c r="C22" s="97">
        <v>8.1799999999999998E-2</v>
      </c>
    </row>
    <row r="23" spans="1:3" x14ac:dyDescent="0.35">
      <c r="A23" s="96">
        <v>-4642.925000000002</v>
      </c>
      <c r="B23" s="96">
        <v>103</v>
      </c>
      <c r="C23" s="97">
        <v>0.1024</v>
      </c>
    </row>
    <row r="24" spans="1:3" x14ac:dyDescent="0.35">
      <c r="A24" s="96">
        <v>-4289.8557142857162</v>
      </c>
      <c r="B24" s="96">
        <v>104</v>
      </c>
      <c r="C24" s="97">
        <v>0.1232</v>
      </c>
    </row>
    <row r="25" spans="1:3" x14ac:dyDescent="0.35">
      <c r="A25" s="96">
        <v>-3936.7864285714304</v>
      </c>
      <c r="B25" s="96">
        <v>115</v>
      </c>
      <c r="C25" s="97">
        <v>0.1462</v>
      </c>
    </row>
    <row r="26" spans="1:3" x14ac:dyDescent="0.35">
      <c r="A26" s="96">
        <v>-3583.7171428571455</v>
      </c>
      <c r="B26" s="96">
        <v>133</v>
      </c>
      <c r="C26" s="97">
        <v>0.17280000000000001</v>
      </c>
    </row>
    <row r="27" spans="1:3" x14ac:dyDescent="0.35">
      <c r="A27" s="96">
        <v>-3230.6478571428597</v>
      </c>
      <c r="B27" s="96">
        <v>150</v>
      </c>
      <c r="C27" s="97">
        <v>0.20280000000000001</v>
      </c>
    </row>
    <row r="28" spans="1:3" x14ac:dyDescent="0.35">
      <c r="A28" s="96">
        <v>-2877.5785714285739</v>
      </c>
      <c r="B28" s="96">
        <v>139</v>
      </c>
      <c r="C28" s="97">
        <v>0.2306</v>
      </c>
    </row>
    <row r="29" spans="1:3" x14ac:dyDescent="0.35">
      <c r="A29" s="96">
        <v>-2524.5092857142881</v>
      </c>
      <c r="B29" s="96">
        <v>168</v>
      </c>
      <c r="C29" s="97">
        <v>0.26419999999999999</v>
      </c>
    </row>
    <row r="30" spans="1:3" x14ac:dyDescent="0.35">
      <c r="A30" s="96">
        <v>-2171.4400000000023</v>
      </c>
      <c r="B30" s="96">
        <v>185</v>
      </c>
      <c r="C30" s="97">
        <v>0.30120000000000002</v>
      </c>
    </row>
    <row r="31" spans="1:3" x14ac:dyDescent="0.35">
      <c r="A31" s="96">
        <v>-1818.3707142857165</v>
      </c>
      <c r="B31" s="96">
        <v>179</v>
      </c>
      <c r="C31" s="97">
        <v>0.33700000000000002</v>
      </c>
    </row>
    <row r="32" spans="1:3" x14ac:dyDescent="0.35">
      <c r="A32" s="96">
        <v>-1465.3014285714307</v>
      </c>
      <c r="B32" s="96">
        <v>174</v>
      </c>
      <c r="C32" s="97">
        <v>0.37180000000000002</v>
      </c>
    </row>
    <row r="33" spans="1:3" x14ac:dyDescent="0.35">
      <c r="A33" s="96">
        <v>-1112.2321428571449</v>
      </c>
      <c r="B33" s="96">
        <v>194</v>
      </c>
      <c r="C33" s="97">
        <v>0.41060000000000002</v>
      </c>
    </row>
    <row r="34" spans="1:3" x14ac:dyDescent="0.35">
      <c r="A34" s="96">
        <v>-759.16285714285914</v>
      </c>
      <c r="B34" s="96">
        <v>181</v>
      </c>
      <c r="C34" s="97">
        <v>0.44679999999999997</v>
      </c>
    </row>
    <row r="35" spans="1:3" x14ac:dyDescent="0.35">
      <c r="A35" s="96">
        <v>-406.09357142857334</v>
      </c>
      <c r="B35" s="96">
        <v>226</v>
      </c>
      <c r="C35" s="97">
        <v>0.49199999999999999</v>
      </c>
    </row>
    <row r="36" spans="1:3" x14ac:dyDescent="0.35">
      <c r="A36" s="96">
        <v>-53.024285714287544</v>
      </c>
      <c r="B36" s="96">
        <v>211</v>
      </c>
      <c r="C36" s="97">
        <v>0.53420000000000001</v>
      </c>
    </row>
    <row r="37" spans="1:3" x14ac:dyDescent="0.35">
      <c r="A37" s="96">
        <v>300.04499999999825</v>
      </c>
      <c r="B37" s="96">
        <v>209</v>
      </c>
      <c r="C37" s="97">
        <v>0.57599999999999996</v>
      </c>
    </row>
    <row r="38" spans="1:3" x14ac:dyDescent="0.35">
      <c r="A38" s="96">
        <v>653.11428571428405</v>
      </c>
      <c r="B38" s="96">
        <v>187</v>
      </c>
      <c r="C38" s="97">
        <v>0.61339999999999995</v>
      </c>
    </row>
    <row r="39" spans="1:3" x14ac:dyDescent="0.35">
      <c r="A39" s="96">
        <v>1006.1835714285698</v>
      </c>
      <c r="B39" s="96">
        <v>176</v>
      </c>
      <c r="C39" s="97">
        <v>0.64859999999999995</v>
      </c>
    </row>
    <row r="40" spans="1:3" x14ac:dyDescent="0.35">
      <c r="A40" s="96">
        <v>1359.2528571428556</v>
      </c>
      <c r="B40" s="96">
        <v>200</v>
      </c>
      <c r="C40" s="97">
        <v>0.68859999999999999</v>
      </c>
    </row>
    <row r="41" spans="1:3" x14ac:dyDescent="0.35">
      <c r="A41" s="96">
        <v>1712.3221428571414</v>
      </c>
      <c r="B41" s="96">
        <v>178</v>
      </c>
      <c r="C41" s="97">
        <v>0.72419999999999995</v>
      </c>
    </row>
    <row r="42" spans="1:3" x14ac:dyDescent="0.35">
      <c r="A42" s="96">
        <v>2065.3914285714272</v>
      </c>
      <c r="B42" s="96">
        <v>180</v>
      </c>
      <c r="C42" s="97">
        <v>0.76019999999999999</v>
      </c>
    </row>
    <row r="43" spans="1:3" x14ac:dyDescent="0.35">
      <c r="A43" s="96">
        <v>2418.4607142857112</v>
      </c>
      <c r="B43" s="96">
        <v>134</v>
      </c>
      <c r="C43" s="97">
        <v>0.78700000000000003</v>
      </c>
    </row>
    <row r="44" spans="1:3" x14ac:dyDescent="0.35">
      <c r="A44" s="96">
        <v>2771.529999999997</v>
      </c>
      <c r="B44" s="96">
        <v>135</v>
      </c>
      <c r="C44" s="97">
        <v>0.81399999999999995</v>
      </c>
    </row>
    <row r="45" spans="1:3" x14ac:dyDescent="0.35">
      <c r="A45" s="96">
        <v>3124.5992857142828</v>
      </c>
      <c r="B45" s="96">
        <v>129</v>
      </c>
      <c r="C45" s="97">
        <v>0.83979999999999999</v>
      </c>
    </row>
    <row r="46" spans="1:3" x14ac:dyDescent="0.35">
      <c r="A46" s="96">
        <v>3477.6685714285686</v>
      </c>
      <c r="B46" s="96">
        <v>118</v>
      </c>
      <c r="C46" s="97">
        <v>0.86339999999999995</v>
      </c>
    </row>
    <row r="47" spans="1:3" x14ac:dyDescent="0.35">
      <c r="A47" s="96">
        <v>3830.7378571428544</v>
      </c>
      <c r="B47" s="96">
        <v>111</v>
      </c>
      <c r="C47" s="97">
        <v>0.88560000000000005</v>
      </c>
    </row>
    <row r="48" spans="1:3" x14ac:dyDescent="0.35">
      <c r="A48" s="96">
        <v>4183.8071428571402</v>
      </c>
      <c r="B48" s="96">
        <v>91</v>
      </c>
      <c r="C48" s="97">
        <v>0.90380000000000005</v>
      </c>
    </row>
    <row r="49" spans="1:3" x14ac:dyDescent="0.35">
      <c r="A49" s="96">
        <v>4536.8764285714278</v>
      </c>
      <c r="B49" s="96">
        <v>82</v>
      </c>
      <c r="C49" s="97">
        <v>0.92020000000000002</v>
      </c>
    </row>
    <row r="50" spans="1:3" x14ac:dyDescent="0.35">
      <c r="A50" s="96">
        <v>4889.94571428571</v>
      </c>
      <c r="B50" s="96">
        <v>58</v>
      </c>
      <c r="C50" s="97">
        <v>0.93179999999999996</v>
      </c>
    </row>
    <row r="51" spans="1:3" x14ac:dyDescent="0.35">
      <c r="A51" s="96">
        <v>5243.0149999999958</v>
      </c>
      <c r="B51" s="96">
        <v>57</v>
      </c>
      <c r="C51" s="97">
        <v>0.94320000000000004</v>
      </c>
    </row>
    <row r="52" spans="1:3" x14ac:dyDescent="0.35">
      <c r="A52" s="96">
        <v>5596.0842857142816</v>
      </c>
      <c r="B52" s="96">
        <v>47</v>
      </c>
      <c r="C52" s="97">
        <v>0.9526</v>
      </c>
    </row>
    <row r="53" spans="1:3" x14ac:dyDescent="0.35">
      <c r="A53" s="96">
        <v>5949.1535714285674</v>
      </c>
      <c r="B53" s="96">
        <v>51</v>
      </c>
      <c r="C53" s="97">
        <v>0.96279999999999999</v>
      </c>
    </row>
    <row r="54" spans="1:3" x14ac:dyDescent="0.35">
      <c r="A54" s="96">
        <v>6302.2228571428532</v>
      </c>
      <c r="B54" s="96">
        <v>40</v>
      </c>
      <c r="C54" s="97">
        <v>0.9708</v>
      </c>
    </row>
    <row r="55" spans="1:3" x14ac:dyDescent="0.35">
      <c r="A55" s="96">
        <v>6655.292142857139</v>
      </c>
      <c r="B55" s="96">
        <v>30</v>
      </c>
      <c r="C55" s="97">
        <v>0.9768</v>
      </c>
    </row>
    <row r="56" spans="1:3" x14ac:dyDescent="0.35">
      <c r="A56" s="96">
        <v>7008.3614285714248</v>
      </c>
      <c r="B56" s="96">
        <v>29</v>
      </c>
      <c r="C56" s="97">
        <v>0.98260000000000003</v>
      </c>
    </row>
    <row r="57" spans="1:3" x14ac:dyDescent="0.35">
      <c r="A57" s="96">
        <v>7361.4307142857106</v>
      </c>
      <c r="B57" s="96">
        <v>21</v>
      </c>
      <c r="C57" s="97">
        <v>0.98680000000000001</v>
      </c>
    </row>
    <row r="58" spans="1:3" x14ac:dyDescent="0.35">
      <c r="A58" s="96">
        <v>7714.4999999999964</v>
      </c>
      <c r="B58" s="96">
        <v>15</v>
      </c>
      <c r="C58" s="97">
        <v>0.98980000000000001</v>
      </c>
    </row>
    <row r="59" spans="1:3" x14ac:dyDescent="0.35">
      <c r="A59" s="96">
        <v>8067.5692857142822</v>
      </c>
      <c r="B59" s="96">
        <v>13</v>
      </c>
      <c r="C59" s="97">
        <v>0.99239999999999995</v>
      </c>
    </row>
    <row r="60" spans="1:3" x14ac:dyDescent="0.35">
      <c r="A60" s="96">
        <v>8420.638571428568</v>
      </c>
      <c r="B60" s="96">
        <v>12</v>
      </c>
      <c r="C60" s="97">
        <v>0.99480000000000002</v>
      </c>
    </row>
    <row r="61" spans="1:3" x14ac:dyDescent="0.35">
      <c r="A61" s="96">
        <v>8773.7078571428538</v>
      </c>
      <c r="B61" s="96">
        <v>5</v>
      </c>
      <c r="C61" s="97">
        <v>0.99580000000000002</v>
      </c>
    </row>
    <row r="62" spans="1:3" x14ac:dyDescent="0.35">
      <c r="A62" s="96">
        <v>9126.7771428571396</v>
      </c>
      <c r="B62" s="96">
        <v>1</v>
      </c>
      <c r="C62" s="97">
        <v>0.996</v>
      </c>
    </row>
    <row r="63" spans="1:3" x14ac:dyDescent="0.35">
      <c r="A63" s="96">
        <v>9479.8464285714253</v>
      </c>
      <c r="B63" s="96">
        <v>4</v>
      </c>
      <c r="C63" s="97">
        <v>0.99680000000000002</v>
      </c>
    </row>
    <row r="64" spans="1:3" x14ac:dyDescent="0.35">
      <c r="A64" s="96">
        <v>9832.9157142857111</v>
      </c>
      <c r="B64" s="96">
        <v>4</v>
      </c>
      <c r="C64" s="97">
        <v>0.99760000000000004</v>
      </c>
    </row>
    <row r="65" spans="1:3" x14ac:dyDescent="0.35">
      <c r="A65" s="96">
        <v>10185.984999999997</v>
      </c>
      <c r="B65" s="96">
        <v>4</v>
      </c>
      <c r="C65" s="97">
        <v>0.99839999999999995</v>
      </c>
    </row>
    <row r="66" spans="1:3" x14ac:dyDescent="0.35">
      <c r="A66" s="96">
        <v>10539.054285714283</v>
      </c>
      <c r="B66" s="96">
        <v>2</v>
      </c>
      <c r="C66" s="97">
        <v>0.99880000000000002</v>
      </c>
    </row>
    <row r="67" spans="1:3" x14ac:dyDescent="0.35">
      <c r="A67" s="96">
        <v>10892.123571428569</v>
      </c>
      <c r="B67" s="96">
        <v>1</v>
      </c>
      <c r="C67" s="97">
        <v>0.999</v>
      </c>
    </row>
    <row r="68" spans="1:3" x14ac:dyDescent="0.35">
      <c r="A68" s="96">
        <v>11245.192857142854</v>
      </c>
      <c r="B68" s="96">
        <v>1</v>
      </c>
      <c r="C68" s="97">
        <v>0.99919999999999998</v>
      </c>
    </row>
    <row r="69" spans="1:3" x14ac:dyDescent="0.35">
      <c r="A69" s="96">
        <v>11598.26214285714</v>
      </c>
      <c r="B69" s="96">
        <v>1</v>
      </c>
      <c r="C69" s="97">
        <v>0.99939999999999996</v>
      </c>
    </row>
    <row r="70" spans="1:3" x14ac:dyDescent="0.35">
      <c r="A70" s="96">
        <v>11951.331428571426</v>
      </c>
      <c r="B70" s="96">
        <v>1</v>
      </c>
      <c r="C70" s="97">
        <v>0.99960000000000004</v>
      </c>
    </row>
    <row r="71" spans="1:3" x14ac:dyDescent="0.35">
      <c r="A71" s="96">
        <v>12304.400714285712</v>
      </c>
      <c r="B71" s="96">
        <v>0</v>
      </c>
      <c r="C71" s="97">
        <v>0.99960000000000004</v>
      </c>
    </row>
    <row r="72" spans="1:3" ht="15" thickBot="1" x14ac:dyDescent="0.4">
      <c r="A72" s="98" t="s">
        <v>47</v>
      </c>
      <c r="B72" s="98">
        <v>2</v>
      </c>
      <c r="C72" s="99"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B28CB-F1C8-40CA-8C4B-F178C94F248A}">
  <sheetPr codeName="Hoja1"/>
  <dimension ref="A1:M5016"/>
  <sheetViews>
    <sheetView tabSelected="1" zoomScale="76" zoomScaleNormal="76" workbookViewId="0">
      <selection activeCell="O7" sqref="O7"/>
    </sheetView>
  </sheetViews>
  <sheetFormatPr baseColWidth="10" defaultRowHeight="14.5" x14ac:dyDescent="0.35"/>
  <cols>
    <col min="1" max="1" width="17.36328125" customWidth="1"/>
    <col min="2" max="2" width="13.81640625" style="75" customWidth="1"/>
    <col min="3" max="3" width="14.08984375" style="75" customWidth="1"/>
    <col min="4" max="4" width="16.1796875" style="75" customWidth="1"/>
    <col min="5" max="5" width="14.6328125" style="75" customWidth="1"/>
    <col min="6" max="6" width="14.1796875" style="75" customWidth="1"/>
    <col min="7" max="7" width="14.36328125" style="75" customWidth="1"/>
    <col min="8" max="8" width="16.36328125" style="75" customWidth="1"/>
    <col min="9" max="9" width="12.7265625" style="75" customWidth="1"/>
    <col min="10" max="10" width="13.6328125" style="75" customWidth="1"/>
  </cols>
  <sheetData>
    <row r="1" spans="1:13" ht="23.5" x14ac:dyDescent="0.55000000000000004">
      <c r="A1" s="63" t="s">
        <v>50</v>
      </c>
      <c r="B1"/>
      <c r="C1"/>
      <c r="D1"/>
      <c r="E1"/>
      <c r="F1"/>
      <c r="G1"/>
      <c r="H1"/>
      <c r="I1"/>
      <c r="J1"/>
    </row>
    <row r="2" spans="1:13" x14ac:dyDescent="0.35">
      <c r="B2"/>
      <c r="C2"/>
      <c r="D2"/>
      <c r="E2"/>
      <c r="F2"/>
      <c r="G2"/>
      <c r="H2"/>
      <c r="I2"/>
      <c r="J2"/>
    </row>
    <row r="3" spans="1:13" x14ac:dyDescent="0.35">
      <c r="B3"/>
      <c r="C3"/>
      <c r="D3"/>
      <c r="E3"/>
      <c r="F3"/>
      <c r="G3"/>
      <c r="H3"/>
      <c r="I3"/>
      <c r="J3"/>
    </row>
    <row r="4" spans="1:13" x14ac:dyDescent="0.35">
      <c r="A4" s="64"/>
      <c r="B4" s="4" t="s">
        <v>28</v>
      </c>
      <c r="C4" s="4" t="s">
        <v>29</v>
      </c>
      <c r="D4" s="4" t="s">
        <v>22</v>
      </c>
      <c r="E4" s="4" t="s">
        <v>30</v>
      </c>
      <c r="F4"/>
      <c r="G4"/>
      <c r="H4"/>
      <c r="I4"/>
      <c r="J4"/>
    </row>
    <row r="5" spans="1:13" ht="29" x14ac:dyDescent="0.35">
      <c r="A5" s="65" t="s">
        <v>51</v>
      </c>
      <c r="B5" s="76">
        <f>'VaR Parmétrico'!F9</f>
        <v>89.553641395063494</v>
      </c>
      <c r="C5" s="76">
        <f>'VaR Parmétrico'!F10</f>
        <v>98.209889506628784</v>
      </c>
      <c r="D5" s="76">
        <f>'VaR Parmétrico'!F11</f>
        <v>92.816080105486606</v>
      </c>
      <c r="E5" s="76">
        <f>'VaR Parmétrico'!F12</f>
        <v>93.380639654701227</v>
      </c>
      <c r="F5" s="66"/>
      <c r="G5"/>
      <c r="H5"/>
      <c r="I5"/>
      <c r="J5"/>
    </row>
    <row r="6" spans="1:13" x14ac:dyDescent="0.35">
      <c r="A6" s="67" t="s">
        <v>1</v>
      </c>
      <c r="B6" s="68">
        <f>'VaR Parmétrico'!G9</f>
        <v>3300</v>
      </c>
      <c r="C6" s="68">
        <f>'VaR Parmétrico'!G10</f>
        <v>1500</v>
      </c>
      <c r="D6" s="68">
        <f>'VaR Parmétrico'!G11</f>
        <v>2000</v>
      </c>
      <c r="E6" s="68">
        <f>'VaR Parmétrico'!G12</f>
        <v>1000</v>
      </c>
      <c r="F6"/>
      <c r="G6"/>
      <c r="H6"/>
      <c r="I6"/>
      <c r="J6"/>
    </row>
    <row r="7" spans="1:13" x14ac:dyDescent="0.35">
      <c r="A7" s="67" t="s">
        <v>52</v>
      </c>
      <c r="B7" s="69">
        <f>Portafolio!G2</f>
        <v>4.426737419598592E-4</v>
      </c>
      <c r="C7" s="69">
        <f>Portafolio!H2</f>
        <v>5.8672449658801686E-4</v>
      </c>
      <c r="D7" s="69">
        <f>Portafolio!I2</f>
        <v>6.3055776852513135E-4</v>
      </c>
      <c r="E7" s="69">
        <f>Portafolio!J2</f>
        <v>5.4603690774421287E-4</v>
      </c>
      <c r="F7"/>
      <c r="G7"/>
      <c r="H7"/>
      <c r="I7"/>
      <c r="K7" s="9" t="s">
        <v>53</v>
      </c>
      <c r="L7" s="45">
        <f>SUMPRODUCT(B5:E5,B6:E6)</f>
        <v>721854.65072932711</v>
      </c>
    </row>
    <row r="8" spans="1:13" ht="29" x14ac:dyDescent="0.35">
      <c r="A8" s="65" t="s">
        <v>5</v>
      </c>
      <c r="B8" s="70">
        <f>'VaR Parmétrico'!K9</f>
        <v>9.057945335856063E-2</v>
      </c>
      <c r="C8" s="70">
        <f>'VaR Parmétrico'!K10</f>
        <v>0.14198003396830197</v>
      </c>
      <c r="D8" s="70">
        <f>'VaR Parmétrico'!K11</f>
        <v>0.18249892104591781</v>
      </c>
      <c r="E8" s="70">
        <f>'VaR Parmétrico'!K12</f>
        <v>0.27232832974517551</v>
      </c>
      <c r="F8"/>
      <c r="G8"/>
      <c r="H8"/>
      <c r="I8"/>
      <c r="J8"/>
    </row>
    <row r="9" spans="1:13" ht="16.5" x14ac:dyDescent="0.45">
      <c r="B9"/>
      <c r="C9"/>
      <c r="D9"/>
      <c r="E9"/>
      <c r="F9"/>
      <c r="G9"/>
      <c r="H9"/>
      <c r="I9"/>
      <c r="K9" s="11" t="s">
        <v>54</v>
      </c>
      <c r="L9" s="71">
        <f>PERCENTILE(J17:J5016,0.01)</f>
        <v>-8103.6155999999992</v>
      </c>
      <c r="M9" s="36">
        <f>L9/L7</f>
        <v>-1.1226104302039887E-2</v>
      </c>
    </row>
    <row r="10" spans="1:13" ht="16.5" x14ac:dyDescent="0.45">
      <c r="B10"/>
      <c r="C10"/>
      <c r="D10"/>
      <c r="E10"/>
      <c r="F10"/>
      <c r="G10"/>
      <c r="H10"/>
      <c r="I10"/>
      <c r="K10" s="11" t="s">
        <v>55</v>
      </c>
      <c r="L10" s="71">
        <f>AVERAGEIF(J17:J5016,"&lt;"&amp;L9,J17:J5016)</f>
        <v>-9326.3500000000022</v>
      </c>
      <c r="M10" s="36">
        <f>L10/L7</f>
        <v>-1.2919983255046024E-2</v>
      </c>
    </row>
    <row r="11" spans="1:13" x14ac:dyDescent="0.35">
      <c r="A11" s="11" t="s">
        <v>56</v>
      </c>
      <c r="B11" s="72">
        <v>5000</v>
      </c>
      <c r="C11"/>
      <c r="D11"/>
      <c r="E11"/>
      <c r="F11"/>
      <c r="G11"/>
      <c r="H11"/>
      <c r="I11"/>
      <c r="J11"/>
    </row>
    <row r="12" spans="1:13" x14ac:dyDescent="0.35">
      <c r="B12"/>
      <c r="C12"/>
      <c r="D12"/>
      <c r="E12"/>
      <c r="F12"/>
      <c r="G12"/>
      <c r="H12"/>
      <c r="I12"/>
      <c r="J12"/>
    </row>
    <row r="13" spans="1:13" ht="18.5" x14ac:dyDescent="0.45">
      <c r="A13" s="73" t="s">
        <v>57</v>
      </c>
      <c r="B13"/>
      <c r="C13"/>
      <c r="D13"/>
      <c r="E13"/>
      <c r="F13"/>
      <c r="G13"/>
      <c r="H13"/>
      <c r="I13"/>
      <c r="J13"/>
    </row>
    <row r="14" spans="1:13" x14ac:dyDescent="0.35">
      <c r="B14"/>
      <c r="C14"/>
      <c r="D14"/>
      <c r="E14" s="14"/>
      <c r="F14"/>
      <c r="G14"/>
      <c r="H14"/>
      <c r="I14"/>
      <c r="J14"/>
    </row>
    <row r="15" spans="1:13" ht="14.5" customHeight="1" x14ac:dyDescent="0.35">
      <c r="B15" s="91" t="s">
        <v>58</v>
      </c>
      <c r="C15" s="92"/>
      <c r="D15" s="92"/>
      <c r="E15" s="93"/>
      <c r="F15" s="94" t="s">
        <v>59</v>
      </c>
      <c r="G15" s="95"/>
      <c r="H15" s="95"/>
      <c r="I15" s="95"/>
      <c r="J15"/>
    </row>
    <row r="16" spans="1:13" x14ac:dyDescent="0.35">
      <c r="A16" s="64" t="s">
        <v>60</v>
      </c>
      <c r="B16" s="4" t="s">
        <v>28</v>
      </c>
      <c r="C16" s="4" t="s">
        <v>29</v>
      </c>
      <c r="D16" s="4" t="s">
        <v>22</v>
      </c>
      <c r="E16" s="4" t="s">
        <v>30</v>
      </c>
      <c r="F16" s="4" t="s">
        <v>28</v>
      </c>
      <c r="G16" s="4" t="s">
        <v>29</v>
      </c>
      <c r="H16" s="4" t="s">
        <v>22</v>
      </c>
      <c r="I16" s="4" t="s">
        <v>30</v>
      </c>
      <c r="J16" s="74" t="s">
        <v>37</v>
      </c>
    </row>
    <row r="17" spans="1:10" x14ac:dyDescent="0.35">
      <c r="A17">
        <v>1</v>
      </c>
      <c r="B17" s="75">
        <v>89.79</v>
      </c>
      <c r="C17" s="75">
        <v>98.22</v>
      </c>
      <c r="D17" s="75">
        <v>91.76</v>
      </c>
      <c r="E17" s="75">
        <v>92.82</v>
      </c>
      <c r="F17">
        <v>-768.24</v>
      </c>
      <c r="G17">
        <v>-14.7</v>
      </c>
      <c r="H17">
        <v>2115.4</v>
      </c>
      <c r="I17">
        <v>562.30000000000007</v>
      </c>
      <c r="J17">
        <v>1894.7600000000002</v>
      </c>
    </row>
    <row r="18" spans="1:10" x14ac:dyDescent="0.35">
      <c r="A18">
        <v>2</v>
      </c>
      <c r="B18" s="75">
        <v>89.8309</v>
      </c>
      <c r="C18" s="75">
        <v>99.311000000000007</v>
      </c>
      <c r="D18" s="75">
        <v>94.027699999999996</v>
      </c>
      <c r="E18" s="75">
        <v>94.052700000000002</v>
      </c>
      <c r="F18">
        <v>-915.08999999999992</v>
      </c>
      <c r="G18">
        <v>-1651.6499999999999</v>
      </c>
      <c r="H18">
        <v>-2423.1999999999998</v>
      </c>
      <c r="I18">
        <v>-672.1</v>
      </c>
      <c r="J18">
        <v>-5662.04</v>
      </c>
    </row>
    <row r="19" spans="1:10" x14ac:dyDescent="0.35">
      <c r="A19">
        <v>3</v>
      </c>
      <c r="B19" s="75">
        <v>89.54</v>
      </c>
      <c r="C19" s="75">
        <v>98.79</v>
      </c>
      <c r="D19" s="75">
        <v>92.86</v>
      </c>
      <c r="E19" s="75">
        <v>94.85</v>
      </c>
      <c r="F19">
        <v>56.76</v>
      </c>
      <c r="G19">
        <v>-867.6</v>
      </c>
      <c r="H19">
        <v>-84.6</v>
      </c>
      <c r="I19">
        <v>-1472.5</v>
      </c>
      <c r="J19">
        <v>-2367.94</v>
      </c>
    </row>
    <row r="20" spans="1:10" x14ac:dyDescent="0.35">
      <c r="A20">
        <v>4</v>
      </c>
      <c r="B20" s="75">
        <v>89.220399999999998</v>
      </c>
      <c r="C20" s="75">
        <v>97.637699999999995</v>
      </c>
      <c r="D20" s="75">
        <v>93.015199999999993</v>
      </c>
      <c r="E20" s="75">
        <v>92.823499999999996</v>
      </c>
      <c r="F20">
        <v>1099.56</v>
      </c>
      <c r="G20">
        <v>858.30000000000007</v>
      </c>
      <c r="H20">
        <v>-398.2</v>
      </c>
      <c r="I20">
        <v>557.1</v>
      </c>
      <c r="J20">
        <v>2116.7600000000002</v>
      </c>
    </row>
    <row r="21" spans="1:10" x14ac:dyDescent="0.35">
      <c r="A21">
        <v>5</v>
      </c>
      <c r="B21" s="75">
        <v>88.64</v>
      </c>
      <c r="C21" s="75">
        <v>97.72</v>
      </c>
      <c r="D21" s="75">
        <v>92.09</v>
      </c>
      <c r="E21" s="75">
        <v>92.63</v>
      </c>
      <c r="F21">
        <v>3022.8</v>
      </c>
      <c r="G21">
        <v>741.15</v>
      </c>
      <c r="H21">
        <v>1445.8</v>
      </c>
      <c r="I21">
        <v>751.7</v>
      </c>
      <c r="J21">
        <v>5961.45</v>
      </c>
    </row>
    <row r="22" spans="1:10" x14ac:dyDescent="0.35">
      <c r="A22">
        <v>6</v>
      </c>
      <c r="B22" s="75">
        <v>90.429500000000004</v>
      </c>
      <c r="C22" s="75">
        <v>98.620699999999999</v>
      </c>
      <c r="D22" s="75">
        <v>93.226699999999994</v>
      </c>
      <c r="E22" s="75">
        <v>95.162300000000002</v>
      </c>
      <c r="F22">
        <v>-2890.4700000000003</v>
      </c>
      <c r="G22">
        <v>-616.20000000000005</v>
      </c>
      <c r="H22">
        <v>-821.2</v>
      </c>
      <c r="I22">
        <v>-1781.7</v>
      </c>
      <c r="J22">
        <v>-6109.57</v>
      </c>
    </row>
    <row r="23" spans="1:10" x14ac:dyDescent="0.35">
      <c r="A23">
        <v>7</v>
      </c>
      <c r="B23" s="75">
        <v>89.2</v>
      </c>
      <c r="C23" s="75">
        <v>99.14</v>
      </c>
      <c r="D23" s="75">
        <v>92.06</v>
      </c>
      <c r="E23" s="75">
        <v>93.7</v>
      </c>
      <c r="F23">
        <v>1179.75</v>
      </c>
      <c r="G23">
        <v>-1390.2</v>
      </c>
      <c r="H23">
        <v>1522</v>
      </c>
      <c r="I23">
        <v>-324.29999999999995</v>
      </c>
      <c r="J23">
        <v>987.25</v>
      </c>
    </row>
    <row r="24" spans="1:10" x14ac:dyDescent="0.35">
      <c r="A24">
        <v>8</v>
      </c>
      <c r="B24" s="75">
        <v>89.8429</v>
      </c>
      <c r="C24" s="75">
        <v>98.164500000000004</v>
      </c>
      <c r="D24" s="75">
        <v>94.405799999999999</v>
      </c>
      <c r="E24" s="75">
        <v>95.197900000000004</v>
      </c>
      <c r="F24">
        <v>-954.69</v>
      </c>
      <c r="G24">
        <v>68.100000000000009</v>
      </c>
      <c r="H24">
        <v>-3179.3999999999996</v>
      </c>
      <c r="I24">
        <v>-1817.3</v>
      </c>
      <c r="J24">
        <v>-5883.29</v>
      </c>
    </row>
    <row r="25" spans="1:10" x14ac:dyDescent="0.35">
      <c r="A25">
        <v>9</v>
      </c>
      <c r="B25" s="75">
        <v>90.52</v>
      </c>
      <c r="C25" s="75">
        <v>98.15</v>
      </c>
      <c r="D25" s="75">
        <v>91.48</v>
      </c>
      <c r="E25" s="75">
        <v>94.43</v>
      </c>
      <c r="F25">
        <v>-3175.59</v>
      </c>
      <c r="G25">
        <v>90</v>
      </c>
      <c r="H25">
        <v>2674</v>
      </c>
      <c r="I25">
        <v>-1047.9000000000001</v>
      </c>
      <c r="J25">
        <v>-1459.4900000000002</v>
      </c>
    </row>
    <row r="26" spans="1:10" x14ac:dyDescent="0.35">
      <c r="A26">
        <v>10</v>
      </c>
      <c r="B26" s="75">
        <v>89.1571</v>
      </c>
      <c r="C26" s="75">
        <v>99.089299999999994</v>
      </c>
      <c r="D26" s="75">
        <v>91.2958</v>
      </c>
      <c r="E26" s="75">
        <v>93.315399999999997</v>
      </c>
      <c r="F26">
        <v>1308.45</v>
      </c>
      <c r="G26">
        <v>-1319.1</v>
      </c>
      <c r="H26">
        <v>3040.6</v>
      </c>
      <c r="I26">
        <v>65.199999999999989</v>
      </c>
      <c r="J26">
        <v>3095.1499999999996</v>
      </c>
    </row>
    <row r="27" spans="1:10" x14ac:dyDescent="0.35">
      <c r="A27">
        <v>11</v>
      </c>
      <c r="B27" s="75">
        <v>89.57</v>
      </c>
      <c r="C27" s="75">
        <v>98.05</v>
      </c>
      <c r="D27" s="75">
        <v>93.78</v>
      </c>
      <c r="E27" s="75">
        <v>92.96</v>
      </c>
      <c r="F27">
        <v>-65.34</v>
      </c>
      <c r="G27">
        <v>242.7</v>
      </c>
      <c r="H27">
        <v>-1930.6000000000001</v>
      </c>
      <c r="I27">
        <v>416.6</v>
      </c>
      <c r="J27">
        <v>-1336.6400000000003</v>
      </c>
    </row>
    <row r="28" spans="1:10" x14ac:dyDescent="0.35">
      <c r="A28">
        <v>12</v>
      </c>
      <c r="B28" s="75">
        <v>89.278599999999997</v>
      </c>
      <c r="C28" s="75">
        <v>97.615600000000001</v>
      </c>
      <c r="D28" s="75">
        <v>93.635300000000001</v>
      </c>
      <c r="E28" s="75">
        <v>92.626400000000004</v>
      </c>
      <c r="F28">
        <v>907.50000000000011</v>
      </c>
      <c r="G28">
        <v>891.45</v>
      </c>
      <c r="H28">
        <v>-1638.4</v>
      </c>
      <c r="I28">
        <v>754.19999999999993</v>
      </c>
      <c r="J28">
        <v>914.75000000000011</v>
      </c>
    </row>
    <row r="29" spans="1:10" x14ac:dyDescent="0.35">
      <c r="A29">
        <v>13</v>
      </c>
      <c r="B29" s="75">
        <v>89.65</v>
      </c>
      <c r="C29" s="75">
        <v>98.22</v>
      </c>
      <c r="D29" s="75">
        <v>91.78</v>
      </c>
      <c r="E29" s="75">
        <v>93.35</v>
      </c>
      <c r="F29">
        <v>-308.21999999999997</v>
      </c>
      <c r="G29">
        <v>-19.650000000000002</v>
      </c>
      <c r="H29">
        <v>2073.6</v>
      </c>
      <c r="I29">
        <v>29.7</v>
      </c>
      <c r="J29">
        <v>1775.43</v>
      </c>
    </row>
    <row r="30" spans="1:10" x14ac:dyDescent="0.35">
      <c r="A30">
        <v>14</v>
      </c>
      <c r="B30" s="75">
        <v>89.334699999999998</v>
      </c>
      <c r="C30" s="75">
        <v>99.389300000000006</v>
      </c>
      <c r="D30" s="75">
        <v>94.361599999999996</v>
      </c>
      <c r="E30" s="75">
        <v>94.899699999999996</v>
      </c>
      <c r="F30">
        <v>722.37</v>
      </c>
      <c r="G30">
        <v>-1769.1</v>
      </c>
      <c r="H30">
        <v>-3091</v>
      </c>
      <c r="I30">
        <v>-1519.1</v>
      </c>
      <c r="J30">
        <v>-5656.83</v>
      </c>
    </row>
    <row r="31" spans="1:10" x14ac:dyDescent="0.35">
      <c r="A31">
        <v>15</v>
      </c>
      <c r="B31" s="75">
        <v>88.91</v>
      </c>
      <c r="C31" s="75">
        <v>98.07</v>
      </c>
      <c r="D31" s="75">
        <v>92.21</v>
      </c>
      <c r="E31" s="75">
        <v>94.06</v>
      </c>
      <c r="F31">
        <v>2121.2400000000002</v>
      </c>
      <c r="G31">
        <v>213.15</v>
      </c>
      <c r="H31">
        <v>1208.5999999999999</v>
      </c>
      <c r="I31">
        <v>-679.2</v>
      </c>
      <c r="J31">
        <v>2863.79</v>
      </c>
    </row>
    <row r="32" spans="1:10" x14ac:dyDescent="0.35">
      <c r="A32">
        <v>16</v>
      </c>
      <c r="B32" s="75">
        <v>89.976900000000001</v>
      </c>
      <c r="C32" s="75">
        <v>98.695899999999995</v>
      </c>
      <c r="D32" s="75">
        <v>92.447800000000001</v>
      </c>
      <c r="E32" s="75">
        <v>93.272000000000006</v>
      </c>
      <c r="F32">
        <v>-1396.89</v>
      </c>
      <c r="G32">
        <v>-729</v>
      </c>
      <c r="H32">
        <v>736.6</v>
      </c>
      <c r="I32">
        <v>108.60000000000001</v>
      </c>
      <c r="J32">
        <v>-1280.6900000000005</v>
      </c>
    </row>
    <row r="33" spans="1:10" x14ac:dyDescent="0.35">
      <c r="A33">
        <v>17</v>
      </c>
      <c r="B33" s="75">
        <v>89.95</v>
      </c>
      <c r="C33" s="75">
        <v>98.3</v>
      </c>
      <c r="D33" s="75">
        <v>93.92</v>
      </c>
      <c r="E33" s="75">
        <v>95.07</v>
      </c>
      <c r="F33">
        <v>-1312.41</v>
      </c>
      <c r="G33">
        <v>-135.30000000000001</v>
      </c>
      <c r="H33">
        <v>-2217.2000000000003</v>
      </c>
      <c r="I33">
        <v>-1689.2</v>
      </c>
      <c r="J33">
        <v>-5354.1100000000006</v>
      </c>
    </row>
    <row r="34" spans="1:10" x14ac:dyDescent="0.35">
      <c r="A34">
        <v>18</v>
      </c>
      <c r="B34" s="75">
        <v>89.369600000000005</v>
      </c>
      <c r="C34" s="75">
        <v>97.683999999999997</v>
      </c>
      <c r="D34" s="75">
        <v>92.701700000000002</v>
      </c>
      <c r="E34" s="75">
        <v>94.622</v>
      </c>
      <c r="F34">
        <v>607.20000000000005</v>
      </c>
      <c r="G34">
        <v>788.85</v>
      </c>
      <c r="H34">
        <v>228.8</v>
      </c>
      <c r="I34">
        <v>-1241.4000000000001</v>
      </c>
      <c r="J34">
        <v>383.45000000000005</v>
      </c>
    </row>
    <row r="35" spans="1:10" x14ac:dyDescent="0.35">
      <c r="A35">
        <v>19</v>
      </c>
      <c r="B35" s="75">
        <v>89.71</v>
      </c>
      <c r="C35" s="75">
        <v>98.71</v>
      </c>
      <c r="D35" s="75">
        <v>93.49</v>
      </c>
      <c r="E35" s="75">
        <v>93.38</v>
      </c>
      <c r="F35">
        <v>-524.70000000000005</v>
      </c>
      <c r="G35">
        <v>-756.3</v>
      </c>
      <c r="H35">
        <v>-1350.2</v>
      </c>
      <c r="I35">
        <v>0</v>
      </c>
      <c r="J35">
        <v>-2631.2</v>
      </c>
    </row>
    <row r="36" spans="1:10" x14ac:dyDescent="0.35">
      <c r="A36">
        <v>20</v>
      </c>
      <c r="B36" s="75">
        <v>88.769900000000007</v>
      </c>
      <c r="C36" s="75">
        <v>98.431600000000003</v>
      </c>
      <c r="D36" s="75">
        <v>92.569599999999994</v>
      </c>
      <c r="E36" s="75">
        <v>93.734399999999994</v>
      </c>
      <c r="F36">
        <v>2586.21</v>
      </c>
      <c r="G36">
        <v>-332.55</v>
      </c>
      <c r="H36">
        <v>493</v>
      </c>
      <c r="I36">
        <v>-353.8</v>
      </c>
      <c r="J36">
        <v>2392.8599999999997</v>
      </c>
    </row>
    <row r="37" spans="1:10" x14ac:dyDescent="0.35">
      <c r="A37">
        <v>21</v>
      </c>
      <c r="B37" s="75">
        <v>90.24</v>
      </c>
      <c r="C37" s="75">
        <v>97.97</v>
      </c>
      <c r="D37" s="75">
        <v>91.49</v>
      </c>
      <c r="E37" s="75">
        <v>91.85</v>
      </c>
      <c r="F37">
        <v>-2260.5</v>
      </c>
      <c r="G37">
        <v>357.6</v>
      </c>
      <c r="H37">
        <v>2651.8</v>
      </c>
      <c r="I37">
        <v>1535.3000000000002</v>
      </c>
      <c r="J37">
        <v>2284.2000000000003</v>
      </c>
    </row>
    <row r="38" spans="1:10" x14ac:dyDescent="0.35">
      <c r="A38">
        <v>22</v>
      </c>
      <c r="B38" s="75">
        <v>88.992999999999995</v>
      </c>
      <c r="C38" s="75">
        <v>99.032600000000002</v>
      </c>
      <c r="D38" s="75">
        <v>92.351399999999998</v>
      </c>
      <c r="E38" s="75">
        <v>91.331699999999998</v>
      </c>
      <c r="F38">
        <v>1849.98</v>
      </c>
      <c r="G38">
        <v>-1234.05</v>
      </c>
      <c r="H38">
        <v>929.4</v>
      </c>
      <c r="I38">
        <v>2048.9</v>
      </c>
      <c r="J38">
        <v>3594.23</v>
      </c>
    </row>
    <row r="39" spans="1:10" x14ac:dyDescent="0.35">
      <c r="A39">
        <v>23</v>
      </c>
      <c r="B39" s="75">
        <v>88.4</v>
      </c>
      <c r="C39" s="75">
        <v>97.89</v>
      </c>
      <c r="D39" s="75">
        <v>93.03</v>
      </c>
      <c r="E39" s="75">
        <v>91.99</v>
      </c>
      <c r="F39">
        <v>3819.42</v>
      </c>
      <c r="G39">
        <v>473.70000000000005</v>
      </c>
      <c r="H39">
        <v>-423</v>
      </c>
      <c r="I39">
        <v>1394.5</v>
      </c>
      <c r="J39">
        <v>5264.62</v>
      </c>
    </row>
    <row r="40" spans="1:10" x14ac:dyDescent="0.35">
      <c r="A40">
        <v>24</v>
      </c>
      <c r="B40" s="75">
        <v>89.459699999999998</v>
      </c>
      <c r="C40" s="75">
        <v>99.777799999999999</v>
      </c>
      <c r="D40" s="75">
        <v>93.950400000000002</v>
      </c>
      <c r="E40" s="75">
        <v>93.298000000000002</v>
      </c>
      <c r="F40">
        <v>309.87</v>
      </c>
      <c r="G40">
        <v>-2351.85</v>
      </c>
      <c r="H40">
        <v>-2268.6000000000004</v>
      </c>
      <c r="I40">
        <v>82.600000000000009</v>
      </c>
      <c r="J40">
        <v>-4227.9799999999996</v>
      </c>
    </row>
    <row r="41" spans="1:10" x14ac:dyDescent="0.35">
      <c r="A41">
        <v>25</v>
      </c>
      <c r="B41" s="75">
        <v>89.59</v>
      </c>
      <c r="C41" s="75">
        <v>99.41</v>
      </c>
      <c r="D41" s="75">
        <v>92.67</v>
      </c>
      <c r="E41" s="75">
        <v>93.06</v>
      </c>
      <c r="F41">
        <v>-107.25</v>
      </c>
      <c r="G41">
        <v>-1802.4</v>
      </c>
      <c r="H41">
        <v>283</v>
      </c>
      <c r="I41">
        <v>321.7</v>
      </c>
      <c r="J41">
        <v>-1304.95</v>
      </c>
    </row>
    <row r="42" spans="1:10" x14ac:dyDescent="0.35">
      <c r="A42">
        <v>26</v>
      </c>
      <c r="B42" s="75">
        <v>89.2911</v>
      </c>
      <c r="C42" s="75">
        <v>97.933700000000002</v>
      </c>
      <c r="D42" s="75">
        <v>92.152199999999993</v>
      </c>
      <c r="E42" s="75">
        <v>93.061400000000006</v>
      </c>
      <c r="F42">
        <v>866.25</v>
      </c>
      <c r="G42">
        <v>414.3</v>
      </c>
      <c r="H42">
        <v>1327.8000000000002</v>
      </c>
      <c r="I42">
        <v>319.2</v>
      </c>
      <c r="J42">
        <v>2927.55</v>
      </c>
    </row>
    <row r="43" spans="1:10" x14ac:dyDescent="0.35">
      <c r="A43">
        <v>27</v>
      </c>
      <c r="B43" s="75">
        <v>89.66</v>
      </c>
      <c r="C43" s="75">
        <v>98.76</v>
      </c>
      <c r="D43" s="75">
        <v>91.48</v>
      </c>
      <c r="E43" s="75">
        <v>93.82</v>
      </c>
      <c r="F43">
        <v>-351.12</v>
      </c>
      <c r="G43">
        <v>-818.85</v>
      </c>
      <c r="H43">
        <v>2676.4</v>
      </c>
      <c r="I43">
        <v>-442.8</v>
      </c>
      <c r="J43">
        <v>1063.6300000000001</v>
      </c>
    </row>
    <row r="44" spans="1:10" x14ac:dyDescent="0.35">
      <c r="A44">
        <v>28</v>
      </c>
      <c r="B44" s="75">
        <v>89.078299999999999</v>
      </c>
      <c r="C44" s="75">
        <v>98.544200000000004</v>
      </c>
      <c r="D44" s="75">
        <v>92.241799999999998</v>
      </c>
      <c r="E44" s="75">
        <v>92.622299999999996</v>
      </c>
      <c r="F44">
        <v>1568.49</v>
      </c>
      <c r="G44">
        <v>-501.45</v>
      </c>
      <c r="H44">
        <v>1148.6000000000001</v>
      </c>
      <c r="I44">
        <v>758.3</v>
      </c>
      <c r="J44">
        <v>2973.9400000000005</v>
      </c>
    </row>
    <row r="45" spans="1:10" x14ac:dyDescent="0.35">
      <c r="A45">
        <v>29</v>
      </c>
      <c r="B45" s="75">
        <v>89.73</v>
      </c>
      <c r="C45" s="75">
        <v>99.23</v>
      </c>
      <c r="D45" s="75">
        <v>92.49</v>
      </c>
      <c r="E45" s="75">
        <v>94.94</v>
      </c>
      <c r="F45">
        <v>-573.20999999999992</v>
      </c>
      <c r="G45">
        <v>-1525.35</v>
      </c>
      <c r="H45">
        <v>658.4</v>
      </c>
      <c r="I45">
        <v>-1563.7</v>
      </c>
      <c r="J45">
        <v>-3003.8599999999997</v>
      </c>
    </row>
    <row r="46" spans="1:10" x14ac:dyDescent="0.35">
      <c r="A46">
        <v>30</v>
      </c>
      <c r="B46" s="75">
        <v>89.946399999999997</v>
      </c>
      <c r="C46" s="75">
        <v>97.633600000000001</v>
      </c>
      <c r="D46" s="75">
        <v>90.809100000000001</v>
      </c>
      <c r="E46" s="75">
        <v>93.246300000000005</v>
      </c>
      <c r="F46">
        <v>-1296.24</v>
      </c>
      <c r="G46">
        <v>864.45</v>
      </c>
      <c r="H46">
        <v>4014.0000000000005</v>
      </c>
      <c r="I46">
        <v>134.30000000000001</v>
      </c>
      <c r="J46">
        <v>3716.5100000000007</v>
      </c>
    </row>
    <row r="47" spans="1:10" x14ac:dyDescent="0.35">
      <c r="A47">
        <v>31</v>
      </c>
      <c r="B47" s="75">
        <v>89.49</v>
      </c>
      <c r="C47" s="75">
        <v>100</v>
      </c>
      <c r="D47" s="75">
        <v>92.83</v>
      </c>
      <c r="E47" s="75">
        <v>92.71</v>
      </c>
      <c r="F47">
        <v>226.05</v>
      </c>
      <c r="G47">
        <v>-2690.55</v>
      </c>
      <c r="H47">
        <v>-36.200000000000003</v>
      </c>
      <c r="I47">
        <v>669.3</v>
      </c>
      <c r="J47">
        <v>-1831.3999999999999</v>
      </c>
    </row>
    <row r="48" spans="1:10" x14ac:dyDescent="0.35">
      <c r="A48">
        <v>32</v>
      </c>
      <c r="B48" s="75">
        <v>89.830200000000005</v>
      </c>
      <c r="C48" s="75">
        <v>97.723200000000006</v>
      </c>
      <c r="D48" s="75">
        <v>94.617500000000007</v>
      </c>
      <c r="E48" s="75">
        <v>94.329700000000003</v>
      </c>
      <c r="F48">
        <v>-912.78000000000009</v>
      </c>
      <c r="G48">
        <v>730.05000000000007</v>
      </c>
      <c r="H48">
        <v>-3602.7999999999997</v>
      </c>
      <c r="I48">
        <v>-949.1</v>
      </c>
      <c r="J48">
        <v>-4734.63</v>
      </c>
    </row>
    <row r="49" spans="1:10" x14ac:dyDescent="0.35">
      <c r="A49">
        <v>33</v>
      </c>
      <c r="B49" s="75">
        <v>90.42</v>
      </c>
      <c r="C49" s="75">
        <v>97.66</v>
      </c>
      <c r="D49" s="75">
        <v>95.08</v>
      </c>
      <c r="E49" s="75">
        <v>93.81</v>
      </c>
      <c r="F49">
        <v>-2847.9</v>
      </c>
      <c r="G49">
        <v>827.55</v>
      </c>
      <c r="H49">
        <v>-4530.2</v>
      </c>
      <c r="I49">
        <v>-426.70000000000005</v>
      </c>
      <c r="J49">
        <v>-6977.25</v>
      </c>
    </row>
    <row r="50" spans="1:10" x14ac:dyDescent="0.35">
      <c r="A50">
        <v>34</v>
      </c>
      <c r="B50" s="75">
        <v>89.166300000000007</v>
      </c>
      <c r="C50" s="75">
        <v>98.566999999999993</v>
      </c>
      <c r="D50" s="75">
        <v>92.578599999999994</v>
      </c>
      <c r="E50" s="75">
        <v>91.318799999999996</v>
      </c>
      <c r="F50">
        <v>1278.0899999999999</v>
      </c>
      <c r="G50">
        <v>-535.65</v>
      </c>
      <c r="H50">
        <v>475</v>
      </c>
      <c r="I50">
        <v>2061.7999999999997</v>
      </c>
      <c r="J50">
        <v>3279.24</v>
      </c>
    </row>
    <row r="51" spans="1:10" x14ac:dyDescent="0.35">
      <c r="A51">
        <v>35</v>
      </c>
      <c r="B51" s="75">
        <v>89.79</v>
      </c>
      <c r="C51" s="75">
        <v>99.14</v>
      </c>
      <c r="D51" s="75">
        <v>91.92</v>
      </c>
      <c r="E51" s="75">
        <v>92.5</v>
      </c>
      <c r="F51">
        <v>-772.86</v>
      </c>
      <c r="G51">
        <v>-1390.8</v>
      </c>
      <c r="H51">
        <v>1800.2</v>
      </c>
      <c r="I51">
        <v>876</v>
      </c>
      <c r="J51">
        <v>512.54000000000019</v>
      </c>
    </row>
    <row r="52" spans="1:10" x14ac:dyDescent="0.35">
      <c r="A52">
        <v>36</v>
      </c>
      <c r="B52" s="75">
        <v>89.805099999999996</v>
      </c>
      <c r="C52" s="75">
        <v>97.434200000000004</v>
      </c>
      <c r="D52" s="75">
        <v>94.411900000000003</v>
      </c>
      <c r="E52" s="75">
        <v>95.766000000000005</v>
      </c>
      <c r="F52">
        <v>-829.95</v>
      </c>
      <c r="G52">
        <v>1163.55</v>
      </c>
      <c r="H52">
        <v>-3191.6000000000004</v>
      </c>
      <c r="I52">
        <v>-2385.4</v>
      </c>
      <c r="J52">
        <v>-5243.4000000000005</v>
      </c>
    </row>
    <row r="53" spans="1:10" x14ac:dyDescent="0.35">
      <c r="A53">
        <v>37</v>
      </c>
      <c r="B53" s="75">
        <v>89.47</v>
      </c>
      <c r="C53" s="75">
        <v>98.48</v>
      </c>
      <c r="D53" s="75">
        <v>90.88</v>
      </c>
      <c r="E53" s="75">
        <v>92.11</v>
      </c>
      <c r="F53">
        <v>285.12</v>
      </c>
      <c r="G53">
        <v>-408.15000000000003</v>
      </c>
      <c r="H53">
        <v>3865</v>
      </c>
      <c r="I53">
        <v>1273</v>
      </c>
      <c r="J53">
        <v>5014.9699999999993</v>
      </c>
    </row>
    <row r="54" spans="1:10" x14ac:dyDescent="0.35">
      <c r="A54">
        <v>38</v>
      </c>
      <c r="B54" s="75">
        <v>89.927400000000006</v>
      </c>
      <c r="C54" s="75">
        <v>98.226200000000006</v>
      </c>
      <c r="D54" s="75">
        <v>91.671599999999998</v>
      </c>
      <c r="E54" s="75">
        <v>95.698300000000003</v>
      </c>
      <c r="F54">
        <v>-1233.54</v>
      </c>
      <c r="G54">
        <v>-24.45</v>
      </c>
      <c r="H54">
        <v>2289</v>
      </c>
      <c r="I54">
        <v>-2317.6999999999998</v>
      </c>
      <c r="J54">
        <v>-1286.6899999999998</v>
      </c>
    </row>
    <row r="55" spans="1:10" x14ac:dyDescent="0.35">
      <c r="A55">
        <v>39</v>
      </c>
      <c r="B55" s="75">
        <v>90.01</v>
      </c>
      <c r="C55" s="75">
        <v>97.11</v>
      </c>
      <c r="D55" s="75">
        <v>90.66</v>
      </c>
      <c r="E55" s="75">
        <v>94.39</v>
      </c>
      <c r="F55">
        <v>-1490.61</v>
      </c>
      <c r="G55">
        <v>1648.9499999999998</v>
      </c>
      <c r="H55">
        <v>4321.6000000000004</v>
      </c>
      <c r="I55">
        <v>-1011.2</v>
      </c>
      <c r="J55">
        <v>3468.7400000000007</v>
      </c>
    </row>
    <row r="56" spans="1:10" x14ac:dyDescent="0.35">
      <c r="A56">
        <v>40</v>
      </c>
      <c r="B56" s="75">
        <v>90.047799999999995</v>
      </c>
      <c r="C56" s="75">
        <v>97.680400000000006</v>
      </c>
      <c r="D56" s="75">
        <v>94.738100000000003</v>
      </c>
      <c r="E56" s="75">
        <v>94.976600000000005</v>
      </c>
      <c r="F56">
        <v>-1630.86</v>
      </c>
      <c r="G56">
        <v>794.25</v>
      </c>
      <c r="H56">
        <v>-3844</v>
      </c>
      <c r="I56">
        <v>-1596</v>
      </c>
      <c r="J56">
        <v>-6276.61</v>
      </c>
    </row>
    <row r="57" spans="1:10" x14ac:dyDescent="0.35">
      <c r="A57">
        <v>41</v>
      </c>
      <c r="B57" s="75">
        <v>89.54</v>
      </c>
      <c r="C57" s="75">
        <v>97.38</v>
      </c>
      <c r="D57" s="75">
        <v>92.85</v>
      </c>
      <c r="E57" s="75">
        <v>91.57</v>
      </c>
      <c r="F57">
        <v>40.260000000000005</v>
      </c>
      <c r="G57">
        <v>1245.3000000000002</v>
      </c>
      <c r="H57">
        <v>-61.800000000000004</v>
      </c>
      <c r="I57">
        <v>1811.7</v>
      </c>
      <c r="J57">
        <v>3035.46</v>
      </c>
    </row>
    <row r="58" spans="1:10" x14ac:dyDescent="0.35">
      <c r="A58">
        <v>42</v>
      </c>
      <c r="B58" s="75">
        <v>90.351299999999995</v>
      </c>
      <c r="C58" s="75">
        <v>97.840299999999999</v>
      </c>
      <c r="D58" s="75">
        <v>93.226500000000001</v>
      </c>
      <c r="E58" s="75">
        <v>91.852199999999996</v>
      </c>
      <c r="F58">
        <v>-2632.41</v>
      </c>
      <c r="G58">
        <v>554.4</v>
      </c>
      <c r="H58">
        <v>-820.8</v>
      </c>
      <c r="I58">
        <v>1528.4</v>
      </c>
      <c r="J58">
        <v>-1370.4099999999994</v>
      </c>
    </row>
    <row r="59" spans="1:10" x14ac:dyDescent="0.35">
      <c r="A59">
        <v>43</v>
      </c>
      <c r="B59" s="75">
        <v>89.89</v>
      </c>
      <c r="C59" s="75">
        <v>98.66</v>
      </c>
      <c r="D59" s="75">
        <v>91.68</v>
      </c>
      <c r="E59" s="75">
        <v>93.87</v>
      </c>
      <c r="F59">
        <v>-1093.6199999999999</v>
      </c>
      <c r="G59">
        <v>-677.85</v>
      </c>
      <c r="H59">
        <v>2271.3999999999996</v>
      </c>
      <c r="I59">
        <v>-487.8</v>
      </c>
      <c r="J59">
        <v>12.129999999999825</v>
      </c>
    </row>
    <row r="60" spans="1:10" x14ac:dyDescent="0.35">
      <c r="A60">
        <v>44</v>
      </c>
      <c r="B60" s="75">
        <v>90.6892</v>
      </c>
      <c r="C60" s="75">
        <v>98.268100000000004</v>
      </c>
      <c r="D60" s="75">
        <v>92.887600000000006</v>
      </c>
      <c r="E60" s="75">
        <v>94.872799999999998</v>
      </c>
      <c r="F60">
        <v>-3747.48</v>
      </c>
      <c r="G60">
        <v>-87.3</v>
      </c>
      <c r="H60">
        <v>-143</v>
      </c>
      <c r="I60">
        <v>-1492.2</v>
      </c>
      <c r="J60">
        <v>-5469.9800000000005</v>
      </c>
    </row>
    <row r="61" spans="1:10" x14ac:dyDescent="0.35">
      <c r="A61">
        <v>45</v>
      </c>
      <c r="B61" s="75">
        <v>89.28</v>
      </c>
      <c r="C61" s="75">
        <v>96.45</v>
      </c>
      <c r="D61" s="75">
        <v>92.55</v>
      </c>
      <c r="E61" s="75">
        <v>95.14</v>
      </c>
      <c r="F61">
        <v>909.15000000000009</v>
      </c>
      <c r="G61">
        <v>2644.9500000000003</v>
      </c>
      <c r="H61">
        <v>528.4</v>
      </c>
      <c r="I61">
        <v>-1756</v>
      </c>
      <c r="J61">
        <v>2326.5000000000005</v>
      </c>
    </row>
    <row r="62" spans="1:10" x14ac:dyDescent="0.35">
      <c r="A62">
        <v>46</v>
      </c>
      <c r="B62" s="75">
        <v>89.838700000000003</v>
      </c>
      <c r="C62" s="75">
        <v>98.345500000000001</v>
      </c>
      <c r="D62" s="75">
        <v>92.914699999999996</v>
      </c>
      <c r="E62" s="75">
        <v>91.383200000000002</v>
      </c>
      <c r="F62">
        <v>-940.83</v>
      </c>
      <c r="G62">
        <v>-203.4</v>
      </c>
      <c r="H62">
        <v>-197.2</v>
      </c>
      <c r="I62">
        <v>1997.4</v>
      </c>
      <c r="J62">
        <v>655.97</v>
      </c>
    </row>
    <row r="63" spans="1:10" x14ac:dyDescent="0.35">
      <c r="A63">
        <v>47</v>
      </c>
      <c r="B63" s="75">
        <v>89.34</v>
      </c>
      <c r="C63" s="75">
        <v>99.13</v>
      </c>
      <c r="D63" s="75">
        <v>91.53</v>
      </c>
      <c r="E63" s="75">
        <v>93.29</v>
      </c>
      <c r="F63">
        <v>708.83999999999992</v>
      </c>
      <c r="G63">
        <v>-1373.25</v>
      </c>
      <c r="H63">
        <v>2575</v>
      </c>
      <c r="I63">
        <v>92.2</v>
      </c>
      <c r="J63">
        <v>2002.79</v>
      </c>
    </row>
    <row r="64" spans="1:10" x14ac:dyDescent="0.35">
      <c r="A64">
        <v>48</v>
      </c>
      <c r="B64" s="75">
        <v>89.628900000000002</v>
      </c>
      <c r="C64" s="75">
        <v>99.148600000000002</v>
      </c>
      <c r="D64" s="75">
        <v>92.387100000000004</v>
      </c>
      <c r="E64" s="75">
        <v>93.854699999999994</v>
      </c>
      <c r="F64">
        <v>-248.49</v>
      </c>
      <c r="G64">
        <v>-1408.05</v>
      </c>
      <c r="H64">
        <v>858</v>
      </c>
      <c r="I64">
        <v>-474.1</v>
      </c>
      <c r="J64">
        <v>-1272.6399999999999</v>
      </c>
    </row>
    <row r="65" spans="1:10" x14ac:dyDescent="0.35">
      <c r="A65">
        <v>49</v>
      </c>
      <c r="B65" s="75">
        <v>88.85</v>
      </c>
      <c r="C65" s="75">
        <v>99.23</v>
      </c>
      <c r="D65" s="75">
        <v>94.85</v>
      </c>
      <c r="E65" s="75">
        <v>89.31</v>
      </c>
      <c r="F65">
        <v>2316.6</v>
      </c>
      <c r="G65">
        <v>-1527</v>
      </c>
      <c r="H65">
        <v>-4063.3999999999996</v>
      </c>
      <c r="I65">
        <v>4066.9000000000005</v>
      </c>
      <c r="J65">
        <v>793.10000000000082</v>
      </c>
    </row>
    <row r="66" spans="1:10" x14ac:dyDescent="0.35">
      <c r="A66">
        <v>50</v>
      </c>
      <c r="B66" s="75">
        <v>90.116200000000006</v>
      </c>
      <c r="C66" s="75">
        <v>99.063800000000001</v>
      </c>
      <c r="D66" s="75">
        <v>90.468500000000006</v>
      </c>
      <c r="E66" s="75">
        <v>93.286000000000001</v>
      </c>
      <c r="F66">
        <v>-1856.58</v>
      </c>
      <c r="G66">
        <v>-1280.8499999999999</v>
      </c>
      <c r="H66">
        <v>4695.2</v>
      </c>
      <c r="I66">
        <v>94.600000000000009</v>
      </c>
      <c r="J66">
        <v>1652.37</v>
      </c>
    </row>
    <row r="67" spans="1:10" x14ac:dyDescent="0.35">
      <c r="A67">
        <v>51</v>
      </c>
      <c r="B67" s="75">
        <v>89.69</v>
      </c>
      <c r="C67" s="75">
        <v>99</v>
      </c>
      <c r="D67" s="75">
        <v>92.9</v>
      </c>
      <c r="E67" s="75">
        <v>95.68</v>
      </c>
      <c r="F67">
        <v>-455.40000000000003</v>
      </c>
      <c r="G67">
        <v>-1185.3</v>
      </c>
      <c r="H67">
        <v>-177</v>
      </c>
      <c r="I67">
        <v>-2294.9</v>
      </c>
      <c r="J67">
        <v>-4112.6000000000004</v>
      </c>
    </row>
    <row r="68" spans="1:10" x14ac:dyDescent="0.35">
      <c r="A68">
        <v>52</v>
      </c>
      <c r="B68" s="75">
        <v>89.326800000000006</v>
      </c>
      <c r="C68" s="75">
        <v>98.059299999999993</v>
      </c>
      <c r="D68" s="75">
        <v>92.258200000000002</v>
      </c>
      <c r="E68" s="75">
        <v>92.111099999999993</v>
      </c>
      <c r="F68">
        <v>748.44</v>
      </c>
      <c r="G68">
        <v>225.9</v>
      </c>
      <c r="H68">
        <v>1115.8</v>
      </c>
      <c r="I68">
        <v>1269.5</v>
      </c>
      <c r="J68">
        <v>3359.64</v>
      </c>
    </row>
    <row r="69" spans="1:10" x14ac:dyDescent="0.35">
      <c r="A69">
        <v>53</v>
      </c>
      <c r="B69" s="75">
        <v>89.46</v>
      </c>
      <c r="C69" s="75">
        <v>98.76</v>
      </c>
      <c r="D69" s="75">
        <v>93.66</v>
      </c>
      <c r="E69" s="75">
        <v>93.21</v>
      </c>
      <c r="F69">
        <v>298.64999999999998</v>
      </c>
      <c r="G69">
        <v>-824.1</v>
      </c>
      <c r="H69">
        <v>-1680.1999999999998</v>
      </c>
      <c r="I69">
        <v>170.4</v>
      </c>
      <c r="J69">
        <v>-2035.2499999999995</v>
      </c>
    </row>
    <row r="70" spans="1:10" x14ac:dyDescent="0.35">
      <c r="A70">
        <v>54</v>
      </c>
      <c r="B70" s="75">
        <v>89.187100000000001</v>
      </c>
      <c r="C70" s="75">
        <v>98.435199999999995</v>
      </c>
      <c r="D70" s="75">
        <v>90.6935</v>
      </c>
      <c r="E70" s="75">
        <v>94.280900000000003</v>
      </c>
      <c r="F70">
        <v>1209.45</v>
      </c>
      <c r="G70">
        <v>-337.95</v>
      </c>
      <c r="H70">
        <v>4245.2</v>
      </c>
      <c r="I70">
        <v>-900.3</v>
      </c>
      <c r="J70">
        <v>4216.3999999999996</v>
      </c>
    </row>
    <row r="71" spans="1:10" x14ac:dyDescent="0.35">
      <c r="A71">
        <v>55</v>
      </c>
      <c r="B71" s="75">
        <v>89.31</v>
      </c>
      <c r="C71" s="75">
        <v>98.78</v>
      </c>
      <c r="D71" s="75">
        <v>92.22</v>
      </c>
      <c r="E71" s="75">
        <v>92.06</v>
      </c>
      <c r="F71">
        <v>814.11</v>
      </c>
      <c r="G71">
        <v>-856.19999999999993</v>
      </c>
      <c r="H71">
        <v>1187.5999999999999</v>
      </c>
      <c r="I71">
        <v>1321.6000000000001</v>
      </c>
      <c r="J71">
        <v>2467.11</v>
      </c>
    </row>
    <row r="72" spans="1:10" x14ac:dyDescent="0.35">
      <c r="A72">
        <v>56</v>
      </c>
      <c r="B72" s="75">
        <v>89.453100000000006</v>
      </c>
      <c r="C72" s="75">
        <v>95.678600000000003</v>
      </c>
      <c r="D72" s="75">
        <v>93.498199999999997</v>
      </c>
      <c r="E72" s="75">
        <v>95.145700000000005</v>
      </c>
      <c r="F72">
        <v>331.65000000000003</v>
      </c>
      <c r="G72">
        <v>3796.95</v>
      </c>
      <c r="H72">
        <v>-1364.2</v>
      </c>
      <c r="I72">
        <v>-1765.1</v>
      </c>
      <c r="J72">
        <v>999.29999999999973</v>
      </c>
    </row>
    <row r="73" spans="1:10" x14ac:dyDescent="0.35">
      <c r="A73">
        <v>57</v>
      </c>
      <c r="B73" s="75">
        <v>89.39</v>
      </c>
      <c r="C73" s="75">
        <v>97</v>
      </c>
      <c r="D73" s="75">
        <v>92.57</v>
      </c>
      <c r="E73" s="75">
        <v>92.26</v>
      </c>
      <c r="F73">
        <v>532.29</v>
      </c>
      <c r="G73">
        <v>1811.4</v>
      </c>
      <c r="H73">
        <v>490</v>
      </c>
      <c r="I73">
        <v>1121.3</v>
      </c>
      <c r="J73">
        <v>3954.99</v>
      </c>
    </row>
    <row r="74" spans="1:10" x14ac:dyDescent="0.35">
      <c r="A74">
        <v>58</v>
      </c>
      <c r="B74" s="75">
        <v>90.012100000000004</v>
      </c>
      <c r="C74" s="75">
        <v>97.407899999999998</v>
      </c>
      <c r="D74" s="75">
        <v>93.098799999999997</v>
      </c>
      <c r="E74" s="75">
        <v>91.402900000000002</v>
      </c>
      <c r="F74">
        <v>-1513.05</v>
      </c>
      <c r="G74">
        <v>1203</v>
      </c>
      <c r="H74">
        <v>-565.4</v>
      </c>
      <c r="I74">
        <v>1977.7</v>
      </c>
      <c r="J74">
        <v>1102.25</v>
      </c>
    </row>
    <row r="75" spans="1:10" x14ac:dyDescent="0.35">
      <c r="A75">
        <v>59</v>
      </c>
      <c r="B75" s="75">
        <v>89.43</v>
      </c>
      <c r="C75" s="75">
        <v>98.02</v>
      </c>
      <c r="D75" s="75">
        <v>93.02</v>
      </c>
      <c r="E75" s="75">
        <v>91.85</v>
      </c>
      <c r="F75">
        <v>392.37</v>
      </c>
      <c r="G75">
        <v>279.45</v>
      </c>
      <c r="H75">
        <v>-412.4</v>
      </c>
      <c r="I75">
        <v>1534.6</v>
      </c>
      <c r="J75">
        <v>1794.02</v>
      </c>
    </row>
    <row r="76" spans="1:10" x14ac:dyDescent="0.35">
      <c r="A76">
        <v>60</v>
      </c>
      <c r="B76" s="75">
        <v>89.238500000000002</v>
      </c>
      <c r="C76" s="75">
        <v>97.390199999999993</v>
      </c>
      <c r="D76" s="75">
        <v>92.142700000000005</v>
      </c>
      <c r="E76" s="75">
        <v>97.135999999999996</v>
      </c>
      <c r="F76">
        <v>1039.83</v>
      </c>
      <c r="G76">
        <v>1229.55</v>
      </c>
      <c r="H76">
        <v>1346.8</v>
      </c>
      <c r="I76">
        <v>-3755.3999999999996</v>
      </c>
      <c r="J76">
        <v>-139.21999999999935</v>
      </c>
    </row>
    <row r="77" spans="1:10" x14ac:dyDescent="0.35">
      <c r="A77">
        <v>61</v>
      </c>
      <c r="B77" s="75">
        <v>89.8</v>
      </c>
      <c r="C77" s="75">
        <v>98.06</v>
      </c>
      <c r="D77" s="75">
        <v>89.98</v>
      </c>
      <c r="E77" s="75">
        <v>93.21</v>
      </c>
      <c r="F77">
        <v>-803.55</v>
      </c>
      <c r="G77">
        <v>217.65</v>
      </c>
      <c r="H77">
        <v>5679.2</v>
      </c>
      <c r="I77">
        <v>173.9</v>
      </c>
      <c r="J77">
        <v>5267.2</v>
      </c>
    </row>
    <row r="78" spans="1:10" x14ac:dyDescent="0.35">
      <c r="A78">
        <v>62</v>
      </c>
      <c r="B78" s="75">
        <v>89.659499999999994</v>
      </c>
      <c r="C78" s="75">
        <v>98.893799999999999</v>
      </c>
      <c r="D78" s="75">
        <v>92.115399999999994</v>
      </c>
      <c r="E78" s="75">
        <v>93.531400000000005</v>
      </c>
      <c r="F78">
        <v>-349.46999999999997</v>
      </c>
      <c r="G78">
        <v>-1025.8499999999999</v>
      </c>
      <c r="H78">
        <v>1401.4</v>
      </c>
      <c r="I78">
        <v>-150.79999999999998</v>
      </c>
      <c r="J78">
        <v>-124.71999999999983</v>
      </c>
    </row>
    <row r="79" spans="1:10" x14ac:dyDescent="0.35">
      <c r="A79">
        <v>63</v>
      </c>
      <c r="B79" s="75">
        <v>89.99</v>
      </c>
      <c r="C79" s="75">
        <v>97.75</v>
      </c>
      <c r="D79" s="75">
        <v>92.36</v>
      </c>
      <c r="E79" s="75">
        <v>92.82</v>
      </c>
      <c r="F79">
        <v>-1448.7</v>
      </c>
      <c r="G79">
        <v>695.69999999999993</v>
      </c>
      <c r="H79">
        <v>903</v>
      </c>
      <c r="I79">
        <v>561.6</v>
      </c>
      <c r="J79">
        <v>711.59999999999991</v>
      </c>
    </row>
    <row r="80" spans="1:10" x14ac:dyDescent="0.35">
      <c r="A80">
        <v>64</v>
      </c>
      <c r="B80" s="75">
        <v>88.955299999999994</v>
      </c>
      <c r="C80" s="75">
        <v>98.587999999999994</v>
      </c>
      <c r="D80" s="75">
        <v>91.647599999999997</v>
      </c>
      <c r="E80" s="75">
        <v>92.925799999999995</v>
      </c>
      <c r="F80">
        <v>1974.39</v>
      </c>
      <c r="G80">
        <v>-567.15</v>
      </c>
      <c r="H80">
        <v>2337</v>
      </c>
      <c r="I80">
        <v>454.79999999999995</v>
      </c>
      <c r="J80">
        <v>4199.04</v>
      </c>
    </row>
    <row r="81" spans="1:10" x14ac:dyDescent="0.35">
      <c r="A81">
        <v>65</v>
      </c>
      <c r="B81" s="75">
        <v>89.68</v>
      </c>
      <c r="C81" s="75">
        <v>98.44</v>
      </c>
      <c r="D81" s="75">
        <v>92.43</v>
      </c>
      <c r="E81" s="75">
        <v>92.9</v>
      </c>
      <c r="F81">
        <v>-402.93</v>
      </c>
      <c r="G81">
        <v>-350.4</v>
      </c>
      <c r="H81">
        <v>762.4</v>
      </c>
      <c r="I81">
        <v>483.59999999999997</v>
      </c>
      <c r="J81">
        <v>492.67</v>
      </c>
    </row>
    <row r="82" spans="1:10" x14ac:dyDescent="0.35">
      <c r="A82">
        <v>66</v>
      </c>
      <c r="B82" s="75">
        <v>89.414900000000003</v>
      </c>
      <c r="C82" s="75">
        <v>98.148200000000003</v>
      </c>
      <c r="D82" s="75">
        <v>93.584100000000007</v>
      </c>
      <c r="E82" s="75">
        <v>92.858500000000006</v>
      </c>
      <c r="F82">
        <v>457.71</v>
      </c>
      <c r="G82">
        <v>92.55</v>
      </c>
      <c r="H82">
        <v>-1536</v>
      </c>
      <c r="I82">
        <v>522.1</v>
      </c>
      <c r="J82">
        <v>-463.64</v>
      </c>
    </row>
    <row r="83" spans="1:10" x14ac:dyDescent="0.35">
      <c r="A83">
        <v>67</v>
      </c>
      <c r="B83" s="75">
        <v>89.86</v>
      </c>
      <c r="C83" s="75">
        <v>98.81</v>
      </c>
      <c r="D83" s="75">
        <v>92.38</v>
      </c>
      <c r="E83" s="75">
        <v>93.59</v>
      </c>
      <c r="F83">
        <v>-1018.38</v>
      </c>
      <c r="G83">
        <v>-900.75</v>
      </c>
      <c r="H83">
        <v>878.6</v>
      </c>
      <c r="I83">
        <v>-209</v>
      </c>
      <c r="J83">
        <v>-1249.5300000000002</v>
      </c>
    </row>
    <row r="84" spans="1:10" x14ac:dyDescent="0.35">
      <c r="A84">
        <v>68</v>
      </c>
      <c r="B84" s="75">
        <v>89.6815</v>
      </c>
      <c r="C84" s="75">
        <v>99.220100000000002</v>
      </c>
      <c r="D84" s="75">
        <v>91.666600000000003</v>
      </c>
      <c r="E84" s="75">
        <v>94.290300000000002</v>
      </c>
      <c r="F84">
        <v>-422.07000000000005</v>
      </c>
      <c r="G84">
        <v>-1515.3</v>
      </c>
      <c r="H84">
        <v>2299</v>
      </c>
      <c r="I84">
        <v>-909.69999999999993</v>
      </c>
      <c r="J84">
        <v>-548.06999999999982</v>
      </c>
    </row>
    <row r="85" spans="1:10" x14ac:dyDescent="0.35">
      <c r="A85">
        <v>69</v>
      </c>
      <c r="B85" s="75">
        <v>89.1</v>
      </c>
      <c r="C85" s="75">
        <v>97.43</v>
      </c>
      <c r="D85" s="75">
        <v>92.87</v>
      </c>
      <c r="E85" s="75">
        <v>92.79</v>
      </c>
      <c r="F85">
        <v>1499.1899999999998</v>
      </c>
      <c r="G85">
        <v>1174.6500000000001</v>
      </c>
      <c r="H85">
        <v>-99.4</v>
      </c>
      <c r="I85">
        <v>586.09999999999991</v>
      </c>
      <c r="J85">
        <v>3160.54</v>
      </c>
    </row>
    <row r="86" spans="1:10" x14ac:dyDescent="0.35">
      <c r="A86">
        <v>70</v>
      </c>
      <c r="B86" s="75">
        <v>90.313500000000005</v>
      </c>
      <c r="C86" s="75">
        <v>98.445800000000006</v>
      </c>
      <c r="D86" s="75">
        <v>92.325199999999995</v>
      </c>
      <c r="E86" s="75">
        <v>92.150599999999997</v>
      </c>
      <c r="F86">
        <v>-2507.67</v>
      </c>
      <c r="G86">
        <v>-353.85</v>
      </c>
      <c r="H86">
        <v>981.8</v>
      </c>
      <c r="I86">
        <v>1230</v>
      </c>
      <c r="J86">
        <v>-649.72</v>
      </c>
    </row>
    <row r="87" spans="1:10" x14ac:dyDescent="0.35">
      <c r="A87">
        <v>71</v>
      </c>
      <c r="B87" s="75">
        <v>88.86</v>
      </c>
      <c r="C87" s="75">
        <v>99.1</v>
      </c>
      <c r="D87" s="75">
        <v>96.01</v>
      </c>
      <c r="E87" s="75">
        <v>92.35</v>
      </c>
      <c r="F87">
        <v>2285.58</v>
      </c>
      <c r="G87">
        <v>-1340.8500000000001</v>
      </c>
      <c r="H87">
        <v>-6392</v>
      </c>
      <c r="I87">
        <v>1033.3000000000002</v>
      </c>
      <c r="J87">
        <v>-4413.97</v>
      </c>
    </row>
    <row r="88" spans="1:10" x14ac:dyDescent="0.35">
      <c r="A88">
        <v>72</v>
      </c>
      <c r="B88" s="75">
        <v>90.104299999999995</v>
      </c>
      <c r="C88" s="75">
        <v>98.868499999999997</v>
      </c>
      <c r="D88" s="75">
        <v>93.135099999999994</v>
      </c>
      <c r="E88" s="75">
        <v>93.124200000000002</v>
      </c>
      <c r="F88">
        <v>-1817.31</v>
      </c>
      <c r="G88">
        <v>-987.9</v>
      </c>
      <c r="H88">
        <v>-638</v>
      </c>
      <c r="I88">
        <v>256.40000000000003</v>
      </c>
      <c r="J88">
        <v>-3186.81</v>
      </c>
    </row>
    <row r="89" spans="1:10" x14ac:dyDescent="0.35">
      <c r="A89">
        <v>73</v>
      </c>
      <c r="B89" s="75">
        <v>90.61</v>
      </c>
      <c r="C89" s="75">
        <v>98.26</v>
      </c>
      <c r="D89" s="75">
        <v>91.28</v>
      </c>
      <c r="E89" s="75">
        <v>93.52</v>
      </c>
      <c r="F89">
        <v>-3484.4700000000003</v>
      </c>
      <c r="G89">
        <v>-79.350000000000009</v>
      </c>
      <c r="H89">
        <v>3063.8</v>
      </c>
      <c r="I89">
        <v>-142.9</v>
      </c>
      <c r="J89">
        <v>-642.91999999999996</v>
      </c>
    </row>
    <row r="90" spans="1:10" x14ac:dyDescent="0.35">
      <c r="A90">
        <v>74</v>
      </c>
      <c r="B90" s="75">
        <v>89.753399999999999</v>
      </c>
      <c r="C90" s="75">
        <v>97.830600000000004</v>
      </c>
      <c r="D90" s="75">
        <v>93.244900000000001</v>
      </c>
      <c r="E90" s="75">
        <v>92.120699999999999</v>
      </c>
      <c r="F90">
        <v>-659.34</v>
      </c>
      <c r="G90">
        <v>568.95000000000005</v>
      </c>
      <c r="H90">
        <v>-857.6</v>
      </c>
      <c r="I90">
        <v>1259.9000000000001</v>
      </c>
      <c r="J90">
        <v>311.91000000000008</v>
      </c>
    </row>
    <row r="91" spans="1:10" x14ac:dyDescent="0.35">
      <c r="A91">
        <v>75</v>
      </c>
      <c r="B91" s="75">
        <v>90.31</v>
      </c>
      <c r="C91" s="75">
        <v>98.06</v>
      </c>
      <c r="D91" s="75">
        <v>90.44</v>
      </c>
      <c r="E91" s="75">
        <v>96.13</v>
      </c>
      <c r="F91">
        <v>-2493.1499999999996</v>
      </c>
      <c r="G91">
        <v>226.5</v>
      </c>
      <c r="H91">
        <v>4755.8</v>
      </c>
      <c r="I91">
        <v>-2751.6</v>
      </c>
      <c r="J91">
        <v>-262.44999999999936</v>
      </c>
    </row>
    <row r="92" spans="1:10" x14ac:dyDescent="0.35">
      <c r="A92">
        <v>76</v>
      </c>
      <c r="B92" s="75">
        <v>89.9465</v>
      </c>
      <c r="C92" s="75">
        <v>97.536900000000003</v>
      </c>
      <c r="D92" s="75">
        <v>92.135999999999996</v>
      </c>
      <c r="E92" s="75">
        <v>91.700400000000002</v>
      </c>
      <c r="F92">
        <v>-1296.5700000000002</v>
      </c>
      <c r="G92">
        <v>1009.5000000000001</v>
      </c>
      <c r="H92">
        <v>1360.2</v>
      </c>
      <c r="I92">
        <v>1680.1999999999998</v>
      </c>
      <c r="J92">
        <v>2753.33</v>
      </c>
    </row>
    <row r="93" spans="1:10" x14ac:dyDescent="0.35">
      <c r="A93">
        <v>77</v>
      </c>
      <c r="B93" s="75">
        <v>90.02</v>
      </c>
      <c r="C93" s="75">
        <v>98.62</v>
      </c>
      <c r="D93" s="75">
        <v>93.19</v>
      </c>
      <c r="E93" s="75">
        <v>91.79</v>
      </c>
      <c r="F93">
        <v>-1524.6000000000001</v>
      </c>
      <c r="G93">
        <v>-607.79999999999995</v>
      </c>
      <c r="H93">
        <v>-739.80000000000007</v>
      </c>
      <c r="I93">
        <v>1594.2</v>
      </c>
      <c r="J93">
        <v>-1278.0000000000002</v>
      </c>
    </row>
    <row r="94" spans="1:10" x14ac:dyDescent="0.35">
      <c r="A94">
        <v>78</v>
      </c>
      <c r="B94" s="75">
        <v>89.787199999999999</v>
      </c>
      <c r="C94" s="75">
        <v>97.858699999999999</v>
      </c>
      <c r="D94" s="75">
        <v>93.002399999999994</v>
      </c>
      <c r="E94" s="75">
        <v>93.587800000000001</v>
      </c>
      <c r="F94">
        <v>-770.88</v>
      </c>
      <c r="G94">
        <v>526.80000000000007</v>
      </c>
      <c r="H94">
        <v>-372.59999999999997</v>
      </c>
      <c r="I94">
        <v>-207.2</v>
      </c>
      <c r="J94">
        <v>-823.87999999999988</v>
      </c>
    </row>
    <row r="95" spans="1:10" x14ac:dyDescent="0.35">
      <c r="A95">
        <v>79</v>
      </c>
      <c r="B95" s="75">
        <v>89.1</v>
      </c>
      <c r="C95" s="75">
        <v>97.78</v>
      </c>
      <c r="D95" s="75">
        <v>93.18</v>
      </c>
      <c r="E95" s="75">
        <v>91.73</v>
      </c>
      <c r="F95">
        <v>1482.03</v>
      </c>
      <c r="G95">
        <v>644.55000000000007</v>
      </c>
      <c r="H95">
        <v>-722</v>
      </c>
      <c r="I95">
        <v>1647.5</v>
      </c>
      <c r="J95">
        <v>3052.08</v>
      </c>
    </row>
    <row r="96" spans="1:10" x14ac:dyDescent="0.35">
      <c r="A96">
        <v>80</v>
      </c>
      <c r="B96" s="75">
        <v>89.2697</v>
      </c>
      <c r="C96" s="75">
        <v>97.789000000000001</v>
      </c>
      <c r="D96" s="75">
        <v>93.069500000000005</v>
      </c>
      <c r="E96" s="75">
        <v>95.839399999999998</v>
      </c>
      <c r="F96">
        <v>936.87</v>
      </c>
      <c r="G96">
        <v>631.35</v>
      </c>
      <c r="H96">
        <v>-506.8</v>
      </c>
      <c r="I96">
        <v>-2458.8000000000002</v>
      </c>
      <c r="J96">
        <v>-1397.38</v>
      </c>
    </row>
    <row r="97" spans="1:10" x14ac:dyDescent="0.35">
      <c r="A97">
        <v>81</v>
      </c>
      <c r="B97" s="75">
        <v>89.88</v>
      </c>
      <c r="C97" s="75">
        <v>99.25</v>
      </c>
      <c r="D97" s="75">
        <v>92.63</v>
      </c>
      <c r="E97" s="75">
        <v>93.43</v>
      </c>
      <c r="F97">
        <v>-1065.5700000000002</v>
      </c>
      <c r="G97">
        <v>-1565.1000000000001</v>
      </c>
      <c r="H97">
        <v>373.8</v>
      </c>
      <c r="I97">
        <v>-53.6</v>
      </c>
      <c r="J97">
        <v>-2310.4699999999998</v>
      </c>
    </row>
    <row r="98" spans="1:10" x14ac:dyDescent="0.35">
      <c r="A98">
        <v>82</v>
      </c>
      <c r="B98" s="75">
        <v>89.377899999999997</v>
      </c>
      <c r="C98" s="75">
        <v>99.819800000000001</v>
      </c>
      <c r="D98" s="75">
        <v>93.081800000000001</v>
      </c>
      <c r="E98" s="75">
        <v>92.245800000000003</v>
      </c>
      <c r="F98">
        <v>579.80999999999995</v>
      </c>
      <c r="G98">
        <v>-2414.8500000000004</v>
      </c>
      <c r="H98">
        <v>-531.4</v>
      </c>
      <c r="I98">
        <v>1134.8</v>
      </c>
      <c r="J98">
        <v>-1231.6400000000006</v>
      </c>
    </row>
    <row r="99" spans="1:10" x14ac:dyDescent="0.35">
      <c r="A99">
        <v>83</v>
      </c>
      <c r="B99" s="75">
        <v>89.29</v>
      </c>
      <c r="C99" s="75">
        <v>97.77</v>
      </c>
      <c r="D99" s="75">
        <v>94.3</v>
      </c>
      <c r="E99" s="75">
        <v>91.44</v>
      </c>
      <c r="F99">
        <v>854.7</v>
      </c>
      <c r="G99">
        <v>660.45</v>
      </c>
      <c r="H99">
        <v>-2961.6</v>
      </c>
      <c r="I99">
        <v>1944.3</v>
      </c>
      <c r="J99">
        <v>497.85000000000014</v>
      </c>
    </row>
    <row r="100" spans="1:10" x14ac:dyDescent="0.35">
      <c r="A100">
        <v>84</v>
      </c>
      <c r="B100" s="75">
        <v>89.918499999999995</v>
      </c>
      <c r="C100" s="75">
        <v>97.648399999999995</v>
      </c>
      <c r="D100" s="75">
        <v>91.585099999999997</v>
      </c>
      <c r="E100" s="75">
        <v>91.861000000000004</v>
      </c>
      <c r="F100">
        <v>-1204.17</v>
      </c>
      <c r="G100">
        <v>842.25</v>
      </c>
      <c r="H100">
        <v>2462</v>
      </c>
      <c r="I100">
        <v>1519.6000000000001</v>
      </c>
      <c r="J100">
        <v>3619.6800000000003</v>
      </c>
    </row>
    <row r="101" spans="1:10" x14ac:dyDescent="0.35">
      <c r="A101">
        <v>85</v>
      </c>
      <c r="B101" s="75">
        <v>89.64</v>
      </c>
      <c r="C101" s="75">
        <v>98.02</v>
      </c>
      <c r="D101" s="75">
        <v>93.49</v>
      </c>
      <c r="E101" s="75">
        <v>94.85</v>
      </c>
      <c r="F101">
        <v>-296.66999999999996</v>
      </c>
      <c r="G101">
        <v>281.7</v>
      </c>
      <c r="H101">
        <v>-1355.6</v>
      </c>
      <c r="I101">
        <v>-1469.3</v>
      </c>
      <c r="J101">
        <v>-2839.87</v>
      </c>
    </row>
    <row r="102" spans="1:10" x14ac:dyDescent="0.35">
      <c r="A102">
        <v>86</v>
      </c>
      <c r="B102" s="75">
        <v>89.306399999999996</v>
      </c>
      <c r="C102" s="75">
        <v>98.518500000000003</v>
      </c>
      <c r="D102" s="75">
        <v>94.769499999999994</v>
      </c>
      <c r="E102" s="75">
        <v>92.430300000000003</v>
      </c>
      <c r="F102">
        <v>815.76</v>
      </c>
      <c r="G102">
        <v>-462.9</v>
      </c>
      <c r="H102">
        <v>-3906.8</v>
      </c>
      <c r="I102">
        <v>950.30000000000007</v>
      </c>
      <c r="J102">
        <v>-2603.64</v>
      </c>
    </row>
    <row r="103" spans="1:10" x14ac:dyDescent="0.35">
      <c r="A103">
        <v>87</v>
      </c>
      <c r="B103" s="75">
        <v>88.47</v>
      </c>
      <c r="C103" s="75">
        <v>99.55</v>
      </c>
      <c r="D103" s="75">
        <v>92.2</v>
      </c>
      <c r="E103" s="75">
        <v>91.74</v>
      </c>
      <c r="F103">
        <v>3564.3300000000004</v>
      </c>
      <c r="G103">
        <v>-2010.6000000000001</v>
      </c>
      <c r="H103">
        <v>1225</v>
      </c>
      <c r="I103">
        <v>1640.5</v>
      </c>
      <c r="J103">
        <v>4419.2300000000005</v>
      </c>
    </row>
    <row r="104" spans="1:10" x14ac:dyDescent="0.35">
      <c r="A104">
        <v>88</v>
      </c>
      <c r="B104" s="75">
        <v>90.028999999999996</v>
      </c>
      <c r="C104" s="75">
        <v>98.024900000000002</v>
      </c>
      <c r="D104" s="75">
        <v>93.695999999999998</v>
      </c>
      <c r="E104" s="75">
        <v>94.469399999999993</v>
      </c>
      <c r="F104">
        <v>-1568.82</v>
      </c>
      <c r="G104">
        <v>277.5</v>
      </c>
      <c r="H104">
        <v>-1759.8</v>
      </c>
      <c r="I104">
        <v>-1088.8</v>
      </c>
      <c r="J104">
        <v>-4139.92</v>
      </c>
    </row>
    <row r="105" spans="1:10" x14ac:dyDescent="0.35">
      <c r="A105">
        <v>89</v>
      </c>
      <c r="B105" s="75">
        <v>89.44</v>
      </c>
      <c r="C105" s="75">
        <v>99.84</v>
      </c>
      <c r="D105" s="75">
        <v>93.43</v>
      </c>
      <c r="E105" s="75">
        <v>95.14</v>
      </c>
      <c r="F105">
        <v>371.25</v>
      </c>
      <c r="G105">
        <v>-2445.75</v>
      </c>
      <c r="H105">
        <v>-1223.2</v>
      </c>
      <c r="I105">
        <v>-1756.3</v>
      </c>
      <c r="J105">
        <v>-5054</v>
      </c>
    </row>
    <row r="106" spans="1:10" x14ac:dyDescent="0.35">
      <c r="A106">
        <v>90</v>
      </c>
      <c r="B106" s="75">
        <v>88.8065</v>
      </c>
      <c r="C106" s="75">
        <v>98.3065</v>
      </c>
      <c r="D106" s="75">
        <v>93.072199999999995</v>
      </c>
      <c r="E106" s="75">
        <v>94.996600000000001</v>
      </c>
      <c r="F106">
        <v>2465.4299999999998</v>
      </c>
      <c r="G106">
        <v>-144.9</v>
      </c>
      <c r="H106">
        <v>-512.20000000000005</v>
      </c>
      <c r="I106">
        <v>-1616</v>
      </c>
      <c r="J106">
        <v>192.3299999999997</v>
      </c>
    </row>
    <row r="107" spans="1:10" x14ac:dyDescent="0.35">
      <c r="A107">
        <v>91</v>
      </c>
      <c r="B107" s="75">
        <v>89.15</v>
      </c>
      <c r="C107" s="75">
        <v>98.27</v>
      </c>
      <c r="D107" s="75">
        <v>93.41</v>
      </c>
      <c r="E107" s="75">
        <v>96.09</v>
      </c>
      <c r="F107">
        <v>1346.73</v>
      </c>
      <c r="G107">
        <v>-97.199999999999989</v>
      </c>
      <c r="H107">
        <v>-1178.3999999999999</v>
      </c>
      <c r="I107">
        <v>-2707.1</v>
      </c>
      <c r="J107">
        <v>-2635.97</v>
      </c>
    </row>
    <row r="108" spans="1:10" x14ac:dyDescent="0.35">
      <c r="A108">
        <v>92</v>
      </c>
      <c r="B108" s="75">
        <v>89.573300000000003</v>
      </c>
      <c r="C108" s="75">
        <v>96.898600000000002</v>
      </c>
      <c r="D108" s="75">
        <v>93.879400000000004</v>
      </c>
      <c r="E108" s="75">
        <v>93.294399999999996</v>
      </c>
      <c r="F108">
        <v>-65.009999999999991</v>
      </c>
      <c r="G108">
        <v>1966.9499999999998</v>
      </c>
      <c r="H108">
        <v>-2126.6</v>
      </c>
      <c r="I108">
        <v>86.2</v>
      </c>
      <c r="J108">
        <v>-138.46000000000009</v>
      </c>
    </row>
    <row r="109" spans="1:10" x14ac:dyDescent="0.35">
      <c r="A109">
        <v>93</v>
      </c>
      <c r="B109" s="75">
        <v>89.19</v>
      </c>
      <c r="C109" s="75">
        <v>100.2</v>
      </c>
      <c r="D109" s="75">
        <v>91.86</v>
      </c>
      <c r="E109" s="75">
        <v>97.36</v>
      </c>
      <c r="F109">
        <v>1210.1100000000001</v>
      </c>
      <c r="G109">
        <v>-2990.1</v>
      </c>
      <c r="H109">
        <v>1903.6</v>
      </c>
      <c r="I109">
        <v>-3979.2000000000003</v>
      </c>
      <c r="J109">
        <v>-3855.59</v>
      </c>
    </row>
    <row r="110" spans="1:10" x14ac:dyDescent="0.35">
      <c r="A110">
        <v>94</v>
      </c>
      <c r="B110" s="75">
        <v>89.256200000000007</v>
      </c>
      <c r="C110" s="75">
        <v>97.8386</v>
      </c>
      <c r="D110" s="75">
        <v>93.174300000000002</v>
      </c>
      <c r="E110" s="75">
        <v>94.7029</v>
      </c>
      <c r="F110">
        <v>981.42</v>
      </c>
      <c r="G110">
        <v>556.95000000000005</v>
      </c>
      <c r="H110">
        <v>-716.40000000000009</v>
      </c>
      <c r="I110">
        <v>-1322.3</v>
      </c>
      <c r="J110">
        <v>-500.33000000000015</v>
      </c>
    </row>
    <row r="111" spans="1:10" x14ac:dyDescent="0.35">
      <c r="A111">
        <v>95</v>
      </c>
      <c r="B111" s="75">
        <v>89.67</v>
      </c>
      <c r="C111" s="75">
        <v>98.47</v>
      </c>
      <c r="D111" s="75">
        <v>91.88</v>
      </c>
      <c r="E111" s="75">
        <v>94.02</v>
      </c>
      <c r="F111">
        <v>-377.19</v>
      </c>
      <c r="G111">
        <v>-392.1</v>
      </c>
      <c r="H111">
        <v>1868</v>
      </c>
      <c r="I111">
        <v>-641.80000000000007</v>
      </c>
      <c r="J111">
        <v>456.90999999999997</v>
      </c>
    </row>
    <row r="112" spans="1:10" x14ac:dyDescent="0.35">
      <c r="A112">
        <v>96</v>
      </c>
      <c r="B112" s="75">
        <v>89.755600000000001</v>
      </c>
      <c r="C112" s="75">
        <v>97.881299999999996</v>
      </c>
      <c r="D112" s="75">
        <v>93.142300000000006</v>
      </c>
      <c r="E112" s="75">
        <v>92.389799999999994</v>
      </c>
      <c r="F112">
        <v>-666.6</v>
      </c>
      <c r="G112">
        <v>492.9</v>
      </c>
      <c r="H112">
        <v>-652.4</v>
      </c>
      <c r="I112">
        <v>990.80000000000007</v>
      </c>
      <c r="J112">
        <v>164.70000000000005</v>
      </c>
    </row>
    <row r="113" spans="1:10" x14ac:dyDescent="0.35">
      <c r="A113">
        <v>97</v>
      </c>
      <c r="B113" s="75">
        <v>89.09</v>
      </c>
      <c r="C113" s="75">
        <v>97.38</v>
      </c>
      <c r="D113" s="75">
        <v>93</v>
      </c>
      <c r="E113" s="75">
        <v>93.12</v>
      </c>
      <c r="F113">
        <v>1529.22</v>
      </c>
      <c r="G113">
        <v>1251.9000000000001</v>
      </c>
      <c r="H113">
        <v>-357.8</v>
      </c>
      <c r="I113">
        <v>258.40000000000003</v>
      </c>
      <c r="J113">
        <v>2681.72</v>
      </c>
    </row>
    <row r="114" spans="1:10" x14ac:dyDescent="0.35">
      <c r="A114">
        <v>98</v>
      </c>
      <c r="B114" s="75">
        <v>89.188800000000001</v>
      </c>
      <c r="C114" s="75">
        <v>98.425200000000004</v>
      </c>
      <c r="D114" s="75">
        <v>93.950100000000006</v>
      </c>
      <c r="E114" s="75">
        <v>92.133399999999995</v>
      </c>
      <c r="F114">
        <v>1203.8400000000001</v>
      </c>
      <c r="G114">
        <v>-322.95</v>
      </c>
      <c r="H114">
        <v>-2268</v>
      </c>
      <c r="I114">
        <v>1247.2</v>
      </c>
      <c r="J114">
        <v>-139.90999999999985</v>
      </c>
    </row>
    <row r="115" spans="1:10" x14ac:dyDescent="0.35">
      <c r="A115">
        <v>99</v>
      </c>
      <c r="B115" s="75">
        <v>88.93</v>
      </c>
      <c r="C115" s="75">
        <v>98.32</v>
      </c>
      <c r="D115" s="75">
        <v>92</v>
      </c>
      <c r="E115" s="75">
        <v>93.37</v>
      </c>
      <c r="F115">
        <v>2050.29</v>
      </c>
      <c r="G115">
        <v>-170.25</v>
      </c>
      <c r="H115">
        <v>1635.3999999999999</v>
      </c>
      <c r="I115">
        <v>11.6</v>
      </c>
      <c r="J115">
        <v>3527.0399999999995</v>
      </c>
    </row>
    <row r="116" spans="1:10" x14ac:dyDescent="0.35">
      <c r="A116">
        <v>100</v>
      </c>
      <c r="B116" s="75">
        <v>89.537400000000005</v>
      </c>
      <c r="C116" s="75">
        <v>97.249499999999998</v>
      </c>
      <c r="D116" s="75">
        <v>94.135599999999997</v>
      </c>
      <c r="E116" s="75">
        <v>93.240799999999993</v>
      </c>
      <c r="F116">
        <v>53.459999999999994</v>
      </c>
      <c r="G116">
        <v>1440.6000000000001</v>
      </c>
      <c r="H116">
        <v>-2639</v>
      </c>
      <c r="I116">
        <v>139.80000000000001</v>
      </c>
      <c r="J116">
        <v>-1005.1399999999999</v>
      </c>
    </row>
    <row r="117" spans="1:10" x14ac:dyDescent="0.35">
      <c r="A117">
        <v>101</v>
      </c>
      <c r="B117" s="75">
        <v>89.75</v>
      </c>
      <c r="C117" s="75">
        <v>98.63</v>
      </c>
      <c r="D117" s="75">
        <v>92.95</v>
      </c>
      <c r="E117" s="75">
        <v>92.36</v>
      </c>
      <c r="F117">
        <v>-648.78</v>
      </c>
      <c r="G117">
        <v>-627.15000000000009</v>
      </c>
      <c r="H117">
        <v>-260.40000000000003</v>
      </c>
      <c r="I117">
        <v>1023.3000000000001</v>
      </c>
      <c r="J117">
        <v>-513.03000000000009</v>
      </c>
    </row>
    <row r="118" spans="1:10" x14ac:dyDescent="0.35">
      <c r="A118">
        <v>102</v>
      </c>
      <c r="B118" s="75">
        <v>88.8142</v>
      </c>
      <c r="C118" s="75">
        <v>99.057199999999995</v>
      </c>
      <c r="D118" s="75">
        <v>93.080699999999993</v>
      </c>
      <c r="E118" s="75">
        <v>92.321600000000004</v>
      </c>
      <c r="F118">
        <v>2440.02</v>
      </c>
      <c r="G118">
        <v>-1270.95</v>
      </c>
      <c r="H118">
        <v>-529.20000000000005</v>
      </c>
      <c r="I118">
        <v>1059</v>
      </c>
      <c r="J118">
        <v>1698.87</v>
      </c>
    </row>
    <row r="119" spans="1:10" x14ac:dyDescent="0.35">
      <c r="A119">
        <v>103</v>
      </c>
      <c r="B119" s="75">
        <v>89.62</v>
      </c>
      <c r="C119" s="75">
        <v>99.49</v>
      </c>
      <c r="D119" s="75">
        <v>92.71</v>
      </c>
      <c r="E119" s="75">
        <v>95.08</v>
      </c>
      <c r="F119">
        <v>-220.10999999999999</v>
      </c>
      <c r="G119">
        <v>-1927.1999999999998</v>
      </c>
      <c r="H119">
        <v>206.2</v>
      </c>
      <c r="I119">
        <v>-1694.7</v>
      </c>
      <c r="J119">
        <v>-3635.81</v>
      </c>
    </row>
    <row r="120" spans="1:10" x14ac:dyDescent="0.35">
      <c r="A120">
        <v>104</v>
      </c>
      <c r="B120" s="75">
        <v>87.930400000000006</v>
      </c>
      <c r="C120" s="75">
        <v>99.001300000000001</v>
      </c>
      <c r="D120" s="75">
        <v>91.410700000000006</v>
      </c>
      <c r="E120" s="75">
        <v>92.302599999999998</v>
      </c>
      <c r="F120">
        <v>5356.5599999999995</v>
      </c>
      <c r="G120">
        <v>-1187.0999999999999</v>
      </c>
      <c r="H120">
        <v>2810.8</v>
      </c>
      <c r="I120">
        <v>1078</v>
      </c>
      <c r="J120">
        <v>8058.2599999999993</v>
      </c>
    </row>
    <row r="121" spans="1:10" x14ac:dyDescent="0.35">
      <c r="A121">
        <v>105</v>
      </c>
      <c r="B121" s="75">
        <v>89.77</v>
      </c>
      <c r="C121" s="75">
        <v>96.63</v>
      </c>
      <c r="D121" s="75">
        <v>93.88</v>
      </c>
      <c r="E121" s="75">
        <v>93.94</v>
      </c>
      <c r="F121">
        <v>-701.25</v>
      </c>
      <c r="G121">
        <v>2363.25</v>
      </c>
      <c r="H121">
        <v>-2123.8000000000002</v>
      </c>
      <c r="I121">
        <v>-562</v>
      </c>
      <c r="J121">
        <v>-1023.8000000000002</v>
      </c>
    </row>
    <row r="122" spans="1:10" x14ac:dyDescent="0.35">
      <c r="A122">
        <v>106</v>
      </c>
      <c r="B122" s="75">
        <v>89.596500000000006</v>
      </c>
      <c r="C122" s="75">
        <v>97.307000000000002</v>
      </c>
      <c r="D122" s="75">
        <v>92.998000000000005</v>
      </c>
      <c r="E122" s="75">
        <v>95.442099999999996</v>
      </c>
      <c r="F122">
        <v>-141.57</v>
      </c>
      <c r="G122">
        <v>1354.3500000000001</v>
      </c>
      <c r="H122">
        <v>-363.8</v>
      </c>
      <c r="I122">
        <v>-2061.5</v>
      </c>
      <c r="J122">
        <v>-1212.5199999999998</v>
      </c>
    </row>
    <row r="123" spans="1:10" x14ac:dyDescent="0.35">
      <c r="A123">
        <v>107</v>
      </c>
      <c r="B123" s="75">
        <v>88.89</v>
      </c>
      <c r="C123" s="75">
        <v>98.65</v>
      </c>
      <c r="D123" s="75">
        <v>92.69</v>
      </c>
      <c r="E123" s="75">
        <v>93.57</v>
      </c>
      <c r="F123">
        <v>2188.23</v>
      </c>
      <c r="G123">
        <v>-662.4</v>
      </c>
      <c r="H123">
        <v>250.6</v>
      </c>
      <c r="I123">
        <v>-191.8</v>
      </c>
      <c r="J123">
        <v>1584.6299999999999</v>
      </c>
    </row>
    <row r="124" spans="1:10" x14ac:dyDescent="0.35">
      <c r="A124">
        <v>108</v>
      </c>
      <c r="B124" s="75">
        <v>90.397099999999995</v>
      </c>
      <c r="C124" s="75">
        <v>97.710499999999996</v>
      </c>
      <c r="D124" s="75">
        <v>93.629099999999994</v>
      </c>
      <c r="E124" s="75">
        <v>93.110799999999998</v>
      </c>
      <c r="F124">
        <v>-2783.55</v>
      </c>
      <c r="G124">
        <v>749.1</v>
      </c>
      <c r="H124">
        <v>-1626</v>
      </c>
      <c r="I124">
        <v>269.8</v>
      </c>
      <c r="J124">
        <v>-3390.65</v>
      </c>
    </row>
    <row r="125" spans="1:10" x14ac:dyDescent="0.35">
      <c r="A125">
        <v>109</v>
      </c>
      <c r="B125" s="75">
        <v>90.07</v>
      </c>
      <c r="C125" s="75">
        <v>97.62</v>
      </c>
      <c r="D125" s="75">
        <v>91.3</v>
      </c>
      <c r="E125" s="75">
        <v>91.99</v>
      </c>
      <c r="F125">
        <v>-1704.4499999999998</v>
      </c>
      <c r="G125">
        <v>883.95</v>
      </c>
      <c r="H125">
        <v>3032.2</v>
      </c>
      <c r="I125">
        <v>1395.6</v>
      </c>
      <c r="J125">
        <v>3607.2999999999997</v>
      </c>
    </row>
    <row r="126" spans="1:10" x14ac:dyDescent="0.35">
      <c r="A126">
        <v>110</v>
      </c>
      <c r="B126" s="75">
        <v>89.8767</v>
      </c>
      <c r="C126" s="75">
        <v>97.439499999999995</v>
      </c>
      <c r="D126" s="75">
        <v>94.404399999999995</v>
      </c>
      <c r="E126" s="75">
        <v>94.307599999999994</v>
      </c>
      <c r="F126">
        <v>-1066.23</v>
      </c>
      <c r="G126">
        <v>1155.5999999999999</v>
      </c>
      <c r="H126">
        <v>-3176.6</v>
      </c>
      <c r="I126">
        <v>-927</v>
      </c>
      <c r="J126">
        <v>-4014.23</v>
      </c>
    </row>
    <row r="127" spans="1:10" x14ac:dyDescent="0.35">
      <c r="A127">
        <v>111</v>
      </c>
      <c r="B127" s="75">
        <v>89.39</v>
      </c>
      <c r="C127" s="75">
        <v>97.29</v>
      </c>
      <c r="D127" s="75">
        <v>92.72</v>
      </c>
      <c r="E127" s="75">
        <v>92.59</v>
      </c>
      <c r="F127">
        <v>534.6</v>
      </c>
      <c r="G127">
        <v>1387.05</v>
      </c>
      <c r="H127">
        <v>188.6</v>
      </c>
      <c r="I127">
        <v>795.3</v>
      </c>
      <c r="J127">
        <v>2905.55</v>
      </c>
    </row>
    <row r="128" spans="1:10" x14ac:dyDescent="0.35">
      <c r="A128">
        <v>112</v>
      </c>
      <c r="B128" s="75">
        <v>90.279300000000006</v>
      </c>
      <c r="C128" s="75">
        <v>99.816900000000004</v>
      </c>
      <c r="D128" s="75">
        <v>91.685599999999994</v>
      </c>
      <c r="E128" s="75">
        <v>92.539000000000001</v>
      </c>
      <c r="F128">
        <v>-2394.81</v>
      </c>
      <c r="G128">
        <v>-2410.5</v>
      </c>
      <c r="H128">
        <v>2261</v>
      </c>
      <c r="I128">
        <v>841.6</v>
      </c>
      <c r="J128">
        <v>-1702.7099999999996</v>
      </c>
    </row>
    <row r="129" spans="1:10" x14ac:dyDescent="0.35">
      <c r="A129">
        <v>113</v>
      </c>
      <c r="B129" s="75">
        <v>89.72</v>
      </c>
      <c r="C129" s="75">
        <v>97.85</v>
      </c>
      <c r="D129" s="75">
        <v>92.53</v>
      </c>
      <c r="E129" s="75">
        <v>90.22</v>
      </c>
      <c r="F129">
        <v>-563.64</v>
      </c>
      <c r="G129">
        <v>532.65000000000009</v>
      </c>
      <c r="H129">
        <v>577.79999999999995</v>
      </c>
      <c r="I129">
        <v>3165.5</v>
      </c>
      <c r="J129">
        <v>3712.31</v>
      </c>
    </row>
    <row r="130" spans="1:10" x14ac:dyDescent="0.35">
      <c r="A130">
        <v>114</v>
      </c>
      <c r="B130" s="75">
        <v>89.851799999999997</v>
      </c>
      <c r="C130" s="75">
        <v>97.235299999999995</v>
      </c>
      <c r="D130" s="75">
        <v>93.403300000000002</v>
      </c>
      <c r="E130" s="75">
        <v>90.580399999999997</v>
      </c>
      <c r="F130">
        <v>-984.06000000000006</v>
      </c>
      <c r="G130">
        <v>1461.9</v>
      </c>
      <c r="H130">
        <v>-1174.4000000000001</v>
      </c>
      <c r="I130">
        <v>2800.2</v>
      </c>
      <c r="J130">
        <v>2103.64</v>
      </c>
    </row>
    <row r="131" spans="1:10" x14ac:dyDescent="0.35">
      <c r="A131">
        <v>115</v>
      </c>
      <c r="B131" s="75">
        <v>88.92</v>
      </c>
      <c r="C131" s="75">
        <v>98.94</v>
      </c>
      <c r="D131" s="75">
        <v>92.27</v>
      </c>
      <c r="E131" s="75">
        <v>92.43</v>
      </c>
      <c r="F131">
        <v>2096.16</v>
      </c>
      <c r="G131">
        <v>-1094.1000000000001</v>
      </c>
      <c r="H131">
        <v>1093.2</v>
      </c>
      <c r="I131">
        <v>953.2</v>
      </c>
      <c r="J131">
        <v>3048.46</v>
      </c>
    </row>
    <row r="132" spans="1:10" x14ac:dyDescent="0.35">
      <c r="A132">
        <v>116</v>
      </c>
      <c r="B132" s="75">
        <v>89.635800000000003</v>
      </c>
      <c r="C132" s="75">
        <v>99.145899999999997</v>
      </c>
      <c r="D132" s="75">
        <v>93.923500000000004</v>
      </c>
      <c r="E132" s="75">
        <v>94.372699999999995</v>
      </c>
      <c r="F132">
        <v>-271.26</v>
      </c>
      <c r="G132">
        <v>-1404</v>
      </c>
      <c r="H132">
        <v>-2214.7999999999997</v>
      </c>
      <c r="I132">
        <v>-992.1</v>
      </c>
      <c r="J132">
        <v>-4882.16</v>
      </c>
    </row>
    <row r="133" spans="1:10" x14ac:dyDescent="0.35">
      <c r="A133">
        <v>117</v>
      </c>
      <c r="B133" s="75">
        <v>89.17</v>
      </c>
      <c r="C133" s="75">
        <v>97.72</v>
      </c>
      <c r="D133" s="75">
        <v>94.07</v>
      </c>
      <c r="E133" s="75">
        <v>93.65</v>
      </c>
      <c r="F133">
        <v>1278.42</v>
      </c>
      <c r="G133">
        <v>736.05000000000007</v>
      </c>
      <c r="H133">
        <v>-2501.6</v>
      </c>
      <c r="I133">
        <v>-268.29999999999995</v>
      </c>
      <c r="J133">
        <v>-755.42999999999961</v>
      </c>
    </row>
    <row r="134" spans="1:10" x14ac:dyDescent="0.35">
      <c r="A134">
        <v>118</v>
      </c>
      <c r="B134" s="75">
        <v>89.933499999999995</v>
      </c>
      <c r="C134" s="75">
        <v>98.078699999999998</v>
      </c>
      <c r="D134" s="75">
        <v>93.052999999999997</v>
      </c>
      <c r="E134" s="75">
        <v>90.778199999999998</v>
      </c>
      <c r="F134">
        <v>-1253.67</v>
      </c>
      <c r="G134">
        <v>196.8</v>
      </c>
      <c r="H134">
        <v>-473.8</v>
      </c>
      <c r="I134">
        <v>2602.3999999999996</v>
      </c>
      <c r="J134">
        <v>1071.7299999999996</v>
      </c>
    </row>
    <row r="135" spans="1:10" x14ac:dyDescent="0.35">
      <c r="A135">
        <v>119</v>
      </c>
      <c r="B135" s="75">
        <v>89.49</v>
      </c>
      <c r="C135" s="75">
        <v>97.27</v>
      </c>
      <c r="D135" s="75">
        <v>92.48</v>
      </c>
      <c r="E135" s="75">
        <v>94.42</v>
      </c>
      <c r="F135">
        <v>210.87</v>
      </c>
      <c r="G135">
        <v>1410.9</v>
      </c>
      <c r="H135">
        <v>676.8</v>
      </c>
      <c r="I135">
        <v>-1043</v>
      </c>
      <c r="J135">
        <v>1255.5699999999997</v>
      </c>
    </row>
    <row r="136" spans="1:10" x14ac:dyDescent="0.35">
      <c r="A136">
        <v>120</v>
      </c>
      <c r="B136" s="75">
        <v>89.4422</v>
      </c>
      <c r="C136" s="75">
        <v>99.124099999999999</v>
      </c>
      <c r="D136" s="75">
        <v>91.652199999999993</v>
      </c>
      <c r="E136" s="75">
        <v>97.374099999999999</v>
      </c>
      <c r="F136">
        <v>367.62</v>
      </c>
      <c r="G136">
        <v>-1371.3</v>
      </c>
      <c r="H136">
        <v>2327.7999999999997</v>
      </c>
      <c r="I136">
        <v>-3993.5</v>
      </c>
      <c r="J136">
        <v>-2669.38</v>
      </c>
    </row>
    <row r="137" spans="1:10" x14ac:dyDescent="0.35">
      <c r="A137">
        <v>121</v>
      </c>
      <c r="B137" s="75">
        <v>89.42</v>
      </c>
      <c r="C137" s="75">
        <v>98.92</v>
      </c>
      <c r="D137" s="75">
        <v>92.54</v>
      </c>
      <c r="E137" s="75">
        <v>93.58</v>
      </c>
      <c r="F137">
        <v>440.88</v>
      </c>
      <c r="G137">
        <v>-1060.6499999999999</v>
      </c>
      <c r="H137">
        <v>555.6</v>
      </c>
      <c r="I137">
        <v>-196.6</v>
      </c>
      <c r="J137">
        <v>-260.76999999999987</v>
      </c>
    </row>
    <row r="138" spans="1:10" x14ac:dyDescent="0.35">
      <c r="A138">
        <v>122</v>
      </c>
      <c r="B138" s="75">
        <v>88.591800000000006</v>
      </c>
      <c r="C138" s="75">
        <v>98.113600000000005</v>
      </c>
      <c r="D138" s="75">
        <v>92.970399999999998</v>
      </c>
      <c r="E138" s="75">
        <v>91.210499999999996</v>
      </c>
      <c r="F138">
        <v>3173.94</v>
      </c>
      <c r="G138">
        <v>144.44999999999999</v>
      </c>
      <c r="H138">
        <v>-308.59999999999997</v>
      </c>
      <c r="I138">
        <v>2170.1000000000004</v>
      </c>
      <c r="J138">
        <v>5179.8900000000003</v>
      </c>
    </row>
    <row r="139" spans="1:10" x14ac:dyDescent="0.35">
      <c r="A139">
        <v>123</v>
      </c>
      <c r="B139" s="75">
        <v>89.41</v>
      </c>
      <c r="C139" s="75">
        <v>98.29</v>
      </c>
      <c r="D139" s="75">
        <v>93.08</v>
      </c>
      <c r="E139" s="75">
        <v>95.82</v>
      </c>
      <c r="F139">
        <v>484.11</v>
      </c>
      <c r="G139">
        <v>-125.39999999999999</v>
      </c>
      <c r="H139">
        <v>-532.20000000000005</v>
      </c>
      <c r="I139">
        <v>-2438.4</v>
      </c>
      <c r="J139">
        <v>-2611.8900000000003</v>
      </c>
    </row>
    <row r="140" spans="1:10" x14ac:dyDescent="0.35">
      <c r="A140">
        <v>124</v>
      </c>
      <c r="B140" s="75">
        <v>90.837800000000001</v>
      </c>
      <c r="C140" s="75">
        <v>99.141599999999997</v>
      </c>
      <c r="D140" s="75">
        <v>91.375</v>
      </c>
      <c r="E140" s="75">
        <v>91.333799999999997</v>
      </c>
      <c r="F140">
        <v>-4237.8599999999997</v>
      </c>
      <c r="G140">
        <v>-1397.55</v>
      </c>
      <c r="H140">
        <v>2882.2000000000003</v>
      </c>
      <c r="I140">
        <v>2046.8000000000002</v>
      </c>
      <c r="J140">
        <v>-706.4099999999994</v>
      </c>
    </row>
    <row r="141" spans="1:10" x14ac:dyDescent="0.35">
      <c r="A141">
        <v>125</v>
      </c>
      <c r="B141" s="75">
        <v>89.85</v>
      </c>
      <c r="C141" s="75">
        <v>98.81</v>
      </c>
      <c r="D141" s="75">
        <v>92.84</v>
      </c>
      <c r="E141" s="75">
        <v>94.5</v>
      </c>
      <c r="F141">
        <v>-971.84999999999991</v>
      </c>
      <c r="G141">
        <v>-901.65</v>
      </c>
      <c r="H141">
        <v>-50.2</v>
      </c>
      <c r="I141">
        <v>-1119.3999999999999</v>
      </c>
      <c r="J141">
        <v>-3043.1</v>
      </c>
    </row>
    <row r="142" spans="1:10" x14ac:dyDescent="0.35">
      <c r="A142">
        <v>126</v>
      </c>
      <c r="B142" s="75">
        <v>89.963399999999993</v>
      </c>
      <c r="C142" s="75">
        <v>99.517399999999995</v>
      </c>
      <c r="D142" s="75">
        <v>92.232500000000002</v>
      </c>
      <c r="E142" s="75">
        <v>94.323099999999997</v>
      </c>
      <c r="F142">
        <v>-1352.34</v>
      </c>
      <c r="G142">
        <v>-1961.2500000000002</v>
      </c>
      <c r="H142">
        <v>1167.2</v>
      </c>
      <c r="I142">
        <v>-942.5</v>
      </c>
      <c r="J142">
        <v>-3088.8900000000003</v>
      </c>
    </row>
    <row r="143" spans="1:10" x14ac:dyDescent="0.35">
      <c r="A143">
        <v>127</v>
      </c>
      <c r="B143" s="75">
        <v>89.81</v>
      </c>
      <c r="C143" s="75">
        <v>98.14</v>
      </c>
      <c r="D143" s="75">
        <v>93.22</v>
      </c>
      <c r="E143" s="75">
        <v>91.77</v>
      </c>
      <c r="F143">
        <v>-836.22</v>
      </c>
      <c r="G143">
        <v>106.8</v>
      </c>
      <c r="H143">
        <v>-811.4</v>
      </c>
      <c r="I143">
        <v>1609.2</v>
      </c>
      <c r="J143">
        <v>68.379999999999882</v>
      </c>
    </row>
    <row r="144" spans="1:10" x14ac:dyDescent="0.35">
      <c r="A144">
        <v>128</v>
      </c>
      <c r="B144" s="75">
        <v>89.383799999999994</v>
      </c>
      <c r="C144" s="75">
        <v>97.346900000000005</v>
      </c>
      <c r="D144" s="75">
        <v>93.117800000000003</v>
      </c>
      <c r="E144" s="75">
        <v>92.827200000000005</v>
      </c>
      <c r="F144">
        <v>560.34</v>
      </c>
      <c r="G144">
        <v>1294.5</v>
      </c>
      <c r="H144">
        <v>-603.40000000000009</v>
      </c>
      <c r="I144">
        <v>553.4</v>
      </c>
      <c r="J144">
        <v>1804.8400000000001</v>
      </c>
    </row>
    <row r="145" spans="1:10" x14ac:dyDescent="0.35">
      <c r="A145">
        <v>129</v>
      </c>
      <c r="B145" s="75">
        <v>90.47</v>
      </c>
      <c r="C145" s="75">
        <v>98.32</v>
      </c>
      <c r="D145" s="75">
        <v>90.76</v>
      </c>
      <c r="E145" s="75">
        <v>94.32</v>
      </c>
      <c r="F145">
        <v>-3020.16</v>
      </c>
      <c r="G145">
        <v>-172.35</v>
      </c>
      <c r="H145">
        <v>4122.2000000000007</v>
      </c>
      <c r="I145">
        <v>-941</v>
      </c>
      <c r="J145">
        <v>-11.309999999999036</v>
      </c>
    </row>
    <row r="146" spans="1:10" x14ac:dyDescent="0.35">
      <c r="A146">
        <v>130</v>
      </c>
      <c r="B146" s="75">
        <v>90.016499999999994</v>
      </c>
      <c r="C146" s="75">
        <v>98.230900000000005</v>
      </c>
      <c r="D146" s="75">
        <v>93.684899999999999</v>
      </c>
      <c r="E146" s="75">
        <v>91.007400000000004</v>
      </c>
      <c r="F146">
        <v>-1527.57</v>
      </c>
      <c r="G146">
        <v>-31.500000000000004</v>
      </c>
      <c r="H146">
        <v>-1737.6000000000001</v>
      </c>
      <c r="I146">
        <v>2373.2000000000003</v>
      </c>
      <c r="J146">
        <v>-923.4699999999998</v>
      </c>
    </row>
    <row r="147" spans="1:10" x14ac:dyDescent="0.35">
      <c r="A147">
        <v>131</v>
      </c>
      <c r="B147" s="75">
        <v>88.76</v>
      </c>
      <c r="C147" s="75">
        <v>97.62</v>
      </c>
      <c r="D147" s="75">
        <v>92.2</v>
      </c>
      <c r="E147" s="75">
        <v>93.83</v>
      </c>
      <c r="F147">
        <v>2614.92</v>
      </c>
      <c r="G147">
        <v>877.80000000000007</v>
      </c>
      <c r="H147">
        <v>1232.5999999999999</v>
      </c>
      <c r="I147">
        <v>-447.40000000000003</v>
      </c>
      <c r="J147">
        <v>4277.92</v>
      </c>
    </row>
    <row r="148" spans="1:10" x14ac:dyDescent="0.35">
      <c r="A148">
        <v>132</v>
      </c>
      <c r="B148" s="75">
        <v>89.3125</v>
      </c>
      <c r="C148" s="75">
        <v>96.828100000000006</v>
      </c>
      <c r="D148" s="75">
        <v>93.846699999999998</v>
      </c>
      <c r="E148" s="75">
        <v>91.110299999999995</v>
      </c>
      <c r="F148">
        <v>795.63</v>
      </c>
      <c r="G148">
        <v>2072.6999999999998</v>
      </c>
      <c r="H148">
        <v>-2061.1999999999998</v>
      </c>
      <c r="I148">
        <v>2270.3000000000002</v>
      </c>
      <c r="J148">
        <v>3077.4300000000003</v>
      </c>
    </row>
    <row r="149" spans="1:10" x14ac:dyDescent="0.35">
      <c r="A149">
        <v>133</v>
      </c>
      <c r="B149" s="75">
        <v>89.79</v>
      </c>
      <c r="C149" s="75">
        <v>97.88</v>
      </c>
      <c r="D149" s="75">
        <v>93.23</v>
      </c>
      <c r="E149" s="75">
        <v>89.42</v>
      </c>
      <c r="F149">
        <v>-784.41</v>
      </c>
      <c r="G149">
        <v>493.2</v>
      </c>
      <c r="H149">
        <v>-818</v>
      </c>
      <c r="I149">
        <v>3956.2</v>
      </c>
      <c r="J149">
        <v>2846.99</v>
      </c>
    </row>
    <row r="150" spans="1:10" x14ac:dyDescent="0.35">
      <c r="A150">
        <v>134</v>
      </c>
      <c r="B150" s="75">
        <v>89.442800000000005</v>
      </c>
      <c r="C150" s="75">
        <v>98.562600000000003</v>
      </c>
      <c r="D150" s="75">
        <v>94.470500000000001</v>
      </c>
      <c r="E150" s="75">
        <v>94.234099999999998</v>
      </c>
      <c r="F150">
        <v>365.64</v>
      </c>
      <c r="G150">
        <v>-529.05000000000007</v>
      </c>
      <c r="H150">
        <v>-3308.8</v>
      </c>
      <c r="I150">
        <v>-853.5</v>
      </c>
      <c r="J150">
        <v>-4325.71</v>
      </c>
    </row>
    <row r="151" spans="1:10" x14ac:dyDescent="0.35">
      <c r="A151">
        <v>135</v>
      </c>
      <c r="B151" s="75">
        <v>89.21</v>
      </c>
      <c r="C151" s="75">
        <v>98.83</v>
      </c>
      <c r="D151" s="75">
        <v>94.34</v>
      </c>
      <c r="E151" s="75">
        <v>93.62</v>
      </c>
      <c r="F151">
        <v>1121.6699999999998</v>
      </c>
      <c r="G151">
        <v>-934.94999999999993</v>
      </c>
      <c r="H151">
        <v>-3039</v>
      </c>
      <c r="I151">
        <v>-241.5</v>
      </c>
      <c r="J151">
        <v>-3093.78</v>
      </c>
    </row>
    <row r="152" spans="1:10" x14ac:dyDescent="0.35">
      <c r="A152">
        <v>136</v>
      </c>
      <c r="B152" s="75">
        <v>88.001199999999997</v>
      </c>
      <c r="C152" s="75">
        <v>98.515500000000003</v>
      </c>
      <c r="D152" s="75">
        <v>93.654499999999999</v>
      </c>
      <c r="E152" s="75">
        <v>92.150499999999994</v>
      </c>
      <c r="F152">
        <v>5122.92</v>
      </c>
      <c r="G152">
        <v>-458.4</v>
      </c>
      <c r="H152">
        <v>-1676.8000000000002</v>
      </c>
      <c r="I152">
        <v>1230.0999999999999</v>
      </c>
      <c r="J152">
        <v>4217.82</v>
      </c>
    </row>
    <row r="153" spans="1:10" x14ac:dyDescent="0.35">
      <c r="A153">
        <v>137</v>
      </c>
      <c r="B153" s="75">
        <v>90.54</v>
      </c>
      <c r="C153" s="75">
        <v>98.86</v>
      </c>
      <c r="D153" s="75">
        <v>92.5</v>
      </c>
      <c r="E153" s="75">
        <v>93.38</v>
      </c>
      <c r="F153">
        <v>-3243.9</v>
      </c>
      <c r="G153">
        <v>-971.7</v>
      </c>
      <c r="H153">
        <v>638.80000000000007</v>
      </c>
      <c r="I153">
        <v>-3.5</v>
      </c>
      <c r="J153">
        <v>-3580.3</v>
      </c>
    </row>
    <row r="154" spans="1:10" x14ac:dyDescent="0.35">
      <c r="A154">
        <v>138</v>
      </c>
      <c r="B154" s="75">
        <v>89.452799999999996</v>
      </c>
      <c r="C154" s="75">
        <v>97.568799999999996</v>
      </c>
      <c r="D154" s="75">
        <v>91.349400000000003</v>
      </c>
      <c r="E154" s="75">
        <v>92.599299999999999</v>
      </c>
      <c r="F154">
        <v>332.64</v>
      </c>
      <c r="G154">
        <v>961.65</v>
      </c>
      <c r="H154">
        <v>2933.3999999999996</v>
      </c>
      <c r="I154">
        <v>781.3</v>
      </c>
      <c r="J154">
        <v>5008.99</v>
      </c>
    </row>
    <row r="155" spans="1:10" x14ac:dyDescent="0.35">
      <c r="A155">
        <v>139</v>
      </c>
      <c r="B155" s="75">
        <v>90.29</v>
      </c>
      <c r="C155" s="75">
        <v>97.6</v>
      </c>
      <c r="D155" s="75">
        <v>92.91</v>
      </c>
      <c r="E155" s="75">
        <v>94.39</v>
      </c>
      <c r="F155">
        <v>-2434.08</v>
      </c>
      <c r="G155">
        <v>919.65</v>
      </c>
      <c r="H155">
        <v>-180.4</v>
      </c>
      <c r="I155">
        <v>-1006</v>
      </c>
      <c r="J155">
        <v>-2700.83</v>
      </c>
    </row>
    <row r="156" spans="1:10" x14ac:dyDescent="0.35">
      <c r="A156">
        <v>140</v>
      </c>
      <c r="B156" s="75">
        <v>90.200400000000002</v>
      </c>
      <c r="C156" s="75">
        <v>98.474199999999996</v>
      </c>
      <c r="D156" s="75">
        <v>91.261300000000006</v>
      </c>
      <c r="E156" s="75">
        <v>93.147900000000007</v>
      </c>
      <c r="F156">
        <v>-2134.44</v>
      </c>
      <c r="G156">
        <v>-396.45</v>
      </c>
      <c r="H156">
        <v>3109.6</v>
      </c>
      <c r="I156">
        <v>232.7</v>
      </c>
      <c r="J156">
        <v>811.41000000000008</v>
      </c>
    </row>
    <row r="157" spans="1:10" x14ac:dyDescent="0.35">
      <c r="A157">
        <v>141</v>
      </c>
      <c r="B157" s="75">
        <v>89.48</v>
      </c>
      <c r="C157" s="75">
        <v>98.28</v>
      </c>
      <c r="D157" s="75">
        <v>92.48</v>
      </c>
      <c r="E157" s="75">
        <v>96.43</v>
      </c>
      <c r="F157">
        <v>242.54999999999998</v>
      </c>
      <c r="G157">
        <v>-99.75</v>
      </c>
      <c r="H157">
        <v>679.4</v>
      </c>
      <c r="I157">
        <v>-3048.9</v>
      </c>
      <c r="J157">
        <v>-2226.7000000000003</v>
      </c>
    </row>
    <row r="158" spans="1:10" x14ac:dyDescent="0.35">
      <c r="A158">
        <v>142</v>
      </c>
      <c r="B158" s="75">
        <v>88.833799999999997</v>
      </c>
      <c r="C158" s="75">
        <v>98.275999999999996</v>
      </c>
      <c r="D158" s="75">
        <v>91.418999999999997</v>
      </c>
      <c r="E158" s="75">
        <v>91.950199999999995</v>
      </c>
      <c r="F158">
        <v>2375.34</v>
      </c>
      <c r="G158">
        <v>-99.15</v>
      </c>
      <c r="H158">
        <v>2794.2</v>
      </c>
      <c r="I158">
        <v>1430.3999999999999</v>
      </c>
      <c r="J158">
        <v>6500.7899999999991</v>
      </c>
    </row>
    <row r="159" spans="1:10" x14ac:dyDescent="0.35">
      <c r="A159">
        <v>143</v>
      </c>
      <c r="B159" s="75">
        <v>89.97</v>
      </c>
      <c r="C159" s="75">
        <v>98.55</v>
      </c>
      <c r="D159" s="75">
        <v>94.48</v>
      </c>
      <c r="E159" s="75">
        <v>92.96</v>
      </c>
      <c r="F159">
        <v>-1378.41</v>
      </c>
      <c r="G159">
        <v>-516.6</v>
      </c>
      <c r="H159">
        <v>-3318</v>
      </c>
      <c r="I159">
        <v>420.20000000000005</v>
      </c>
      <c r="J159">
        <v>-4792.8100000000004</v>
      </c>
    </row>
    <row r="160" spans="1:10" x14ac:dyDescent="0.35">
      <c r="A160">
        <v>144</v>
      </c>
      <c r="B160" s="75">
        <v>89.932100000000005</v>
      </c>
      <c r="C160" s="75">
        <v>97.509</v>
      </c>
      <c r="D160" s="75">
        <v>92.897300000000001</v>
      </c>
      <c r="E160" s="75">
        <v>92.469300000000004</v>
      </c>
      <c r="F160">
        <v>-1249.05</v>
      </c>
      <c r="G160">
        <v>1051.3499999999999</v>
      </c>
      <c r="H160">
        <v>-162.39999999999998</v>
      </c>
      <c r="I160">
        <v>911.3</v>
      </c>
      <c r="J160">
        <v>551.19999999999993</v>
      </c>
    </row>
    <row r="161" spans="1:10" x14ac:dyDescent="0.35">
      <c r="A161">
        <v>145</v>
      </c>
      <c r="B161" s="75">
        <v>89.92</v>
      </c>
      <c r="C161" s="75">
        <v>97.66</v>
      </c>
      <c r="D161" s="75">
        <v>90.41</v>
      </c>
      <c r="E161" s="75">
        <v>95.42</v>
      </c>
      <c r="F161">
        <v>-1208.79</v>
      </c>
      <c r="G161">
        <v>829.19999999999993</v>
      </c>
      <c r="H161">
        <v>4805.3999999999996</v>
      </c>
      <c r="I161">
        <v>-2037.5</v>
      </c>
      <c r="J161">
        <v>2388.3099999999995</v>
      </c>
    </row>
    <row r="162" spans="1:10" x14ac:dyDescent="0.35">
      <c r="A162">
        <v>146</v>
      </c>
      <c r="B162" s="75">
        <v>89.633799999999994</v>
      </c>
      <c r="C162" s="75">
        <v>98.344800000000006</v>
      </c>
      <c r="D162" s="75">
        <v>92.828699999999998</v>
      </c>
      <c r="E162" s="75">
        <v>91.615399999999994</v>
      </c>
      <c r="F162">
        <v>-264.65999999999997</v>
      </c>
      <c r="G162">
        <v>-202.35</v>
      </c>
      <c r="H162">
        <v>-25.2</v>
      </c>
      <c r="I162">
        <v>1765.2</v>
      </c>
      <c r="J162">
        <v>1272.99</v>
      </c>
    </row>
    <row r="163" spans="1:10" x14ac:dyDescent="0.35">
      <c r="A163">
        <v>147</v>
      </c>
      <c r="B163" s="75">
        <v>89.72</v>
      </c>
      <c r="C163" s="75">
        <v>97.54</v>
      </c>
      <c r="D163" s="75">
        <v>93.69</v>
      </c>
      <c r="E163" s="75">
        <v>93.06</v>
      </c>
      <c r="F163">
        <v>-548.79</v>
      </c>
      <c r="G163">
        <v>1008.1500000000001</v>
      </c>
      <c r="H163">
        <v>-1751.6000000000001</v>
      </c>
      <c r="I163">
        <v>319.2</v>
      </c>
      <c r="J163">
        <v>-973.04</v>
      </c>
    </row>
    <row r="164" spans="1:10" x14ac:dyDescent="0.35">
      <c r="A164">
        <v>148</v>
      </c>
      <c r="B164" s="75">
        <v>90.0077</v>
      </c>
      <c r="C164" s="75">
        <v>98.272800000000004</v>
      </c>
      <c r="D164" s="75">
        <v>93.868300000000005</v>
      </c>
      <c r="E164" s="75">
        <v>96.567700000000002</v>
      </c>
      <c r="F164">
        <v>-1498.53</v>
      </c>
      <c r="G164">
        <v>-94.35</v>
      </c>
      <c r="H164">
        <v>-2104.4</v>
      </c>
      <c r="I164">
        <v>-3187.1</v>
      </c>
      <c r="J164">
        <v>-6884.3799999999992</v>
      </c>
    </row>
    <row r="165" spans="1:10" x14ac:dyDescent="0.35">
      <c r="A165">
        <v>149</v>
      </c>
      <c r="B165" s="75">
        <v>89.77</v>
      </c>
      <c r="C165" s="75">
        <v>99.11</v>
      </c>
      <c r="D165" s="75">
        <v>90.52</v>
      </c>
      <c r="E165" s="75">
        <v>93.94</v>
      </c>
      <c r="F165">
        <v>-722.37</v>
      </c>
      <c r="G165">
        <v>-1345.3500000000001</v>
      </c>
      <c r="H165">
        <v>4591</v>
      </c>
      <c r="I165">
        <v>-561.20000000000005</v>
      </c>
      <c r="J165">
        <v>1962.0799999999997</v>
      </c>
    </row>
    <row r="166" spans="1:10" x14ac:dyDescent="0.35">
      <c r="A166">
        <v>150</v>
      </c>
      <c r="B166" s="75">
        <v>89.256299999999996</v>
      </c>
      <c r="C166" s="75">
        <v>97.398700000000005</v>
      </c>
      <c r="D166" s="75">
        <v>91.980699999999999</v>
      </c>
      <c r="E166" s="75">
        <v>94.175899999999999</v>
      </c>
      <c r="F166">
        <v>981.09</v>
      </c>
      <c r="G166">
        <v>1216.8</v>
      </c>
      <c r="H166">
        <v>1670.8</v>
      </c>
      <c r="I166">
        <v>-795.3</v>
      </c>
      <c r="J166">
        <v>3073.3899999999994</v>
      </c>
    </row>
    <row r="167" spans="1:10" x14ac:dyDescent="0.35">
      <c r="A167">
        <v>151</v>
      </c>
      <c r="B167" s="75">
        <v>89.57</v>
      </c>
      <c r="C167" s="75">
        <v>96.69</v>
      </c>
      <c r="D167" s="75">
        <v>94.06</v>
      </c>
      <c r="E167" s="75">
        <v>92.89</v>
      </c>
      <c r="F167">
        <v>-67.650000000000006</v>
      </c>
      <c r="G167">
        <v>2278.35</v>
      </c>
      <c r="H167">
        <v>-2484.7999999999997</v>
      </c>
      <c r="I167">
        <v>492</v>
      </c>
      <c r="J167">
        <v>217.90000000000009</v>
      </c>
    </row>
    <row r="168" spans="1:10" x14ac:dyDescent="0.35">
      <c r="A168">
        <v>152</v>
      </c>
      <c r="B168" s="75">
        <v>89.080399999999997</v>
      </c>
      <c r="C168" s="75">
        <v>97.608099999999993</v>
      </c>
      <c r="D168" s="75">
        <v>92.343699999999998</v>
      </c>
      <c r="E168" s="75">
        <v>95.9512</v>
      </c>
      <c r="F168">
        <v>1561.56</v>
      </c>
      <c r="G168">
        <v>902.7</v>
      </c>
      <c r="H168">
        <v>944.8</v>
      </c>
      <c r="I168">
        <v>-2570.6000000000004</v>
      </c>
      <c r="J168">
        <v>838.46</v>
      </c>
    </row>
    <row r="169" spans="1:10" x14ac:dyDescent="0.35">
      <c r="A169">
        <v>153</v>
      </c>
      <c r="B169" s="75">
        <v>89.98</v>
      </c>
      <c r="C169" s="75">
        <v>98.24</v>
      </c>
      <c r="D169" s="75">
        <v>92.09</v>
      </c>
      <c r="E169" s="75">
        <v>92.75</v>
      </c>
      <c r="F169">
        <v>-1419.33</v>
      </c>
      <c r="G169">
        <v>-42.449999999999996</v>
      </c>
      <c r="H169">
        <v>1461.6</v>
      </c>
      <c r="I169">
        <v>626.1</v>
      </c>
      <c r="J169">
        <v>625.91999999999996</v>
      </c>
    </row>
    <row r="170" spans="1:10" x14ac:dyDescent="0.35">
      <c r="A170">
        <v>154</v>
      </c>
      <c r="B170" s="75">
        <v>89.924000000000007</v>
      </c>
      <c r="C170" s="75">
        <v>99.688100000000006</v>
      </c>
      <c r="D170" s="75">
        <v>93.582400000000007</v>
      </c>
      <c r="E170" s="75">
        <v>94.112200000000001</v>
      </c>
      <c r="F170">
        <v>-1222.32</v>
      </c>
      <c r="G170">
        <v>-2217.2999999999997</v>
      </c>
      <c r="H170">
        <v>-1532.6</v>
      </c>
      <c r="I170">
        <v>-731.6</v>
      </c>
      <c r="J170">
        <v>-5703.82</v>
      </c>
    </row>
    <row r="171" spans="1:10" x14ac:dyDescent="0.35">
      <c r="A171">
        <v>155</v>
      </c>
      <c r="B171" s="75">
        <v>90.19</v>
      </c>
      <c r="C171" s="75">
        <v>98.56</v>
      </c>
      <c r="D171" s="75">
        <v>92.38</v>
      </c>
      <c r="E171" s="75">
        <v>95.69</v>
      </c>
      <c r="F171">
        <v>-2086.2599999999998</v>
      </c>
      <c r="G171">
        <v>-524.25</v>
      </c>
      <c r="H171">
        <v>870.6</v>
      </c>
      <c r="I171">
        <v>-2305.1</v>
      </c>
      <c r="J171">
        <v>-4045.0099999999998</v>
      </c>
    </row>
    <row r="172" spans="1:10" x14ac:dyDescent="0.35">
      <c r="A172">
        <v>156</v>
      </c>
      <c r="B172" s="75">
        <v>89.646000000000001</v>
      </c>
      <c r="C172" s="75">
        <v>99.873800000000003</v>
      </c>
      <c r="D172" s="75">
        <v>92.462800000000001</v>
      </c>
      <c r="E172" s="75">
        <v>93.804000000000002</v>
      </c>
      <c r="F172">
        <v>-304.91999999999996</v>
      </c>
      <c r="G172">
        <v>-2495.85</v>
      </c>
      <c r="H172">
        <v>706.6</v>
      </c>
      <c r="I172">
        <v>-423.4</v>
      </c>
      <c r="J172">
        <v>-2517.5700000000002</v>
      </c>
    </row>
    <row r="173" spans="1:10" x14ac:dyDescent="0.35">
      <c r="A173">
        <v>157</v>
      </c>
      <c r="B173" s="75">
        <v>90.66</v>
      </c>
      <c r="C173" s="75">
        <v>98.36</v>
      </c>
      <c r="D173" s="75">
        <v>92.43</v>
      </c>
      <c r="E173" s="75">
        <v>94.18</v>
      </c>
      <c r="F173">
        <v>-3647.49</v>
      </c>
      <c r="G173">
        <v>-218.24999999999997</v>
      </c>
      <c r="H173">
        <v>762.4</v>
      </c>
      <c r="I173">
        <v>-798</v>
      </c>
      <c r="J173">
        <v>-3901.3399999999997</v>
      </c>
    </row>
    <row r="174" spans="1:10" x14ac:dyDescent="0.35">
      <c r="A174">
        <v>158</v>
      </c>
      <c r="B174" s="75">
        <v>89.339299999999994</v>
      </c>
      <c r="C174" s="75">
        <v>99.578299999999999</v>
      </c>
      <c r="D174" s="75">
        <v>91.861599999999996</v>
      </c>
      <c r="E174" s="75">
        <v>92.869600000000005</v>
      </c>
      <c r="F174">
        <v>707.18999999999994</v>
      </c>
      <c r="G174">
        <v>-2052.6</v>
      </c>
      <c r="H174">
        <v>1909</v>
      </c>
      <c r="I174">
        <v>511</v>
      </c>
      <c r="J174">
        <v>1074.5900000000001</v>
      </c>
    </row>
    <row r="175" spans="1:10" x14ac:dyDescent="0.35">
      <c r="A175">
        <v>159</v>
      </c>
      <c r="B175" s="75">
        <v>88.71</v>
      </c>
      <c r="C175" s="75">
        <v>96.44</v>
      </c>
      <c r="D175" s="75">
        <v>93.7</v>
      </c>
      <c r="E175" s="75">
        <v>92.62</v>
      </c>
      <c r="F175">
        <v>2781.57</v>
      </c>
      <c r="G175">
        <v>2658.45</v>
      </c>
      <c r="H175">
        <v>-1758.8</v>
      </c>
      <c r="I175">
        <v>760.80000000000007</v>
      </c>
      <c r="J175">
        <v>4442.0200000000004</v>
      </c>
    </row>
    <row r="176" spans="1:10" x14ac:dyDescent="0.35">
      <c r="A176">
        <v>160</v>
      </c>
      <c r="B176" s="75">
        <v>89.844300000000004</v>
      </c>
      <c r="C176" s="75">
        <v>95.898700000000005</v>
      </c>
      <c r="D176" s="75">
        <v>93.818600000000004</v>
      </c>
      <c r="E176" s="75">
        <v>95.426699999999997</v>
      </c>
      <c r="F176">
        <v>-959.31000000000006</v>
      </c>
      <c r="G176">
        <v>3466.7999999999997</v>
      </c>
      <c r="H176">
        <v>-2005</v>
      </c>
      <c r="I176">
        <v>-2046.1000000000001</v>
      </c>
      <c r="J176">
        <v>-1543.6100000000004</v>
      </c>
    </row>
    <row r="177" spans="1:10" x14ac:dyDescent="0.35">
      <c r="A177">
        <v>161</v>
      </c>
      <c r="B177" s="75">
        <v>90.22</v>
      </c>
      <c r="C177" s="75">
        <v>99.15</v>
      </c>
      <c r="D177" s="75">
        <v>92.87</v>
      </c>
      <c r="E177" s="75">
        <v>93.36</v>
      </c>
      <c r="F177">
        <v>-2186.91</v>
      </c>
      <c r="G177">
        <v>-1405.05</v>
      </c>
      <c r="H177">
        <v>-98</v>
      </c>
      <c r="I177">
        <v>25.4</v>
      </c>
      <c r="J177">
        <v>-3664.56</v>
      </c>
    </row>
    <row r="178" spans="1:10" x14ac:dyDescent="0.35">
      <c r="A178">
        <v>162</v>
      </c>
      <c r="B178" s="75">
        <v>89.561400000000006</v>
      </c>
      <c r="C178" s="75">
        <v>98.259100000000004</v>
      </c>
      <c r="D178" s="75">
        <v>91.904700000000005</v>
      </c>
      <c r="E178" s="75">
        <v>93.2333</v>
      </c>
      <c r="F178">
        <v>-25.74</v>
      </c>
      <c r="G178">
        <v>-73.8</v>
      </c>
      <c r="H178">
        <v>1822.8</v>
      </c>
      <c r="I178">
        <v>147.29999999999998</v>
      </c>
      <c r="J178">
        <v>1870.56</v>
      </c>
    </row>
    <row r="179" spans="1:10" x14ac:dyDescent="0.35">
      <c r="A179">
        <v>163</v>
      </c>
      <c r="B179" s="75">
        <v>89.67</v>
      </c>
      <c r="C179" s="75">
        <v>99.86</v>
      </c>
      <c r="D179" s="75">
        <v>92.69</v>
      </c>
      <c r="E179" s="75">
        <v>91.71</v>
      </c>
      <c r="F179">
        <v>-374.55</v>
      </c>
      <c r="G179">
        <v>-2470.35</v>
      </c>
      <c r="H179">
        <v>244</v>
      </c>
      <c r="I179">
        <v>1665.8999999999999</v>
      </c>
      <c r="J179">
        <v>-935.00000000000023</v>
      </c>
    </row>
    <row r="180" spans="1:10" x14ac:dyDescent="0.35">
      <c r="A180">
        <v>164</v>
      </c>
      <c r="B180" s="75">
        <v>89.806200000000004</v>
      </c>
      <c r="C180" s="75">
        <v>97.985900000000001</v>
      </c>
      <c r="D180" s="75">
        <v>91.965000000000003</v>
      </c>
      <c r="E180" s="75">
        <v>93.600200000000001</v>
      </c>
      <c r="F180">
        <v>-833.57999999999993</v>
      </c>
      <c r="G180">
        <v>336</v>
      </c>
      <c r="H180">
        <v>1702.2</v>
      </c>
      <c r="I180">
        <v>-219.6</v>
      </c>
      <c r="J180">
        <v>985.0200000000001</v>
      </c>
    </row>
    <row r="181" spans="1:10" x14ac:dyDescent="0.35">
      <c r="A181">
        <v>165</v>
      </c>
      <c r="B181" s="75">
        <v>89.81</v>
      </c>
      <c r="C181" s="75">
        <v>97.15</v>
      </c>
      <c r="D181" s="75">
        <v>93.53</v>
      </c>
      <c r="E181" s="75">
        <v>92.4</v>
      </c>
      <c r="F181">
        <v>-859.32</v>
      </c>
      <c r="G181">
        <v>1592.1</v>
      </c>
      <c r="H181">
        <v>-1433.8</v>
      </c>
      <c r="I181">
        <v>985.3</v>
      </c>
      <c r="J181">
        <v>284.27999999999986</v>
      </c>
    </row>
    <row r="182" spans="1:10" x14ac:dyDescent="0.35">
      <c r="A182">
        <v>166</v>
      </c>
      <c r="B182" s="75">
        <v>89.553600000000003</v>
      </c>
      <c r="C182" s="75">
        <v>99.180599999999998</v>
      </c>
      <c r="D182" s="75">
        <v>93.265600000000006</v>
      </c>
      <c r="E182" s="75">
        <v>93.558300000000003</v>
      </c>
      <c r="F182">
        <v>0</v>
      </c>
      <c r="G182">
        <v>-1456.05</v>
      </c>
      <c r="H182">
        <v>-899</v>
      </c>
      <c r="I182">
        <v>-177.7</v>
      </c>
      <c r="J182">
        <v>-2532.75</v>
      </c>
    </row>
    <row r="183" spans="1:10" x14ac:dyDescent="0.35">
      <c r="A183">
        <v>167</v>
      </c>
      <c r="B183" s="75">
        <v>89.88</v>
      </c>
      <c r="C183" s="75">
        <v>96.85</v>
      </c>
      <c r="D183" s="75">
        <v>92.47</v>
      </c>
      <c r="E183" s="75">
        <v>92.9</v>
      </c>
      <c r="F183">
        <v>-1063.92</v>
      </c>
      <c r="G183">
        <v>2034.75</v>
      </c>
      <c r="H183">
        <v>685.2</v>
      </c>
      <c r="I183">
        <v>481.3</v>
      </c>
      <c r="J183">
        <v>2137.33</v>
      </c>
    </row>
    <row r="184" spans="1:10" x14ac:dyDescent="0.35">
      <c r="A184">
        <v>168</v>
      </c>
      <c r="B184" s="75">
        <v>88.937100000000001</v>
      </c>
      <c r="C184" s="75">
        <v>97.597499999999997</v>
      </c>
      <c r="D184" s="75">
        <v>92.650700000000001</v>
      </c>
      <c r="E184" s="75">
        <v>92.241600000000005</v>
      </c>
      <c r="F184">
        <v>2034.45</v>
      </c>
      <c r="G184">
        <v>918.60000000000014</v>
      </c>
      <c r="H184">
        <v>330.79999999999995</v>
      </c>
      <c r="I184">
        <v>1139</v>
      </c>
      <c r="J184">
        <v>4422.8500000000004</v>
      </c>
    </row>
    <row r="185" spans="1:10" x14ac:dyDescent="0.35">
      <c r="A185">
        <v>169</v>
      </c>
      <c r="B185" s="75">
        <v>89.46</v>
      </c>
      <c r="C185" s="75">
        <v>97.83</v>
      </c>
      <c r="D185" s="75">
        <v>92.58</v>
      </c>
      <c r="E185" s="75">
        <v>94.79</v>
      </c>
      <c r="F185">
        <v>293.04000000000002</v>
      </c>
      <c r="G185">
        <v>566.1</v>
      </c>
      <c r="H185">
        <v>466.8</v>
      </c>
      <c r="I185">
        <v>-1411.2</v>
      </c>
      <c r="J185">
        <v>-85.259999999999991</v>
      </c>
    </row>
    <row r="186" spans="1:10" x14ac:dyDescent="0.35">
      <c r="A186">
        <v>170</v>
      </c>
      <c r="B186" s="75">
        <v>88.7273</v>
      </c>
      <c r="C186" s="75">
        <v>98.789599999999993</v>
      </c>
      <c r="D186" s="75">
        <v>93.490600000000001</v>
      </c>
      <c r="E186" s="75">
        <v>94.955699999999993</v>
      </c>
      <c r="F186">
        <v>2726.79</v>
      </c>
      <c r="G186">
        <v>-869.55</v>
      </c>
      <c r="H186">
        <v>-1349</v>
      </c>
      <c r="I186">
        <v>-1575.1</v>
      </c>
      <c r="J186">
        <v>-1066.8599999999999</v>
      </c>
    </row>
    <row r="187" spans="1:10" x14ac:dyDescent="0.35">
      <c r="A187">
        <v>171</v>
      </c>
      <c r="B187" s="75">
        <v>89.04</v>
      </c>
      <c r="C187" s="75">
        <v>96.98</v>
      </c>
      <c r="D187" s="75">
        <v>94.36</v>
      </c>
      <c r="E187" s="75">
        <v>91.98</v>
      </c>
      <c r="F187">
        <v>1706.1000000000001</v>
      </c>
      <c r="G187">
        <v>1847.4</v>
      </c>
      <c r="H187">
        <v>-3090.8</v>
      </c>
      <c r="I187">
        <v>1405</v>
      </c>
      <c r="J187">
        <v>1867.6999999999998</v>
      </c>
    </row>
    <row r="188" spans="1:10" x14ac:dyDescent="0.35">
      <c r="A188">
        <v>172</v>
      </c>
      <c r="B188" s="75">
        <v>90.329099999999997</v>
      </c>
      <c r="C188" s="75">
        <v>97.793199999999999</v>
      </c>
      <c r="D188" s="75">
        <v>92.623000000000005</v>
      </c>
      <c r="E188" s="75">
        <v>95.303399999999996</v>
      </c>
      <c r="F188">
        <v>-2559.15</v>
      </c>
      <c r="G188">
        <v>625.05000000000007</v>
      </c>
      <c r="H188">
        <v>386.2</v>
      </c>
      <c r="I188">
        <v>-1922.8</v>
      </c>
      <c r="J188">
        <v>-3470.7</v>
      </c>
    </row>
    <row r="189" spans="1:10" x14ac:dyDescent="0.35">
      <c r="A189">
        <v>173</v>
      </c>
      <c r="B189" s="75">
        <v>89.55</v>
      </c>
      <c r="C189" s="75">
        <v>97</v>
      </c>
      <c r="D189" s="75">
        <v>92.33</v>
      </c>
      <c r="E189" s="75">
        <v>92.26</v>
      </c>
      <c r="F189">
        <v>-3.9599999999999995</v>
      </c>
      <c r="G189">
        <v>1822.2</v>
      </c>
      <c r="H189">
        <v>967.8</v>
      </c>
      <c r="I189">
        <v>1117.8999999999999</v>
      </c>
      <c r="J189">
        <v>3903.9399999999996</v>
      </c>
    </row>
    <row r="190" spans="1:10" x14ac:dyDescent="0.35">
      <c r="A190">
        <v>174</v>
      </c>
      <c r="B190" s="75">
        <v>89.856099999999998</v>
      </c>
      <c r="C190" s="75">
        <v>97.629199999999997</v>
      </c>
      <c r="D190" s="75">
        <v>93.807199999999995</v>
      </c>
      <c r="E190" s="75">
        <v>96.553299999999993</v>
      </c>
      <c r="F190">
        <v>-998.25</v>
      </c>
      <c r="G190">
        <v>871.05</v>
      </c>
      <c r="H190">
        <v>-1982.2</v>
      </c>
      <c r="I190">
        <v>-3172.7</v>
      </c>
      <c r="J190">
        <v>-5282.1</v>
      </c>
    </row>
    <row r="191" spans="1:10" x14ac:dyDescent="0.35">
      <c r="A191">
        <v>175</v>
      </c>
      <c r="B191" s="75">
        <v>88.98</v>
      </c>
      <c r="C191" s="75">
        <v>97.32</v>
      </c>
      <c r="D191" s="75">
        <v>91.67</v>
      </c>
      <c r="E191" s="75">
        <v>95.28</v>
      </c>
      <c r="F191">
        <v>1878.0300000000002</v>
      </c>
      <c r="G191">
        <v>1331.7</v>
      </c>
      <c r="H191">
        <v>2292</v>
      </c>
      <c r="I191">
        <v>-1902.3000000000002</v>
      </c>
      <c r="J191">
        <v>3599.4300000000003</v>
      </c>
    </row>
    <row r="192" spans="1:10" x14ac:dyDescent="0.35">
      <c r="A192">
        <v>176</v>
      </c>
      <c r="B192" s="75">
        <v>89.224000000000004</v>
      </c>
      <c r="C192" s="75">
        <v>97.909499999999994</v>
      </c>
      <c r="D192" s="75">
        <v>93.350300000000004</v>
      </c>
      <c r="E192" s="75">
        <v>93.7119</v>
      </c>
      <c r="F192">
        <v>1087.68</v>
      </c>
      <c r="G192">
        <v>450.6</v>
      </c>
      <c r="H192">
        <v>-1068.4000000000001</v>
      </c>
      <c r="I192">
        <v>-331.3</v>
      </c>
      <c r="J192">
        <v>138.5800000000001</v>
      </c>
    </row>
    <row r="193" spans="1:10" x14ac:dyDescent="0.35">
      <c r="A193">
        <v>177</v>
      </c>
      <c r="B193" s="75">
        <v>89.88</v>
      </c>
      <c r="C193" s="75">
        <v>97.88</v>
      </c>
      <c r="D193" s="75">
        <v>91.38</v>
      </c>
      <c r="E193" s="75">
        <v>92.93</v>
      </c>
      <c r="F193">
        <v>-1062.27</v>
      </c>
      <c r="G193">
        <v>493.2</v>
      </c>
      <c r="H193">
        <v>2878.8</v>
      </c>
      <c r="I193">
        <v>450.7</v>
      </c>
      <c r="J193">
        <v>2760.4300000000003</v>
      </c>
    </row>
    <row r="194" spans="1:10" x14ac:dyDescent="0.35">
      <c r="A194">
        <v>178</v>
      </c>
      <c r="B194" s="75">
        <v>90.721299999999999</v>
      </c>
      <c r="C194" s="75">
        <v>99.197100000000006</v>
      </c>
      <c r="D194" s="75">
        <v>90.786799999999999</v>
      </c>
      <c r="E194" s="75">
        <v>94.321799999999996</v>
      </c>
      <c r="F194">
        <v>-3853.41</v>
      </c>
      <c r="G194">
        <v>-1480.8</v>
      </c>
      <c r="H194">
        <v>4058.6000000000004</v>
      </c>
      <c r="I194">
        <v>-941.2</v>
      </c>
      <c r="J194">
        <v>-2216.8099999999995</v>
      </c>
    </row>
    <row r="195" spans="1:10" x14ac:dyDescent="0.35">
      <c r="A195">
        <v>179</v>
      </c>
      <c r="B195" s="75">
        <v>88.69</v>
      </c>
      <c r="C195" s="75">
        <v>98.05</v>
      </c>
      <c r="D195" s="75">
        <v>92.44</v>
      </c>
      <c r="E195" s="75">
        <v>92.62</v>
      </c>
      <c r="F195">
        <v>2862.75</v>
      </c>
      <c r="G195">
        <v>246.75</v>
      </c>
      <c r="H195">
        <v>752.19999999999993</v>
      </c>
      <c r="I195">
        <v>765.3</v>
      </c>
      <c r="J195">
        <v>4627</v>
      </c>
    </row>
    <row r="196" spans="1:10" x14ac:dyDescent="0.35">
      <c r="A196">
        <v>180</v>
      </c>
      <c r="B196" s="75">
        <v>89.372900000000001</v>
      </c>
      <c r="C196" s="75">
        <v>96.338700000000003</v>
      </c>
      <c r="D196" s="75">
        <v>93.603499999999997</v>
      </c>
      <c r="E196" s="75">
        <v>95.792100000000005</v>
      </c>
      <c r="F196">
        <v>596.30999999999995</v>
      </c>
      <c r="G196">
        <v>2806.8</v>
      </c>
      <c r="H196">
        <v>-1574.8</v>
      </c>
      <c r="I196">
        <v>-2411.5</v>
      </c>
      <c r="J196">
        <v>-583.18999999999983</v>
      </c>
    </row>
    <row r="197" spans="1:10" x14ac:dyDescent="0.35">
      <c r="A197">
        <v>181</v>
      </c>
      <c r="B197" s="75">
        <v>89.1</v>
      </c>
      <c r="C197" s="75">
        <v>97.57</v>
      </c>
      <c r="D197" s="75">
        <v>93.68</v>
      </c>
      <c r="E197" s="75">
        <v>91.81</v>
      </c>
      <c r="F197">
        <v>1509.09</v>
      </c>
      <c r="G197">
        <v>953.55000000000007</v>
      </c>
      <c r="H197">
        <v>-1735.6000000000001</v>
      </c>
      <c r="I197">
        <v>1574.3</v>
      </c>
      <c r="J197">
        <v>2301.3399999999997</v>
      </c>
    </row>
    <row r="198" spans="1:10" x14ac:dyDescent="0.35">
      <c r="A198">
        <v>182</v>
      </c>
      <c r="B198" s="75">
        <v>90.167699999999996</v>
      </c>
      <c r="C198" s="75">
        <v>97.672799999999995</v>
      </c>
      <c r="D198" s="75">
        <v>93.341899999999995</v>
      </c>
      <c r="E198" s="75">
        <v>95.460499999999996</v>
      </c>
      <c r="F198">
        <v>-2026.53</v>
      </c>
      <c r="G198">
        <v>805.65</v>
      </c>
      <c r="H198">
        <v>-1051.6000000000001</v>
      </c>
      <c r="I198">
        <v>-2079.8999999999996</v>
      </c>
      <c r="J198">
        <v>-4352.38</v>
      </c>
    </row>
    <row r="199" spans="1:10" x14ac:dyDescent="0.35">
      <c r="A199">
        <v>183</v>
      </c>
      <c r="B199" s="75">
        <v>89.64</v>
      </c>
      <c r="C199" s="75">
        <v>98.51</v>
      </c>
      <c r="D199" s="75">
        <v>92.18</v>
      </c>
      <c r="E199" s="75">
        <v>94.69</v>
      </c>
      <c r="F199">
        <v>-293.37</v>
      </c>
      <c r="G199">
        <v>-446.55</v>
      </c>
      <c r="H199">
        <v>1267.2</v>
      </c>
      <c r="I199">
        <v>-1306.8999999999999</v>
      </c>
      <c r="J199">
        <v>-779.61999999999989</v>
      </c>
    </row>
    <row r="200" spans="1:10" x14ac:dyDescent="0.35">
      <c r="A200">
        <v>184</v>
      </c>
      <c r="B200" s="75">
        <v>90.484499999999997</v>
      </c>
      <c r="C200" s="75">
        <v>98.312200000000004</v>
      </c>
      <c r="D200" s="75">
        <v>92.442300000000003</v>
      </c>
      <c r="E200" s="75">
        <v>95.486999999999995</v>
      </c>
      <c r="F200">
        <v>-3071.97</v>
      </c>
      <c r="G200">
        <v>-153.45000000000002</v>
      </c>
      <c r="H200">
        <v>747.6</v>
      </c>
      <c r="I200">
        <v>-2106.3999999999996</v>
      </c>
      <c r="J200">
        <v>-4584.2199999999993</v>
      </c>
    </row>
    <row r="201" spans="1:10" x14ac:dyDescent="0.35">
      <c r="A201">
        <v>185</v>
      </c>
      <c r="B201" s="75">
        <v>89.06</v>
      </c>
      <c r="C201" s="75">
        <v>97.35</v>
      </c>
      <c r="D201" s="75">
        <v>91.58</v>
      </c>
      <c r="E201" s="75">
        <v>93.27</v>
      </c>
      <c r="F201">
        <v>1645.3799999999999</v>
      </c>
      <c r="G201">
        <v>1291.8</v>
      </c>
      <c r="H201">
        <v>2468.7999999999997</v>
      </c>
      <c r="I201">
        <v>115.3</v>
      </c>
      <c r="J201">
        <v>5521.28</v>
      </c>
    </row>
    <row r="202" spans="1:10" x14ac:dyDescent="0.35">
      <c r="A202">
        <v>186</v>
      </c>
      <c r="B202" s="75">
        <v>88.639399999999995</v>
      </c>
      <c r="C202" s="75">
        <v>96.894400000000005</v>
      </c>
      <c r="D202" s="75">
        <v>91.670400000000001</v>
      </c>
      <c r="E202" s="75">
        <v>90.154300000000006</v>
      </c>
      <c r="F202">
        <v>3016.86</v>
      </c>
      <c r="G202">
        <v>1973.2499999999998</v>
      </c>
      <c r="H202">
        <v>2291.4</v>
      </c>
      <c r="I202">
        <v>3226.3</v>
      </c>
      <c r="J202">
        <v>10507.810000000001</v>
      </c>
    </row>
    <row r="203" spans="1:10" x14ac:dyDescent="0.35">
      <c r="A203">
        <v>187</v>
      </c>
      <c r="B203" s="75">
        <v>89.62</v>
      </c>
      <c r="C203" s="75">
        <v>98.07</v>
      </c>
      <c r="D203" s="75">
        <v>92.68</v>
      </c>
      <c r="E203" s="75">
        <v>91.84</v>
      </c>
      <c r="F203">
        <v>-214.83</v>
      </c>
      <c r="G203">
        <v>209.70000000000002</v>
      </c>
      <c r="H203">
        <v>266.60000000000002</v>
      </c>
      <c r="I203">
        <v>1538.4</v>
      </c>
      <c r="J203">
        <v>1799.8700000000001</v>
      </c>
    </row>
    <row r="204" spans="1:10" x14ac:dyDescent="0.35">
      <c r="A204">
        <v>188</v>
      </c>
      <c r="B204" s="75">
        <v>89.176000000000002</v>
      </c>
      <c r="C204" s="75">
        <v>97.489400000000003</v>
      </c>
      <c r="D204" s="75">
        <v>91.864999999999995</v>
      </c>
      <c r="E204" s="75">
        <v>93.999099999999999</v>
      </c>
      <c r="F204">
        <v>1246.08</v>
      </c>
      <c r="G204">
        <v>1080.75</v>
      </c>
      <c r="H204">
        <v>1902.1999999999998</v>
      </c>
      <c r="I204">
        <v>-618.5</v>
      </c>
      <c r="J204">
        <v>3610.5299999999997</v>
      </c>
    </row>
    <row r="205" spans="1:10" x14ac:dyDescent="0.35">
      <c r="A205">
        <v>189</v>
      </c>
      <c r="B205" s="75">
        <v>89.44</v>
      </c>
      <c r="C205" s="75">
        <v>96.53</v>
      </c>
      <c r="D205" s="75">
        <v>92.17</v>
      </c>
      <c r="E205" s="75">
        <v>92.66</v>
      </c>
      <c r="F205">
        <v>388.74</v>
      </c>
      <c r="G205">
        <v>2521.5</v>
      </c>
      <c r="H205">
        <v>1284.4000000000001</v>
      </c>
      <c r="I205">
        <v>716.8</v>
      </c>
      <c r="J205">
        <v>4911.4399999999996</v>
      </c>
    </row>
    <row r="206" spans="1:10" x14ac:dyDescent="0.35">
      <c r="A206">
        <v>190</v>
      </c>
      <c r="B206" s="75">
        <v>89.941299999999998</v>
      </c>
      <c r="C206" s="75">
        <v>99.3643</v>
      </c>
      <c r="D206" s="75">
        <v>92.572900000000004</v>
      </c>
      <c r="E206" s="75">
        <v>91.451899999999995</v>
      </c>
      <c r="F206">
        <v>-1279.4099999999999</v>
      </c>
      <c r="G206">
        <v>-1731.6000000000001</v>
      </c>
      <c r="H206">
        <v>486.4</v>
      </c>
      <c r="I206">
        <v>1928.7</v>
      </c>
      <c r="J206">
        <v>-595.91000000000008</v>
      </c>
    </row>
    <row r="207" spans="1:10" x14ac:dyDescent="0.35">
      <c r="A207">
        <v>191</v>
      </c>
      <c r="B207" s="75">
        <v>88.67</v>
      </c>
      <c r="C207" s="75">
        <v>99.26</v>
      </c>
      <c r="D207" s="75">
        <v>93.83</v>
      </c>
      <c r="E207" s="75">
        <v>92.14</v>
      </c>
      <c r="F207">
        <v>2900.37</v>
      </c>
      <c r="G207">
        <v>-1580.2500000000002</v>
      </c>
      <c r="H207">
        <v>-2033.3999999999999</v>
      </c>
      <c r="I207">
        <v>1240.5</v>
      </c>
      <c r="J207">
        <v>527.2199999999998</v>
      </c>
    </row>
    <row r="208" spans="1:10" x14ac:dyDescent="0.35">
      <c r="A208">
        <v>192</v>
      </c>
      <c r="B208" s="75">
        <v>89.889099999999999</v>
      </c>
      <c r="C208" s="75">
        <v>99.100399999999993</v>
      </c>
      <c r="D208" s="75">
        <v>93.625900000000001</v>
      </c>
      <c r="E208" s="75">
        <v>92.036000000000001</v>
      </c>
      <c r="F208">
        <v>-1107.1500000000001</v>
      </c>
      <c r="G208">
        <v>-1335.75</v>
      </c>
      <c r="H208">
        <v>-1619.6</v>
      </c>
      <c r="I208">
        <v>1344.6</v>
      </c>
      <c r="J208">
        <v>-2717.9</v>
      </c>
    </row>
    <row r="209" spans="1:10" x14ac:dyDescent="0.35">
      <c r="A209">
        <v>193</v>
      </c>
      <c r="B209" s="75">
        <v>89.8</v>
      </c>
      <c r="C209" s="75">
        <v>97.72</v>
      </c>
      <c r="D209" s="75">
        <v>93.74</v>
      </c>
      <c r="E209" s="75">
        <v>94.95</v>
      </c>
      <c r="F209">
        <v>-813.78000000000009</v>
      </c>
      <c r="G209">
        <v>735</v>
      </c>
      <c r="H209">
        <v>-1841</v>
      </c>
      <c r="I209">
        <v>-1572.1000000000001</v>
      </c>
      <c r="J209">
        <v>-3491.88</v>
      </c>
    </row>
    <row r="210" spans="1:10" x14ac:dyDescent="0.35">
      <c r="A210">
        <v>194</v>
      </c>
      <c r="B210" s="75">
        <v>89.8767</v>
      </c>
      <c r="C210" s="75">
        <v>98.197299999999998</v>
      </c>
      <c r="D210" s="75">
        <v>92.489699999999999</v>
      </c>
      <c r="E210" s="75">
        <v>95.537000000000006</v>
      </c>
      <c r="F210">
        <v>-1066.23</v>
      </c>
      <c r="G210">
        <v>18.899999999999999</v>
      </c>
      <c r="H210">
        <v>652.80000000000007</v>
      </c>
      <c r="I210">
        <v>-2156.4</v>
      </c>
      <c r="J210">
        <v>-2550.9299999999998</v>
      </c>
    </row>
    <row r="211" spans="1:10" x14ac:dyDescent="0.35">
      <c r="A211">
        <v>195</v>
      </c>
      <c r="B211" s="75">
        <v>88.56</v>
      </c>
      <c r="C211" s="75">
        <v>97.27</v>
      </c>
      <c r="D211" s="75">
        <v>91.52</v>
      </c>
      <c r="E211" s="75">
        <v>94.91</v>
      </c>
      <c r="F211">
        <v>3290.43</v>
      </c>
      <c r="G211">
        <v>1409.7</v>
      </c>
      <c r="H211">
        <v>2594.3999999999996</v>
      </c>
      <c r="I211">
        <v>-1532.8999999999999</v>
      </c>
      <c r="J211">
        <v>5761.63</v>
      </c>
    </row>
    <row r="212" spans="1:10" x14ac:dyDescent="0.35">
      <c r="A212">
        <v>196</v>
      </c>
      <c r="B212" s="75">
        <v>89.725099999999998</v>
      </c>
      <c r="C212" s="75">
        <v>96.764300000000006</v>
      </c>
      <c r="D212" s="75">
        <v>92.920500000000004</v>
      </c>
      <c r="E212" s="75">
        <v>91.4786</v>
      </c>
      <c r="F212">
        <v>-565.95000000000005</v>
      </c>
      <c r="G212">
        <v>2168.4</v>
      </c>
      <c r="H212">
        <v>-208.8</v>
      </c>
      <c r="I212">
        <v>1902</v>
      </c>
      <c r="J212">
        <v>3295.65</v>
      </c>
    </row>
    <row r="213" spans="1:10" x14ac:dyDescent="0.35">
      <c r="A213">
        <v>197</v>
      </c>
      <c r="B213" s="75">
        <v>89.39</v>
      </c>
      <c r="C213" s="75">
        <v>97.6</v>
      </c>
      <c r="D213" s="75">
        <v>94.34</v>
      </c>
      <c r="E213" s="75">
        <v>94.31</v>
      </c>
      <c r="F213">
        <v>525.03</v>
      </c>
      <c r="G213">
        <v>919.5</v>
      </c>
      <c r="H213">
        <v>-3043.2000000000003</v>
      </c>
      <c r="I213">
        <v>-927.2</v>
      </c>
      <c r="J213">
        <v>-2525.8700000000003</v>
      </c>
    </row>
    <row r="214" spans="1:10" x14ac:dyDescent="0.35">
      <c r="A214">
        <v>198</v>
      </c>
      <c r="B214" s="75">
        <v>90.402900000000002</v>
      </c>
      <c r="C214" s="75">
        <v>98.496099999999998</v>
      </c>
      <c r="D214" s="75">
        <v>93.765600000000006</v>
      </c>
      <c r="E214" s="75">
        <v>93.116799999999998</v>
      </c>
      <c r="F214">
        <v>-2802.69</v>
      </c>
      <c r="G214">
        <v>-429.3</v>
      </c>
      <c r="H214">
        <v>-1899</v>
      </c>
      <c r="I214">
        <v>263.79999999999995</v>
      </c>
      <c r="J214">
        <v>-4867.1899999999996</v>
      </c>
    </row>
    <row r="215" spans="1:10" x14ac:dyDescent="0.35">
      <c r="A215">
        <v>199</v>
      </c>
      <c r="B215" s="75">
        <v>88.9</v>
      </c>
      <c r="C215" s="75">
        <v>98.78</v>
      </c>
      <c r="D215" s="75">
        <v>93.09</v>
      </c>
      <c r="E215" s="75">
        <v>94.25</v>
      </c>
      <c r="F215">
        <v>2167.44</v>
      </c>
      <c r="G215">
        <v>-853.95</v>
      </c>
      <c r="H215">
        <v>-542.20000000000005</v>
      </c>
      <c r="I215">
        <v>-871.9</v>
      </c>
      <c r="J215">
        <v>-100.61000000000001</v>
      </c>
    </row>
    <row r="216" spans="1:10" x14ac:dyDescent="0.35">
      <c r="A216">
        <v>200</v>
      </c>
      <c r="B216" s="75">
        <v>89.152100000000004</v>
      </c>
      <c r="C216" s="75">
        <v>98.819199999999995</v>
      </c>
      <c r="D216" s="75">
        <v>91.399100000000004</v>
      </c>
      <c r="E216" s="75">
        <v>94.802999999999997</v>
      </c>
      <c r="F216">
        <v>1324.95</v>
      </c>
      <c r="G216">
        <v>-913.94999999999993</v>
      </c>
      <c r="H216">
        <v>2834</v>
      </c>
      <c r="I216">
        <v>-1422.4</v>
      </c>
      <c r="J216">
        <v>1822.6</v>
      </c>
    </row>
    <row r="217" spans="1:10" x14ac:dyDescent="0.35">
      <c r="A217">
        <v>201</v>
      </c>
      <c r="B217" s="75">
        <v>90.17</v>
      </c>
      <c r="C217" s="75">
        <v>98.37</v>
      </c>
      <c r="D217" s="75">
        <v>91.97</v>
      </c>
      <c r="E217" s="75">
        <v>94.27</v>
      </c>
      <c r="F217">
        <v>-2023.56</v>
      </c>
      <c r="G217">
        <v>-242.7</v>
      </c>
      <c r="H217">
        <v>1684.8000000000002</v>
      </c>
      <c r="I217">
        <v>-887.1</v>
      </c>
      <c r="J217">
        <v>-1468.5599999999995</v>
      </c>
    </row>
    <row r="218" spans="1:10" x14ac:dyDescent="0.35">
      <c r="A218">
        <v>202</v>
      </c>
      <c r="B218" s="75">
        <v>89.719700000000003</v>
      </c>
      <c r="C218" s="75">
        <v>98.145799999999994</v>
      </c>
      <c r="D218" s="75">
        <v>91.938699999999997</v>
      </c>
      <c r="E218" s="75">
        <v>94.973799999999997</v>
      </c>
      <c r="F218">
        <v>-548.13</v>
      </c>
      <c r="G218">
        <v>96.15</v>
      </c>
      <c r="H218">
        <v>1754.8</v>
      </c>
      <c r="I218">
        <v>-1593.2</v>
      </c>
      <c r="J218">
        <v>-290.38000000000011</v>
      </c>
    </row>
    <row r="219" spans="1:10" x14ac:dyDescent="0.35">
      <c r="A219">
        <v>203</v>
      </c>
      <c r="B219" s="75">
        <v>89.87</v>
      </c>
      <c r="C219" s="75">
        <v>98.98</v>
      </c>
      <c r="D219" s="75">
        <v>93.99</v>
      </c>
      <c r="E219" s="75">
        <v>96.33</v>
      </c>
      <c r="F219">
        <v>-1046.43</v>
      </c>
      <c r="G219">
        <v>-1148.7</v>
      </c>
      <c r="H219">
        <v>-2352.7999999999997</v>
      </c>
      <c r="I219">
        <v>-2949.1</v>
      </c>
      <c r="J219">
        <v>-7497.0300000000007</v>
      </c>
    </row>
    <row r="220" spans="1:10" x14ac:dyDescent="0.35">
      <c r="A220">
        <v>204</v>
      </c>
      <c r="B220" s="75">
        <v>89.831599999999995</v>
      </c>
      <c r="C220" s="75">
        <v>100.0034</v>
      </c>
      <c r="D220" s="75">
        <v>92.732699999999994</v>
      </c>
      <c r="E220" s="75">
        <v>94.384799999999998</v>
      </c>
      <c r="F220">
        <v>-917.40000000000009</v>
      </c>
      <c r="G220">
        <v>-2690.25</v>
      </c>
      <c r="H220">
        <v>166.8</v>
      </c>
      <c r="I220">
        <v>-1004.1999999999999</v>
      </c>
      <c r="J220">
        <v>-4445.05</v>
      </c>
    </row>
    <row r="221" spans="1:10" x14ac:dyDescent="0.35">
      <c r="A221">
        <v>205</v>
      </c>
      <c r="B221" s="75">
        <v>90.66</v>
      </c>
      <c r="C221" s="75">
        <v>97.94</v>
      </c>
      <c r="D221" s="75">
        <v>92.04</v>
      </c>
      <c r="E221" s="75">
        <v>94.41</v>
      </c>
      <c r="F221">
        <v>-3659.37</v>
      </c>
      <c r="G221">
        <v>409.8</v>
      </c>
      <c r="H221">
        <v>1555.3999999999999</v>
      </c>
      <c r="I221">
        <v>-1031.6000000000001</v>
      </c>
      <c r="J221">
        <v>-2725.77</v>
      </c>
    </row>
    <row r="222" spans="1:10" x14ac:dyDescent="0.35">
      <c r="A222">
        <v>206</v>
      </c>
      <c r="B222" s="75">
        <v>89.636899999999997</v>
      </c>
      <c r="C222" s="75">
        <v>99.802700000000002</v>
      </c>
      <c r="D222" s="75">
        <v>92.673400000000001</v>
      </c>
      <c r="E222" s="75">
        <v>91.768600000000006</v>
      </c>
      <c r="F222">
        <v>-274.89</v>
      </c>
      <c r="G222">
        <v>-2389.1999999999998</v>
      </c>
      <c r="H222">
        <v>285.39999999999998</v>
      </c>
      <c r="I222">
        <v>1612</v>
      </c>
      <c r="J222">
        <v>-766.6899999999996</v>
      </c>
    </row>
    <row r="223" spans="1:10" x14ac:dyDescent="0.35">
      <c r="A223">
        <v>207</v>
      </c>
      <c r="B223" s="75">
        <v>89.62</v>
      </c>
      <c r="C223" s="75">
        <v>98.62</v>
      </c>
      <c r="D223" s="75">
        <v>91.02</v>
      </c>
      <c r="E223" s="75">
        <v>94.85</v>
      </c>
      <c r="F223">
        <v>-205.59</v>
      </c>
      <c r="G223">
        <v>-615.6</v>
      </c>
      <c r="H223">
        <v>3587</v>
      </c>
      <c r="I223">
        <v>-1469</v>
      </c>
      <c r="J223">
        <v>1296.81</v>
      </c>
    </row>
    <row r="224" spans="1:10" x14ac:dyDescent="0.35">
      <c r="A224">
        <v>208</v>
      </c>
      <c r="B224" s="75">
        <v>89.897400000000005</v>
      </c>
      <c r="C224" s="75">
        <v>98.604699999999994</v>
      </c>
      <c r="D224" s="75">
        <v>91.937399999999997</v>
      </c>
      <c r="E224" s="75">
        <v>97.763800000000003</v>
      </c>
      <c r="F224">
        <v>-1134.54</v>
      </c>
      <c r="G224">
        <v>-592.19999999999993</v>
      </c>
      <c r="H224">
        <v>1757.4</v>
      </c>
      <c r="I224">
        <v>-4383.2000000000007</v>
      </c>
      <c r="J224">
        <v>-4352.5400000000009</v>
      </c>
    </row>
    <row r="225" spans="1:10" x14ac:dyDescent="0.35">
      <c r="A225">
        <v>209</v>
      </c>
      <c r="B225" s="75">
        <v>88.34</v>
      </c>
      <c r="C225" s="75">
        <v>100.29</v>
      </c>
      <c r="D225" s="75">
        <v>91.13</v>
      </c>
      <c r="E225" s="75">
        <v>93.34</v>
      </c>
      <c r="F225">
        <v>3995.6400000000003</v>
      </c>
      <c r="G225">
        <v>-3121.65</v>
      </c>
      <c r="H225">
        <v>3367</v>
      </c>
      <c r="I225">
        <v>40.200000000000003</v>
      </c>
      <c r="J225">
        <v>4281.1899999999996</v>
      </c>
    </row>
    <row r="226" spans="1:10" x14ac:dyDescent="0.35">
      <c r="A226">
        <v>210</v>
      </c>
      <c r="B226" s="75">
        <v>89.350899999999996</v>
      </c>
      <c r="C226" s="75">
        <v>97.8673</v>
      </c>
      <c r="D226" s="75">
        <v>92.085099999999997</v>
      </c>
      <c r="E226" s="75">
        <v>90.312700000000007</v>
      </c>
      <c r="F226">
        <v>668.91</v>
      </c>
      <c r="G226">
        <v>513.9</v>
      </c>
      <c r="H226">
        <v>1462</v>
      </c>
      <c r="I226">
        <v>3067.8999999999996</v>
      </c>
      <c r="J226">
        <v>5712.7099999999991</v>
      </c>
    </row>
    <row r="227" spans="1:10" x14ac:dyDescent="0.35">
      <c r="A227">
        <v>211</v>
      </c>
      <c r="B227" s="75">
        <v>89.04</v>
      </c>
      <c r="C227" s="75">
        <v>99.32</v>
      </c>
      <c r="D227" s="75">
        <v>93.29</v>
      </c>
      <c r="E227" s="75">
        <v>92.39</v>
      </c>
      <c r="F227">
        <v>1702.8</v>
      </c>
      <c r="G227">
        <v>-1658.55</v>
      </c>
      <c r="H227">
        <v>-956.4</v>
      </c>
      <c r="I227">
        <v>992.3</v>
      </c>
      <c r="J227">
        <v>80.149999999999977</v>
      </c>
    </row>
    <row r="228" spans="1:10" x14ac:dyDescent="0.35">
      <c r="A228">
        <v>212</v>
      </c>
      <c r="B228" s="75">
        <v>89.499399999999994</v>
      </c>
      <c r="C228" s="75">
        <v>97.232799999999997</v>
      </c>
      <c r="D228" s="75">
        <v>92.737899999999996</v>
      </c>
      <c r="E228" s="75">
        <v>93.337699999999998</v>
      </c>
      <c r="F228">
        <v>178.85999999999999</v>
      </c>
      <c r="G228">
        <v>1465.6499999999999</v>
      </c>
      <c r="H228">
        <v>156.4</v>
      </c>
      <c r="I228">
        <v>42.9</v>
      </c>
      <c r="J228">
        <v>1843.81</v>
      </c>
    </row>
    <row r="229" spans="1:10" x14ac:dyDescent="0.35">
      <c r="A229">
        <v>213</v>
      </c>
      <c r="B229" s="75">
        <v>89.41</v>
      </c>
      <c r="C229" s="75">
        <v>99.56</v>
      </c>
      <c r="D229" s="75">
        <v>94.1</v>
      </c>
      <c r="E229" s="75">
        <v>92.2</v>
      </c>
      <c r="F229">
        <v>464.64000000000004</v>
      </c>
      <c r="G229">
        <v>-2027.6999999999998</v>
      </c>
      <c r="H229">
        <v>-2575.4</v>
      </c>
      <c r="I229">
        <v>1180.3999999999999</v>
      </c>
      <c r="J229">
        <v>-2958.0600000000004</v>
      </c>
    </row>
    <row r="230" spans="1:10" x14ac:dyDescent="0.35">
      <c r="A230">
        <v>214</v>
      </c>
      <c r="B230" s="75">
        <v>90.498999999999995</v>
      </c>
      <c r="C230" s="75">
        <v>98.741200000000006</v>
      </c>
      <c r="D230" s="75">
        <v>91.743600000000001</v>
      </c>
      <c r="E230" s="75">
        <v>91.652699999999996</v>
      </c>
      <c r="F230">
        <v>-3119.82</v>
      </c>
      <c r="G230">
        <v>-796.95</v>
      </c>
      <c r="H230">
        <v>2145</v>
      </c>
      <c r="I230">
        <v>1727.9</v>
      </c>
      <c r="J230">
        <v>-43.870000000000346</v>
      </c>
    </row>
    <row r="231" spans="1:10" x14ac:dyDescent="0.35">
      <c r="A231">
        <v>215</v>
      </c>
      <c r="B231" s="75">
        <v>89.51</v>
      </c>
      <c r="C231" s="75">
        <v>98.12</v>
      </c>
      <c r="D231" s="75">
        <v>93.3</v>
      </c>
      <c r="E231" s="75">
        <v>91.73</v>
      </c>
      <c r="F231">
        <v>142.88999999999999</v>
      </c>
      <c r="G231">
        <v>138.6</v>
      </c>
      <c r="H231">
        <v>-967</v>
      </c>
      <c r="I231">
        <v>1645.8999999999999</v>
      </c>
      <c r="J231">
        <v>960.38999999999987</v>
      </c>
    </row>
    <row r="232" spans="1:10" x14ac:dyDescent="0.35">
      <c r="A232">
        <v>216</v>
      </c>
      <c r="B232" s="75">
        <v>89.424999999999997</v>
      </c>
      <c r="C232" s="75">
        <v>98.602699999999999</v>
      </c>
      <c r="D232" s="75">
        <v>94.159700000000001</v>
      </c>
      <c r="E232" s="75">
        <v>95.049499999999995</v>
      </c>
      <c r="F232">
        <v>424.38</v>
      </c>
      <c r="G232">
        <v>-589.19999999999993</v>
      </c>
      <c r="H232">
        <v>-2687.2</v>
      </c>
      <c r="I232">
        <v>-1668.9</v>
      </c>
      <c r="J232">
        <v>-4520.92</v>
      </c>
    </row>
    <row r="233" spans="1:10" x14ac:dyDescent="0.35">
      <c r="A233">
        <v>217</v>
      </c>
      <c r="B233" s="75">
        <v>90.22</v>
      </c>
      <c r="C233" s="75">
        <v>98.74</v>
      </c>
      <c r="D233" s="75">
        <v>94.46</v>
      </c>
      <c r="E233" s="75">
        <v>92.51</v>
      </c>
      <c r="F233">
        <v>-2212.98</v>
      </c>
      <c r="G233">
        <v>-788.85</v>
      </c>
      <c r="H233">
        <v>-3295.4</v>
      </c>
      <c r="I233">
        <v>872.80000000000007</v>
      </c>
      <c r="J233">
        <v>-5424.4299999999994</v>
      </c>
    </row>
    <row r="234" spans="1:10" x14ac:dyDescent="0.35">
      <c r="A234">
        <v>218</v>
      </c>
      <c r="B234" s="75">
        <v>90.795699999999997</v>
      </c>
      <c r="C234" s="75">
        <v>98.124499999999998</v>
      </c>
      <c r="D234" s="75">
        <v>92.292900000000003</v>
      </c>
      <c r="E234" s="75">
        <v>92.260599999999997</v>
      </c>
      <c r="F234">
        <v>-4098.93</v>
      </c>
      <c r="G234">
        <v>128.1</v>
      </c>
      <c r="H234">
        <v>1046.4000000000001</v>
      </c>
      <c r="I234">
        <v>1120</v>
      </c>
      <c r="J234">
        <v>-1804.4300000000003</v>
      </c>
    </row>
    <row r="235" spans="1:10" x14ac:dyDescent="0.35">
      <c r="A235">
        <v>219</v>
      </c>
      <c r="B235" s="75">
        <v>88.86</v>
      </c>
      <c r="C235" s="75">
        <v>98.24</v>
      </c>
      <c r="D235" s="75">
        <v>93.84</v>
      </c>
      <c r="E235" s="75">
        <v>94.38</v>
      </c>
      <c r="F235">
        <v>2301.09</v>
      </c>
      <c r="G235">
        <v>-43.199999999999996</v>
      </c>
      <c r="H235">
        <v>-2056.4</v>
      </c>
      <c r="I235">
        <v>-996.3</v>
      </c>
      <c r="J235">
        <v>-794.80999999999972</v>
      </c>
    </row>
    <row r="236" spans="1:10" x14ac:dyDescent="0.35">
      <c r="A236">
        <v>220</v>
      </c>
      <c r="B236" s="75">
        <v>89.395700000000005</v>
      </c>
      <c r="C236" s="75">
        <v>97.538300000000007</v>
      </c>
      <c r="D236" s="75">
        <v>93.928200000000004</v>
      </c>
      <c r="E236" s="75">
        <v>95.275199999999998</v>
      </c>
      <c r="F236">
        <v>521.07000000000005</v>
      </c>
      <c r="G236">
        <v>1007.4</v>
      </c>
      <c r="H236">
        <v>-2224.2000000000003</v>
      </c>
      <c r="I236">
        <v>-1894.6000000000001</v>
      </c>
      <c r="J236">
        <v>-2590.3300000000004</v>
      </c>
    </row>
    <row r="237" spans="1:10" x14ac:dyDescent="0.35">
      <c r="A237">
        <v>221</v>
      </c>
      <c r="B237" s="75">
        <v>89.04</v>
      </c>
      <c r="C237" s="75">
        <v>99.41</v>
      </c>
      <c r="D237" s="75">
        <v>92.02</v>
      </c>
      <c r="E237" s="75">
        <v>93.79</v>
      </c>
      <c r="F237">
        <v>1704.7799999999997</v>
      </c>
      <c r="G237">
        <v>-1807.2</v>
      </c>
      <c r="H237">
        <v>1593.2</v>
      </c>
      <c r="I237">
        <v>-408.3</v>
      </c>
      <c r="J237">
        <v>1082.4799999999998</v>
      </c>
    </row>
    <row r="238" spans="1:10" x14ac:dyDescent="0.35">
      <c r="A238">
        <v>222</v>
      </c>
      <c r="B238" s="75">
        <v>89.593699999999998</v>
      </c>
      <c r="C238" s="75">
        <v>98.116900000000001</v>
      </c>
      <c r="D238" s="75">
        <v>91.476900000000001</v>
      </c>
      <c r="E238" s="75">
        <v>90.999099999999999</v>
      </c>
      <c r="F238">
        <v>-132.32999999999998</v>
      </c>
      <c r="G238">
        <v>139.5</v>
      </c>
      <c r="H238">
        <v>2678.4</v>
      </c>
      <c r="I238">
        <v>2381.5</v>
      </c>
      <c r="J238">
        <v>5067.07</v>
      </c>
    </row>
    <row r="239" spans="1:10" x14ac:dyDescent="0.35">
      <c r="A239">
        <v>223</v>
      </c>
      <c r="B239" s="75">
        <v>89.42</v>
      </c>
      <c r="C239" s="75">
        <v>97.87</v>
      </c>
      <c r="D239" s="75">
        <v>90.8</v>
      </c>
      <c r="E239" s="75">
        <v>93.82</v>
      </c>
      <c r="F239">
        <v>455.73</v>
      </c>
      <c r="G239">
        <v>503.7</v>
      </c>
      <c r="H239">
        <v>4026.3999999999996</v>
      </c>
      <c r="I239">
        <v>-437.8</v>
      </c>
      <c r="J239">
        <v>4548.03</v>
      </c>
    </row>
    <row r="240" spans="1:10" x14ac:dyDescent="0.35">
      <c r="A240">
        <v>224</v>
      </c>
      <c r="B240" s="75">
        <v>89.737499999999997</v>
      </c>
      <c r="C240" s="75">
        <v>97.6828</v>
      </c>
      <c r="D240" s="75">
        <v>92.374099999999999</v>
      </c>
      <c r="E240" s="75">
        <v>93.546000000000006</v>
      </c>
      <c r="F240">
        <v>-606.87</v>
      </c>
      <c r="G240">
        <v>790.65</v>
      </c>
      <c r="H240">
        <v>884</v>
      </c>
      <c r="I240">
        <v>-165.39999999999998</v>
      </c>
      <c r="J240">
        <v>902.38</v>
      </c>
    </row>
    <row r="241" spans="1:10" x14ac:dyDescent="0.35">
      <c r="A241">
        <v>225</v>
      </c>
      <c r="B241" s="75">
        <v>89.32</v>
      </c>
      <c r="C241" s="75">
        <v>98.18</v>
      </c>
      <c r="D241" s="75">
        <v>93.07</v>
      </c>
      <c r="E241" s="75">
        <v>95.24</v>
      </c>
      <c r="F241">
        <v>762.95999999999992</v>
      </c>
      <c r="G241">
        <v>40.799999999999997</v>
      </c>
      <c r="H241">
        <v>-513</v>
      </c>
      <c r="I241">
        <v>-1860.2</v>
      </c>
      <c r="J241">
        <v>-1569.44</v>
      </c>
    </row>
    <row r="242" spans="1:10" x14ac:dyDescent="0.35">
      <c r="A242">
        <v>226</v>
      </c>
      <c r="B242" s="75">
        <v>90.115399999999994</v>
      </c>
      <c r="C242" s="75">
        <v>100.4346</v>
      </c>
      <c r="D242" s="75">
        <v>91.732399999999998</v>
      </c>
      <c r="E242" s="75">
        <v>93.016599999999997</v>
      </c>
      <c r="F242">
        <v>-1853.9399999999998</v>
      </c>
      <c r="G242">
        <v>-3337.0499999999997</v>
      </c>
      <c r="H242">
        <v>2167.4</v>
      </c>
      <c r="I242">
        <v>364</v>
      </c>
      <c r="J242">
        <v>-2659.5899999999997</v>
      </c>
    </row>
    <row r="243" spans="1:10" x14ac:dyDescent="0.35">
      <c r="A243">
        <v>227</v>
      </c>
      <c r="B243" s="75">
        <v>89.07</v>
      </c>
      <c r="C243" s="75">
        <v>98.36</v>
      </c>
      <c r="D243" s="75">
        <v>92.51</v>
      </c>
      <c r="E243" s="75">
        <v>95.74</v>
      </c>
      <c r="F243">
        <v>1590.27</v>
      </c>
      <c r="G243">
        <v>-223.95</v>
      </c>
      <c r="H243">
        <v>602.79999999999995</v>
      </c>
      <c r="I243">
        <v>-2358.9</v>
      </c>
      <c r="J243">
        <v>-389.7800000000002</v>
      </c>
    </row>
    <row r="244" spans="1:10" x14ac:dyDescent="0.35">
      <c r="A244">
        <v>228</v>
      </c>
      <c r="B244" s="75">
        <v>89.830399999999997</v>
      </c>
      <c r="C244" s="75">
        <v>97.480099999999993</v>
      </c>
      <c r="D244" s="75">
        <v>91.628600000000006</v>
      </c>
      <c r="E244" s="75">
        <v>92.063100000000006</v>
      </c>
      <c r="F244">
        <v>-913.43999999999994</v>
      </c>
      <c r="G244">
        <v>1094.7</v>
      </c>
      <c r="H244">
        <v>2375</v>
      </c>
      <c r="I244">
        <v>1317.5</v>
      </c>
      <c r="J244">
        <v>3873.76</v>
      </c>
    </row>
    <row r="245" spans="1:10" x14ac:dyDescent="0.35">
      <c r="A245">
        <v>229</v>
      </c>
      <c r="B245" s="75">
        <v>89.79</v>
      </c>
      <c r="C245" s="75">
        <v>99.24</v>
      </c>
      <c r="D245" s="75">
        <v>92.02</v>
      </c>
      <c r="E245" s="75">
        <v>95.85</v>
      </c>
      <c r="F245">
        <v>-768.24</v>
      </c>
      <c r="G245">
        <v>-1548.15</v>
      </c>
      <c r="H245">
        <v>1598.4</v>
      </c>
      <c r="I245">
        <v>-2467.5</v>
      </c>
      <c r="J245">
        <v>-3185.4900000000002</v>
      </c>
    </row>
    <row r="246" spans="1:10" x14ac:dyDescent="0.35">
      <c r="A246">
        <v>230</v>
      </c>
      <c r="B246" s="75">
        <v>89.7928</v>
      </c>
      <c r="C246" s="75">
        <v>96.878699999999995</v>
      </c>
      <c r="D246" s="75">
        <v>92.863</v>
      </c>
      <c r="E246" s="75">
        <v>96.476399999999998</v>
      </c>
      <c r="F246">
        <v>-789.36</v>
      </c>
      <c r="G246">
        <v>1996.8</v>
      </c>
      <c r="H246">
        <v>-93.8</v>
      </c>
      <c r="I246">
        <v>-3095.8</v>
      </c>
      <c r="J246">
        <v>-1982.16</v>
      </c>
    </row>
    <row r="247" spans="1:10" x14ac:dyDescent="0.35">
      <c r="A247">
        <v>231</v>
      </c>
      <c r="B247" s="75">
        <v>89.33</v>
      </c>
      <c r="C247" s="75">
        <v>98.05</v>
      </c>
      <c r="D247" s="75">
        <v>93.12</v>
      </c>
      <c r="E247" s="75">
        <v>93.41</v>
      </c>
      <c r="F247">
        <v>740.85</v>
      </c>
      <c r="G247">
        <v>232.64999999999998</v>
      </c>
      <c r="H247">
        <v>-600</v>
      </c>
      <c r="I247">
        <v>-29.2</v>
      </c>
      <c r="J247">
        <v>344.3</v>
      </c>
    </row>
    <row r="248" spans="1:10" x14ac:dyDescent="0.35">
      <c r="A248">
        <v>232</v>
      </c>
      <c r="B248" s="75">
        <v>89.470299999999995</v>
      </c>
      <c r="C248" s="75">
        <v>99.433999999999997</v>
      </c>
      <c r="D248" s="75">
        <v>93.427599999999998</v>
      </c>
      <c r="E248" s="75">
        <v>91.671300000000002</v>
      </c>
      <c r="F248">
        <v>274.89</v>
      </c>
      <c r="G248">
        <v>-1836.1499999999999</v>
      </c>
      <c r="H248">
        <v>-1223</v>
      </c>
      <c r="I248">
        <v>1709.3</v>
      </c>
      <c r="J248">
        <v>-1074.9599999999998</v>
      </c>
    </row>
    <row r="249" spans="1:10" x14ac:dyDescent="0.35">
      <c r="A249">
        <v>233</v>
      </c>
      <c r="B249" s="75">
        <v>89.32</v>
      </c>
      <c r="C249" s="75">
        <v>98.69</v>
      </c>
      <c r="D249" s="75">
        <v>92.14</v>
      </c>
      <c r="E249" s="75">
        <v>92.34</v>
      </c>
      <c r="F249">
        <v>770.22</v>
      </c>
      <c r="G249">
        <v>-726.30000000000007</v>
      </c>
      <c r="H249">
        <v>1349.2</v>
      </c>
      <c r="I249">
        <v>1042.5999999999999</v>
      </c>
      <c r="J249">
        <v>2435.7199999999998</v>
      </c>
    </row>
    <row r="250" spans="1:10" x14ac:dyDescent="0.35">
      <c r="A250">
        <v>234</v>
      </c>
      <c r="B250" s="75">
        <v>88.997600000000006</v>
      </c>
      <c r="C250" s="75">
        <v>98.848500000000001</v>
      </c>
      <c r="D250" s="75">
        <v>93.305999999999997</v>
      </c>
      <c r="E250" s="75">
        <v>92.224000000000004</v>
      </c>
      <c r="F250">
        <v>1834.8000000000002</v>
      </c>
      <c r="G250">
        <v>-957.89999999999986</v>
      </c>
      <c r="H250">
        <v>-979.8</v>
      </c>
      <c r="I250">
        <v>1156.6000000000001</v>
      </c>
      <c r="J250">
        <v>1053.7000000000005</v>
      </c>
    </row>
    <row r="251" spans="1:10" x14ac:dyDescent="0.35">
      <c r="A251">
        <v>235</v>
      </c>
      <c r="B251" s="75">
        <v>89.12</v>
      </c>
      <c r="C251" s="75">
        <v>97.85</v>
      </c>
      <c r="D251" s="75">
        <v>93.24</v>
      </c>
      <c r="E251" s="75">
        <v>93.81</v>
      </c>
      <c r="F251">
        <v>1424.94</v>
      </c>
      <c r="G251">
        <v>543.45000000000005</v>
      </c>
      <c r="H251">
        <v>-851</v>
      </c>
      <c r="I251">
        <v>-426.70000000000005</v>
      </c>
      <c r="J251">
        <v>690.69</v>
      </c>
    </row>
    <row r="252" spans="1:10" x14ac:dyDescent="0.35">
      <c r="A252">
        <v>236</v>
      </c>
      <c r="B252" s="75">
        <v>89.834100000000007</v>
      </c>
      <c r="C252" s="75">
        <v>98.659800000000004</v>
      </c>
      <c r="D252" s="75">
        <v>91.837100000000007</v>
      </c>
      <c r="E252" s="75">
        <v>93.612399999999994</v>
      </c>
      <c r="F252">
        <v>-925.65000000000009</v>
      </c>
      <c r="G252">
        <v>-674.85</v>
      </c>
      <c r="H252">
        <v>1958</v>
      </c>
      <c r="I252">
        <v>-231.8</v>
      </c>
      <c r="J252">
        <v>125.69999999999999</v>
      </c>
    </row>
    <row r="253" spans="1:10" x14ac:dyDescent="0.35">
      <c r="A253">
        <v>237</v>
      </c>
      <c r="B253" s="75">
        <v>89.64</v>
      </c>
      <c r="C253" s="75">
        <v>97.55</v>
      </c>
      <c r="D253" s="75">
        <v>92.06</v>
      </c>
      <c r="E253" s="75">
        <v>94.27</v>
      </c>
      <c r="F253">
        <v>-281.15999999999997</v>
      </c>
      <c r="G253">
        <v>990.75</v>
      </c>
      <c r="H253">
        <v>1507</v>
      </c>
      <c r="I253">
        <v>-891.4</v>
      </c>
      <c r="J253">
        <v>1325.19</v>
      </c>
    </row>
    <row r="254" spans="1:10" x14ac:dyDescent="0.35">
      <c r="A254">
        <v>238</v>
      </c>
      <c r="B254" s="75">
        <v>89.761399999999995</v>
      </c>
      <c r="C254" s="75">
        <v>98.121700000000004</v>
      </c>
      <c r="D254" s="75">
        <v>92.284999999999997</v>
      </c>
      <c r="E254" s="75">
        <v>90.283900000000003</v>
      </c>
      <c r="F254">
        <v>-685.74</v>
      </c>
      <c r="G254">
        <v>132.30000000000001</v>
      </c>
      <c r="H254">
        <v>1062.2</v>
      </c>
      <c r="I254">
        <v>3096.7</v>
      </c>
      <c r="J254">
        <v>3605.46</v>
      </c>
    </row>
    <row r="255" spans="1:10" x14ac:dyDescent="0.35">
      <c r="A255">
        <v>239</v>
      </c>
      <c r="B255" s="75">
        <v>88.78</v>
      </c>
      <c r="C255" s="75">
        <v>98.79</v>
      </c>
      <c r="D255" s="75">
        <v>94.04</v>
      </c>
      <c r="E255" s="75">
        <v>93.26</v>
      </c>
      <c r="F255">
        <v>2549.58</v>
      </c>
      <c r="G255">
        <v>-867.75</v>
      </c>
      <c r="H255">
        <v>-2444.6</v>
      </c>
      <c r="I255">
        <v>116.5</v>
      </c>
      <c r="J255">
        <v>-646.27</v>
      </c>
    </row>
    <row r="256" spans="1:10" x14ac:dyDescent="0.35">
      <c r="A256">
        <v>240</v>
      </c>
      <c r="B256" s="75">
        <v>88.989699999999999</v>
      </c>
      <c r="C256" s="75">
        <v>98.367500000000007</v>
      </c>
      <c r="D256" s="75">
        <v>92.386200000000002</v>
      </c>
      <c r="E256" s="75">
        <v>91.533600000000007</v>
      </c>
      <c r="F256">
        <v>1860.87</v>
      </c>
      <c r="G256">
        <v>-236.39999999999998</v>
      </c>
      <c r="H256">
        <v>859.8</v>
      </c>
      <c r="I256">
        <v>1847</v>
      </c>
      <c r="J256">
        <v>4331.2699999999995</v>
      </c>
    </row>
    <row r="257" spans="1:10" x14ac:dyDescent="0.35">
      <c r="A257">
        <v>241</v>
      </c>
      <c r="B257" s="75">
        <v>89.65</v>
      </c>
      <c r="C257" s="75">
        <v>98.34</v>
      </c>
      <c r="D257" s="75">
        <v>93.32</v>
      </c>
      <c r="E257" s="75">
        <v>94.65</v>
      </c>
      <c r="F257">
        <v>-332.31</v>
      </c>
      <c r="G257">
        <v>-189.89999999999998</v>
      </c>
      <c r="H257">
        <v>-1006.9999999999999</v>
      </c>
      <c r="I257">
        <v>-1272.3</v>
      </c>
      <c r="J257">
        <v>-2801.51</v>
      </c>
    </row>
    <row r="258" spans="1:10" x14ac:dyDescent="0.35">
      <c r="A258">
        <v>242</v>
      </c>
      <c r="B258" s="75">
        <v>88.558800000000005</v>
      </c>
      <c r="C258" s="75">
        <v>98.810599999999994</v>
      </c>
      <c r="D258" s="75">
        <v>92.972800000000007</v>
      </c>
      <c r="E258" s="75">
        <v>92.5946</v>
      </c>
      <c r="F258">
        <v>3282.84</v>
      </c>
      <c r="G258">
        <v>-901.05000000000007</v>
      </c>
      <c r="H258">
        <v>-313.40000000000003</v>
      </c>
      <c r="I258">
        <v>786</v>
      </c>
      <c r="J258">
        <v>2854.39</v>
      </c>
    </row>
    <row r="259" spans="1:10" x14ac:dyDescent="0.35">
      <c r="A259">
        <v>243</v>
      </c>
      <c r="B259" s="75">
        <v>89.8</v>
      </c>
      <c r="C259" s="75">
        <v>98.77</v>
      </c>
      <c r="D259" s="75">
        <v>93.76</v>
      </c>
      <c r="E259" s="75">
        <v>95.61</v>
      </c>
      <c r="F259">
        <v>-813.45</v>
      </c>
      <c r="G259">
        <v>-845.4</v>
      </c>
      <c r="H259">
        <v>-1886.8</v>
      </c>
      <c r="I259">
        <v>-2226.1000000000004</v>
      </c>
      <c r="J259">
        <v>-5771.75</v>
      </c>
    </row>
    <row r="260" spans="1:10" x14ac:dyDescent="0.35">
      <c r="A260">
        <v>244</v>
      </c>
      <c r="B260" s="75">
        <v>90.2316</v>
      </c>
      <c r="C260" s="75">
        <v>98.147499999999994</v>
      </c>
      <c r="D260" s="75">
        <v>92.956100000000006</v>
      </c>
      <c r="E260" s="75">
        <v>92.471199999999996</v>
      </c>
      <c r="F260">
        <v>-2237.4</v>
      </c>
      <c r="G260">
        <v>93.6</v>
      </c>
      <c r="H260">
        <v>-280</v>
      </c>
      <c r="I260">
        <v>909.4</v>
      </c>
      <c r="J260">
        <v>-1514.4</v>
      </c>
    </row>
    <row r="261" spans="1:10" x14ac:dyDescent="0.35">
      <c r="A261">
        <v>245</v>
      </c>
      <c r="B261" s="75">
        <v>90.14</v>
      </c>
      <c r="C261" s="75">
        <v>97.12</v>
      </c>
      <c r="D261" s="75">
        <v>92.95</v>
      </c>
      <c r="E261" s="75">
        <v>92.06</v>
      </c>
      <c r="F261">
        <v>-1940.3999999999999</v>
      </c>
      <c r="G261">
        <v>1629.3000000000002</v>
      </c>
      <c r="H261">
        <v>-259.60000000000002</v>
      </c>
      <c r="I261">
        <v>1323.3999999999999</v>
      </c>
      <c r="J261">
        <v>752.70000000000016</v>
      </c>
    </row>
    <row r="262" spans="1:10" x14ac:dyDescent="0.35">
      <c r="A262">
        <v>246</v>
      </c>
      <c r="B262" s="75">
        <v>88.950400000000002</v>
      </c>
      <c r="C262" s="75">
        <v>98.394000000000005</v>
      </c>
      <c r="D262" s="75">
        <v>93.574799999999996</v>
      </c>
      <c r="E262" s="75">
        <v>96.169300000000007</v>
      </c>
      <c r="F262">
        <v>1990.56</v>
      </c>
      <c r="G262">
        <v>-276.15000000000003</v>
      </c>
      <c r="H262">
        <v>-1517.4</v>
      </c>
      <c r="I262">
        <v>-2788.7</v>
      </c>
      <c r="J262">
        <v>-2591.69</v>
      </c>
    </row>
    <row r="263" spans="1:10" x14ac:dyDescent="0.35">
      <c r="A263">
        <v>247</v>
      </c>
      <c r="B263" s="75">
        <v>89.4</v>
      </c>
      <c r="C263" s="75">
        <v>99.86</v>
      </c>
      <c r="D263" s="75">
        <v>92.64</v>
      </c>
      <c r="E263" s="75">
        <v>91.57</v>
      </c>
      <c r="F263">
        <v>496.32</v>
      </c>
      <c r="G263">
        <v>-2480.5499999999997</v>
      </c>
      <c r="H263">
        <v>349.6</v>
      </c>
      <c r="I263">
        <v>1812.7</v>
      </c>
      <c r="J263">
        <v>178.07000000000039</v>
      </c>
    </row>
    <row r="264" spans="1:10" x14ac:dyDescent="0.35">
      <c r="A264">
        <v>248</v>
      </c>
      <c r="B264" s="75">
        <v>89.484200000000001</v>
      </c>
      <c r="C264" s="75">
        <v>97.831100000000006</v>
      </c>
      <c r="D264" s="75">
        <v>93.676299999999998</v>
      </c>
      <c r="E264" s="75">
        <v>93.869399999999999</v>
      </c>
      <c r="F264">
        <v>229.02</v>
      </c>
      <c r="G264">
        <v>568.20000000000005</v>
      </c>
      <c r="H264">
        <v>-1720.3999999999999</v>
      </c>
      <c r="I264">
        <v>-488.8</v>
      </c>
      <c r="J264">
        <v>-1411.9799999999998</v>
      </c>
    </row>
    <row r="265" spans="1:10" x14ac:dyDescent="0.35">
      <c r="A265">
        <v>249</v>
      </c>
      <c r="B265" s="75">
        <v>89.31</v>
      </c>
      <c r="C265" s="75">
        <v>98.88</v>
      </c>
      <c r="D265" s="75">
        <v>94.32</v>
      </c>
      <c r="E265" s="75">
        <v>94.08</v>
      </c>
      <c r="F265">
        <v>816.42000000000007</v>
      </c>
      <c r="G265">
        <v>-1009.5000000000001</v>
      </c>
      <c r="H265">
        <v>-3002.6000000000004</v>
      </c>
      <c r="I265">
        <v>-702.5</v>
      </c>
      <c r="J265">
        <v>-3898.1800000000003</v>
      </c>
    </row>
    <row r="266" spans="1:10" x14ac:dyDescent="0.35">
      <c r="A266">
        <v>250</v>
      </c>
      <c r="B266" s="75">
        <v>89.781300000000002</v>
      </c>
      <c r="C266" s="75">
        <v>97.951599999999999</v>
      </c>
      <c r="D266" s="75">
        <v>94.603300000000004</v>
      </c>
      <c r="E266" s="75">
        <v>92.6554</v>
      </c>
      <c r="F266">
        <v>-751.41000000000008</v>
      </c>
      <c r="G266">
        <v>387.45</v>
      </c>
      <c r="H266">
        <v>-3574.3999999999996</v>
      </c>
      <c r="I266">
        <v>725.19999999999993</v>
      </c>
      <c r="J266">
        <v>-3213.16</v>
      </c>
    </row>
    <row r="267" spans="1:10" x14ac:dyDescent="0.35">
      <c r="A267">
        <v>251</v>
      </c>
      <c r="B267" s="75">
        <v>88.14</v>
      </c>
      <c r="C267" s="75">
        <v>98.17</v>
      </c>
      <c r="D267" s="75">
        <v>93.35</v>
      </c>
      <c r="E267" s="75">
        <v>93.48</v>
      </c>
      <c r="F267">
        <v>4672.1399999999994</v>
      </c>
      <c r="G267">
        <v>62.550000000000004</v>
      </c>
      <c r="H267">
        <v>-1067.1999999999998</v>
      </c>
      <c r="I267">
        <v>-104</v>
      </c>
      <c r="J267">
        <v>3563.49</v>
      </c>
    </row>
    <row r="268" spans="1:10" x14ac:dyDescent="0.35">
      <c r="A268">
        <v>252</v>
      </c>
      <c r="B268" s="75">
        <v>90.777699999999996</v>
      </c>
      <c r="C268" s="75">
        <v>98.4</v>
      </c>
      <c r="D268" s="75">
        <v>92.407499999999999</v>
      </c>
      <c r="E268" s="75">
        <v>95.062100000000001</v>
      </c>
      <c r="F268">
        <v>-4039.5299999999997</v>
      </c>
      <c r="G268">
        <v>-285.14999999999998</v>
      </c>
      <c r="H268">
        <v>817.2</v>
      </c>
      <c r="I268">
        <v>-1681.5</v>
      </c>
      <c r="J268">
        <v>-5188.9799999999996</v>
      </c>
    </row>
    <row r="269" spans="1:10" x14ac:dyDescent="0.35">
      <c r="A269">
        <v>253</v>
      </c>
      <c r="B269" s="75">
        <v>89.77</v>
      </c>
      <c r="C269" s="75">
        <v>98.46</v>
      </c>
      <c r="D269" s="75">
        <v>92.73</v>
      </c>
      <c r="E269" s="75">
        <v>91.57</v>
      </c>
      <c r="F269">
        <v>-711.81000000000006</v>
      </c>
      <c r="G269">
        <v>-381.75</v>
      </c>
      <c r="H269">
        <v>170</v>
      </c>
      <c r="I269">
        <v>1809.5</v>
      </c>
      <c r="J269">
        <v>885.94</v>
      </c>
    </row>
    <row r="270" spans="1:10" x14ac:dyDescent="0.35">
      <c r="A270">
        <v>254</v>
      </c>
      <c r="B270" s="75">
        <v>88.921099999999996</v>
      </c>
      <c r="C270" s="75">
        <v>99.618200000000002</v>
      </c>
      <c r="D270" s="75">
        <v>95.206699999999998</v>
      </c>
      <c r="E270" s="75">
        <v>94.381200000000007</v>
      </c>
      <c r="F270">
        <v>2087.25</v>
      </c>
      <c r="G270">
        <v>-2112.4500000000003</v>
      </c>
      <c r="H270">
        <v>-4781.2</v>
      </c>
      <c r="I270">
        <v>-1000.5999999999999</v>
      </c>
      <c r="J270">
        <v>-5807</v>
      </c>
    </row>
    <row r="271" spans="1:10" x14ac:dyDescent="0.35">
      <c r="A271">
        <v>255</v>
      </c>
      <c r="B271" s="75">
        <v>89.8</v>
      </c>
      <c r="C271" s="75">
        <v>98.76</v>
      </c>
      <c r="D271" s="75">
        <v>94.09</v>
      </c>
      <c r="E271" s="75">
        <v>93.67</v>
      </c>
      <c r="F271">
        <v>-797.28000000000009</v>
      </c>
      <c r="G271">
        <v>-825.15000000000009</v>
      </c>
      <c r="H271">
        <v>-2552.6</v>
      </c>
      <c r="I271">
        <v>-293.39999999999998</v>
      </c>
      <c r="J271">
        <v>-4468.43</v>
      </c>
    </row>
    <row r="272" spans="1:10" x14ac:dyDescent="0.35">
      <c r="A272">
        <v>256</v>
      </c>
      <c r="B272" s="75">
        <v>89.085999999999999</v>
      </c>
      <c r="C272" s="75">
        <v>97.0505</v>
      </c>
      <c r="D272" s="75">
        <v>92.586600000000004</v>
      </c>
      <c r="E272" s="75">
        <v>93.578299999999999</v>
      </c>
      <c r="F272">
        <v>1543.0800000000002</v>
      </c>
      <c r="G272">
        <v>1739.1</v>
      </c>
      <c r="H272">
        <v>459</v>
      </c>
      <c r="I272">
        <v>-197.7</v>
      </c>
      <c r="J272">
        <v>3543.4800000000005</v>
      </c>
    </row>
    <row r="273" spans="1:10" x14ac:dyDescent="0.35">
      <c r="A273">
        <v>257</v>
      </c>
      <c r="B273" s="75">
        <v>89.2</v>
      </c>
      <c r="C273" s="75">
        <v>99.02</v>
      </c>
      <c r="D273" s="75">
        <v>93.7</v>
      </c>
      <c r="E273" s="75">
        <v>96.23</v>
      </c>
      <c r="F273">
        <v>1179.75</v>
      </c>
      <c r="G273">
        <v>-1212.75</v>
      </c>
      <c r="H273">
        <v>-1776.6</v>
      </c>
      <c r="I273">
        <v>-2851.3</v>
      </c>
      <c r="J273">
        <v>-4660.8999999999996</v>
      </c>
    </row>
    <row r="274" spans="1:10" x14ac:dyDescent="0.35">
      <c r="A274">
        <v>258</v>
      </c>
      <c r="B274" s="75">
        <v>90.746899999999997</v>
      </c>
      <c r="C274" s="75">
        <v>98.208500000000001</v>
      </c>
      <c r="D274" s="75">
        <v>93.216099999999997</v>
      </c>
      <c r="E274" s="75">
        <v>91.746799999999993</v>
      </c>
      <c r="F274">
        <v>-3937.89</v>
      </c>
      <c r="G274">
        <v>2.1</v>
      </c>
      <c r="H274">
        <v>-800</v>
      </c>
      <c r="I274">
        <v>1633.8</v>
      </c>
      <c r="J274">
        <v>-3101.99</v>
      </c>
    </row>
    <row r="275" spans="1:10" x14ac:dyDescent="0.35">
      <c r="A275">
        <v>259</v>
      </c>
      <c r="B275" s="75">
        <v>89.89</v>
      </c>
      <c r="C275" s="75">
        <v>97.7</v>
      </c>
      <c r="D275" s="75">
        <v>91.86</v>
      </c>
      <c r="E275" s="75">
        <v>92.08</v>
      </c>
      <c r="F275">
        <v>-1120.3500000000001</v>
      </c>
      <c r="G275">
        <v>762.90000000000009</v>
      </c>
      <c r="H275">
        <v>1905.2</v>
      </c>
      <c r="I275">
        <v>1296.8</v>
      </c>
      <c r="J275">
        <v>2844.55</v>
      </c>
    </row>
    <row r="276" spans="1:10" x14ac:dyDescent="0.35">
      <c r="A276">
        <v>260</v>
      </c>
      <c r="B276" s="75">
        <v>89.769800000000004</v>
      </c>
      <c r="C276" s="75">
        <v>99.180099999999996</v>
      </c>
      <c r="D276" s="75">
        <v>93.801400000000001</v>
      </c>
      <c r="E276" s="75">
        <v>89.2654</v>
      </c>
      <c r="F276">
        <v>-713.46</v>
      </c>
      <c r="G276">
        <v>-1455.3</v>
      </c>
      <c r="H276">
        <v>-1970.6</v>
      </c>
      <c r="I276">
        <v>4115.2</v>
      </c>
      <c r="J276">
        <v>-24.160000000000764</v>
      </c>
    </row>
    <row r="277" spans="1:10" x14ac:dyDescent="0.35">
      <c r="A277">
        <v>261</v>
      </c>
      <c r="B277" s="75">
        <v>89.66</v>
      </c>
      <c r="C277" s="75">
        <v>99.02</v>
      </c>
      <c r="D277" s="75">
        <v>90.65</v>
      </c>
      <c r="E277" s="75">
        <v>91.97</v>
      </c>
      <c r="F277">
        <v>-349.8</v>
      </c>
      <c r="G277">
        <v>-1216.05</v>
      </c>
      <c r="H277">
        <v>4333.4000000000005</v>
      </c>
      <c r="I277">
        <v>1407.6</v>
      </c>
      <c r="J277">
        <v>4175.1500000000005</v>
      </c>
    </row>
    <row r="278" spans="1:10" x14ac:dyDescent="0.35">
      <c r="A278">
        <v>262</v>
      </c>
      <c r="B278" s="75">
        <v>89.089399999999998</v>
      </c>
      <c r="C278" s="75">
        <v>97.4786</v>
      </c>
      <c r="D278" s="75">
        <v>90.989900000000006</v>
      </c>
      <c r="E278" s="75">
        <v>95.281899999999993</v>
      </c>
      <c r="F278">
        <v>1531.86</v>
      </c>
      <c r="G278">
        <v>1096.9499999999998</v>
      </c>
      <c r="H278">
        <v>3652.4</v>
      </c>
      <c r="I278">
        <v>-1901.3</v>
      </c>
      <c r="J278">
        <v>4379.9099999999989</v>
      </c>
    </row>
    <row r="279" spans="1:10" x14ac:dyDescent="0.35">
      <c r="A279">
        <v>263</v>
      </c>
      <c r="B279" s="75">
        <v>89.42</v>
      </c>
      <c r="C279" s="75">
        <v>97.26</v>
      </c>
      <c r="D279" s="75">
        <v>92.15</v>
      </c>
      <c r="E279" s="75">
        <v>94.78</v>
      </c>
      <c r="F279">
        <v>457.05</v>
      </c>
      <c r="G279">
        <v>1428.6000000000001</v>
      </c>
      <c r="H279">
        <v>1339</v>
      </c>
      <c r="I279">
        <v>-1397.2</v>
      </c>
      <c r="J279">
        <v>1827.45</v>
      </c>
    </row>
    <row r="280" spans="1:10" x14ac:dyDescent="0.35">
      <c r="A280">
        <v>264</v>
      </c>
      <c r="B280" s="75">
        <v>90.405699999999996</v>
      </c>
      <c r="C280" s="75">
        <v>97.975200000000001</v>
      </c>
      <c r="D280" s="75">
        <v>93.912000000000006</v>
      </c>
      <c r="E280" s="75">
        <v>93.138999999999996</v>
      </c>
      <c r="F280">
        <v>-2811.93</v>
      </c>
      <c r="G280">
        <v>352.05</v>
      </c>
      <c r="H280">
        <v>-2191.8000000000002</v>
      </c>
      <c r="I280">
        <v>241.60000000000002</v>
      </c>
      <c r="J280">
        <v>-4410.08</v>
      </c>
    </row>
    <row r="281" spans="1:10" x14ac:dyDescent="0.35">
      <c r="A281">
        <v>265</v>
      </c>
      <c r="B281" s="75">
        <v>88.94</v>
      </c>
      <c r="C281" s="75">
        <v>99.56</v>
      </c>
      <c r="D281" s="75">
        <v>92.64</v>
      </c>
      <c r="E281" s="75">
        <v>93.36</v>
      </c>
      <c r="F281">
        <v>2018.94</v>
      </c>
      <c r="G281">
        <v>-2022.75</v>
      </c>
      <c r="H281">
        <v>347</v>
      </c>
      <c r="I281">
        <v>15.8</v>
      </c>
      <c r="J281">
        <v>358.99000000000007</v>
      </c>
    </row>
    <row r="282" spans="1:10" x14ac:dyDescent="0.35">
      <c r="A282">
        <v>266</v>
      </c>
      <c r="B282" s="75">
        <v>89.809399999999997</v>
      </c>
      <c r="C282" s="75">
        <v>98.278999999999996</v>
      </c>
      <c r="D282" s="75">
        <v>92.9285</v>
      </c>
      <c r="E282" s="75">
        <v>93.632400000000004</v>
      </c>
      <c r="F282">
        <v>-844.1400000000001</v>
      </c>
      <c r="G282">
        <v>-103.64999999999999</v>
      </c>
      <c r="H282">
        <v>-224.8</v>
      </c>
      <c r="I282">
        <v>-251.8</v>
      </c>
      <c r="J282">
        <v>-1424.39</v>
      </c>
    </row>
    <row r="283" spans="1:10" x14ac:dyDescent="0.35">
      <c r="A283">
        <v>267</v>
      </c>
      <c r="B283" s="75">
        <v>89.25</v>
      </c>
      <c r="C283" s="75">
        <v>99.33</v>
      </c>
      <c r="D283" s="75">
        <v>90.44</v>
      </c>
      <c r="E283" s="75">
        <v>91.38</v>
      </c>
      <c r="F283">
        <v>1007.1600000000001</v>
      </c>
      <c r="G283">
        <v>-1677.75</v>
      </c>
      <c r="H283">
        <v>4760</v>
      </c>
      <c r="I283">
        <v>2002.6999999999998</v>
      </c>
      <c r="J283">
        <v>6092.11</v>
      </c>
    </row>
    <row r="284" spans="1:10" x14ac:dyDescent="0.35">
      <c r="A284">
        <v>268</v>
      </c>
      <c r="B284" s="75">
        <v>90.326599999999999</v>
      </c>
      <c r="C284" s="75">
        <v>100.02460000000001</v>
      </c>
      <c r="D284" s="75">
        <v>93.226600000000005</v>
      </c>
      <c r="E284" s="75">
        <v>94.115099999999998</v>
      </c>
      <c r="F284">
        <v>-2550.9</v>
      </c>
      <c r="G284">
        <v>-2722.05</v>
      </c>
      <c r="H284">
        <v>-821</v>
      </c>
      <c r="I284">
        <v>-734.5</v>
      </c>
      <c r="J284">
        <v>-6828.4500000000007</v>
      </c>
    </row>
    <row r="285" spans="1:10" x14ac:dyDescent="0.35">
      <c r="A285">
        <v>269</v>
      </c>
      <c r="B285" s="75">
        <v>90.04</v>
      </c>
      <c r="C285" s="75">
        <v>97.65</v>
      </c>
      <c r="D285" s="75">
        <v>93.43</v>
      </c>
      <c r="E285" s="75">
        <v>92.93</v>
      </c>
      <c r="F285">
        <v>-1601.16</v>
      </c>
      <c r="G285">
        <v>839.25</v>
      </c>
      <c r="H285">
        <v>-1236.8</v>
      </c>
      <c r="I285">
        <v>449.6</v>
      </c>
      <c r="J285">
        <v>-1549.1100000000001</v>
      </c>
    </row>
    <row r="286" spans="1:10" x14ac:dyDescent="0.35">
      <c r="A286">
        <v>270</v>
      </c>
      <c r="B286" s="75">
        <v>90.281899999999993</v>
      </c>
      <c r="C286" s="75">
        <v>97.821600000000004</v>
      </c>
      <c r="D286" s="75">
        <v>91.230599999999995</v>
      </c>
      <c r="E286" s="75">
        <v>93.565299999999993</v>
      </c>
      <c r="F286">
        <v>-2403.39</v>
      </c>
      <c r="G286">
        <v>582.44999999999993</v>
      </c>
      <c r="H286">
        <v>3171</v>
      </c>
      <c r="I286">
        <v>-184.70000000000002</v>
      </c>
      <c r="J286">
        <v>1165.3599999999999</v>
      </c>
    </row>
    <row r="287" spans="1:10" x14ac:dyDescent="0.35">
      <c r="A287">
        <v>271</v>
      </c>
      <c r="B287" s="75">
        <v>89.76</v>
      </c>
      <c r="C287" s="75">
        <v>98.62</v>
      </c>
      <c r="D287" s="75">
        <v>93.76</v>
      </c>
      <c r="E287" s="75">
        <v>95.25</v>
      </c>
      <c r="F287">
        <v>-680.46</v>
      </c>
      <c r="G287">
        <v>-615.75</v>
      </c>
      <c r="H287">
        <v>-1890.8</v>
      </c>
      <c r="I287">
        <v>-1865.3</v>
      </c>
      <c r="J287">
        <v>-5052.3100000000004</v>
      </c>
    </row>
    <row r="288" spans="1:10" x14ac:dyDescent="0.35">
      <c r="A288">
        <v>272</v>
      </c>
      <c r="B288" s="75">
        <v>90.22</v>
      </c>
      <c r="C288" s="75">
        <v>97.454400000000007</v>
      </c>
      <c r="D288" s="75">
        <v>93.212900000000005</v>
      </c>
      <c r="E288" s="75">
        <v>96.463099999999997</v>
      </c>
      <c r="F288">
        <v>-2199.12</v>
      </c>
      <c r="G288">
        <v>1133.25</v>
      </c>
      <c r="H288">
        <v>-793.6</v>
      </c>
      <c r="I288">
        <v>-3082.5</v>
      </c>
      <c r="J288">
        <v>-4941.9699999999993</v>
      </c>
    </row>
    <row r="289" spans="1:10" x14ac:dyDescent="0.35">
      <c r="A289">
        <v>273</v>
      </c>
      <c r="B289" s="75">
        <v>89.42</v>
      </c>
      <c r="C289" s="75">
        <v>99.39</v>
      </c>
      <c r="D289" s="75">
        <v>93.41</v>
      </c>
      <c r="E289" s="75">
        <v>92.36</v>
      </c>
      <c r="F289">
        <v>445.50000000000006</v>
      </c>
      <c r="G289">
        <v>-1764.3</v>
      </c>
      <c r="H289">
        <v>-1191.5999999999999</v>
      </c>
      <c r="I289">
        <v>1024</v>
      </c>
      <c r="J289">
        <v>-1486.3999999999996</v>
      </c>
    </row>
    <row r="290" spans="1:10" x14ac:dyDescent="0.35">
      <c r="A290">
        <v>274</v>
      </c>
      <c r="B290" s="75">
        <v>89.228300000000004</v>
      </c>
      <c r="C290" s="75">
        <v>97.174199999999999</v>
      </c>
      <c r="D290" s="75">
        <v>91.935299999999998</v>
      </c>
      <c r="E290" s="75">
        <v>92.749200000000002</v>
      </c>
      <c r="F290">
        <v>1073.49</v>
      </c>
      <c r="G290">
        <v>1553.5500000000002</v>
      </c>
      <c r="H290">
        <v>1761.6000000000001</v>
      </c>
      <c r="I290">
        <v>631.4</v>
      </c>
      <c r="J290">
        <v>5020.04</v>
      </c>
    </row>
    <row r="291" spans="1:10" x14ac:dyDescent="0.35">
      <c r="A291">
        <v>275</v>
      </c>
      <c r="B291" s="75">
        <v>89.07</v>
      </c>
      <c r="C291" s="75">
        <v>99.25</v>
      </c>
      <c r="D291" s="75">
        <v>92.13</v>
      </c>
      <c r="E291" s="75">
        <v>91.92</v>
      </c>
      <c r="F291">
        <v>1601.49</v>
      </c>
      <c r="G291">
        <v>-1564.8</v>
      </c>
      <c r="H291">
        <v>1377</v>
      </c>
      <c r="I291">
        <v>1461.3</v>
      </c>
      <c r="J291">
        <v>2874.99</v>
      </c>
    </row>
    <row r="292" spans="1:10" x14ac:dyDescent="0.35">
      <c r="A292">
        <v>276</v>
      </c>
      <c r="B292" s="75">
        <v>89.261499999999998</v>
      </c>
      <c r="C292" s="75">
        <v>98.415400000000005</v>
      </c>
      <c r="D292" s="75">
        <v>92.573099999999997</v>
      </c>
      <c r="E292" s="75">
        <v>92.433199999999999</v>
      </c>
      <c r="F292">
        <v>963.93000000000006</v>
      </c>
      <c r="G292">
        <v>-308.25</v>
      </c>
      <c r="H292">
        <v>486</v>
      </c>
      <c r="I292">
        <v>947.4</v>
      </c>
      <c r="J292">
        <v>2089.08</v>
      </c>
    </row>
    <row r="293" spans="1:10" x14ac:dyDescent="0.35">
      <c r="A293">
        <v>277</v>
      </c>
      <c r="B293" s="75">
        <v>89.08</v>
      </c>
      <c r="C293" s="75">
        <v>98.47</v>
      </c>
      <c r="D293" s="75">
        <v>90.94</v>
      </c>
      <c r="E293" s="75">
        <v>92.24</v>
      </c>
      <c r="F293">
        <v>1572.4499999999998</v>
      </c>
      <c r="G293">
        <v>-386.85</v>
      </c>
      <c r="H293">
        <v>3749</v>
      </c>
      <c r="I293">
        <v>1137.3</v>
      </c>
      <c r="J293">
        <v>6071.9000000000005</v>
      </c>
    </row>
    <row r="294" spans="1:10" x14ac:dyDescent="0.35">
      <c r="A294">
        <v>278</v>
      </c>
      <c r="B294" s="75">
        <v>90.030699999999996</v>
      </c>
      <c r="C294" s="75">
        <v>98.654600000000002</v>
      </c>
      <c r="D294" s="75">
        <v>93.916899999999998</v>
      </c>
      <c r="E294" s="75">
        <v>91.796499999999995</v>
      </c>
      <c r="F294">
        <v>-1574.43</v>
      </c>
      <c r="G294">
        <v>-667.05</v>
      </c>
      <c r="H294">
        <v>-2201.6</v>
      </c>
      <c r="I294">
        <v>1584.1000000000001</v>
      </c>
      <c r="J294">
        <v>-2858.9799999999996</v>
      </c>
    </row>
    <row r="295" spans="1:10" x14ac:dyDescent="0.35">
      <c r="A295">
        <v>279</v>
      </c>
      <c r="B295" s="75">
        <v>88.81</v>
      </c>
      <c r="C295" s="75">
        <v>97.82</v>
      </c>
      <c r="D295" s="75">
        <v>92.23</v>
      </c>
      <c r="E295" s="75">
        <v>94.05</v>
      </c>
      <c r="F295">
        <v>2459.8199999999997</v>
      </c>
      <c r="G295">
        <v>580.79999999999995</v>
      </c>
      <c r="H295">
        <v>1175.4000000000001</v>
      </c>
      <c r="I295">
        <v>-669.6</v>
      </c>
      <c r="J295">
        <v>3546.4200000000005</v>
      </c>
    </row>
    <row r="296" spans="1:10" x14ac:dyDescent="0.35">
      <c r="A296">
        <v>280</v>
      </c>
      <c r="B296" s="75">
        <v>89.642700000000005</v>
      </c>
      <c r="C296" s="75">
        <v>98.317800000000005</v>
      </c>
      <c r="D296" s="75">
        <v>93.297200000000004</v>
      </c>
      <c r="E296" s="75">
        <v>93.219499999999996</v>
      </c>
      <c r="F296">
        <v>-294.02999999999997</v>
      </c>
      <c r="G296">
        <v>-161.85</v>
      </c>
      <c r="H296">
        <v>-962.2</v>
      </c>
      <c r="I296">
        <v>161.1</v>
      </c>
      <c r="J296">
        <v>-1256.98</v>
      </c>
    </row>
    <row r="297" spans="1:10" x14ac:dyDescent="0.35">
      <c r="A297">
        <v>281</v>
      </c>
      <c r="B297" s="75">
        <v>89.78</v>
      </c>
      <c r="C297" s="75">
        <v>97.33</v>
      </c>
      <c r="D297" s="75">
        <v>95.02</v>
      </c>
      <c r="E297" s="75">
        <v>95.27</v>
      </c>
      <c r="F297">
        <v>-750.09</v>
      </c>
      <c r="G297">
        <v>1314.6</v>
      </c>
      <c r="H297">
        <v>-4403.4000000000005</v>
      </c>
      <c r="I297">
        <v>-1884.7</v>
      </c>
      <c r="J297">
        <v>-5723.5900000000011</v>
      </c>
    </row>
    <row r="298" spans="1:10" x14ac:dyDescent="0.35">
      <c r="A298">
        <v>282</v>
      </c>
      <c r="B298" s="75">
        <v>89.863</v>
      </c>
      <c r="C298" s="75">
        <v>99.511099999999999</v>
      </c>
      <c r="D298" s="75">
        <v>92.686800000000005</v>
      </c>
      <c r="E298" s="75">
        <v>97.058599999999998</v>
      </c>
      <c r="F298">
        <v>-1021.02</v>
      </c>
      <c r="G298">
        <v>-1951.8</v>
      </c>
      <c r="H298">
        <v>258.60000000000002</v>
      </c>
      <c r="I298">
        <v>-3678</v>
      </c>
      <c r="J298">
        <v>-6392.2199999999993</v>
      </c>
    </row>
    <row r="299" spans="1:10" x14ac:dyDescent="0.35">
      <c r="A299">
        <v>283</v>
      </c>
      <c r="B299" s="75">
        <v>89.22</v>
      </c>
      <c r="C299" s="75">
        <v>96.68</v>
      </c>
      <c r="D299" s="75">
        <v>94.06</v>
      </c>
      <c r="E299" s="75">
        <v>92.93</v>
      </c>
      <c r="F299">
        <v>1103.8500000000001</v>
      </c>
      <c r="G299">
        <v>2302.35</v>
      </c>
      <c r="H299">
        <v>-2495.8000000000002</v>
      </c>
      <c r="I299">
        <v>450.2</v>
      </c>
      <c r="J299">
        <v>1360.5999999999997</v>
      </c>
    </row>
    <row r="300" spans="1:10" x14ac:dyDescent="0.35">
      <c r="A300">
        <v>284</v>
      </c>
      <c r="B300" s="75">
        <v>90.184799999999996</v>
      </c>
      <c r="C300" s="75">
        <v>97.545100000000005</v>
      </c>
      <c r="D300" s="75">
        <v>92.766499999999994</v>
      </c>
      <c r="E300" s="75">
        <v>92.224100000000007</v>
      </c>
      <c r="F300">
        <v>-2082.96</v>
      </c>
      <c r="G300">
        <v>997.19999999999993</v>
      </c>
      <c r="H300">
        <v>99.2</v>
      </c>
      <c r="I300">
        <v>1156.5</v>
      </c>
      <c r="J300">
        <v>169.93999999999983</v>
      </c>
    </row>
    <row r="301" spans="1:10" x14ac:dyDescent="0.35">
      <c r="A301">
        <v>285</v>
      </c>
      <c r="B301" s="75">
        <v>88.68</v>
      </c>
      <c r="C301" s="75">
        <v>97.46</v>
      </c>
      <c r="D301" s="75">
        <v>91.05</v>
      </c>
      <c r="E301" s="75">
        <v>94.7</v>
      </c>
      <c r="F301">
        <v>2874.96</v>
      </c>
      <c r="G301">
        <v>1119.75</v>
      </c>
      <c r="H301">
        <v>3540.2</v>
      </c>
      <c r="I301">
        <v>-1314.5</v>
      </c>
      <c r="J301">
        <v>6220.41</v>
      </c>
    </row>
    <row r="302" spans="1:10" x14ac:dyDescent="0.35">
      <c r="A302">
        <v>286</v>
      </c>
      <c r="B302" s="75">
        <v>89.757800000000003</v>
      </c>
      <c r="C302" s="75">
        <v>98.616</v>
      </c>
      <c r="D302" s="75">
        <v>90.734399999999994</v>
      </c>
      <c r="E302" s="75">
        <v>92.811499999999995</v>
      </c>
      <c r="F302">
        <v>-673.86</v>
      </c>
      <c r="G302">
        <v>-609.15</v>
      </c>
      <c r="H302">
        <v>4163.4000000000005</v>
      </c>
      <c r="I302">
        <v>569.1</v>
      </c>
      <c r="J302">
        <v>3449.4900000000002</v>
      </c>
    </row>
    <row r="303" spans="1:10" x14ac:dyDescent="0.35">
      <c r="A303">
        <v>287</v>
      </c>
      <c r="B303" s="75">
        <v>89.65</v>
      </c>
      <c r="C303" s="75">
        <v>99.33</v>
      </c>
      <c r="D303" s="75">
        <v>93.52</v>
      </c>
      <c r="E303" s="75">
        <v>93.14</v>
      </c>
      <c r="F303">
        <v>-323.40000000000003</v>
      </c>
      <c r="G303">
        <v>-1675.8</v>
      </c>
      <c r="H303">
        <v>-1409.4</v>
      </c>
      <c r="I303">
        <v>245.2</v>
      </c>
      <c r="J303">
        <v>-3163.4000000000005</v>
      </c>
    </row>
    <row r="304" spans="1:10" x14ac:dyDescent="0.35">
      <c r="A304">
        <v>288</v>
      </c>
      <c r="B304" s="75">
        <v>90.377600000000001</v>
      </c>
      <c r="C304" s="75">
        <v>99.127600000000001</v>
      </c>
      <c r="D304" s="75">
        <v>92.481499999999997</v>
      </c>
      <c r="E304" s="75">
        <v>94.758200000000002</v>
      </c>
      <c r="F304">
        <v>-2719.2</v>
      </c>
      <c r="G304">
        <v>-1376.55</v>
      </c>
      <c r="H304">
        <v>669.2</v>
      </c>
      <c r="I304">
        <v>-1377.6</v>
      </c>
      <c r="J304">
        <v>-4804.1499999999996</v>
      </c>
    </row>
    <row r="305" spans="1:10" x14ac:dyDescent="0.35">
      <c r="A305">
        <v>289</v>
      </c>
      <c r="B305" s="75">
        <v>89.8</v>
      </c>
      <c r="C305" s="75">
        <v>96.59</v>
      </c>
      <c r="D305" s="75">
        <v>91.78</v>
      </c>
      <c r="E305" s="75">
        <v>93.78</v>
      </c>
      <c r="F305">
        <v>-804.87</v>
      </c>
      <c r="G305">
        <v>2427.6</v>
      </c>
      <c r="H305">
        <v>2078.8000000000002</v>
      </c>
      <c r="I305">
        <v>-404.3</v>
      </c>
      <c r="J305">
        <v>3297.23</v>
      </c>
    </row>
    <row r="306" spans="1:10" x14ac:dyDescent="0.35">
      <c r="A306">
        <v>290</v>
      </c>
      <c r="B306" s="75">
        <v>89.348399999999998</v>
      </c>
      <c r="C306" s="75">
        <v>98.315700000000007</v>
      </c>
      <c r="D306" s="75">
        <v>92.367400000000004</v>
      </c>
      <c r="E306" s="75">
        <v>91.623500000000007</v>
      </c>
      <c r="F306">
        <v>677.16</v>
      </c>
      <c r="G306">
        <v>-158.70000000000002</v>
      </c>
      <c r="H306">
        <v>897.4</v>
      </c>
      <c r="I306">
        <v>1757.1000000000001</v>
      </c>
      <c r="J306">
        <v>3172.96</v>
      </c>
    </row>
    <row r="307" spans="1:10" x14ac:dyDescent="0.35">
      <c r="A307">
        <v>291</v>
      </c>
      <c r="B307" s="75">
        <v>89.05</v>
      </c>
      <c r="C307" s="75">
        <v>97.01</v>
      </c>
      <c r="D307" s="75">
        <v>92.68</v>
      </c>
      <c r="E307" s="75">
        <v>93.58</v>
      </c>
      <c r="F307">
        <v>1654.29</v>
      </c>
      <c r="G307">
        <v>1801.5</v>
      </c>
      <c r="H307">
        <v>265.40000000000003</v>
      </c>
      <c r="I307">
        <v>-195.89999999999998</v>
      </c>
      <c r="J307">
        <v>3525.29</v>
      </c>
    </row>
    <row r="308" spans="1:10" x14ac:dyDescent="0.35">
      <c r="A308">
        <v>292</v>
      </c>
      <c r="B308" s="75">
        <v>89.6999</v>
      </c>
      <c r="C308" s="75">
        <v>99.208600000000004</v>
      </c>
      <c r="D308" s="75">
        <v>92.804500000000004</v>
      </c>
      <c r="E308" s="75">
        <v>95.912999999999997</v>
      </c>
      <c r="F308">
        <v>-482.79</v>
      </c>
      <c r="G308">
        <v>-1498.05</v>
      </c>
      <c r="H308">
        <v>23.2</v>
      </c>
      <c r="I308">
        <v>-2532.4</v>
      </c>
      <c r="J308">
        <v>-4490.04</v>
      </c>
    </row>
    <row r="309" spans="1:10" x14ac:dyDescent="0.35">
      <c r="A309">
        <v>293</v>
      </c>
      <c r="B309" s="75">
        <v>88.91</v>
      </c>
      <c r="C309" s="75">
        <v>98.57</v>
      </c>
      <c r="D309" s="75">
        <v>92.1</v>
      </c>
      <c r="E309" s="75">
        <v>94.49</v>
      </c>
      <c r="F309">
        <v>2114.9700000000003</v>
      </c>
      <c r="G309">
        <v>-536.85</v>
      </c>
      <c r="H309">
        <v>1433.2</v>
      </c>
      <c r="I309">
        <v>-1107.0999999999999</v>
      </c>
      <c r="J309">
        <v>1904.2200000000007</v>
      </c>
    </row>
    <row r="310" spans="1:10" x14ac:dyDescent="0.35">
      <c r="A310">
        <v>294</v>
      </c>
      <c r="B310" s="75">
        <v>89.596199999999996</v>
      </c>
      <c r="C310" s="75">
        <v>97.358099999999993</v>
      </c>
      <c r="D310" s="75">
        <v>90.617400000000004</v>
      </c>
      <c r="E310" s="75">
        <v>92.239699999999999</v>
      </c>
      <c r="F310">
        <v>-140.57999999999998</v>
      </c>
      <c r="G310">
        <v>1277.7</v>
      </c>
      <c r="H310">
        <v>4397.4000000000005</v>
      </c>
      <c r="I310">
        <v>1140.9000000000001</v>
      </c>
      <c r="J310">
        <v>6675.42</v>
      </c>
    </row>
    <row r="311" spans="1:10" x14ac:dyDescent="0.35">
      <c r="A311">
        <v>295</v>
      </c>
      <c r="B311" s="75">
        <v>89.55</v>
      </c>
      <c r="C311" s="75">
        <v>96.47</v>
      </c>
      <c r="D311" s="75">
        <v>93.23</v>
      </c>
      <c r="E311" s="75">
        <v>91.75</v>
      </c>
      <c r="F311">
        <v>21.12</v>
      </c>
      <c r="G311">
        <v>2606.6999999999998</v>
      </c>
      <c r="H311">
        <v>-825.2</v>
      </c>
      <c r="I311">
        <v>1634.6000000000001</v>
      </c>
      <c r="J311">
        <v>3437.22</v>
      </c>
    </row>
    <row r="312" spans="1:10" x14ac:dyDescent="0.35">
      <c r="A312">
        <v>296</v>
      </c>
      <c r="B312" s="75">
        <v>90.042900000000003</v>
      </c>
      <c r="C312" s="75">
        <v>98.721000000000004</v>
      </c>
      <c r="D312" s="75">
        <v>91.589200000000005</v>
      </c>
      <c r="E312" s="75">
        <v>95.778199999999998</v>
      </c>
      <c r="F312">
        <v>-1614.69</v>
      </c>
      <c r="G312">
        <v>-766.65</v>
      </c>
      <c r="H312">
        <v>2453.8000000000002</v>
      </c>
      <c r="I312">
        <v>-2397.6000000000004</v>
      </c>
      <c r="J312">
        <v>-2325.1400000000003</v>
      </c>
    </row>
    <row r="313" spans="1:10" x14ac:dyDescent="0.35">
      <c r="A313">
        <v>297</v>
      </c>
      <c r="B313" s="75">
        <v>89.83</v>
      </c>
      <c r="C313" s="75">
        <v>98.7</v>
      </c>
      <c r="D313" s="75">
        <v>91.9</v>
      </c>
      <c r="E313" s="75">
        <v>96.49</v>
      </c>
      <c r="F313">
        <v>-910.80000000000007</v>
      </c>
      <c r="G313">
        <v>-742.05</v>
      </c>
      <c r="H313">
        <v>1831.3999999999999</v>
      </c>
      <c r="I313">
        <v>-3108.9</v>
      </c>
      <c r="J313">
        <v>-2930.3500000000004</v>
      </c>
    </row>
    <row r="314" spans="1:10" x14ac:dyDescent="0.35">
      <c r="A314">
        <v>298</v>
      </c>
      <c r="B314" s="75">
        <v>89.809799999999996</v>
      </c>
      <c r="C314" s="75">
        <v>99.628399999999999</v>
      </c>
      <c r="D314" s="75">
        <v>92.529300000000006</v>
      </c>
      <c r="E314" s="75">
        <v>92.582999999999998</v>
      </c>
      <c r="F314">
        <v>-845.45999999999992</v>
      </c>
      <c r="G314">
        <v>-2127.75</v>
      </c>
      <c r="H314">
        <v>573.6</v>
      </c>
      <c r="I314">
        <v>797.6</v>
      </c>
      <c r="J314">
        <v>-1602.0100000000002</v>
      </c>
    </row>
    <row r="315" spans="1:10" x14ac:dyDescent="0.35">
      <c r="A315">
        <v>299</v>
      </c>
      <c r="B315" s="75">
        <v>89.87</v>
      </c>
      <c r="C315" s="75">
        <v>97.37</v>
      </c>
      <c r="D315" s="75">
        <v>93.8</v>
      </c>
      <c r="E315" s="75">
        <v>94.16</v>
      </c>
      <c r="F315">
        <v>-1042.8</v>
      </c>
      <c r="G315">
        <v>1256.4000000000001</v>
      </c>
      <c r="H315">
        <v>-1975.2</v>
      </c>
      <c r="I315">
        <v>-779.90000000000009</v>
      </c>
      <c r="J315">
        <v>-2541.5</v>
      </c>
    </row>
    <row r="316" spans="1:10" x14ac:dyDescent="0.35">
      <c r="A316">
        <v>300</v>
      </c>
      <c r="B316" s="75">
        <v>89.087400000000002</v>
      </c>
      <c r="C316" s="75">
        <v>97.853200000000001</v>
      </c>
      <c r="D316" s="75">
        <v>93.054299999999998</v>
      </c>
      <c r="E316" s="75">
        <v>96.625900000000001</v>
      </c>
      <c r="F316">
        <v>1538.46</v>
      </c>
      <c r="G316">
        <v>535.05000000000007</v>
      </c>
      <c r="H316">
        <v>-476.4</v>
      </c>
      <c r="I316">
        <v>-3245.2999999999997</v>
      </c>
      <c r="J316">
        <v>-1648.1899999999996</v>
      </c>
    </row>
    <row r="317" spans="1:10" x14ac:dyDescent="0.35">
      <c r="A317">
        <v>301</v>
      </c>
      <c r="B317" s="75">
        <v>90.54</v>
      </c>
      <c r="C317" s="75">
        <v>98.51</v>
      </c>
      <c r="D317" s="75">
        <v>91.75</v>
      </c>
      <c r="E317" s="75">
        <v>94.09</v>
      </c>
      <c r="F317">
        <v>-3265.3500000000004</v>
      </c>
      <c r="G317">
        <v>-451.8</v>
      </c>
      <c r="H317">
        <v>2130</v>
      </c>
      <c r="I317">
        <v>-709.6</v>
      </c>
      <c r="J317">
        <v>-2296.7500000000005</v>
      </c>
    </row>
    <row r="318" spans="1:10" x14ac:dyDescent="0.35">
      <c r="A318">
        <v>302</v>
      </c>
      <c r="B318" s="75">
        <v>90.738600000000005</v>
      </c>
      <c r="C318" s="75">
        <v>96.135499999999993</v>
      </c>
      <c r="D318" s="75">
        <v>93.441299999999998</v>
      </c>
      <c r="E318" s="75">
        <v>94.025899999999993</v>
      </c>
      <c r="F318">
        <v>-3910.5</v>
      </c>
      <c r="G318">
        <v>3111.6</v>
      </c>
      <c r="H318">
        <v>-1250.3999999999999</v>
      </c>
      <c r="I318">
        <v>-645.29999999999995</v>
      </c>
      <c r="J318">
        <v>-2694.6000000000004</v>
      </c>
    </row>
    <row r="319" spans="1:10" x14ac:dyDescent="0.35">
      <c r="A319">
        <v>303</v>
      </c>
      <c r="B319" s="75">
        <v>89.41</v>
      </c>
      <c r="C319" s="75">
        <v>99.6</v>
      </c>
      <c r="D319" s="75">
        <v>92.25</v>
      </c>
      <c r="E319" s="75">
        <v>93.9</v>
      </c>
      <c r="F319">
        <v>481.47</v>
      </c>
      <c r="G319">
        <v>-2083.65</v>
      </c>
      <c r="H319">
        <v>1136.2</v>
      </c>
      <c r="I319">
        <v>-515.70000000000005</v>
      </c>
      <c r="J319">
        <v>-981.68000000000006</v>
      </c>
    </row>
    <row r="320" spans="1:10" x14ac:dyDescent="0.35">
      <c r="A320">
        <v>304</v>
      </c>
      <c r="B320" s="75">
        <v>89.474999999999994</v>
      </c>
      <c r="C320" s="75">
        <v>98.331400000000002</v>
      </c>
      <c r="D320" s="75">
        <v>92.996200000000002</v>
      </c>
      <c r="E320" s="75">
        <v>93.476799999999997</v>
      </c>
      <c r="F320">
        <v>259.38</v>
      </c>
      <c r="G320">
        <v>-182.25</v>
      </c>
      <c r="H320">
        <v>-360.20000000000005</v>
      </c>
      <c r="I320">
        <v>-96.199999999999989</v>
      </c>
      <c r="J320">
        <v>-379.27000000000004</v>
      </c>
    </row>
    <row r="321" spans="1:10" x14ac:dyDescent="0.35">
      <c r="A321">
        <v>305</v>
      </c>
      <c r="B321" s="75">
        <v>90.35</v>
      </c>
      <c r="C321" s="75">
        <v>97.95</v>
      </c>
      <c r="D321" s="75">
        <v>92.83</v>
      </c>
      <c r="E321" s="75">
        <v>92.47</v>
      </c>
      <c r="F321">
        <v>-2631.75</v>
      </c>
      <c r="G321">
        <v>385.19999999999993</v>
      </c>
      <c r="H321">
        <v>-36.200000000000003</v>
      </c>
      <c r="I321">
        <v>909.4</v>
      </c>
      <c r="J321">
        <v>-1373.35</v>
      </c>
    </row>
    <row r="322" spans="1:10" x14ac:dyDescent="0.35">
      <c r="A322">
        <v>306</v>
      </c>
      <c r="B322" s="75">
        <v>89.952699999999993</v>
      </c>
      <c r="C322" s="75">
        <v>97.458600000000004</v>
      </c>
      <c r="D322" s="75">
        <v>91.906700000000001</v>
      </c>
      <c r="E322" s="75">
        <v>92.875600000000006</v>
      </c>
      <c r="F322">
        <v>-1317.03</v>
      </c>
      <c r="G322">
        <v>1126.95</v>
      </c>
      <c r="H322">
        <v>1818.8</v>
      </c>
      <c r="I322">
        <v>505</v>
      </c>
      <c r="J322">
        <v>2133.7200000000003</v>
      </c>
    </row>
    <row r="323" spans="1:10" x14ac:dyDescent="0.35">
      <c r="A323">
        <v>307</v>
      </c>
      <c r="B323" s="75">
        <v>89.49</v>
      </c>
      <c r="C323" s="75">
        <v>98.48</v>
      </c>
      <c r="D323" s="75">
        <v>92.23</v>
      </c>
      <c r="E323" s="75">
        <v>89.54</v>
      </c>
      <c r="F323">
        <v>218.79</v>
      </c>
      <c r="G323">
        <v>-405.59999999999997</v>
      </c>
      <c r="H323">
        <v>1168.6000000000001</v>
      </c>
      <c r="I323">
        <v>3845.5</v>
      </c>
      <c r="J323">
        <v>4827.29</v>
      </c>
    </row>
    <row r="324" spans="1:10" x14ac:dyDescent="0.35">
      <c r="A324">
        <v>308</v>
      </c>
      <c r="B324" s="75">
        <v>88.878299999999996</v>
      </c>
      <c r="C324" s="75">
        <v>98.401799999999994</v>
      </c>
      <c r="D324" s="75">
        <v>92.267700000000005</v>
      </c>
      <c r="E324" s="75">
        <v>92.873000000000005</v>
      </c>
      <c r="F324">
        <v>2228.4900000000002</v>
      </c>
      <c r="G324">
        <v>-287.84999999999997</v>
      </c>
      <c r="H324">
        <v>1096.8</v>
      </c>
      <c r="I324">
        <v>507.6</v>
      </c>
      <c r="J324">
        <v>3545.0400000000004</v>
      </c>
    </row>
    <row r="325" spans="1:10" x14ac:dyDescent="0.35">
      <c r="A325">
        <v>309</v>
      </c>
      <c r="B325" s="75">
        <v>89.93</v>
      </c>
      <c r="C325" s="75">
        <v>97.49</v>
      </c>
      <c r="D325" s="75">
        <v>92.55</v>
      </c>
      <c r="E325" s="75">
        <v>95.97</v>
      </c>
      <c r="F325">
        <v>-1246.08</v>
      </c>
      <c r="G325">
        <v>1084.2</v>
      </c>
      <c r="H325">
        <v>531.59999999999991</v>
      </c>
      <c r="I325">
        <v>-2585</v>
      </c>
      <c r="J325">
        <v>-2215.2799999999997</v>
      </c>
    </row>
    <row r="326" spans="1:10" x14ac:dyDescent="0.35">
      <c r="A326">
        <v>310</v>
      </c>
      <c r="B326" s="75">
        <v>89.999799999999993</v>
      </c>
      <c r="C326" s="75">
        <v>98.751300000000001</v>
      </c>
      <c r="D326" s="75">
        <v>90.811300000000003</v>
      </c>
      <c r="E326" s="75">
        <v>91.882499999999993</v>
      </c>
      <c r="F326">
        <v>-1472.46</v>
      </c>
      <c r="G326">
        <v>-812.1</v>
      </c>
      <c r="H326">
        <v>4009.6</v>
      </c>
      <c r="I326">
        <v>1498.1</v>
      </c>
      <c r="J326">
        <v>3223.14</v>
      </c>
    </row>
    <row r="327" spans="1:10" x14ac:dyDescent="0.35">
      <c r="A327">
        <v>311</v>
      </c>
      <c r="B327" s="75">
        <v>90.34</v>
      </c>
      <c r="C327" s="75">
        <v>96.87</v>
      </c>
      <c r="D327" s="75">
        <v>93.69</v>
      </c>
      <c r="E327" s="75">
        <v>92.72</v>
      </c>
      <c r="F327">
        <v>-2589.84</v>
      </c>
      <c r="G327">
        <v>2003.7</v>
      </c>
      <c r="H327">
        <v>-1742.2</v>
      </c>
      <c r="I327">
        <v>663</v>
      </c>
      <c r="J327">
        <v>-1665.3400000000001</v>
      </c>
    </row>
    <row r="328" spans="1:10" x14ac:dyDescent="0.35">
      <c r="A328">
        <v>312</v>
      </c>
      <c r="B328" s="75">
        <v>89.239800000000002</v>
      </c>
      <c r="C328" s="75">
        <v>99.012</v>
      </c>
      <c r="D328" s="75">
        <v>93.248699999999999</v>
      </c>
      <c r="E328" s="75">
        <v>94.267700000000005</v>
      </c>
      <c r="F328">
        <v>1035.54</v>
      </c>
      <c r="G328">
        <v>-1203.1500000000001</v>
      </c>
      <c r="H328">
        <v>-865.19999999999993</v>
      </c>
      <c r="I328">
        <v>-887.1</v>
      </c>
      <c r="J328">
        <v>-1919.9099999999999</v>
      </c>
    </row>
    <row r="329" spans="1:10" x14ac:dyDescent="0.35">
      <c r="A329">
        <v>313</v>
      </c>
      <c r="B329" s="75">
        <v>89.82</v>
      </c>
      <c r="C329" s="75">
        <v>99.02</v>
      </c>
      <c r="D329" s="75">
        <v>92.8</v>
      </c>
      <c r="E329" s="75">
        <v>92.55</v>
      </c>
      <c r="F329">
        <v>-869.22</v>
      </c>
      <c r="G329">
        <v>-1218.9000000000001</v>
      </c>
      <c r="H329">
        <v>39</v>
      </c>
      <c r="I329">
        <v>828.6</v>
      </c>
      <c r="J329">
        <v>-1220.52</v>
      </c>
    </row>
    <row r="330" spans="1:10" x14ac:dyDescent="0.35">
      <c r="A330">
        <v>314</v>
      </c>
      <c r="B330" s="75">
        <v>90.169600000000003</v>
      </c>
      <c r="C330" s="75">
        <v>98.353700000000003</v>
      </c>
      <c r="D330" s="75">
        <v>93.661699999999996</v>
      </c>
      <c r="E330" s="75">
        <v>94.3917</v>
      </c>
      <c r="F330">
        <v>-2032.8</v>
      </c>
      <c r="G330">
        <v>-215.70000000000002</v>
      </c>
      <c r="H330">
        <v>-1691.2</v>
      </c>
      <c r="I330">
        <v>-1011.1000000000001</v>
      </c>
      <c r="J330">
        <v>-4950.8</v>
      </c>
    </row>
    <row r="331" spans="1:10" x14ac:dyDescent="0.35">
      <c r="A331">
        <v>315</v>
      </c>
      <c r="B331" s="75">
        <v>88.73</v>
      </c>
      <c r="C331" s="75">
        <v>97.8</v>
      </c>
      <c r="D331" s="75">
        <v>90.96</v>
      </c>
      <c r="E331" s="75">
        <v>91.46</v>
      </c>
      <c r="F331">
        <v>2706.6600000000003</v>
      </c>
      <c r="G331">
        <v>619.65000000000009</v>
      </c>
      <c r="H331">
        <v>3719.3999999999996</v>
      </c>
      <c r="I331">
        <v>1918.8</v>
      </c>
      <c r="J331">
        <v>8964.51</v>
      </c>
    </row>
    <row r="332" spans="1:10" x14ac:dyDescent="0.35">
      <c r="A332">
        <v>316</v>
      </c>
      <c r="B332" s="75">
        <v>90.077600000000004</v>
      </c>
      <c r="C332" s="75">
        <v>98.522099999999995</v>
      </c>
      <c r="D332" s="75">
        <v>92.988500000000002</v>
      </c>
      <c r="E332" s="75">
        <v>93.0107</v>
      </c>
      <c r="F332">
        <v>-1729.2</v>
      </c>
      <c r="G332">
        <v>-468.29999999999995</v>
      </c>
      <c r="H332">
        <v>-344.8</v>
      </c>
      <c r="I332">
        <v>369.90000000000003</v>
      </c>
      <c r="J332">
        <v>-2172.4</v>
      </c>
    </row>
    <row r="333" spans="1:10" x14ac:dyDescent="0.35">
      <c r="A333">
        <v>317</v>
      </c>
      <c r="B333" s="75">
        <v>89.72</v>
      </c>
      <c r="C333" s="75">
        <v>99.36</v>
      </c>
      <c r="D333" s="75">
        <v>95.34</v>
      </c>
      <c r="E333" s="75">
        <v>93.08</v>
      </c>
      <c r="F333">
        <v>-558.03</v>
      </c>
      <c r="G333">
        <v>-1718.6999999999998</v>
      </c>
      <c r="H333">
        <v>-5043.8</v>
      </c>
      <c r="I333">
        <v>305.39999999999998</v>
      </c>
      <c r="J333">
        <v>-7015.13</v>
      </c>
    </row>
    <row r="334" spans="1:10" x14ac:dyDescent="0.35">
      <c r="A334">
        <v>318</v>
      </c>
      <c r="B334" s="75">
        <v>89.332999999999998</v>
      </c>
      <c r="C334" s="75">
        <v>97.299800000000005</v>
      </c>
      <c r="D334" s="75">
        <v>94.167599999999993</v>
      </c>
      <c r="E334" s="75">
        <v>93.285399999999996</v>
      </c>
      <c r="F334">
        <v>727.98</v>
      </c>
      <c r="G334">
        <v>1365.15</v>
      </c>
      <c r="H334">
        <v>-2703</v>
      </c>
      <c r="I334">
        <v>95.2</v>
      </c>
      <c r="J334">
        <v>-514.66999999999985</v>
      </c>
    </row>
    <row r="335" spans="1:10" x14ac:dyDescent="0.35">
      <c r="A335">
        <v>319</v>
      </c>
      <c r="B335" s="75">
        <v>89.81</v>
      </c>
      <c r="C335" s="75">
        <v>98.79</v>
      </c>
      <c r="D335" s="75">
        <v>94.8</v>
      </c>
      <c r="E335" s="75">
        <v>94.66</v>
      </c>
      <c r="F335">
        <v>-856.35</v>
      </c>
      <c r="G335">
        <v>-867.9</v>
      </c>
      <c r="H335">
        <v>-3970.6</v>
      </c>
      <c r="I335">
        <v>-1280.5</v>
      </c>
      <c r="J335">
        <v>-6975.35</v>
      </c>
    </row>
    <row r="336" spans="1:10" x14ac:dyDescent="0.35">
      <c r="A336">
        <v>320</v>
      </c>
      <c r="B336" s="75">
        <v>90.374499999999998</v>
      </c>
      <c r="C336" s="75">
        <v>98.549400000000006</v>
      </c>
      <c r="D336" s="75">
        <v>91.797799999999995</v>
      </c>
      <c r="E336" s="75">
        <v>95.7363</v>
      </c>
      <c r="F336">
        <v>-2708.97</v>
      </c>
      <c r="G336">
        <v>-509.25000000000006</v>
      </c>
      <c r="H336">
        <v>2036.6</v>
      </c>
      <c r="I336">
        <v>-2355.7000000000003</v>
      </c>
      <c r="J336">
        <v>-3537.32</v>
      </c>
    </row>
    <row r="337" spans="1:10" x14ac:dyDescent="0.35">
      <c r="A337">
        <v>321</v>
      </c>
      <c r="B337" s="75">
        <v>89.77</v>
      </c>
      <c r="C337" s="75">
        <v>97.82</v>
      </c>
      <c r="D337" s="75">
        <v>94.09</v>
      </c>
      <c r="E337" s="75">
        <v>91.44</v>
      </c>
      <c r="F337">
        <v>-702.9</v>
      </c>
      <c r="G337">
        <v>579.6</v>
      </c>
      <c r="H337">
        <v>-2549</v>
      </c>
      <c r="I337">
        <v>1938.9</v>
      </c>
      <c r="J337">
        <v>-733.40000000000009</v>
      </c>
    </row>
    <row r="338" spans="1:10" x14ac:dyDescent="0.35">
      <c r="A338">
        <v>322</v>
      </c>
      <c r="B338" s="75">
        <v>88.717500000000001</v>
      </c>
      <c r="C338" s="75">
        <v>98.087800000000001</v>
      </c>
      <c r="D338" s="75">
        <v>93.531199999999998</v>
      </c>
      <c r="E338" s="75">
        <v>96.316100000000006</v>
      </c>
      <c r="F338">
        <v>2759.1299999999997</v>
      </c>
      <c r="G338">
        <v>183.15</v>
      </c>
      <c r="H338">
        <v>-1430.1999999999998</v>
      </c>
      <c r="I338">
        <v>-2935.5</v>
      </c>
      <c r="J338">
        <v>-1423.42</v>
      </c>
    </row>
    <row r="339" spans="1:10" x14ac:dyDescent="0.35">
      <c r="A339">
        <v>323</v>
      </c>
      <c r="B339" s="75">
        <v>89.14</v>
      </c>
      <c r="C339" s="75">
        <v>99.28</v>
      </c>
      <c r="D339" s="75">
        <v>92.83</v>
      </c>
      <c r="E339" s="75">
        <v>92.28</v>
      </c>
      <c r="F339">
        <v>1375.77</v>
      </c>
      <c r="G339">
        <v>-1608.75</v>
      </c>
      <c r="H339">
        <v>-34.200000000000003</v>
      </c>
      <c r="I339">
        <v>1104.9000000000001</v>
      </c>
      <c r="J339">
        <v>837.72</v>
      </c>
    </row>
    <row r="340" spans="1:10" x14ac:dyDescent="0.35">
      <c r="A340">
        <v>324</v>
      </c>
      <c r="B340" s="75">
        <v>89.184100000000001</v>
      </c>
      <c r="C340" s="75">
        <v>98.126300000000001</v>
      </c>
      <c r="D340" s="75">
        <v>93.651399999999995</v>
      </c>
      <c r="E340" s="75">
        <v>92.908699999999996</v>
      </c>
      <c r="F340">
        <v>1219.3499999999999</v>
      </c>
      <c r="G340">
        <v>125.39999999999999</v>
      </c>
      <c r="H340">
        <v>-1670.6000000000001</v>
      </c>
      <c r="I340">
        <v>471.9</v>
      </c>
      <c r="J340">
        <v>146.04999999999984</v>
      </c>
    </row>
    <row r="341" spans="1:10" x14ac:dyDescent="0.35">
      <c r="A341">
        <v>325</v>
      </c>
      <c r="B341" s="75">
        <v>88.8</v>
      </c>
      <c r="C341" s="75">
        <v>99.4</v>
      </c>
      <c r="D341" s="75">
        <v>93.56</v>
      </c>
      <c r="E341" s="75">
        <v>94.53</v>
      </c>
      <c r="F341">
        <v>2480.61</v>
      </c>
      <c r="G341">
        <v>-1789.8</v>
      </c>
      <c r="H341">
        <v>-1481.2</v>
      </c>
      <c r="I341">
        <v>-1151.3</v>
      </c>
      <c r="J341">
        <v>-1941.6899999999998</v>
      </c>
    </row>
    <row r="342" spans="1:10" x14ac:dyDescent="0.35">
      <c r="A342">
        <v>326</v>
      </c>
      <c r="B342" s="75">
        <v>89.061099999999996</v>
      </c>
      <c r="C342" s="75">
        <v>97.614699999999999</v>
      </c>
      <c r="D342" s="75">
        <v>93.049499999999995</v>
      </c>
      <c r="E342" s="75">
        <v>93.088899999999995</v>
      </c>
      <c r="F342">
        <v>1625.25</v>
      </c>
      <c r="G342">
        <v>892.8</v>
      </c>
      <c r="H342">
        <v>-466.8</v>
      </c>
      <c r="I342">
        <v>291.7</v>
      </c>
      <c r="J342">
        <v>2342.9499999999998</v>
      </c>
    </row>
    <row r="343" spans="1:10" x14ac:dyDescent="0.35">
      <c r="A343">
        <v>327</v>
      </c>
      <c r="B343" s="75">
        <v>90.42</v>
      </c>
      <c r="C343" s="75">
        <v>97.18</v>
      </c>
      <c r="D343" s="75">
        <v>93.34</v>
      </c>
      <c r="E343" s="75">
        <v>90.92</v>
      </c>
      <c r="F343">
        <v>-2871.66</v>
      </c>
      <c r="G343">
        <v>1542.3</v>
      </c>
      <c r="H343">
        <v>-1040.2</v>
      </c>
      <c r="I343">
        <v>2462.2000000000003</v>
      </c>
      <c r="J343">
        <v>92.640000000000327</v>
      </c>
    </row>
    <row r="344" spans="1:10" x14ac:dyDescent="0.35">
      <c r="A344">
        <v>328</v>
      </c>
      <c r="B344" s="75">
        <v>89.841499999999996</v>
      </c>
      <c r="C344" s="75">
        <v>97.858599999999996</v>
      </c>
      <c r="D344" s="75">
        <v>93.030699999999996</v>
      </c>
      <c r="E344" s="75">
        <v>94.636099999999999</v>
      </c>
      <c r="F344">
        <v>-950.06999999999994</v>
      </c>
      <c r="G344">
        <v>526.95000000000005</v>
      </c>
      <c r="H344">
        <v>-429.20000000000005</v>
      </c>
      <c r="I344">
        <v>-1255.5</v>
      </c>
      <c r="J344">
        <v>-2107.8199999999997</v>
      </c>
    </row>
    <row r="345" spans="1:10" x14ac:dyDescent="0.35">
      <c r="A345">
        <v>329</v>
      </c>
      <c r="B345" s="75">
        <v>88.5</v>
      </c>
      <c r="C345" s="75">
        <v>97.87</v>
      </c>
      <c r="D345" s="75">
        <v>90.55</v>
      </c>
      <c r="E345" s="75">
        <v>91.94</v>
      </c>
      <c r="F345">
        <v>3481.1699999999996</v>
      </c>
      <c r="G345">
        <v>509.84999999999997</v>
      </c>
      <c r="H345">
        <v>4532.8</v>
      </c>
      <c r="I345">
        <v>1437.4</v>
      </c>
      <c r="J345">
        <v>9961.2199999999993</v>
      </c>
    </row>
    <row r="346" spans="1:10" x14ac:dyDescent="0.35">
      <c r="A346">
        <v>330</v>
      </c>
      <c r="B346" s="75">
        <v>89.802300000000002</v>
      </c>
      <c r="C346" s="75">
        <v>98.197299999999998</v>
      </c>
      <c r="D346" s="75">
        <v>93.344700000000003</v>
      </c>
      <c r="E346" s="75">
        <v>94.802999999999997</v>
      </c>
      <c r="F346">
        <v>-820.71</v>
      </c>
      <c r="G346">
        <v>18.899999999999999</v>
      </c>
      <c r="H346">
        <v>-1057.1999999999998</v>
      </c>
      <c r="I346">
        <v>-1422.4</v>
      </c>
      <c r="J346">
        <v>-3281.41</v>
      </c>
    </row>
    <row r="347" spans="1:10" x14ac:dyDescent="0.35">
      <c r="A347">
        <v>331</v>
      </c>
      <c r="B347" s="75">
        <v>89.71</v>
      </c>
      <c r="C347" s="75">
        <v>97.94</v>
      </c>
      <c r="D347" s="75">
        <v>90.34</v>
      </c>
      <c r="E347" s="75">
        <v>92.54</v>
      </c>
      <c r="F347">
        <v>-504.9</v>
      </c>
      <c r="G347">
        <v>406.2</v>
      </c>
      <c r="H347">
        <v>4947</v>
      </c>
      <c r="I347">
        <v>836.4</v>
      </c>
      <c r="J347">
        <v>5684.7</v>
      </c>
    </row>
    <row r="348" spans="1:10" x14ac:dyDescent="0.35">
      <c r="A348">
        <v>332</v>
      </c>
      <c r="B348" s="75">
        <v>89.582499999999996</v>
      </c>
      <c r="C348" s="75">
        <v>97.926500000000004</v>
      </c>
      <c r="D348" s="75">
        <v>92.954499999999996</v>
      </c>
      <c r="E348" s="75">
        <v>94.085700000000003</v>
      </c>
      <c r="F348">
        <v>-95.36999999999999</v>
      </c>
      <c r="G348">
        <v>425.09999999999997</v>
      </c>
      <c r="H348">
        <v>-276.8</v>
      </c>
      <c r="I348">
        <v>-705.09999999999991</v>
      </c>
      <c r="J348">
        <v>-652.16999999999996</v>
      </c>
    </row>
    <row r="349" spans="1:10" x14ac:dyDescent="0.35">
      <c r="A349">
        <v>333</v>
      </c>
      <c r="B349" s="75">
        <v>88.51</v>
      </c>
      <c r="C349" s="75">
        <v>97.96</v>
      </c>
      <c r="D349" s="75">
        <v>92.89</v>
      </c>
      <c r="E349" s="75">
        <v>94.57</v>
      </c>
      <c r="F349">
        <v>3457.0800000000004</v>
      </c>
      <c r="G349">
        <v>375.75</v>
      </c>
      <c r="H349">
        <v>-149.79999999999998</v>
      </c>
      <c r="I349">
        <v>-1186.9000000000001</v>
      </c>
      <c r="J349">
        <v>2496.13</v>
      </c>
    </row>
    <row r="350" spans="1:10" x14ac:dyDescent="0.35">
      <c r="A350">
        <v>334</v>
      </c>
      <c r="B350" s="75">
        <v>90.081800000000001</v>
      </c>
      <c r="C350" s="75">
        <v>98.936400000000006</v>
      </c>
      <c r="D350" s="75">
        <v>91.091999999999999</v>
      </c>
      <c r="E350" s="75">
        <v>93.784499999999994</v>
      </c>
      <c r="F350">
        <v>-1743.06</v>
      </c>
      <c r="G350">
        <v>-1089.75</v>
      </c>
      <c r="H350">
        <v>3448.2</v>
      </c>
      <c r="I350">
        <v>-403.9</v>
      </c>
      <c r="J350">
        <v>211.4899999999999</v>
      </c>
    </row>
    <row r="351" spans="1:10" x14ac:dyDescent="0.35">
      <c r="A351">
        <v>335</v>
      </c>
      <c r="B351" s="75">
        <v>89.52</v>
      </c>
      <c r="C351" s="75">
        <v>99.4</v>
      </c>
      <c r="D351" s="75">
        <v>92.26</v>
      </c>
      <c r="E351" s="75">
        <v>94.57</v>
      </c>
      <c r="F351">
        <v>121.11000000000001</v>
      </c>
      <c r="G351">
        <v>-1782</v>
      </c>
      <c r="H351">
        <v>1121.3999999999999</v>
      </c>
      <c r="I351">
        <v>-1185</v>
      </c>
      <c r="J351">
        <v>-1724.49</v>
      </c>
    </row>
    <row r="352" spans="1:10" x14ac:dyDescent="0.35">
      <c r="A352">
        <v>336</v>
      </c>
      <c r="B352" s="75">
        <v>90.0261</v>
      </c>
      <c r="C352" s="75">
        <v>99.613500000000002</v>
      </c>
      <c r="D352" s="75">
        <v>90.859200000000001</v>
      </c>
      <c r="E352" s="75">
        <v>91.062700000000007</v>
      </c>
      <c r="F352">
        <v>-1559.25</v>
      </c>
      <c r="G352">
        <v>-2105.4</v>
      </c>
      <c r="H352">
        <v>3913.8</v>
      </c>
      <c r="I352">
        <v>2317.8999999999996</v>
      </c>
      <c r="J352">
        <v>2567.0499999999997</v>
      </c>
    </row>
    <row r="353" spans="1:10" x14ac:dyDescent="0.35">
      <c r="A353">
        <v>337</v>
      </c>
      <c r="B353" s="75">
        <v>89.37</v>
      </c>
      <c r="C353" s="75">
        <v>97.21</v>
      </c>
      <c r="D353" s="75">
        <v>91.7</v>
      </c>
      <c r="E353" s="75">
        <v>92.05</v>
      </c>
      <c r="F353">
        <v>621.39</v>
      </c>
      <c r="G353">
        <v>1494</v>
      </c>
      <c r="H353">
        <v>2241.8000000000002</v>
      </c>
      <c r="I353">
        <v>1327.9</v>
      </c>
      <c r="J353">
        <v>5685.09</v>
      </c>
    </row>
    <row r="354" spans="1:10" x14ac:dyDescent="0.35">
      <c r="A354">
        <v>338</v>
      </c>
      <c r="B354" s="75">
        <v>88.5685</v>
      </c>
      <c r="C354" s="75">
        <v>98.583200000000005</v>
      </c>
      <c r="D354" s="75">
        <v>92.509</v>
      </c>
      <c r="E354" s="75">
        <v>91.061700000000002</v>
      </c>
      <c r="F354">
        <v>3250.83</v>
      </c>
      <c r="G354">
        <v>-559.95000000000005</v>
      </c>
      <c r="H354">
        <v>614.19999999999993</v>
      </c>
      <c r="I354">
        <v>2318.9</v>
      </c>
      <c r="J354">
        <v>5623.98</v>
      </c>
    </row>
    <row r="355" spans="1:10" x14ac:dyDescent="0.35">
      <c r="A355">
        <v>339</v>
      </c>
      <c r="B355" s="75">
        <v>89.35</v>
      </c>
      <c r="C355" s="75">
        <v>98.48</v>
      </c>
      <c r="D355" s="75">
        <v>93.17</v>
      </c>
      <c r="E355" s="75">
        <v>93.48</v>
      </c>
      <c r="F355">
        <v>675.18000000000006</v>
      </c>
      <c r="G355">
        <v>-401.85</v>
      </c>
      <c r="H355">
        <v>-707.6</v>
      </c>
      <c r="I355">
        <v>-99.8</v>
      </c>
      <c r="J355">
        <v>-534.06999999999994</v>
      </c>
    </row>
    <row r="356" spans="1:10" x14ac:dyDescent="0.35">
      <c r="A356">
        <v>340</v>
      </c>
      <c r="B356" s="75">
        <v>89.290199999999999</v>
      </c>
      <c r="C356" s="75">
        <v>98.817499999999995</v>
      </c>
      <c r="D356" s="75">
        <v>94.665099999999995</v>
      </c>
      <c r="E356" s="75">
        <v>91.688500000000005</v>
      </c>
      <c r="F356">
        <v>869.22</v>
      </c>
      <c r="G356">
        <v>-911.40000000000009</v>
      </c>
      <c r="H356">
        <v>-3698</v>
      </c>
      <c r="I356">
        <v>1692.1</v>
      </c>
      <c r="J356">
        <v>-2048.0800000000004</v>
      </c>
    </row>
    <row r="357" spans="1:10" x14ac:dyDescent="0.35">
      <c r="A357">
        <v>341</v>
      </c>
      <c r="B357" s="75">
        <v>89.23</v>
      </c>
      <c r="C357" s="75">
        <v>97.11</v>
      </c>
      <c r="D357" s="75">
        <v>92.22</v>
      </c>
      <c r="E357" s="75">
        <v>91.35</v>
      </c>
      <c r="F357">
        <v>1081.74</v>
      </c>
      <c r="G357">
        <v>1642.9499999999998</v>
      </c>
      <c r="H357">
        <v>1190.1999999999998</v>
      </c>
      <c r="I357">
        <v>2035.4999999999998</v>
      </c>
      <c r="J357">
        <v>5950.3899999999994</v>
      </c>
    </row>
    <row r="358" spans="1:10" x14ac:dyDescent="0.35">
      <c r="A358">
        <v>342</v>
      </c>
      <c r="B358" s="75">
        <v>89.866500000000002</v>
      </c>
      <c r="C358" s="75">
        <v>98.437200000000004</v>
      </c>
      <c r="D358" s="75">
        <v>93.198499999999996</v>
      </c>
      <c r="E358" s="75">
        <v>95.084199999999996</v>
      </c>
      <c r="F358">
        <v>-1032.57</v>
      </c>
      <c r="G358">
        <v>-340.95</v>
      </c>
      <c r="H358">
        <v>-764.80000000000007</v>
      </c>
      <c r="I358">
        <v>-1703.6</v>
      </c>
      <c r="J358">
        <v>-3841.92</v>
      </c>
    </row>
    <row r="359" spans="1:10" x14ac:dyDescent="0.35">
      <c r="A359">
        <v>343</v>
      </c>
      <c r="B359" s="75">
        <v>89.47</v>
      </c>
      <c r="C359" s="75">
        <v>97.77</v>
      </c>
      <c r="D359" s="75">
        <v>93.2</v>
      </c>
      <c r="E359" s="75">
        <v>93.6</v>
      </c>
      <c r="F359">
        <v>268.95</v>
      </c>
      <c r="G359">
        <v>659.55</v>
      </c>
      <c r="H359">
        <v>-775.59999999999991</v>
      </c>
      <c r="I359">
        <v>-222</v>
      </c>
      <c r="J359">
        <v>-69.099999999999909</v>
      </c>
    </row>
    <row r="360" spans="1:10" x14ac:dyDescent="0.35">
      <c r="A360">
        <v>344</v>
      </c>
      <c r="B360" s="75">
        <v>89.6477</v>
      </c>
      <c r="C360" s="75">
        <v>99.564499999999995</v>
      </c>
      <c r="D360" s="75">
        <v>92.025199999999998</v>
      </c>
      <c r="E360" s="75">
        <v>96.069699999999997</v>
      </c>
      <c r="F360">
        <v>-310.53000000000003</v>
      </c>
      <c r="G360">
        <v>-2031.9</v>
      </c>
      <c r="H360">
        <v>1581.8000000000002</v>
      </c>
      <c r="I360">
        <v>-2689.1</v>
      </c>
      <c r="J360">
        <v>-3449.73</v>
      </c>
    </row>
    <row r="361" spans="1:10" x14ac:dyDescent="0.35">
      <c r="A361">
        <v>345</v>
      </c>
      <c r="B361" s="75">
        <v>89.3</v>
      </c>
      <c r="C361" s="75">
        <v>98</v>
      </c>
      <c r="D361" s="75">
        <v>92.96</v>
      </c>
      <c r="E361" s="75">
        <v>93.92</v>
      </c>
      <c r="F361">
        <v>835.56</v>
      </c>
      <c r="G361">
        <v>319.95</v>
      </c>
      <c r="H361">
        <v>-288.60000000000002</v>
      </c>
      <c r="I361">
        <v>-543.1</v>
      </c>
      <c r="J361">
        <v>323.80999999999995</v>
      </c>
    </row>
    <row r="362" spans="1:10" x14ac:dyDescent="0.35">
      <c r="A362">
        <v>346</v>
      </c>
      <c r="B362" s="75">
        <v>90.450800000000001</v>
      </c>
      <c r="C362" s="75">
        <v>97.388000000000005</v>
      </c>
      <c r="D362" s="75">
        <v>91.433800000000005</v>
      </c>
      <c r="E362" s="75">
        <v>96.011200000000002</v>
      </c>
      <c r="F362">
        <v>-2960.76</v>
      </c>
      <c r="G362">
        <v>1232.8499999999999</v>
      </c>
      <c r="H362">
        <v>2764.6000000000004</v>
      </c>
      <c r="I362">
        <v>-2630.6</v>
      </c>
      <c r="J362">
        <v>-1593.9099999999999</v>
      </c>
    </row>
    <row r="363" spans="1:10" x14ac:dyDescent="0.35">
      <c r="A363">
        <v>347</v>
      </c>
      <c r="B363" s="75">
        <v>89.5</v>
      </c>
      <c r="C363" s="75">
        <v>98.94</v>
      </c>
      <c r="D363" s="75">
        <v>91.71</v>
      </c>
      <c r="E363" s="75">
        <v>94.22</v>
      </c>
      <c r="F363">
        <v>169.29</v>
      </c>
      <c r="G363">
        <v>-1094.4000000000001</v>
      </c>
      <c r="H363">
        <v>2206.6</v>
      </c>
      <c r="I363">
        <v>-834.9</v>
      </c>
      <c r="J363">
        <v>446.5899999999998</v>
      </c>
    </row>
    <row r="364" spans="1:10" x14ac:dyDescent="0.35">
      <c r="A364">
        <v>348</v>
      </c>
      <c r="B364" s="75">
        <v>89.453199999999995</v>
      </c>
      <c r="C364" s="75">
        <v>98.018900000000002</v>
      </c>
      <c r="D364" s="75">
        <v>93.489199999999997</v>
      </c>
      <c r="E364" s="75">
        <v>91.602199999999996</v>
      </c>
      <c r="F364">
        <v>331.32</v>
      </c>
      <c r="G364">
        <v>286.5</v>
      </c>
      <c r="H364">
        <v>-1346.2</v>
      </c>
      <c r="I364">
        <v>1778.4</v>
      </c>
      <c r="J364">
        <v>1050.02</v>
      </c>
    </row>
    <row r="365" spans="1:10" x14ac:dyDescent="0.35">
      <c r="A365">
        <v>349</v>
      </c>
      <c r="B365" s="75">
        <v>90.16</v>
      </c>
      <c r="C365" s="75">
        <v>99.35</v>
      </c>
      <c r="D365" s="75">
        <v>95.08</v>
      </c>
      <c r="E365" s="75">
        <v>91.25</v>
      </c>
      <c r="F365">
        <v>-2017.29</v>
      </c>
      <c r="G365">
        <v>-1704.45</v>
      </c>
      <c r="H365">
        <v>-4524.2000000000007</v>
      </c>
      <c r="I365">
        <v>2135</v>
      </c>
      <c r="J365">
        <v>-6110.9400000000005</v>
      </c>
    </row>
    <row r="366" spans="1:10" x14ac:dyDescent="0.35">
      <c r="A366">
        <v>350</v>
      </c>
      <c r="B366" s="75">
        <v>90.185400000000001</v>
      </c>
      <c r="C366" s="75">
        <v>96.902299999999997</v>
      </c>
      <c r="D366" s="75">
        <v>90.1905</v>
      </c>
      <c r="E366" s="75">
        <v>91.625699999999995</v>
      </c>
      <c r="F366">
        <v>-2084.94</v>
      </c>
      <c r="G366">
        <v>1961.4</v>
      </c>
      <c r="H366">
        <v>5251.2</v>
      </c>
      <c r="I366">
        <v>1754.8999999999999</v>
      </c>
      <c r="J366">
        <v>6882.5599999999995</v>
      </c>
    </row>
    <row r="367" spans="1:10" x14ac:dyDescent="0.35">
      <c r="A367">
        <v>351</v>
      </c>
      <c r="B367" s="75">
        <v>89.61</v>
      </c>
      <c r="C367" s="75">
        <v>98.26</v>
      </c>
      <c r="D367" s="75">
        <v>91.94</v>
      </c>
      <c r="E367" s="75">
        <v>93.26</v>
      </c>
      <c r="F367">
        <v>-169.62</v>
      </c>
      <c r="G367">
        <v>-79.650000000000006</v>
      </c>
      <c r="H367">
        <v>1757.4</v>
      </c>
      <c r="I367">
        <v>119.6</v>
      </c>
      <c r="J367">
        <v>1627.73</v>
      </c>
    </row>
    <row r="368" spans="1:10" x14ac:dyDescent="0.35">
      <c r="A368">
        <v>352</v>
      </c>
      <c r="B368" s="75">
        <v>90.064400000000006</v>
      </c>
      <c r="C368" s="75">
        <v>98.461100000000002</v>
      </c>
      <c r="D368" s="75">
        <v>92.804299999999998</v>
      </c>
      <c r="E368" s="75">
        <v>94.356899999999996</v>
      </c>
      <c r="F368">
        <v>-1685.64</v>
      </c>
      <c r="G368">
        <v>-376.79999999999995</v>
      </c>
      <c r="H368">
        <v>23.599999999999998</v>
      </c>
      <c r="I368">
        <v>-976.3</v>
      </c>
      <c r="J368">
        <v>-3015.1400000000003</v>
      </c>
    </row>
    <row r="369" spans="1:10" x14ac:dyDescent="0.35">
      <c r="A369">
        <v>353</v>
      </c>
      <c r="B369" s="75">
        <v>89.86</v>
      </c>
      <c r="C369" s="75">
        <v>99.81</v>
      </c>
      <c r="D369" s="75">
        <v>92.42</v>
      </c>
      <c r="E369" s="75">
        <v>91.38</v>
      </c>
      <c r="F369">
        <v>-1017.72</v>
      </c>
      <c r="G369">
        <v>-2400.9</v>
      </c>
      <c r="H369">
        <v>802.2</v>
      </c>
      <c r="I369">
        <v>1997.8</v>
      </c>
      <c r="J369">
        <v>-618.62000000000012</v>
      </c>
    </row>
    <row r="370" spans="1:10" x14ac:dyDescent="0.35">
      <c r="A370">
        <v>354</v>
      </c>
      <c r="B370" s="75">
        <v>89.1995</v>
      </c>
      <c r="C370" s="75">
        <v>97.933599999999998</v>
      </c>
      <c r="D370" s="75">
        <v>93.345100000000002</v>
      </c>
      <c r="E370" s="75">
        <v>95.099599999999995</v>
      </c>
      <c r="F370">
        <v>1168.53</v>
      </c>
      <c r="G370">
        <v>414.45</v>
      </c>
      <c r="H370">
        <v>-1058</v>
      </c>
      <c r="I370">
        <v>-1719</v>
      </c>
      <c r="J370">
        <v>-1194.02</v>
      </c>
    </row>
    <row r="371" spans="1:10" x14ac:dyDescent="0.35">
      <c r="A371">
        <v>355</v>
      </c>
      <c r="B371" s="75">
        <v>88.78</v>
      </c>
      <c r="C371" s="75">
        <v>99.96</v>
      </c>
      <c r="D371" s="75">
        <v>91.53</v>
      </c>
      <c r="E371" s="75">
        <v>93.34</v>
      </c>
      <c r="F371">
        <v>2557.5</v>
      </c>
      <c r="G371">
        <v>-2623.5</v>
      </c>
      <c r="H371">
        <v>2564</v>
      </c>
      <c r="I371">
        <v>38.4</v>
      </c>
      <c r="J371">
        <v>2536.4</v>
      </c>
    </row>
    <row r="372" spans="1:10" x14ac:dyDescent="0.35">
      <c r="A372">
        <v>356</v>
      </c>
      <c r="B372" s="75">
        <v>89.284000000000006</v>
      </c>
      <c r="C372" s="75">
        <v>99.670100000000005</v>
      </c>
      <c r="D372" s="75">
        <v>92.697900000000004</v>
      </c>
      <c r="E372" s="75">
        <v>93.063000000000002</v>
      </c>
      <c r="F372">
        <v>889.68000000000006</v>
      </c>
      <c r="G372">
        <v>-2190.2999999999997</v>
      </c>
      <c r="H372">
        <v>236.4</v>
      </c>
      <c r="I372">
        <v>317.59999999999997</v>
      </c>
      <c r="J372">
        <v>-746.61999999999966</v>
      </c>
    </row>
    <row r="373" spans="1:10" x14ac:dyDescent="0.35">
      <c r="A373">
        <v>357</v>
      </c>
      <c r="B373" s="75">
        <v>89.42</v>
      </c>
      <c r="C373" s="75">
        <v>97.53</v>
      </c>
      <c r="D373" s="75">
        <v>94.9</v>
      </c>
      <c r="E373" s="75">
        <v>94.44</v>
      </c>
      <c r="F373">
        <v>443.85</v>
      </c>
      <c r="G373">
        <v>1026.45</v>
      </c>
      <c r="H373">
        <v>-4166</v>
      </c>
      <c r="I373">
        <v>-1063.3</v>
      </c>
      <c r="J373">
        <v>-3759</v>
      </c>
    </row>
    <row r="374" spans="1:10" x14ac:dyDescent="0.35">
      <c r="A374">
        <v>358</v>
      </c>
      <c r="B374" s="75">
        <v>89.880099999999999</v>
      </c>
      <c r="C374" s="75">
        <v>98.262</v>
      </c>
      <c r="D374" s="75">
        <v>91.775999999999996</v>
      </c>
      <c r="E374" s="75">
        <v>92.668000000000006</v>
      </c>
      <c r="F374">
        <v>-1077.45</v>
      </c>
      <c r="G374">
        <v>-78.150000000000006</v>
      </c>
      <c r="H374">
        <v>2080.2000000000003</v>
      </c>
      <c r="I374">
        <v>712.6</v>
      </c>
      <c r="J374">
        <v>1637.2000000000003</v>
      </c>
    </row>
    <row r="375" spans="1:10" x14ac:dyDescent="0.35">
      <c r="A375">
        <v>359</v>
      </c>
      <c r="B375" s="75">
        <v>90.2</v>
      </c>
      <c r="C375" s="75">
        <v>97.65</v>
      </c>
      <c r="D375" s="75">
        <v>92.75</v>
      </c>
      <c r="E375" s="75">
        <v>93.37</v>
      </c>
      <c r="F375">
        <v>-2132.46</v>
      </c>
      <c r="G375">
        <v>840.15000000000009</v>
      </c>
      <c r="H375">
        <v>128.20000000000002</v>
      </c>
      <c r="I375">
        <v>5.7</v>
      </c>
      <c r="J375">
        <v>-1158.4099999999999</v>
      </c>
    </row>
    <row r="376" spans="1:10" x14ac:dyDescent="0.35">
      <c r="A376">
        <v>360</v>
      </c>
      <c r="B376" s="75">
        <v>90.492500000000007</v>
      </c>
      <c r="C376" s="75">
        <v>98.957800000000006</v>
      </c>
      <c r="D376" s="75">
        <v>92.691800000000001</v>
      </c>
      <c r="E376" s="75">
        <v>92.770499999999998</v>
      </c>
      <c r="F376">
        <v>-3098.37</v>
      </c>
      <c r="G376">
        <v>-1121.8499999999999</v>
      </c>
      <c r="H376">
        <v>248.6</v>
      </c>
      <c r="I376">
        <v>610.1</v>
      </c>
      <c r="J376">
        <v>-3361.5199999999995</v>
      </c>
    </row>
    <row r="377" spans="1:10" x14ac:dyDescent="0.35">
      <c r="A377">
        <v>361</v>
      </c>
      <c r="B377" s="75">
        <v>89.48</v>
      </c>
      <c r="C377" s="75">
        <v>98.34</v>
      </c>
      <c r="D377" s="75">
        <v>93.67</v>
      </c>
      <c r="E377" s="75">
        <v>91.95</v>
      </c>
      <c r="F377">
        <v>234.96</v>
      </c>
      <c r="G377">
        <v>-198.75</v>
      </c>
      <c r="H377">
        <v>-1698</v>
      </c>
      <c r="I377">
        <v>1431.8</v>
      </c>
      <c r="J377">
        <v>-229.99</v>
      </c>
    </row>
    <row r="378" spans="1:10" x14ac:dyDescent="0.35">
      <c r="A378">
        <v>362</v>
      </c>
      <c r="B378" s="75">
        <v>90.075199999999995</v>
      </c>
      <c r="C378" s="75">
        <v>97.451300000000003</v>
      </c>
      <c r="D378" s="75">
        <v>92.81</v>
      </c>
      <c r="E378" s="75">
        <v>95.314800000000005</v>
      </c>
      <c r="F378">
        <v>-1721.2799999999997</v>
      </c>
      <c r="G378">
        <v>1137.9000000000001</v>
      </c>
      <c r="H378">
        <v>12.200000000000001</v>
      </c>
      <c r="I378">
        <v>-1934.1999999999998</v>
      </c>
      <c r="J378">
        <v>-2505.3799999999992</v>
      </c>
    </row>
    <row r="379" spans="1:10" x14ac:dyDescent="0.35">
      <c r="A379">
        <v>363</v>
      </c>
      <c r="B379" s="75">
        <v>89.93</v>
      </c>
      <c r="C379" s="75">
        <v>97.77</v>
      </c>
      <c r="D379" s="75">
        <v>93.31</v>
      </c>
      <c r="E379" s="75">
        <v>97.21</v>
      </c>
      <c r="F379">
        <v>-1236.51</v>
      </c>
      <c r="G379">
        <v>654.9</v>
      </c>
      <c r="H379">
        <v>-997.4</v>
      </c>
      <c r="I379">
        <v>-3825.4</v>
      </c>
      <c r="J379">
        <v>-5404.41</v>
      </c>
    </row>
    <row r="380" spans="1:10" x14ac:dyDescent="0.35">
      <c r="A380">
        <v>364</v>
      </c>
      <c r="B380" s="75">
        <v>88.849199999999996</v>
      </c>
      <c r="C380" s="75">
        <v>98.781899999999993</v>
      </c>
      <c r="D380" s="75">
        <v>92.563999999999993</v>
      </c>
      <c r="E380" s="75">
        <v>94.249600000000001</v>
      </c>
      <c r="F380">
        <v>2324.52</v>
      </c>
      <c r="G380">
        <v>-857.99999999999989</v>
      </c>
      <c r="H380">
        <v>504.2</v>
      </c>
      <c r="I380">
        <v>-869</v>
      </c>
      <c r="J380">
        <v>1101.72</v>
      </c>
    </row>
    <row r="381" spans="1:10" x14ac:dyDescent="0.35">
      <c r="A381">
        <v>365</v>
      </c>
      <c r="B381" s="75">
        <v>89.28</v>
      </c>
      <c r="C381" s="75">
        <v>97.33</v>
      </c>
      <c r="D381" s="75">
        <v>94.18</v>
      </c>
      <c r="E381" s="75">
        <v>91.74</v>
      </c>
      <c r="F381">
        <v>911.79</v>
      </c>
      <c r="G381">
        <v>1319.25</v>
      </c>
      <c r="H381">
        <v>-2729.6</v>
      </c>
      <c r="I381">
        <v>1639.8999999999999</v>
      </c>
      <c r="J381">
        <v>1141.3399999999999</v>
      </c>
    </row>
    <row r="382" spans="1:10" x14ac:dyDescent="0.35">
      <c r="A382">
        <v>366</v>
      </c>
      <c r="B382" s="75">
        <v>90.278300000000002</v>
      </c>
      <c r="C382" s="75">
        <v>98.072599999999994</v>
      </c>
      <c r="D382" s="75">
        <v>93.400499999999994</v>
      </c>
      <c r="E382" s="75">
        <v>93.075999999999993</v>
      </c>
      <c r="F382">
        <v>-2391.5100000000002</v>
      </c>
      <c r="G382">
        <v>205.95000000000002</v>
      </c>
      <c r="H382">
        <v>-1168.8</v>
      </c>
      <c r="I382">
        <v>304.59999999999997</v>
      </c>
      <c r="J382">
        <v>-3049.7600000000007</v>
      </c>
    </row>
    <row r="383" spans="1:10" x14ac:dyDescent="0.35">
      <c r="A383">
        <v>367</v>
      </c>
      <c r="B383" s="75">
        <v>89.65</v>
      </c>
      <c r="C383" s="75">
        <v>98.17</v>
      </c>
      <c r="D383" s="75">
        <v>92.68</v>
      </c>
      <c r="E383" s="75">
        <v>95.8</v>
      </c>
      <c r="F383">
        <v>-321.08999999999997</v>
      </c>
      <c r="G383">
        <v>59.25</v>
      </c>
      <c r="H383">
        <v>272.39999999999998</v>
      </c>
      <c r="I383">
        <v>-2420.7999999999997</v>
      </c>
      <c r="J383">
        <v>-2410.2399999999998</v>
      </c>
    </row>
    <row r="384" spans="1:10" x14ac:dyDescent="0.35">
      <c r="A384">
        <v>368</v>
      </c>
      <c r="B384" s="75">
        <v>89.424700000000001</v>
      </c>
      <c r="C384" s="75">
        <v>96.728099999999998</v>
      </c>
      <c r="D384" s="75">
        <v>93.666399999999996</v>
      </c>
      <c r="E384" s="75">
        <v>95.4499</v>
      </c>
      <c r="F384">
        <v>425.36999999999995</v>
      </c>
      <c r="G384">
        <v>2222.6999999999998</v>
      </c>
      <c r="H384">
        <v>-1700.6</v>
      </c>
      <c r="I384">
        <v>-2069.3000000000002</v>
      </c>
      <c r="J384">
        <v>-1121.8300000000004</v>
      </c>
    </row>
    <row r="385" spans="1:10" x14ac:dyDescent="0.35">
      <c r="A385">
        <v>369</v>
      </c>
      <c r="B385" s="75">
        <v>89.27</v>
      </c>
      <c r="C385" s="75">
        <v>99.91</v>
      </c>
      <c r="D385" s="75">
        <v>94.02</v>
      </c>
      <c r="E385" s="75">
        <v>91.99</v>
      </c>
      <c r="F385">
        <v>943.14</v>
      </c>
      <c r="G385">
        <v>-2553</v>
      </c>
      <c r="H385">
        <v>-2404.7999999999997</v>
      </c>
      <c r="I385">
        <v>1394</v>
      </c>
      <c r="J385">
        <v>-2620.66</v>
      </c>
    </row>
    <row r="386" spans="1:10" x14ac:dyDescent="0.35">
      <c r="A386">
        <v>370</v>
      </c>
      <c r="B386" s="75">
        <v>89.847999999999999</v>
      </c>
      <c r="C386" s="75">
        <v>97.688000000000002</v>
      </c>
      <c r="D386" s="75">
        <v>93.073300000000003</v>
      </c>
      <c r="E386" s="75">
        <v>92.0899</v>
      </c>
      <c r="F386">
        <v>-971.52</v>
      </c>
      <c r="G386">
        <v>782.85</v>
      </c>
      <c r="H386">
        <v>-514.4</v>
      </c>
      <c r="I386">
        <v>1290.7</v>
      </c>
      <c r="J386">
        <v>587.63000000000011</v>
      </c>
    </row>
    <row r="387" spans="1:10" x14ac:dyDescent="0.35">
      <c r="A387">
        <v>371</v>
      </c>
      <c r="B387" s="75">
        <v>89.04</v>
      </c>
      <c r="C387" s="75">
        <v>97.79</v>
      </c>
      <c r="D387" s="75">
        <v>92.73</v>
      </c>
      <c r="E387" s="75">
        <v>92.85</v>
      </c>
      <c r="F387">
        <v>1689.6000000000001</v>
      </c>
      <c r="G387">
        <v>634.65</v>
      </c>
      <c r="H387">
        <v>172.8</v>
      </c>
      <c r="I387">
        <v>525.90000000000009</v>
      </c>
      <c r="J387">
        <v>3022.9500000000003</v>
      </c>
    </row>
    <row r="388" spans="1:10" x14ac:dyDescent="0.35">
      <c r="A388">
        <v>372</v>
      </c>
      <c r="B388" s="75">
        <v>90.200999999999993</v>
      </c>
      <c r="C388" s="75">
        <v>98.835499999999996</v>
      </c>
      <c r="D388" s="75">
        <v>92.975800000000007</v>
      </c>
      <c r="E388" s="75">
        <v>94.667400000000001</v>
      </c>
      <c r="F388">
        <v>-2136.42</v>
      </c>
      <c r="G388">
        <v>-938.40000000000009</v>
      </c>
      <c r="H388">
        <v>-319.40000000000003</v>
      </c>
      <c r="I388">
        <v>-1286.8</v>
      </c>
      <c r="J388">
        <v>-4681.0200000000004</v>
      </c>
    </row>
    <row r="389" spans="1:10" x14ac:dyDescent="0.35">
      <c r="A389">
        <v>373</v>
      </c>
      <c r="B389" s="75">
        <v>89.09</v>
      </c>
      <c r="C389" s="75">
        <v>97.47</v>
      </c>
      <c r="D389" s="75">
        <v>92.98</v>
      </c>
      <c r="E389" s="75">
        <v>92.25</v>
      </c>
      <c r="F389">
        <v>1542.75</v>
      </c>
      <c r="G389">
        <v>1114.5</v>
      </c>
      <c r="H389">
        <v>-332.8</v>
      </c>
      <c r="I389">
        <v>1130.4000000000001</v>
      </c>
      <c r="J389">
        <v>3454.85</v>
      </c>
    </row>
    <row r="390" spans="1:10" x14ac:dyDescent="0.35">
      <c r="A390">
        <v>374</v>
      </c>
      <c r="B390" s="75">
        <v>89.775199999999998</v>
      </c>
      <c r="C390" s="75">
        <v>97.158900000000003</v>
      </c>
      <c r="D390" s="75">
        <v>92.588200000000001</v>
      </c>
      <c r="E390" s="75">
        <v>94.637500000000003</v>
      </c>
      <c r="F390">
        <v>-731.28</v>
      </c>
      <c r="G390">
        <v>1576.5</v>
      </c>
      <c r="H390">
        <v>455.79999999999995</v>
      </c>
      <c r="I390">
        <v>-1256.8999999999999</v>
      </c>
      <c r="J390">
        <v>44.120000000000118</v>
      </c>
    </row>
    <row r="391" spans="1:10" x14ac:dyDescent="0.35">
      <c r="A391">
        <v>375</v>
      </c>
      <c r="B391" s="75">
        <v>89.04</v>
      </c>
      <c r="C391" s="75">
        <v>97.63</v>
      </c>
      <c r="D391" s="75">
        <v>93.14</v>
      </c>
      <c r="E391" s="75">
        <v>94.94</v>
      </c>
      <c r="F391">
        <v>1687.29</v>
      </c>
      <c r="G391">
        <v>872.99999999999989</v>
      </c>
      <c r="H391">
        <v>-647.59999999999991</v>
      </c>
      <c r="I391">
        <v>-1555.7</v>
      </c>
      <c r="J391">
        <v>356.99</v>
      </c>
    </row>
    <row r="392" spans="1:10" x14ac:dyDescent="0.35">
      <c r="A392">
        <v>376</v>
      </c>
      <c r="B392" s="75">
        <v>89.4846</v>
      </c>
      <c r="C392" s="75">
        <v>97.060699999999997</v>
      </c>
      <c r="D392" s="75">
        <v>93.290599999999998</v>
      </c>
      <c r="E392" s="75">
        <v>94.6815</v>
      </c>
      <c r="F392">
        <v>227.70000000000002</v>
      </c>
      <c r="G392">
        <v>1723.8</v>
      </c>
      <c r="H392">
        <v>-949</v>
      </c>
      <c r="I392">
        <v>-1300.8999999999999</v>
      </c>
      <c r="J392">
        <v>-298.39999999999986</v>
      </c>
    </row>
    <row r="393" spans="1:10" x14ac:dyDescent="0.35">
      <c r="A393">
        <v>377</v>
      </c>
      <c r="B393" s="75">
        <v>89.51</v>
      </c>
      <c r="C393" s="75">
        <v>98.81</v>
      </c>
      <c r="D393" s="75">
        <v>92.89</v>
      </c>
      <c r="E393" s="75">
        <v>89.78</v>
      </c>
      <c r="F393">
        <v>132.99</v>
      </c>
      <c r="G393">
        <v>-894.3</v>
      </c>
      <c r="H393">
        <v>-141</v>
      </c>
      <c r="I393">
        <v>3604.2000000000003</v>
      </c>
      <c r="J393">
        <v>2701.8900000000003</v>
      </c>
    </row>
    <row r="394" spans="1:10" x14ac:dyDescent="0.35">
      <c r="A394">
        <v>378</v>
      </c>
      <c r="B394" s="75">
        <v>90.281099999999995</v>
      </c>
      <c r="C394" s="75">
        <v>99.552999999999997</v>
      </c>
      <c r="D394" s="75">
        <v>94.205200000000005</v>
      </c>
      <c r="E394" s="75">
        <v>93.140799999999999</v>
      </c>
      <c r="F394">
        <v>-2400.75</v>
      </c>
      <c r="G394">
        <v>-2014.6499999999999</v>
      </c>
      <c r="H394">
        <v>-2778.2</v>
      </c>
      <c r="I394">
        <v>239.8</v>
      </c>
      <c r="J394">
        <v>-6953.7999999999993</v>
      </c>
    </row>
    <row r="395" spans="1:10" x14ac:dyDescent="0.35">
      <c r="A395">
        <v>379</v>
      </c>
      <c r="B395" s="75">
        <v>90.15</v>
      </c>
      <c r="C395" s="75">
        <v>98.82</v>
      </c>
      <c r="D395" s="75">
        <v>94.28</v>
      </c>
      <c r="E395" s="75">
        <v>91.42</v>
      </c>
      <c r="F395">
        <v>-1981.65</v>
      </c>
      <c r="G395">
        <v>-916.35</v>
      </c>
      <c r="H395">
        <v>-2919.7999999999997</v>
      </c>
      <c r="I395">
        <v>1961.6</v>
      </c>
      <c r="J395">
        <v>-3856.1999999999994</v>
      </c>
    </row>
    <row r="396" spans="1:10" x14ac:dyDescent="0.35">
      <c r="A396">
        <v>380</v>
      </c>
      <c r="B396" s="75">
        <v>89.953800000000001</v>
      </c>
      <c r="C396" s="75">
        <v>99.224199999999996</v>
      </c>
      <c r="D396" s="75">
        <v>89.509600000000006</v>
      </c>
      <c r="E396" s="75">
        <v>92.613799999999998</v>
      </c>
      <c r="F396">
        <v>-1320.66</v>
      </c>
      <c r="G396">
        <v>-1521.45</v>
      </c>
      <c r="H396">
        <v>6613</v>
      </c>
      <c r="I396">
        <v>766.80000000000007</v>
      </c>
      <c r="J396">
        <v>4537.6899999999996</v>
      </c>
    </row>
    <row r="397" spans="1:10" x14ac:dyDescent="0.35">
      <c r="A397">
        <v>381</v>
      </c>
      <c r="B397" s="75">
        <v>89.23</v>
      </c>
      <c r="C397" s="75">
        <v>97.17</v>
      </c>
      <c r="D397" s="75">
        <v>92.81</v>
      </c>
      <c r="E397" s="75">
        <v>91.94</v>
      </c>
      <c r="F397">
        <v>1072.83</v>
      </c>
      <c r="G397">
        <v>1564.35</v>
      </c>
      <c r="H397">
        <v>5.2</v>
      </c>
      <c r="I397">
        <v>1444.5</v>
      </c>
      <c r="J397">
        <v>4086.8799999999997</v>
      </c>
    </row>
    <row r="398" spans="1:10" x14ac:dyDescent="0.35">
      <c r="A398">
        <v>382</v>
      </c>
      <c r="B398" s="75">
        <v>88.9696</v>
      </c>
      <c r="C398" s="75">
        <v>97.058300000000003</v>
      </c>
      <c r="D398" s="75">
        <v>93.475800000000007</v>
      </c>
      <c r="E398" s="75">
        <v>95.426400000000001</v>
      </c>
      <c r="F398">
        <v>1927.1999999999998</v>
      </c>
      <c r="G398">
        <v>1727.3999999999999</v>
      </c>
      <c r="H398">
        <v>-1319.3999999999999</v>
      </c>
      <c r="I398">
        <v>-2045.7999999999997</v>
      </c>
      <c r="J398">
        <v>289.40000000000009</v>
      </c>
    </row>
    <row r="399" spans="1:10" x14ac:dyDescent="0.35">
      <c r="A399">
        <v>383</v>
      </c>
      <c r="B399" s="75">
        <v>90.01</v>
      </c>
      <c r="C399" s="75">
        <v>98.32</v>
      </c>
      <c r="D399" s="75">
        <v>93.05</v>
      </c>
      <c r="E399" s="75">
        <v>94.51</v>
      </c>
      <c r="F399">
        <v>-1491.6000000000001</v>
      </c>
      <c r="G399">
        <v>-163.80000000000001</v>
      </c>
      <c r="H399">
        <v>-466.8</v>
      </c>
      <c r="I399">
        <v>-1130.7</v>
      </c>
      <c r="J399">
        <v>-3252.9000000000005</v>
      </c>
    </row>
    <row r="400" spans="1:10" x14ac:dyDescent="0.35">
      <c r="A400">
        <v>384</v>
      </c>
      <c r="B400" s="75">
        <v>89.245500000000007</v>
      </c>
      <c r="C400" s="75">
        <v>98.353499999999997</v>
      </c>
      <c r="D400" s="75">
        <v>93.909499999999994</v>
      </c>
      <c r="E400" s="75">
        <v>94.691699999999997</v>
      </c>
      <c r="F400">
        <v>1016.7299999999999</v>
      </c>
      <c r="G400">
        <v>-215.4</v>
      </c>
      <c r="H400">
        <v>-2186.7999999999997</v>
      </c>
      <c r="I400">
        <v>-1311.1</v>
      </c>
      <c r="J400">
        <v>-2696.5699999999997</v>
      </c>
    </row>
    <row r="401" spans="1:10" x14ac:dyDescent="0.35">
      <c r="A401">
        <v>385</v>
      </c>
      <c r="B401" s="75">
        <v>89.89</v>
      </c>
      <c r="C401" s="75">
        <v>97.35</v>
      </c>
      <c r="D401" s="75">
        <v>93.11</v>
      </c>
      <c r="E401" s="75">
        <v>92.74</v>
      </c>
      <c r="F401">
        <v>-1110.78</v>
      </c>
      <c r="G401">
        <v>1288.6499999999999</v>
      </c>
      <c r="H401">
        <v>-584.4</v>
      </c>
      <c r="I401">
        <v>635.70000000000005</v>
      </c>
      <c r="J401">
        <v>229.16999999999996</v>
      </c>
    </row>
    <row r="402" spans="1:10" x14ac:dyDescent="0.35">
      <c r="A402">
        <v>386</v>
      </c>
      <c r="B402" s="75">
        <v>89.088499999999996</v>
      </c>
      <c r="C402" s="75">
        <v>98.317599999999999</v>
      </c>
      <c r="D402" s="75">
        <v>95.074799999999996</v>
      </c>
      <c r="E402" s="75">
        <v>91.431200000000004</v>
      </c>
      <c r="F402">
        <v>1534.8300000000002</v>
      </c>
      <c r="G402">
        <v>-161.55000000000001</v>
      </c>
      <c r="H402">
        <v>-4517.4000000000005</v>
      </c>
      <c r="I402">
        <v>1949.4</v>
      </c>
      <c r="J402">
        <v>-1194.7200000000003</v>
      </c>
    </row>
    <row r="403" spans="1:10" x14ac:dyDescent="0.35">
      <c r="A403">
        <v>387</v>
      </c>
      <c r="B403" s="75">
        <v>89.3</v>
      </c>
      <c r="C403" s="75">
        <v>98.76</v>
      </c>
      <c r="D403" s="75">
        <v>92.22</v>
      </c>
      <c r="E403" s="75">
        <v>93.04</v>
      </c>
      <c r="F403">
        <v>825.32999999999993</v>
      </c>
      <c r="G403">
        <v>-827.1</v>
      </c>
      <c r="H403">
        <v>1196.1999999999998</v>
      </c>
      <c r="I403">
        <v>336.4</v>
      </c>
      <c r="J403">
        <v>1530.83</v>
      </c>
    </row>
    <row r="404" spans="1:10" x14ac:dyDescent="0.35">
      <c r="A404">
        <v>388</v>
      </c>
      <c r="B404" s="75">
        <v>90.165099999999995</v>
      </c>
      <c r="C404" s="75">
        <v>97.307699999999997</v>
      </c>
      <c r="D404" s="75">
        <v>93.537099999999995</v>
      </c>
      <c r="E404" s="75">
        <v>92.081699999999998</v>
      </c>
      <c r="F404">
        <v>-2017.95</v>
      </c>
      <c r="G404">
        <v>1353.3</v>
      </c>
      <c r="H404">
        <v>-1442</v>
      </c>
      <c r="I404">
        <v>1298.8999999999999</v>
      </c>
      <c r="J404">
        <v>-807.75000000000023</v>
      </c>
    </row>
    <row r="405" spans="1:10" x14ac:dyDescent="0.35">
      <c r="A405">
        <v>389</v>
      </c>
      <c r="B405" s="75">
        <v>90.49</v>
      </c>
      <c r="C405" s="75">
        <v>98.74</v>
      </c>
      <c r="D405" s="75">
        <v>92.46</v>
      </c>
      <c r="E405" s="75">
        <v>95.61</v>
      </c>
      <c r="F405">
        <v>-3103.98</v>
      </c>
      <c r="G405">
        <v>-793.95</v>
      </c>
      <c r="H405">
        <v>707</v>
      </c>
      <c r="I405">
        <v>-2225.5</v>
      </c>
      <c r="J405">
        <v>-5416.43</v>
      </c>
    </row>
    <row r="406" spans="1:10" x14ac:dyDescent="0.35">
      <c r="A406">
        <v>390</v>
      </c>
      <c r="B406" s="75">
        <v>89.640900000000002</v>
      </c>
      <c r="C406" s="75">
        <v>97.466399999999993</v>
      </c>
      <c r="D406" s="75">
        <v>92.480900000000005</v>
      </c>
      <c r="E406" s="75">
        <v>93.187799999999996</v>
      </c>
      <c r="F406">
        <v>-288.09000000000003</v>
      </c>
      <c r="G406">
        <v>1115.25</v>
      </c>
      <c r="H406">
        <v>670.4</v>
      </c>
      <c r="I406">
        <v>192.8</v>
      </c>
      <c r="J406">
        <v>1690.36</v>
      </c>
    </row>
    <row r="407" spans="1:10" x14ac:dyDescent="0.35">
      <c r="A407">
        <v>391</v>
      </c>
      <c r="B407" s="75">
        <v>90.06</v>
      </c>
      <c r="C407" s="75">
        <v>97.66</v>
      </c>
      <c r="D407" s="75">
        <v>93.28</v>
      </c>
      <c r="E407" s="75">
        <v>94.1</v>
      </c>
      <c r="F407">
        <v>-1662.5400000000002</v>
      </c>
      <c r="G407">
        <v>822.30000000000007</v>
      </c>
      <c r="H407">
        <v>-919.6</v>
      </c>
      <c r="I407">
        <v>-715.8</v>
      </c>
      <c r="J407">
        <v>-2475.6400000000003</v>
      </c>
    </row>
    <row r="408" spans="1:10" x14ac:dyDescent="0.35">
      <c r="A408">
        <v>392</v>
      </c>
      <c r="B408" s="75">
        <v>90.060199999999995</v>
      </c>
      <c r="C408" s="75">
        <v>98.608400000000003</v>
      </c>
      <c r="D408" s="75">
        <v>93.337299999999999</v>
      </c>
      <c r="E408" s="75">
        <v>91.506699999999995</v>
      </c>
      <c r="F408">
        <v>-1671.7800000000002</v>
      </c>
      <c r="G408">
        <v>-597.75</v>
      </c>
      <c r="H408">
        <v>-1042.4000000000001</v>
      </c>
      <c r="I408">
        <v>1873.8999999999999</v>
      </c>
      <c r="J408">
        <v>-1438.0300000000004</v>
      </c>
    </row>
    <row r="409" spans="1:10" x14ac:dyDescent="0.35">
      <c r="A409">
        <v>393</v>
      </c>
      <c r="B409" s="75">
        <v>89.41</v>
      </c>
      <c r="C409" s="75">
        <v>98.13</v>
      </c>
      <c r="D409" s="75">
        <v>94.88</v>
      </c>
      <c r="E409" s="75">
        <v>91.86</v>
      </c>
      <c r="F409">
        <v>464.64000000000004</v>
      </c>
      <c r="G409">
        <v>112.65</v>
      </c>
      <c r="H409">
        <v>-4126</v>
      </c>
      <c r="I409">
        <v>1516.5</v>
      </c>
      <c r="J409">
        <v>-2032.21</v>
      </c>
    </row>
    <row r="410" spans="1:10" x14ac:dyDescent="0.35">
      <c r="A410">
        <v>394</v>
      </c>
      <c r="B410" s="75">
        <v>89.8506</v>
      </c>
      <c r="C410" s="75">
        <v>97.919700000000006</v>
      </c>
      <c r="D410" s="75">
        <v>91.253699999999995</v>
      </c>
      <c r="E410" s="75">
        <v>90.888199999999998</v>
      </c>
      <c r="F410">
        <v>-980.09999999999991</v>
      </c>
      <c r="G410">
        <v>435.3</v>
      </c>
      <c r="H410">
        <v>3124.8</v>
      </c>
      <c r="I410">
        <v>2492.4</v>
      </c>
      <c r="J410">
        <v>5072.3999999999996</v>
      </c>
    </row>
    <row r="411" spans="1:10" x14ac:dyDescent="0.35">
      <c r="A411">
        <v>395</v>
      </c>
      <c r="B411" s="75">
        <v>88.9</v>
      </c>
      <c r="C411" s="75">
        <v>98.59</v>
      </c>
      <c r="D411" s="75">
        <v>92.72</v>
      </c>
      <c r="E411" s="75">
        <v>94.41</v>
      </c>
      <c r="F411">
        <v>2154.2400000000002</v>
      </c>
      <c r="G411">
        <v>-575.69999999999993</v>
      </c>
      <c r="H411">
        <v>184.6</v>
      </c>
      <c r="I411">
        <v>-1033.4000000000001</v>
      </c>
      <c r="J411">
        <v>729.74000000000024</v>
      </c>
    </row>
    <row r="412" spans="1:10" x14ac:dyDescent="0.35">
      <c r="A412">
        <v>396</v>
      </c>
      <c r="B412" s="75">
        <v>90.452100000000002</v>
      </c>
      <c r="C412" s="75">
        <v>97.688900000000004</v>
      </c>
      <c r="D412" s="75">
        <v>93.585499999999996</v>
      </c>
      <c r="E412" s="75">
        <v>94.796599999999998</v>
      </c>
      <c r="F412">
        <v>-2965.0499999999997</v>
      </c>
      <c r="G412">
        <v>781.5</v>
      </c>
      <c r="H412">
        <v>-1538.8</v>
      </c>
      <c r="I412">
        <v>-1416</v>
      </c>
      <c r="J412">
        <v>-5138.3499999999995</v>
      </c>
    </row>
    <row r="413" spans="1:10" x14ac:dyDescent="0.35">
      <c r="A413">
        <v>397</v>
      </c>
      <c r="B413" s="75">
        <v>89.95</v>
      </c>
      <c r="C413" s="75">
        <v>97.9</v>
      </c>
      <c r="D413" s="75">
        <v>92.58</v>
      </c>
      <c r="E413" s="75">
        <v>95.27</v>
      </c>
      <c r="F413">
        <v>-1302.18</v>
      </c>
      <c r="G413">
        <v>472.04999999999995</v>
      </c>
      <c r="H413">
        <v>466</v>
      </c>
      <c r="I413">
        <v>-1891.8999999999999</v>
      </c>
      <c r="J413">
        <v>-2256.0299999999997</v>
      </c>
    </row>
    <row r="414" spans="1:10" x14ac:dyDescent="0.35">
      <c r="A414">
        <v>398</v>
      </c>
      <c r="B414" s="75">
        <v>89.785499999999999</v>
      </c>
      <c r="C414" s="75">
        <v>97.306899999999999</v>
      </c>
      <c r="D414" s="75">
        <v>92.542900000000003</v>
      </c>
      <c r="E414" s="75">
        <v>91.003299999999996</v>
      </c>
      <c r="F414">
        <v>-765.27</v>
      </c>
      <c r="G414">
        <v>1354.5</v>
      </c>
      <c r="H414">
        <v>546.4</v>
      </c>
      <c r="I414">
        <v>2377.3000000000002</v>
      </c>
      <c r="J414">
        <v>3512.9300000000003</v>
      </c>
    </row>
    <row r="415" spans="1:10" x14ac:dyDescent="0.35">
      <c r="A415">
        <v>399</v>
      </c>
      <c r="B415" s="75">
        <v>89.48</v>
      </c>
      <c r="C415" s="75">
        <v>97.87</v>
      </c>
      <c r="D415" s="75">
        <v>92.91</v>
      </c>
      <c r="E415" s="75">
        <v>92.46</v>
      </c>
      <c r="F415">
        <v>227.37</v>
      </c>
      <c r="G415">
        <v>512.4</v>
      </c>
      <c r="H415">
        <v>-189.6</v>
      </c>
      <c r="I415">
        <v>923.5</v>
      </c>
      <c r="J415">
        <v>1473.67</v>
      </c>
    </row>
    <row r="416" spans="1:10" x14ac:dyDescent="0.35">
      <c r="A416">
        <v>400</v>
      </c>
      <c r="B416" s="75">
        <v>89.288499999999999</v>
      </c>
      <c r="C416" s="75">
        <v>98.876599999999996</v>
      </c>
      <c r="D416" s="75">
        <v>92.1768</v>
      </c>
      <c r="E416" s="75">
        <v>93.964600000000004</v>
      </c>
      <c r="F416">
        <v>874.83</v>
      </c>
      <c r="G416">
        <v>-1000.05</v>
      </c>
      <c r="H416">
        <v>1278.5999999999999</v>
      </c>
      <c r="I416">
        <v>-584</v>
      </c>
      <c r="J416">
        <v>569.38000000000011</v>
      </c>
    </row>
    <row r="417" spans="1:10" x14ac:dyDescent="0.35">
      <c r="A417">
        <v>401</v>
      </c>
      <c r="B417" s="75">
        <v>90.08</v>
      </c>
      <c r="C417" s="75">
        <v>100.2</v>
      </c>
      <c r="D417" s="75">
        <v>94.76</v>
      </c>
      <c r="E417" s="75">
        <v>93.55</v>
      </c>
      <c r="F417">
        <v>-1729.53</v>
      </c>
      <c r="G417">
        <v>-2983.65</v>
      </c>
      <c r="H417">
        <v>-3887.7999999999997</v>
      </c>
      <c r="I417">
        <v>-168.1</v>
      </c>
      <c r="J417">
        <v>-8769.08</v>
      </c>
    </row>
    <row r="418" spans="1:10" x14ac:dyDescent="0.35">
      <c r="A418">
        <v>402</v>
      </c>
      <c r="B418" s="75">
        <v>89.187600000000003</v>
      </c>
      <c r="C418" s="75">
        <v>97.6327</v>
      </c>
      <c r="D418" s="75">
        <v>92.430599999999998</v>
      </c>
      <c r="E418" s="75">
        <v>94.133799999999994</v>
      </c>
      <c r="F418">
        <v>1207.8</v>
      </c>
      <c r="G418">
        <v>865.80000000000007</v>
      </c>
      <c r="H418">
        <v>771</v>
      </c>
      <c r="I418">
        <v>-753.19999999999993</v>
      </c>
      <c r="J418">
        <v>2091.4</v>
      </c>
    </row>
    <row r="419" spans="1:10" x14ac:dyDescent="0.35">
      <c r="A419">
        <v>403</v>
      </c>
      <c r="B419" s="75">
        <v>90.06</v>
      </c>
      <c r="C419" s="75">
        <v>97.36</v>
      </c>
      <c r="D419" s="75">
        <v>93.27</v>
      </c>
      <c r="E419" s="75">
        <v>93.45</v>
      </c>
      <c r="F419">
        <v>-1675.41</v>
      </c>
      <c r="G419">
        <v>1278.6000000000001</v>
      </c>
      <c r="H419">
        <v>-903.4</v>
      </c>
      <c r="I419">
        <v>-69.900000000000006</v>
      </c>
      <c r="J419">
        <v>-1370.1100000000001</v>
      </c>
    </row>
    <row r="420" spans="1:10" x14ac:dyDescent="0.35">
      <c r="A420">
        <v>404</v>
      </c>
      <c r="B420" s="75">
        <v>89.385900000000007</v>
      </c>
      <c r="C420" s="75">
        <v>97.291300000000007</v>
      </c>
      <c r="D420" s="75">
        <v>93.844200000000001</v>
      </c>
      <c r="E420" s="75">
        <v>96.642200000000003</v>
      </c>
      <c r="F420">
        <v>553.41</v>
      </c>
      <c r="G420">
        <v>1377.8999999999999</v>
      </c>
      <c r="H420">
        <v>-2056.1999999999998</v>
      </c>
      <c r="I420">
        <v>-3261.6</v>
      </c>
      <c r="J420">
        <v>-3386.49</v>
      </c>
    </row>
    <row r="421" spans="1:10" x14ac:dyDescent="0.35">
      <c r="A421">
        <v>405</v>
      </c>
      <c r="B421" s="75">
        <v>88.75</v>
      </c>
      <c r="C421" s="75">
        <v>98.66</v>
      </c>
      <c r="D421" s="75">
        <v>93.56</v>
      </c>
      <c r="E421" s="75">
        <v>96.02</v>
      </c>
      <c r="F421">
        <v>2649.9</v>
      </c>
      <c r="G421">
        <v>-678.15</v>
      </c>
      <c r="H421">
        <v>-1494.8</v>
      </c>
      <c r="I421">
        <v>-2640.7</v>
      </c>
      <c r="J421">
        <v>-2163.75</v>
      </c>
    </row>
    <row r="422" spans="1:10" x14ac:dyDescent="0.35">
      <c r="A422">
        <v>406</v>
      </c>
      <c r="B422" s="75">
        <v>89.249200000000002</v>
      </c>
      <c r="C422" s="75">
        <v>99.984300000000005</v>
      </c>
      <c r="D422" s="75">
        <v>93.799400000000006</v>
      </c>
      <c r="E422" s="75">
        <v>96.327299999999994</v>
      </c>
      <c r="F422">
        <v>1004.52</v>
      </c>
      <c r="G422">
        <v>-2661.6</v>
      </c>
      <c r="H422">
        <v>-1966.6</v>
      </c>
      <c r="I422">
        <v>-2946.7</v>
      </c>
      <c r="J422">
        <v>-6570.3799999999992</v>
      </c>
    </row>
    <row r="423" spans="1:10" x14ac:dyDescent="0.35">
      <c r="A423">
        <v>407</v>
      </c>
      <c r="B423" s="75">
        <v>89.63</v>
      </c>
      <c r="C423" s="75">
        <v>99.42</v>
      </c>
      <c r="D423" s="75">
        <v>92.12</v>
      </c>
      <c r="E423" s="75">
        <v>91.82</v>
      </c>
      <c r="F423">
        <v>-239.57999999999998</v>
      </c>
      <c r="G423">
        <v>-1818.6</v>
      </c>
      <c r="H423">
        <v>1389.6</v>
      </c>
      <c r="I423">
        <v>1564.1000000000001</v>
      </c>
      <c r="J423">
        <v>895.52000000000021</v>
      </c>
    </row>
    <row r="424" spans="1:10" x14ac:dyDescent="0.35">
      <c r="A424">
        <v>408</v>
      </c>
      <c r="B424" s="75">
        <v>88.628299999999996</v>
      </c>
      <c r="C424" s="75">
        <v>98.607900000000001</v>
      </c>
      <c r="D424" s="75">
        <v>91.805999999999997</v>
      </c>
      <c r="E424" s="75">
        <v>93.374700000000004</v>
      </c>
      <c r="F424">
        <v>3053.4900000000002</v>
      </c>
      <c r="G424">
        <v>-597</v>
      </c>
      <c r="H424">
        <v>2020.2</v>
      </c>
      <c r="I424">
        <v>5.8999999999999995</v>
      </c>
      <c r="J424">
        <v>4482.59</v>
      </c>
    </row>
    <row r="425" spans="1:10" x14ac:dyDescent="0.35">
      <c r="A425">
        <v>409</v>
      </c>
      <c r="B425" s="75">
        <v>90.03</v>
      </c>
      <c r="C425" s="75">
        <v>98.24</v>
      </c>
      <c r="D425" s="75">
        <v>91.32</v>
      </c>
      <c r="E425" s="75">
        <v>95.13</v>
      </c>
      <c r="F425">
        <v>-1569.1499999999999</v>
      </c>
      <c r="G425">
        <v>-49.2</v>
      </c>
      <c r="H425">
        <v>2992.6</v>
      </c>
      <c r="I425">
        <v>-1748.8</v>
      </c>
      <c r="J425">
        <v>-374.54999999999995</v>
      </c>
    </row>
    <row r="426" spans="1:10" x14ac:dyDescent="0.35">
      <c r="A426">
        <v>410</v>
      </c>
      <c r="B426" s="75">
        <v>89.131600000000006</v>
      </c>
      <c r="C426" s="75">
        <v>99.811599999999999</v>
      </c>
      <c r="D426" s="75">
        <v>92.7346</v>
      </c>
      <c r="E426" s="75">
        <v>93.724500000000006</v>
      </c>
      <c r="F426">
        <v>1392.6</v>
      </c>
      <c r="G426">
        <v>-2402.5499999999997</v>
      </c>
      <c r="H426">
        <v>163</v>
      </c>
      <c r="I426">
        <v>-343.9</v>
      </c>
      <c r="J426">
        <v>-1190.8499999999999</v>
      </c>
    </row>
    <row r="427" spans="1:10" x14ac:dyDescent="0.35">
      <c r="A427">
        <v>411</v>
      </c>
      <c r="B427" s="75">
        <v>89.58</v>
      </c>
      <c r="C427" s="75">
        <v>98.81</v>
      </c>
      <c r="D427" s="75">
        <v>92.4</v>
      </c>
      <c r="E427" s="75">
        <v>93.66</v>
      </c>
      <c r="F427">
        <v>-85.14</v>
      </c>
      <c r="G427">
        <v>-899.1</v>
      </c>
      <c r="H427">
        <v>825.2</v>
      </c>
      <c r="I427">
        <v>-276.2</v>
      </c>
      <c r="J427">
        <v>-435.23999999999995</v>
      </c>
    </row>
    <row r="428" spans="1:10" x14ac:dyDescent="0.35">
      <c r="A428">
        <v>412</v>
      </c>
      <c r="B428" s="75">
        <v>88.739699999999999</v>
      </c>
      <c r="C428" s="75">
        <v>98.784000000000006</v>
      </c>
      <c r="D428" s="75">
        <v>91.626599999999996</v>
      </c>
      <c r="E428" s="75">
        <v>92.815100000000001</v>
      </c>
      <c r="F428">
        <v>2685.87</v>
      </c>
      <c r="G428">
        <v>-861.15000000000009</v>
      </c>
      <c r="H428">
        <v>2379</v>
      </c>
      <c r="I428">
        <v>565.5</v>
      </c>
      <c r="J428">
        <v>4769.2199999999993</v>
      </c>
    </row>
    <row r="429" spans="1:10" x14ac:dyDescent="0.35">
      <c r="A429">
        <v>413</v>
      </c>
      <c r="B429" s="75">
        <v>89.34</v>
      </c>
      <c r="C429" s="75">
        <v>96.84</v>
      </c>
      <c r="D429" s="75">
        <v>91.74</v>
      </c>
      <c r="E429" s="75">
        <v>96.27</v>
      </c>
      <c r="F429">
        <v>702.9</v>
      </c>
      <c r="G429">
        <v>2050.0500000000002</v>
      </c>
      <c r="H429">
        <v>2160.6</v>
      </c>
      <c r="I429">
        <v>-2893.4</v>
      </c>
      <c r="J429">
        <v>2020.15</v>
      </c>
    </row>
    <row r="430" spans="1:10" x14ac:dyDescent="0.35">
      <c r="A430">
        <v>414</v>
      </c>
      <c r="B430" s="75">
        <v>88.327600000000004</v>
      </c>
      <c r="C430" s="75">
        <v>98.323400000000007</v>
      </c>
      <c r="D430" s="75">
        <v>92.263400000000004</v>
      </c>
      <c r="E430" s="75">
        <v>94.784599999999998</v>
      </c>
      <c r="F430">
        <v>4045.7999999999997</v>
      </c>
      <c r="G430">
        <v>-170.25</v>
      </c>
      <c r="H430">
        <v>1105.3999999999999</v>
      </c>
      <c r="I430">
        <v>-1404</v>
      </c>
      <c r="J430">
        <v>3576.95</v>
      </c>
    </row>
    <row r="431" spans="1:10" x14ac:dyDescent="0.35">
      <c r="A431">
        <v>415</v>
      </c>
      <c r="B431" s="75">
        <v>89.12</v>
      </c>
      <c r="C431" s="75">
        <v>96.73</v>
      </c>
      <c r="D431" s="75">
        <v>90.85</v>
      </c>
      <c r="E431" s="75">
        <v>93.17</v>
      </c>
      <c r="F431">
        <v>1415.04</v>
      </c>
      <c r="G431">
        <v>2223</v>
      </c>
      <c r="H431">
        <v>3941.8</v>
      </c>
      <c r="I431">
        <v>208.6</v>
      </c>
      <c r="J431">
        <v>7788.4400000000005</v>
      </c>
    </row>
    <row r="432" spans="1:10" x14ac:dyDescent="0.35">
      <c r="A432">
        <v>416</v>
      </c>
      <c r="B432" s="75">
        <v>88.801000000000002</v>
      </c>
      <c r="C432" s="75">
        <v>100.6519</v>
      </c>
      <c r="D432" s="75">
        <v>91.683599999999998</v>
      </c>
      <c r="E432" s="75">
        <v>94.894300000000001</v>
      </c>
      <c r="F432">
        <v>2483.58</v>
      </c>
      <c r="G432">
        <v>-3663.0000000000005</v>
      </c>
      <c r="H432">
        <v>2265</v>
      </c>
      <c r="I432">
        <v>-1513.7</v>
      </c>
      <c r="J432">
        <v>-428.12000000000057</v>
      </c>
    </row>
    <row r="433" spans="1:10" x14ac:dyDescent="0.35">
      <c r="A433">
        <v>417</v>
      </c>
      <c r="B433" s="75">
        <v>88.74</v>
      </c>
      <c r="C433" s="75">
        <v>99.29</v>
      </c>
      <c r="D433" s="75">
        <v>92.05</v>
      </c>
      <c r="E433" s="75">
        <v>93.72</v>
      </c>
      <c r="F433">
        <v>2675.64</v>
      </c>
      <c r="G433">
        <v>-1620.75</v>
      </c>
      <c r="H433">
        <v>1535.6000000000001</v>
      </c>
      <c r="I433">
        <v>-339.4</v>
      </c>
      <c r="J433">
        <v>2251.0899999999997</v>
      </c>
    </row>
    <row r="434" spans="1:10" x14ac:dyDescent="0.35">
      <c r="A434">
        <v>418</v>
      </c>
      <c r="B434" s="75">
        <v>89.4298</v>
      </c>
      <c r="C434" s="75">
        <v>97.689700000000002</v>
      </c>
      <c r="D434" s="75">
        <v>93.2012</v>
      </c>
      <c r="E434" s="75">
        <v>93.516800000000003</v>
      </c>
      <c r="F434">
        <v>408.53999999999996</v>
      </c>
      <c r="G434">
        <v>780.3</v>
      </c>
      <c r="H434">
        <v>-770.2</v>
      </c>
      <c r="I434">
        <v>-136.19999999999999</v>
      </c>
      <c r="J434">
        <v>282.43999999999988</v>
      </c>
    </row>
    <row r="435" spans="1:10" x14ac:dyDescent="0.35">
      <c r="A435">
        <v>419</v>
      </c>
      <c r="B435" s="75">
        <v>89.91</v>
      </c>
      <c r="C435" s="75">
        <v>98.9</v>
      </c>
      <c r="D435" s="75">
        <v>94.15</v>
      </c>
      <c r="E435" s="75">
        <v>91.8</v>
      </c>
      <c r="F435">
        <v>-1174.47</v>
      </c>
      <c r="G435">
        <v>-1028.55</v>
      </c>
      <c r="H435">
        <v>-2671.2</v>
      </c>
      <c r="I435">
        <v>1576.8</v>
      </c>
      <c r="J435">
        <v>-3297.4199999999992</v>
      </c>
    </row>
    <row r="436" spans="1:10" x14ac:dyDescent="0.35">
      <c r="A436">
        <v>420</v>
      </c>
      <c r="B436" s="75">
        <v>89.486599999999996</v>
      </c>
      <c r="C436" s="75">
        <v>99.198899999999995</v>
      </c>
      <c r="D436" s="75">
        <v>91.118300000000005</v>
      </c>
      <c r="E436" s="75">
        <v>92.549400000000006</v>
      </c>
      <c r="F436">
        <v>221.10000000000002</v>
      </c>
      <c r="G436">
        <v>-1483.5</v>
      </c>
      <c r="H436">
        <v>3395.6</v>
      </c>
      <c r="I436">
        <v>831.2</v>
      </c>
      <c r="J436">
        <v>2964.3999999999996</v>
      </c>
    </row>
    <row r="437" spans="1:10" x14ac:dyDescent="0.35">
      <c r="A437">
        <v>421</v>
      </c>
      <c r="B437" s="75">
        <v>90.21</v>
      </c>
      <c r="C437" s="75">
        <v>98.43</v>
      </c>
      <c r="D437" s="75">
        <v>90.23</v>
      </c>
      <c r="E437" s="75">
        <v>91.99</v>
      </c>
      <c r="F437">
        <v>-2163.81</v>
      </c>
      <c r="G437">
        <v>-325.2</v>
      </c>
      <c r="H437">
        <v>5166.2</v>
      </c>
      <c r="I437">
        <v>1391.1</v>
      </c>
      <c r="J437">
        <v>4068.29</v>
      </c>
    </row>
    <row r="438" spans="1:10" x14ac:dyDescent="0.35">
      <c r="A438">
        <v>422</v>
      </c>
      <c r="B438" s="75">
        <v>89.084800000000001</v>
      </c>
      <c r="C438" s="75">
        <v>98.744299999999996</v>
      </c>
      <c r="D438" s="75">
        <v>94.268900000000002</v>
      </c>
      <c r="E438" s="75">
        <v>93.5364</v>
      </c>
      <c r="F438">
        <v>1547.04</v>
      </c>
      <c r="G438">
        <v>-801.6</v>
      </c>
      <c r="H438">
        <v>-2905.6000000000004</v>
      </c>
      <c r="I438">
        <v>-155.79999999999998</v>
      </c>
      <c r="J438">
        <v>-2315.9600000000005</v>
      </c>
    </row>
    <row r="439" spans="1:10" x14ac:dyDescent="0.35">
      <c r="A439">
        <v>423</v>
      </c>
      <c r="B439" s="75">
        <v>88.89</v>
      </c>
      <c r="C439" s="75">
        <v>98.33</v>
      </c>
      <c r="D439" s="75">
        <v>93.83</v>
      </c>
      <c r="E439" s="75">
        <v>93.68</v>
      </c>
      <c r="F439">
        <v>2187.2399999999998</v>
      </c>
      <c r="G439">
        <v>-181.20000000000002</v>
      </c>
      <c r="H439">
        <v>-2023.4</v>
      </c>
      <c r="I439">
        <v>-296</v>
      </c>
      <c r="J439">
        <v>-313.36000000000035</v>
      </c>
    </row>
    <row r="440" spans="1:10" x14ac:dyDescent="0.35">
      <c r="A440">
        <v>424</v>
      </c>
      <c r="B440" s="75">
        <v>89.649600000000007</v>
      </c>
      <c r="C440" s="75">
        <v>100.4365</v>
      </c>
      <c r="D440" s="75">
        <v>93.019800000000004</v>
      </c>
      <c r="E440" s="75">
        <v>93.816299999999998</v>
      </c>
      <c r="F440">
        <v>-316.8</v>
      </c>
      <c r="G440">
        <v>-3339.9</v>
      </c>
      <c r="H440">
        <v>-407.4</v>
      </c>
      <c r="I440">
        <v>-435.7</v>
      </c>
      <c r="J440">
        <v>-4499.8</v>
      </c>
    </row>
    <row r="441" spans="1:10" x14ac:dyDescent="0.35">
      <c r="A441">
        <v>425</v>
      </c>
      <c r="B441" s="75">
        <v>88.59</v>
      </c>
      <c r="C441" s="75">
        <v>99.83</v>
      </c>
      <c r="D441" s="75">
        <v>94.33</v>
      </c>
      <c r="E441" s="75">
        <v>95.32</v>
      </c>
      <c r="F441">
        <v>3167.34</v>
      </c>
      <c r="G441">
        <v>-2425.5</v>
      </c>
      <c r="H441">
        <v>-3020.7999999999997</v>
      </c>
      <c r="I441">
        <v>-1937.1000000000001</v>
      </c>
      <c r="J441">
        <v>-4216.0599999999995</v>
      </c>
    </row>
    <row r="442" spans="1:10" x14ac:dyDescent="0.35">
      <c r="A442">
        <v>426</v>
      </c>
      <c r="B442" s="75">
        <v>90.023300000000006</v>
      </c>
      <c r="C442" s="75">
        <v>99.275000000000006</v>
      </c>
      <c r="D442" s="75">
        <v>92.538300000000007</v>
      </c>
      <c r="E442" s="75">
        <v>94.477500000000006</v>
      </c>
      <c r="F442">
        <v>-1550.01</v>
      </c>
      <c r="G442">
        <v>-1597.6499999999999</v>
      </c>
      <c r="H442">
        <v>555.6</v>
      </c>
      <c r="I442">
        <v>-1096.9000000000001</v>
      </c>
      <c r="J442">
        <v>-3688.96</v>
      </c>
    </row>
    <row r="443" spans="1:10" x14ac:dyDescent="0.35">
      <c r="A443">
        <v>427</v>
      </c>
      <c r="B443" s="75">
        <v>88.86</v>
      </c>
      <c r="C443" s="75">
        <v>99.1</v>
      </c>
      <c r="D443" s="75">
        <v>92.23</v>
      </c>
      <c r="E443" s="75">
        <v>94.35</v>
      </c>
      <c r="F443">
        <v>2288.2200000000003</v>
      </c>
      <c r="G443">
        <v>-1341</v>
      </c>
      <c r="H443">
        <v>1182.1999999999998</v>
      </c>
      <c r="I443">
        <v>-971</v>
      </c>
      <c r="J443">
        <v>1158.42</v>
      </c>
    </row>
    <row r="444" spans="1:10" x14ac:dyDescent="0.35">
      <c r="A444">
        <v>428</v>
      </c>
      <c r="B444" s="75">
        <v>88.728099999999998</v>
      </c>
      <c r="C444" s="75">
        <v>98.476200000000006</v>
      </c>
      <c r="D444" s="75">
        <v>91.701599999999999</v>
      </c>
      <c r="E444" s="75">
        <v>88.674000000000007</v>
      </c>
      <c r="F444">
        <v>2724.15</v>
      </c>
      <c r="G444">
        <v>-399.45</v>
      </c>
      <c r="H444">
        <v>2229</v>
      </c>
      <c r="I444">
        <v>4706.5999999999995</v>
      </c>
      <c r="J444">
        <v>9260.2999999999993</v>
      </c>
    </row>
    <row r="445" spans="1:10" x14ac:dyDescent="0.35">
      <c r="A445">
        <v>429</v>
      </c>
      <c r="B445" s="75">
        <v>90.57</v>
      </c>
      <c r="C445" s="75">
        <v>99.24</v>
      </c>
      <c r="D445" s="75">
        <v>92.91</v>
      </c>
      <c r="E445" s="75">
        <v>92.95</v>
      </c>
      <c r="F445">
        <v>-3362.37</v>
      </c>
      <c r="G445">
        <v>-1544.8500000000001</v>
      </c>
      <c r="H445">
        <v>-188.20000000000002</v>
      </c>
      <c r="I445">
        <v>431.20000000000005</v>
      </c>
      <c r="J445">
        <v>-4664.22</v>
      </c>
    </row>
    <row r="446" spans="1:10" x14ac:dyDescent="0.35">
      <c r="A446">
        <v>430</v>
      </c>
      <c r="B446" s="75">
        <v>89.561199999999999</v>
      </c>
      <c r="C446" s="75">
        <v>98.7667</v>
      </c>
      <c r="D446" s="75">
        <v>91.888099999999994</v>
      </c>
      <c r="E446" s="75">
        <v>95.312100000000001</v>
      </c>
      <c r="F446">
        <v>-25.08</v>
      </c>
      <c r="G446">
        <v>-835.19999999999993</v>
      </c>
      <c r="H446">
        <v>1856</v>
      </c>
      <c r="I446">
        <v>-1931.5</v>
      </c>
      <c r="J446">
        <v>-935.78</v>
      </c>
    </row>
    <row r="447" spans="1:10" x14ac:dyDescent="0.35">
      <c r="A447">
        <v>431</v>
      </c>
      <c r="B447" s="75">
        <v>88.98</v>
      </c>
      <c r="C447" s="75">
        <v>97.65</v>
      </c>
      <c r="D447" s="75">
        <v>92.07</v>
      </c>
      <c r="E447" s="75">
        <v>93.03</v>
      </c>
      <c r="F447">
        <v>1908.72</v>
      </c>
      <c r="G447">
        <v>840.30000000000007</v>
      </c>
      <c r="H447">
        <v>1491</v>
      </c>
      <c r="I447">
        <v>348.7</v>
      </c>
      <c r="J447">
        <v>4588.72</v>
      </c>
    </row>
    <row r="448" spans="1:10" x14ac:dyDescent="0.35">
      <c r="A448">
        <v>432</v>
      </c>
      <c r="B448" s="75">
        <v>89.638800000000003</v>
      </c>
      <c r="C448" s="75">
        <v>98.356700000000004</v>
      </c>
      <c r="D448" s="75">
        <v>91.859300000000005</v>
      </c>
      <c r="E448" s="75">
        <v>95.810199999999995</v>
      </c>
      <c r="F448">
        <v>-281.15999999999997</v>
      </c>
      <c r="G448">
        <v>-220.20000000000002</v>
      </c>
      <c r="H448">
        <v>1913.6</v>
      </c>
      <c r="I448">
        <v>-2429.6000000000004</v>
      </c>
      <c r="J448">
        <v>-1017.3600000000006</v>
      </c>
    </row>
    <row r="449" spans="1:10" x14ac:dyDescent="0.35">
      <c r="A449">
        <v>433</v>
      </c>
      <c r="B449" s="75">
        <v>89.97</v>
      </c>
      <c r="C449" s="75">
        <v>98.29</v>
      </c>
      <c r="D449" s="75">
        <v>93.29</v>
      </c>
      <c r="E449" s="75">
        <v>93.4</v>
      </c>
      <c r="F449">
        <v>-1367.52</v>
      </c>
      <c r="G449">
        <v>-124.2</v>
      </c>
      <c r="H449">
        <v>-952.6</v>
      </c>
      <c r="I449">
        <v>-14.7</v>
      </c>
      <c r="J449">
        <v>-2459.02</v>
      </c>
    </row>
    <row r="450" spans="1:10" x14ac:dyDescent="0.35">
      <c r="A450">
        <v>434</v>
      </c>
      <c r="B450" s="75">
        <v>89.547700000000006</v>
      </c>
      <c r="C450" s="75">
        <v>99.081800000000001</v>
      </c>
      <c r="D450" s="75">
        <v>93.358000000000004</v>
      </c>
      <c r="E450" s="75">
        <v>93.949600000000004</v>
      </c>
      <c r="F450">
        <v>19.47</v>
      </c>
      <c r="G450">
        <v>-1307.8499999999999</v>
      </c>
      <c r="H450">
        <v>-1083.8000000000002</v>
      </c>
      <c r="I450">
        <v>-569</v>
      </c>
      <c r="J450">
        <v>-2941.1800000000003</v>
      </c>
    </row>
    <row r="451" spans="1:10" x14ac:dyDescent="0.35">
      <c r="A451">
        <v>435</v>
      </c>
      <c r="B451" s="75">
        <v>89.11</v>
      </c>
      <c r="C451" s="75">
        <v>99.6</v>
      </c>
      <c r="D451" s="75">
        <v>92.31</v>
      </c>
      <c r="E451" s="75">
        <v>91.81</v>
      </c>
      <c r="F451">
        <v>1467.18</v>
      </c>
      <c r="G451">
        <v>-2081.1</v>
      </c>
      <c r="H451">
        <v>1005.2</v>
      </c>
      <c r="I451">
        <v>1575.5</v>
      </c>
      <c r="J451">
        <v>1966.7800000000002</v>
      </c>
    </row>
    <row r="452" spans="1:10" x14ac:dyDescent="0.35">
      <c r="A452">
        <v>436</v>
      </c>
      <c r="B452" s="75">
        <v>90.094200000000001</v>
      </c>
      <c r="C452" s="75">
        <v>98.516800000000003</v>
      </c>
      <c r="D452" s="75">
        <v>92.396500000000003</v>
      </c>
      <c r="E452" s="75">
        <v>92.611000000000004</v>
      </c>
      <c r="F452">
        <v>-1783.9799999999998</v>
      </c>
      <c r="G452">
        <v>-460.35</v>
      </c>
      <c r="H452">
        <v>839.19999999999993</v>
      </c>
      <c r="I452">
        <v>769.59999999999991</v>
      </c>
      <c r="J452">
        <v>-635.5300000000002</v>
      </c>
    </row>
    <row r="453" spans="1:10" x14ac:dyDescent="0.35">
      <c r="A453">
        <v>437</v>
      </c>
      <c r="B453" s="75">
        <v>90.21</v>
      </c>
      <c r="C453" s="75">
        <v>97.76</v>
      </c>
      <c r="D453" s="75">
        <v>92.72</v>
      </c>
      <c r="E453" s="75">
        <v>95</v>
      </c>
      <c r="F453">
        <v>-2172.06</v>
      </c>
      <c r="G453">
        <v>677.4</v>
      </c>
      <c r="H453">
        <v>196.39999999999998</v>
      </c>
      <c r="I453">
        <v>-1623</v>
      </c>
      <c r="J453">
        <v>-2921.2599999999998</v>
      </c>
    </row>
    <row r="454" spans="1:10" x14ac:dyDescent="0.35">
      <c r="A454">
        <v>438</v>
      </c>
      <c r="B454" s="75">
        <v>89.707400000000007</v>
      </c>
      <c r="C454" s="75">
        <v>98.437200000000004</v>
      </c>
      <c r="D454" s="75">
        <v>91.613200000000006</v>
      </c>
      <c r="E454" s="75">
        <v>92.986999999999995</v>
      </c>
      <c r="F454">
        <v>-507.53999999999996</v>
      </c>
      <c r="G454">
        <v>-340.95</v>
      </c>
      <c r="H454">
        <v>2405.8000000000002</v>
      </c>
      <c r="I454">
        <v>393.6</v>
      </c>
      <c r="J454">
        <v>1950.9100000000003</v>
      </c>
    </row>
    <row r="455" spans="1:10" x14ac:dyDescent="0.35">
      <c r="A455">
        <v>439</v>
      </c>
      <c r="B455" s="75">
        <v>89.54</v>
      </c>
      <c r="C455" s="75">
        <v>98.96</v>
      </c>
      <c r="D455" s="75">
        <v>93.34</v>
      </c>
      <c r="E455" s="75">
        <v>94.48</v>
      </c>
      <c r="F455">
        <v>50.16</v>
      </c>
      <c r="G455">
        <v>-1119.5999999999999</v>
      </c>
      <c r="H455">
        <v>-1053.1999999999998</v>
      </c>
      <c r="I455">
        <v>-1103.3</v>
      </c>
      <c r="J455">
        <v>-3225.9399999999996</v>
      </c>
    </row>
    <row r="456" spans="1:10" x14ac:dyDescent="0.35">
      <c r="A456">
        <v>440</v>
      </c>
      <c r="B456" s="75">
        <v>89.5291</v>
      </c>
      <c r="C456" s="75">
        <v>98.086500000000001</v>
      </c>
      <c r="D456" s="75">
        <v>91.846699999999998</v>
      </c>
      <c r="E456" s="75">
        <v>93.1387</v>
      </c>
      <c r="F456">
        <v>80.850000000000009</v>
      </c>
      <c r="G456">
        <v>185.1</v>
      </c>
      <c r="H456">
        <v>1938.8000000000002</v>
      </c>
      <c r="I456">
        <v>241.9</v>
      </c>
      <c r="J456">
        <v>2446.65</v>
      </c>
    </row>
    <row r="457" spans="1:10" x14ac:dyDescent="0.35">
      <c r="A457">
        <v>441</v>
      </c>
      <c r="B457" s="75">
        <v>89.85</v>
      </c>
      <c r="C457" s="75">
        <v>98</v>
      </c>
      <c r="D457" s="75">
        <v>92.17</v>
      </c>
      <c r="E457" s="75">
        <v>90.33</v>
      </c>
      <c r="F457">
        <v>-990.66000000000008</v>
      </c>
      <c r="G457">
        <v>313.05</v>
      </c>
      <c r="H457">
        <v>1283.6000000000001</v>
      </c>
      <c r="I457">
        <v>3050.6000000000004</v>
      </c>
      <c r="J457">
        <v>3656.59</v>
      </c>
    </row>
    <row r="458" spans="1:10" x14ac:dyDescent="0.35">
      <c r="A458">
        <v>442</v>
      </c>
      <c r="B458" s="75">
        <v>89.376800000000003</v>
      </c>
      <c r="C458" s="75">
        <v>97.693899999999999</v>
      </c>
      <c r="D458" s="75">
        <v>94.011399999999995</v>
      </c>
      <c r="E458" s="75">
        <v>92.5321</v>
      </c>
      <c r="F458">
        <v>583.44000000000005</v>
      </c>
      <c r="G458">
        <v>774</v>
      </c>
      <c r="H458">
        <v>-2390.6</v>
      </c>
      <c r="I458">
        <v>848.5</v>
      </c>
      <c r="J458">
        <v>-184.65999999999985</v>
      </c>
    </row>
    <row r="459" spans="1:10" x14ac:dyDescent="0.35">
      <c r="A459">
        <v>443</v>
      </c>
      <c r="B459" s="75">
        <v>88.95</v>
      </c>
      <c r="C459" s="75">
        <v>99.26</v>
      </c>
      <c r="D459" s="75">
        <v>93.94</v>
      </c>
      <c r="E459" s="75">
        <v>92.19</v>
      </c>
      <c r="F459">
        <v>1990.8899999999999</v>
      </c>
      <c r="G459">
        <v>-1582.2</v>
      </c>
      <c r="H459">
        <v>-2246</v>
      </c>
      <c r="I459">
        <v>1186</v>
      </c>
      <c r="J459">
        <v>-651.31000000000017</v>
      </c>
    </row>
    <row r="460" spans="1:10" x14ac:dyDescent="0.35">
      <c r="A460">
        <v>444</v>
      </c>
      <c r="B460" s="75">
        <v>88.593699999999998</v>
      </c>
      <c r="C460" s="75">
        <v>96.668999999999997</v>
      </c>
      <c r="D460" s="75">
        <v>93.579099999999997</v>
      </c>
      <c r="E460" s="75">
        <v>92.765500000000003</v>
      </c>
      <c r="F460">
        <v>3167.67</v>
      </c>
      <c r="G460">
        <v>2311.35</v>
      </c>
      <c r="H460">
        <v>-1526</v>
      </c>
      <c r="I460">
        <v>615.1</v>
      </c>
      <c r="J460">
        <v>4568.1200000000008</v>
      </c>
    </row>
    <row r="461" spans="1:10" x14ac:dyDescent="0.35">
      <c r="A461">
        <v>445</v>
      </c>
      <c r="B461" s="75">
        <v>88.76</v>
      </c>
      <c r="C461" s="75">
        <v>98.03</v>
      </c>
      <c r="D461" s="75">
        <v>93.51</v>
      </c>
      <c r="E461" s="75">
        <v>94.84</v>
      </c>
      <c r="F461">
        <v>2629.77</v>
      </c>
      <c r="G461">
        <v>267.90000000000003</v>
      </c>
      <c r="H461">
        <v>-1390.4</v>
      </c>
      <c r="I461">
        <v>-1459.5</v>
      </c>
      <c r="J461">
        <v>47.769999999999982</v>
      </c>
    </row>
    <row r="462" spans="1:10" x14ac:dyDescent="0.35">
      <c r="A462">
        <v>446</v>
      </c>
      <c r="B462" s="75">
        <v>89.214600000000004</v>
      </c>
      <c r="C462" s="75">
        <v>96.963399999999993</v>
      </c>
      <c r="D462" s="75">
        <v>93.211399999999998</v>
      </c>
      <c r="E462" s="75">
        <v>93.851500000000001</v>
      </c>
      <c r="F462">
        <v>1118.7</v>
      </c>
      <c r="G462">
        <v>1869.75</v>
      </c>
      <c r="H462">
        <v>-790.6</v>
      </c>
      <c r="I462">
        <v>-470.9</v>
      </c>
      <c r="J462">
        <v>1726.9499999999998</v>
      </c>
    </row>
    <row r="463" spans="1:10" x14ac:dyDescent="0.35">
      <c r="A463">
        <v>447</v>
      </c>
      <c r="B463" s="75">
        <v>89.94</v>
      </c>
      <c r="C463" s="75">
        <v>97.59</v>
      </c>
      <c r="D463" s="75">
        <v>94.12</v>
      </c>
      <c r="E463" s="75">
        <v>93.75</v>
      </c>
      <c r="F463">
        <v>-1282.71</v>
      </c>
      <c r="G463">
        <v>924.15</v>
      </c>
      <c r="H463">
        <v>-2609.7999999999997</v>
      </c>
      <c r="I463">
        <v>-371.09999999999997</v>
      </c>
      <c r="J463">
        <v>-3339.4599999999996</v>
      </c>
    </row>
    <row r="464" spans="1:10" x14ac:dyDescent="0.35">
      <c r="A464">
        <v>448</v>
      </c>
      <c r="B464" s="75">
        <v>89.8703</v>
      </c>
      <c r="C464" s="75">
        <v>99.783799999999999</v>
      </c>
      <c r="D464" s="75">
        <v>94.144300000000001</v>
      </c>
      <c r="E464" s="75">
        <v>96.310400000000001</v>
      </c>
      <c r="F464">
        <v>-1045.1099999999999</v>
      </c>
      <c r="G464">
        <v>-2360.85</v>
      </c>
      <c r="H464">
        <v>-2656.4</v>
      </c>
      <c r="I464">
        <v>-2929.8</v>
      </c>
      <c r="J464">
        <v>-8992.16</v>
      </c>
    </row>
    <row r="465" spans="1:10" x14ac:dyDescent="0.35">
      <c r="A465">
        <v>449</v>
      </c>
      <c r="B465" s="75">
        <v>89.39</v>
      </c>
      <c r="C465" s="75">
        <v>100.15</v>
      </c>
      <c r="D465" s="75">
        <v>93.42</v>
      </c>
      <c r="E465" s="75">
        <v>93.9</v>
      </c>
      <c r="F465">
        <v>547.80000000000007</v>
      </c>
      <c r="G465">
        <v>-2906.1</v>
      </c>
      <c r="H465">
        <v>-1216.8000000000002</v>
      </c>
      <c r="I465">
        <v>-517</v>
      </c>
      <c r="J465">
        <v>-4092.1</v>
      </c>
    </row>
    <row r="466" spans="1:10" x14ac:dyDescent="0.35">
      <c r="A466">
        <v>450</v>
      </c>
      <c r="B466" s="75">
        <v>88.716099999999997</v>
      </c>
      <c r="C466" s="75">
        <v>98.600200000000001</v>
      </c>
      <c r="D466" s="75">
        <v>89.433599999999998</v>
      </c>
      <c r="E466" s="75">
        <v>95.687600000000003</v>
      </c>
      <c r="F466">
        <v>2763.75</v>
      </c>
      <c r="G466">
        <v>-585.44999999999993</v>
      </c>
      <c r="H466">
        <v>6765</v>
      </c>
      <c r="I466">
        <v>-2307</v>
      </c>
      <c r="J466">
        <v>6636.2999999999993</v>
      </c>
    </row>
    <row r="467" spans="1:10" x14ac:dyDescent="0.35">
      <c r="A467">
        <v>451</v>
      </c>
      <c r="B467" s="75">
        <v>89.43</v>
      </c>
      <c r="C467" s="75">
        <v>98.86</v>
      </c>
      <c r="D467" s="75">
        <v>94.24</v>
      </c>
      <c r="E467" s="75">
        <v>91.28</v>
      </c>
      <c r="F467">
        <v>403.26</v>
      </c>
      <c r="G467">
        <v>-969.3</v>
      </c>
      <c r="H467">
        <v>-2846.8</v>
      </c>
      <c r="I467">
        <v>2096.2999999999997</v>
      </c>
      <c r="J467">
        <v>-1316.5400000000004</v>
      </c>
    </row>
    <row r="468" spans="1:10" x14ac:dyDescent="0.35">
      <c r="A468">
        <v>452</v>
      </c>
      <c r="B468" s="75">
        <v>89.635099999999994</v>
      </c>
      <c r="C468" s="75">
        <v>98.904399999999995</v>
      </c>
      <c r="D468" s="75">
        <v>92.696799999999996</v>
      </c>
      <c r="E468" s="75">
        <v>95.900099999999995</v>
      </c>
      <c r="F468">
        <v>-268.95</v>
      </c>
      <c r="G468">
        <v>-1041.75</v>
      </c>
      <c r="H468">
        <v>238.6</v>
      </c>
      <c r="I468">
        <v>-2519.5</v>
      </c>
      <c r="J468">
        <v>-3591.6000000000004</v>
      </c>
    </row>
    <row r="469" spans="1:10" x14ac:dyDescent="0.35">
      <c r="A469">
        <v>453</v>
      </c>
      <c r="B469" s="75">
        <v>89.58</v>
      </c>
      <c r="C469" s="75">
        <v>99.06</v>
      </c>
      <c r="D469" s="75">
        <v>91.83</v>
      </c>
      <c r="E469" s="75">
        <v>92.77</v>
      </c>
      <c r="F469">
        <v>-93.06</v>
      </c>
      <c r="G469">
        <v>-1277.4000000000001</v>
      </c>
      <c r="H469">
        <v>1967</v>
      </c>
      <c r="I469">
        <v>606.79999999999995</v>
      </c>
      <c r="J469">
        <v>1203.3399999999999</v>
      </c>
    </row>
    <row r="470" spans="1:10" x14ac:dyDescent="0.35">
      <c r="A470">
        <v>454</v>
      </c>
      <c r="B470" s="75">
        <v>89.728700000000003</v>
      </c>
      <c r="C470" s="75">
        <v>97.468500000000006</v>
      </c>
      <c r="D470" s="75">
        <v>92.054500000000004</v>
      </c>
      <c r="E470" s="75">
        <v>91.526899999999998</v>
      </c>
      <c r="F470">
        <v>-577.83000000000004</v>
      </c>
      <c r="G470">
        <v>1112.0999999999999</v>
      </c>
      <c r="H470">
        <v>1523.2</v>
      </c>
      <c r="I470">
        <v>1853.6999999999998</v>
      </c>
      <c r="J470">
        <v>3911.1699999999996</v>
      </c>
    </row>
    <row r="471" spans="1:10" x14ac:dyDescent="0.35">
      <c r="A471">
        <v>455</v>
      </c>
      <c r="B471" s="75">
        <v>89.74</v>
      </c>
      <c r="C471" s="75">
        <v>97.71</v>
      </c>
      <c r="D471" s="75">
        <v>93.53</v>
      </c>
      <c r="E471" s="75">
        <v>92.6</v>
      </c>
      <c r="F471">
        <v>-619.41</v>
      </c>
      <c r="G471">
        <v>751.05000000000007</v>
      </c>
      <c r="H471">
        <v>-1421.4</v>
      </c>
      <c r="I471">
        <v>775.90000000000009</v>
      </c>
      <c r="J471">
        <v>-513.8599999999999</v>
      </c>
    </row>
    <row r="472" spans="1:10" x14ac:dyDescent="0.35">
      <c r="A472">
        <v>456</v>
      </c>
      <c r="B472" s="75">
        <v>88.535200000000003</v>
      </c>
      <c r="C472" s="75">
        <v>98.803799999999995</v>
      </c>
      <c r="D472" s="75">
        <v>91.983400000000003</v>
      </c>
      <c r="E472" s="75">
        <v>94.769300000000001</v>
      </c>
      <c r="F472">
        <v>3360.72</v>
      </c>
      <c r="G472">
        <v>-890.85</v>
      </c>
      <c r="H472">
        <v>1665.4</v>
      </c>
      <c r="I472">
        <v>-1388.7</v>
      </c>
      <c r="J472">
        <v>2746.5700000000006</v>
      </c>
    </row>
    <row r="473" spans="1:10" x14ac:dyDescent="0.35">
      <c r="A473">
        <v>457</v>
      </c>
      <c r="B473" s="75">
        <v>89.46</v>
      </c>
      <c r="C473" s="75">
        <v>98.23</v>
      </c>
      <c r="D473" s="75">
        <v>95</v>
      </c>
      <c r="E473" s="75">
        <v>91.78</v>
      </c>
      <c r="F473">
        <v>320.76</v>
      </c>
      <c r="G473">
        <v>-37.199999999999996</v>
      </c>
      <c r="H473">
        <v>-4375.8</v>
      </c>
      <c r="I473">
        <v>1603.9</v>
      </c>
      <c r="J473">
        <v>-2488.34</v>
      </c>
    </row>
    <row r="474" spans="1:10" x14ac:dyDescent="0.35">
      <c r="A474">
        <v>458</v>
      </c>
      <c r="B474" s="75">
        <v>89.837800000000001</v>
      </c>
      <c r="C474" s="75">
        <v>97.427400000000006</v>
      </c>
      <c r="D474" s="75">
        <v>92.663200000000003</v>
      </c>
      <c r="E474" s="75">
        <v>94.751099999999994</v>
      </c>
      <c r="F474">
        <v>-937.86</v>
      </c>
      <c r="G474">
        <v>1173.75</v>
      </c>
      <c r="H474">
        <v>305.8</v>
      </c>
      <c r="I474">
        <v>-1370.5</v>
      </c>
      <c r="J474">
        <v>-828.81</v>
      </c>
    </row>
    <row r="475" spans="1:10" x14ac:dyDescent="0.35">
      <c r="A475">
        <v>459</v>
      </c>
      <c r="B475" s="75">
        <v>89.51</v>
      </c>
      <c r="C475" s="75">
        <v>98.46</v>
      </c>
      <c r="D475" s="75">
        <v>93.9</v>
      </c>
      <c r="E475" s="75">
        <v>97.96</v>
      </c>
      <c r="F475">
        <v>159.06</v>
      </c>
      <c r="G475">
        <v>-380.70000000000005</v>
      </c>
      <c r="H475">
        <v>-2161.7999999999997</v>
      </c>
      <c r="I475">
        <v>-4582.9000000000005</v>
      </c>
      <c r="J475">
        <v>-6966.34</v>
      </c>
    </row>
    <row r="476" spans="1:10" x14ac:dyDescent="0.35">
      <c r="A476">
        <v>460</v>
      </c>
      <c r="B476" s="75">
        <v>89.375299999999996</v>
      </c>
      <c r="C476" s="75">
        <v>98.298199999999994</v>
      </c>
      <c r="D476" s="75">
        <v>93.542500000000004</v>
      </c>
      <c r="E476" s="75">
        <v>92.092600000000004</v>
      </c>
      <c r="F476">
        <v>588.39</v>
      </c>
      <c r="G476">
        <v>-132.45000000000002</v>
      </c>
      <c r="H476">
        <v>-1452.8000000000002</v>
      </c>
      <c r="I476">
        <v>1288</v>
      </c>
      <c r="J476">
        <v>291.13999999999976</v>
      </c>
    </row>
    <row r="477" spans="1:10" x14ac:dyDescent="0.35">
      <c r="A477">
        <v>461</v>
      </c>
      <c r="B477" s="75">
        <v>89.26</v>
      </c>
      <c r="C477" s="75">
        <v>99.54</v>
      </c>
      <c r="D477" s="75">
        <v>92.53</v>
      </c>
      <c r="E477" s="75">
        <v>94.94</v>
      </c>
      <c r="F477">
        <v>969.87</v>
      </c>
      <c r="G477">
        <v>-1995.9</v>
      </c>
      <c r="H477">
        <v>577.4</v>
      </c>
      <c r="I477">
        <v>-1562.8999999999999</v>
      </c>
      <c r="J477">
        <v>-2011.5300000000002</v>
      </c>
    </row>
    <row r="478" spans="1:10" x14ac:dyDescent="0.35">
      <c r="A478">
        <v>462</v>
      </c>
      <c r="B478" s="75">
        <v>90.068899999999999</v>
      </c>
      <c r="C478" s="75">
        <v>97.998900000000006</v>
      </c>
      <c r="D478" s="75">
        <v>91.717200000000005</v>
      </c>
      <c r="E478" s="75">
        <v>94.931399999999996</v>
      </c>
      <c r="F478">
        <v>-1700.49</v>
      </c>
      <c r="G478">
        <v>316.5</v>
      </c>
      <c r="H478">
        <v>2197.8000000000002</v>
      </c>
      <c r="I478">
        <v>-1550.8</v>
      </c>
      <c r="J478">
        <v>-736.98999999999978</v>
      </c>
    </row>
    <row r="479" spans="1:10" x14ac:dyDescent="0.35">
      <c r="A479">
        <v>463</v>
      </c>
      <c r="B479" s="75">
        <v>89.32</v>
      </c>
      <c r="C479" s="75">
        <v>97.85</v>
      </c>
      <c r="D479" s="75">
        <v>92.44</v>
      </c>
      <c r="E479" s="75">
        <v>93.59</v>
      </c>
      <c r="F479">
        <v>766.92</v>
      </c>
      <c r="G479">
        <v>538.65</v>
      </c>
      <c r="H479">
        <v>753.19999999999993</v>
      </c>
      <c r="I479">
        <v>-211.29999999999998</v>
      </c>
      <c r="J479">
        <v>1847.47</v>
      </c>
    </row>
    <row r="480" spans="1:10" x14ac:dyDescent="0.35">
      <c r="A480">
        <v>464</v>
      </c>
      <c r="B480" s="75">
        <v>88.477199999999996</v>
      </c>
      <c r="C480" s="75">
        <v>97.439899999999994</v>
      </c>
      <c r="D480" s="75">
        <v>92.943299999999994</v>
      </c>
      <c r="E480" s="75">
        <v>94.090199999999996</v>
      </c>
      <c r="F480">
        <v>3552.12</v>
      </c>
      <c r="G480">
        <v>1155</v>
      </c>
      <c r="H480">
        <v>-254.4</v>
      </c>
      <c r="I480">
        <v>-709.6</v>
      </c>
      <c r="J480">
        <v>3743.1200000000003</v>
      </c>
    </row>
    <row r="481" spans="1:10" x14ac:dyDescent="0.35">
      <c r="A481">
        <v>465</v>
      </c>
      <c r="B481" s="75">
        <v>88.17</v>
      </c>
      <c r="C481" s="75">
        <v>97.23</v>
      </c>
      <c r="D481" s="75">
        <v>92.63</v>
      </c>
      <c r="E481" s="75">
        <v>88.08</v>
      </c>
      <c r="F481">
        <v>4558.62</v>
      </c>
      <c r="G481">
        <v>1473.1499999999999</v>
      </c>
      <c r="H481">
        <v>372.8</v>
      </c>
      <c r="I481">
        <v>5301.4000000000005</v>
      </c>
      <c r="J481">
        <v>11705.970000000001</v>
      </c>
    </row>
    <row r="482" spans="1:10" x14ac:dyDescent="0.35">
      <c r="A482">
        <v>466</v>
      </c>
      <c r="B482" s="75">
        <v>90.048599999999993</v>
      </c>
      <c r="C482" s="75">
        <v>97.360100000000003</v>
      </c>
      <c r="D482" s="75">
        <v>93.328699999999998</v>
      </c>
      <c r="E482" s="75">
        <v>93.003600000000006</v>
      </c>
      <c r="F482">
        <v>-1633.5</v>
      </c>
      <c r="G482">
        <v>1274.7</v>
      </c>
      <c r="H482">
        <v>-1025.1999999999998</v>
      </c>
      <c r="I482">
        <v>377</v>
      </c>
      <c r="J482">
        <v>-1006.9999999999998</v>
      </c>
    </row>
    <row r="483" spans="1:10" x14ac:dyDescent="0.35">
      <c r="A483">
        <v>467</v>
      </c>
      <c r="B483" s="75">
        <v>89.42</v>
      </c>
      <c r="C483" s="75">
        <v>97.15</v>
      </c>
      <c r="D483" s="75">
        <v>92.3</v>
      </c>
      <c r="E483" s="75">
        <v>92.58</v>
      </c>
      <c r="F483">
        <v>448.46999999999997</v>
      </c>
      <c r="G483">
        <v>1582.9499999999998</v>
      </c>
      <c r="H483">
        <v>1038</v>
      </c>
      <c r="I483">
        <v>796.5</v>
      </c>
      <c r="J483">
        <v>3865.92</v>
      </c>
    </row>
    <row r="484" spans="1:10" x14ac:dyDescent="0.35">
      <c r="A484">
        <v>468</v>
      </c>
      <c r="B484" s="75">
        <v>88.819400000000002</v>
      </c>
      <c r="C484" s="75">
        <v>97.563299999999998</v>
      </c>
      <c r="D484" s="75">
        <v>90.880399999999995</v>
      </c>
      <c r="E484" s="75">
        <v>95.052499999999995</v>
      </c>
      <c r="F484">
        <v>2422.8599999999997</v>
      </c>
      <c r="G484">
        <v>969.9</v>
      </c>
      <c r="H484">
        <v>3871.4</v>
      </c>
      <c r="I484">
        <v>-1671.8999999999999</v>
      </c>
      <c r="J484">
        <v>5592.26</v>
      </c>
    </row>
    <row r="485" spans="1:10" x14ac:dyDescent="0.35">
      <c r="A485">
        <v>469</v>
      </c>
      <c r="B485" s="75">
        <v>90.16</v>
      </c>
      <c r="C485" s="75">
        <v>97.36</v>
      </c>
      <c r="D485" s="75">
        <v>93.36</v>
      </c>
      <c r="E485" s="75">
        <v>95.89</v>
      </c>
      <c r="F485">
        <v>-2011.68</v>
      </c>
      <c r="G485">
        <v>1272.75</v>
      </c>
      <c r="H485">
        <v>-1094.5999999999999</v>
      </c>
      <c r="I485">
        <v>-2508.5</v>
      </c>
      <c r="J485">
        <v>-4342.03</v>
      </c>
    </row>
    <row r="486" spans="1:10" x14ac:dyDescent="0.35">
      <c r="A486">
        <v>470</v>
      </c>
      <c r="B486" s="75">
        <v>90.188699999999997</v>
      </c>
      <c r="C486" s="75">
        <v>97.227500000000006</v>
      </c>
      <c r="D486" s="75">
        <v>92.051100000000005</v>
      </c>
      <c r="E486" s="75">
        <v>95.781099999999995</v>
      </c>
      <c r="F486">
        <v>-2095.83</v>
      </c>
      <c r="G486">
        <v>1473.6000000000001</v>
      </c>
      <c r="H486">
        <v>1530</v>
      </c>
      <c r="I486">
        <v>-2400.5</v>
      </c>
      <c r="J486">
        <v>-1492.7299999999998</v>
      </c>
    </row>
    <row r="487" spans="1:10" x14ac:dyDescent="0.35">
      <c r="A487">
        <v>471</v>
      </c>
      <c r="B487" s="75">
        <v>89.34</v>
      </c>
      <c r="C487" s="75">
        <v>99.32</v>
      </c>
      <c r="D487" s="75">
        <v>93.46</v>
      </c>
      <c r="E487" s="75">
        <v>96.28</v>
      </c>
      <c r="F487">
        <v>713.13</v>
      </c>
      <c r="G487">
        <v>-1668.0000000000002</v>
      </c>
      <c r="H487">
        <v>-1286.8</v>
      </c>
      <c r="I487">
        <v>-2902</v>
      </c>
      <c r="J487">
        <v>-5143.67</v>
      </c>
    </row>
    <row r="488" spans="1:10" x14ac:dyDescent="0.35">
      <c r="A488">
        <v>472</v>
      </c>
      <c r="B488" s="75">
        <v>88.647000000000006</v>
      </c>
      <c r="C488" s="75">
        <v>97.881100000000004</v>
      </c>
      <c r="D488" s="75">
        <v>94.301299999999998</v>
      </c>
      <c r="E488" s="75">
        <v>93.344499999999996</v>
      </c>
      <c r="F488">
        <v>2991.7799999999997</v>
      </c>
      <c r="G488">
        <v>493.2</v>
      </c>
      <c r="H488">
        <v>-2970.4</v>
      </c>
      <c r="I488">
        <v>36.1</v>
      </c>
      <c r="J488">
        <v>550.6799999999995</v>
      </c>
    </row>
    <row r="489" spans="1:10" x14ac:dyDescent="0.35">
      <c r="A489">
        <v>473</v>
      </c>
      <c r="B489" s="75">
        <v>89.84</v>
      </c>
      <c r="C489" s="75">
        <v>98.25</v>
      </c>
      <c r="D489" s="75">
        <v>90.98</v>
      </c>
      <c r="E489" s="75">
        <v>95.1</v>
      </c>
      <c r="F489">
        <v>-941.81999999999994</v>
      </c>
      <c r="G489">
        <v>-52.65</v>
      </c>
      <c r="H489">
        <v>3663.6000000000004</v>
      </c>
      <c r="I489">
        <v>-1723.8</v>
      </c>
      <c r="J489">
        <v>945.33000000000061</v>
      </c>
    </row>
    <row r="490" spans="1:10" x14ac:dyDescent="0.35">
      <c r="A490">
        <v>474</v>
      </c>
      <c r="B490" s="75">
        <v>89.789900000000003</v>
      </c>
      <c r="C490" s="75">
        <v>99.513599999999997</v>
      </c>
      <c r="D490" s="75">
        <v>92.867999999999995</v>
      </c>
      <c r="E490" s="75">
        <v>91.037999999999997</v>
      </c>
      <c r="F490">
        <v>-779.79000000000008</v>
      </c>
      <c r="G490">
        <v>-1955.5500000000002</v>
      </c>
      <c r="H490">
        <v>-103.8</v>
      </c>
      <c r="I490">
        <v>2342.6</v>
      </c>
      <c r="J490">
        <v>-496.54000000000042</v>
      </c>
    </row>
    <row r="491" spans="1:10" x14ac:dyDescent="0.35">
      <c r="A491">
        <v>475</v>
      </c>
      <c r="B491" s="75">
        <v>89.95</v>
      </c>
      <c r="C491" s="75">
        <v>97.49</v>
      </c>
      <c r="D491" s="75">
        <v>93.65</v>
      </c>
      <c r="E491" s="75">
        <v>95.43</v>
      </c>
      <c r="F491">
        <v>-1295.58</v>
      </c>
      <c r="G491">
        <v>1082.4000000000001</v>
      </c>
      <c r="H491">
        <v>-1659.8</v>
      </c>
      <c r="I491">
        <v>-2051.4</v>
      </c>
      <c r="J491">
        <v>-3924.38</v>
      </c>
    </row>
    <row r="492" spans="1:10" x14ac:dyDescent="0.35">
      <c r="A492">
        <v>476</v>
      </c>
      <c r="B492" s="75">
        <v>89.149799999999999</v>
      </c>
      <c r="C492" s="75">
        <v>99.332499999999996</v>
      </c>
      <c r="D492" s="75">
        <v>93.101600000000005</v>
      </c>
      <c r="E492" s="75">
        <v>92.184899999999999</v>
      </c>
      <c r="F492">
        <v>1332.54</v>
      </c>
      <c r="G492">
        <v>-1683.9</v>
      </c>
      <c r="H492">
        <v>-571</v>
      </c>
      <c r="I492">
        <v>1195.7</v>
      </c>
      <c r="J492">
        <v>273.33999999999992</v>
      </c>
    </row>
    <row r="493" spans="1:10" x14ac:dyDescent="0.35">
      <c r="A493">
        <v>477</v>
      </c>
      <c r="B493" s="75">
        <v>89.2</v>
      </c>
      <c r="C493" s="75">
        <v>97.05</v>
      </c>
      <c r="D493" s="75">
        <v>93.73</v>
      </c>
      <c r="E493" s="75">
        <v>92.27</v>
      </c>
      <c r="F493">
        <v>1154.67</v>
      </c>
      <c r="G493">
        <v>1739.1</v>
      </c>
      <c r="H493">
        <v>-1827.6</v>
      </c>
      <c r="I493">
        <v>1109.2</v>
      </c>
      <c r="J493">
        <v>2175.37</v>
      </c>
    </row>
    <row r="494" spans="1:10" x14ac:dyDescent="0.35">
      <c r="A494">
        <v>478</v>
      </c>
      <c r="B494" s="75">
        <v>89.607799999999997</v>
      </c>
      <c r="C494" s="75">
        <v>97.418899999999994</v>
      </c>
      <c r="D494" s="75">
        <v>93.12</v>
      </c>
      <c r="E494" s="75">
        <v>92.973500000000001</v>
      </c>
      <c r="F494">
        <v>-178.85999999999999</v>
      </c>
      <c r="G494">
        <v>1186.5</v>
      </c>
      <c r="H494">
        <v>-607.79999999999995</v>
      </c>
      <c r="I494">
        <v>407.1</v>
      </c>
      <c r="J494">
        <v>806.94</v>
      </c>
    </row>
    <row r="495" spans="1:10" x14ac:dyDescent="0.35">
      <c r="A495">
        <v>479</v>
      </c>
      <c r="B495" s="75">
        <v>89.56</v>
      </c>
      <c r="C495" s="75">
        <v>97.66</v>
      </c>
      <c r="D495" s="75">
        <v>91.59</v>
      </c>
      <c r="E495" s="75">
        <v>91.23</v>
      </c>
      <c r="F495">
        <v>-36.299999999999997</v>
      </c>
      <c r="G495">
        <v>818.69999999999993</v>
      </c>
      <c r="H495">
        <v>2460.4</v>
      </c>
      <c r="I495">
        <v>2149.6</v>
      </c>
      <c r="J495">
        <v>5392.4</v>
      </c>
    </row>
    <row r="496" spans="1:10" x14ac:dyDescent="0.35">
      <c r="A496">
        <v>480</v>
      </c>
      <c r="B496" s="75">
        <v>88.659000000000006</v>
      </c>
      <c r="C496" s="75">
        <v>97.692300000000003</v>
      </c>
      <c r="D496" s="75">
        <v>94.075100000000006</v>
      </c>
      <c r="E496" s="75">
        <v>92.986400000000003</v>
      </c>
      <c r="F496">
        <v>2952.18</v>
      </c>
      <c r="G496">
        <v>776.4</v>
      </c>
      <c r="H496">
        <v>-2518</v>
      </c>
      <c r="I496">
        <v>394.2</v>
      </c>
      <c r="J496">
        <v>1604.78</v>
      </c>
    </row>
    <row r="497" spans="1:10" x14ac:dyDescent="0.35">
      <c r="A497">
        <v>481</v>
      </c>
      <c r="B497" s="75">
        <v>89.74</v>
      </c>
      <c r="C497" s="75">
        <v>96.49</v>
      </c>
      <c r="D497" s="75">
        <v>94.28</v>
      </c>
      <c r="E497" s="75">
        <v>93.98</v>
      </c>
      <c r="F497">
        <v>-627</v>
      </c>
      <c r="G497">
        <v>2579.85</v>
      </c>
      <c r="H497">
        <v>-2921.2</v>
      </c>
      <c r="I497">
        <v>-595.79999999999995</v>
      </c>
      <c r="J497">
        <v>-1564.1499999999999</v>
      </c>
    </row>
    <row r="498" spans="1:10" x14ac:dyDescent="0.35">
      <c r="A498">
        <v>482</v>
      </c>
      <c r="B498" s="75">
        <v>89.848600000000005</v>
      </c>
      <c r="C498" s="75">
        <v>96.946799999999996</v>
      </c>
      <c r="D498" s="75">
        <v>93.049599999999998</v>
      </c>
      <c r="E498" s="75">
        <v>93.411600000000007</v>
      </c>
      <c r="F498">
        <v>-973.5</v>
      </c>
      <c r="G498">
        <v>1894.6499999999999</v>
      </c>
      <c r="H498">
        <v>-467</v>
      </c>
      <c r="I498">
        <v>-31</v>
      </c>
      <c r="J498">
        <v>423.14999999999986</v>
      </c>
    </row>
    <row r="499" spans="1:10" x14ac:dyDescent="0.35">
      <c r="A499">
        <v>483</v>
      </c>
      <c r="B499" s="75">
        <v>90.04</v>
      </c>
      <c r="C499" s="75">
        <v>98.44</v>
      </c>
      <c r="D499" s="75">
        <v>93.34</v>
      </c>
      <c r="E499" s="75">
        <v>95.96</v>
      </c>
      <c r="F499">
        <v>-1594.89</v>
      </c>
      <c r="G499">
        <v>-347.84999999999997</v>
      </c>
      <c r="H499">
        <v>-1054.8</v>
      </c>
      <c r="I499">
        <v>-2576.2999999999997</v>
      </c>
      <c r="J499">
        <v>-5573.84</v>
      </c>
    </row>
    <row r="500" spans="1:10" x14ac:dyDescent="0.35">
      <c r="A500">
        <v>484</v>
      </c>
      <c r="B500" s="75">
        <v>89.228300000000004</v>
      </c>
      <c r="C500" s="75">
        <v>97.463200000000001</v>
      </c>
      <c r="D500" s="75">
        <v>91.202600000000004</v>
      </c>
      <c r="E500" s="75">
        <v>95.066999999999993</v>
      </c>
      <c r="F500">
        <v>1073.49</v>
      </c>
      <c r="G500">
        <v>1120.05</v>
      </c>
      <c r="H500">
        <v>3227</v>
      </c>
      <c r="I500">
        <v>-1686.3999999999999</v>
      </c>
      <c r="J500">
        <v>3734.1400000000003</v>
      </c>
    </row>
    <row r="501" spans="1:10" x14ac:dyDescent="0.35">
      <c r="A501">
        <v>485</v>
      </c>
      <c r="B501" s="75">
        <v>88.72</v>
      </c>
      <c r="C501" s="75">
        <v>99.18</v>
      </c>
      <c r="D501" s="75">
        <v>90.68</v>
      </c>
      <c r="E501" s="75">
        <v>94.55</v>
      </c>
      <c r="F501">
        <v>2747.91</v>
      </c>
      <c r="G501">
        <v>-1451.7</v>
      </c>
      <c r="H501">
        <v>4266.3999999999996</v>
      </c>
      <c r="I501">
        <v>-1165.5</v>
      </c>
      <c r="J501">
        <v>4397.1099999999997</v>
      </c>
    </row>
    <row r="502" spans="1:10" x14ac:dyDescent="0.35">
      <c r="A502">
        <v>486</v>
      </c>
      <c r="B502" s="75">
        <v>90.151799999999994</v>
      </c>
      <c r="C502" s="75">
        <v>99.415300000000002</v>
      </c>
      <c r="D502" s="75">
        <v>93.543400000000005</v>
      </c>
      <c r="E502" s="75">
        <v>92.5017</v>
      </c>
      <c r="F502">
        <v>-1974.06</v>
      </c>
      <c r="G502">
        <v>-1808.1000000000001</v>
      </c>
      <c r="H502">
        <v>-1454.6</v>
      </c>
      <c r="I502">
        <v>878.9</v>
      </c>
      <c r="J502">
        <v>-4357.8600000000006</v>
      </c>
    </row>
    <row r="503" spans="1:10" x14ac:dyDescent="0.35">
      <c r="A503">
        <v>487</v>
      </c>
      <c r="B503" s="75">
        <v>89.23</v>
      </c>
      <c r="C503" s="75">
        <v>97.91</v>
      </c>
      <c r="D503" s="75">
        <v>93.34</v>
      </c>
      <c r="E503" s="75">
        <v>94.58</v>
      </c>
      <c r="F503">
        <v>1084.3800000000001</v>
      </c>
      <c r="G503">
        <v>450.9</v>
      </c>
      <c r="H503">
        <v>-1057</v>
      </c>
      <c r="I503">
        <v>-1200.7</v>
      </c>
      <c r="J503">
        <v>-722.41999999999985</v>
      </c>
    </row>
    <row r="504" spans="1:10" x14ac:dyDescent="0.35">
      <c r="A504">
        <v>488</v>
      </c>
      <c r="B504" s="75">
        <v>89.566999999999993</v>
      </c>
      <c r="C504" s="75">
        <v>98.7727</v>
      </c>
      <c r="D504" s="75">
        <v>93.496600000000001</v>
      </c>
      <c r="E504" s="75">
        <v>92.195800000000006</v>
      </c>
      <c r="F504">
        <v>-44.22</v>
      </c>
      <c r="G504">
        <v>-844.19999999999993</v>
      </c>
      <c r="H504">
        <v>-1361</v>
      </c>
      <c r="I504">
        <v>1184.8000000000002</v>
      </c>
      <c r="J504">
        <v>-1064.6199999999999</v>
      </c>
    </row>
    <row r="505" spans="1:10" x14ac:dyDescent="0.35">
      <c r="A505">
        <v>489</v>
      </c>
      <c r="B505" s="75">
        <v>89.83</v>
      </c>
      <c r="C505" s="75">
        <v>97.9</v>
      </c>
      <c r="D505" s="75">
        <v>92.79</v>
      </c>
      <c r="E505" s="75">
        <v>92.29</v>
      </c>
      <c r="F505">
        <v>-927.63000000000011</v>
      </c>
      <c r="G505">
        <v>472.35</v>
      </c>
      <c r="H505">
        <v>47.6</v>
      </c>
      <c r="I505">
        <v>1086.2</v>
      </c>
      <c r="J505">
        <v>678.52</v>
      </c>
    </row>
    <row r="506" spans="1:10" x14ac:dyDescent="0.35">
      <c r="A506">
        <v>490</v>
      </c>
      <c r="B506" s="75">
        <v>89.046000000000006</v>
      </c>
      <c r="C506" s="75">
        <v>98.440799999999996</v>
      </c>
      <c r="D506" s="75">
        <v>92.033600000000007</v>
      </c>
      <c r="E506" s="75">
        <v>94.496600000000001</v>
      </c>
      <c r="F506">
        <v>1675.0800000000002</v>
      </c>
      <c r="G506">
        <v>-346.34999999999997</v>
      </c>
      <c r="H506">
        <v>1565</v>
      </c>
      <c r="I506">
        <v>-1116</v>
      </c>
      <c r="J506">
        <v>1777.7300000000005</v>
      </c>
    </row>
    <row r="507" spans="1:10" x14ac:dyDescent="0.35">
      <c r="A507">
        <v>491</v>
      </c>
      <c r="B507" s="75">
        <v>88.7</v>
      </c>
      <c r="C507" s="75">
        <v>98.72</v>
      </c>
      <c r="D507" s="75">
        <v>92.01</v>
      </c>
      <c r="E507" s="75">
        <v>92.65</v>
      </c>
      <c r="F507">
        <v>2805.33</v>
      </c>
      <c r="G507">
        <v>-769.94999999999993</v>
      </c>
      <c r="H507">
        <v>1617.6</v>
      </c>
      <c r="I507">
        <v>726.6</v>
      </c>
      <c r="J507">
        <v>4379.58</v>
      </c>
    </row>
    <row r="508" spans="1:10" x14ac:dyDescent="0.35">
      <c r="A508">
        <v>492</v>
      </c>
      <c r="B508" s="75">
        <v>89.353399999999993</v>
      </c>
      <c r="C508" s="75">
        <v>97.303200000000004</v>
      </c>
      <c r="D508" s="75">
        <v>92.381200000000007</v>
      </c>
      <c r="E508" s="75">
        <v>90.840699999999998</v>
      </c>
      <c r="F508">
        <v>660.66</v>
      </c>
      <c r="G508">
        <v>1360.05</v>
      </c>
      <c r="H508">
        <v>869.80000000000007</v>
      </c>
      <c r="I508">
        <v>2539.8999999999996</v>
      </c>
      <c r="J508">
        <v>5430.41</v>
      </c>
    </row>
    <row r="509" spans="1:10" x14ac:dyDescent="0.35">
      <c r="A509">
        <v>493</v>
      </c>
      <c r="B509" s="75">
        <v>89.24</v>
      </c>
      <c r="C509" s="75">
        <v>96.84</v>
      </c>
      <c r="D509" s="75">
        <v>92.96</v>
      </c>
      <c r="E509" s="75">
        <v>92.88</v>
      </c>
      <c r="F509">
        <v>1025.6400000000001</v>
      </c>
      <c r="G509">
        <v>2052</v>
      </c>
      <c r="H509">
        <v>-289</v>
      </c>
      <c r="I509">
        <v>496.2</v>
      </c>
      <c r="J509">
        <v>3284.84</v>
      </c>
    </row>
    <row r="510" spans="1:10" x14ac:dyDescent="0.35">
      <c r="A510">
        <v>494</v>
      </c>
      <c r="B510" s="75">
        <v>89.792000000000002</v>
      </c>
      <c r="C510" s="75">
        <v>96.389600000000002</v>
      </c>
      <c r="D510" s="75">
        <v>91.526200000000003</v>
      </c>
      <c r="E510" s="75">
        <v>92.789000000000001</v>
      </c>
      <c r="F510">
        <v>-786.72</v>
      </c>
      <c r="G510">
        <v>2730.45</v>
      </c>
      <c r="H510">
        <v>2579.8000000000002</v>
      </c>
      <c r="I510">
        <v>591.6</v>
      </c>
      <c r="J510">
        <v>5115.13</v>
      </c>
    </row>
    <row r="511" spans="1:10" x14ac:dyDescent="0.35">
      <c r="A511">
        <v>495</v>
      </c>
      <c r="B511" s="75">
        <v>89.88</v>
      </c>
      <c r="C511" s="75">
        <v>96.84</v>
      </c>
      <c r="D511" s="75">
        <v>93.24</v>
      </c>
      <c r="E511" s="75">
        <v>93.5</v>
      </c>
      <c r="F511">
        <v>-1091.31</v>
      </c>
      <c r="G511">
        <v>2052.15</v>
      </c>
      <c r="H511">
        <v>-848.40000000000009</v>
      </c>
      <c r="I511">
        <v>-117</v>
      </c>
      <c r="J511">
        <v>-4.5599999999999454</v>
      </c>
    </row>
    <row r="512" spans="1:10" x14ac:dyDescent="0.35">
      <c r="A512">
        <v>496</v>
      </c>
      <c r="B512" s="75">
        <v>89.375399999999999</v>
      </c>
      <c r="C512" s="75">
        <v>98.546099999999996</v>
      </c>
      <c r="D512" s="75">
        <v>91.2166</v>
      </c>
      <c r="E512" s="75">
        <v>92.134699999999995</v>
      </c>
      <c r="F512">
        <v>588.05999999999995</v>
      </c>
      <c r="G512">
        <v>-504.3</v>
      </c>
      <c r="H512">
        <v>3199</v>
      </c>
      <c r="I512">
        <v>1245.9000000000001</v>
      </c>
      <c r="J512">
        <v>4528.66</v>
      </c>
    </row>
    <row r="513" spans="1:10" x14ac:dyDescent="0.35">
      <c r="A513">
        <v>497</v>
      </c>
      <c r="B513" s="75">
        <v>90.02</v>
      </c>
      <c r="C513" s="75">
        <v>98.9</v>
      </c>
      <c r="D513" s="75">
        <v>92.53</v>
      </c>
      <c r="E513" s="75">
        <v>93.55</v>
      </c>
      <c r="F513">
        <v>-1550.34</v>
      </c>
      <c r="G513">
        <v>-1027.6500000000001</v>
      </c>
      <c r="H513">
        <v>564.6</v>
      </c>
      <c r="I513">
        <v>-168.8</v>
      </c>
      <c r="J513">
        <v>-2182.19</v>
      </c>
    </row>
    <row r="514" spans="1:10" x14ac:dyDescent="0.35">
      <c r="A514">
        <v>498</v>
      </c>
      <c r="B514" s="75">
        <v>89.829599999999999</v>
      </c>
      <c r="C514" s="75">
        <v>97.251400000000004</v>
      </c>
      <c r="D514" s="75">
        <v>93.587699999999998</v>
      </c>
      <c r="E514" s="75">
        <v>91.485100000000003</v>
      </c>
      <c r="F514">
        <v>-910.80000000000007</v>
      </c>
      <c r="G514">
        <v>1437.75</v>
      </c>
      <c r="H514">
        <v>-1543.1999999999998</v>
      </c>
      <c r="I514">
        <v>1895.5</v>
      </c>
      <c r="J514">
        <v>879.25000000000011</v>
      </c>
    </row>
    <row r="515" spans="1:10" x14ac:dyDescent="0.35">
      <c r="A515">
        <v>499</v>
      </c>
      <c r="B515" s="75">
        <v>89.71</v>
      </c>
      <c r="C515" s="75">
        <v>96.99</v>
      </c>
      <c r="D515" s="75">
        <v>91.36</v>
      </c>
      <c r="E515" s="75">
        <v>92.34</v>
      </c>
      <c r="F515">
        <v>-501.59999999999997</v>
      </c>
      <c r="G515">
        <v>1829.4</v>
      </c>
      <c r="H515">
        <v>2919.2</v>
      </c>
      <c r="I515">
        <v>1041</v>
      </c>
      <c r="J515">
        <v>5288</v>
      </c>
    </row>
    <row r="516" spans="1:10" x14ac:dyDescent="0.35">
      <c r="A516">
        <v>500</v>
      </c>
      <c r="B516" s="75">
        <v>89.587299999999999</v>
      </c>
      <c r="C516" s="75">
        <v>100.20650000000001</v>
      </c>
      <c r="D516" s="75">
        <v>92.889899999999997</v>
      </c>
      <c r="E516" s="75">
        <v>93.171400000000006</v>
      </c>
      <c r="F516">
        <v>-111.21000000000001</v>
      </c>
      <c r="G516">
        <v>-2994.9</v>
      </c>
      <c r="H516">
        <v>-147.60000000000002</v>
      </c>
      <c r="I516">
        <v>209.2</v>
      </c>
      <c r="J516">
        <v>-3044.51</v>
      </c>
    </row>
    <row r="517" spans="1:10" x14ac:dyDescent="0.35">
      <c r="A517">
        <v>501</v>
      </c>
      <c r="B517" s="75">
        <v>89.96</v>
      </c>
      <c r="C517" s="75">
        <v>99.34</v>
      </c>
      <c r="D517" s="75">
        <v>92.87</v>
      </c>
      <c r="E517" s="75">
        <v>95.05</v>
      </c>
      <c r="F517">
        <v>-1346.3999999999999</v>
      </c>
      <c r="G517">
        <v>-1701.3000000000002</v>
      </c>
      <c r="H517">
        <v>-108.2</v>
      </c>
      <c r="I517">
        <v>-1670.3</v>
      </c>
      <c r="J517">
        <v>-4826.2</v>
      </c>
    </row>
    <row r="518" spans="1:10" x14ac:dyDescent="0.35">
      <c r="A518">
        <v>502</v>
      </c>
      <c r="B518" s="75">
        <v>90.045500000000004</v>
      </c>
      <c r="C518" s="75">
        <v>98.668199999999999</v>
      </c>
      <c r="D518" s="75">
        <v>92.755700000000004</v>
      </c>
      <c r="E518" s="75">
        <v>92.4178</v>
      </c>
      <c r="F518">
        <v>-1623.27</v>
      </c>
      <c r="G518">
        <v>-687.44999999999993</v>
      </c>
      <c r="H518">
        <v>120.80000000000001</v>
      </c>
      <c r="I518">
        <v>962.8</v>
      </c>
      <c r="J518">
        <v>-1227.1199999999997</v>
      </c>
    </row>
    <row r="519" spans="1:10" x14ac:dyDescent="0.35">
      <c r="A519">
        <v>503</v>
      </c>
      <c r="B519" s="75">
        <v>89.29</v>
      </c>
      <c r="C519" s="75">
        <v>97.56</v>
      </c>
      <c r="D519" s="75">
        <v>92.8</v>
      </c>
      <c r="E519" s="75">
        <v>93.53</v>
      </c>
      <c r="F519">
        <v>860.31</v>
      </c>
      <c r="G519">
        <v>976.65</v>
      </c>
      <c r="H519">
        <v>23.2</v>
      </c>
      <c r="I519">
        <v>-148.5</v>
      </c>
      <c r="J519">
        <v>1711.66</v>
      </c>
    </row>
    <row r="520" spans="1:10" x14ac:dyDescent="0.35">
      <c r="A520">
        <v>504</v>
      </c>
      <c r="B520" s="75">
        <v>89.5959</v>
      </c>
      <c r="C520" s="75">
        <v>98.123699999999999</v>
      </c>
      <c r="D520" s="75">
        <v>93.1233</v>
      </c>
      <c r="E520" s="75">
        <v>93.569299999999998</v>
      </c>
      <c r="F520">
        <v>-139.59</v>
      </c>
      <c r="G520">
        <v>129.30000000000001</v>
      </c>
      <c r="H520">
        <v>-614.4</v>
      </c>
      <c r="I520">
        <v>-188.70000000000002</v>
      </c>
      <c r="J520">
        <v>-813.39</v>
      </c>
    </row>
    <row r="521" spans="1:10" x14ac:dyDescent="0.35">
      <c r="A521">
        <v>505</v>
      </c>
      <c r="B521" s="75">
        <v>89.53</v>
      </c>
      <c r="C521" s="75">
        <v>98.27</v>
      </c>
      <c r="D521" s="75">
        <v>93.65</v>
      </c>
      <c r="E521" s="75">
        <v>92.74</v>
      </c>
      <c r="F521">
        <v>66.989999999999995</v>
      </c>
      <c r="G521">
        <v>-86.1</v>
      </c>
      <c r="H521">
        <v>-1664.6000000000001</v>
      </c>
      <c r="I521">
        <v>639.4</v>
      </c>
      <c r="J521">
        <v>-1044.31</v>
      </c>
    </row>
    <row r="522" spans="1:10" x14ac:dyDescent="0.35">
      <c r="A522">
        <v>506</v>
      </c>
      <c r="B522" s="75">
        <v>89.759900000000002</v>
      </c>
      <c r="C522" s="75">
        <v>97.08</v>
      </c>
      <c r="D522" s="75">
        <v>89.265600000000006</v>
      </c>
      <c r="E522" s="75">
        <v>90.350899999999996</v>
      </c>
      <c r="F522">
        <v>-680.79000000000008</v>
      </c>
      <c r="G522">
        <v>1694.85</v>
      </c>
      <c r="H522">
        <v>7101</v>
      </c>
      <c r="I522">
        <v>3029.7000000000003</v>
      </c>
      <c r="J522">
        <v>11144.76</v>
      </c>
    </row>
    <row r="523" spans="1:10" x14ac:dyDescent="0.35">
      <c r="A523">
        <v>507</v>
      </c>
      <c r="B523" s="75">
        <v>89.06</v>
      </c>
      <c r="C523" s="75">
        <v>97.34</v>
      </c>
      <c r="D523" s="75">
        <v>92.46</v>
      </c>
      <c r="E523" s="75">
        <v>94.32</v>
      </c>
      <c r="F523">
        <v>1629.54</v>
      </c>
      <c r="G523">
        <v>1304.4000000000001</v>
      </c>
      <c r="H523">
        <v>712</v>
      </c>
      <c r="I523">
        <v>-943.6</v>
      </c>
      <c r="J523">
        <v>2702.34</v>
      </c>
    </row>
    <row r="524" spans="1:10" x14ac:dyDescent="0.35">
      <c r="A524">
        <v>508</v>
      </c>
      <c r="B524" s="75">
        <v>90.142899999999997</v>
      </c>
      <c r="C524" s="75">
        <v>96.019499999999994</v>
      </c>
      <c r="D524" s="75">
        <v>92.642300000000006</v>
      </c>
      <c r="E524" s="75">
        <v>91.923500000000004</v>
      </c>
      <c r="F524">
        <v>-1944.69</v>
      </c>
      <c r="G524">
        <v>3285.6</v>
      </c>
      <c r="H524">
        <v>347.6</v>
      </c>
      <c r="I524">
        <v>1457.1000000000001</v>
      </c>
      <c r="J524">
        <v>3145.6099999999997</v>
      </c>
    </row>
    <row r="525" spans="1:10" x14ac:dyDescent="0.35">
      <c r="A525">
        <v>509</v>
      </c>
      <c r="B525" s="75">
        <v>89.69</v>
      </c>
      <c r="C525" s="75">
        <v>98</v>
      </c>
      <c r="D525" s="75">
        <v>93.02</v>
      </c>
      <c r="E525" s="75">
        <v>95.39</v>
      </c>
      <c r="F525">
        <v>-443.85</v>
      </c>
      <c r="G525">
        <v>311.10000000000002</v>
      </c>
      <c r="H525">
        <v>-416.4</v>
      </c>
      <c r="I525">
        <v>-2004.7</v>
      </c>
      <c r="J525">
        <v>-2553.85</v>
      </c>
    </row>
    <row r="526" spans="1:10" x14ac:dyDescent="0.35">
      <c r="A526">
        <v>510</v>
      </c>
      <c r="B526" s="75">
        <v>89.079800000000006</v>
      </c>
      <c r="C526" s="75">
        <v>98.456800000000001</v>
      </c>
      <c r="D526" s="75">
        <v>90.6678</v>
      </c>
      <c r="E526" s="75">
        <v>91.879599999999996</v>
      </c>
      <c r="F526">
        <v>1563.54</v>
      </c>
      <c r="G526">
        <v>-370.35</v>
      </c>
      <c r="H526">
        <v>4296.5999999999995</v>
      </c>
      <c r="I526">
        <v>1501</v>
      </c>
      <c r="J526">
        <v>6990.7899999999991</v>
      </c>
    </row>
    <row r="527" spans="1:10" x14ac:dyDescent="0.35">
      <c r="A527">
        <v>511</v>
      </c>
      <c r="B527" s="75">
        <v>89.8</v>
      </c>
      <c r="C527" s="75">
        <v>98.48</v>
      </c>
      <c r="D527" s="75">
        <v>94.13</v>
      </c>
      <c r="E527" s="75">
        <v>92.81</v>
      </c>
      <c r="F527">
        <v>-824.01</v>
      </c>
      <c r="G527">
        <v>-403.5</v>
      </c>
      <c r="H527">
        <v>-2624.2000000000003</v>
      </c>
      <c r="I527">
        <v>567.1</v>
      </c>
      <c r="J527">
        <v>-3284.61</v>
      </c>
    </row>
    <row r="528" spans="1:10" x14ac:dyDescent="0.35">
      <c r="A528">
        <v>512</v>
      </c>
      <c r="B528" s="75">
        <v>89.7697</v>
      </c>
      <c r="C528" s="75">
        <v>97.360299999999995</v>
      </c>
      <c r="D528" s="75">
        <v>91.670699999999997</v>
      </c>
      <c r="E528" s="75">
        <v>91.178600000000003</v>
      </c>
      <c r="F528">
        <v>-713.13</v>
      </c>
      <c r="G528">
        <v>1274.4000000000001</v>
      </c>
      <c r="H528">
        <v>2290.7999999999997</v>
      </c>
      <c r="I528">
        <v>2202</v>
      </c>
      <c r="J528">
        <v>5054.07</v>
      </c>
    </row>
    <row r="529" spans="1:10" x14ac:dyDescent="0.35">
      <c r="A529">
        <v>513</v>
      </c>
      <c r="B529" s="75">
        <v>89.31</v>
      </c>
      <c r="C529" s="75">
        <v>97.56</v>
      </c>
      <c r="D529" s="75">
        <v>94.36</v>
      </c>
      <c r="E529" s="75">
        <v>95.15</v>
      </c>
      <c r="F529">
        <v>791.01</v>
      </c>
      <c r="G529">
        <v>974.55000000000007</v>
      </c>
      <c r="H529">
        <v>-3097.6</v>
      </c>
      <c r="I529">
        <v>-1767.1</v>
      </c>
      <c r="J529">
        <v>-3099.14</v>
      </c>
    </row>
    <row r="530" spans="1:10" x14ac:dyDescent="0.35">
      <c r="A530">
        <v>514</v>
      </c>
      <c r="B530" s="75">
        <v>89.105099999999993</v>
      </c>
      <c r="C530" s="75">
        <v>98.651200000000003</v>
      </c>
      <c r="D530" s="75">
        <v>92.441400000000002</v>
      </c>
      <c r="E530" s="75">
        <v>96.016800000000003</v>
      </c>
      <c r="F530">
        <v>1480.05</v>
      </c>
      <c r="G530">
        <v>-661.95</v>
      </c>
      <c r="H530">
        <v>749.4</v>
      </c>
      <c r="I530">
        <v>-2636.2000000000003</v>
      </c>
      <c r="J530">
        <v>-1068.7000000000003</v>
      </c>
    </row>
    <row r="531" spans="1:10" x14ac:dyDescent="0.35">
      <c r="A531">
        <v>515</v>
      </c>
      <c r="B531" s="75">
        <v>89.47</v>
      </c>
      <c r="C531" s="75">
        <v>99.25</v>
      </c>
      <c r="D531" s="75">
        <v>92.11</v>
      </c>
      <c r="E531" s="75">
        <v>94.08</v>
      </c>
      <c r="F531">
        <v>269.28000000000003</v>
      </c>
      <c r="G531">
        <v>-1561.35</v>
      </c>
      <c r="H531">
        <v>1415.2</v>
      </c>
      <c r="I531">
        <v>-702.8</v>
      </c>
      <c r="J531">
        <v>-579.66999999999985</v>
      </c>
    </row>
    <row r="532" spans="1:10" x14ac:dyDescent="0.35">
      <c r="A532">
        <v>516</v>
      </c>
      <c r="B532" s="75">
        <v>90.480900000000005</v>
      </c>
      <c r="C532" s="75">
        <v>99.533699999999996</v>
      </c>
      <c r="D532" s="75">
        <v>94.408900000000003</v>
      </c>
      <c r="E532" s="75">
        <v>91.070400000000006</v>
      </c>
      <c r="F532">
        <v>-3060.09</v>
      </c>
      <c r="G532">
        <v>-1985.7</v>
      </c>
      <c r="H532">
        <v>-3185.6</v>
      </c>
      <c r="I532">
        <v>2310.1999999999998</v>
      </c>
      <c r="J532">
        <v>-5921.19</v>
      </c>
    </row>
    <row r="533" spans="1:10" x14ac:dyDescent="0.35">
      <c r="A533">
        <v>517</v>
      </c>
      <c r="B533" s="75">
        <v>89.25</v>
      </c>
      <c r="C533" s="75">
        <v>97.9</v>
      </c>
      <c r="D533" s="75">
        <v>92.9</v>
      </c>
      <c r="E533" s="75">
        <v>91.8</v>
      </c>
      <c r="F533">
        <v>993.3</v>
      </c>
      <c r="G533">
        <v>462.9</v>
      </c>
      <c r="H533">
        <v>-163.20000000000002</v>
      </c>
      <c r="I533">
        <v>1582.4</v>
      </c>
      <c r="J533">
        <v>2875.3999999999996</v>
      </c>
    </row>
    <row r="534" spans="1:10" x14ac:dyDescent="0.35">
      <c r="A534">
        <v>518</v>
      </c>
      <c r="B534" s="75">
        <v>89.314099999999996</v>
      </c>
      <c r="C534" s="75">
        <v>99.842600000000004</v>
      </c>
      <c r="D534" s="75">
        <v>93.506100000000004</v>
      </c>
      <c r="E534" s="75">
        <v>95.787199999999999</v>
      </c>
      <c r="F534">
        <v>790.35</v>
      </c>
      <c r="G534">
        <v>-2449.0500000000002</v>
      </c>
      <c r="H534">
        <v>-1380</v>
      </c>
      <c r="I534">
        <v>-2406.6</v>
      </c>
      <c r="J534">
        <v>-5445.3</v>
      </c>
    </row>
    <row r="535" spans="1:10" x14ac:dyDescent="0.35">
      <c r="A535">
        <v>519</v>
      </c>
      <c r="B535" s="75">
        <v>89.64</v>
      </c>
      <c r="C535" s="75">
        <v>97.87</v>
      </c>
      <c r="D535" s="75">
        <v>91.45</v>
      </c>
      <c r="E535" s="75">
        <v>93.37</v>
      </c>
      <c r="F535">
        <v>-299.31</v>
      </c>
      <c r="G535">
        <v>507.75000000000006</v>
      </c>
      <c r="H535">
        <v>2741.4</v>
      </c>
      <c r="I535">
        <v>7.2</v>
      </c>
      <c r="J535">
        <v>2957.04</v>
      </c>
    </row>
    <row r="536" spans="1:10" x14ac:dyDescent="0.35">
      <c r="A536">
        <v>520</v>
      </c>
      <c r="B536" s="75">
        <v>90.1785</v>
      </c>
      <c r="C536" s="75">
        <v>97.326599999999999</v>
      </c>
      <c r="D536" s="75">
        <v>93.392200000000003</v>
      </c>
      <c r="E536" s="75">
        <v>93.6965</v>
      </c>
      <c r="F536">
        <v>-2062.17</v>
      </c>
      <c r="G536">
        <v>1324.95</v>
      </c>
      <c r="H536">
        <v>-1152.1999999999998</v>
      </c>
      <c r="I536">
        <v>-315.90000000000003</v>
      </c>
      <c r="J536">
        <v>-2205.3199999999997</v>
      </c>
    </row>
    <row r="537" spans="1:10" x14ac:dyDescent="0.35">
      <c r="A537">
        <v>521</v>
      </c>
      <c r="B537" s="75">
        <v>89.28</v>
      </c>
      <c r="C537" s="75">
        <v>99.5</v>
      </c>
      <c r="D537" s="75">
        <v>94</v>
      </c>
      <c r="E537" s="75">
        <v>94.37</v>
      </c>
      <c r="F537">
        <v>891.66</v>
      </c>
      <c r="G537">
        <v>-1941.3</v>
      </c>
      <c r="H537">
        <v>-2364.6</v>
      </c>
      <c r="I537">
        <v>-986.9</v>
      </c>
      <c r="J537">
        <v>-4401.1399999999994</v>
      </c>
    </row>
    <row r="538" spans="1:10" x14ac:dyDescent="0.35">
      <c r="A538">
        <v>522</v>
      </c>
      <c r="B538" s="75">
        <v>89.017399999999995</v>
      </c>
      <c r="C538" s="75">
        <v>97.716800000000006</v>
      </c>
      <c r="D538" s="75">
        <v>92.843999999999994</v>
      </c>
      <c r="E538" s="75">
        <v>91.561199999999999</v>
      </c>
      <c r="F538">
        <v>1769.46</v>
      </c>
      <c r="G538">
        <v>739.65</v>
      </c>
      <c r="H538">
        <v>-55.800000000000004</v>
      </c>
      <c r="I538">
        <v>1819.3999999999999</v>
      </c>
      <c r="J538">
        <v>4272.71</v>
      </c>
    </row>
    <row r="539" spans="1:10" x14ac:dyDescent="0.35">
      <c r="A539">
        <v>523</v>
      </c>
      <c r="B539" s="75">
        <v>89.66</v>
      </c>
      <c r="C539" s="75">
        <v>97.68</v>
      </c>
      <c r="D539" s="75">
        <v>93.48</v>
      </c>
      <c r="E539" s="75">
        <v>95.6</v>
      </c>
      <c r="F539">
        <v>-352.77</v>
      </c>
      <c r="G539">
        <v>796.65</v>
      </c>
      <c r="H539">
        <v>-1326.6</v>
      </c>
      <c r="I539">
        <v>-2214.7000000000003</v>
      </c>
      <c r="J539">
        <v>-3097.42</v>
      </c>
    </row>
    <row r="540" spans="1:10" x14ac:dyDescent="0.35">
      <c r="A540">
        <v>524</v>
      </c>
      <c r="B540" s="75">
        <v>90.077500000000001</v>
      </c>
      <c r="C540" s="75">
        <v>98.430999999999997</v>
      </c>
      <c r="D540" s="75">
        <v>93.998199999999997</v>
      </c>
      <c r="E540" s="75">
        <v>94.281899999999993</v>
      </c>
      <c r="F540">
        <v>-1728.8700000000001</v>
      </c>
      <c r="G540">
        <v>-331.65</v>
      </c>
      <c r="H540">
        <v>-2364.1999999999998</v>
      </c>
      <c r="I540">
        <v>-901.3</v>
      </c>
      <c r="J540">
        <v>-5326.0199999999995</v>
      </c>
    </row>
    <row r="541" spans="1:10" x14ac:dyDescent="0.35">
      <c r="A541">
        <v>525</v>
      </c>
      <c r="B541" s="75">
        <v>89.16</v>
      </c>
      <c r="C541" s="75">
        <v>97.38</v>
      </c>
      <c r="D541" s="75">
        <v>93.31</v>
      </c>
      <c r="E541" s="75">
        <v>94.35</v>
      </c>
      <c r="F541">
        <v>1311.75</v>
      </c>
      <c r="G541">
        <v>1240.3499999999999</v>
      </c>
      <c r="H541">
        <v>-981.19999999999993</v>
      </c>
      <c r="I541">
        <v>-964.7</v>
      </c>
      <c r="J541">
        <v>606.20000000000005</v>
      </c>
    </row>
    <row r="542" spans="1:10" x14ac:dyDescent="0.35">
      <c r="A542">
        <v>526</v>
      </c>
      <c r="B542" s="75">
        <v>89.626999999999995</v>
      </c>
      <c r="C542" s="75">
        <v>98.944900000000004</v>
      </c>
      <c r="D542" s="75">
        <v>94.417599999999993</v>
      </c>
      <c r="E542" s="75">
        <v>94.200199999999995</v>
      </c>
      <c r="F542">
        <v>-242.22000000000003</v>
      </c>
      <c r="G542">
        <v>-1102.5</v>
      </c>
      <c r="H542">
        <v>-3203</v>
      </c>
      <c r="I542">
        <v>-819.6</v>
      </c>
      <c r="J542">
        <v>-5367.3200000000006</v>
      </c>
    </row>
    <row r="543" spans="1:10" x14ac:dyDescent="0.35">
      <c r="A543">
        <v>527</v>
      </c>
      <c r="B543" s="75">
        <v>89.23</v>
      </c>
      <c r="C543" s="75">
        <v>98.12</v>
      </c>
      <c r="D543" s="75">
        <v>93.56</v>
      </c>
      <c r="E543" s="75">
        <v>92.72</v>
      </c>
      <c r="F543">
        <v>1065.9000000000001</v>
      </c>
      <c r="G543">
        <v>129.44999999999999</v>
      </c>
      <c r="H543">
        <v>-1479.4</v>
      </c>
      <c r="I543">
        <v>660.80000000000007</v>
      </c>
      <c r="J543">
        <v>376.75000000000011</v>
      </c>
    </row>
    <row r="544" spans="1:10" x14ac:dyDescent="0.35">
      <c r="A544">
        <v>528</v>
      </c>
      <c r="B544" s="75">
        <v>89.402799999999999</v>
      </c>
      <c r="C544" s="75">
        <v>98.388000000000005</v>
      </c>
      <c r="D544" s="75">
        <v>93.389799999999994</v>
      </c>
      <c r="E544" s="75">
        <v>93.682599999999994</v>
      </c>
      <c r="F544">
        <v>497.64</v>
      </c>
      <c r="G544">
        <v>-267.15000000000003</v>
      </c>
      <c r="H544">
        <v>-1147.3999999999999</v>
      </c>
      <c r="I544">
        <v>-302</v>
      </c>
      <c r="J544">
        <v>-1218.9099999999999</v>
      </c>
    </row>
    <row r="545" spans="1:10" x14ac:dyDescent="0.35">
      <c r="A545">
        <v>529</v>
      </c>
      <c r="B545" s="75">
        <v>88.73</v>
      </c>
      <c r="C545" s="75">
        <v>97.87</v>
      </c>
      <c r="D545" s="75">
        <v>93.35</v>
      </c>
      <c r="E545" s="75">
        <v>93.67</v>
      </c>
      <c r="F545">
        <v>2707.65</v>
      </c>
      <c r="G545">
        <v>508.05</v>
      </c>
      <c r="H545">
        <v>-1064</v>
      </c>
      <c r="I545">
        <v>-288</v>
      </c>
      <c r="J545">
        <v>1863.7000000000003</v>
      </c>
    </row>
    <row r="546" spans="1:10" x14ac:dyDescent="0.35">
      <c r="A546">
        <v>530</v>
      </c>
      <c r="B546" s="75">
        <v>88.410499999999999</v>
      </c>
      <c r="C546" s="75">
        <v>97.100899999999996</v>
      </c>
      <c r="D546" s="75">
        <v>92.504800000000003</v>
      </c>
      <c r="E546" s="75">
        <v>92.310199999999995</v>
      </c>
      <c r="F546">
        <v>3772.23</v>
      </c>
      <c r="G546">
        <v>1663.5</v>
      </c>
      <c r="H546">
        <v>622.6</v>
      </c>
      <c r="I546">
        <v>1070.4000000000001</v>
      </c>
      <c r="J546">
        <v>7128.73</v>
      </c>
    </row>
    <row r="547" spans="1:10" x14ac:dyDescent="0.35">
      <c r="A547">
        <v>531</v>
      </c>
      <c r="B547" s="75">
        <v>89.7</v>
      </c>
      <c r="C547" s="75">
        <v>97.43</v>
      </c>
      <c r="D547" s="75">
        <v>95.23</v>
      </c>
      <c r="E547" s="75">
        <v>93.47</v>
      </c>
      <c r="F547">
        <v>-495.98999999999995</v>
      </c>
      <c r="G547">
        <v>1172.7</v>
      </c>
      <c r="H547">
        <v>-4835</v>
      </c>
      <c r="I547">
        <v>-85.8</v>
      </c>
      <c r="J547">
        <v>-4244.09</v>
      </c>
    </row>
    <row r="548" spans="1:10" x14ac:dyDescent="0.35">
      <c r="A548">
        <v>532</v>
      </c>
      <c r="B548" s="75">
        <v>90.734700000000004</v>
      </c>
      <c r="C548" s="75">
        <v>100.06610000000001</v>
      </c>
      <c r="D548" s="75">
        <v>93.223200000000006</v>
      </c>
      <c r="E548" s="75">
        <v>93.866200000000006</v>
      </c>
      <c r="F548">
        <v>-3897.63</v>
      </c>
      <c r="G548">
        <v>-2784.3</v>
      </c>
      <c r="H548">
        <v>-814.2</v>
      </c>
      <c r="I548">
        <v>-485.59999999999997</v>
      </c>
      <c r="J548">
        <v>-7981.7300000000005</v>
      </c>
    </row>
    <row r="549" spans="1:10" x14ac:dyDescent="0.35">
      <c r="A549">
        <v>533</v>
      </c>
      <c r="B549" s="75">
        <v>88.98</v>
      </c>
      <c r="C549" s="75">
        <v>100.02</v>
      </c>
      <c r="D549" s="75">
        <v>92.76</v>
      </c>
      <c r="E549" s="75">
        <v>92.28</v>
      </c>
      <c r="F549">
        <v>1876.71</v>
      </c>
      <c r="G549">
        <v>-2708.4</v>
      </c>
      <c r="H549">
        <v>104.6</v>
      </c>
      <c r="I549">
        <v>1100.2</v>
      </c>
      <c r="J549">
        <v>373.11</v>
      </c>
    </row>
    <row r="550" spans="1:10" x14ac:dyDescent="0.35">
      <c r="A550">
        <v>534</v>
      </c>
      <c r="B550" s="75">
        <v>90.446600000000004</v>
      </c>
      <c r="C550" s="75">
        <v>98.183800000000005</v>
      </c>
      <c r="D550" s="75">
        <v>91.382300000000001</v>
      </c>
      <c r="E550" s="75">
        <v>92.526399999999995</v>
      </c>
      <c r="F550">
        <v>-2946.9</v>
      </c>
      <c r="G550">
        <v>39.150000000000006</v>
      </c>
      <c r="H550">
        <v>2867.6</v>
      </c>
      <c r="I550">
        <v>854.19999999999993</v>
      </c>
      <c r="J550">
        <v>814.04999999999984</v>
      </c>
    </row>
    <row r="551" spans="1:10" x14ac:dyDescent="0.35">
      <c r="A551">
        <v>535</v>
      </c>
      <c r="B551" s="75">
        <v>88.69</v>
      </c>
      <c r="C551" s="75">
        <v>98.25</v>
      </c>
      <c r="D551" s="75">
        <v>92.32</v>
      </c>
      <c r="E551" s="75">
        <v>95.78</v>
      </c>
      <c r="F551">
        <v>2843.94</v>
      </c>
      <c r="G551">
        <v>-60</v>
      </c>
      <c r="H551">
        <v>993.4</v>
      </c>
      <c r="I551">
        <v>-2394.8999999999996</v>
      </c>
      <c r="J551">
        <v>1382.4400000000005</v>
      </c>
    </row>
    <row r="552" spans="1:10" x14ac:dyDescent="0.35">
      <c r="A552">
        <v>536</v>
      </c>
      <c r="B552" s="75">
        <v>89.359300000000005</v>
      </c>
      <c r="C552" s="75">
        <v>99.025899999999993</v>
      </c>
      <c r="D552" s="75">
        <v>91.918499999999995</v>
      </c>
      <c r="E552" s="75">
        <v>92.803100000000001</v>
      </c>
      <c r="F552">
        <v>641.19000000000005</v>
      </c>
      <c r="G552">
        <v>-1224</v>
      </c>
      <c r="H552">
        <v>1795.1999999999998</v>
      </c>
      <c r="I552">
        <v>577.5</v>
      </c>
      <c r="J552">
        <v>1789.8899999999999</v>
      </c>
    </row>
    <row r="553" spans="1:10" x14ac:dyDescent="0.35">
      <c r="A553">
        <v>537</v>
      </c>
      <c r="B553" s="75">
        <v>89.55</v>
      </c>
      <c r="C553" s="75">
        <v>99.6</v>
      </c>
      <c r="D553" s="75">
        <v>94.63</v>
      </c>
      <c r="E553" s="75">
        <v>95.4</v>
      </c>
      <c r="F553">
        <v>23.43</v>
      </c>
      <c r="G553">
        <v>-2087.1</v>
      </c>
      <c r="H553">
        <v>-3618.7999999999997</v>
      </c>
      <c r="I553">
        <v>-2016.6</v>
      </c>
      <c r="J553">
        <v>-7699.07</v>
      </c>
    </row>
    <row r="554" spans="1:10" x14ac:dyDescent="0.35">
      <c r="A554">
        <v>538</v>
      </c>
      <c r="B554" s="75">
        <v>90.147900000000007</v>
      </c>
      <c r="C554" s="75">
        <v>97.865200000000002</v>
      </c>
      <c r="D554" s="75">
        <v>92.520899999999997</v>
      </c>
      <c r="E554" s="75">
        <v>92.501599999999996</v>
      </c>
      <c r="F554">
        <v>-1961.19</v>
      </c>
      <c r="G554">
        <v>517.04999999999995</v>
      </c>
      <c r="H554">
        <v>590.40000000000009</v>
      </c>
      <c r="I554">
        <v>879</v>
      </c>
      <c r="J554">
        <v>25.259999999999991</v>
      </c>
    </row>
    <row r="555" spans="1:10" x14ac:dyDescent="0.35">
      <c r="A555">
        <v>539</v>
      </c>
      <c r="B555" s="75">
        <v>89.69</v>
      </c>
      <c r="C555" s="75">
        <v>98.63</v>
      </c>
      <c r="D555" s="75">
        <v>92.75</v>
      </c>
      <c r="E555" s="75">
        <v>93.14</v>
      </c>
      <c r="F555">
        <v>-440.21999999999997</v>
      </c>
      <c r="G555">
        <v>-637.5</v>
      </c>
      <c r="H555">
        <v>130.80000000000001</v>
      </c>
      <c r="I555">
        <v>239.6</v>
      </c>
      <c r="J555">
        <v>-707.32</v>
      </c>
    </row>
    <row r="556" spans="1:10" x14ac:dyDescent="0.35">
      <c r="A556">
        <v>540</v>
      </c>
      <c r="B556" s="75">
        <v>90.747600000000006</v>
      </c>
      <c r="C556" s="75">
        <v>97.929599999999994</v>
      </c>
      <c r="D556" s="75">
        <v>91.809600000000003</v>
      </c>
      <c r="E556" s="75">
        <v>93.700699999999998</v>
      </c>
      <c r="F556">
        <v>-3940.2</v>
      </c>
      <c r="G556">
        <v>420.45</v>
      </c>
      <c r="H556">
        <v>2013</v>
      </c>
      <c r="I556">
        <v>-320.10000000000002</v>
      </c>
      <c r="J556">
        <v>-1826.85</v>
      </c>
    </row>
    <row r="557" spans="1:10" x14ac:dyDescent="0.35">
      <c r="A557">
        <v>541</v>
      </c>
      <c r="B557" s="75">
        <v>89.46</v>
      </c>
      <c r="C557" s="75">
        <v>97.1</v>
      </c>
      <c r="D557" s="75">
        <v>92.48</v>
      </c>
      <c r="E557" s="75">
        <v>92.17</v>
      </c>
      <c r="F557">
        <v>321.42</v>
      </c>
      <c r="G557">
        <v>1662.15</v>
      </c>
      <c r="H557">
        <v>674</v>
      </c>
      <c r="I557">
        <v>1214</v>
      </c>
      <c r="J557">
        <v>3871.57</v>
      </c>
    </row>
    <row r="558" spans="1:10" x14ac:dyDescent="0.35">
      <c r="A558">
        <v>542</v>
      </c>
      <c r="B558" s="75">
        <v>89.132499999999993</v>
      </c>
      <c r="C558" s="75">
        <v>98.9482</v>
      </c>
      <c r="D558" s="75">
        <v>92.855699999999999</v>
      </c>
      <c r="E558" s="75">
        <v>95.827799999999996</v>
      </c>
      <c r="F558">
        <v>1389.6299999999999</v>
      </c>
      <c r="G558">
        <v>-1107.45</v>
      </c>
      <c r="H558">
        <v>-79.2</v>
      </c>
      <c r="I558">
        <v>-2447.1999999999998</v>
      </c>
      <c r="J558">
        <v>-2244.2199999999998</v>
      </c>
    </row>
    <row r="559" spans="1:10" x14ac:dyDescent="0.35">
      <c r="A559">
        <v>543</v>
      </c>
      <c r="B559" s="75">
        <v>89.57</v>
      </c>
      <c r="C559" s="75">
        <v>97.27</v>
      </c>
      <c r="D559" s="75">
        <v>93.68</v>
      </c>
      <c r="E559" s="75">
        <v>92.77</v>
      </c>
      <c r="F559">
        <v>-56.1</v>
      </c>
      <c r="G559">
        <v>1412.25</v>
      </c>
      <c r="H559">
        <v>-1733.4</v>
      </c>
      <c r="I559">
        <v>607.1</v>
      </c>
      <c r="J559">
        <v>229.85000000000002</v>
      </c>
    </row>
    <row r="560" spans="1:10" x14ac:dyDescent="0.35">
      <c r="A560">
        <v>544</v>
      </c>
      <c r="B560" s="75">
        <v>89.3292</v>
      </c>
      <c r="C560" s="75">
        <v>99.767600000000002</v>
      </c>
      <c r="D560" s="75">
        <v>93.993700000000004</v>
      </c>
      <c r="E560" s="75">
        <v>95.9636</v>
      </c>
      <c r="F560">
        <v>740.52</v>
      </c>
      <c r="G560">
        <v>-2336.5500000000002</v>
      </c>
      <c r="H560">
        <v>-2355.1999999999998</v>
      </c>
      <c r="I560">
        <v>-2583</v>
      </c>
      <c r="J560">
        <v>-6534.23</v>
      </c>
    </row>
    <row r="561" spans="1:10" x14ac:dyDescent="0.35">
      <c r="A561">
        <v>545</v>
      </c>
      <c r="B561" s="75">
        <v>90.01</v>
      </c>
      <c r="C561" s="75">
        <v>98.13</v>
      </c>
      <c r="D561" s="75">
        <v>91.64</v>
      </c>
      <c r="E561" s="75">
        <v>91.24</v>
      </c>
      <c r="F561">
        <v>-1500.18</v>
      </c>
      <c r="G561">
        <v>114.15</v>
      </c>
      <c r="H561">
        <v>2345.6</v>
      </c>
      <c r="I561">
        <v>2138.6999999999998</v>
      </c>
      <c r="J561">
        <v>3098.2699999999995</v>
      </c>
    </row>
    <row r="562" spans="1:10" x14ac:dyDescent="0.35">
      <c r="A562">
        <v>546</v>
      </c>
      <c r="B562" s="75">
        <v>89.594700000000003</v>
      </c>
      <c r="C562" s="75">
        <v>99.537899999999993</v>
      </c>
      <c r="D562" s="75">
        <v>94.323599999999999</v>
      </c>
      <c r="E562" s="75">
        <v>93.6173</v>
      </c>
      <c r="F562">
        <v>-135.63</v>
      </c>
      <c r="G562">
        <v>-1992</v>
      </c>
      <c r="H562">
        <v>-3015</v>
      </c>
      <c r="I562">
        <v>-236.7</v>
      </c>
      <c r="J562">
        <v>-5379.33</v>
      </c>
    </row>
    <row r="563" spans="1:10" x14ac:dyDescent="0.35">
      <c r="A563">
        <v>547</v>
      </c>
      <c r="B563" s="75">
        <v>89.28</v>
      </c>
      <c r="C563" s="75">
        <v>98.28</v>
      </c>
      <c r="D563" s="75">
        <v>91.1</v>
      </c>
      <c r="E563" s="75">
        <v>90.55</v>
      </c>
      <c r="F563">
        <v>899.58</v>
      </c>
      <c r="G563">
        <v>-103.64999999999999</v>
      </c>
      <c r="H563">
        <v>3433.2</v>
      </c>
      <c r="I563">
        <v>2831.1000000000004</v>
      </c>
      <c r="J563">
        <v>7060.2300000000005</v>
      </c>
    </row>
    <row r="564" spans="1:10" x14ac:dyDescent="0.35">
      <c r="A564">
        <v>548</v>
      </c>
      <c r="B564" s="75">
        <v>89.241500000000002</v>
      </c>
      <c r="C564" s="75">
        <v>98.662700000000001</v>
      </c>
      <c r="D564" s="75">
        <v>91.563999999999993</v>
      </c>
      <c r="E564" s="75">
        <v>93.442499999999995</v>
      </c>
      <c r="F564">
        <v>1029.93</v>
      </c>
      <c r="G564">
        <v>-679.19999999999993</v>
      </c>
      <c r="H564">
        <v>2504.1999999999998</v>
      </c>
      <c r="I564">
        <v>-61.9</v>
      </c>
      <c r="J564">
        <v>2793.0299999999997</v>
      </c>
    </row>
    <row r="565" spans="1:10" x14ac:dyDescent="0.35">
      <c r="A565">
        <v>549</v>
      </c>
      <c r="B565" s="75">
        <v>89.93</v>
      </c>
      <c r="C565" s="75">
        <v>96.79</v>
      </c>
      <c r="D565" s="75">
        <v>92.8</v>
      </c>
      <c r="E565" s="75">
        <v>93.22</v>
      </c>
      <c r="F565">
        <v>-1255.98</v>
      </c>
      <c r="G565">
        <v>2123.5499999999997</v>
      </c>
      <c r="H565">
        <v>39.800000000000004</v>
      </c>
      <c r="I565">
        <v>161.89999999999998</v>
      </c>
      <c r="J565">
        <v>1069.2699999999995</v>
      </c>
    </row>
    <row r="566" spans="1:10" x14ac:dyDescent="0.35">
      <c r="A566">
        <v>550</v>
      </c>
      <c r="B566" s="75">
        <v>90.0291</v>
      </c>
      <c r="C566" s="75">
        <v>97.396900000000002</v>
      </c>
      <c r="D566" s="75">
        <v>93.973799999999997</v>
      </c>
      <c r="E566" s="75">
        <v>93.725399999999993</v>
      </c>
      <c r="F566">
        <v>-1569.1499999999999</v>
      </c>
      <c r="G566">
        <v>1219.5</v>
      </c>
      <c r="H566">
        <v>-2315.4</v>
      </c>
      <c r="I566">
        <v>-344.8</v>
      </c>
      <c r="J566">
        <v>-3009.8500000000004</v>
      </c>
    </row>
    <row r="567" spans="1:10" x14ac:dyDescent="0.35">
      <c r="A567">
        <v>551</v>
      </c>
      <c r="B567" s="75">
        <v>89</v>
      </c>
      <c r="C567" s="75">
        <v>100.44</v>
      </c>
      <c r="D567" s="75">
        <v>92.69</v>
      </c>
      <c r="E567" s="75">
        <v>97.12</v>
      </c>
      <c r="F567">
        <v>1816.32</v>
      </c>
      <c r="G567">
        <v>-3337.95</v>
      </c>
      <c r="H567">
        <v>256</v>
      </c>
      <c r="I567">
        <v>-3738</v>
      </c>
      <c r="J567">
        <v>-5003.63</v>
      </c>
    </row>
    <row r="568" spans="1:10" x14ac:dyDescent="0.35">
      <c r="A568">
        <v>552</v>
      </c>
      <c r="B568" s="75">
        <v>89.676100000000005</v>
      </c>
      <c r="C568" s="75">
        <v>97.156700000000001</v>
      </c>
      <c r="D568" s="75">
        <v>94.059299999999993</v>
      </c>
      <c r="E568" s="75">
        <v>96.677999999999997</v>
      </c>
      <c r="F568">
        <v>-404.25</v>
      </c>
      <c r="G568">
        <v>1579.8</v>
      </c>
      <c r="H568">
        <v>-2486.4</v>
      </c>
      <c r="I568">
        <v>-3297.4</v>
      </c>
      <c r="J568">
        <v>-4608.25</v>
      </c>
    </row>
    <row r="569" spans="1:10" x14ac:dyDescent="0.35">
      <c r="A569">
        <v>553</v>
      </c>
      <c r="B569" s="75">
        <v>89.09</v>
      </c>
      <c r="C569" s="75">
        <v>99.67</v>
      </c>
      <c r="D569" s="75">
        <v>90.53</v>
      </c>
      <c r="E569" s="75">
        <v>90.7</v>
      </c>
      <c r="F569">
        <v>1528.8899999999999</v>
      </c>
      <c r="G569">
        <v>-2189.25</v>
      </c>
      <c r="H569">
        <v>4572.8</v>
      </c>
      <c r="I569">
        <v>2678.4</v>
      </c>
      <c r="J569">
        <v>6590.84</v>
      </c>
    </row>
    <row r="570" spans="1:10" x14ac:dyDescent="0.35">
      <c r="A570">
        <v>554</v>
      </c>
      <c r="B570" s="75">
        <v>88.552199999999999</v>
      </c>
      <c r="C570" s="75">
        <v>98.560900000000004</v>
      </c>
      <c r="D570" s="75">
        <v>92.127300000000005</v>
      </c>
      <c r="E570" s="75">
        <v>93.345299999999995</v>
      </c>
      <c r="F570">
        <v>3304.6200000000003</v>
      </c>
      <c r="G570">
        <v>-526.5</v>
      </c>
      <c r="H570">
        <v>1377.6</v>
      </c>
      <c r="I570">
        <v>35.299999999999997</v>
      </c>
      <c r="J570">
        <v>4191.0200000000004</v>
      </c>
    </row>
    <row r="571" spans="1:10" x14ac:dyDescent="0.35">
      <c r="A571">
        <v>555</v>
      </c>
      <c r="B571" s="75">
        <v>89.64</v>
      </c>
      <c r="C571" s="75">
        <v>99.2</v>
      </c>
      <c r="D571" s="75">
        <v>93.56</v>
      </c>
      <c r="E571" s="75">
        <v>93.59</v>
      </c>
      <c r="F571">
        <v>-294.36</v>
      </c>
      <c r="G571">
        <v>-1491.9</v>
      </c>
      <c r="H571">
        <v>-1494.2</v>
      </c>
      <c r="I571">
        <v>-205.7</v>
      </c>
      <c r="J571">
        <v>-3486.16</v>
      </c>
    </row>
    <row r="572" spans="1:10" x14ac:dyDescent="0.35">
      <c r="A572">
        <v>556</v>
      </c>
      <c r="B572" s="75">
        <v>89.321299999999994</v>
      </c>
      <c r="C572" s="75">
        <v>98.063400000000001</v>
      </c>
      <c r="D572" s="75">
        <v>92.309600000000003</v>
      </c>
      <c r="E572" s="75">
        <v>93.485699999999994</v>
      </c>
      <c r="F572">
        <v>766.59</v>
      </c>
      <c r="G572">
        <v>219.75</v>
      </c>
      <c r="H572">
        <v>1012.9999999999999</v>
      </c>
      <c r="I572">
        <v>-105.1</v>
      </c>
      <c r="J572">
        <v>1894.24</v>
      </c>
    </row>
    <row r="573" spans="1:10" x14ac:dyDescent="0.35">
      <c r="A573">
        <v>557</v>
      </c>
      <c r="B573" s="75">
        <v>90.01</v>
      </c>
      <c r="C573" s="75">
        <v>97.23</v>
      </c>
      <c r="D573" s="75">
        <v>91.73</v>
      </c>
      <c r="E573" s="75">
        <v>93.58</v>
      </c>
      <c r="F573">
        <v>-1491.27</v>
      </c>
      <c r="G573">
        <v>1463.1000000000001</v>
      </c>
      <c r="H573">
        <v>2164</v>
      </c>
      <c r="I573">
        <v>-196.9</v>
      </c>
      <c r="J573">
        <v>1938.9299999999998</v>
      </c>
    </row>
    <row r="574" spans="1:10" x14ac:dyDescent="0.35">
      <c r="A574">
        <v>558</v>
      </c>
      <c r="B574" s="75">
        <v>88.925799999999995</v>
      </c>
      <c r="C574" s="75">
        <v>98.292500000000004</v>
      </c>
      <c r="D574" s="75">
        <v>95.144599999999997</v>
      </c>
      <c r="E574" s="75">
        <v>93.1511</v>
      </c>
      <c r="F574">
        <v>2071.7400000000002</v>
      </c>
      <c r="G574">
        <v>-123.9</v>
      </c>
      <c r="H574">
        <v>-4657</v>
      </c>
      <c r="I574">
        <v>229.5</v>
      </c>
      <c r="J574">
        <v>-2479.66</v>
      </c>
    </row>
    <row r="575" spans="1:10" x14ac:dyDescent="0.35">
      <c r="A575">
        <v>559</v>
      </c>
      <c r="B575" s="75">
        <v>89.37</v>
      </c>
      <c r="C575" s="75">
        <v>98.67</v>
      </c>
      <c r="D575" s="75">
        <v>94.27</v>
      </c>
      <c r="E575" s="75">
        <v>94</v>
      </c>
      <c r="F575">
        <v>594.66</v>
      </c>
      <c r="G575">
        <v>-685.05</v>
      </c>
      <c r="H575">
        <v>-2898.8</v>
      </c>
      <c r="I575">
        <v>-623.5</v>
      </c>
      <c r="J575">
        <v>-3612.69</v>
      </c>
    </row>
    <row r="576" spans="1:10" x14ac:dyDescent="0.35">
      <c r="A576">
        <v>560</v>
      </c>
      <c r="B576" s="75">
        <v>90.713800000000006</v>
      </c>
      <c r="C576" s="75">
        <v>98.181700000000006</v>
      </c>
      <c r="D576" s="75">
        <v>92.534499999999994</v>
      </c>
      <c r="E576" s="75">
        <v>91.904499999999999</v>
      </c>
      <c r="F576">
        <v>-3828.66</v>
      </c>
      <c r="G576">
        <v>42.3</v>
      </c>
      <c r="H576">
        <v>563.20000000000005</v>
      </c>
      <c r="I576">
        <v>1476.1</v>
      </c>
      <c r="J576">
        <v>-1747.06</v>
      </c>
    </row>
    <row r="577" spans="1:10" x14ac:dyDescent="0.35">
      <c r="A577">
        <v>561</v>
      </c>
      <c r="B577" s="75">
        <v>90.09</v>
      </c>
      <c r="C577" s="75">
        <v>99.1</v>
      </c>
      <c r="D577" s="75">
        <v>93.42</v>
      </c>
      <c r="E577" s="75">
        <v>91.8</v>
      </c>
      <c r="F577">
        <v>-1777.7099999999998</v>
      </c>
      <c r="G577">
        <v>-1340.5500000000002</v>
      </c>
      <c r="H577">
        <v>-1203.8</v>
      </c>
      <c r="I577">
        <v>1582.2</v>
      </c>
      <c r="J577">
        <v>-2739.8600000000006</v>
      </c>
    </row>
    <row r="578" spans="1:10" x14ac:dyDescent="0.35">
      <c r="A578">
        <v>562</v>
      </c>
      <c r="B578" s="75">
        <v>89.402299999999997</v>
      </c>
      <c r="C578" s="75">
        <v>98.134900000000002</v>
      </c>
      <c r="D578" s="75">
        <v>91.894199999999998</v>
      </c>
      <c r="E578" s="75">
        <v>95.294799999999995</v>
      </c>
      <c r="F578">
        <v>499.28999999999996</v>
      </c>
      <c r="G578">
        <v>112.5</v>
      </c>
      <c r="H578">
        <v>1843.8000000000002</v>
      </c>
      <c r="I578">
        <v>-1914.1999999999998</v>
      </c>
      <c r="J578">
        <v>541.39000000000033</v>
      </c>
    </row>
    <row r="579" spans="1:10" x14ac:dyDescent="0.35">
      <c r="A579">
        <v>563</v>
      </c>
      <c r="B579" s="75">
        <v>88.78</v>
      </c>
      <c r="C579" s="75">
        <v>96.56</v>
      </c>
      <c r="D579" s="75">
        <v>92.77</v>
      </c>
      <c r="E579" s="75">
        <v>92.18</v>
      </c>
      <c r="F579">
        <v>2567.0700000000002</v>
      </c>
      <c r="G579">
        <v>2468.5499999999997</v>
      </c>
      <c r="H579">
        <v>101.2</v>
      </c>
      <c r="I579">
        <v>1199</v>
      </c>
      <c r="J579">
        <v>6335.82</v>
      </c>
    </row>
    <row r="580" spans="1:10" x14ac:dyDescent="0.35">
      <c r="A580">
        <v>564</v>
      </c>
      <c r="B580" s="75">
        <v>89.7226</v>
      </c>
      <c r="C580" s="75">
        <v>97.697299999999998</v>
      </c>
      <c r="D580" s="75">
        <v>93.144099999999995</v>
      </c>
      <c r="E580" s="75">
        <v>93.768500000000003</v>
      </c>
      <c r="F580">
        <v>-557.70000000000005</v>
      </c>
      <c r="G580">
        <v>768.89999999999986</v>
      </c>
      <c r="H580">
        <v>-656</v>
      </c>
      <c r="I580">
        <v>-387.90000000000003</v>
      </c>
      <c r="J580">
        <v>-832.70000000000027</v>
      </c>
    </row>
    <row r="581" spans="1:10" x14ac:dyDescent="0.35">
      <c r="A581">
        <v>565</v>
      </c>
      <c r="B581" s="75">
        <v>89.69</v>
      </c>
      <c r="C581" s="75">
        <v>98.06</v>
      </c>
      <c r="D581" s="75">
        <v>93.59</v>
      </c>
      <c r="E581" s="75">
        <v>91.59</v>
      </c>
      <c r="F581">
        <v>-455.07</v>
      </c>
      <c r="G581">
        <v>228.45</v>
      </c>
      <c r="H581">
        <v>-1538</v>
      </c>
      <c r="I581">
        <v>1792.8999999999999</v>
      </c>
      <c r="J581">
        <v>28.279999999999973</v>
      </c>
    </row>
    <row r="582" spans="1:10" x14ac:dyDescent="0.35">
      <c r="A582">
        <v>566</v>
      </c>
      <c r="B582" s="75">
        <v>89.613100000000003</v>
      </c>
      <c r="C582" s="75">
        <v>96.984200000000001</v>
      </c>
      <c r="D582" s="75">
        <v>93.382300000000001</v>
      </c>
      <c r="E582" s="75">
        <v>93.572199999999995</v>
      </c>
      <c r="F582">
        <v>-196.35</v>
      </c>
      <c r="G582">
        <v>1838.55</v>
      </c>
      <c r="H582">
        <v>-1132.4000000000001</v>
      </c>
      <c r="I582">
        <v>-191.6</v>
      </c>
      <c r="J582">
        <v>318.19999999999993</v>
      </c>
    </row>
    <row r="583" spans="1:10" x14ac:dyDescent="0.35">
      <c r="A583">
        <v>567</v>
      </c>
      <c r="B583" s="75">
        <v>89.11</v>
      </c>
      <c r="C583" s="75">
        <v>97.64</v>
      </c>
      <c r="D583" s="75">
        <v>93.68</v>
      </c>
      <c r="E583" s="75">
        <v>95.68</v>
      </c>
      <c r="F583">
        <v>1457.28</v>
      </c>
      <c r="G583">
        <v>859.19999999999993</v>
      </c>
      <c r="H583">
        <v>-1725.4</v>
      </c>
      <c r="I583">
        <v>-2298.1</v>
      </c>
      <c r="J583">
        <v>-1707.02</v>
      </c>
    </row>
    <row r="584" spans="1:10" x14ac:dyDescent="0.35">
      <c r="A584">
        <v>568</v>
      </c>
      <c r="B584" s="75">
        <v>90.141099999999994</v>
      </c>
      <c r="C584" s="75">
        <v>97.497699999999995</v>
      </c>
      <c r="D584" s="75">
        <v>91.550700000000006</v>
      </c>
      <c r="E584" s="75">
        <v>92.632599999999996</v>
      </c>
      <c r="F584">
        <v>-1938.75</v>
      </c>
      <c r="G584">
        <v>1068.3000000000002</v>
      </c>
      <c r="H584">
        <v>2530.8000000000002</v>
      </c>
      <c r="I584">
        <v>748</v>
      </c>
      <c r="J584">
        <v>2408.3500000000004</v>
      </c>
    </row>
    <row r="585" spans="1:10" x14ac:dyDescent="0.35">
      <c r="A585">
        <v>569</v>
      </c>
      <c r="B585" s="75">
        <v>89.7</v>
      </c>
      <c r="C585" s="75">
        <v>97.56</v>
      </c>
      <c r="D585" s="75">
        <v>93.67</v>
      </c>
      <c r="E585" s="75">
        <v>93.11</v>
      </c>
      <c r="F585">
        <v>-478.17</v>
      </c>
      <c r="G585">
        <v>980.4</v>
      </c>
      <c r="H585">
        <v>-1713.6</v>
      </c>
      <c r="I585">
        <v>273</v>
      </c>
      <c r="J585">
        <v>-938.36999999999989</v>
      </c>
    </row>
    <row r="586" spans="1:10" x14ac:dyDescent="0.35">
      <c r="A586">
        <v>570</v>
      </c>
      <c r="B586" s="75">
        <v>88.406499999999994</v>
      </c>
      <c r="C586" s="75">
        <v>97.358599999999996</v>
      </c>
      <c r="D586" s="75">
        <v>91.540199999999999</v>
      </c>
      <c r="E586" s="75">
        <v>95.698800000000006</v>
      </c>
      <c r="F586">
        <v>3785.43</v>
      </c>
      <c r="G586">
        <v>1276.9499999999998</v>
      </c>
      <c r="H586">
        <v>2551.8000000000002</v>
      </c>
      <c r="I586">
        <v>-2318.1999999999998</v>
      </c>
      <c r="J586">
        <v>5295.98</v>
      </c>
    </row>
    <row r="587" spans="1:10" x14ac:dyDescent="0.35">
      <c r="A587">
        <v>571</v>
      </c>
      <c r="B587" s="75">
        <v>88.95</v>
      </c>
      <c r="C587" s="75">
        <v>99.32</v>
      </c>
      <c r="D587" s="75">
        <v>91.64</v>
      </c>
      <c r="E587" s="75">
        <v>91.12</v>
      </c>
      <c r="F587">
        <v>1981.65</v>
      </c>
      <c r="G587">
        <v>-1668.6000000000001</v>
      </c>
      <c r="H587">
        <v>2347.6</v>
      </c>
      <c r="I587">
        <v>2261.8000000000002</v>
      </c>
      <c r="J587">
        <v>4922.45</v>
      </c>
    </row>
    <row r="588" spans="1:10" x14ac:dyDescent="0.35">
      <c r="A588">
        <v>572</v>
      </c>
      <c r="B588" s="75">
        <v>89.667100000000005</v>
      </c>
      <c r="C588" s="75">
        <v>98.021100000000004</v>
      </c>
      <c r="D588" s="75">
        <v>92.659000000000006</v>
      </c>
      <c r="E588" s="75">
        <v>92.145799999999994</v>
      </c>
      <c r="F588">
        <v>-374.55</v>
      </c>
      <c r="G588">
        <v>283.2</v>
      </c>
      <c r="H588">
        <v>314.2</v>
      </c>
      <c r="I588">
        <v>1234.8</v>
      </c>
      <c r="J588">
        <v>1457.6499999999999</v>
      </c>
    </row>
    <row r="589" spans="1:10" x14ac:dyDescent="0.35">
      <c r="A589">
        <v>573</v>
      </c>
      <c r="B589" s="75">
        <v>89.27</v>
      </c>
      <c r="C589" s="75">
        <v>99.53</v>
      </c>
      <c r="D589" s="75">
        <v>90.58</v>
      </c>
      <c r="E589" s="75">
        <v>94.65</v>
      </c>
      <c r="F589">
        <v>936.87</v>
      </c>
      <c r="G589">
        <v>-1976.4</v>
      </c>
      <c r="H589">
        <v>4472.8</v>
      </c>
      <c r="I589">
        <v>-1271.2</v>
      </c>
      <c r="J589">
        <v>2162.0699999999997</v>
      </c>
    </row>
    <row r="590" spans="1:10" x14ac:dyDescent="0.35">
      <c r="A590">
        <v>574</v>
      </c>
      <c r="B590" s="75">
        <v>89.488</v>
      </c>
      <c r="C590" s="75">
        <v>97.5946</v>
      </c>
      <c r="D590" s="75">
        <v>91.860900000000001</v>
      </c>
      <c r="E590" s="75">
        <v>94.975099999999998</v>
      </c>
      <c r="F590">
        <v>216.48000000000002</v>
      </c>
      <c r="G590">
        <v>922.94999999999993</v>
      </c>
      <c r="H590">
        <v>1910.4</v>
      </c>
      <c r="I590">
        <v>-1594.5</v>
      </c>
      <c r="J590">
        <v>1455.33</v>
      </c>
    </row>
    <row r="591" spans="1:10" x14ac:dyDescent="0.35">
      <c r="A591">
        <v>575</v>
      </c>
      <c r="B591" s="75">
        <v>90.01</v>
      </c>
      <c r="C591" s="75">
        <v>98.76</v>
      </c>
      <c r="D591" s="75">
        <v>92.81</v>
      </c>
      <c r="E591" s="75">
        <v>94.4</v>
      </c>
      <c r="F591">
        <v>-1508.43</v>
      </c>
      <c r="G591">
        <v>-830.84999999999991</v>
      </c>
      <c r="H591">
        <v>3.2</v>
      </c>
      <c r="I591">
        <v>-1018.3</v>
      </c>
      <c r="J591">
        <v>-3354.38</v>
      </c>
    </row>
    <row r="592" spans="1:10" x14ac:dyDescent="0.35">
      <c r="A592">
        <v>576</v>
      </c>
      <c r="B592" s="75">
        <v>90.181600000000003</v>
      </c>
      <c r="C592" s="75">
        <v>97.273600000000002</v>
      </c>
      <c r="D592" s="75">
        <v>92.430300000000003</v>
      </c>
      <c r="E592" s="75">
        <v>91.087100000000007</v>
      </c>
      <c r="F592">
        <v>-2072.4</v>
      </c>
      <c r="G592">
        <v>1404.45</v>
      </c>
      <c r="H592">
        <v>771.59999999999991</v>
      </c>
      <c r="I592">
        <v>2293.5</v>
      </c>
      <c r="J592">
        <v>2397.1499999999996</v>
      </c>
    </row>
    <row r="593" spans="1:10" x14ac:dyDescent="0.35">
      <c r="A593">
        <v>577</v>
      </c>
      <c r="B593" s="75">
        <v>89.94</v>
      </c>
      <c r="C593" s="75">
        <v>99.15</v>
      </c>
      <c r="D593" s="75">
        <v>94.32</v>
      </c>
      <c r="E593" s="75">
        <v>93.78</v>
      </c>
      <c r="F593">
        <v>-1276.77</v>
      </c>
      <c r="G593">
        <v>-1411.95</v>
      </c>
      <c r="H593">
        <v>-3001.7999999999997</v>
      </c>
      <c r="I593">
        <v>-403.2</v>
      </c>
      <c r="J593">
        <v>-6093.72</v>
      </c>
    </row>
    <row r="594" spans="1:10" x14ac:dyDescent="0.35">
      <c r="A594">
        <v>578</v>
      </c>
      <c r="B594" s="75">
        <v>89.471699999999998</v>
      </c>
      <c r="C594" s="75">
        <v>97.784199999999998</v>
      </c>
      <c r="D594" s="75">
        <v>93.079099999999997</v>
      </c>
      <c r="E594" s="75">
        <v>89.6614</v>
      </c>
      <c r="F594">
        <v>270.27</v>
      </c>
      <c r="G594">
        <v>638.55000000000007</v>
      </c>
      <c r="H594">
        <v>-526</v>
      </c>
      <c r="I594">
        <v>3719.2</v>
      </c>
      <c r="J594">
        <v>4102.0199999999995</v>
      </c>
    </row>
    <row r="595" spans="1:10" x14ac:dyDescent="0.35">
      <c r="A595">
        <v>579</v>
      </c>
      <c r="B595" s="75">
        <v>90.19</v>
      </c>
      <c r="C595" s="75">
        <v>99.1</v>
      </c>
      <c r="D595" s="75">
        <v>92.13</v>
      </c>
      <c r="E595" s="75">
        <v>93.52</v>
      </c>
      <c r="F595">
        <v>-2093.19</v>
      </c>
      <c r="G595">
        <v>-1333.8</v>
      </c>
      <c r="H595">
        <v>1363.6</v>
      </c>
      <c r="I595">
        <v>-143.4</v>
      </c>
      <c r="J595">
        <v>-2206.79</v>
      </c>
    </row>
    <row r="596" spans="1:10" x14ac:dyDescent="0.35">
      <c r="A596">
        <v>580</v>
      </c>
      <c r="B596" s="75">
        <v>89.631500000000003</v>
      </c>
      <c r="C596" s="75">
        <v>99.015299999999996</v>
      </c>
      <c r="D596" s="75">
        <v>91.750699999999995</v>
      </c>
      <c r="E596" s="75">
        <v>95.341999999999999</v>
      </c>
      <c r="F596">
        <v>-257.07</v>
      </c>
      <c r="G596">
        <v>-1208.0999999999999</v>
      </c>
      <c r="H596">
        <v>2130.7999999999997</v>
      </c>
      <c r="I596">
        <v>-1961.4</v>
      </c>
      <c r="J596">
        <v>-1295.7700000000002</v>
      </c>
    </row>
    <row r="597" spans="1:10" x14ac:dyDescent="0.35">
      <c r="A597">
        <v>581</v>
      </c>
      <c r="B597" s="75">
        <v>89.45</v>
      </c>
      <c r="C597" s="75">
        <v>97.36</v>
      </c>
      <c r="D597" s="75">
        <v>93.27</v>
      </c>
      <c r="E597" s="75">
        <v>93.76</v>
      </c>
      <c r="F597">
        <v>327.02999999999997</v>
      </c>
      <c r="G597">
        <v>1275</v>
      </c>
      <c r="H597">
        <v>-906.2</v>
      </c>
      <c r="I597">
        <v>-380.40000000000003</v>
      </c>
      <c r="J597">
        <v>315.42999999999989</v>
      </c>
    </row>
    <row r="598" spans="1:10" x14ac:dyDescent="0.35">
      <c r="A598">
        <v>582</v>
      </c>
      <c r="B598" s="75">
        <v>90.060900000000004</v>
      </c>
      <c r="C598" s="75">
        <v>100.187</v>
      </c>
      <c r="D598" s="75">
        <v>91.138400000000004</v>
      </c>
      <c r="E598" s="75">
        <v>94.137299999999996</v>
      </c>
      <c r="F598">
        <v>-1674.09</v>
      </c>
      <c r="G598">
        <v>-2965.65</v>
      </c>
      <c r="H598">
        <v>3355.4</v>
      </c>
      <c r="I598">
        <v>-756.7</v>
      </c>
      <c r="J598">
        <v>-2041.0399999999997</v>
      </c>
    </row>
    <row r="599" spans="1:10" x14ac:dyDescent="0.35">
      <c r="A599">
        <v>583</v>
      </c>
      <c r="B599" s="75">
        <v>89.62</v>
      </c>
      <c r="C599" s="75">
        <v>97.37</v>
      </c>
      <c r="D599" s="75">
        <v>93.55</v>
      </c>
      <c r="E599" s="75">
        <v>94.26</v>
      </c>
      <c r="F599">
        <v>-217.14</v>
      </c>
      <c r="G599">
        <v>1254</v>
      </c>
      <c r="H599">
        <v>-1472.6</v>
      </c>
      <c r="I599">
        <v>-883.19999999999993</v>
      </c>
      <c r="J599">
        <v>-1318.9399999999996</v>
      </c>
    </row>
    <row r="600" spans="1:10" x14ac:dyDescent="0.35">
      <c r="A600">
        <v>584</v>
      </c>
      <c r="B600" s="75">
        <v>89.357399999999998</v>
      </c>
      <c r="C600" s="75">
        <v>97.671700000000001</v>
      </c>
      <c r="D600" s="75">
        <v>94.084500000000006</v>
      </c>
      <c r="E600" s="75">
        <v>92.759699999999995</v>
      </c>
      <c r="F600">
        <v>647.46</v>
      </c>
      <c r="G600">
        <v>807.30000000000007</v>
      </c>
      <c r="H600">
        <v>-2536.7999999999997</v>
      </c>
      <c r="I600">
        <v>620.9</v>
      </c>
      <c r="J600">
        <v>-461.13999999999953</v>
      </c>
    </row>
    <row r="601" spans="1:10" x14ac:dyDescent="0.35">
      <c r="A601">
        <v>585</v>
      </c>
      <c r="B601" s="75">
        <v>89.36</v>
      </c>
      <c r="C601" s="75">
        <v>96.65</v>
      </c>
      <c r="D601" s="75">
        <v>93.34</v>
      </c>
      <c r="E601" s="75">
        <v>93.99</v>
      </c>
      <c r="F601">
        <v>653.4</v>
      </c>
      <c r="G601">
        <v>2341.9499999999998</v>
      </c>
      <c r="H601">
        <v>-1045</v>
      </c>
      <c r="I601">
        <v>-614.29999999999995</v>
      </c>
      <c r="J601">
        <v>1336.05</v>
      </c>
    </row>
    <row r="602" spans="1:10" x14ac:dyDescent="0.35">
      <c r="A602">
        <v>586</v>
      </c>
      <c r="B602" s="75">
        <v>89.375200000000007</v>
      </c>
      <c r="C602" s="75">
        <v>98.160300000000007</v>
      </c>
      <c r="D602" s="75">
        <v>93.8</v>
      </c>
      <c r="E602" s="75">
        <v>95.370999999999995</v>
      </c>
      <c r="F602">
        <v>588.72</v>
      </c>
      <c r="G602">
        <v>74.399999999999991</v>
      </c>
      <c r="H602">
        <v>-1967.8</v>
      </c>
      <c r="I602">
        <v>-1990.3999999999999</v>
      </c>
      <c r="J602">
        <v>-3295.08</v>
      </c>
    </row>
    <row r="603" spans="1:10" x14ac:dyDescent="0.35">
      <c r="A603">
        <v>587</v>
      </c>
      <c r="B603" s="75">
        <v>89.68</v>
      </c>
      <c r="C603" s="75">
        <v>97.45</v>
      </c>
      <c r="D603" s="75">
        <v>92.92</v>
      </c>
      <c r="E603" s="75">
        <v>93.23</v>
      </c>
      <c r="F603">
        <v>-419.76000000000005</v>
      </c>
      <c r="G603">
        <v>1145.3999999999999</v>
      </c>
      <c r="H603">
        <v>-206.2</v>
      </c>
      <c r="I603">
        <v>149.5</v>
      </c>
      <c r="J603">
        <v>668.93999999999983</v>
      </c>
    </row>
    <row r="604" spans="1:10" x14ac:dyDescent="0.35">
      <c r="A604">
        <v>588</v>
      </c>
      <c r="B604" s="75">
        <v>90.148099999999999</v>
      </c>
      <c r="C604" s="75">
        <v>99.054500000000004</v>
      </c>
      <c r="D604" s="75">
        <v>92.542900000000003</v>
      </c>
      <c r="E604" s="75">
        <v>92.488299999999995</v>
      </c>
      <c r="F604">
        <v>-1961.8500000000001</v>
      </c>
      <c r="G604">
        <v>-1266.9000000000001</v>
      </c>
      <c r="H604">
        <v>546.4</v>
      </c>
      <c r="I604">
        <v>892.3</v>
      </c>
      <c r="J604">
        <v>-1790.05</v>
      </c>
    </row>
    <row r="605" spans="1:10" x14ac:dyDescent="0.35">
      <c r="A605">
        <v>589</v>
      </c>
      <c r="B605" s="75">
        <v>89.59</v>
      </c>
      <c r="C605" s="75">
        <v>98.53</v>
      </c>
      <c r="D605" s="75">
        <v>91.97</v>
      </c>
      <c r="E605" s="75">
        <v>95.3</v>
      </c>
      <c r="F605">
        <v>-132.99</v>
      </c>
      <c r="G605">
        <v>-475.04999999999995</v>
      </c>
      <c r="H605">
        <v>1691.6</v>
      </c>
      <c r="I605">
        <v>-1923</v>
      </c>
      <c r="J605">
        <v>-839.44</v>
      </c>
    </row>
    <row r="606" spans="1:10" x14ac:dyDescent="0.35">
      <c r="A606">
        <v>590</v>
      </c>
      <c r="B606" s="75">
        <v>88.979500000000002</v>
      </c>
      <c r="C606" s="75">
        <v>100.16379999999999</v>
      </c>
      <c r="D606" s="75">
        <v>93.584800000000001</v>
      </c>
      <c r="E606" s="75">
        <v>94.228700000000003</v>
      </c>
      <c r="F606">
        <v>1894.5300000000002</v>
      </c>
      <c r="G606">
        <v>-2930.85</v>
      </c>
      <c r="H606">
        <v>-1537.4</v>
      </c>
      <c r="I606">
        <v>-848.09999999999991</v>
      </c>
      <c r="J606">
        <v>-3421.8199999999997</v>
      </c>
    </row>
    <row r="607" spans="1:10" x14ac:dyDescent="0.35">
      <c r="A607">
        <v>591</v>
      </c>
      <c r="B607" s="75">
        <v>87.96</v>
      </c>
      <c r="C607" s="75">
        <v>98.08</v>
      </c>
      <c r="D607" s="75">
        <v>93.88</v>
      </c>
      <c r="E607" s="75">
        <v>93.2</v>
      </c>
      <c r="F607">
        <v>5265.48</v>
      </c>
      <c r="G607">
        <v>189.45</v>
      </c>
      <c r="H607">
        <v>-2132</v>
      </c>
      <c r="I607">
        <v>183.7</v>
      </c>
      <c r="J607">
        <v>3506.6299999999992</v>
      </c>
    </row>
    <row r="608" spans="1:10" x14ac:dyDescent="0.35">
      <c r="A608">
        <v>592</v>
      </c>
      <c r="B608" s="75">
        <v>89.166600000000003</v>
      </c>
      <c r="C608" s="75">
        <v>96.628699999999995</v>
      </c>
      <c r="D608" s="75">
        <v>92.063900000000004</v>
      </c>
      <c r="E608" s="75">
        <v>93.673900000000003</v>
      </c>
      <c r="F608">
        <v>1277.1000000000001</v>
      </c>
      <c r="G608">
        <v>2371.7999999999997</v>
      </c>
      <c r="H608">
        <v>1504.3999999999999</v>
      </c>
      <c r="I608">
        <v>-293.3</v>
      </c>
      <c r="J608">
        <v>4859.9999999999991</v>
      </c>
    </row>
    <row r="609" spans="1:10" x14ac:dyDescent="0.35">
      <c r="A609">
        <v>593</v>
      </c>
      <c r="B609" s="75">
        <v>89.56</v>
      </c>
      <c r="C609" s="75">
        <v>97.38</v>
      </c>
      <c r="D609" s="75">
        <v>94.21</v>
      </c>
      <c r="E609" s="75">
        <v>93</v>
      </c>
      <c r="F609">
        <v>-19.47</v>
      </c>
      <c r="G609">
        <v>1249.8000000000002</v>
      </c>
      <c r="H609">
        <v>-2790.6</v>
      </c>
      <c r="I609">
        <v>380.5</v>
      </c>
      <c r="J609">
        <v>-1179.7699999999998</v>
      </c>
    </row>
    <row r="610" spans="1:10" x14ac:dyDescent="0.35">
      <c r="A610">
        <v>594</v>
      </c>
      <c r="B610" s="75">
        <v>89.183400000000006</v>
      </c>
      <c r="C610" s="75">
        <v>98.553799999999995</v>
      </c>
      <c r="D610" s="75">
        <v>92.031000000000006</v>
      </c>
      <c r="E610" s="75">
        <v>95.359300000000005</v>
      </c>
      <c r="F610">
        <v>1221.6599999999999</v>
      </c>
      <c r="G610">
        <v>-515.85</v>
      </c>
      <c r="H610">
        <v>1570.2</v>
      </c>
      <c r="I610">
        <v>-1978.6999999999998</v>
      </c>
      <c r="J610">
        <v>297.30999999999995</v>
      </c>
    </row>
    <row r="611" spans="1:10" x14ac:dyDescent="0.35">
      <c r="A611">
        <v>595</v>
      </c>
      <c r="B611" s="75">
        <v>89.56</v>
      </c>
      <c r="C611" s="75">
        <v>98.76</v>
      </c>
      <c r="D611" s="75">
        <v>92.12</v>
      </c>
      <c r="E611" s="75">
        <v>93.59</v>
      </c>
      <c r="F611">
        <v>-16.169999999999998</v>
      </c>
      <c r="G611">
        <v>-829.19999999999993</v>
      </c>
      <c r="H611">
        <v>1398</v>
      </c>
      <c r="I611">
        <v>-209</v>
      </c>
      <c r="J611">
        <v>343.63000000000011</v>
      </c>
    </row>
    <row r="612" spans="1:10" x14ac:dyDescent="0.35">
      <c r="A612">
        <v>596</v>
      </c>
      <c r="B612" s="75">
        <v>88.6751</v>
      </c>
      <c r="C612" s="75">
        <v>98.499399999999994</v>
      </c>
      <c r="D612" s="75">
        <v>93.475099999999998</v>
      </c>
      <c r="E612" s="75">
        <v>94.742900000000006</v>
      </c>
      <c r="F612">
        <v>2899.0499999999997</v>
      </c>
      <c r="G612">
        <v>-434.24999999999994</v>
      </c>
      <c r="H612">
        <v>-1318</v>
      </c>
      <c r="I612">
        <v>-1362.3</v>
      </c>
      <c r="J612">
        <v>-215.50000000000023</v>
      </c>
    </row>
    <row r="613" spans="1:10" x14ac:dyDescent="0.35">
      <c r="A613">
        <v>597</v>
      </c>
      <c r="B613" s="75">
        <v>87.93</v>
      </c>
      <c r="C613" s="75">
        <v>97.92</v>
      </c>
      <c r="D613" s="75">
        <v>93.21</v>
      </c>
      <c r="E613" s="75">
        <v>93.66</v>
      </c>
      <c r="F613">
        <v>5373.39</v>
      </c>
      <c r="G613">
        <v>433.05</v>
      </c>
      <c r="H613">
        <v>-779.80000000000007</v>
      </c>
      <c r="I613">
        <v>-282.2</v>
      </c>
      <c r="J613">
        <v>4744.4400000000005</v>
      </c>
    </row>
    <row r="614" spans="1:10" x14ac:dyDescent="0.35">
      <c r="A614">
        <v>598</v>
      </c>
      <c r="B614" s="75">
        <v>89.889899999999997</v>
      </c>
      <c r="C614" s="75">
        <v>98.193700000000007</v>
      </c>
      <c r="D614" s="75">
        <v>93.138300000000001</v>
      </c>
      <c r="E614" s="75">
        <v>93.055599999999998</v>
      </c>
      <c r="F614">
        <v>-1109.79</v>
      </c>
      <c r="G614">
        <v>24.299999999999997</v>
      </c>
      <c r="H614">
        <v>-644.4</v>
      </c>
      <c r="I614">
        <v>325</v>
      </c>
      <c r="J614">
        <v>-1404.8899999999999</v>
      </c>
    </row>
    <row r="615" spans="1:10" x14ac:dyDescent="0.35">
      <c r="A615">
        <v>599</v>
      </c>
      <c r="B615" s="75">
        <v>89</v>
      </c>
      <c r="C615" s="75">
        <v>98.46</v>
      </c>
      <c r="D615" s="75">
        <v>92.14</v>
      </c>
      <c r="E615" s="75">
        <v>91.64</v>
      </c>
      <c r="F615">
        <v>1822.5900000000001</v>
      </c>
      <c r="G615">
        <v>-378.75</v>
      </c>
      <c r="H615">
        <v>1342.4</v>
      </c>
      <c r="I615">
        <v>1740.3</v>
      </c>
      <c r="J615">
        <v>4526.54</v>
      </c>
    </row>
    <row r="616" spans="1:10" x14ac:dyDescent="0.35">
      <c r="A616">
        <v>600</v>
      </c>
      <c r="B616" s="75">
        <v>89.583100000000002</v>
      </c>
      <c r="C616" s="75">
        <v>99.470299999999995</v>
      </c>
      <c r="D616" s="75">
        <v>94.076700000000002</v>
      </c>
      <c r="E616" s="75">
        <v>91.119</v>
      </c>
      <c r="F616">
        <v>-97.35</v>
      </c>
      <c r="G616">
        <v>-1890.6</v>
      </c>
      <c r="H616">
        <v>-2521.1999999999998</v>
      </c>
      <c r="I616">
        <v>2261.6</v>
      </c>
      <c r="J616">
        <v>-2247.5499999999997</v>
      </c>
    </row>
    <row r="617" spans="1:10" x14ac:dyDescent="0.35">
      <c r="A617">
        <v>601</v>
      </c>
      <c r="B617" s="75">
        <v>89.38</v>
      </c>
      <c r="C617" s="75">
        <v>97.05</v>
      </c>
      <c r="D617" s="75">
        <v>93.31</v>
      </c>
      <c r="E617" s="75">
        <v>91.39</v>
      </c>
      <c r="F617">
        <v>566.94000000000005</v>
      </c>
      <c r="G617">
        <v>1733.9999999999998</v>
      </c>
      <c r="H617">
        <v>-997.6</v>
      </c>
      <c r="I617">
        <v>1989.9</v>
      </c>
      <c r="J617">
        <v>3293.24</v>
      </c>
    </row>
    <row r="618" spans="1:10" x14ac:dyDescent="0.35">
      <c r="A618">
        <v>602</v>
      </c>
      <c r="B618" s="75">
        <v>89.462199999999996</v>
      </c>
      <c r="C618" s="75">
        <v>97.337400000000002</v>
      </c>
      <c r="D618" s="75">
        <v>93.645899999999997</v>
      </c>
      <c r="E618" s="75">
        <v>93.109099999999998</v>
      </c>
      <c r="F618">
        <v>301.62</v>
      </c>
      <c r="G618">
        <v>1308.75</v>
      </c>
      <c r="H618">
        <v>-1659.6</v>
      </c>
      <c r="I618">
        <v>271.5</v>
      </c>
      <c r="J618">
        <v>222.26999999999998</v>
      </c>
    </row>
    <row r="619" spans="1:10" x14ac:dyDescent="0.35">
      <c r="A619">
        <v>603</v>
      </c>
      <c r="B619" s="75">
        <v>90.3</v>
      </c>
      <c r="C619" s="75">
        <v>99.24</v>
      </c>
      <c r="D619" s="75">
        <v>94.63</v>
      </c>
      <c r="E619" s="75">
        <v>89.75</v>
      </c>
      <c r="F619">
        <v>-2447.94</v>
      </c>
      <c r="G619">
        <v>-1539.3</v>
      </c>
      <c r="H619">
        <v>-3620</v>
      </c>
      <c r="I619">
        <v>3626.6</v>
      </c>
      <c r="J619">
        <v>-3980.64</v>
      </c>
    </row>
    <row r="620" spans="1:10" x14ac:dyDescent="0.35">
      <c r="A620">
        <v>604</v>
      </c>
      <c r="B620" s="75">
        <v>90.417599999999993</v>
      </c>
      <c r="C620" s="75">
        <v>98.047799999999995</v>
      </c>
      <c r="D620" s="75">
        <v>92.881</v>
      </c>
      <c r="E620" s="75">
        <v>94.248699999999999</v>
      </c>
      <c r="F620">
        <v>-2851.2</v>
      </c>
      <c r="G620">
        <v>243.14999999999998</v>
      </c>
      <c r="H620">
        <v>-129.80000000000001</v>
      </c>
      <c r="I620">
        <v>-868.1</v>
      </c>
      <c r="J620">
        <v>-3605.95</v>
      </c>
    </row>
    <row r="621" spans="1:10" x14ac:dyDescent="0.35">
      <c r="A621">
        <v>605</v>
      </c>
      <c r="B621" s="75">
        <v>89.5</v>
      </c>
      <c r="C621" s="75">
        <v>98.49</v>
      </c>
      <c r="D621" s="75">
        <v>93.16</v>
      </c>
      <c r="E621" s="75">
        <v>92.9</v>
      </c>
      <c r="F621">
        <v>173.58</v>
      </c>
      <c r="G621">
        <v>-413.09999999999997</v>
      </c>
      <c r="H621">
        <v>-688.2</v>
      </c>
      <c r="I621">
        <v>483.20000000000005</v>
      </c>
      <c r="J621">
        <v>-444.52</v>
      </c>
    </row>
    <row r="622" spans="1:10" x14ac:dyDescent="0.35">
      <c r="A622">
        <v>606</v>
      </c>
      <c r="B622" s="75">
        <v>89.527500000000003</v>
      </c>
      <c r="C622" s="75">
        <v>98.947599999999994</v>
      </c>
      <c r="D622" s="75">
        <v>94.267499999999998</v>
      </c>
      <c r="E622" s="75">
        <v>92.9101</v>
      </c>
      <c r="F622">
        <v>86.13000000000001</v>
      </c>
      <c r="G622">
        <v>-1106.55</v>
      </c>
      <c r="H622">
        <v>-2902.8</v>
      </c>
      <c r="I622">
        <v>470.5</v>
      </c>
      <c r="J622">
        <v>-3452.7200000000003</v>
      </c>
    </row>
    <row r="623" spans="1:10" x14ac:dyDescent="0.35">
      <c r="A623">
        <v>607</v>
      </c>
      <c r="B623" s="75">
        <v>90.05</v>
      </c>
      <c r="C623" s="75">
        <v>98.31</v>
      </c>
      <c r="D623" s="75">
        <v>93.22</v>
      </c>
      <c r="E623" s="75">
        <v>94</v>
      </c>
      <c r="F623">
        <v>-1635.15</v>
      </c>
      <c r="G623">
        <v>-142.94999999999999</v>
      </c>
      <c r="H623">
        <v>-816.8</v>
      </c>
      <c r="I623">
        <v>-619</v>
      </c>
      <c r="J623">
        <v>-3213.9</v>
      </c>
    </row>
    <row r="624" spans="1:10" x14ac:dyDescent="0.35">
      <c r="A624">
        <v>608</v>
      </c>
      <c r="B624" s="75">
        <v>89.21</v>
      </c>
      <c r="C624" s="75">
        <v>97.5398</v>
      </c>
      <c r="D624" s="75">
        <v>93.319199999999995</v>
      </c>
      <c r="E624" s="75">
        <v>91.824100000000001</v>
      </c>
      <c r="F624">
        <v>1133.8800000000001</v>
      </c>
      <c r="G624">
        <v>1005.1500000000001</v>
      </c>
      <c r="H624">
        <v>-1006.1999999999999</v>
      </c>
      <c r="I624">
        <v>1556.5</v>
      </c>
      <c r="J624">
        <v>2689.3300000000004</v>
      </c>
    </row>
    <row r="625" spans="1:10" x14ac:dyDescent="0.35">
      <c r="A625">
        <v>609</v>
      </c>
      <c r="B625" s="75">
        <v>89.35</v>
      </c>
      <c r="C625" s="75">
        <v>98.75</v>
      </c>
      <c r="D625" s="75">
        <v>92.55</v>
      </c>
      <c r="E625" s="75">
        <v>93.67</v>
      </c>
      <c r="F625">
        <v>664.95</v>
      </c>
      <c r="G625">
        <v>-805.05</v>
      </c>
      <c r="H625">
        <v>541.6</v>
      </c>
      <c r="I625">
        <v>-293.2</v>
      </c>
      <c r="J625">
        <v>108.30000000000013</v>
      </c>
    </row>
    <row r="626" spans="1:10" x14ac:dyDescent="0.35">
      <c r="A626">
        <v>610</v>
      </c>
      <c r="B626" s="75">
        <v>90.640299999999996</v>
      </c>
      <c r="C626" s="75">
        <v>99.056200000000004</v>
      </c>
      <c r="D626" s="75">
        <v>91.301699999999997</v>
      </c>
      <c r="E626" s="75">
        <v>91.756299999999996</v>
      </c>
      <c r="F626">
        <v>-3586.11</v>
      </c>
      <c r="G626">
        <v>-1269.45</v>
      </c>
      <c r="H626">
        <v>3028.7999999999997</v>
      </c>
      <c r="I626">
        <v>1624.3000000000002</v>
      </c>
      <c r="J626">
        <v>-202.46000000000049</v>
      </c>
    </row>
    <row r="627" spans="1:10" x14ac:dyDescent="0.35">
      <c r="A627">
        <v>611</v>
      </c>
      <c r="B627" s="75">
        <v>88.99</v>
      </c>
      <c r="C627" s="75">
        <v>98.54</v>
      </c>
      <c r="D627" s="75">
        <v>92.48</v>
      </c>
      <c r="E627" s="75">
        <v>94.32</v>
      </c>
      <c r="F627">
        <v>1860.54</v>
      </c>
      <c r="G627">
        <v>-487.8</v>
      </c>
      <c r="H627">
        <v>677.4</v>
      </c>
      <c r="I627">
        <v>-935.6</v>
      </c>
      <c r="J627">
        <v>1114.54</v>
      </c>
    </row>
    <row r="628" spans="1:10" x14ac:dyDescent="0.35">
      <c r="A628">
        <v>612</v>
      </c>
      <c r="B628" s="75">
        <v>89.876300000000001</v>
      </c>
      <c r="C628" s="75">
        <v>97.219099999999997</v>
      </c>
      <c r="D628" s="75">
        <v>92.816299999999998</v>
      </c>
      <c r="E628" s="75">
        <v>93.736599999999996</v>
      </c>
      <c r="F628">
        <v>-1064.9099999999999</v>
      </c>
      <c r="G628">
        <v>1486.2</v>
      </c>
      <c r="H628">
        <v>-0.4</v>
      </c>
      <c r="I628">
        <v>-356</v>
      </c>
      <c r="J628">
        <v>64.890000000000214</v>
      </c>
    </row>
    <row r="629" spans="1:10" x14ac:dyDescent="0.35">
      <c r="A629">
        <v>613</v>
      </c>
      <c r="B629" s="75">
        <v>89.42</v>
      </c>
      <c r="C629" s="75">
        <v>98.35</v>
      </c>
      <c r="D629" s="75">
        <v>93.56</v>
      </c>
      <c r="E629" s="75">
        <v>94.1</v>
      </c>
      <c r="F629">
        <v>450.12</v>
      </c>
      <c r="G629">
        <v>-216.15</v>
      </c>
      <c r="H629">
        <v>-1495.6000000000001</v>
      </c>
      <c r="I629">
        <v>-718.6</v>
      </c>
      <c r="J629">
        <v>-1980.23</v>
      </c>
    </row>
    <row r="630" spans="1:10" x14ac:dyDescent="0.35">
      <c r="A630">
        <v>614</v>
      </c>
      <c r="B630" s="75">
        <v>89.851699999999994</v>
      </c>
      <c r="C630" s="75">
        <v>97.690200000000004</v>
      </c>
      <c r="D630" s="75">
        <v>93.363100000000003</v>
      </c>
      <c r="E630" s="75">
        <v>94.057100000000005</v>
      </c>
      <c r="F630">
        <v>-983.7299999999999</v>
      </c>
      <c r="G630">
        <v>779.55000000000007</v>
      </c>
      <c r="H630">
        <v>-1094</v>
      </c>
      <c r="I630">
        <v>-676.5</v>
      </c>
      <c r="J630">
        <v>-1974.6799999999998</v>
      </c>
    </row>
    <row r="631" spans="1:10" x14ac:dyDescent="0.35">
      <c r="A631">
        <v>615</v>
      </c>
      <c r="B631" s="75">
        <v>89.4</v>
      </c>
      <c r="C631" s="75">
        <v>98.65</v>
      </c>
      <c r="D631" s="75">
        <v>91.84</v>
      </c>
      <c r="E631" s="75">
        <v>94.55</v>
      </c>
      <c r="F631">
        <v>507.21000000000004</v>
      </c>
      <c r="G631">
        <v>-663.6</v>
      </c>
      <c r="H631">
        <v>1942.6000000000001</v>
      </c>
      <c r="I631">
        <v>-1166</v>
      </c>
      <c r="J631">
        <v>620.21</v>
      </c>
    </row>
    <row r="632" spans="1:10" x14ac:dyDescent="0.35">
      <c r="A632">
        <v>616</v>
      </c>
      <c r="B632" s="75">
        <v>89.369299999999996</v>
      </c>
      <c r="C632" s="75">
        <v>100.6692</v>
      </c>
      <c r="D632" s="75">
        <v>91.305099999999996</v>
      </c>
      <c r="E632" s="75">
        <v>94.900700000000001</v>
      </c>
      <c r="F632">
        <v>608.18999999999994</v>
      </c>
      <c r="G632">
        <v>-3688.95</v>
      </c>
      <c r="H632">
        <v>3022</v>
      </c>
      <c r="I632">
        <v>-1520.1</v>
      </c>
      <c r="J632">
        <v>-1578.8599999999997</v>
      </c>
    </row>
    <row r="633" spans="1:10" x14ac:dyDescent="0.35">
      <c r="A633">
        <v>617</v>
      </c>
      <c r="B633" s="75">
        <v>89.43</v>
      </c>
      <c r="C633" s="75">
        <v>98.92</v>
      </c>
      <c r="D633" s="75">
        <v>92.33</v>
      </c>
      <c r="E633" s="75">
        <v>92.9</v>
      </c>
      <c r="F633">
        <v>401.94</v>
      </c>
      <c r="G633">
        <v>-1068.3000000000002</v>
      </c>
      <c r="H633">
        <v>979.40000000000009</v>
      </c>
      <c r="I633">
        <v>485.20000000000005</v>
      </c>
      <c r="J633">
        <v>798.24</v>
      </c>
    </row>
    <row r="634" spans="1:10" x14ac:dyDescent="0.35">
      <c r="A634">
        <v>618</v>
      </c>
      <c r="B634" s="75">
        <v>90.749799999999993</v>
      </c>
      <c r="C634" s="75">
        <v>99.140900000000002</v>
      </c>
      <c r="D634" s="75">
        <v>92.037899999999993</v>
      </c>
      <c r="E634" s="75">
        <v>91.584100000000007</v>
      </c>
      <c r="F634">
        <v>-3947.4599999999996</v>
      </c>
      <c r="G634">
        <v>-1396.5</v>
      </c>
      <c r="H634">
        <v>1556.4</v>
      </c>
      <c r="I634">
        <v>1796.5</v>
      </c>
      <c r="J634">
        <v>-1991.059999999999</v>
      </c>
    </row>
    <row r="635" spans="1:10" x14ac:dyDescent="0.35">
      <c r="A635">
        <v>619</v>
      </c>
      <c r="B635" s="75">
        <v>88.98</v>
      </c>
      <c r="C635" s="75">
        <v>97.97</v>
      </c>
      <c r="D635" s="75">
        <v>93.17</v>
      </c>
      <c r="E635" s="75">
        <v>95.03</v>
      </c>
      <c r="F635">
        <v>1895.8500000000001</v>
      </c>
      <c r="G635">
        <v>357.6</v>
      </c>
      <c r="H635">
        <v>-710</v>
      </c>
      <c r="I635">
        <v>-1646.4</v>
      </c>
      <c r="J635">
        <v>-102.94999999999982</v>
      </c>
    </row>
    <row r="636" spans="1:10" x14ac:dyDescent="0.35">
      <c r="A636">
        <v>620</v>
      </c>
      <c r="B636" s="75">
        <v>89.155900000000003</v>
      </c>
      <c r="C636" s="75">
        <v>96.342100000000002</v>
      </c>
      <c r="D636" s="75">
        <v>92.435299999999998</v>
      </c>
      <c r="E636" s="75">
        <v>94.311899999999994</v>
      </c>
      <c r="F636">
        <v>1312.41</v>
      </c>
      <c r="G636">
        <v>2801.7</v>
      </c>
      <c r="H636">
        <v>761.6</v>
      </c>
      <c r="I636">
        <v>-931.30000000000007</v>
      </c>
      <c r="J636">
        <v>3944.41</v>
      </c>
    </row>
    <row r="637" spans="1:10" x14ac:dyDescent="0.35">
      <c r="A637">
        <v>621</v>
      </c>
      <c r="B637" s="75">
        <v>88.57</v>
      </c>
      <c r="C637" s="75">
        <v>99.51</v>
      </c>
      <c r="D637" s="75">
        <v>92.6</v>
      </c>
      <c r="E637" s="75">
        <v>96.42</v>
      </c>
      <c r="F637">
        <v>3251.49</v>
      </c>
      <c r="G637">
        <v>-1951.9499999999998</v>
      </c>
      <c r="H637">
        <v>427</v>
      </c>
      <c r="I637">
        <v>-3035.8999999999996</v>
      </c>
      <c r="J637">
        <v>-1309.3599999999997</v>
      </c>
    </row>
    <row r="638" spans="1:10" x14ac:dyDescent="0.35">
      <c r="A638">
        <v>622</v>
      </c>
      <c r="B638" s="75">
        <v>89.559100000000001</v>
      </c>
      <c r="C638" s="75">
        <v>97.007499999999993</v>
      </c>
      <c r="D638" s="75">
        <v>92.077699999999993</v>
      </c>
      <c r="E638" s="75">
        <v>95.7697</v>
      </c>
      <c r="F638">
        <v>-18.149999999999999</v>
      </c>
      <c r="G638">
        <v>1803.6</v>
      </c>
      <c r="H638">
        <v>1476.8</v>
      </c>
      <c r="I638">
        <v>-2389.1</v>
      </c>
      <c r="J638">
        <v>873.15000000000009</v>
      </c>
    </row>
    <row r="639" spans="1:10" x14ac:dyDescent="0.35">
      <c r="A639">
        <v>623</v>
      </c>
      <c r="B639" s="75">
        <v>89.96</v>
      </c>
      <c r="C639" s="75">
        <v>98.32</v>
      </c>
      <c r="D639" s="75">
        <v>90.84</v>
      </c>
      <c r="E639" s="75">
        <v>92.1</v>
      </c>
      <c r="F639">
        <v>-1327.59</v>
      </c>
      <c r="G639">
        <v>-165.45</v>
      </c>
      <c r="H639">
        <v>3947</v>
      </c>
      <c r="I639">
        <v>1281.4000000000001</v>
      </c>
      <c r="J639">
        <v>3735.36</v>
      </c>
    </row>
    <row r="640" spans="1:10" x14ac:dyDescent="0.35">
      <c r="A640">
        <v>624</v>
      </c>
      <c r="B640" s="75">
        <v>89.283699999999996</v>
      </c>
      <c r="C640" s="75">
        <v>98.526899999999998</v>
      </c>
      <c r="D640" s="75">
        <v>93.906000000000006</v>
      </c>
      <c r="E640" s="75">
        <v>90.878500000000003</v>
      </c>
      <c r="F640">
        <v>890.67</v>
      </c>
      <c r="G640">
        <v>-475.5</v>
      </c>
      <c r="H640">
        <v>-2179.8000000000002</v>
      </c>
      <c r="I640">
        <v>2502.1</v>
      </c>
      <c r="J640">
        <v>737.4699999999998</v>
      </c>
    </row>
    <row r="641" spans="1:10" x14ac:dyDescent="0.35">
      <c r="A641">
        <v>625</v>
      </c>
      <c r="B641" s="75">
        <v>89.71</v>
      </c>
      <c r="C641" s="75">
        <v>99.01</v>
      </c>
      <c r="D641" s="75">
        <v>93.91</v>
      </c>
      <c r="E641" s="75">
        <v>92.78</v>
      </c>
      <c r="F641">
        <v>-511.5</v>
      </c>
      <c r="G641">
        <v>-1199.7</v>
      </c>
      <c r="H641">
        <v>-2179.1999999999998</v>
      </c>
      <c r="I641">
        <v>599.9</v>
      </c>
      <c r="J641">
        <v>-3290.4999999999995</v>
      </c>
    </row>
    <row r="642" spans="1:10" x14ac:dyDescent="0.35">
      <c r="A642">
        <v>626</v>
      </c>
      <c r="B642" s="75">
        <v>89.333100000000002</v>
      </c>
      <c r="C642" s="75">
        <v>97.768600000000006</v>
      </c>
      <c r="D642" s="75">
        <v>92.267700000000005</v>
      </c>
      <c r="E642" s="75">
        <v>94.691199999999995</v>
      </c>
      <c r="F642">
        <v>727.65</v>
      </c>
      <c r="G642">
        <v>661.95</v>
      </c>
      <c r="H642">
        <v>1096.8</v>
      </c>
      <c r="I642">
        <v>-1310.5999999999999</v>
      </c>
      <c r="J642">
        <v>1175.7999999999997</v>
      </c>
    </row>
    <row r="643" spans="1:10" x14ac:dyDescent="0.35">
      <c r="A643">
        <v>627</v>
      </c>
      <c r="B643" s="75">
        <v>90.11</v>
      </c>
      <c r="C643" s="75">
        <v>98.71</v>
      </c>
      <c r="D643" s="75">
        <v>92.68</v>
      </c>
      <c r="E643" s="75">
        <v>92.03</v>
      </c>
      <c r="F643">
        <v>-1849.65</v>
      </c>
      <c r="G643">
        <v>-742.8</v>
      </c>
      <c r="H643">
        <v>281.2</v>
      </c>
      <c r="I643">
        <v>1352.2</v>
      </c>
      <c r="J643">
        <v>-959.05</v>
      </c>
    </row>
    <row r="644" spans="1:10" x14ac:dyDescent="0.35">
      <c r="A644">
        <v>628</v>
      </c>
      <c r="B644" s="75">
        <v>89.849500000000006</v>
      </c>
      <c r="C644" s="75">
        <v>97.972700000000003</v>
      </c>
      <c r="D644" s="75">
        <v>93.476699999999994</v>
      </c>
      <c r="E644" s="75">
        <v>92.578000000000003</v>
      </c>
      <c r="F644">
        <v>-976.47</v>
      </c>
      <c r="G644">
        <v>355.8</v>
      </c>
      <c r="H644">
        <v>-1321.1999999999998</v>
      </c>
      <c r="I644">
        <v>802.6</v>
      </c>
      <c r="J644">
        <v>-1139.27</v>
      </c>
    </row>
    <row r="645" spans="1:10" x14ac:dyDescent="0.35">
      <c r="A645">
        <v>629</v>
      </c>
      <c r="B645" s="75">
        <v>90.64</v>
      </c>
      <c r="C645" s="75">
        <v>98.09</v>
      </c>
      <c r="D645" s="75">
        <v>93.33</v>
      </c>
      <c r="E645" s="75">
        <v>94.07</v>
      </c>
      <c r="F645">
        <v>-3592.71</v>
      </c>
      <c r="G645">
        <v>174</v>
      </c>
      <c r="H645">
        <v>-1025</v>
      </c>
      <c r="I645">
        <v>-684.69999999999993</v>
      </c>
      <c r="J645">
        <v>-5128.41</v>
      </c>
    </row>
    <row r="646" spans="1:10" x14ac:dyDescent="0.35">
      <c r="A646">
        <v>630</v>
      </c>
      <c r="B646" s="75">
        <v>89.256500000000003</v>
      </c>
      <c r="C646" s="75">
        <v>97.718699999999998</v>
      </c>
      <c r="D646" s="75">
        <v>93.004000000000005</v>
      </c>
      <c r="E646" s="75">
        <v>93.1661</v>
      </c>
      <c r="F646">
        <v>980.43</v>
      </c>
      <c r="G646">
        <v>736.80000000000007</v>
      </c>
      <c r="H646">
        <v>-375.8</v>
      </c>
      <c r="I646">
        <v>214.5</v>
      </c>
      <c r="J646">
        <v>1555.93</v>
      </c>
    </row>
    <row r="647" spans="1:10" x14ac:dyDescent="0.35">
      <c r="A647">
        <v>631</v>
      </c>
      <c r="B647" s="75">
        <v>89.25</v>
      </c>
      <c r="C647" s="75">
        <v>97.13</v>
      </c>
      <c r="D647" s="75">
        <v>92.77</v>
      </c>
      <c r="E647" s="75">
        <v>90.09</v>
      </c>
      <c r="F647">
        <v>1003.1999999999999</v>
      </c>
      <c r="G647">
        <v>1624.5</v>
      </c>
      <c r="H647">
        <v>96.199999999999989</v>
      </c>
      <c r="I647">
        <v>3290.2</v>
      </c>
      <c r="J647">
        <v>6014.0999999999995</v>
      </c>
    </row>
    <row r="648" spans="1:10" x14ac:dyDescent="0.35">
      <c r="A648">
        <v>632</v>
      </c>
      <c r="B648" s="75">
        <v>89.624200000000002</v>
      </c>
      <c r="C648" s="75">
        <v>98.006200000000007</v>
      </c>
      <c r="D648" s="75">
        <v>92.563999999999993</v>
      </c>
      <c r="E648" s="75">
        <v>91.369699999999995</v>
      </c>
      <c r="F648">
        <v>-232.98</v>
      </c>
      <c r="G648">
        <v>305.55</v>
      </c>
      <c r="H648">
        <v>504.2</v>
      </c>
      <c r="I648">
        <v>2010.8999999999999</v>
      </c>
      <c r="J648">
        <v>2587.67</v>
      </c>
    </row>
    <row r="649" spans="1:10" x14ac:dyDescent="0.35">
      <c r="A649">
        <v>633</v>
      </c>
      <c r="B649" s="75">
        <v>88.93</v>
      </c>
      <c r="C649" s="75">
        <v>96.79</v>
      </c>
      <c r="D649" s="75">
        <v>92.85</v>
      </c>
      <c r="E649" s="75">
        <v>89.28</v>
      </c>
      <c r="F649">
        <v>2060.19</v>
      </c>
      <c r="G649">
        <v>2125.2000000000003</v>
      </c>
      <c r="H649">
        <v>-58.8</v>
      </c>
      <c r="I649">
        <v>4097.4000000000005</v>
      </c>
      <c r="J649">
        <v>8223.9900000000016</v>
      </c>
    </row>
    <row r="650" spans="1:10" x14ac:dyDescent="0.35">
      <c r="A650">
        <v>634</v>
      </c>
      <c r="B650" s="75">
        <v>89.521199999999993</v>
      </c>
      <c r="C650" s="75">
        <v>96.986099999999993</v>
      </c>
      <c r="D650" s="75">
        <v>92.041399999999996</v>
      </c>
      <c r="E650" s="75">
        <v>94.277900000000002</v>
      </c>
      <c r="F650">
        <v>106.91999999999999</v>
      </c>
      <c r="G650">
        <v>1835.7</v>
      </c>
      <c r="H650">
        <v>1549.4</v>
      </c>
      <c r="I650">
        <v>-897.3</v>
      </c>
      <c r="J650">
        <v>2594.7200000000003</v>
      </c>
    </row>
    <row r="651" spans="1:10" x14ac:dyDescent="0.35">
      <c r="A651">
        <v>635</v>
      </c>
      <c r="B651" s="75">
        <v>89.63</v>
      </c>
      <c r="C651" s="75">
        <v>98.92</v>
      </c>
      <c r="D651" s="75">
        <v>93.37</v>
      </c>
      <c r="E651" s="75">
        <v>97.04</v>
      </c>
      <c r="F651">
        <v>-253.76999999999998</v>
      </c>
      <c r="G651">
        <v>-1071.1499999999999</v>
      </c>
      <c r="H651">
        <v>-1114.4000000000001</v>
      </c>
      <c r="I651">
        <v>-3662.7999999999997</v>
      </c>
      <c r="J651">
        <v>-6102.119999999999</v>
      </c>
    </row>
    <row r="652" spans="1:10" x14ac:dyDescent="0.35">
      <c r="A652">
        <v>636</v>
      </c>
      <c r="B652" s="75">
        <v>90.026600000000002</v>
      </c>
      <c r="C652" s="75">
        <v>97.884600000000006</v>
      </c>
      <c r="D652" s="75">
        <v>93.966899999999995</v>
      </c>
      <c r="E652" s="75">
        <v>95.013900000000007</v>
      </c>
      <c r="F652">
        <v>-1560.8999999999999</v>
      </c>
      <c r="G652">
        <v>487.95</v>
      </c>
      <c r="H652">
        <v>-2301.6</v>
      </c>
      <c r="I652">
        <v>-1633.3</v>
      </c>
      <c r="J652">
        <v>-5007.8499999999995</v>
      </c>
    </row>
    <row r="653" spans="1:10" x14ac:dyDescent="0.35">
      <c r="A653">
        <v>637</v>
      </c>
      <c r="B653" s="75">
        <v>90.39</v>
      </c>
      <c r="C653" s="75">
        <v>97.36</v>
      </c>
      <c r="D653" s="75">
        <v>92.85</v>
      </c>
      <c r="E653" s="75">
        <v>95.43</v>
      </c>
      <c r="F653">
        <v>-2764.08</v>
      </c>
      <c r="G653">
        <v>1281.6000000000001</v>
      </c>
      <c r="H653">
        <v>-75.399999999999991</v>
      </c>
      <c r="I653">
        <v>-2053.3000000000002</v>
      </c>
      <c r="J653">
        <v>-3611.1800000000003</v>
      </c>
    </row>
    <row r="654" spans="1:10" x14ac:dyDescent="0.35">
      <c r="A654">
        <v>638</v>
      </c>
      <c r="B654" s="75">
        <v>90.4499</v>
      </c>
      <c r="C654" s="75">
        <v>98.073400000000007</v>
      </c>
      <c r="D654" s="75">
        <v>92.348500000000001</v>
      </c>
      <c r="E654" s="75">
        <v>94.043800000000005</v>
      </c>
      <c r="F654">
        <v>-2957.79</v>
      </c>
      <c r="G654">
        <v>204.75000000000003</v>
      </c>
      <c r="H654">
        <v>935.2</v>
      </c>
      <c r="I654">
        <v>-663.2</v>
      </c>
      <c r="J654">
        <v>-2481.04</v>
      </c>
    </row>
    <row r="655" spans="1:10" x14ac:dyDescent="0.35">
      <c r="A655">
        <v>639</v>
      </c>
      <c r="B655" s="75">
        <v>88.95</v>
      </c>
      <c r="C655" s="75">
        <v>97.35</v>
      </c>
      <c r="D655" s="75">
        <v>94.09</v>
      </c>
      <c r="E655" s="75">
        <v>94.19</v>
      </c>
      <c r="F655">
        <v>1998.81</v>
      </c>
      <c r="G655">
        <v>1288.2</v>
      </c>
      <c r="H655">
        <v>-2541.6</v>
      </c>
      <c r="I655">
        <v>-810.69999999999993</v>
      </c>
      <c r="J655">
        <v>-65.289999999999623</v>
      </c>
    </row>
    <row r="656" spans="1:10" x14ac:dyDescent="0.35">
      <c r="A656">
        <v>640</v>
      </c>
      <c r="B656" s="75">
        <v>89.680999999999997</v>
      </c>
      <c r="C656" s="75">
        <v>96.371300000000005</v>
      </c>
      <c r="D656" s="75">
        <v>92.281700000000001</v>
      </c>
      <c r="E656" s="75">
        <v>90.937299999999993</v>
      </c>
      <c r="F656">
        <v>-420.42</v>
      </c>
      <c r="G656">
        <v>2757.9</v>
      </c>
      <c r="H656">
        <v>1068.8</v>
      </c>
      <c r="I656">
        <v>2443.2999999999997</v>
      </c>
      <c r="J656">
        <v>5849.58</v>
      </c>
    </row>
    <row r="657" spans="1:10" x14ac:dyDescent="0.35">
      <c r="A657">
        <v>641</v>
      </c>
      <c r="B657" s="75">
        <v>89.91</v>
      </c>
      <c r="C657" s="75">
        <v>98.32</v>
      </c>
      <c r="D657" s="75">
        <v>93.08</v>
      </c>
      <c r="E657" s="75">
        <v>92.81</v>
      </c>
      <c r="F657">
        <v>-1179.75</v>
      </c>
      <c r="G657">
        <v>-170.7</v>
      </c>
      <c r="H657">
        <v>-526.20000000000005</v>
      </c>
      <c r="I657">
        <v>569.69999999999993</v>
      </c>
      <c r="J657">
        <v>-1306.9500000000003</v>
      </c>
    </row>
    <row r="658" spans="1:10" x14ac:dyDescent="0.35">
      <c r="A658">
        <v>642</v>
      </c>
      <c r="B658" s="75">
        <v>88.629599999999996</v>
      </c>
      <c r="C658" s="75">
        <v>97.9298</v>
      </c>
      <c r="D658" s="75">
        <v>94.315700000000007</v>
      </c>
      <c r="E658" s="75">
        <v>95.736400000000003</v>
      </c>
      <c r="F658">
        <v>3049.2000000000003</v>
      </c>
      <c r="G658">
        <v>420.15000000000003</v>
      </c>
      <c r="H658">
        <v>-2999.2000000000003</v>
      </c>
      <c r="I658">
        <v>-2355.7999999999997</v>
      </c>
      <c r="J658">
        <v>-1885.6499999999996</v>
      </c>
    </row>
    <row r="659" spans="1:10" x14ac:dyDescent="0.35">
      <c r="A659">
        <v>643</v>
      </c>
      <c r="B659" s="75">
        <v>90.64</v>
      </c>
      <c r="C659" s="75">
        <v>98.03</v>
      </c>
      <c r="D659" s="75">
        <v>93.11</v>
      </c>
      <c r="E659" s="75">
        <v>94.1</v>
      </c>
      <c r="F659">
        <v>-3578.85</v>
      </c>
      <c r="G659">
        <v>275.7</v>
      </c>
      <c r="H659">
        <v>-582.6</v>
      </c>
      <c r="I659">
        <v>-715.09999999999991</v>
      </c>
      <c r="J659">
        <v>-4600.8500000000004</v>
      </c>
    </row>
    <row r="660" spans="1:10" x14ac:dyDescent="0.35">
      <c r="A660">
        <v>644</v>
      </c>
      <c r="B660" s="75">
        <v>89.065899999999999</v>
      </c>
      <c r="C660" s="75">
        <v>99.075400000000002</v>
      </c>
      <c r="D660" s="75">
        <v>94.731300000000005</v>
      </c>
      <c r="E660" s="75">
        <v>93.271100000000004</v>
      </c>
      <c r="F660">
        <v>1609.41</v>
      </c>
      <c r="G660">
        <v>-1298.25</v>
      </c>
      <c r="H660">
        <v>-3830.4</v>
      </c>
      <c r="I660">
        <v>109.5</v>
      </c>
      <c r="J660">
        <v>-3409.74</v>
      </c>
    </row>
    <row r="661" spans="1:10" x14ac:dyDescent="0.35">
      <c r="A661">
        <v>645</v>
      </c>
      <c r="B661" s="75">
        <v>88.47</v>
      </c>
      <c r="C661" s="75">
        <v>98.47</v>
      </c>
      <c r="D661" s="75">
        <v>92.5</v>
      </c>
      <c r="E661" s="75">
        <v>92.32</v>
      </c>
      <c r="F661">
        <v>3589.7400000000002</v>
      </c>
      <c r="G661">
        <v>-389.7</v>
      </c>
      <c r="H661">
        <v>627</v>
      </c>
      <c r="I661">
        <v>1065</v>
      </c>
      <c r="J661">
        <v>4892.0400000000009</v>
      </c>
    </row>
    <row r="662" spans="1:10" x14ac:dyDescent="0.35">
      <c r="A662">
        <v>646</v>
      </c>
      <c r="B662" s="75">
        <v>89.033299999999997</v>
      </c>
      <c r="C662" s="75">
        <v>99.615399999999994</v>
      </c>
      <c r="D662" s="75">
        <v>92.921000000000006</v>
      </c>
      <c r="E662" s="75">
        <v>93.801699999999997</v>
      </c>
      <c r="F662">
        <v>1716.99</v>
      </c>
      <c r="G662">
        <v>-2108.25</v>
      </c>
      <c r="H662">
        <v>-209.79999999999998</v>
      </c>
      <c r="I662">
        <v>-421.09999999999997</v>
      </c>
      <c r="J662">
        <v>-1022.1599999999999</v>
      </c>
    </row>
    <row r="663" spans="1:10" x14ac:dyDescent="0.35">
      <c r="A663">
        <v>647</v>
      </c>
      <c r="B663" s="75">
        <v>89.15</v>
      </c>
      <c r="C663" s="75">
        <v>97.95</v>
      </c>
      <c r="D663" s="75">
        <v>92.49</v>
      </c>
      <c r="E663" s="75">
        <v>91.36</v>
      </c>
      <c r="F663">
        <v>1332.87</v>
      </c>
      <c r="G663">
        <v>395.4</v>
      </c>
      <c r="H663">
        <v>660</v>
      </c>
      <c r="I663">
        <v>2020.3999999999999</v>
      </c>
      <c r="J663">
        <v>4408.67</v>
      </c>
    </row>
    <row r="664" spans="1:10" x14ac:dyDescent="0.35">
      <c r="A664">
        <v>648</v>
      </c>
      <c r="B664" s="75">
        <v>89.195499999999996</v>
      </c>
      <c r="C664" s="75">
        <v>98.714100000000002</v>
      </c>
      <c r="D664" s="75">
        <v>95.586200000000005</v>
      </c>
      <c r="E664" s="75">
        <v>94.737300000000005</v>
      </c>
      <c r="F664">
        <v>1181.73</v>
      </c>
      <c r="G664">
        <v>-756.3</v>
      </c>
      <c r="H664">
        <v>-5540.2</v>
      </c>
      <c r="I664">
        <v>-1356.7</v>
      </c>
      <c r="J664">
        <v>-6471.4699999999993</v>
      </c>
    </row>
    <row r="665" spans="1:10" x14ac:dyDescent="0.35">
      <c r="A665">
        <v>649</v>
      </c>
      <c r="B665" s="75">
        <v>88.84</v>
      </c>
      <c r="C665" s="75">
        <v>98.11</v>
      </c>
      <c r="D665" s="75">
        <v>93.06</v>
      </c>
      <c r="E665" s="75">
        <v>93.71</v>
      </c>
      <c r="F665">
        <v>2356.5299999999997</v>
      </c>
      <c r="G665">
        <v>147.89999999999998</v>
      </c>
      <c r="H665">
        <v>-495.2</v>
      </c>
      <c r="I665">
        <v>-330.40000000000003</v>
      </c>
      <c r="J665">
        <v>1678.8299999999997</v>
      </c>
    </row>
    <row r="666" spans="1:10" x14ac:dyDescent="0.35">
      <c r="A666">
        <v>650</v>
      </c>
      <c r="B666" s="75">
        <v>89.999399999999994</v>
      </c>
      <c r="C666" s="75">
        <v>97.2637</v>
      </c>
      <c r="D666" s="75">
        <v>91.697199999999995</v>
      </c>
      <c r="E666" s="75">
        <v>92.230599999999995</v>
      </c>
      <c r="F666">
        <v>-1471.1399999999999</v>
      </c>
      <c r="G666">
        <v>1419.3</v>
      </c>
      <c r="H666">
        <v>2237.8000000000002</v>
      </c>
      <c r="I666">
        <v>1150</v>
      </c>
      <c r="J666">
        <v>3335.96</v>
      </c>
    </row>
    <row r="667" spans="1:10" x14ac:dyDescent="0.35">
      <c r="A667">
        <v>651</v>
      </c>
      <c r="B667" s="75">
        <v>89.82</v>
      </c>
      <c r="C667" s="75">
        <v>99.88</v>
      </c>
      <c r="D667" s="75">
        <v>94.17</v>
      </c>
      <c r="E667" s="75">
        <v>94.02</v>
      </c>
      <c r="F667">
        <v>-864.6</v>
      </c>
      <c r="G667">
        <v>-2506.0500000000002</v>
      </c>
      <c r="H667">
        <v>-2698.7999999999997</v>
      </c>
      <c r="I667">
        <v>-637.9</v>
      </c>
      <c r="J667">
        <v>-6707.3499999999995</v>
      </c>
    </row>
    <row r="668" spans="1:10" x14ac:dyDescent="0.35">
      <c r="A668">
        <v>652</v>
      </c>
      <c r="B668" s="75">
        <v>89.488900000000001</v>
      </c>
      <c r="C668" s="75">
        <v>98.672200000000004</v>
      </c>
      <c r="D668" s="75">
        <v>94.466999999999999</v>
      </c>
      <c r="E668" s="75">
        <v>94.592600000000004</v>
      </c>
      <c r="F668">
        <v>213.51</v>
      </c>
      <c r="G668">
        <v>-693.44999999999993</v>
      </c>
      <c r="H668">
        <v>-3301.8</v>
      </c>
      <c r="I668">
        <v>-1212</v>
      </c>
      <c r="J668">
        <v>-4993.74</v>
      </c>
    </row>
    <row r="669" spans="1:10" x14ac:dyDescent="0.35">
      <c r="A669">
        <v>653</v>
      </c>
      <c r="B669" s="75">
        <v>88.86</v>
      </c>
      <c r="C669" s="75">
        <v>98.04</v>
      </c>
      <c r="D669" s="75">
        <v>91.6</v>
      </c>
      <c r="E669" s="75">
        <v>93.57</v>
      </c>
      <c r="F669">
        <v>2303.0699999999997</v>
      </c>
      <c r="G669">
        <v>250.04999999999998</v>
      </c>
      <c r="H669">
        <v>2441.8000000000002</v>
      </c>
      <c r="I669">
        <v>-189.29999999999998</v>
      </c>
      <c r="J669">
        <v>4805.62</v>
      </c>
    </row>
    <row r="670" spans="1:10" x14ac:dyDescent="0.35">
      <c r="A670">
        <v>654</v>
      </c>
      <c r="B670" s="75">
        <v>90.245900000000006</v>
      </c>
      <c r="C670" s="75">
        <v>97.289900000000003</v>
      </c>
      <c r="D670" s="75">
        <v>92.744500000000002</v>
      </c>
      <c r="E670" s="75">
        <v>94.694900000000004</v>
      </c>
      <c r="F670">
        <v>-2284.59</v>
      </c>
      <c r="G670">
        <v>1380</v>
      </c>
      <c r="H670">
        <v>143.19999999999999</v>
      </c>
      <c r="I670">
        <v>-1314.3</v>
      </c>
      <c r="J670">
        <v>-2075.69</v>
      </c>
    </row>
    <row r="671" spans="1:10" x14ac:dyDescent="0.35">
      <c r="A671">
        <v>655</v>
      </c>
      <c r="B671" s="75">
        <v>90.18</v>
      </c>
      <c r="C671" s="75">
        <v>99.4</v>
      </c>
      <c r="D671" s="75">
        <v>94.03</v>
      </c>
      <c r="E671" s="75">
        <v>93.55</v>
      </c>
      <c r="F671">
        <v>-2052.9299999999998</v>
      </c>
      <c r="G671">
        <v>-1786.3500000000001</v>
      </c>
      <c r="H671">
        <v>-2435.6</v>
      </c>
      <c r="I671">
        <v>-167.6</v>
      </c>
      <c r="J671">
        <v>-6442.48</v>
      </c>
    </row>
    <row r="672" spans="1:10" x14ac:dyDescent="0.35">
      <c r="A672">
        <v>656</v>
      </c>
      <c r="B672" s="75">
        <v>88.821700000000007</v>
      </c>
      <c r="C672" s="75">
        <v>97.940399999999997</v>
      </c>
      <c r="D672" s="75">
        <v>93.634900000000002</v>
      </c>
      <c r="E672" s="75">
        <v>95.556700000000006</v>
      </c>
      <c r="F672">
        <v>2415.27</v>
      </c>
      <c r="G672">
        <v>404.25</v>
      </c>
      <c r="H672">
        <v>-1637.6</v>
      </c>
      <c r="I672">
        <v>-2176.1</v>
      </c>
      <c r="J672">
        <v>-994.17999999999984</v>
      </c>
    </row>
    <row r="673" spans="1:10" x14ac:dyDescent="0.35">
      <c r="A673">
        <v>657</v>
      </c>
      <c r="B673" s="75">
        <v>90.28</v>
      </c>
      <c r="C673" s="75">
        <v>99.57</v>
      </c>
      <c r="D673" s="75">
        <v>92.1</v>
      </c>
      <c r="E673" s="75">
        <v>93.16</v>
      </c>
      <c r="F673">
        <v>-2395.7999999999997</v>
      </c>
      <c r="G673">
        <v>-2037.9</v>
      </c>
      <c r="H673">
        <v>1441</v>
      </c>
      <c r="I673">
        <v>222.6</v>
      </c>
      <c r="J673">
        <v>-2770.1</v>
      </c>
    </row>
    <row r="674" spans="1:10" x14ac:dyDescent="0.35">
      <c r="A674">
        <v>658</v>
      </c>
      <c r="B674" s="75">
        <v>89.424300000000002</v>
      </c>
      <c r="C674" s="75">
        <v>99.521699999999996</v>
      </c>
      <c r="D674" s="75">
        <v>92.080500000000001</v>
      </c>
      <c r="E674" s="75">
        <v>95.788899999999998</v>
      </c>
      <c r="F674">
        <v>426.69</v>
      </c>
      <c r="G674">
        <v>-1967.7</v>
      </c>
      <c r="H674">
        <v>1471.2</v>
      </c>
      <c r="I674">
        <v>-2408.3000000000002</v>
      </c>
      <c r="J674">
        <v>-2478.11</v>
      </c>
    </row>
    <row r="675" spans="1:10" x14ac:dyDescent="0.35">
      <c r="A675">
        <v>659</v>
      </c>
      <c r="B675" s="75">
        <v>89.36</v>
      </c>
      <c r="C675" s="75">
        <v>98.74</v>
      </c>
      <c r="D675" s="75">
        <v>94.8</v>
      </c>
      <c r="E675" s="75">
        <v>89.11</v>
      </c>
      <c r="F675">
        <v>628.32000000000005</v>
      </c>
      <c r="G675">
        <v>-800.85</v>
      </c>
      <c r="H675">
        <v>-3972.7999999999997</v>
      </c>
      <c r="I675">
        <v>4266.3999999999996</v>
      </c>
      <c r="J675">
        <v>121.06999999999971</v>
      </c>
    </row>
    <row r="676" spans="1:10" x14ac:dyDescent="0.35">
      <c r="A676">
        <v>660</v>
      </c>
      <c r="B676" s="75">
        <v>89.603899999999996</v>
      </c>
      <c r="C676" s="75">
        <v>98.571600000000004</v>
      </c>
      <c r="D676" s="75">
        <v>93.709599999999995</v>
      </c>
      <c r="E676" s="75">
        <v>91.798599999999993</v>
      </c>
      <c r="F676">
        <v>-165.98999999999998</v>
      </c>
      <c r="G676">
        <v>-542.55000000000007</v>
      </c>
      <c r="H676">
        <v>-1787</v>
      </c>
      <c r="I676">
        <v>1582</v>
      </c>
      <c r="J676">
        <v>-913.54</v>
      </c>
    </row>
    <row r="677" spans="1:10" x14ac:dyDescent="0.35">
      <c r="A677">
        <v>661</v>
      </c>
      <c r="B677" s="75">
        <v>89.59</v>
      </c>
      <c r="C677" s="75">
        <v>97.85</v>
      </c>
      <c r="D677" s="75">
        <v>93.28</v>
      </c>
      <c r="E677" s="75">
        <v>95.81</v>
      </c>
      <c r="F677">
        <v>-105.27</v>
      </c>
      <c r="G677">
        <v>533.40000000000009</v>
      </c>
      <c r="H677">
        <v>-930</v>
      </c>
      <c r="I677">
        <v>-2427</v>
      </c>
      <c r="J677">
        <v>-2928.87</v>
      </c>
    </row>
    <row r="678" spans="1:10" x14ac:dyDescent="0.35">
      <c r="A678">
        <v>662</v>
      </c>
      <c r="B678" s="75">
        <v>88.628699999999995</v>
      </c>
      <c r="C678" s="75">
        <v>98.244100000000003</v>
      </c>
      <c r="D678" s="75">
        <v>93.931899999999999</v>
      </c>
      <c r="E678" s="75">
        <v>94.486500000000007</v>
      </c>
      <c r="F678">
        <v>3052.17</v>
      </c>
      <c r="G678">
        <v>-51.300000000000004</v>
      </c>
      <c r="H678">
        <v>-2231.6</v>
      </c>
      <c r="I678">
        <v>-1105.9000000000001</v>
      </c>
      <c r="J678">
        <v>-336.63000000000011</v>
      </c>
    </row>
    <row r="679" spans="1:10" x14ac:dyDescent="0.35">
      <c r="A679">
        <v>663</v>
      </c>
      <c r="B679" s="75">
        <v>90</v>
      </c>
      <c r="C679" s="75">
        <v>98.76</v>
      </c>
      <c r="D679" s="75">
        <v>90.73</v>
      </c>
      <c r="E679" s="75">
        <v>92.16</v>
      </c>
      <c r="F679">
        <v>-1462.23</v>
      </c>
      <c r="G679">
        <v>-831.15000000000009</v>
      </c>
      <c r="H679">
        <v>4169.8</v>
      </c>
      <c r="I679">
        <v>1216</v>
      </c>
      <c r="J679">
        <v>3092.42</v>
      </c>
    </row>
    <row r="680" spans="1:10" x14ac:dyDescent="0.35">
      <c r="A680">
        <v>664</v>
      </c>
      <c r="B680" s="75">
        <v>88.998999999999995</v>
      </c>
      <c r="C680" s="75">
        <v>98.659199999999998</v>
      </c>
      <c r="D680" s="75">
        <v>93.574399999999997</v>
      </c>
      <c r="E680" s="75">
        <v>96.913600000000002</v>
      </c>
      <c r="F680">
        <v>1830.1799999999998</v>
      </c>
      <c r="G680">
        <v>-673.94999999999993</v>
      </c>
      <c r="H680">
        <v>-1516.6</v>
      </c>
      <c r="I680">
        <v>-3533</v>
      </c>
      <c r="J680">
        <v>-3893.37</v>
      </c>
    </row>
    <row r="681" spans="1:10" x14ac:dyDescent="0.35">
      <c r="A681">
        <v>665</v>
      </c>
      <c r="B681" s="75">
        <v>89.03</v>
      </c>
      <c r="C681" s="75">
        <v>97.16</v>
      </c>
      <c r="D681" s="75">
        <v>92.51</v>
      </c>
      <c r="E681" s="75">
        <v>94.73</v>
      </c>
      <c r="F681">
        <v>1719.3</v>
      </c>
      <c r="G681">
        <v>1575.8999999999999</v>
      </c>
      <c r="H681">
        <v>608.40000000000009</v>
      </c>
      <c r="I681">
        <v>-1346.5</v>
      </c>
      <c r="J681">
        <v>2557.1</v>
      </c>
    </row>
    <row r="682" spans="1:10" x14ac:dyDescent="0.35">
      <c r="A682">
        <v>666</v>
      </c>
      <c r="B682" s="75">
        <v>90.581699999999998</v>
      </c>
      <c r="C682" s="75">
        <v>98.589699999999993</v>
      </c>
      <c r="D682" s="75">
        <v>93.387</v>
      </c>
      <c r="E682" s="75">
        <v>92.259</v>
      </c>
      <c r="F682">
        <v>-3392.73</v>
      </c>
      <c r="G682">
        <v>-569.70000000000005</v>
      </c>
      <c r="H682">
        <v>-1141.8</v>
      </c>
      <c r="I682">
        <v>1121.5999999999999</v>
      </c>
      <c r="J682">
        <v>-3982.6300000000006</v>
      </c>
    </row>
    <row r="683" spans="1:10" x14ac:dyDescent="0.35">
      <c r="A683">
        <v>667</v>
      </c>
      <c r="B683" s="75">
        <v>89.69</v>
      </c>
      <c r="C683" s="75">
        <v>98.78</v>
      </c>
      <c r="D683" s="75">
        <v>93.08</v>
      </c>
      <c r="E683" s="75">
        <v>92.7</v>
      </c>
      <c r="F683">
        <v>-441.21000000000004</v>
      </c>
      <c r="G683">
        <v>-858.15000000000009</v>
      </c>
      <c r="H683">
        <v>-523</v>
      </c>
      <c r="I683">
        <v>678.9</v>
      </c>
      <c r="J683">
        <v>-1143.46</v>
      </c>
    </row>
    <row r="684" spans="1:10" x14ac:dyDescent="0.35">
      <c r="A684">
        <v>668</v>
      </c>
      <c r="B684" s="75">
        <v>89.350499999999997</v>
      </c>
      <c r="C684" s="75">
        <v>97.551000000000002</v>
      </c>
      <c r="D684" s="75">
        <v>93.027199999999993</v>
      </c>
      <c r="E684" s="75">
        <v>93.872299999999996</v>
      </c>
      <c r="F684">
        <v>670.23</v>
      </c>
      <c r="G684">
        <v>988.35</v>
      </c>
      <c r="H684">
        <v>-422.20000000000005</v>
      </c>
      <c r="I684">
        <v>-491.70000000000005</v>
      </c>
      <c r="J684">
        <v>744.67999999999984</v>
      </c>
    </row>
    <row r="685" spans="1:10" x14ac:dyDescent="0.35">
      <c r="A685">
        <v>669</v>
      </c>
      <c r="B685" s="75">
        <v>89.56</v>
      </c>
      <c r="C685" s="75">
        <v>98.48</v>
      </c>
      <c r="D685" s="75">
        <v>91.57</v>
      </c>
      <c r="E685" s="75">
        <v>93.29</v>
      </c>
      <c r="F685">
        <v>-25.08</v>
      </c>
      <c r="G685">
        <v>-404.84999999999997</v>
      </c>
      <c r="H685">
        <v>2490.8000000000002</v>
      </c>
      <c r="I685">
        <v>93.8</v>
      </c>
      <c r="J685">
        <v>2154.6700000000005</v>
      </c>
    </row>
    <row r="686" spans="1:10" x14ac:dyDescent="0.35">
      <c r="A686">
        <v>670</v>
      </c>
      <c r="B686" s="75">
        <v>89.608900000000006</v>
      </c>
      <c r="C686" s="75">
        <v>98.939400000000006</v>
      </c>
      <c r="D686" s="75">
        <v>93.537999999999997</v>
      </c>
      <c r="E686" s="75">
        <v>93.011399999999995</v>
      </c>
      <c r="F686">
        <v>-182.49</v>
      </c>
      <c r="G686">
        <v>-1094.25</v>
      </c>
      <c r="H686">
        <v>-1443.8</v>
      </c>
      <c r="I686">
        <v>369.2</v>
      </c>
      <c r="J686">
        <v>-2351.34</v>
      </c>
    </row>
    <row r="687" spans="1:10" x14ac:dyDescent="0.35">
      <c r="A687">
        <v>671</v>
      </c>
      <c r="B687" s="75">
        <v>88.87</v>
      </c>
      <c r="C687" s="75">
        <v>98.88</v>
      </c>
      <c r="D687" s="75">
        <v>92.35</v>
      </c>
      <c r="E687" s="75">
        <v>92.65</v>
      </c>
      <c r="F687">
        <v>2248.29</v>
      </c>
      <c r="G687">
        <v>-1004.6999999999999</v>
      </c>
      <c r="H687">
        <v>934.2</v>
      </c>
      <c r="I687">
        <v>735.5</v>
      </c>
      <c r="J687">
        <v>2913.29</v>
      </c>
    </row>
    <row r="688" spans="1:10" x14ac:dyDescent="0.35">
      <c r="A688">
        <v>672</v>
      </c>
      <c r="B688" s="75">
        <v>89.816199999999995</v>
      </c>
      <c r="C688" s="75">
        <v>98.809399999999997</v>
      </c>
      <c r="D688" s="75">
        <v>92.434299999999993</v>
      </c>
      <c r="E688" s="75">
        <v>95.0364</v>
      </c>
      <c r="F688">
        <v>-866.58</v>
      </c>
      <c r="G688">
        <v>-899.25</v>
      </c>
      <c r="H688">
        <v>763.59999999999991</v>
      </c>
      <c r="I688">
        <v>-1655.8</v>
      </c>
      <c r="J688">
        <v>-2658.0299999999997</v>
      </c>
    </row>
    <row r="689" spans="1:10" x14ac:dyDescent="0.35">
      <c r="A689">
        <v>673</v>
      </c>
      <c r="B689" s="75">
        <v>89.48</v>
      </c>
      <c r="C689" s="75">
        <v>98.09</v>
      </c>
      <c r="D689" s="75">
        <v>91.34</v>
      </c>
      <c r="E689" s="75">
        <v>94.42</v>
      </c>
      <c r="F689">
        <v>241.56</v>
      </c>
      <c r="G689">
        <v>186.75</v>
      </c>
      <c r="H689">
        <v>2955.8</v>
      </c>
      <c r="I689">
        <v>-1043.4000000000001</v>
      </c>
      <c r="J689">
        <v>2340.71</v>
      </c>
    </row>
    <row r="690" spans="1:10" x14ac:dyDescent="0.35">
      <c r="A690">
        <v>674</v>
      </c>
      <c r="B690" s="75">
        <v>90.416300000000007</v>
      </c>
      <c r="C690" s="75">
        <v>98.2196</v>
      </c>
      <c r="D690" s="75">
        <v>95.476500000000001</v>
      </c>
      <c r="E690" s="75">
        <v>94.1828</v>
      </c>
      <c r="F690">
        <v>-2846.91</v>
      </c>
      <c r="G690">
        <v>-14.55</v>
      </c>
      <c r="H690">
        <v>-5320.8</v>
      </c>
      <c r="I690">
        <v>-802.2</v>
      </c>
      <c r="J690">
        <v>-8984.4600000000009</v>
      </c>
    </row>
    <row r="691" spans="1:10" x14ac:dyDescent="0.35">
      <c r="A691">
        <v>675</v>
      </c>
      <c r="B691" s="75">
        <v>88.51</v>
      </c>
      <c r="C691" s="75">
        <v>97.82</v>
      </c>
      <c r="D691" s="75">
        <v>92.99</v>
      </c>
      <c r="E691" s="75">
        <v>95.73</v>
      </c>
      <c r="F691">
        <v>3440.25</v>
      </c>
      <c r="G691">
        <v>588</v>
      </c>
      <c r="H691">
        <v>-347</v>
      </c>
      <c r="I691">
        <v>-2352.3999999999996</v>
      </c>
      <c r="J691">
        <v>1328.8500000000004</v>
      </c>
    </row>
    <row r="692" spans="1:10" x14ac:dyDescent="0.35">
      <c r="A692">
        <v>676</v>
      </c>
      <c r="B692" s="75">
        <v>89.402900000000002</v>
      </c>
      <c r="C692" s="75">
        <v>97.482799999999997</v>
      </c>
      <c r="D692" s="75">
        <v>92.581199999999995</v>
      </c>
      <c r="E692" s="75">
        <v>93.457400000000007</v>
      </c>
      <c r="F692">
        <v>497.31</v>
      </c>
      <c r="G692">
        <v>1090.6499999999999</v>
      </c>
      <c r="H692">
        <v>469.8</v>
      </c>
      <c r="I692">
        <v>-76.8</v>
      </c>
      <c r="J692">
        <v>1980.9599999999998</v>
      </c>
    </row>
    <row r="693" spans="1:10" x14ac:dyDescent="0.35">
      <c r="A693">
        <v>677</v>
      </c>
      <c r="B693" s="75">
        <v>89.53</v>
      </c>
      <c r="C693" s="75">
        <v>99.33</v>
      </c>
      <c r="D693" s="75">
        <v>93.05</v>
      </c>
      <c r="E693" s="75">
        <v>91.74</v>
      </c>
      <c r="F693">
        <v>94.05</v>
      </c>
      <c r="G693">
        <v>-1687.2</v>
      </c>
      <c r="H693">
        <v>-459.2</v>
      </c>
      <c r="I693">
        <v>1643.8</v>
      </c>
      <c r="J693">
        <v>-408.54999999999995</v>
      </c>
    </row>
    <row r="694" spans="1:10" x14ac:dyDescent="0.35">
      <c r="A694">
        <v>678</v>
      </c>
      <c r="B694" s="75">
        <v>90.511899999999997</v>
      </c>
      <c r="C694" s="75">
        <v>97.989699999999999</v>
      </c>
      <c r="D694" s="75">
        <v>93.6023</v>
      </c>
      <c r="E694" s="75">
        <v>93.989199999999997</v>
      </c>
      <c r="F694">
        <v>-3162.3900000000003</v>
      </c>
      <c r="G694">
        <v>330.3</v>
      </c>
      <c r="H694">
        <v>-1572.4</v>
      </c>
      <c r="I694">
        <v>-608.6</v>
      </c>
      <c r="J694">
        <v>-5013.09</v>
      </c>
    </row>
    <row r="695" spans="1:10" x14ac:dyDescent="0.35">
      <c r="A695">
        <v>679</v>
      </c>
      <c r="B695" s="75">
        <v>89.69</v>
      </c>
      <c r="C695" s="75">
        <v>95.95</v>
      </c>
      <c r="D695" s="75">
        <v>90.44</v>
      </c>
      <c r="E695" s="75">
        <v>93.95</v>
      </c>
      <c r="F695">
        <v>-460.02</v>
      </c>
      <c r="G695">
        <v>3391.95</v>
      </c>
      <c r="H695">
        <v>4759.4000000000005</v>
      </c>
      <c r="I695">
        <v>-568.20000000000005</v>
      </c>
      <c r="J695">
        <v>7123.13</v>
      </c>
    </row>
    <row r="696" spans="1:10" x14ac:dyDescent="0.35">
      <c r="A696">
        <v>680</v>
      </c>
      <c r="B696" s="75">
        <v>90.900199999999998</v>
      </c>
      <c r="C696" s="75">
        <v>98.290400000000005</v>
      </c>
      <c r="D696" s="75">
        <v>92.163200000000003</v>
      </c>
      <c r="E696" s="75">
        <v>95.717100000000002</v>
      </c>
      <c r="F696">
        <v>-4443.78</v>
      </c>
      <c r="G696">
        <v>-120.75</v>
      </c>
      <c r="H696">
        <v>1305.8000000000002</v>
      </c>
      <c r="I696">
        <v>-2336.5</v>
      </c>
      <c r="J696">
        <v>-5595.23</v>
      </c>
    </row>
    <row r="697" spans="1:10" x14ac:dyDescent="0.35">
      <c r="A697">
        <v>681</v>
      </c>
      <c r="B697" s="75">
        <v>89.82</v>
      </c>
      <c r="C697" s="75">
        <v>98.94</v>
      </c>
      <c r="D697" s="75">
        <v>92.54</v>
      </c>
      <c r="E697" s="75">
        <v>93.62</v>
      </c>
      <c r="F697">
        <v>-877.14</v>
      </c>
      <c r="G697">
        <v>-1099.3499999999999</v>
      </c>
      <c r="H697">
        <v>543</v>
      </c>
      <c r="I697">
        <v>-241.5</v>
      </c>
      <c r="J697">
        <v>-1674.9899999999998</v>
      </c>
    </row>
    <row r="698" spans="1:10" x14ac:dyDescent="0.35">
      <c r="A698">
        <v>682</v>
      </c>
      <c r="B698" s="75">
        <v>89.270099999999999</v>
      </c>
      <c r="C698" s="75">
        <v>98.375100000000003</v>
      </c>
      <c r="D698" s="75">
        <v>93.704899999999995</v>
      </c>
      <c r="E698" s="75">
        <v>94.959199999999996</v>
      </c>
      <c r="F698">
        <v>935.55</v>
      </c>
      <c r="G698">
        <v>-247.8</v>
      </c>
      <c r="H698">
        <v>-1777.6000000000001</v>
      </c>
      <c r="I698">
        <v>-1578.6</v>
      </c>
      <c r="J698">
        <v>-2668.45</v>
      </c>
    </row>
    <row r="699" spans="1:10" x14ac:dyDescent="0.35">
      <c r="A699">
        <v>683</v>
      </c>
      <c r="B699" s="75">
        <v>89.59</v>
      </c>
      <c r="C699" s="75">
        <v>97.5</v>
      </c>
      <c r="D699" s="75">
        <v>92.4</v>
      </c>
      <c r="E699" s="75">
        <v>96.98</v>
      </c>
      <c r="F699">
        <v>-123.42000000000002</v>
      </c>
      <c r="G699">
        <v>1062.1499999999999</v>
      </c>
      <c r="H699">
        <v>841.19999999999993</v>
      </c>
      <c r="I699">
        <v>-3598.3</v>
      </c>
      <c r="J699">
        <v>-1818.3700000000003</v>
      </c>
    </row>
    <row r="700" spans="1:10" x14ac:dyDescent="0.35">
      <c r="A700">
        <v>684</v>
      </c>
      <c r="B700" s="75">
        <v>89.868200000000002</v>
      </c>
      <c r="C700" s="75">
        <v>99.323800000000006</v>
      </c>
      <c r="D700" s="75">
        <v>91.574299999999994</v>
      </c>
      <c r="E700" s="75">
        <v>94.194400000000002</v>
      </c>
      <c r="F700">
        <v>-1038.18</v>
      </c>
      <c r="G700">
        <v>-1670.85</v>
      </c>
      <c r="H700">
        <v>2483.6</v>
      </c>
      <c r="I700">
        <v>-813.8</v>
      </c>
      <c r="J700">
        <v>-1039.2299999999998</v>
      </c>
    </row>
    <row r="701" spans="1:10" x14ac:dyDescent="0.35">
      <c r="A701">
        <v>685</v>
      </c>
      <c r="B701" s="75">
        <v>89.29</v>
      </c>
      <c r="C701" s="75">
        <v>99.89</v>
      </c>
      <c r="D701" s="75">
        <v>93.46</v>
      </c>
      <c r="E701" s="75">
        <v>93.09</v>
      </c>
      <c r="F701">
        <v>885.72000000000014</v>
      </c>
      <c r="G701">
        <v>-2526.75</v>
      </c>
      <c r="H701">
        <v>-1296.2</v>
      </c>
      <c r="I701">
        <v>292.8</v>
      </c>
      <c r="J701">
        <v>-2644.4299999999994</v>
      </c>
    </row>
    <row r="702" spans="1:10" x14ac:dyDescent="0.35">
      <c r="A702">
        <v>686</v>
      </c>
      <c r="B702" s="75">
        <v>89.036100000000005</v>
      </c>
      <c r="C702" s="75">
        <v>98.578800000000001</v>
      </c>
      <c r="D702" s="75">
        <v>93.508499999999998</v>
      </c>
      <c r="E702" s="75">
        <v>91.169300000000007</v>
      </c>
      <c r="F702">
        <v>1707.7499999999998</v>
      </c>
      <c r="G702">
        <v>-553.35</v>
      </c>
      <c r="H702">
        <v>-1384.8</v>
      </c>
      <c r="I702">
        <v>2211.3000000000002</v>
      </c>
      <c r="J702">
        <v>1980.8999999999999</v>
      </c>
    </row>
    <row r="703" spans="1:10" x14ac:dyDescent="0.35">
      <c r="A703">
        <v>687</v>
      </c>
      <c r="B703" s="75">
        <v>90</v>
      </c>
      <c r="C703" s="75">
        <v>97.5</v>
      </c>
      <c r="D703" s="75">
        <v>91.94</v>
      </c>
      <c r="E703" s="75">
        <v>92.55</v>
      </c>
      <c r="F703">
        <v>-1468.5</v>
      </c>
      <c r="G703">
        <v>1059.3000000000002</v>
      </c>
      <c r="H703">
        <v>1743</v>
      </c>
      <c r="I703">
        <v>833.09999999999991</v>
      </c>
      <c r="J703">
        <v>2166.9</v>
      </c>
    </row>
    <row r="704" spans="1:10" x14ac:dyDescent="0.35">
      <c r="A704">
        <v>688</v>
      </c>
      <c r="B704" s="75">
        <v>89.510400000000004</v>
      </c>
      <c r="C704" s="75">
        <v>98.389099999999999</v>
      </c>
      <c r="D704" s="75">
        <v>93.350099999999998</v>
      </c>
      <c r="E704" s="75">
        <v>92.726100000000002</v>
      </c>
      <c r="F704">
        <v>142.56</v>
      </c>
      <c r="G704">
        <v>-268.8</v>
      </c>
      <c r="H704">
        <v>-1068</v>
      </c>
      <c r="I704">
        <v>654.5</v>
      </c>
      <c r="J704">
        <v>-539.74</v>
      </c>
    </row>
    <row r="705" spans="1:10" x14ac:dyDescent="0.35">
      <c r="A705">
        <v>689</v>
      </c>
      <c r="B705" s="75">
        <v>90</v>
      </c>
      <c r="C705" s="75">
        <v>98.97</v>
      </c>
      <c r="D705" s="75">
        <v>93.12</v>
      </c>
      <c r="E705" s="75">
        <v>94.16</v>
      </c>
      <c r="F705">
        <v>-1459.5900000000001</v>
      </c>
      <c r="G705">
        <v>-1143.5999999999999</v>
      </c>
      <c r="H705">
        <v>-603.6</v>
      </c>
      <c r="I705">
        <v>-775</v>
      </c>
      <c r="J705">
        <v>-3981.79</v>
      </c>
    </row>
    <row r="706" spans="1:10" x14ac:dyDescent="0.35">
      <c r="A706">
        <v>690</v>
      </c>
      <c r="B706" s="75">
        <v>89.4726</v>
      </c>
      <c r="C706" s="75">
        <v>97.610699999999994</v>
      </c>
      <c r="D706" s="75">
        <v>92.3994</v>
      </c>
      <c r="E706" s="75">
        <v>92.860600000000005</v>
      </c>
      <c r="F706">
        <v>267.3</v>
      </c>
      <c r="G706">
        <v>898.8</v>
      </c>
      <c r="H706">
        <v>833.4</v>
      </c>
      <c r="I706">
        <v>520</v>
      </c>
      <c r="J706">
        <v>2519.5</v>
      </c>
    </row>
    <row r="707" spans="1:10" x14ac:dyDescent="0.35">
      <c r="A707">
        <v>691</v>
      </c>
      <c r="B707" s="75">
        <v>89.66</v>
      </c>
      <c r="C707" s="75">
        <v>97.61</v>
      </c>
      <c r="D707" s="75">
        <v>92.5</v>
      </c>
      <c r="E707" s="75">
        <v>94.13</v>
      </c>
      <c r="F707">
        <v>-344.84999999999997</v>
      </c>
      <c r="G707">
        <v>893.1</v>
      </c>
      <c r="H707">
        <v>624</v>
      </c>
      <c r="I707">
        <v>-745.6</v>
      </c>
      <c r="J707">
        <v>426.65</v>
      </c>
    </row>
    <row r="708" spans="1:10" x14ac:dyDescent="0.35">
      <c r="A708">
        <v>692</v>
      </c>
      <c r="B708" s="75">
        <v>89.607600000000005</v>
      </c>
      <c r="C708" s="75">
        <v>97.3018</v>
      </c>
      <c r="D708" s="75">
        <v>91.102599999999995</v>
      </c>
      <c r="E708" s="75">
        <v>94.771199999999993</v>
      </c>
      <c r="F708">
        <v>-178.2</v>
      </c>
      <c r="G708">
        <v>1362.15</v>
      </c>
      <c r="H708">
        <v>3427</v>
      </c>
      <c r="I708">
        <v>-1390.6000000000001</v>
      </c>
      <c r="J708">
        <v>3220.3499999999995</v>
      </c>
    </row>
    <row r="709" spans="1:10" x14ac:dyDescent="0.35">
      <c r="A709">
        <v>693</v>
      </c>
      <c r="B709" s="75">
        <v>90.22</v>
      </c>
      <c r="C709" s="75">
        <v>98.41</v>
      </c>
      <c r="D709" s="75">
        <v>93.2</v>
      </c>
      <c r="E709" s="75">
        <v>92.85</v>
      </c>
      <c r="F709">
        <v>-2204.0700000000002</v>
      </c>
      <c r="G709">
        <v>-305.10000000000002</v>
      </c>
      <c r="H709">
        <v>-772.2</v>
      </c>
      <c r="I709">
        <v>528</v>
      </c>
      <c r="J709">
        <v>-2753.37</v>
      </c>
    </row>
    <row r="710" spans="1:10" x14ac:dyDescent="0.35">
      <c r="A710">
        <v>694</v>
      </c>
      <c r="B710" s="75">
        <v>90.432299999999998</v>
      </c>
      <c r="C710" s="75">
        <v>100.1776</v>
      </c>
      <c r="D710" s="75">
        <v>92.282600000000002</v>
      </c>
      <c r="E710" s="75">
        <v>93.402799999999999</v>
      </c>
      <c r="F710">
        <v>-2899.71</v>
      </c>
      <c r="G710">
        <v>-2951.55</v>
      </c>
      <c r="H710">
        <v>1067</v>
      </c>
      <c r="I710">
        <v>-22.2</v>
      </c>
      <c r="J710">
        <v>-4806.46</v>
      </c>
    </row>
    <row r="711" spans="1:10" x14ac:dyDescent="0.35">
      <c r="A711">
        <v>695</v>
      </c>
      <c r="B711" s="75">
        <v>90.12</v>
      </c>
      <c r="C711" s="75">
        <v>97.42</v>
      </c>
      <c r="D711" s="75">
        <v>94.81</v>
      </c>
      <c r="E711" s="75">
        <v>92.4</v>
      </c>
      <c r="F711">
        <v>-1884.3</v>
      </c>
      <c r="G711">
        <v>1178.0999999999999</v>
      </c>
      <c r="H711">
        <v>-3995.2000000000003</v>
      </c>
      <c r="I711">
        <v>977.7</v>
      </c>
      <c r="J711">
        <v>-3723.7000000000007</v>
      </c>
    </row>
    <row r="712" spans="1:10" x14ac:dyDescent="0.35">
      <c r="A712">
        <v>696</v>
      </c>
      <c r="B712" s="75">
        <v>90.041899999999998</v>
      </c>
      <c r="C712" s="75">
        <v>98.444699999999997</v>
      </c>
      <c r="D712" s="75">
        <v>94.820400000000006</v>
      </c>
      <c r="E712" s="75">
        <v>95.331000000000003</v>
      </c>
      <c r="F712">
        <v>-1611.39</v>
      </c>
      <c r="G712">
        <v>-352.2</v>
      </c>
      <c r="H712">
        <v>-4008.6000000000004</v>
      </c>
      <c r="I712">
        <v>-1950.3999999999999</v>
      </c>
      <c r="J712">
        <v>-7922.59</v>
      </c>
    </row>
    <row r="713" spans="1:10" x14ac:dyDescent="0.35">
      <c r="A713">
        <v>697</v>
      </c>
      <c r="B713" s="75">
        <v>89.92</v>
      </c>
      <c r="C713" s="75">
        <v>98.97</v>
      </c>
      <c r="D713" s="75">
        <v>92.96</v>
      </c>
      <c r="E713" s="75">
        <v>91.39</v>
      </c>
      <c r="F713">
        <v>-1201.8600000000001</v>
      </c>
      <c r="G713">
        <v>-1134.45</v>
      </c>
      <c r="H713">
        <v>-283.60000000000002</v>
      </c>
      <c r="I713">
        <v>1992.8</v>
      </c>
      <c r="J713">
        <v>-627.11000000000035</v>
      </c>
    </row>
    <row r="714" spans="1:10" x14ac:dyDescent="0.35">
      <c r="A714">
        <v>698</v>
      </c>
      <c r="B714" s="75">
        <v>88.833500000000001</v>
      </c>
      <c r="C714" s="75">
        <v>97.8155</v>
      </c>
      <c r="D714" s="75">
        <v>91.483000000000004</v>
      </c>
      <c r="E714" s="75">
        <v>92.752700000000004</v>
      </c>
      <c r="F714">
        <v>2376.33</v>
      </c>
      <c r="G714">
        <v>591.59999999999991</v>
      </c>
      <c r="H714">
        <v>2666.2</v>
      </c>
      <c r="I714">
        <v>627.9</v>
      </c>
      <c r="J714">
        <v>6262.0299999999988</v>
      </c>
    </row>
    <row r="715" spans="1:10" x14ac:dyDescent="0.35">
      <c r="A715">
        <v>699</v>
      </c>
      <c r="B715" s="75">
        <v>90.19</v>
      </c>
      <c r="C715" s="75">
        <v>98.36</v>
      </c>
      <c r="D715" s="75">
        <v>93.37</v>
      </c>
      <c r="E715" s="75">
        <v>90.55</v>
      </c>
      <c r="F715">
        <v>-2085.6</v>
      </c>
      <c r="G715">
        <v>-224.55</v>
      </c>
      <c r="H715">
        <v>-1104.2</v>
      </c>
      <c r="I715">
        <v>2832</v>
      </c>
      <c r="J715">
        <v>-582.35000000000036</v>
      </c>
    </row>
    <row r="716" spans="1:10" x14ac:dyDescent="0.35">
      <c r="A716">
        <v>700</v>
      </c>
      <c r="B716" s="75">
        <v>89.080600000000004</v>
      </c>
      <c r="C716" s="75">
        <v>97.952200000000005</v>
      </c>
      <c r="D716" s="75">
        <v>91.139799999999994</v>
      </c>
      <c r="E716" s="75">
        <v>92.692700000000002</v>
      </c>
      <c r="F716">
        <v>1560.8999999999999</v>
      </c>
      <c r="G716">
        <v>386.54999999999995</v>
      </c>
      <c r="H716">
        <v>3352.6</v>
      </c>
      <c r="I716">
        <v>687.9</v>
      </c>
      <c r="J716">
        <v>5987.9499999999989</v>
      </c>
    </row>
    <row r="717" spans="1:10" x14ac:dyDescent="0.35">
      <c r="A717">
        <v>701</v>
      </c>
      <c r="B717" s="75">
        <v>89.65</v>
      </c>
      <c r="C717" s="75">
        <v>96.36</v>
      </c>
      <c r="D717" s="75">
        <v>92.25</v>
      </c>
      <c r="E717" s="75">
        <v>94.73</v>
      </c>
      <c r="F717">
        <v>-331.97999999999996</v>
      </c>
      <c r="G717">
        <v>2782.2</v>
      </c>
      <c r="H717">
        <v>1122.8</v>
      </c>
      <c r="I717">
        <v>-1348.4</v>
      </c>
      <c r="J717">
        <v>2224.6199999999994</v>
      </c>
    </row>
    <row r="718" spans="1:10" x14ac:dyDescent="0.35">
      <c r="A718">
        <v>702</v>
      </c>
      <c r="B718" s="75">
        <v>89.129099999999994</v>
      </c>
      <c r="C718" s="75">
        <v>98.440299999999993</v>
      </c>
      <c r="D718" s="75">
        <v>92.701800000000006</v>
      </c>
      <c r="E718" s="75">
        <v>91.7423</v>
      </c>
      <c r="F718">
        <v>1400.85</v>
      </c>
      <c r="G718">
        <v>-345.59999999999997</v>
      </c>
      <c r="H718">
        <v>228.6</v>
      </c>
      <c r="I718">
        <v>1638.3000000000002</v>
      </c>
      <c r="J718">
        <v>2922.15</v>
      </c>
    </row>
    <row r="719" spans="1:10" x14ac:dyDescent="0.35">
      <c r="A719">
        <v>703</v>
      </c>
      <c r="B719" s="75">
        <v>89.19</v>
      </c>
      <c r="C719" s="75">
        <v>97.6</v>
      </c>
      <c r="D719" s="75">
        <v>92.53</v>
      </c>
      <c r="E719" s="75">
        <v>94.95</v>
      </c>
      <c r="F719">
        <v>1213.74</v>
      </c>
      <c r="G719">
        <v>917.10000000000014</v>
      </c>
      <c r="H719">
        <v>567.6</v>
      </c>
      <c r="I719">
        <v>-1571.1</v>
      </c>
      <c r="J719">
        <v>1127.3400000000001</v>
      </c>
    </row>
    <row r="720" spans="1:10" x14ac:dyDescent="0.35">
      <c r="A720">
        <v>704</v>
      </c>
      <c r="B720" s="75">
        <v>90.223799999999997</v>
      </c>
      <c r="C720" s="75">
        <v>97.778999999999996</v>
      </c>
      <c r="D720" s="75">
        <v>90.691599999999994</v>
      </c>
      <c r="E720" s="75">
        <v>92.489699999999999</v>
      </c>
      <c r="F720">
        <v>-2211.66</v>
      </c>
      <c r="G720">
        <v>646.35</v>
      </c>
      <c r="H720">
        <v>4249</v>
      </c>
      <c r="I720">
        <v>890.9</v>
      </c>
      <c r="J720">
        <v>3574.59</v>
      </c>
    </row>
    <row r="721" spans="1:10" x14ac:dyDescent="0.35">
      <c r="A721">
        <v>705</v>
      </c>
      <c r="B721" s="75">
        <v>89.36</v>
      </c>
      <c r="C721" s="75">
        <v>98.39</v>
      </c>
      <c r="D721" s="75">
        <v>93.34</v>
      </c>
      <c r="E721" s="75">
        <v>96.26</v>
      </c>
      <c r="F721">
        <v>643.83000000000004</v>
      </c>
      <c r="G721">
        <v>-275.85000000000002</v>
      </c>
      <c r="H721">
        <v>-1041.6000000000001</v>
      </c>
      <c r="I721">
        <v>-2880.7</v>
      </c>
      <c r="J721">
        <v>-3554.3199999999997</v>
      </c>
    </row>
    <row r="722" spans="1:10" x14ac:dyDescent="0.35">
      <c r="A722">
        <v>706</v>
      </c>
      <c r="B722" s="75">
        <v>89.622600000000006</v>
      </c>
      <c r="C722" s="75">
        <v>100.026</v>
      </c>
      <c r="D722" s="75">
        <v>91.898499999999999</v>
      </c>
      <c r="E722" s="75">
        <v>93.215299999999999</v>
      </c>
      <c r="F722">
        <v>-227.70000000000002</v>
      </c>
      <c r="G722">
        <v>-2724.15</v>
      </c>
      <c r="H722">
        <v>1835.2</v>
      </c>
      <c r="I722">
        <v>165.3</v>
      </c>
      <c r="J722">
        <v>-951.34999999999991</v>
      </c>
    </row>
    <row r="723" spans="1:10" x14ac:dyDescent="0.35">
      <c r="A723">
        <v>707</v>
      </c>
      <c r="B723" s="75">
        <v>89.48</v>
      </c>
      <c r="C723" s="75">
        <v>98.32</v>
      </c>
      <c r="D723" s="75">
        <v>92.7</v>
      </c>
      <c r="E723" s="75">
        <v>93.72</v>
      </c>
      <c r="F723">
        <v>226.70999999999998</v>
      </c>
      <c r="G723">
        <v>-168</v>
      </c>
      <c r="H723">
        <v>240.79999999999998</v>
      </c>
      <c r="I723">
        <v>-338.3</v>
      </c>
      <c r="J723">
        <v>-38.79000000000002</v>
      </c>
    </row>
    <row r="724" spans="1:10" x14ac:dyDescent="0.35">
      <c r="A724">
        <v>708</v>
      </c>
      <c r="B724" s="75">
        <v>90.560599999999994</v>
      </c>
      <c r="C724" s="75">
        <v>98.243600000000001</v>
      </c>
      <c r="D724" s="75">
        <v>93.532700000000006</v>
      </c>
      <c r="E724" s="75">
        <v>94.369600000000005</v>
      </c>
      <c r="F724">
        <v>-3323.0999999999995</v>
      </c>
      <c r="G724">
        <v>-50.550000000000004</v>
      </c>
      <c r="H724">
        <v>-1433.2</v>
      </c>
      <c r="I724">
        <v>-989</v>
      </c>
      <c r="J724">
        <v>-5795.8499999999995</v>
      </c>
    </row>
    <row r="725" spans="1:10" x14ac:dyDescent="0.35">
      <c r="A725">
        <v>709</v>
      </c>
      <c r="B725" s="75">
        <v>89.26</v>
      </c>
      <c r="C725" s="75">
        <v>98.22</v>
      </c>
      <c r="D725" s="75">
        <v>91.09</v>
      </c>
      <c r="E725" s="75">
        <v>90.47</v>
      </c>
      <c r="F725">
        <v>985.05</v>
      </c>
      <c r="G725">
        <v>-18.3</v>
      </c>
      <c r="H725">
        <v>3459.8</v>
      </c>
      <c r="I725">
        <v>2907.6</v>
      </c>
      <c r="J725">
        <v>7334.15</v>
      </c>
    </row>
    <row r="726" spans="1:10" x14ac:dyDescent="0.35">
      <c r="A726">
        <v>710</v>
      </c>
      <c r="B726" s="75">
        <v>88.712400000000002</v>
      </c>
      <c r="C726" s="75">
        <v>99.914500000000004</v>
      </c>
      <c r="D726" s="75">
        <v>91.9161</v>
      </c>
      <c r="E726" s="75">
        <v>95.520099999999999</v>
      </c>
      <c r="F726">
        <v>2775.96</v>
      </c>
      <c r="G726">
        <v>-2556.8999999999996</v>
      </c>
      <c r="H726">
        <v>1800</v>
      </c>
      <c r="I726">
        <v>-2139.5</v>
      </c>
      <c r="J726">
        <v>-120.4399999999996</v>
      </c>
    </row>
    <row r="727" spans="1:10" x14ac:dyDescent="0.35">
      <c r="A727">
        <v>711</v>
      </c>
      <c r="B727" s="75">
        <v>90.1</v>
      </c>
      <c r="C727" s="75">
        <v>98.43</v>
      </c>
      <c r="D727" s="75">
        <v>94.25</v>
      </c>
      <c r="E727" s="75">
        <v>94.41</v>
      </c>
      <c r="F727">
        <v>-1817.9699999999998</v>
      </c>
      <c r="G727">
        <v>-336.9</v>
      </c>
      <c r="H727">
        <v>-2870.6</v>
      </c>
      <c r="I727">
        <v>-1033</v>
      </c>
      <c r="J727">
        <v>-6058.4699999999993</v>
      </c>
    </row>
    <row r="728" spans="1:10" x14ac:dyDescent="0.35">
      <c r="A728">
        <v>712</v>
      </c>
      <c r="B728" s="75">
        <v>89.699200000000005</v>
      </c>
      <c r="C728" s="75">
        <v>98.822999999999993</v>
      </c>
      <c r="D728" s="75">
        <v>92.930400000000006</v>
      </c>
      <c r="E728" s="75">
        <v>94.056600000000003</v>
      </c>
      <c r="F728">
        <v>-480.48</v>
      </c>
      <c r="G728">
        <v>-919.65</v>
      </c>
      <c r="H728">
        <v>-228.6</v>
      </c>
      <c r="I728">
        <v>-676</v>
      </c>
      <c r="J728">
        <v>-2304.73</v>
      </c>
    </row>
    <row r="729" spans="1:10" x14ac:dyDescent="0.35">
      <c r="A729">
        <v>713</v>
      </c>
      <c r="B729" s="75">
        <v>89.53</v>
      </c>
      <c r="C729" s="75">
        <v>98.72</v>
      </c>
      <c r="D729" s="75">
        <v>93.99</v>
      </c>
      <c r="E729" s="75">
        <v>94.15</v>
      </c>
      <c r="F729">
        <v>72.599999999999994</v>
      </c>
      <c r="G729">
        <v>-767.85</v>
      </c>
      <c r="H729">
        <v>-2340.3999999999996</v>
      </c>
      <c r="I729">
        <v>-773.9</v>
      </c>
      <c r="J729">
        <v>-3809.5499999999997</v>
      </c>
    </row>
    <row r="730" spans="1:10" x14ac:dyDescent="0.35">
      <c r="A730">
        <v>714</v>
      </c>
      <c r="B730" s="75">
        <v>89.703699999999998</v>
      </c>
      <c r="C730" s="75">
        <v>97.416499999999999</v>
      </c>
      <c r="D730" s="75">
        <v>93.186899999999994</v>
      </c>
      <c r="E730" s="75">
        <v>91.842200000000005</v>
      </c>
      <c r="F730">
        <v>-495.33000000000004</v>
      </c>
      <c r="G730">
        <v>1190.0999999999999</v>
      </c>
      <c r="H730">
        <v>-741.6</v>
      </c>
      <c r="I730">
        <v>1538.4</v>
      </c>
      <c r="J730">
        <v>1491.57</v>
      </c>
    </row>
    <row r="731" spans="1:10" x14ac:dyDescent="0.35">
      <c r="A731">
        <v>715</v>
      </c>
      <c r="B731" s="75">
        <v>89.41</v>
      </c>
      <c r="C731" s="75">
        <v>97.71</v>
      </c>
      <c r="D731" s="75">
        <v>91.38</v>
      </c>
      <c r="E731" s="75">
        <v>92.39</v>
      </c>
      <c r="F731">
        <v>458.04</v>
      </c>
      <c r="G731">
        <v>747.3</v>
      </c>
      <c r="H731">
        <v>2882.2000000000003</v>
      </c>
      <c r="I731">
        <v>986.40000000000009</v>
      </c>
      <c r="J731">
        <v>5073.9400000000005</v>
      </c>
    </row>
    <row r="732" spans="1:10" x14ac:dyDescent="0.35">
      <c r="A732">
        <v>716</v>
      </c>
      <c r="B732" s="75">
        <v>89.474900000000005</v>
      </c>
      <c r="C732" s="75">
        <v>96.886099999999999</v>
      </c>
      <c r="D732" s="75">
        <v>92.564899999999994</v>
      </c>
      <c r="E732" s="75">
        <v>90.988</v>
      </c>
      <c r="F732">
        <v>259.71000000000004</v>
      </c>
      <c r="G732">
        <v>1985.7</v>
      </c>
      <c r="H732">
        <v>502.4</v>
      </c>
      <c r="I732">
        <v>2392.6</v>
      </c>
      <c r="J732">
        <v>5140.41</v>
      </c>
    </row>
    <row r="733" spans="1:10" x14ac:dyDescent="0.35">
      <c r="A733">
        <v>717</v>
      </c>
      <c r="B733" s="75">
        <v>89.49</v>
      </c>
      <c r="C733" s="75">
        <v>98.4</v>
      </c>
      <c r="D733" s="75">
        <v>93.56</v>
      </c>
      <c r="E733" s="75">
        <v>94.03</v>
      </c>
      <c r="F733">
        <v>202.62</v>
      </c>
      <c r="G733">
        <v>-291</v>
      </c>
      <c r="H733">
        <v>-1489</v>
      </c>
      <c r="I733">
        <v>-644.9</v>
      </c>
      <c r="J733">
        <v>-2222.2800000000002</v>
      </c>
    </row>
    <row r="734" spans="1:10" x14ac:dyDescent="0.35">
      <c r="A734">
        <v>718</v>
      </c>
      <c r="B734" s="75">
        <v>89.468999999999994</v>
      </c>
      <c r="C734" s="75">
        <v>98.370800000000003</v>
      </c>
      <c r="D734" s="75">
        <v>91.4803</v>
      </c>
      <c r="E734" s="75">
        <v>92.775199999999998</v>
      </c>
      <c r="F734">
        <v>279.18</v>
      </c>
      <c r="G734">
        <v>-241.35</v>
      </c>
      <c r="H734">
        <v>2671.6000000000004</v>
      </c>
      <c r="I734">
        <v>605.40000000000009</v>
      </c>
      <c r="J734">
        <v>3314.8300000000004</v>
      </c>
    </row>
    <row r="735" spans="1:10" x14ac:dyDescent="0.35">
      <c r="A735">
        <v>719</v>
      </c>
      <c r="B735" s="75">
        <v>89.65</v>
      </c>
      <c r="C735" s="75">
        <v>98.15</v>
      </c>
      <c r="D735" s="75">
        <v>93.51</v>
      </c>
      <c r="E735" s="75">
        <v>92.78</v>
      </c>
      <c r="F735">
        <v>-312.18</v>
      </c>
      <c r="G735">
        <v>92.85</v>
      </c>
      <c r="H735">
        <v>-1379.3999999999999</v>
      </c>
      <c r="I735">
        <v>602.6</v>
      </c>
      <c r="J735">
        <v>-996.12999999999977</v>
      </c>
    </row>
    <row r="736" spans="1:10" x14ac:dyDescent="0.35">
      <c r="A736">
        <v>720</v>
      </c>
      <c r="B736" s="75">
        <v>88.962100000000007</v>
      </c>
      <c r="C736" s="75">
        <v>98.579700000000003</v>
      </c>
      <c r="D736" s="75">
        <v>92.6858</v>
      </c>
      <c r="E736" s="75">
        <v>95.341899999999995</v>
      </c>
      <c r="F736">
        <v>1951.95</v>
      </c>
      <c r="G736">
        <v>-554.70000000000005</v>
      </c>
      <c r="H736">
        <v>260.60000000000002</v>
      </c>
      <c r="I736">
        <v>-1961.3</v>
      </c>
      <c r="J736">
        <v>-303.45000000000005</v>
      </c>
    </row>
    <row r="737" spans="1:10" x14ac:dyDescent="0.35">
      <c r="A737">
        <v>721</v>
      </c>
      <c r="B737" s="75">
        <v>88.83</v>
      </c>
      <c r="C737" s="75">
        <v>99.62</v>
      </c>
      <c r="D737" s="75">
        <v>92.71</v>
      </c>
      <c r="E737" s="75">
        <v>94.98</v>
      </c>
      <c r="F737">
        <v>2382.9299999999998</v>
      </c>
      <c r="G737">
        <v>-2118.6000000000004</v>
      </c>
      <c r="H737">
        <v>213.2</v>
      </c>
      <c r="I737">
        <v>-1601.1</v>
      </c>
      <c r="J737">
        <v>-1123.5700000000004</v>
      </c>
    </row>
    <row r="738" spans="1:10" x14ac:dyDescent="0.35">
      <c r="A738">
        <v>722</v>
      </c>
      <c r="B738" s="75">
        <v>89.211399999999998</v>
      </c>
      <c r="C738" s="75">
        <v>97.943200000000004</v>
      </c>
      <c r="D738" s="75">
        <v>93.472999999999999</v>
      </c>
      <c r="E738" s="75">
        <v>93.267099999999999</v>
      </c>
      <c r="F738">
        <v>1129.26</v>
      </c>
      <c r="G738">
        <v>400.05</v>
      </c>
      <c r="H738">
        <v>-1313.8000000000002</v>
      </c>
      <c r="I738">
        <v>113.5</v>
      </c>
      <c r="J738">
        <v>329.00999999999976</v>
      </c>
    </row>
    <row r="739" spans="1:10" x14ac:dyDescent="0.35">
      <c r="A739">
        <v>723</v>
      </c>
      <c r="B739" s="75">
        <v>89.51</v>
      </c>
      <c r="C739" s="75">
        <v>97.34</v>
      </c>
      <c r="D739" s="75">
        <v>92.69</v>
      </c>
      <c r="E739" s="75">
        <v>90.24</v>
      </c>
      <c r="F739">
        <v>131.34</v>
      </c>
      <c r="G739">
        <v>1306.3499999999999</v>
      </c>
      <c r="H739">
        <v>249.20000000000002</v>
      </c>
      <c r="I739">
        <v>3145</v>
      </c>
      <c r="J739">
        <v>4831.8899999999994</v>
      </c>
    </row>
    <row r="740" spans="1:10" x14ac:dyDescent="0.35">
      <c r="A740">
        <v>724</v>
      </c>
      <c r="B740" s="75">
        <v>88.948099999999997</v>
      </c>
      <c r="C740" s="75">
        <v>97.2577</v>
      </c>
      <c r="D740" s="75">
        <v>93.616399999999999</v>
      </c>
      <c r="E740" s="75">
        <v>94.099900000000005</v>
      </c>
      <c r="F740">
        <v>1998.15</v>
      </c>
      <c r="G740">
        <v>1428.3000000000002</v>
      </c>
      <c r="H740">
        <v>-1600.6</v>
      </c>
      <c r="I740">
        <v>-719.30000000000007</v>
      </c>
      <c r="J740">
        <v>1106.5500000000002</v>
      </c>
    </row>
    <row r="741" spans="1:10" x14ac:dyDescent="0.35">
      <c r="A741">
        <v>725</v>
      </c>
      <c r="B741" s="75">
        <v>89.35</v>
      </c>
      <c r="C741" s="75">
        <v>98.92</v>
      </c>
      <c r="D741" s="75">
        <v>92.93</v>
      </c>
      <c r="E741" s="75">
        <v>92.47</v>
      </c>
      <c r="F741">
        <v>688.38</v>
      </c>
      <c r="G741">
        <v>-1072.2</v>
      </c>
      <c r="H741">
        <v>-232.8</v>
      </c>
      <c r="I741">
        <v>910</v>
      </c>
      <c r="J741">
        <v>293.37999999999988</v>
      </c>
    </row>
    <row r="742" spans="1:10" x14ac:dyDescent="0.35">
      <c r="A742">
        <v>726</v>
      </c>
      <c r="B742" s="75">
        <v>89.712400000000002</v>
      </c>
      <c r="C742" s="75">
        <v>99.447999999999993</v>
      </c>
      <c r="D742" s="75">
        <v>94.024100000000004</v>
      </c>
      <c r="E742" s="75">
        <v>93.169700000000006</v>
      </c>
      <c r="F742">
        <v>-524.04</v>
      </c>
      <c r="G742">
        <v>-1857.1499999999999</v>
      </c>
      <c r="H742">
        <v>-2416</v>
      </c>
      <c r="I742">
        <v>210.9</v>
      </c>
      <c r="J742">
        <v>-4586.29</v>
      </c>
    </row>
    <row r="743" spans="1:10" x14ac:dyDescent="0.35">
      <c r="A743">
        <v>727</v>
      </c>
      <c r="B743" s="75">
        <v>90.17</v>
      </c>
      <c r="C743" s="75">
        <v>99.36</v>
      </c>
      <c r="D743" s="75">
        <v>92.86</v>
      </c>
      <c r="E743" s="75">
        <v>94.48</v>
      </c>
      <c r="F743">
        <v>-2017.6200000000001</v>
      </c>
      <c r="G743">
        <v>-1731.45</v>
      </c>
      <c r="H743">
        <v>-85.2</v>
      </c>
      <c r="I743">
        <v>-1102.8</v>
      </c>
      <c r="J743">
        <v>-4937.07</v>
      </c>
    </row>
    <row r="744" spans="1:10" x14ac:dyDescent="0.35">
      <c r="A744">
        <v>728</v>
      </c>
      <c r="B744" s="75">
        <v>88.316500000000005</v>
      </c>
      <c r="C744" s="75">
        <v>99.763099999999994</v>
      </c>
      <c r="D744" s="75">
        <v>93.370900000000006</v>
      </c>
      <c r="E744" s="75">
        <v>96.069299999999998</v>
      </c>
      <c r="F744">
        <v>4082.4300000000003</v>
      </c>
      <c r="G744">
        <v>-2329.7999999999997</v>
      </c>
      <c r="H744">
        <v>-1109.5999999999999</v>
      </c>
      <c r="I744">
        <v>-2688.7</v>
      </c>
      <c r="J744">
        <v>-2045.6699999999992</v>
      </c>
    </row>
    <row r="745" spans="1:10" x14ac:dyDescent="0.35">
      <c r="A745">
        <v>729</v>
      </c>
      <c r="B745" s="75">
        <v>89.57</v>
      </c>
      <c r="C745" s="75">
        <v>98.33</v>
      </c>
      <c r="D745" s="75">
        <v>92.91</v>
      </c>
      <c r="E745" s="75">
        <v>93.43</v>
      </c>
      <c r="F745">
        <v>-56.76</v>
      </c>
      <c r="G745">
        <v>-185.85</v>
      </c>
      <c r="H745">
        <v>-180</v>
      </c>
      <c r="I745">
        <v>-48.2</v>
      </c>
      <c r="J745">
        <v>-470.81</v>
      </c>
    </row>
    <row r="746" spans="1:10" x14ac:dyDescent="0.35">
      <c r="A746">
        <v>730</v>
      </c>
      <c r="B746" s="75">
        <v>88.893100000000004</v>
      </c>
      <c r="C746" s="75">
        <v>96.528400000000005</v>
      </c>
      <c r="D746" s="75">
        <v>92.38</v>
      </c>
      <c r="E746" s="75">
        <v>93.554299999999998</v>
      </c>
      <c r="F746">
        <v>2179.65</v>
      </c>
      <c r="G746">
        <v>2522.25</v>
      </c>
      <c r="H746">
        <v>872.19999999999993</v>
      </c>
      <c r="I746">
        <v>-173.7</v>
      </c>
      <c r="J746">
        <v>5400.4</v>
      </c>
    </row>
    <row r="747" spans="1:10" x14ac:dyDescent="0.35">
      <c r="A747">
        <v>731</v>
      </c>
      <c r="B747" s="75">
        <v>89.11</v>
      </c>
      <c r="C747" s="75">
        <v>98.56</v>
      </c>
      <c r="D747" s="75">
        <v>92.84</v>
      </c>
      <c r="E747" s="75">
        <v>91.92</v>
      </c>
      <c r="F747">
        <v>1451.67</v>
      </c>
      <c r="G747">
        <v>-520.5</v>
      </c>
      <c r="H747">
        <v>-45.6</v>
      </c>
      <c r="I747">
        <v>1459</v>
      </c>
      <c r="J747">
        <v>2344.5700000000002</v>
      </c>
    </row>
    <row r="748" spans="1:10" x14ac:dyDescent="0.35">
      <c r="A748">
        <v>732</v>
      </c>
      <c r="B748" s="75">
        <v>89.591899999999995</v>
      </c>
      <c r="C748" s="75">
        <v>96.991200000000006</v>
      </c>
      <c r="D748" s="75">
        <v>93.022999999999996</v>
      </c>
      <c r="E748" s="75">
        <v>93.659700000000001</v>
      </c>
      <c r="F748">
        <v>-126.39</v>
      </c>
      <c r="G748">
        <v>1828.05</v>
      </c>
      <c r="H748">
        <v>-413.8</v>
      </c>
      <c r="I748">
        <v>-279.10000000000002</v>
      </c>
      <c r="J748">
        <v>1008.7599999999999</v>
      </c>
    </row>
    <row r="749" spans="1:10" x14ac:dyDescent="0.35">
      <c r="A749">
        <v>733</v>
      </c>
      <c r="B749" s="75">
        <v>89.45</v>
      </c>
      <c r="C749" s="75">
        <v>97.81</v>
      </c>
      <c r="D749" s="75">
        <v>91.28</v>
      </c>
      <c r="E749" s="75">
        <v>93.86</v>
      </c>
      <c r="F749">
        <v>330.65999999999997</v>
      </c>
      <c r="G749">
        <v>597.59999999999991</v>
      </c>
      <c r="H749">
        <v>3071.4</v>
      </c>
      <c r="I749">
        <v>-478.7</v>
      </c>
      <c r="J749">
        <v>3520.96</v>
      </c>
    </row>
    <row r="750" spans="1:10" x14ac:dyDescent="0.35">
      <c r="A750">
        <v>734</v>
      </c>
      <c r="B750" s="75">
        <v>89.647300000000001</v>
      </c>
      <c r="C750" s="75">
        <v>97.465299999999999</v>
      </c>
      <c r="D750" s="75">
        <v>94.382199999999997</v>
      </c>
      <c r="E750" s="75">
        <v>92.104200000000006</v>
      </c>
      <c r="F750">
        <v>-309.21000000000004</v>
      </c>
      <c r="G750">
        <v>1116.9000000000001</v>
      </c>
      <c r="H750">
        <v>-3132.2000000000003</v>
      </c>
      <c r="I750">
        <v>1276.4000000000001</v>
      </c>
      <c r="J750">
        <v>-1048.1100000000001</v>
      </c>
    </row>
    <row r="751" spans="1:10" x14ac:dyDescent="0.35">
      <c r="A751">
        <v>735</v>
      </c>
      <c r="B751" s="75">
        <v>89.37</v>
      </c>
      <c r="C751" s="75">
        <v>97.45</v>
      </c>
      <c r="D751" s="75">
        <v>93.27</v>
      </c>
      <c r="E751" s="75">
        <v>95.17</v>
      </c>
      <c r="F751">
        <v>610.82999999999993</v>
      </c>
      <c r="G751">
        <v>1137.5999999999999</v>
      </c>
      <c r="H751">
        <v>-899.4</v>
      </c>
      <c r="I751">
        <v>-1787.6000000000001</v>
      </c>
      <c r="J751">
        <v>-938.57000000000028</v>
      </c>
    </row>
    <row r="752" spans="1:10" x14ac:dyDescent="0.35">
      <c r="A752">
        <v>736</v>
      </c>
      <c r="B752" s="75">
        <v>89.138900000000007</v>
      </c>
      <c r="C752" s="75">
        <v>96.891900000000007</v>
      </c>
      <c r="D752" s="75">
        <v>91.712699999999998</v>
      </c>
      <c r="E752" s="75">
        <v>94.625799999999998</v>
      </c>
      <c r="F752">
        <v>1368.51</v>
      </c>
      <c r="G752">
        <v>1977</v>
      </c>
      <c r="H752">
        <v>2206.7999999999997</v>
      </c>
      <c r="I752">
        <v>-1245.2</v>
      </c>
      <c r="J752">
        <v>4307.1099999999997</v>
      </c>
    </row>
    <row r="753" spans="1:10" x14ac:dyDescent="0.35">
      <c r="A753">
        <v>737</v>
      </c>
      <c r="B753" s="75">
        <v>89.77</v>
      </c>
      <c r="C753" s="75">
        <v>97.93</v>
      </c>
      <c r="D753" s="75">
        <v>91.72</v>
      </c>
      <c r="E753" s="75">
        <v>92.98</v>
      </c>
      <c r="F753">
        <v>-699.93000000000006</v>
      </c>
      <c r="G753">
        <v>427.34999999999997</v>
      </c>
      <c r="H753">
        <v>2183.1999999999998</v>
      </c>
      <c r="I753">
        <v>398.3</v>
      </c>
      <c r="J753">
        <v>2308.9199999999996</v>
      </c>
    </row>
    <row r="754" spans="1:10" x14ac:dyDescent="0.35">
      <c r="A754">
        <v>738</v>
      </c>
      <c r="B754" s="75">
        <v>90.224400000000003</v>
      </c>
      <c r="C754" s="75">
        <v>97.794200000000004</v>
      </c>
      <c r="D754" s="75">
        <v>93.129199999999997</v>
      </c>
      <c r="E754" s="75">
        <v>90.2988</v>
      </c>
      <c r="F754">
        <v>-2213.64</v>
      </c>
      <c r="G754">
        <v>623.55000000000007</v>
      </c>
      <c r="H754">
        <v>-626.19999999999993</v>
      </c>
      <c r="I754">
        <v>3081.7999999999997</v>
      </c>
      <c r="J754">
        <v>865.51000000000022</v>
      </c>
    </row>
    <row r="755" spans="1:10" x14ac:dyDescent="0.35">
      <c r="A755">
        <v>739</v>
      </c>
      <c r="B755" s="75">
        <v>89.69</v>
      </c>
      <c r="C755" s="75">
        <v>98.97</v>
      </c>
      <c r="D755" s="75">
        <v>92.54</v>
      </c>
      <c r="E755" s="75">
        <v>93.22</v>
      </c>
      <c r="F755">
        <v>-434.94</v>
      </c>
      <c r="G755">
        <v>-1142.7</v>
      </c>
      <c r="H755">
        <v>559.79999999999995</v>
      </c>
      <c r="I755">
        <v>157.70000000000002</v>
      </c>
      <c r="J755">
        <v>-860.1400000000001</v>
      </c>
    </row>
    <row r="756" spans="1:10" x14ac:dyDescent="0.35">
      <c r="A756">
        <v>740</v>
      </c>
      <c r="B756" s="75">
        <v>89.779799999999994</v>
      </c>
      <c r="C756" s="75">
        <v>98.995199999999997</v>
      </c>
      <c r="D756" s="75">
        <v>91.5595</v>
      </c>
      <c r="E756" s="75">
        <v>93.287400000000005</v>
      </c>
      <c r="F756">
        <v>-746.46</v>
      </c>
      <c r="G756">
        <v>-1177.95</v>
      </c>
      <c r="H756">
        <v>2513.1999999999998</v>
      </c>
      <c r="I756">
        <v>93.2</v>
      </c>
      <c r="J756">
        <v>681.98999999999978</v>
      </c>
    </row>
    <row r="757" spans="1:10" x14ac:dyDescent="0.35">
      <c r="A757">
        <v>741</v>
      </c>
      <c r="B757" s="75">
        <v>89.73</v>
      </c>
      <c r="C757" s="75">
        <v>97.29</v>
      </c>
      <c r="D757" s="75">
        <v>92.96</v>
      </c>
      <c r="E757" s="75">
        <v>91.29</v>
      </c>
      <c r="F757">
        <v>-584.43000000000006</v>
      </c>
      <c r="G757">
        <v>1384.95</v>
      </c>
      <c r="H757">
        <v>-294.20000000000005</v>
      </c>
      <c r="I757">
        <v>2090.3999999999996</v>
      </c>
      <c r="J757">
        <v>2596.7199999999993</v>
      </c>
    </row>
    <row r="758" spans="1:10" x14ac:dyDescent="0.35">
      <c r="A758">
        <v>742</v>
      </c>
      <c r="B758" s="75">
        <v>89.768699999999995</v>
      </c>
      <c r="C758" s="75">
        <v>99.055099999999996</v>
      </c>
      <c r="D758" s="75">
        <v>92.762799999999999</v>
      </c>
      <c r="E758" s="75">
        <v>92.099400000000003</v>
      </c>
      <c r="F758">
        <v>-709.83</v>
      </c>
      <c r="G758">
        <v>-1267.8</v>
      </c>
      <c r="H758">
        <v>106.6</v>
      </c>
      <c r="I758">
        <v>1281.1999999999998</v>
      </c>
      <c r="J758">
        <v>-589.83000000000038</v>
      </c>
    </row>
    <row r="759" spans="1:10" x14ac:dyDescent="0.35">
      <c r="A759">
        <v>743</v>
      </c>
      <c r="B759" s="75">
        <v>88.85</v>
      </c>
      <c r="C759" s="75">
        <v>99.63</v>
      </c>
      <c r="D759" s="75">
        <v>93.49</v>
      </c>
      <c r="E759" s="75">
        <v>92.31</v>
      </c>
      <c r="F759">
        <v>2326.83</v>
      </c>
      <c r="G759">
        <v>-2134.65</v>
      </c>
      <c r="H759">
        <v>-1346.6</v>
      </c>
      <c r="I759">
        <v>1073.3999999999999</v>
      </c>
      <c r="J759">
        <v>-81.020000000000209</v>
      </c>
    </row>
    <row r="760" spans="1:10" x14ac:dyDescent="0.35">
      <c r="A760">
        <v>744</v>
      </c>
      <c r="B760" s="75">
        <v>89.443899999999999</v>
      </c>
      <c r="C760" s="75">
        <v>98.231300000000005</v>
      </c>
      <c r="D760" s="75">
        <v>94.363600000000005</v>
      </c>
      <c r="E760" s="75">
        <v>92.914400000000001</v>
      </c>
      <c r="F760">
        <v>362.01</v>
      </c>
      <c r="G760">
        <v>-32.1</v>
      </c>
      <c r="H760">
        <v>-3095</v>
      </c>
      <c r="I760">
        <v>466.2</v>
      </c>
      <c r="J760">
        <v>-2298.8900000000003</v>
      </c>
    </row>
    <row r="761" spans="1:10" x14ac:dyDescent="0.35">
      <c r="A761">
        <v>745</v>
      </c>
      <c r="B761" s="75">
        <v>89.16</v>
      </c>
      <c r="C761" s="75">
        <v>99.37</v>
      </c>
      <c r="D761" s="75">
        <v>92.93</v>
      </c>
      <c r="E761" s="75">
        <v>93.11</v>
      </c>
      <c r="F761">
        <v>1287.99</v>
      </c>
      <c r="G761">
        <v>-1744.95</v>
      </c>
      <c r="H761">
        <v>-222.8</v>
      </c>
      <c r="I761">
        <v>275.3</v>
      </c>
      <c r="J761">
        <v>-404.46</v>
      </c>
    </row>
    <row r="762" spans="1:10" x14ac:dyDescent="0.35">
      <c r="A762">
        <v>746</v>
      </c>
      <c r="B762" s="75">
        <v>88.970799999999997</v>
      </c>
      <c r="C762" s="75">
        <v>97.616900000000001</v>
      </c>
      <c r="D762" s="75">
        <v>91.618399999999994</v>
      </c>
      <c r="E762" s="75">
        <v>94.019300000000001</v>
      </c>
      <c r="F762">
        <v>1923.24</v>
      </c>
      <c r="G762">
        <v>889.5</v>
      </c>
      <c r="H762">
        <v>2395.4</v>
      </c>
      <c r="I762">
        <v>-638.70000000000005</v>
      </c>
      <c r="J762">
        <v>4569.4399999999996</v>
      </c>
    </row>
    <row r="763" spans="1:10" x14ac:dyDescent="0.35">
      <c r="A763">
        <v>747</v>
      </c>
      <c r="B763" s="75">
        <v>90.02</v>
      </c>
      <c r="C763" s="75">
        <v>99.1</v>
      </c>
      <c r="D763" s="75">
        <v>92.47</v>
      </c>
      <c r="E763" s="75">
        <v>93.8</v>
      </c>
      <c r="F763">
        <v>-1551.99</v>
      </c>
      <c r="G763">
        <v>-1329.75</v>
      </c>
      <c r="H763">
        <v>700.8</v>
      </c>
      <c r="I763">
        <v>-420.3</v>
      </c>
      <c r="J763">
        <v>-2601.2399999999998</v>
      </c>
    </row>
    <row r="764" spans="1:10" x14ac:dyDescent="0.35">
      <c r="A764">
        <v>748</v>
      </c>
      <c r="B764" s="75">
        <v>89.558300000000003</v>
      </c>
      <c r="C764" s="75">
        <v>98.780600000000007</v>
      </c>
      <c r="D764" s="75">
        <v>91.866699999999994</v>
      </c>
      <c r="E764" s="75">
        <v>94.046599999999998</v>
      </c>
      <c r="F764">
        <v>-15.51</v>
      </c>
      <c r="G764">
        <v>-856.05</v>
      </c>
      <c r="H764">
        <v>1898.8</v>
      </c>
      <c r="I764">
        <v>-666</v>
      </c>
      <c r="J764">
        <v>361.24</v>
      </c>
    </row>
    <row r="765" spans="1:10" x14ac:dyDescent="0.35">
      <c r="A765">
        <v>749</v>
      </c>
      <c r="B765" s="75">
        <v>89.1</v>
      </c>
      <c r="C765" s="75">
        <v>98.37</v>
      </c>
      <c r="D765" s="75">
        <v>94.08</v>
      </c>
      <c r="E765" s="75">
        <v>96.42</v>
      </c>
      <c r="F765">
        <v>1509.09</v>
      </c>
      <c r="G765">
        <v>-243.9</v>
      </c>
      <c r="H765">
        <v>-2534.1999999999998</v>
      </c>
      <c r="I765">
        <v>-3037.2</v>
      </c>
      <c r="J765">
        <v>-4306.21</v>
      </c>
    </row>
    <row r="766" spans="1:10" x14ac:dyDescent="0.35">
      <c r="A766">
        <v>750</v>
      </c>
      <c r="B766" s="75">
        <v>89.316000000000003</v>
      </c>
      <c r="C766" s="75">
        <v>98.730699999999999</v>
      </c>
      <c r="D766" s="75">
        <v>91.641999999999996</v>
      </c>
      <c r="E766" s="75">
        <v>92.185000000000002</v>
      </c>
      <c r="F766">
        <v>784.08</v>
      </c>
      <c r="G766">
        <v>-781.2</v>
      </c>
      <c r="H766">
        <v>2348.1999999999998</v>
      </c>
      <c r="I766">
        <v>1195.5999999999999</v>
      </c>
      <c r="J766">
        <v>3546.68</v>
      </c>
    </row>
    <row r="767" spans="1:10" x14ac:dyDescent="0.35">
      <c r="A767">
        <v>751</v>
      </c>
      <c r="B767" s="75">
        <v>89.67</v>
      </c>
      <c r="C767" s="75">
        <v>99.59</v>
      </c>
      <c r="D767" s="75">
        <v>93.34</v>
      </c>
      <c r="E767" s="75">
        <v>94.47</v>
      </c>
      <c r="F767">
        <v>-382.8</v>
      </c>
      <c r="G767">
        <v>-2077.35</v>
      </c>
      <c r="H767">
        <v>-1047.1999999999998</v>
      </c>
      <c r="I767">
        <v>-1090.5999999999999</v>
      </c>
      <c r="J767">
        <v>-4597.95</v>
      </c>
    </row>
    <row r="768" spans="1:10" x14ac:dyDescent="0.35">
      <c r="A768">
        <v>752</v>
      </c>
      <c r="B768" s="75">
        <v>89.042100000000005</v>
      </c>
      <c r="C768" s="75">
        <v>98.154799999999994</v>
      </c>
      <c r="D768" s="75">
        <v>94.708399999999997</v>
      </c>
      <c r="E768" s="75">
        <v>92.147800000000004</v>
      </c>
      <c r="F768">
        <v>1687.9499999999998</v>
      </c>
      <c r="G768">
        <v>82.65</v>
      </c>
      <c r="H768">
        <v>-3784.6000000000004</v>
      </c>
      <c r="I768">
        <v>1232.8</v>
      </c>
      <c r="J768">
        <v>-781.2000000000005</v>
      </c>
    </row>
    <row r="769" spans="1:10" x14ac:dyDescent="0.35">
      <c r="A769">
        <v>753</v>
      </c>
      <c r="B769" s="75">
        <v>89.04</v>
      </c>
      <c r="C769" s="75">
        <v>98.67</v>
      </c>
      <c r="D769" s="75">
        <v>93.08</v>
      </c>
      <c r="E769" s="75">
        <v>91.89</v>
      </c>
      <c r="F769">
        <v>1688.2800000000002</v>
      </c>
      <c r="G769">
        <v>-696.6</v>
      </c>
      <c r="H769">
        <v>-529.59999999999991</v>
      </c>
      <c r="I769">
        <v>1493.9</v>
      </c>
      <c r="J769">
        <v>1955.9800000000005</v>
      </c>
    </row>
    <row r="770" spans="1:10" x14ac:dyDescent="0.35">
      <c r="A770">
        <v>754</v>
      </c>
      <c r="B770" s="75">
        <v>89.173100000000005</v>
      </c>
      <c r="C770" s="75">
        <v>98.822500000000005</v>
      </c>
      <c r="D770" s="75">
        <v>92.358099999999993</v>
      </c>
      <c r="E770" s="75">
        <v>96.825500000000005</v>
      </c>
      <c r="F770">
        <v>1255.6500000000001</v>
      </c>
      <c r="G770">
        <v>-918.90000000000009</v>
      </c>
      <c r="H770">
        <v>916</v>
      </c>
      <c r="I770">
        <v>-3444.9</v>
      </c>
      <c r="J770">
        <v>-2192.15</v>
      </c>
    </row>
    <row r="771" spans="1:10" x14ac:dyDescent="0.35">
      <c r="A771">
        <v>755</v>
      </c>
      <c r="B771" s="75">
        <v>89.43</v>
      </c>
      <c r="C771" s="75">
        <v>100.01</v>
      </c>
      <c r="D771" s="75">
        <v>93.4</v>
      </c>
      <c r="E771" s="75">
        <v>90.21</v>
      </c>
      <c r="F771">
        <v>394.68</v>
      </c>
      <c r="G771">
        <v>-2704.5</v>
      </c>
      <c r="H771">
        <v>-1170.4000000000001</v>
      </c>
      <c r="I771">
        <v>3166.7999999999997</v>
      </c>
      <c r="J771">
        <v>-313.42000000000053</v>
      </c>
    </row>
    <row r="772" spans="1:10" x14ac:dyDescent="0.35">
      <c r="A772">
        <v>756</v>
      </c>
      <c r="B772" s="75">
        <v>89.459699999999998</v>
      </c>
      <c r="C772" s="75">
        <v>98.841999999999999</v>
      </c>
      <c r="D772" s="75">
        <v>91.551699999999997</v>
      </c>
      <c r="E772" s="75">
        <v>94.071299999999994</v>
      </c>
      <c r="F772">
        <v>309.87</v>
      </c>
      <c r="G772">
        <v>-948.15</v>
      </c>
      <c r="H772">
        <v>2528.7999999999997</v>
      </c>
      <c r="I772">
        <v>-690.69999999999993</v>
      </c>
      <c r="J772">
        <v>1199.8199999999997</v>
      </c>
    </row>
    <row r="773" spans="1:10" x14ac:dyDescent="0.35">
      <c r="A773">
        <v>757</v>
      </c>
      <c r="B773" s="75">
        <v>90.14</v>
      </c>
      <c r="C773" s="75">
        <v>97.3</v>
      </c>
      <c r="D773" s="75">
        <v>92.64</v>
      </c>
      <c r="E773" s="75">
        <v>92.52</v>
      </c>
      <c r="F773">
        <v>-1951.2900000000002</v>
      </c>
      <c r="G773">
        <v>1367.3999999999999</v>
      </c>
      <c r="H773">
        <v>359.59999999999997</v>
      </c>
      <c r="I773">
        <v>859.5</v>
      </c>
      <c r="J773">
        <v>635.20999999999958</v>
      </c>
    </row>
    <row r="774" spans="1:10" x14ac:dyDescent="0.35">
      <c r="A774">
        <v>758</v>
      </c>
      <c r="B774" s="75">
        <v>89.028800000000004</v>
      </c>
      <c r="C774" s="75">
        <v>97.701899999999995</v>
      </c>
      <c r="D774" s="75">
        <v>92.003100000000003</v>
      </c>
      <c r="E774" s="75">
        <v>93.7209</v>
      </c>
      <c r="F774">
        <v>1731.8400000000001</v>
      </c>
      <c r="G774">
        <v>762</v>
      </c>
      <c r="H774">
        <v>1626</v>
      </c>
      <c r="I774">
        <v>-340.3</v>
      </c>
      <c r="J774">
        <v>3779.54</v>
      </c>
    </row>
    <row r="775" spans="1:10" x14ac:dyDescent="0.35">
      <c r="A775">
        <v>759</v>
      </c>
      <c r="B775" s="75">
        <v>88.91</v>
      </c>
      <c r="C775" s="75">
        <v>97.79</v>
      </c>
      <c r="D775" s="75">
        <v>92.45</v>
      </c>
      <c r="E775" s="75">
        <v>92.11</v>
      </c>
      <c r="F775">
        <v>2114.9700000000003</v>
      </c>
      <c r="G775">
        <v>632.4</v>
      </c>
      <c r="H775">
        <v>729.19999999999993</v>
      </c>
      <c r="I775">
        <v>1269.0999999999999</v>
      </c>
      <c r="J775">
        <v>4745.67</v>
      </c>
    </row>
    <row r="776" spans="1:10" x14ac:dyDescent="0.35">
      <c r="A776">
        <v>760</v>
      </c>
      <c r="B776" s="75">
        <v>89.625900000000001</v>
      </c>
      <c r="C776" s="75">
        <v>97.172300000000007</v>
      </c>
      <c r="D776" s="75">
        <v>93.322199999999995</v>
      </c>
      <c r="E776" s="75">
        <v>94.172200000000004</v>
      </c>
      <c r="F776">
        <v>-238.59</v>
      </c>
      <c r="G776">
        <v>1556.4</v>
      </c>
      <c r="H776">
        <v>-1012.2</v>
      </c>
      <c r="I776">
        <v>-791.6</v>
      </c>
      <c r="J776">
        <v>-485.9899999999999</v>
      </c>
    </row>
    <row r="777" spans="1:10" x14ac:dyDescent="0.35">
      <c r="A777">
        <v>761</v>
      </c>
      <c r="B777" s="75">
        <v>89.83</v>
      </c>
      <c r="C777" s="75">
        <v>98.5</v>
      </c>
      <c r="D777" s="75">
        <v>93.53</v>
      </c>
      <c r="E777" s="75">
        <v>93.6</v>
      </c>
      <c r="F777">
        <v>-924.00000000000011</v>
      </c>
      <c r="G777">
        <v>-434.55</v>
      </c>
      <c r="H777">
        <v>-1432.8000000000002</v>
      </c>
      <c r="I777">
        <v>-223.20000000000002</v>
      </c>
      <c r="J777">
        <v>-3014.55</v>
      </c>
    </row>
    <row r="778" spans="1:10" x14ac:dyDescent="0.35">
      <c r="A778">
        <v>762</v>
      </c>
      <c r="B778" s="75">
        <v>89.430499999999995</v>
      </c>
      <c r="C778" s="75">
        <v>96.987799999999993</v>
      </c>
      <c r="D778" s="75">
        <v>93.584500000000006</v>
      </c>
      <c r="E778" s="75">
        <v>92.183099999999996</v>
      </c>
      <c r="F778">
        <v>406.23</v>
      </c>
      <c r="G778">
        <v>1833.1499999999999</v>
      </c>
      <c r="H778">
        <v>-1536.8</v>
      </c>
      <c r="I778">
        <v>1197.5</v>
      </c>
      <c r="J778">
        <v>1900.0800000000002</v>
      </c>
    </row>
    <row r="779" spans="1:10" x14ac:dyDescent="0.35">
      <c r="A779">
        <v>763</v>
      </c>
      <c r="B779" s="75">
        <v>89.36</v>
      </c>
      <c r="C779" s="75">
        <v>98.93</v>
      </c>
      <c r="D779" s="75">
        <v>92.47</v>
      </c>
      <c r="E779" s="75">
        <v>93.42</v>
      </c>
      <c r="F779">
        <v>644.49</v>
      </c>
      <c r="G779">
        <v>-1073.25</v>
      </c>
      <c r="H779">
        <v>698.8</v>
      </c>
      <c r="I779">
        <v>-34.799999999999997</v>
      </c>
      <c r="J779">
        <v>235.23999999999995</v>
      </c>
    </row>
    <row r="780" spans="1:10" x14ac:dyDescent="0.35">
      <c r="A780">
        <v>764</v>
      </c>
      <c r="B780" s="75">
        <v>89.076599999999999</v>
      </c>
      <c r="C780" s="75">
        <v>97.376400000000004</v>
      </c>
      <c r="D780" s="75">
        <v>92.517700000000005</v>
      </c>
      <c r="E780" s="75">
        <v>94.187399999999997</v>
      </c>
      <c r="F780">
        <v>1574.1</v>
      </c>
      <c r="G780">
        <v>1250.25</v>
      </c>
      <c r="H780">
        <v>596.79999999999995</v>
      </c>
      <c r="I780">
        <v>-806.8</v>
      </c>
      <c r="J780">
        <v>2614.3499999999995</v>
      </c>
    </row>
    <row r="781" spans="1:10" x14ac:dyDescent="0.35">
      <c r="A781">
        <v>765</v>
      </c>
      <c r="B781" s="75">
        <v>89.53</v>
      </c>
      <c r="C781" s="75">
        <v>100.19</v>
      </c>
      <c r="D781" s="75">
        <v>93.32</v>
      </c>
      <c r="E781" s="75">
        <v>93.98</v>
      </c>
      <c r="F781">
        <v>73.59</v>
      </c>
      <c r="G781">
        <v>-2972.55</v>
      </c>
      <c r="H781">
        <v>-1014</v>
      </c>
      <c r="I781">
        <v>-603.19999999999993</v>
      </c>
      <c r="J781">
        <v>-4516.16</v>
      </c>
    </row>
    <row r="782" spans="1:10" x14ac:dyDescent="0.35">
      <c r="A782">
        <v>766</v>
      </c>
      <c r="B782" s="75">
        <v>89.263000000000005</v>
      </c>
      <c r="C782" s="75">
        <v>98.618899999999996</v>
      </c>
      <c r="D782" s="75">
        <v>94.874799999999993</v>
      </c>
      <c r="E782" s="75">
        <v>92.146000000000001</v>
      </c>
      <c r="F782">
        <v>958.98000000000013</v>
      </c>
      <c r="G782">
        <v>-613.5</v>
      </c>
      <c r="H782">
        <v>-4117.3999999999996</v>
      </c>
      <c r="I782">
        <v>1234.5999999999999</v>
      </c>
      <c r="J782">
        <v>-2537.3199999999997</v>
      </c>
    </row>
    <row r="783" spans="1:10" x14ac:dyDescent="0.35">
      <c r="A783">
        <v>767</v>
      </c>
      <c r="B783" s="75">
        <v>90.38</v>
      </c>
      <c r="C783" s="75">
        <v>98.86</v>
      </c>
      <c r="D783" s="75">
        <v>91.48</v>
      </c>
      <c r="E783" s="75">
        <v>91.49</v>
      </c>
      <c r="F783">
        <v>-2716.8900000000003</v>
      </c>
      <c r="G783">
        <v>-972.9</v>
      </c>
      <c r="H783">
        <v>2667.2</v>
      </c>
      <c r="I783">
        <v>1887.8</v>
      </c>
      <c r="J783">
        <v>865.20999999999935</v>
      </c>
    </row>
    <row r="784" spans="1:10" x14ac:dyDescent="0.35">
      <c r="A784">
        <v>768</v>
      </c>
      <c r="B784" s="75">
        <v>89.545299999999997</v>
      </c>
      <c r="C784" s="75">
        <v>97.333600000000004</v>
      </c>
      <c r="D784" s="75">
        <v>94.328999999999994</v>
      </c>
      <c r="E784" s="75">
        <v>94.727000000000004</v>
      </c>
      <c r="F784">
        <v>27.39</v>
      </c>
      <c r="G784">
        <v>1314.45</v>
      </c>
      <c r="H784">
        <v>-3025.7999999999997</v>
      </c>
      <c r="I784">
        <v>-1346.4</v>
      </c>
      <c r="J784">
        <v>-3030.3599999999997</v>
      </c>
    </row>
    <row r="785" spans="1:10" x14ac:dyDescent="0.35">
      <c r="A785">
        <v>769</v>
      </c>
      <c r="B785" s="75">
        <v>89.67</v>
      </c>
      <c r="C785" s="75">
        <v>97.14</v>
      </c>
      <c r="D785" s="75">
        <v>94.54</v>
      </c>
      <c r="E785" s="75">
        <v>93.85</v>
      </c>
      <c r="F785">
        <v>-378.51</v>
      </c>
      <c r="G785">
        <v>1610.4</v>
      </c>
      <c r="H785">
        <v>-3451.6</v>
      </c>
      <c r="I785">
        <v>-472.2</v>
      </c>
      <c r="J785">
        <v>-2691.91</v>
      </c>
    </row>
    <row r="786" spans="1:10" x14ac:dyDescent="0.35">
      <c r="A786">
        <v>770</v>
      </c>
      <c r="B786" s="75">
        <v>90.383499999999998</v>
      </c>
      <c r="C786" s="75">
        <v>97.840999999999994</v>
      </c>
      <c r="D786" s="75">
        <v>93.427199999999999</v>
      </c>
      <c r="E786" s="75">
        <v>93.749099999999999</v>
      </c>
      <c r="F786">
        <v>-2738.67</v>
      </c>
      <c r="G786">
        <v>553.35</v>
      </c>
      <c r="H786">
        <v>-1222.2</v>
      </c>
      <c r="I786">
        <v>-368.5</v>
      </c>
      <c r="J786">
        <v>-3776.0200000000004</v>
      </c>
    </row>
    <row r="787" spans="1:10" x14ac:dyDescent="0.35">
      <c r="A787">
        <v>771</v>
      </c>
      <c r="B787" s="75">
        <v>89.28</v>
      </c>
      <c r="C787" s="75">
        <v>98.16</v>
      </c>
      <c r="D787" s="75">
        <v>93.92</v>
      </c>
      <c r="E787" s="75">
        <v>93.87</v>
      </c>
      <c r="F787">
        <v>899.25000000000011</v>
      </c>
      <c r="G787">
        <v>78.300000000000011</v>
      </c>
      <c r="H787">
        <v>-2199.6000000000004</v>
      </c>
      <c r="I787">
        <v>-485.3</v>
      </c>
      <c r="J787">
        <v>-1707.3500000000001</v>
      </c>
    </row>
    <row r="788" spans="1:10" x14ac:dyDescent="0.35">
      <c r="A788">
        <v>772</v>
      </c>
      <c r="B788" s="75">
        <v>90.925299999999993</v>
      </c>
      <c r="C788" s="75">
        <v>98.851900000000001</v>
      </c>
      <c r="D788" s="75">
        <v>93.569199999999995</v>
      </c>
      <c r="E788" s="75">
        <v>95.300399999999996</v>
      </c>
      <c r="F788">
        <v>-4526.6099999999997</v>
      </c>
      <c r="G788">
        <v>-963</v>
      </c>
      <c r="H788">
        <v>-1506.2</v>
      </c>
      <c r="I788">
        <v>-1919.8</v>
      </c>
      <c r="J788">
        <v>-8915.6099999999988</v>
      </c>
    </row>
    <row r="789" spans="1:10" x14ac:dyDescent="0.35">
      <c r="A789">
        <v>773</v>
      </c>
      <c r="B789" s="75">
        <v>90.25</v>
      </c>
      <c r="C789" s="75">
        <v>98.07</v>
      </c>
      <c r="D789" s="75">
        <v>91.91</v>
      </c>
      <c r="E789" s="75">
        <v>92.54</v>
      </c>
      <c r="F789">
        <v>-2298.7800000000002</v>
      </c>
      <c r="G789">
        <v>216.74999999999997</v>
      </c>
      <c r="H789">
        <v>1810.4</v>
      </c>
      <c r="I789">
        <v>841.7</v>
      </c>
      <c r="J789">
        <v>570.06999999999994</v>
      </c>
    </row>
    <row r="790" spans="1:10" x14ac:dyDescent="0.35">
      <c r="A790">
        <v>774</v>
      </c>
      <c r="B790" s="75">
        <v>89.120699999999999</v>
      </c>
      <c r="C790" s="75">
        <v>97.971999999999994</v>
      </c>
      <c r="D790" s="75">
        <v>94.636899999999997</v>
      </c>
      <c r="E790" s="75">
        <v>96.920100000000005</v>
      </c>
      <c r="F790">
        <v>1428.57</v>
      </c>
      <c r="G790">
        <v>356.85</v>
      </c>
      <c r="H790">
        <v>-3641.6</v>
      </c>
      <c r="I790">
        <v>-3539.5</v>
      </c>
      <c r="J790">
        <v>-5395.68</v>
      </c>
    </row>
    <row r="791" spans="1:10" x14ac:dyDescent="0.35">
      <c r="A791">
        <v>775</v>
      </c>
      <c r="B791" s="75">
        <v>89.52</v>
      </c>
      <c r="C791" s="75">
        <v>97.61</v>
      </c>
      <c r="D791" s="75">
        <v>92.47</v>
      </c>
      <c r="E791" s="75">
        <v>94.32</v>
      </c>
      <c r="F791">
        <v>97.02</v>
      </c>
      <c r="G791">
        <v>894.75</v>
      </c>
      <c r="H791">
        <v>697.4</v>
      </c>
      <c r="I791">
        <v>-935.1</v>
      </c>
      <c r="J791">
        <v>754.07</v>
      </c>
    </row>
    <row r="792" spans="1:10" x14ac:dyDescent="0.35">
      <c r="A792">
        <v>776</v>
      </c>
      <c r="B792" s="75">
        <v>90.274500000000003</v>
      </c>
      <c r="C792" s="75">
        <v>98.703500000000005</v>
      </c>
      <c r="D792" s="75">
        <v>92.491600000000005</v>
      </c>
      <c r="E792" s="75">
        <v>95.343500000000006</v>
      </c>
      <c r="F792">
        <v>-2378.9699999999998</v>
      </c>
      <c r="G792">
        <v>-740.4</v>
      </c>
      <c r="H792">
        <v>649</v>
      </c>
      <c r="I792">
        <v>-1962.9</v>
      </c>
      <c r="J792">
        <v>-4433.2700000000004</v>
      </c>
    </row>
    <row r="793" spans="1:10" x14ac:dyDescent="0.35">
      <c r="A793">
        <v>777</v>
      </c>
      <c r="B793" s="75">
        <v>88.89</v>
      </c>
      <c r="C793" s="75">
        <v>99.16</v>
      </c>
      <c r="D793" s="75">
        <v>92.92</v>
      </c>
      <c r="E793" s="75">
        <v>90.34</v>
      </c>
      <c r="F793">
        <v>2199.12</v>
      </c>
      <c r="G793">
        <v>-1424.25</v>
      </c>
      <c r="H793">
        <v>-208.6</v>
      </c>
      <c r="I793">
        <v>3044.9</v>
      </c>
      <c r="J793">
        <v>3611.17</v>
      </c>
    </row>
    <row r="794" spans="1:10" x14ac:dyDescent="0.35">
      <c r="A794">
        <v>778</v>
      </c>
      <c r="B794" s="75">
        <v>89.100399999999993</v>
      </c>
      <c r="C794" s="75">
        <v>98.675899999999999</v>
      </c>
      <c r="D794" s="75">
        <v>93.252300000000005</v>
      </c>
      <c r="E794" s="75">
        <v>92.432299999999998</v>
      </c>
      <c r="F794">
        <v>1495.56</v>
      </c>
      <c r="G794">
        <v>-699</v>
      </c>
      <c r="H794">
        <v>-872.4</v>
      </c>
      <c r="I794">
        <v>948.30000000000007</v>
      </c>
      <c r="J794">
        <v>872.46</v>
      </c>
    </row>
    <row r="795" spans="1:10" x14ac:dyDescent="0.35">
      <c r="A795">
        <v>779</v>
      </c>
      <c r="B795" s="75">
        <v>89.33</v>
      </c>
      <c r="C795" s="75">
        <v>97.9</v>
      </c>
      <c r="D795" s="75">
        <v>93.12</v>
      </c>
      <c r="E795" s="75">
        <v>92.04</v>
      </c>
      <c r="F795">
        <v>730.62</v>
      </c>
      <c r="G795">
        <v>458.55000000000007</v>
      </c>
      <c r="H795">
        <v>-611.19999999999993</v>
      </c>
      <c r="I795">
        <v>1337.1</v>
      </c>
      <c r="J795">
        <v>1915.0700000000002</v>
      </c>
    </row>
    <row r="796" spans="1:10" x14ac:dyDescent="0.35">
      <c r="A796">
        <v>780</v>
      </c>
      <c r="B796" s="75">
        <v>89.652900000000002</v>
      </c>
      <c r="C796" s="75">
        <v>98.072599999999994</v>
      </c>
      <c r="D796" s="75">
        <v>93.544499999999999</v>
      </c>
      <c r="E796" s="75">
        <v>93.445099999999996</v>
      </c>
      <c r="F796">
        <v>-327.69</v>
      </c>
      <c r="G796">
        <v>205.95000000000002</v>
      </c>
      <c r="H796">
        <v>-1456.8000000000002</v>
      </c>
      <c r="I796">
        <v>-64.5</v>
      </c>
      <c r="J796">
        <v>-1643.0400000000002</v>
      </c>
    </row>
    <row r="797" spans="1:10" x14ac:dyDescent="0.35">
      <c r="A797">
        <v>781</v>
      </c>
      <c r="B797" s="75">
        <v>89.72</v>
      </c>
      <c r="C797" s="75">
        <v>97.84</v>
      </c>
      <c r="D797" s="75">
        <v>91.54</v>
      </c>
      <c r="E797" s="75">
        <v>94.16</v>
      </c>
      <c r="F797">
        <v>-561.99</v>
      </c>
      <c r="G797">
        <v>560.4</v>
      </c>
      <c r="H797">
        <v>2551</v>
      </c>
      <c r="I797">
        <v>-783.3</v>
      </c>
      <c r="J797">
        <v>1766.11</v>
      </c>
    </row>
    <row r="798" spans="1:10" x14ac:dyDescent="0.35">
      <c r="A798">
        <v>782</v>
      </c>
      <c r="B798" s="75">
        <v>88.557400000000001</v>
      </c>
      <c r="C798" s="75">
        <v>97.707800000000006</v>
      </c>
      <c r="D798" s="75">
        <v>92.307400000000001</v>
      </c>
      <c r="E798" s="75">
        <v>96.943100000000001</v>
      </c>
      <c r="F798">
        <v>3287.46</v>
      </c>
      <c r="G798">
        <v>753.15</v>
      </c>
      <c r="H798">
        <v>1017.4000000000001</v>
      </c>
      <c r="I798">
        <v>-3562.5</v>
      </c>
      <c r="J798">
        <v>1495.5100000000002</v>
      </c>
    </row>
    <row r="799" spans="1:10" x14ac:dyDescent="0.35">
      <c r="A799">
        <v>783</v>
      </c>
      <c r="B799" s="75">
        <v>88.6</v>
      </c>
      <c r="C799" s="75">
        <v>98.36</v>
      </c>
      <c r="D799" s="75">
        <v>92.81</v>
      </c>
      <c r="E799" s="75">
        <v>94.24</v>
      </c>
      <c r="F799">
        <v>3152.82</v>
      </c>
      <c r="G799">
        <v>-220.5</v>
      </c>
      <c r="H799">
        <v>13.2</v>
      </c>
      <c r="I799">
        <v>-859.6</v>
      </c>
      <c r="J799">
        <v>2085.92</v>
      </c>
    </row>
    <row r="800" spans="1:10" x14ac:dyDescent="0.35">
      <c r="A800">
        <v>784</v>
      </c>
      <c r="B800" s="75">
        <v>89.445899999999995</v>
      </c>
      <c r="C800" s="75">
        <v>98.2911</v>
      </c>
      <c r="D800" s="75">
        <v>92.441599999999994</v>
      </c>
      <c r="E800" s="75">
        <v>91.230900000000005</v>
      </c>
      <c r="F800">
        <v>355.41</v>
      </c>
      <c r="G800">
        <v>-121.8</v>
      </c>
      <c r="H800">
        <v>749</v>
      </c>
      <c r="I800">
        <v>2149.7000000000003</v>
      </c>
      <c r="J800">
        <v>3132.3100000000004</v>
      </c>
    </row>
    <row r="801" spans="1:10" x14ac:dyDescent="0.35">
      <c r="A801">
        <v>785</v>
      </c>
      <c r="B801" s="75">
        <v>89.84</v>
      </c>
      <c r="C801" s="75">
        <v>98.5</v>
      </c>
      <c r="D801" s="75">
        <v>93.68</v>
      </c>
      <c r="E801" s="75">
        <v>92.72</v>
      </c>
      <c r="F801">
        <v>-935.21999999999991</v>
      </c>
      <c r="G801">
        <v>-439.2</v>
      </c>
      <c r="H801">
        <v>-1729.6000000000001</v>
      </c>
      <c r="I801">
        <v>661.2</v>
      </c>
      <c r="J801">
        <v>-2442.8199999999997</v>
      </c>
    </row>
    <row r="802" spans="1:10" x14ac:dyDescent="0.35">
      <c r="A802">
        <v>786</v>
      </c>
      <c r="B802" s="75">
        <v>89.107500000000002</v>
      </c>
      <c r="C802" s="75">
        <v>99.593900000000005</v>
      </c>
      <c r="D802" s="75">
        <v>94.134200000000007</v>
      </c>
      <c r="E802" s="75">
        <v>91.9328</v>
      </c>
      <c r="F802">
        <v>1472.1299999999999</v>
      </c>
      <c r="G802">
        <v>-2076</v>
      </c>
      <c r="H802">
        <v>-2636.2000000000003</v>
      </c>
      <c r="I802">
        <v>1447.8</v>
      </c>
      <c r="J802">
        <v>-1792.2700000000007</v>
      </c>
    </row>
    <row r="803" spans="1:10" x14ac:dyDescent="0.35">
      <c r="A803">
        <v>787</v>
      </c>
      <c r="B803" s="75">
        <v>89.29</v>
      </c>
      <c r="C803" s="75">
        <v>99.21</v>
      </c>
      <c r="D803" s="75">
        <v>92.6</v>
      </c>
      <c r="E803" s="75">
        <v>94.06</v>
      </c>
      <c r="F803">
        <v>881.1</v>
      </c>
      <c r="G803">
        <v>-1497.15</v>
      </c>
      <c r="H803">
        <v>434</v>
      </c>
      <c r="I803">
        <v>-679.9</v>
      </c>
      <c r="J803">
        <v>-861.95</v>
      </c>
    </row>
    <row r="804" spans="1:10" x14ac:dyDescent="0.35">
      <c r="A804">
        <v>788</v>
      </c>
      <c r="B804" s="75">
        <v>88.468100000000007</v>
      </c>
      <c r="C804" s="75">
        <v>97.918300000000002</v>
      </c>
      <c r="D804" s="75">
        <v>93.525099999999995</v>
      </c>
      <c r="E804" s="75">
        <v>95.870699999999999</v>
      </c>
      <c r="F804">
        <v>3582.1499999999996</v>
      </c>
      <c r="G804">
        <v>437.40000000000003</v>
      </c>
      <c r="H804">
        <v>-1418</v>
      </c>
      <c r="I804">
        <v>-2490.1</v>
      </c>
      <c r="J804">
        <v>111.44999999999982</v>
      </c>
    </row>
    <row r="805" spans="1:10" x14ac:dyDescent="0.35">
      <c r="A805">
        <v>789</v>
      </c>
      <c r="B805" s="75">
        <v>89.65</v>
      </c>
      <c r="C805" s="75">
        <v>98.37</v>
      </c>
      <c r="D805" s="75">
        <v>90.77</v>
      </c>
      <c r="E805" s="75">
        <v>92.63</v>
      </c>
      <c r="F805">
        <v>-318.78000000000003</v>
      </c>
      <c r="G805">
        <v>-240.45</v>
      </c>
      <c r="H805">
        <v>4083.4</v>
      </c>
      <c r="I805">
        <v>750.1</v>
      </c>
      <c r="J805">
        <v>4274.2700000000004</v>
      </c>
    </row>
    <row r="806" spans="1:10" x14ac:dyDescent="0.35">
      <c r="A806">
        <v>790</v>
      </c>
      <c r="B806" s="75">
        <v>88.848500000000001</v>
      </c>
      <c r="C806" s="75">
        <v>97.093100000000007</v>
      </c>
      <c r="D806" s="75">
        <v>92.765799999999999</v>
      </c>
      <c r="E806" s="75">
        <v>93.354600000000005</v>
      </c>
      <c r="F806">
        <v>2326.83</v>
      </c>
      <c r="G806">
        <v>1675.2</v>
      </c>
      <c r="H806">
        <v>100.6</v>
      </c>
      <c r="I806">
        <v>26</v>
      </c>
      <c r="J806">
        <v>4128.63</v>
      </c>
    </row>
    <row r="807" spans="1:10" x14ac:dyDescent="0.35">
      <c r="A807">
        <v>791</v>
      </c>
      <c r="B807" s="75">
        <v>89.39</v>
      </c>
      <c r="C807" s="75">
        <v>97.61</v>
      </c>
      <c r="D807" s="75">
        <v>95.58</v>
      </c>
      <c r="E807" s="75">
        <v>92.58</v>
      </c>
      <c r="F807">
        <v>542.52</v>
      </c>
      <c r="G807">
        <v>904.8</v>
      </c>
      <c r="H807">
        <v>-5529.2000000000007</v>
      </c>
      <c r="I807">
        <v>804.8</v>
      </c>
      <c r="J807">
        <v>-3277.0800000000008</v>
      </c>
    </row>
    <row r="808" spans="1:10" x14ac:dyDescent="0.35">
      <c r="A808">
        <v>792</v>
      </c>
      <c r="B808" s="75">
        <v>89.227699999999999</v>
      </c>
      <c r="C808" s="75">
        <v>97.765199999999993</v>
      </c>
      <c r="D808" s="75">
        <v>92.922700000000006</v>
      </c>
      <c r="E808" s="75">
        <v>93.169399999999996</v>
      </c>
      <c r="F808">
        <v>1075.47</v>
      </c>
      <c r="G808">
        <v>667.05</v>
      </c>
      <c r="H808">
        <v>-213.2</v>
      </c>
      <c r="I808">
        <v>211.2</v>
      </c>
      <c r="J808">
        <v>1740.52</v>
      </c>
    </row>
    <row r="809" spans="1:10" x14ac:dyDescent="0.35">
      <c r="A809">
        <v>793</v>
      </c>
      <c r="B809" s="75">
        <v>90.68</v>
      </c>
      <c r="C809" s="75">
        <v>98.31</v>
      </c>
      <c r="D809" s="75">
        <v>91.64</v>
      </c>
      <c r="E809" s="75">
        <v>96.79</v>
      </c>
      <c r="F809">
        <v>-3702.6000000000004</v>
      </c>
      <c r="G809">
        <v>-145.35</v>
      </c>
      <c r="H809">
        <v>2350.2000000000003</v>
      </c>
      <c r="I809">
        <v>-3414.2999999999997</v>
      </c>
      <c r="J809">
        <v>-4912.0499999999993</v>
      </c>
    </row>
    <row r="810" spans="1:10" x14ac:dyDescent="0.35">
      <c r="A810">
        <v>794</v>
      </c>
      <c r="B810" s="75">
        <v>90.158799999999999</v>
      </c>
      <c r="C810" s="75">
        <v>97.4178</v>
      </c>
      <c r="D810" s="75">
        <v>91.093400000000003</v>
      </c>
      <c r="E810" s="75">
        <v>90.539100000000005</v>
      </c>
      <c r="F810">
        <v>-1997.1599999999999</v>
      </c>
      <c r="G810">
        <v>1188.1500000000001</v>
      </c>
      <c r="H810">
        <v>3445.3999999999996</v>
      </c>
      <c r="I810">
        <v>2841.5</v>
      </c>
      <c r="J810">
        <v>5477.8899999999994</v>
      </c>
    </row>
    <row r="811" spans="1:10" x14ac:dyDescent="0.35">
      <c r="A811">
        <v>795</v>
      </c>
      <c r="B811" s="75">
        <v>89.13</v>
      </c>
      <c r="C811" s="75">
        <v>98.53</v>
      </c>
      <c r="D811" s="75">
        <v>93.27</v>
      </c>
      <c r="E811" s="75">
        <v>94.73</v>
      </c>
      <c r="F811">
        <v>1384.35</v>
      </c>
      <c r="G811">
        <v>-483.6</v>
      </c>
      <c r="H811">
        <v>-900.80000000000007</v>
      </c>
      <c r="I811">
        <v>-1349</v>
      </c>
      <c r="J811">
        <v>-1349.0500000000002</v>
      </c>
    </row>
    <row r="812" spans="1:10" x14ac:dyDescent="0.35">
      <c r="A812">
        <v>796</v>
      </c>
      <c r="B812" s="75">
        <v>89.703199999999995</v>
      </c>
      <c r="C812" s="75">
        <v>98.307100000000005</v>
      </c>
      <c r="D812" s="75">
        <v>91.8005</v>
      </c>
      <c r="E812" s="75">
        <v>92.525300000000001</v>
      </c>
      <c r="F812">
        <v>-493.68000000000006</v>
      </c>
      <c r="G812">
        <v>-145.79999999999998</v>
      </c>
      <c r="H812">
        <v>2031.2</v>
      </c>
      <c r="I812">
        <v>855.3</v>
      </c>
      <c r="J812">
        <v>2247.02</v>
      </c>
    </row>
    <row r="813" spans="1:10" x14ac:dyDescent="0.35">
      <c r="A813">
        <v>797</v>
      </c>
      <c r="B813" s="75">
        <v>90.42</v>
      </c>
      <c r="C813" s="75">
        <v>98.86</v>
      </c>
      <c r="D813" s="75">
        <v>92.58</v>
      </c>
      <c r="E813" s="75">
        <v>94.46</v>
      </c>
      <c r="F813">
        <v>-2873.64</v>
      </c>
      <c r="G813">
        <v>-969.75</v>
      </c>
      <c r="H813">
        <v>471</v>
      </c>
      <c r="I813">
        <v>-1084</v>
      </c>
      <c r="J813">
        <v>-4456.3899999999994</v>
      </c>
    </row>
    <row r="814" spans="1:10" x14ac:dyDescent="0.35">
      <c r="A814">
        <v>798</v>
      </c>
      <c r="B814" s="75">
        <v>88.901799999999994</v>
      </c>
      <c r="C814" s="75">
        <v>97.456800000000001</v>
      </c>
      <c r="D814" s="75">
        <v>93.402699999999996</v>
      </c>
      <c r="E814" s="75">
        <v>95.639499999999998</v>
      </c>
      <c r="F814">
        <v>2150.94</v>
      </c>
      <c r="G814">
        <v>1129.6500000000001</v>
      </c>
      <c r="H814">
        <v>-1173.2</v>
      </c>
      <c r="I814">
        <v>-2258.9</v>
      </c>
      <c r="J814">
        <v>-151.50999999999976</v>
      </c>
    </row>
    <row r="815" spans="1:10" x14ac:dyDescent="0.35">
      <c r="A815">
        <v>799</v>
      </c>
      <c r="B815" s="75">
        <v>89.8</v>
      </c>
      <c r="C815" s="75">
        <v>97.76</v>
      </c>
      <c r="D815" s="75">
        <v>94.67</v>
      </c>
      <c r="E815" s="75">
        <v>92.05</v>
      </c>
      <c r="F815">
        <v>-802.89</v>
      </c>
      <c r="G815">
        <v>668.55</v>
      </c>
      <c r="H815">
        <v>-3698.4</v>
      </c>
      <c r="I815">
        <v>1333.1</v>
      </c>
      <c r="J815">
        <v>-2499.6400000000003</v>
      </c>
    </row>
    <row r="816" spans="1:10" x14ac:dyDescent="0.35">
      <c r="A816">
        <v>800</v>
      </c>
      <c r="B816" s="75">
        <v>89.103099999999998</v>
      </c>
      <c r="C816" s="75">
        <v>97.510199999999998</v>
      </c>
      <c r="D816" s="75">
        <v>92.486400000000003</v>
      </c>
      <c r="E816" s="75">
        <v>94.831299999999999</v>
      </c>
      <c r="F816">
        <v>1486.65</v>
      </c>
      <c r="G816">
        <v>1049.55</v>
      </c>
      <c r="H816">
        <v>659.4</v>
      </c>
      <c r="I816">
        <v>-1450.7</v>
      </c>
      <c r="J816">
        <v>1744.8999999999999</v>
      </c>
    </row>
    <row r="817" spans="1:10" x14ac:dyDescent="0.35">
      <c r="A817">
        <v>801</v>
      </c>
      <c r="B817" s="75">
        <v>89.45</v>
      </c>
      <c r="C817" s="75">
        <v>98.19</v>
      </c>
      <c r="D817" s="75">
        <v>91.56</v>
      </c>
      <c r="E817" s="75">
        <v>96.79</v>
      </c>
      <c r="F817">
        <v>340.56</v>
      </c>
      <c r="G817">
        <v>28.5</v>
      </c>
      <c r="H817">
        <v>2509.3999999999996</v>
      </c>
      <c r="I817">
        <v>-3410.8999999999996</v>
      </c>
      <c r="J817">
        <v>-532.44000000000005</v>
      </c>
    </row>
    <row r="818" spans="1:10" x14ac:dyDescent="0.35">
      <c r="A818">
        <v>802</v>
      </c>
      <c r="B818" s="75">
        <v>89.807400000000001</v>
      </c>
      <c r="C818" s="75">
        <v>96.903999999999996</v>
      </c>
      <c r="D818" s="75">
        <v>94.493700000000004</v>
      </c>
      <c r="E818" s="75">
        <v>90.841800000000006</v>
      </c>
      <c r="F818">
        <v>-837.54000000000008</v>
      </c>
      <c r="G818">
        <v>1958.8500000000001</v>
      </c>
      <c r="H818">
        <v>-3355.2</v>
      </c>
      <c r="I818">
        <v>2538.8000000000002</v>
      </c>
      <c r="J818">
        <v>304.91000000000031</v>
      </c>
    </row>
    <row r="819" spans="1:10" x14ac:dyDescent="0.35">
      <c r="A819">
        <v>803</v>
      </c>
      <c r="B819" s="75">
        <v>88.89</v>
      </c>
      <c r="C819" s="75">
        <v>97.35</v>
      </c>
      <c r="D819" s="75">
        <v>91.89</v>
      </c>
      <c r="E819" s="75">
        <v>93.65</v>
      </c>
      <c r="F819">
        <v>2183.6099999999997</v>
      </c>
      <c r="G819">
        <v>1285.5</v>
      </c>
      <c r="H819">
        <v>1858.2</v>
      </c>
      <c r="I819">
        <v>-273.2</v>
      </c>
      <c r="J819">
        <v>5054.1099999999997</v>
      </c>
    </row>
    <row r="820" spans="1:10" x14ac:dyDescent="0.35">
      <c r="A820">
        <v>804</v>
      </c>
      <c r="B820" s="75">
        <v>88.864999999999995</v>
      </c>
      <c r="C820" s="75">
        <v>98.762600000000006</v>
      </c>
      <c r="D820" s="75">
        <v>93.033299999999997</v>
      </c>
      <c r="E820" s="75">
        <v>93.565299999999993</v>
      </c>
      <c r="F820">
        <v>2272.38</v>
      </c>
      <c r="G820">
        <v>-829.05</v>
      </c>
      <c r="H820">
        <v>-434.40000000000003</v>
      </c>
      <c r="I820">
        <v>-184.70000000000002</v>
      </c>
      <c r="J820">
        <v>824.23</v>
      </c>
    </row>
    <row r="821" spans="1:10" x14ac:dyDescent="0.35">
      <c r="A821">
        <v>805</v>
      </c>
      <c r="B821" s="75">
        <v>89.64</v>
      </c>
      <c r="C821" s="75">
        <v>97.98</v>
      </c>
      <c r="D821" s="75">
        <v>92.69</v>
      </c>
      <c r="E821" s="75">
        <v>93.97</v>
      </c>
      <c r="F821">
        <v>-269.60999999999996</v>
      </c>
      <c r="G821">
        <v>338.09999999999997</v>
      </c>
      <c r="H821">
        <v>262</v>
      </c>
      <c r="I821">
        <v>-586.6</v>
      </c>
      <c r="J821">
        <v>-256.11</v>
      </c>
    </row>
    <row r="822" spans="1:10" x14ac:dyDescent="0.35">
      <c r="A822">
        <v>806</v>
      </c>
      <c r="B822" s="75">
        <v>90.486400000000003</v>
      </c>
      <c r="C822" s="75">
        <v>98.847499999999997</v>
      </c>
      <c r="D822" s="75">
        <v>93.9238</v>
      </c>
      <c r="E822" s="75">
        <v>91.188800000000001</v>
      </c>
      <c r="F822">
        <v>-3078.24</v>
      </c>
      <c r="G822">
        <v>-956.39999999999986</v>
      </c>
      <c r="H822">
        <v>-2215.3999999999996</v>
      </c>
      <c r="I822">
        <v>2191.8000000000002</v>
      </c>
      <c r="J822">
        <v>-4058.2399999999989</v>
      </c>
    </row>
    <row r="823" spans="1:10" x14ac:dyDescent="0.35">
      <c r="A823">
        <v>807</v>
      </c>
      <c r="B823" s="75">
        <v>89.61</v>
      </c>
      <c r="C823" s="75">
        <v>100.22</v>
      </c>
      <c r="D823" s="75">
        <v>93.78</v>
      </c>
      <c r="E823" s="75">
        <v>93</v>
      </c>
      <c r="F823">
        <v>-169.95</v>
      </c>
      <c r="G823">
        <v>-3019.65</v>
      </c>
      <c r="H823">
        <v>-1937.2</v>
      </c>
      <c r="I823">
        <v>379.2</v>
      </c>
      <c r="J823">
        <v>-4747.6000000000004</v>
      </c>
    </row>
    <row r="824" spans="1:10" x14ac:dyDescent="0.35">
      <c r="A824">
        <v>808</v>
      </c>
      <c r="B824" s="75">
        <v>89.485900000000001</v>
      </c>
      <c r="C824" s="75">
        <v>97.853099999999998</v>
      </c>
      <c r="D824" s="75">
        <v>91.3369</v>
      </c>
      <c r="E824" s="75">
        <v>93.545500000000004</v>
      </c>
      <c r="F824">
        <v>223.41</v>
      </c>
      <c r="G824">
        <v>535.20000000000005</v>
      </c>
      <c r="H824">
        <v>2958.4</v>
      </c>
      <c r="I824">
        <v>-164.89999999999998</v>
      </c>
      <c r="J824">
        <v>3552.11</v>
      </c>
    </row>
    <row r="825" spans="1:10" x14ac:dyDescent="0.35">
      <c r="A825">
        <v>809</v>
      </c>
      <c r="B825" s="75">
        <v>90.62</v>
      </c>
      <c r="C825" s="75">
        <v>99.17</v>
      </c>
      <c r="D825" s="75">
        <v>92.91</v>
      </c>
      <c r="E825" s="75">
        <v>93.37</v>
      </c>
      <c r="F825">
        <v>-3518.79</v>
      </c>
      <c r="G825">
        <v>-1438.95</v>
      </c>
      <c r="H825">
        <v>-178.79999999999998</v>
      </c>
      <c r="I825">
        <v>13.5</v>
      </c>
      <c r="J825">
        <v>-5123.04</v>
      </c>
    </row>
    <row r="826" spans="1:10" x14ac:dyDescent="0.35">
      <c r="A826">
        <v>810</v>
      </c>
      <c r="B826" s="75">
        <v>89.200299999999999</v>
      </c>
      <c r="C826" s="75">
        <v>98.679699999999997</v>
      </c>
      <c r="D826" s="75">
        <v>94.576999999999998</v>
      </c>
      <c r="E826" s="75">
        <v>95.068399999999997</v>
      </c>
      <c r="F826">
        <v>1165.8900000000001</v>
      </c>
      <c r="G826">
        <v>-704.7</v>
      </c>
      <c r="H826">
        <v>-3521.7999999999997</v>
      </c>
      <c r="I826">
        <v>-1687.8</v>
      </c>
      <c r="J826">
        <v>-4748.41</v>
      </c>
    </row>
    <row r="827" spans="1:10" x14ac:dyDescent="0.35">
      <c r="A827">
        <v>811</v>
      </c>
      <c r="B827" s="75">
        <v>90.65</v>
      </c>
      <c r="C827" s="75">
        <v>98.36</v>
      </c>
      <c r="D827" s="75">
        <v>93.78</v>
      </c>
      <c r="E827" s="75">
        <v>92.95</v>
      </c>
      <c r="F827">
        <v>-3611.52</v>
      </c>
      <c r="G827">
        <v>-222.45</v>
      </c>
      <c r="H827">
        <v>-1929</v>
      </c>
      <c r="I827">
        <v>429.09999999999997</v>
      </c>
      <c r="J827">
        <v>-5333.869999999999</v>
      </c>
    </row>
    <row r="828" spans="1:10" x14ac:dyDescent="0.35">
      <c r="A828">
        <v>812</v>
      </c>
      <c r="B828" s="75">
        <v>89.98</v>
      </c>
      <c r="C828" s="75">
        <v>98.500200000000007</v>
      </c>
      <c r="D828" s="75">
        <v>93.365399999999994</v>
      </c>
      <c r="E828" s="75">
        <v>90.833699999999993</v>
      </c>
      <c r="F828">
        <v>-1407.12</v>
      </c>
      <c r="G828">
        <v>-435.45</v>
      </c>
      <c r="H828">
        <v>-1098.5999999999999</v>
      </c>
      <c r="I828">
        <v>2546.9</v>
      </c>
      <c r="J828">
        <v>-394.27</v>
      </c>
    </row>
    <row r="829" spans="1:10" x14ac:dyDescent="0.35">
      <c r="A829">
        <v>813</v>
      </c>
      <c r="B829" s="75">
        <v>89.09</v>
      </c>
      <c r="C829" s="75">
        <v>97.79</v>
      </c>
      <c r="D829" s="75">
        <v>93.33</v>
      </c>
      <c r="E829" s="75">
        <v>95</v>
      </c>
      <c r="F829">
        <v>1523.94</v>
      </c>
      <c r="G829">
        <v>631.35</v>
      </c>
      <c r="H829">
        <v>-1033.8</v>
      </c>
      <c r="I829">
        <v>-1615.6</v>
      </c>
      <c r="J829">
        <v>-494.1099999999999</v>
      </c>
    </row>
    <row r="830" spans="1:10" x14ac:dyDescent="0.35">
      <c r="A830">
        <v>814</v>
      </c>
      <c r="B830" s="75">
        <v>89.626499999999993</v>
      </c>
      <c r="C830" s="75">
        <v>97.293599999999998</v>
      </c>
      <c r="D830" s="75">
        <v>93.783799999999999</v>
      </c>
      <c r="E830" s="75">
        <v>93.322699999999998</v>
      </c>
      <c r="F830">
        <v>-240.57000000000002</v>
      </c>
      <c r="G830">
        <v>1374.45</v>
      </c>
      <c r="H830">
        <v>-1935.4</v>
      </c>
      <c r="I830">
        <v>57.9</v>
      </c>
      <c r="J830">
        <v>-743.62</v>
      </c>
    </row>
    <row r="831" spans="1:10" x14ac:dyDescent="0.35">
      <c r="A831">
        <v>815</v>
      </c>
      <c r="B831" s="75">
        <v>88.93</v>
      </c>
      <c r="C831" s="75">
        <v>100.08</v>
      </c>
      <c r="D831" s="75">
        <v>95.04</v>
      </c>
      <c r="E831" s="75">
        <v>93.06</v>
      </c>
      <c r="F831">
        <v>2060.52</v>
      </c>
      <c r="G831">
        <v>-2800.35</v>
      </c>
      <c r="H831">
        <v>-4444.2000000000007</v>
      </c>
      <c r="I831">
        <v>318.79999999999995</v>
      </c>
      <c r="J831">
        <v>-4865.2300000000005</v>
      </c>
    </row>
    <row r="832" spans="1:10" x14ac:dyDescent="0.35">
      <c r="A832">
        <v>816</v>
      </c>
      <c r="B832" s="75">
        <v>89.379599999999996</v>
      </c>
      <c r="C832" s="75">
        <v>98.301900000000003</v>
      </c>
      <c r="D832" s="75">
        <v>93.319599999999994</v>
      </c>
      <c r="E832" s="75">
        <v>92.684399999999997</v>
      </c>
      <c r="F832">
        <v>574.19999999999993</v>
      </c>
      <c r="G832">
        <v>-138</v>
      </c>
      <c r="H832">
        <v>-1006.9999999999999</v>
      </c>
      <c r="I832">
        <v>696.2</v>
      </c>
      <c r="J832">
        <v>125.40000000000009</v>
      </c>
    </row>
    <row r="833" spans="1:10" x14ac:dyDescent="0.35">
      <c r="A833">
        <v>817</v>
      </c>
      <c r="B833" s="75">
        <v>90.56</v>
      </c>
      <c r="C833" s="75">
        <v>99.41</v>
      </c>
      <c r="D833" s="75">
        <v>93.45</v>
      </c>
      <c r="E833" s="75">
        <v>94.4</v>
      </c>
      <c r="F833">
        <v>-3323.76</v>
      </c>
      <c r="G833">
        <v>-1798.65</v>
      </c>
      <c r="H833">
        <v>-1277</v>
      </c>
      <c r="I833">
        <v>-1016.8999999999999</v>
      </c>
      <c r="J833">
        <v>-7416.3099999999995</v>
      </c>
    </row>
    <row r="834" spans="1:10" x14ac:dyDescent="0.35">
      <c r="A834">
        <v>818</v>
      </c>
      <c r="B834" s="75">
        <v>89.692800000000005</v>
      </c>
      <c r="C834" s="75">
        <v>97.989900000000006</v>
      </c>
      <c r="D834" s="75">
        <v>93.4251</v>
      </c>
      <c r="E834" s="75">
        <v>92.078800000000001</v>
      </c>
      <c r="F834">
        <v>-459.35999999999996</v>
      </c>
      <c r="G834">
        <v>330</v>
      </c>
      <c r="H834">
        <v>-1218</v>
      </c>
      <c r="I834">
        <v>1301.8000000000002</v>
      </c>
      <c r="J834">
        <v>-45.559999999999718</v>
      </c>
    </row>
    <row r="835" spans="1:10" x14ac:dyDescent="0.35">
      <c r="A835">
        <v>819</v>
      </c>
      <c r="B835" s="75">
        <v>90.11</v>
      </c>
      <c r="C835" s="75">
        <v>97.38</v>
      </c>
      <c r="D835" s="75">
        <v>93.39</v>
      </c>
      <c r="E835" s="75">
        <v>92.98</v>
      </c>
      <c r="F835">
        <v>-1848.3300000000002</v>
      </c>
      <c r="G835">
        <v>1242.75</v>
      </c>
      <c r="H835">
        <v>-1144.2</v>
      </c>
      <c r="I835">
        <v>398.7</v>
      </c>
      <c r="J835">
        <v>-1351.0800000000002</v>
      </c>
    </row>
    <row r="836" spans="1:10" x14ac:dyDescent="0.35">
      <c r="A836">
        <v>820</v>
      </c>
      <c r="B836" s="75">
        <v>89.768000000000001</v>
      </c>
      <c r="C836" s="75">
        <v>99.638000000000005</v>
      </c>
      <c r="D836" s="75">
        <v>91.942899999999995</v>
      </c>
      <c r="E836" s="75">
        <v>90.932100000000005</v>
      </c>
      <c r="F836">
        <v>-707.52</v>
      </c>
      <c r="G836">
        <v>-2142.15</v>
      </c>
      <c r="H836">
        <v>1746.3999999999999</v>
      </c>
      <c r="I836">
        <v>2448.5</v>
      </c>
      <c r="J836">
        <v>1345.2299999999998</v>
      </c>
    </row>
    <row r="837" spans="1:10" x14ac:dyDescent="0.35">
      <c r="A837">
        <v>821</v>
      </c>
      <c r="B837" s="75">
        <v>89.42</v>
      </c>
      <c r="C837" s="75">
        <v>100.13</v>
      </c>
      <c r="D837" s="75">
        <v>93.51</v>
      </c>
      <c r="E837" s="75">
        <v>94.29</v>
      </c>
      <c r="F837">
        <v>446.49</v>
      </c>
      <c r="G837">
        <v>-2877.6000000000004</v>
      </c>
      <c r="H837">
        <v>-1391.6</v>
      </c>
      <c r="I837">
        <v>-914.2</v>
      </c>
      <c r="J837">
        <v>-4736.9100000000008</v>
      </c>
    </row>
    <row r="838" spans="1:10" x14ac:dyDescent="0.35">
      <c r="A838">
        <v>822</v>
      </c>
      <c r="B838" s="75">
        <v>89.763900000000007</v>
      </c>
      <c r="C838" s="75">
        <v>98.148499999999999</v>
      </c>
      <c r="D838" s="75">
        <v>92.552000000000007</v>
      </c>
      <c r="E838" s="75">
        <v>93.519900000000007</v>
      </c>
      <c r="F838">
        <v>-693.99</v>
      </c>
      <c r="G838">
        <v>92.100000000000009</v>
      </c>
      <c r="H838">
        <v>528.20000000000005</v>
      </c>
      <c r="I838">
        <v>-139.30000000000001</v>
      </c>
      <c r="J838">
        <v>-212.98999999999995</v>
      </c>
    </row>
    <row r="839" spans="1:10" x14ac:dyDescent="0.35">
      <c r="A839">
        <v>823</v>
      </c>
      <c r="B839" s="75">
        <v>90.4</v>
      </c>
      <c r="C839" s="75">
        <v>98.19</v>
      </c>
      <c r="D839" s="75">
        <v>92.46</v>
      </c>
      <c r="E839" s="75">
        <v>97.21</v>
      </c>
      <c r="F839">
        <v>-2790.15</v>
      </c>
      <c r="G839">
        <v>33.150000000000006</v>
      </c>
      <c r="H839">
        <v>712.8</v>
      </c>
      <c r="I839">
        <v>-3826</v>
      </c>
      <c r="J839">
        <v>-5870.2</v>
      </c>
    </row>
    <row r="840" spans="1:10" x14ac:dyDescent="0.35">
      <c r="A840">
        <v>824</v>
      </c>
      <c r="B840" s="75">
        <v>88.817599999999999</v>
      </c>
      <c r="C840" s="75">
        <v>98.300399999999996</v>
      </c>
      <c r="D840" s="75">
        <v>91.944800000000001</v>
      </c>
      <c r="E840" s="75">
        <v>96.432599999999994</v>
      </c>
      <c r="F840">
        <v>2428.8000000000002</v>
      </c>
      <c r="G840">
        <v>-135.75</v>
      </c>
      <c r="H840">
        <v>1742.6</v>
      </c>
      <c r="I840">
        <v>-3052</v>
      </c>
      <c r="J840">
        <v>983.65000000000009</v>
      </c>
    </row>
    <row r="841" spans="1:10" x14ac:dyDescent="0.35">
      <c r="A841">
        <v>825</v>
      </c>
      <c r="B841" s="75">
        <v>90.25</v>
      </c>
      <c r="C841" s="75">
        <v>97.13</v>
      </c>
      <c r="D841" s="75">
        <v>93.58</v>
      </c>
      <c r="E841" s="75">
        <v>91.53</v>
      </c>
      <c r="F841">
        <v>-2291.19</v>
      </c>
      <c r="G841">
        <v>1622.1</v>
      </c>
      <c r="H841">
        <v>-1520.2</v>
      </c>
      <c r="I841">
        <v>1850.7</v>
      </c>
      <c r="J841">
        <v>-338.58999999999992</v>
      </c>
    </row>
    <row r="842" spans="1:10" x14ac:dyDescent="0.35">
      <c r="A842">
        <v>826</v>
      </c>
      <c r="B842" s="75">
        <v>89.762299999999996</v>
      </c>
      <c r="C842" s="75">
        <v>98.457599999999999</v>
      </c>
      <c r="D842" s="75">
        <v>93.447699999999998</v>
      </c>
      <c r="E842" s="75">
        <v>95.211200000000005</v>
      </c>
      <c r="F842">
        <v>-688.71</v>
      </c>
      <c r="G842">
        <v>-371.55</v>
      </c>
      <c r="H842">
        <v>-1263.2</v>
      </c>
      <c r="I842">
        <v>-1830.6</v>
      </c>
      <c r="J842">
        <v>-4154.0599999999995</v>
      </c>
    </row>
    <row r="843" spans="1:10" x14ac:dyDescent="0.35">
      <c r="A843">
        <v>827</v>
      </c>
      <c r="B843" s="75">
        <v>89.93</v>
      </c>
      <c r="C843" s="75">
        <v>97.74</v>
      </c>
      <c r="D843" s="75">
        <v>93.58</v>
      </c>
      <c r="E843" s="75">
        <v>91.48</v>
      </c>
      <c r="F843">
        <v>-1247.07</v>
      </c>
      <c r="G843">
        <v>700.2</v>
      </c>
      <c r="H843">
        <v>-1528</v>
      </c>
      <c r="I843">
        <v>1902.1</v>
      </c>
      <c r="J843">
        <v>-172.76999999999998</v>
      </c>
    </row>
    <row r="844" spans="1:10" x14ac:dyDescent="0.35">
      <c r="A844">
        <v>828</v>
      </c>
      <c r="B844" s="75">
        <v>89.247299999999996</v>
      </c>
      <c r="C844" s="75">
        <v>99.167500000000004</v>
      </c>
      <c r="D844" s="75">
        <v>92.3108</v>
      </c>
      <c r="E844" s="75">
        <v>93.983900000000006</v>
      </c>
      <c r="F844">
        <v>1010.7900000000001</v>
      </c>
      <c r="G844">
        <v>-1436.4</v>
      </c>
      <c r="H844">
        <v>1010.5999999999999</v>
      </c>
      <c r="I844">
        <v>-603.29999999999995</v>
      </c>
      <c r="J844">
        <v>-18.310000000000059</v>
      </c>
    </row>
    <row r="845" spans="1:10" x14ac:dyDescent="0.35">
      <c r="A845">
        <v>829</v>
      </c>
      <c r="B845" s="75">
        <v>89.64</v>
      </c>
      <c r="C845" s="75">
        <v>97.76</v>
      </c>
      <c r="D845" s="75">
        <v>95.12</v>
      </c>
      <c r="E845" s="75">
        <v>94.27</v>
      </c>
      <c r="F845">
        <v>-286.44</v>
      </c>
      <c r="G845">
        <v>673.65</v>
      </c>
      <c r="H845">
        <v>-4610.4000000000005</v>
      </c>
      <c r="I845">
        <v>-891.2</v>
      </c>
      <c r="J845">
        <v>-5114.3900000000003</v>
      </c>
    </row>
    <row r="846" spans="1:10" x14ac:dyDescent="0.35">
      <c r="A846">
        <v>830</v>
      </c>
      <c r="B846" s="75">
        <v>89.962199999999996</v>
      </c>
      <c r="C846" s="75">
        <v>98.577299999999994</v>
      </c>
      <c r="D846" s="75">
        <v>92.996099999999998</v>
      </c>
      <c r="E846" s="75">
        <v>95.166399999999996</v>
      </c>
      <c r="F846">
        <v>-1348.38</v>
      </c>
      <c r="G846">
        <v>-551.1</v>
      </c>
      <c r="H846">
        <v>-360</v>
      </c>
      <c r="I846">
        <v>-1785.8</v>
      </c>
      <c r="J846">
        <v>-4045.2799999999997</v>
      </c>
    </row>
    <row r="847" spans="1:10" x14ac:dyDescent="0.35">
      <c r="A847">
        <v>831</v>
      </c>
      <c r="B847" s="75">
        <v>89.36</v>
      </c>
      <c r="C847" s="75">
        <v>97.86</v>
      </c>
      <c r="D847" s="75">
        <v>93.32</v>
      </c>
      <c r="E847" s="75">
        <v>92.91</v>
      </c>
      <c r="F847">
        <v>644.81999999999994</v>
      </c>
      <c r="G847">
        <v>528.15000000000009</v>
      </c>
      <c r="H847">
        <v>-1009.4000000000001</v>
      </c>
      <c r="I847">
        <v>467.2</v>
      </c>
      <c r="J847">
        <v>630.77</v>
      </c>
    </row>
    <row r="848" spans="1:10" x14ac:dyDescent="0.35">
      <c r="A848">
        <v>832</v>
      </c>
      <c r="B848" s="75">
        <v>89.129300000000001</v>
      </c>
      <c r="C848" s="75">
        <v>97.728200000000001</v>
      </c>
      <c r="D848" s="75">
        <v>93.275199999999998</v>
      </c>
      <c r="E848" s="75">
        <v>93.330500000000001</v>
      </c>
      <c r="F848">
        <v>1400.19</v>
      </c>
      <c r="G848">
        <v>722.55000000000007</v>
      </c>
      <c r="H848">
        <v>-918.2</v>
      </c>
      <c r="I848">
        <v>50.1</v>
      </c>
      <c r="J848">
        <v>1254.6400000000001</v>
      </c>
    </row>
    <row r="849" spans="1:10" x14ac:dyDescent="0.35">
      <c r="A849">
        <v>833</v>
      </c>
      <c r="B849" s="75">
        <v>89.39</v>
      </c>
      <c r="C849" s="75">
        <v>98.57</v>
      </c>
      <c r="D849" s="75">
        <v>93.38</v>
      </c>
      <c r="E849" s="75">
        <v>94.25</v>
      </c>
      <c r="F849">
        <v>553.74</v>
      </c>
      <c r="G849">
        <v>-546.75</v>
      </c>
      <c r="H849">
        <v>-1130.4000000000001</v>
      </c>
      <c r="I849">
        <v>-868.80000000000007</v>
      </c>
      <c r="J849">
        <v>-1992.21</v>
      </c>
    </row>
    <row r="850" spans="1:10" x14ac:dyDescent="0.35">
      <c r="A850">
        <v>834</v>
      </c>
      <c r="B850" s="75">
        <v>90.073999999999998</v>
      </c>
      <c r="C850" s="75">
        <v>98.233900000000006</v>
      </c>
      <c r="D850" s="75">
        <v>93.784899999999993</v>
      </c>
      <c r="E850" s="75">
        <v>92.725700000000003</v>
      </c>
      <c r="F850">
        <v>-1717.32</v>
      </c>
      <c r="G850">
        <v>-36</v>
      </c>
      <c r="H850">
        <v>-1937.6</v>
      </c>
      <c r="I850">
        <v>654.90000000000009</v>
      </c>
      <c r="J850">
        <v>-3036.02</v>
      </c>
    </row>
    <row r="851" spans="1:10" x14ac:dyDescent="0.35">
      <c r="A851">
        <v>835</v>
      </c>
      <c r="B851" s="75">
        <v>89.62</v>
      </c>
      <c r="C851" s="75">
        <v>97.04</v>
      </c>
      <c r="D851" s="75">
        <v>93.78</v>
      </c>
      <c r="E851" s="75">
        <v>93.53</v>
      </c>
      <c r="F851">
        <v>-208.89</v>
      </c>
      <c r="G851">
        <v>1751.55</v>
      </c>
      <c r="H851">
        <v>-1921.8</v>
      </c>
      <c r="I851">
        <v>-148.10000000000002</v>
      </c>
      <c r="J851">
        <v>-527.24000000000012</v>
      </c>
    </row>
    <row r="852" spans="1:10" x14ac:dyDescent="0.35">
      <c r="A852">
        <v>836</v>
      </c>
      <c r="B852" s="75">
        <v>89.804699999999997</v>
      </c>
      <c r="C852" s="75">
        <v>97.560900000000004</v>
      </c>
      <c r="D852" s="75">
        <v>92.071399999999997</v>
      </c>
      <c r="E852" s="75">
        <v>96.604500000000002</v>
      </c>
      <c r="F852">
        <v>-828.63</v>
      </c>
      <c r="G852">
        <v>973.5</v>
      </c>
      <c r="H852">
        <v>1489.4</v>
      </c>
      <c r="I852">
        <v>-3223.9</v>
      </c>
      <c r="J852">
        <v>-1589.63</v>
      </c>
    </row>
    <row r="853" spans="1:10" x14ac:dyDescent="0.35">
      <c r="A853">
        <v>837</v>
      </c>
      <c r="B853" s="75">
        <v>89.11</v>
      </c>
      <c r="C853" s="75">
        <v>98</v>
      </c>
      <c r="D853" s="75">
        <v>94.76</v>
      </c>
      <c r="E853" s="75">
        <v>90.54</v>
      </c>
      <c r="F853">
        <v>1469.8200000000002</v>
      </c>
      <c r="G853">
        <v>310.65000000000003</v>
      </c>
      <c r="H853">
        <v>-3878.8</v>
      </c>
      <c r="I853">
        <v>2838.6</v>
      </c>
      <c r="J853">
        <v>740.27</v>
      </c>
    </row>
    <row r="854" spans="1:10" x14ac:dyDescent="0.35">
      <c r="A854">
        <v>838</v>
      </c>
      <c r="B854" s="75">
        <v>89.748500000000007</v>
      </c>
      <c r="C854" s="75">
        <v>97.733599999999996</v>
      </c>
      <c r="D854" s="75">
        <v>92.688699999999997</v>
      </c>
      <c r="E854" s="75">
        <v>96.830500000000001</v>
      </c>
      <c r="F854">
        <v>-643.16999999999996</v>
      </c>
      <c r="G854">
        <v>714.45</v>
      </c>
      <c r="H854">
        <v>254.80000000000004</v>
      </c>
      <c r="I854">
        <v>-3449.9</v>
      </c>
      <c r="J854">
        <v>-3123.8199999999997</v>
      </c>
    </row>
    <row r="855" spans="1:10" x14ac:dyDescent="0.35">
      <c r="A855">
        <v>839</v>
      </c>
      <c r="B855" s="75">
        <v>88.76</v>
      </c>
      <c r="C855" s="75">
        <v>98.47</v>
      </c>
      <c r="D855" s="75">
        <v>92.17</v>
      </c>
      <c r="E855" s="75">
        <v>95.1</v>
      </c>
      <c r="F855">
        <v>2634.39</v>
      </c>
      <c r="G855">
        <v>-394.2</v>
      </c>
      <c r="H855">
        <v>1298</v>
      </c>
      <c r="I855">
        <v>-1721.1000000000001</v>
      </c>
      <c r="J855">
        <v>1817.09</v>
      </c>
    </row>
    <row r="856" spans="1:10" x14ac:dyDescent="0.35">
      <c r="A856">
        <v>840</v>
      </c>
      <c r="B856" s="75">
        <v>89.218000000000004</v>
      </c>
      <c r="C856" s="75">
        <v>99.026700000000005</v>
      </c>
      <c r="D856" s="75">
        <v>93.690600000000003</v>
      </c>
      <c r="E856" s="75">
        <v>92.684399999999997</v>
      </c>
      <c r="F856">
        <v>1107.48</v>
      </c>
      <c r="G856">
        <v>-1225.2</v>
      </c>
      <c r="H856">
        <v>-1749</v>
      </c>
      <c r="I856">
        <v>696.2</v>
      </c>
      <c r="J856">
        <v>-1170.52</v>
      </c>
    </row>
    <row r="857" spans="1:10" x14ac:dyDescent="0.35">
      <c r="A857">
        <v>841</v>
      </c>
      <c r="B857" s="75">
        <v>88.83</v>
      </c>
      <c r="C857" s="75">
        <v>98.04</v>
      </c>
      <c r="D857" s="75">
        <v>92.53</v>
      </c>
      <c r="E857" s="75">
        <v>93.58</v>
      </c>
      <c r="F857">
        <v>2397.1200000000003</v>
      </c>
      <c r="G857">
        <v>260.10000000000002</v>
      </c>
      <c r="H857">
        <v>575.6</v>
      </c>
      <c r="I857">
        <v>-200.8</v>
      </c>
      <c r="J857">
        <v>3032.02</v>
      </c>
    </row>
    <row r="858" spans="1:10" x14ac:dyDescent="0.35">
      <c r="A858">
        <v>842</v>
      </c>
      <c r="B858" s="75">
        <v>89.741900000000001</v>
      </c>
      <c r="C858" s="75">
        <v>97.608500000000006</v>
      </c>
      <c r="D858" s="75">
        <v>92.664100000000005</v>
      </c>
      <c r="E858" s="75">
        <v>94.724400000000003</v>
      </c>
      <c r="F858">
        <v>-621.39</v>
      </c>
      <c r="G858">
        <v>902.1</v>
      </c>
      <c r="H858">
        <v>304</v>
      </c>
      <c r="I858">
        <v>-1343.8000000000002</v>
      </c>
      <c r="J858">
        <v>-759.09000000000015</v>
      </c>
    </row>
    <row r="859" spans="1:10" x14ac:dyDescent="0.35">
      <c r="A859">
        <v>843</v>
      </c>
      <c r="B859" s="75">
        <v>90.02</v>
      </c>
      <c r="C859" s="75">
        <v>99.43</v>
      </c>
      <c r="D859" s="75">
        <v>92.28</v>
      </c>
      <c r="E859" s="75">
        <v>95.12</v>
      </c>
      <c r="F859">
        <v>-1538.46</v>
      </c>
      <c r="G859">
        <v>-1827.1499999999999</v>
      </c>
      <c r="H859">
        <v>1072</v>
      </c>
      <c r="I859">
        <v>-1735.3</v>
      </c>
      <c r="J859">
        <v>-4028.91</v>
      </c>
    </row>
    <row r="860" spans="1:10" x14ac:dyDescent="0.35">
      <c r="A860">
        <v>844</v>
      </c>
      <c r="B860" s="75">
        <v>88.066000000000003</v>
      </c>
      <c r="C860" s="75">
        <v>97.9452</v>
      </c>
      <c r="D860" s="75">
        <v>93.464500000000001</v>
      </c>
      <c r="E860" s="75">
        <v>91.461100000000002</v>
      </c>
      <c r="F860">
        <v>4909.08</v>
      </c>
      <c r="G860">
        <v>397.05</v>
      </c>
      <c r="H860">
        <v>-1296.8</v>
      </c>
      <c r="I860">
        <v>1919.5</v>
      </c>
      <c r="J860">
        <v>5928.83</v>
      </c>
    </row>
    <row r="861" spans="1:10" x14ac:dyDescent="0.35">
      <c r="A861">
        <v>845</v>
      </c>
      <c r="B861" s="75">
        <v>89.8</v>
      </c>
      <c r="C861" s="75">
        <v>98.22</v>
      </c>
      <c r="D861" s="75">
        <v>93.4</v>
      </c>
      <c r="E861" s="75">
        <v>91.98</v>
      </c>
      <c r="F861">
        <v>-804.87</v>
      </c>
      <c r="G861">
        <v>-20.399999999999999</v>
      </c>
      <c r="H861">
        <v>-1160</v>
      </c>
      <c r="I861">
        <v>1405.2</v>
      </c>
      <c r="J861">
        <v>-580.06999999999994</v>
      </c>
    </row>
    <row r="862" spans="1:10" x14ac:dyDescent="0.35">
      <c r="A862">
        <v>846</v>
      </c>
      <c r="B862" s="75">
        <v>89.62</v>
      </c>
      <c r="C862" s="75">
        <v>98.239099999999993</v>
      </c>
      <c r="D862" s="75">
        <v>92.841099999999997</v>
      </c>
      <c r="E862" s="75">
        <v>93.122200000000007</v>
      </c>
      <c r="F862">
        <v>-219.12</v>
      </c>
      <c r="G862">
        <v>-43.8</v>
      </c>
      <c r="H862">
        <v>-50</v>
      </c>
      <c r="I862">
        <v>258.40000000000003</v>
      </c>
      <c r="J862">
        <v>-54.519999999999982</v>
      </c>
    </row>
    <row r="863" spans="1:10" x14ac:dyDescent="0.35">
      <c r="A863">
        <v>847</v>
      </c>
      <c r="B863" s="75">
        <v>89.12</v>
      </c>
      <c r="C863" s="75">
        <v>97.85</v>
      </c>
      <c r="D863" s="75">
        <v>92.71</v>
      </c>
      <c r="E863" s="75">
        <v>95.8</v>
      </c>
      <c r="F863">
        <v>1419</v>
      </c>
      <c r="G863">
        <v>534.15000000000009</v>
      </c>
      <c r="H863">
        <v>217.20000000000002</v>
      </c>
      <c r="I863">
        <v>-2417</v>
      </c>
      <c r="J863">
        <v>-246.65000000000009</v>
      </c>
    </row>
    <row r="864" spans="1:10" x14ac:dyDescent="0.35">
      <c r="A864">
        <v>848</v>
      </c>
      <c r="B864" s="75">
        <v>90.025599999999997</v>
      </c>
      <c r="C864" s="75">
        <v>98.5535</v>
      </c>
      <c r="D864" s="75">
        <v>92.611800000000002</v>
      </c>
      <c r="E864" s="75">
        <v>93.461299999999994</v>
      </c>
      <c r="F864">
        <v>-1557.6</v>
      </c>
      <c r="G864">
        <v>-515.4</v>
      </c>
      <c r="H864">
        <v>408.6</v>
      </c>
      <c r="I864">
        <v>-80.699999999999989</v>
      </c>
      <c r="J864">
        <v>-1745.1000000000001</v>
      </c>
    </row>
    <row r="865" spans="1:10" x14ac:dyDescent="0.35">
      <c r="A865">
        <v>849</v>
      </c>
      <c r="B865" s="75">
        <v>90.1</v>
      </c>
      <c r="C865" s="75">
        <v>98.92</v>
      </c>
      <c r="D865" s="75">
        <v>91.49</v>
      </c>
      <c r="E865" s="75">
        <v>91.89</v>
      </c>
      <c r="F865">
        <v>-1810.3799999999999</v>
      </c>
      <c r="G865">
        <v>-1070.55</v>
      </c>
      <c r="H865">
        <v>2657.4</v>
      </c>
      <c r="I865">
        <v>1489.5</v>
      </c>
      <c r="J865">
        <v>1265.9700000000003</v>
      </c>
    </row>
    <row r="866" spans="1:10" x14ac:dyDescent="0.35">
      <c r="A866">
        <v>850</v>
      </c>
      <c r="B866" s="75">
        <v>89.468599999999995</v>
      </c>
      <c r="C866" s="75">
        <v>99.176199999999994</v>
      </c>
      <c r="D866" s="75">
        <v>93.084599999999995</v>
      </c>
      <c r="E866" s="75">
        <v>92.204099999999997</v>
      </c>
      <c r="F866">
        <v>280.5</v>
      </c>
      <c r="G866">
        <v>-1449.45</v>
      </c>
      <c r="H866">
        <v>-537</v>
      </c>
      <c r="I866">
        <v>1176.5</v>
      </c>
      <c r="J866">
        <v>-529.45000000000005</v>
      </c>
    </row>
    <row r="867" spans="1:10" x14ac:dyDescent="0.35">
      <c r="A867">
        <v>851</v>
      </c>
      <c r="B867" s="75">
        <v>89</v>
      </c>
      <c r="C867" s="75">
        <v>98.16</v>
      </c>
      <c r="D867" s="75">
        <v>91.88</v>
      </c>
      <c r="E867" s="75">
        <v>94.59</v>
      </c>
      <c r="F867">
        <v>1837.4399999999998</v>
      </c>
      <c r="G867">
        <v>77.850000000000009</v>
      </c>
      <c r="H867">
        <v>1877.6</v>
      </c>
      <c r="I867">
        <v>-1204.5999999999999</v>
      </c>
      <c r="J867">
        <v>2588.2899999999995</v>
      </c>
    </row>
    <row r="868" spans="1:10" x14ac:dyDescent="0.35">
      <c r="A868">
        <v>852</v>
      </c>
      <c r="B868" s="75">
        <v>88.439599999999999</v>
      </c>
      <c r="C868" s="75">
        <v>98.940899999999999</v>
      </c>
      <c r="D868" s="75">
        <v>93.691599999999994</v>
      </c>
      <c r="E868" s="75">
        <v>93.693200000000004</v>
      </c>
      <c r="F868">
        <v>3676.2000000000003</v>
      </c>
      <c r="G868">
        <v>-1096.5</v>
      </c>
      <c r="H868">
        <v>-1751</v>
      </c>
      <c r="I868">
        <v>-312.59999999999997</v>
      </c>
      <c r="J868">
        <v>516.10000000000036</v>
      </c>
    </row>
    <row r="869" spans="1:10" x14ac:dyDescent="0.35">
      <c r="A869">
        <v>853</v>
      </c>
      <c r="B869" s="75">
        <v>89.88</v>
      </c>
      <c r="C869" s="75">
        <v>97.19</v>
      </c>
      <c r="D869" s="75">
        <v>92.94</v>
      </c>
      <c r="E869" s="75">
        <v>93.56</v>
      </c>
      <c r="F869">
        <v>-1076.46</v>
      </c>
      <c r="G869">
        <v>1529.5500000000002</v>
      </c>
      <c r="H869">
        <v>-254.4</v>
      </c>
      <c r="I869">
        <v>-179.10000000000002</v>
      </c>
      <c r="J869">
        <v>19.590000000000117</v>
      </c>
    </row>
    <row r="870" spans="1:10" x14ac:dyDescent="0.35">
      <c r="A870">
        <v>854</v>
      </c>
      <c r="B870" s="75">
        <v>89.591200000000001</v>
      </c>
      <c r="C870" s="75">
        <v>97.967799999999997</v>
      </c>
      <c r="D870" s="75">
        <v>93.999399999999994</v>
      </c>
      <c r="E870" s="75">
        <v>94.806700000000006</v>
      </c>
      <c r="F870">
        <v>-124.08</v>
      </c>
      <c r="G870">
        <v>363.15000000000003</v>
      </c>
      <c r="H870">
        <v>-2366.6</v>
      </c>
      <c r="I870">
        <v>-1426.1</v>
      </c>
      <c r="J870">
        <v>-3553.6299999999997</v>
      </c>
    </row>
    <row r="871" spans="1:10" x14ac:dyDescent="0.35">
      <c r="A871">
        <v>855</v>
      </c>
      <c r="B871" s="75">
        <v>89.34</v>
      </c>
      <c r="C871" s="75">
        <v>98.1</v>
      </c>
      <c r="D871" s="75">
        <v>93.57</v>
      </c>
      <c r="E871" s="75">
        <v>91.62</v>
      </c>
      <c r="F871">
        <v>706.86</v>
      </c>
      <c r="G871">
        <v>165.9</v>
      </c>
      <c r="H871">
        <v>-1506.3999999999999</v>
      </c>
      <c r="I871">
        <v>1760.1</v>
      </c>
      <c r="J871">
        <v>1126.46</v>
      </c>
    </row>
    <row r="872" spans="1:10" x14ac:dyDescent="0.35">
      <c r="A872">
        <v>856</v>
      </c>
      <c r="B872" s="75">
        <v>89.240099999999998</v>
      </c>
      <c r="C872" s="75">
        <v>97.422899999999998</v>
      </c>
      <c r="D872" s="75">
        <v>92.6143</v>
      </c>
      <c r="E872" s="75">
        <v>91.535600000000002</v>
      </c>
      <c r="F872">
        <v>1034.55</v>
      </c>
      <c r="G872">
        <v>1180.5</v>
      </c>
      <c r="H872">
        <v>403.6</v>
      </c>
      <c r="I872">
        <v>1845</v>
      </c>
      <c r="J872">
        <v>4463.6499999999996</v>
      </c>
    </row>
    <row r="873" spans="1:10" x14ac:dyDescent="0.35">
      <c r="A873">
        <v>857</v>
      </c>
      <c r="B873" s="75">
        <v>88.92</v>
      </c>
      <c r="C873" s="75">
        <v>97.81</v>
      </c>
      <c r="D873" s="75">
        <v>92.74</v>
      </c>
      <c r="E873" s="75">
        <v>94.24</v>
      </c>
      <c r="F873">
        <v>2075.6999999999998</v>
      </c>
      <c r="G873">
        <v>597.59999999999991</v>
      </c>
      <c r="H873">
        <v>151.60000000000002</v>
      </c>
      <c r="I873">
        <v>-860.1</v>
      </c>
      <c r="J873">
        <v>1964.7999999999997</v>
      </c>
    </row>
    <row r="874" spans="1:10" x14ac:dyDescent="0.35">
      <c r="A874">
        <v>858</v>
      </c>
      <c r="B874" s="75">
        <v>89.240300000000005</v>
      </c>
      <c r="C874" s="75">
        <v>96.544200000000004</v>
      </c>
      <c r="D874" s="75">
        <v>93.615499999999997</v>
      </c>
      <c r="E874" s="75">
        <v>93.601900000000001</v>
      </c>
      <c r="F874">
        <v>1033.8900000000001</v>
      </c>
      <c r="G874">
        <v>2498.5499999999997</v>
      </c>
      <c r="H874">
        <v>-1598.8</v>
      </c>
      <c r="I874">
        <v>-221.29999999999998</v>
      </c>
      <c r="J874">
        <v>1712.3399999999997</v>
      </c>
    </row>
    <row r="875" spans="1:10" x14ac:dyDescent="0.35">
      <c r="A875">
        <v>859</v>
      </c>
      <c r="B875" s="75">
        <v>90.52</v>
      </c>
      <c r="C875" s="75">
        <v>98.54</v>
      </c>
      <c r="D875" s="75">
        <v>93.18</v>
      </c>
      <c r="E875" s="75">
        <v>97.06</v>
      </c>
      <c r="F875">
        <v>-3199.02</v>
      </c>
      <c r="G875">
        <v>-493.35</v>
      </c>
      <c r="H875">
        <v>-730</v>
      </c>
      <c r="I875">
        <v>-3680.8999999999996</v>
      </c>
      <c r="J875">
        <v>-8103.2699999999995</v>
      </c>
    </row>
    <row r="876" spans="1:10" x14ac:dyDescent="0.35">
      <c r="A876">
        <v>860</v>
      </c>
      <c r="B876" s="75">
        <v>89.26</v>
      </c>
      <c r="C876" s="75">
        <v>97.624099999999999</v>
      </c>
      <c r="D876" s="75">
        <v>92.671199999999999</v>
      </c>
      <c r="E876" s="75">
        <v>92.101500000000001</v>
      </c>
      <c r="F876">
        <v>968.88000000000011</v>
      </c>
      <c r="G876">
        <v>878.69999999999993</v>
      </c>
      <c r="H876">
        <v>289.8</v>
      </c>
      <c r="I876">
        <v>1279.0999999999999</v>
      </c>
      <c r="J876">
        <v>3416.48</v>
      </c>
    </row>
    <row r="877" spans="1:10" x14ac:dyDescent="0.35">
      <c r="A877">
        <v>861</v>
      </c>
      <c r="B877" s="75">
        <v>90.03</v>
      </c>
      <c r="C877" s="75">
        <v>98.83</v>
      </c>
      <c r="D877" s="75">
        <v>92.24</v>
      </c>
      <c r="E877" s="75">
        <v>96.33</v>
      </c>
      <c r="F877">
        <v>-1558.26</v>
      </c>
      <c r="G877">
        <v>-936.3</v>
      </c>
      <c r="H877">
        <v>1148</v>
      </c>
      <c r="I877">
        <v>-2953.9</v>
      </c>
      <c r="J877">
        <v>-4300.46</v>
      </c>
    </row>
    <row r="878" spans="1:10" x14ac:dyDescent="0.35">
      <c r="A878">
        <v>862</v>
      </c>
      <c r="B878" s="75">
        <v>89.654499999999999</v>
      </c>
      <c r="C878" s="75">
        <v>98.260599999999997</v>
      </c>
      <c r="D878" s="75">
        <v>92.756600000000006</v>
      </c>
      <c r="E878" s="75">
        <v>95.258799999999994</v>
      </c>
      <c r="F878">
        <v>-332.97</v>
      </c>
      <c r="G878">
        <v>-76.05</v>
      </c>
      <c r="H878">
        <v>119</v>
      </c>
      <c r="I878">
        <v>-1878.2</v>
      </c>
      <c r="J878">
        <v>-2168.2200000000003</v>
      </c>
    </row>
    <row r="879" spans="1:10" x14ac:dyDescent="0.35">
      <c r="A879">
        <v>863</v>
      </c>
      <c r="B879" s="75">
        <v>90.06</v>
      </c>
      <c r="C879" s="75">
        <v>97.21</v>
      </c>
      <c r="D879" s="75">
        <v>91.71</v>
      </c>
      <c r="E879" s="75">
        <v>92.94</v>
      </c>
      <c r="F879">
        <v>-1661.5499999999997</v>
      </c>
      <c r="G879">
        <v>1504.95</v>
      </c>
      <c r="H879">
        <v>2210.7999999999997</v>
      </c>
      <c r="I879">
        <v>442.2</v>
      </c>
      <c r="J879">
        <v>2496.3999999999996</v>
      </c>
    </row>
    <row r="880" spans="1:10" x14ac:dyDescent="0.35">
      <c r="A880">
        <v>864</v>
      </c>
      <c r="B880" s="75">
        <v>89.974900000000005</v>
      </c>
      <c r="C880" s="75">
        <v>99.918999999999997</v>
      </c>
      <c r="D880" s="75">
        <v>94.394999999999996</v>
      </c>
      <c r="E880" s="75">
        <v>93.756799999999998</v>
      </c>
      <c r="F880">
        <v>-1390.29</v>
      </c>
      <c r="G880">
        <v>-2563.65</v>
      </c>
      <c r="H880">
        <v>-3157.7999999999997</v>
      </c>
      <c r="I880">
        <v>-376.2</v>
      </c>
      <c r="J880">
        <v>-7487.94</v>
      </c>
    </row>
    <row r="881" spans="1:10" x14ac:dyDescent="0.35">
      <c r="A881">
        <v>865</v>
      </c>
      <c r="B881" s="75">
        <v>89.87</v>
      </c>
      <c r="C881" s="75">
        <v>98.93</v>
      </c>
      <c r="D881" s="75">
        <v>92.66</v>
      </c>
      <c r="E881" s="75">
        <v>94.36</v>
      </c>
      <c r="F881">
        <v>-1038.51</v>
      </c>
      <c r="G881">
        <v>-1074.1499999999999</v>
      </c>
      <c r="H881">
        <v>310.8</v>
      </c>
      <c r="I881">
        <v>-975.8</v>
      </c>
      <c r="J881">
        <v>-2777.66</v>
      </c>
    </row>
    <row r="882" spans="1:10" x14ac:dyDescent="0.35">
      <c r="A882">
        <v>866</v>
      </c>
      <c r="B882" s="75">
        <v>89.463499999999996</v>
      </c>
      <c r="C882" s="75">
        <v>98.543999999999997</v>
      </c>
      <c r="D882" s="75">
        <v>95.251199999999997</v>
      </c>
      <c r="E882" s="75">
        <v>92.278499999999994</v>
      </c>
      <c r="F882">
        <v>297.33</v>
      </c>
      <c r="G882">
        <v>-501.15000000000003</v>
      </c>
      <c r="H882">
        <v>-4870.2</v>
      </c>
      <c r="I882">
        <v>1102.1000000000001</v>
      </c>
      <c r="J882">
        <v>-3971.9199999999992</v>
      </c>
    </row>
    <row r="883" spans="1:10" x14ac:dyDescent="0.35">
      <c r="A883">
        <v>867</v>
      </c>
      <c r="B883" s="75">
        <v>90.63</v>
      </c>
      <c r="C883" s="75">
        <v>98.45</v>
      </c>
      <c r="D883" s="75">
        <v>92.45</v>
      </c>
      <c r="E883" s="75">
        <v>93.15</v>
      </c>
      <c r="F883">
        <v>-3567.2999999999997</v>
      </c>
      <c r="G883">
        <v>-357</v>
      </c>
      <c r="H883">
        <v>733</v>
      </c>
      <c r="I883">
        <v>233.5</v>
      </c>
      <c r="J883">
        <v>-2957.7999999999997</v>
      </c>
    </row>
    <row r="884" spans="1:10" x14ac:dyDescent="0.35">
      <c r="A884">
        <v>868</v>
      </c>
      <c r="B884" s="75">
        <v>90.713099999999997</v>
      </c>
      <c r="C884" s="75">
        <v>97.680899999999994</v>
      </c>
      <c r="D884" s="75">
        <v>93.432199999999995</v>
      </c>
      <c r="E884" s="75">
        <v>91.849900000000005</v>
      </c>
      <c r="F884">
        <v>-3826.35</v>
      </c>
      <c r="G884">
        <v>793.5</v>
      </c>
      <c r="H884">
        <v>-1232.2</v>
      </c>
      <c r="I884">
        <v>1530.7</v>
      </c>
      <c r="J884">
        <v>-2734.3500000000004</v>
      </c>
    </row>
    <row r="885" spans="1:10" x14ac:dyDescent="0.35">
      <c r="A885">
        <v>869</v>
      </c>
      <c r="B885" s="75">
        <v>89.84</v>
      </c>
      <c r="C885" s="75">
        <v>98.63</v>
      </c>
      <c r="D885" s="75">
        <v>92.8</v>
      </c>
      <c r="E885" s="75">
        <v>93.35</v>
      </c>
      <c r="F885">
        <v>-960.63000000000011</v>
      </c>
      <c r="G885">
        <v>-626.85</v>
      </c>
      <c r="H885">
        <v>28</v>
      </c>
      <c r="I885">
        <v>31.3</v>
      </c>
      <c r="J885">
        <v>-1528.18</v>
      </c>
    </row>
    <row r="886" spans="1:10" x14ac:dyDescent="0.35">
      <c r="A886">
        <v>870</v>
      </c>
      <c r="B886" s="75">
        <v>88.9161</v>
      </c>
      <c r="C886" s="75">
        <v>98.265900000000002</v>
      </c>
      <c r="D886" s="75">
        <v>92.340400000000002</v>
      </c>
      <c r="E886" s="75">
        <v>93.710800000000006</v>
      </c>
      <c r="F886">
        <v>2103.75</v>
      </c>
      <c r="G886">
        <v>-84</v>
      </c>
      <c r="H886">
        <v>951.4</v>
      </c>
      <c r="I886">
        <v>-330.2</v>
      </c>
      <c r="J886">
        <v>2640.9500000000003</v>
      </c>
    </row>
    <row r="887" spans="1:10" x14ac:dyDescent="0.35">
      <c r="A887">
        <v>871</v>
      </c>
      <c r="B887" s="75">
        <v>89.89</v>
      </c>
      <c r="C887" s="75">
        <v>97.81</v>
      </c>
      <c r="D887" s="75">
        <v>92.69</v>
      </c>
      <c r="E887" s="75">
        <v>95.19</v>
      </c>
      <c r="F887">
        <v>-1099.56</v>
      </c>
      <c r="G887">
        <v>605.4</v>
      </c>
      <c r="H887">
        <v>258.40000000000003</v>
      </c>
      <c r="I887">
        <v>-1804.6</v>
      </c>
      <c r="J887">
        <v>-2040.36</v>
      </c>
    </row>
    <row r="888" spans="1:10" x14ac:dyDescent="0.35">
      <c r="A888">
        <v>872</v>
      </c>
      <c r="B888" s="75">
        <v>90.422799999999995</v>
      </c>
      <c r="C888" s="75">
        <v>97.526700000000005</v>
      </c>
      <c r="D888" s="75">
        <v>90.525400000000005</v>
      </c>
      <c r="E888" s="75">
        <v>95.423000000000002</v>
      </c>
      <c r="F888">
        <v>-2868.36</v>
      </c>
      <c r="G888">
        <v>1024.8</v>
      </c>
      <c r="H888">
        <v>4581.4000000000005</v>
      </c>
      <c r="I888">
        <v>-2042.4000000000003</v>
      </c>
      <c r="J888">
        <v>695.43999999999983</v>
      </c>
    </row>
    <row r="889" spans="1:10" x14ac:dyDescent="0.35">
      <c r="A889">
        <v>873</v>
      </c>
      <c r="B889" s="75">
        <v>90.38</v>
      </c>
      <c r="C889" s="75">
        <v>98.17</v>
      </c>
      <c r="D889" s="75">
        <v>94.51</v>
      </c>
      <c r="E889" s="75">
        <v>93.4</v>
      </c>
      <c r="F889">
        <v>-2718.87</v>
      </c>
      <c r="G889">
        <v>61.2</v>
      </c>
      <c r="H889">
        <v>-3382.6</v>
      </c>
      <c r="I889">
        <v>-20.400000000000002</v>
      </c>
      <c r="J889">
        <v>-6060.67</v>
      </c>
    </row>
    <row r="890" spans="1:10" x14ac:dyDescent="0.35">
      <c r="A890">
        <v>874</v>
      </c>
      <c r="B890" s="75">
        <v>89.398600000000002</v>
      </c>
      <c r="C890" s="75">
        <v>97.301400000000001</v>
      </c>
      <c r="D890" s="75">
        <v>93.201899999999995</v>
      </c>
      <c r="E890" s="75">
        <v>94.120099999999994</v>
      </c>
      <c r="F890">
        <v>511.5</v>
      </c>
      <c r="G890">
        <v>1362.75</v>
      </c>
      <c r="H890">
        <v>-771.59999999999991</v>
      </c>
      <c r="I890">
        <v>-739.5</v>
      </c>
      <c r="J890">
        <v>363.15000000000009</v>
      </c>
    </row>
    <row r="891" spans="1:10" x14ac:dyDescent="0.35">
      <c r="A891">
        <v>875</v>
      </c>
      <c r="B891" s="75">
        <v>89.38</v>
      </c>
      <c r="C891" s="75">
        <v>98.7</v>
      </c>
      <c r="D891" s="75">
        <v>93.44</v>
      </c>
      <c r="E891" s="75">
        <v>95.56</v>
      </c>
      <c r="F891">
        <v>570.24</v>
      </c>
      <c r="G891">
        <v>-731.7</v>
      </c>
      <c r="H891">
        <v>-1251.6000000000001</v>
      </c>
      <c r="I891">
        <v>-2180.2999999999997</v>
      </c>
      <c r="J891">
        <v>-3593.3599999999997</v>
      </c>
    </row>
    <row r="892" spans="1:10" x14ac:dyDescent="0.35">
      <c r="A892">
        <v>876</v>
      </c>
      <c r="B892" s="75">
        <v>88.811599999999999</v>
      </c>
      <c r="C892" s="75">
        <v>97.985900000000001</v>
      </c>
      <c r="D892" s="75">
        <v>93.373900000000006</v>
      </c>
      <c r="E892" s="75">
        <v>92.807900000000004</v>
      </c>
      <c r="F892">
        <v>2448.6</v>
      </c>
      <c r="G892">
        <v>336</v>
      </c>
      <c r="H892">
        <v>-1115.5999999999999</v>
      </c>
      <c r="I892">
        <v>572.69999999999993</v>
      </c>
      <c r="J892">
        <v>2241.6999999999998</v>
      </c>
    </row>
    <row r="893" spans="1:10" x14ac:dyDescent="0.35">
      <c r="A893">
        <v>877</v>
      </c>
      <c r="B893" s="75">
        <v>89.49</v>
      </c>
      <c r="C893" s="75">
        <v>97.52</v>
      </c>
      <c r="D893" s="75">
        <v>92.29</v>
      </c>
      <c r="E893" s="75">
        <v>95.88</v>
      </c>
      <c r="F893">
        <v>212.85</v>
      </c>
      <c r="G893">
        <v>1028.55</v>
      </c>
      <c r="H893">
        <v>1058.4000000000001</v>
      </c>
      <c r="I893">
        <v>-2499.5</v>
      </c>
      <c r="J893">
        <v>-199.69999999999982</v>
      </c>
    </row>
    <row r="894" spans="1:10" x14ac:dyDescent="0.35">
      <c r="A894">
        <v>878</v>
      </c>
      <c r="B894" s="75">
        <v>89.459100000000007</v>
      </c>
      <c r="C894" s="75">
        <v>96.946899999999999</v>
      </c>
      <c r="D894" s="75">
        <v>95.322500000000005</v>
      </c>
      <c r="E894" s="75">
        <v>96.093800000000002</v>
      </c>
      <c r="F894">
        <v>311.85000000000002</v>
      </c>
      <c r="G894">
        <v>1894.4999999999998</v>
      </c>
      <c r="H894">
        <v>-5012.8</v>
      </c>
      <c r="I894">
        <v>-2713.2000000000003</v>
      </c>
      <c r="J894">
        <v>-5519.6500000000005</v>
      </c>
    </row>
    <row r="895" spans="1:10" x14ac:dyDescent="0.35">
      <c r="A895">
        <v>879</v>
      </c>
      <c r="B895" s="75">
        <v>89.02</v>
      </c>
      <c r="C895" s="75">
        <v>98.47</v>
      </c>
      <c r="D895" s="75">
        <v>93.56</v>
      </c>
      <c r="E895" s="75">
        <v>93.13</v>
      </c>
      <c r="F895">
        <v>1771.7700000000002</v>
      </c>
      <c r="G895">
        <v>-383.1</v>
      </c>
      <c r="H895">
        <v>-1493.4</v>
      </c>
      <c r="I895">
        <v>250.8</v>
      </c>
      <c r="J895">
        <v>146.07</v>
      </c>
    </row>
    <row r="896" spans="1:10" x14ac:dyDescent="0.35">
      <c r="A896">
        <v>880</v>
      </c>
      <c r="B896" s="75">
        <v>89.402799999999999</v>
      </c>
      <c r="C896" s="75">
        <v>96.988799999999998</v>
      </c>
      <c r="D896" s="75">
        <v>93.7089</v>
      </c>
      <c r="E896" s="75">
        <v>94.1571</v>
      </c>
      <c r="F896">
        <v>497.64</v>
      </c>
      <c r="G896">
        <v>1831.65</v>
      </c>
      <c r="H896">
        <v>-1785.6000000000001</v>
      </c>
      <c r="I896">
        <v>-776.5</v>
      </c>
      <c r="J896">
        <v>-232.81000000000017</v>
      </c>
    </row>
    <row r="897" spans="1:10" x14ac:dyDescent="0.35">
      <c r="A897">
        <v>881</v>
      </c>
      <c r="B897" s="75">
        <v>88.81</v>
      </c>
      <c r="C897" s="75">
        <v>97.76</v>
      </c>
      <c r="D897" s="75">
        <v>93.63</v>
      </c>
      <c r="E897" s="75">
        <v>93.3</v>
      </c>
      <c r="F897">
        <v>2463.12</v>
      </c>
      <c r="G897">
        <v>673.8</v>
      </c>
      <c r="H897">
        <v>-1624</v>
      </c>
      <c r="I897">
        <v>81.5</v>
      </c>
      <c r="J897">
        <v>1594.42</v>
      </c>
    </row>
    <row r="898" spans="1:10" x14ac:dyDescent="0.35">
      <c r="A898">
        <v>882</v>
      </c>
      <c r="B898" s="75">
        <v>89.894999999999996</v>
      </c>
      <c r="C898" s="75">
        <v>98.034199999999998</v>
      </c>
      <c r="D898" s="75">
        <v>92.904899999999998</v>
      </c>
      <c r="E898" s="75">
        <v>91.947000000000003</v>
      </c>
      <c r="F898">
        <v>-1126.6199999999999</v>
      </c>
      <c r="G898">
        <v>263.55</v>
      </c>
      <c r="H898">
        <v>-177.6</v>
      </c>
      <c r="I898">
        <v>1433.6</v>
      </c>
      <c r="J898">
        <v>392.93000000000006</v>
      </c>
    </row>
    <row r="899" spans="1:10" x14ac:dyDescent="0.35">
      <c r="A899">
        <v>883</v>
      </c>
      <c r="B899" s="75">
        <v>88.83</v>
      </c>
      <c r="C899" s="75">
        <v>98.35</v>
      </c>
      <c r="D899" s="75">
        <v>95.24</v>
      </c>
      <c r="E899" s="75">
        <v>94.35</v>
      </c>
      <c r="F899">
        <v>2384.58</v>
      </c>
      <c r="G899">
        <v>-210.29999999999998</v>
      </c>
      <c r="H899">
        <v>-4839.5999999999995</v>
      </c>
      <c r="I899">
        <v>-970.7</v>
      </c>
      <c r="J899">
        <v>-3636.0199999999995</v>
      </c>
    </row>
    <row r="900" spans="1:10" x14ac:dyDescent="0.35">
      <c r="A900">
        <v>884</v>
      </c>
      <c r="B900" s="75">
        <v>88.991500000000002</v>
      </c>
      <c r="C900" s="75">
        <v>97.796000000000006</v>
      </c>
      <c r="D900" s="75">
        <v>93.2761</v>
      </c>
      <c r="E900" s="75">
        <v>95.471199999999996</v>
      </c>
      <c r="F900">
        <v>1854.93</v>
      </c>
      <c r="G900">
        <v>620.85</v>
      </c>
      <c r="H900">
        <v>-920</v>
      </c>
      <c r="I900">
        <v>-2090.6</v>
      </c>
      <c r="J900">
        <v>-534.81999999999971</v>
      </c>
    </row>
    <row r="901" spans="1:10" x14ac:dyDescent="0.35">
      <c r="A901">
        <v>885</v>
      </c>
      <c r="B901" s="75">
        <v>90.45</v>
      </c>
      <c r="C901" s="75">
        <v>97.9</v>
      </c>
      <c r="D901" s="75">
        <v>92.72</v>
      </c>
      <c r="E901" s="75">
        <v>90.94</v>
      </c>
      <c r="F901">
        <v>-2955.48</v>
      </c>
      <c r="G901">
        <v>457.80000000000007</v>
      </c>
      <c r="H901">
        <v>182.60000000000002</v>
      </c>
      <c r="I901">
        <v>2445.6000000000004</v>
      </c>
      <c r="J901">
        <v>130.52000000000044</v>
      </c>
    </row>
    <row r="902" spans="1:10" x14ac:dyDescent="0.35">
      <c r="A902">
        <v>886</v>
      </c>
      <c r="B902" s="75">
        <v>89.043000000000006</v>
      </c>
      <c r="C902" s="75">
        <v>97.013599999999997</v>
      </c>
      <c r="D902" s="75">
        <v>91.376400000000004</v>
      </c>
      <c r="E902" s="75">
        <v>94.1828</v>
      </c>
      <c r="F902">
        <v>1684.9800000000002</v>
      </c>
      <c r="G902">
        <v>1794.4499999999998</v>
      </c>
      <c r="H902">
        <v>2879.4</v>
      </c>
      <c r="I902">
        <v>-802.2</v>
      </c>
      <c r="J902">
        <v>5556.63</v>
      </c>
    </row>
    <row r="903" spans="1:10" x14ac:dyDescent="0.35">
      <c r="A903">
        <v>887</v>
      </c>
      <c r="B903" s="75">
        <v>89.15</v>
      </c>
      <c r="C903" s="75">
        <v>99.05</v>
      </c>
      <c r="D903" s="75">
        <v>92.49</v>
      </c>
      <c r="E903" s="75">
        <v>92.71</v>
      </c>
      <c r="F903">
        <v>1322.6399999999999</v>
      </c>
      <c r="G903">
        <v>-1263.3</v>
      </c>
      <c r="H903">
        <v>650.20000000000005</v>
      </c>
      <c r="I903">
        <v>674</v>
      </c>
      <c r="J903">
        <v>1383.54</v>
      </c>
    </row>
    <row r="904" spans="1:10" x14ac:dyDescent="0.35">
      <c r="A904">
        <v>888</v>
      </c>
      <c r="B904" s="75">
        <v>89.541600000000003</v>
      </c>
      <c r="C904" s="75">
        <v>98.155299999999997</v>
      </c>
      <c r="D904" s="75">
        <v>93.788700000000006</v>
      </c>
      <c r="E904" s="75">
        <v>92.511399999999995</v>
      </c>
      <c r="F904">
        <v>39.6</v>
      </c>
      <c r="G904">
        <v>81.900000000000006</v>
      </c>
      <c r="H904">
        <v>-1945.2</v>
      </c>
      <c r="I904">
        <v>869.19999999999993</v>
      </c>
      <c r="J904">
        <v>-954.50000000000011</v>
      </c>
    </row>
    <row r="905" spans="1:10" x14ac:dyDescent="0.35">
      <c r="A905">
        <v>889</v>
      </c>
      <c r="B905" s="75">
        <v>88.72</v>
      </c>
      <c r="C905" s="75">
        <v>98.33</v>
      </c>
      <c r="D905" s="75">
        <v>93.58</v>
      </c>
      <c r="E905" s="75">
        <v>91.57</v>
      </c>
      <c r="F905">
        <v>2758.47</v>
      </c>
      <c r="G905">
        <v>-182.85</v>
      </c>
      <c r="H905">
        <v>-1527.4</v>
      </c>
      <c r="I905">
        <v>1808.3</v>
      </c>
      <c r="J905">
        <v>2856.5199999999995</v>
      </c>
    </row>
    <row r="906" spans="1:10" x14ac:dyDescent="0.35">
      <c r="A906">
        <v>890</v>
      </c>
      <c r="B906" s="75">
        <v>89.765299999999996</v>
      </c>
      <c r="C906" s="75">
        <v>99.976299999999995</v>
      </c>
      <c r="D906" s="75">
        <v>92.612799999999993</v>
      </c>
      <c r="E906" s="75">
        <v>91.538499999999999</v>
      </c>
      <c r="F906">
        <v>-698.61</v>
      </c>
      <c r="G906">
        <v>-2649.6</v>
      </c>
      <c r="H906">
        <v>406.6</v>
      </c>
      <c r="I906">
        <v>1842.1000000000001</v>
      </c>
      <c r="J906">
        <v>-1099.51</v>
      </c>
    </row>
    <row r="907" spans="1:10" x14ac:dyDescent="0.35">
      <c r="A907">
        <v>891</v>
      </c>
      <c r="B907" s="75">
        <v>89.52</v>
      </c>
      <c r="C907" s="75">
        <v>96.93</v>
      </c>
      <c r="D907" s="75">
        <v>93.12</v>
      </c>
      <c r="E907" s="75">
        <v>90.6</v>
      </c>
      <c r="F907">
        <v>103.95</v>
      </c>
      <c r="G907">
        <v>1920.15</v>
      </c>
      <c r="H907">
        <v>-614.4</v>
      </c>
      <c r="I907">
        <v>2777.8999999999996</v>
      </c>
      <c r="J907">
        <v>4187.6000000000004</v>
      </c>
    </row>
    <row r="908" spans="1:10" x14ac:dyDescent="0.35">
      <c r="A908">
        <v>892</v>
      </c>
      <c r="B908" s="75">
        <v>89.3172</v>
      </c>
      <c r="C908" s="75">
        <v>98.322299999999998</v>
      </c>
      <c r="D908" s="75">
        <v>92.638199999999998</v>
      </c>
      <c r="E908" s="75">
        <v>95.538200000000003</v>
      </c>
      <c r="F908">
        <v>780.12</v>
      </c>
      <c r="G908">
        <v>-168.6</v>
      </c>
      <c r="H908">
        <v>355.8</v>
      </c>
      <c r="I908">
        <v>-2157.6</v>
      </c>
      <c r="J908">
        <v>-1190.28</v>
      </c>
    </row>
    <row r="909" spans="1:10" x14ac:dyDescent="0.35">
      <c r="A909">
        <v>893</v>
      </c>
      <c r="B909" s="75">
        <v>89.26</v>
      </c>
      <c r="C909" s="75">
        <v>99.08</v>
      </c>
      <c r="D909" s="75">
        <v>93.05</v>
      </c>
      <c r="E909" s="75">
        <v>94.68</v>
      </c>
      <c r="F909">
        <v>965.91000000000008</v>
      </c>
      <c r="G909">
        <v>-1304.4000000000001</v>
      </c>
      <c r="H909">
        <v>-476.4</v>
      </c>
      <c r="I909">
        <v>-1301.6000000000001</v>
      </c>
      <c r="J909">
        <v>-2116.4900000000002</v>
      </c>
    </row>
    <row r="910" spans="1:10" x14ac:dyDescent="0.35">
      <c r="A910">
        <v>894</v>
      </c>
      <c r="B910" s="75">
        <v>89.488399999999999</v>
      </c>
      <c r="C910" s="75">
        <v>97.5732</v>
      </c>
      <c r="D910" s="75">
        <v>93.223799999999997</v>
      </c>
      <c r="E910" s="75">
        <v>96.918199999999999</v>
      </c>
      <c r="F910">
        <v>215.15999999999997</v>
      </c>
      <c r="G910">
        <v>955.05000000000007</v>
      </c>
      <c r="H910">
        <v>-815.4</v>
      </c>
      <c r="I910">
        <v>-3537.6</v>
      </c>
      <c r="J910">
        <v>-3182.79</v>
      </c>
    </row>
    <row r="911" spans="1:10" x14ac:dyDescent="0.35">
      <c r="A911">
        <v>895</v>
      </c>
      <c r="B911" s="75">
        <v>89.21</v>
      </c>
      <c r="C911" s="75">
        <v>98.18</v>
      </c>
      <c r="D911" s="75">
        <v>93.22</v>
      </c>
      <c r="E911" s="75">
        <v>91.82</v>
      </c>
      <c r="F911">
        <v>1148.3999999999999</v>
      </c>
      <c r="G911">
        <v>40.65</v>
      </c>
      <c r="H911">
        <v>-813.8</v>
      </c>
      <c r="I911">
        <v>1561.1</v>
      </c>
      <c r="J911">
        <v>1936.35</v>
      </c>
    </row>
    <row r="912" spans="1:10" x14ac:dyDescent="0.35">
      <c r="A912">
        <v>896</v>
      </c>
      <c r="B912" s="75">
        <v>89.082999999999998</v>
      </c>
      <c r="C912" s="75">
        <v>98.912700000000001</v>
      </c>
      <c r="D912" s="75">
        <v>94.2303</v>
      </c>
      <c r="E912" s="75">
        <v>93.071399999999997</v>
      </c>
      <c r="F912">
        <v>1552.98</v>
      </c>
      <c r="G912">
        <v>-1054.2</v>
      </c>
      <c r="H912">
        <v>-2828.3999999999996</v>
      </c>
      <c r="I912">
        <v>309.2</v>
      </c>
      <c r="J912">
        <v>-2020.4199999999998</v>
      </c>
    </row>
    <row r="913" spans="1:10" x14ac:dyDescent="0.35">
      <c r="A913">
        <v>897</v>
      </c>
      <c r="B913" s="75">
        <v>90.95</v>
      </c>
      <c r="C913" s="75">
        <v>98.47</v>
      </c>
      <c r="D913" s="75">
        <v>92.53</v>
      </c>
      <c r="E913" s="75">
        <v>89.12</v>
      </c>
      <c r="F913">
        <v>-4616.37</v>
      </c>
      <c r="G913">
        <v>-386.1</v>
      </c>
      <c r="H913">
        <v>563.79999999999995</v>
      </c>
      <c r="I913">
        <v>4259.7</v>
      </c>
      <c r="J913">
        <v>-178.97000000000025</v>
      </c>
    </row>
    <row r="914" spans="1:10" x14ac:dyDescent="0.35">
      <c r="A914">
        <v>898</v>
      </c>
      <c r="B914" s="75">
        <v>89.333200000000005</v>
      </c>
      <c r="C914" s="75">
        <v>96.049599999999998</v>
      </c>
      <c r="D914" s="75">
        <v>93.047799999999995</v>
      </c>
      <c r="E914" s="75">
        <v>90.715199999999996</v>
      </c>
      <c r="F914">
        <v>727.32</v>
      </c>
      <c r="G914">
        <v>3240.45</v>
      </c>
      <c r="H914">
        <v>-463.4</v>
      </c>
      <c r="I914">
        <v>2665.4</v>
      </c>
      <c r="J914">
        <v>6169.77</v>
      </c>
    </row>
    <row r="915" spans="1:10" x14ac:dyDescent="0.35">
      <c r="A915">
        <v>899</v>
      </c>
      <c r="B915" s="75">
        <v>88.89</v>
      </c>
      <c r="C915" s="75">
        <v>98.9</v>
      </c>
      <c r="D915" s="75">
        <v>94.7</v>
      </c>
      <c r="E915" s="75">
        <v>89.48</v>
      </c>
      <c r="F915">
        <v>2182.9499999999998</v>
      </c>
      <c r="G915">
        <v>-1039.5</v>
      </c>
      <c r="H915">
        <v>-3761.4</v>
      </c>
      <c r="I915">
        <v>3902.8999999999996</v>
      </c>
      <c r="J915">
        <v>1284.9499999999994</v>
      </c>
    </row>
    <row r="916" spans="1:10" x14ac:dyDescent="0.35">
      <c r="A916">
        <v>900</v>
      </c>
      <c r="B916" s="75">
        <v>90.500699999999995</v>
      </c>
      <c r="C916" s="75">
        <v>98.698999999999998</v>
      </c>
      <c r="D916" s="75">
        <v>91.7834</v>
      </c>
      <c r="E916" s="75">
        <v>92.225999999999999</v>
      </c>
      <c r="F916">
        <v>-3125.4300000000003</v>
      </c>
      <c r="G916">
        <v>-733.65</v>
      </c>
      <c r="H916">
        <v>2065.4</v>
      </c>
      <c r="I916">
        <v>1154.6000000000001</v>
      </c>
      <c r="J916">
        <v>-639.08000000000015</v>
      </c>
    </row>
    <row r="917" spans="1:10" x14ac:dyDescent="0.35">
      <c r="A917">
        <v>901</v>
      </c>
      <c r="B917" s="75">
        <v>89.01</v>
      </c>
      <c r="C917" s="75">
        <v>96.29</v>
      </c>
      <c r="D917" s="75">
        <v>93.19</v>
      </c>
      <c r="E917" s="75">
        <v>95.55</v>
      </c>
      <c r="F917">
        <v>1781.67</v>
      </c>
      <c r="G917">
        <v>2878.8</v>
      </c>
      <c r="H917">
        <v>-749.80000000000007</v>
      </c>
      <c r="I917">
        <v>-2172.6999999999998</v>
      </c>
      <c r="J917">
        <v>1737.9700000000003</v>
      </c>
    </row>
    <row r="918" spans="1:10" x14ac:dyDescent="0.35">
      <c r="A918">
        <v>902</v>
      </c>
      <c r="B918" s="75">
        <v>89.218000000000004</v>
      </c>
      <c r="C918" s="75">
        <v>97.321299999999994</v>
      </c>
      <c r="D918" s="75">
        <v>91.712500000000006</v>
      </c>
      <c r="E918" s="75">
        <v>91.143000000000001</v>
      </c>
      <c r="F918">
        <v>1107.48</v>
      </c>
      <c r="G918">
        <v>1332.8999999999999</v>
      </c>
      <c r="H918">
        <v>2207.1999999999998</v>
      </c>
      <c r="I918">
        <v>2237.6</v>
      </c>
      <c r="J918">
        <v>6885.18</v>
      </c>
    </row>
    <row r="919" spans="1:10" x14ac:dyDescent="0.35">
      <c r="A919">
        <v>903</v>
      </c>
      <c r="B919" s="75">
        <v>89.95</v>
      </c>
      <c r="C919" s="75">
        <v>99.6</v>
      </c>
      <c r="D919" s="75">
        <v>92.31</v>
      </c>
      <c r="E919" s="75">
        <v>91.43</v>
      </c>
      <c r="F919">
        <v>-1293.93</v>
      </c>
      <c r="G919">
        <v>-2091.6</v>
      </c>
      <c r="H919">
        <v>1021.2000000000002</v>
      </c>
      <c r="I919">
        <v>1948</v>
      </c>
      <c r="J919">
        <v>-416.32999999999947</v>
      </c>
    </row>
    <row r="920" spans="1:10" x14ac:dyDescent="0.35">
      <c r="A920">
        <v>904</v>
      </c>
      <c r="B920" s="75">
        <v>90.412300000000002</v>
      </c>
      <c r="C920" s="75">
        <v>96.613200000000006</v>
      </c>
      <c r="D920" s="75">
        <v>92.920699999999997</v>
      </c>
      <c r="E920" s="75">
        <v>92.051500000000004</v>
      </c>
      <c r="F920">
        <v>-2833.71</v>
      </c>
      <c r="G920">
        <v>2395.0500000000002</v>
      </c>
      <c r="H920">
        <v>-209.2</v>
      </c>
      <c r="I920">
        <v>1329.1</v>
      </c>
      <c r="J920">
        <v>681.24</v>
      </c>
    </row>
    <row r="921" spans="1:10" x14ac:dyDescent="0.35">
      <c r="A921">
        <v>905</v>
      </c>
      <c r="B921" s="75">
        <v>89.8</v>
      </c>
      <c r="C921" s="75">
        <v>99.46</v>
      </c>
      <c r="D921" s="75">
        <v>92.39</v>
      </c>
      <c r="E921" s="75">
        <v>94.7</v>
      </c>
      <c r="F921">
        <v>-828.63</v>
      </c>
      <c r="G921">
        <v>-1876.65</v>
      </c>
      <c r="H921">
        <v>849.8</v>
      </c>
      <c r="I921">
        <v>-1319.1999999999998</v>
      </c>
      <c r="J921">
        <v>-3174.6800000000003</v>
      </c>
    </row>
    <row r="922" spans="1:10" x14ac:dyDescent="0.35">
      <c r="A922">
        <v>906</v>
      </c>
      <c r="B922" s="75">
        <v>90.223200000000006</v>
      </c>
      <c r="C922" s="75">
        <v>97.977199999999996</v>
      </c>
      <c r="D922" s="75">
        <v>93.444100000000006</v>
      </c>
      <c r="E922" s="75">
        <v>94.532600000000002</v>
      </c>
      <c r="F922">
        <v>-2209.6799999999998</v>
      </c>
      <c r="G922">
        <v>349.05</v>
      </c>
      <c r="H922">
        <v>-1256</v>
      </c>
      <c r="I922">
        <v>-1152</v>
      </c>
      <c r="J922">
        <v>-4268.63</v>
      </c>
    </row>
    <row r="923" spans="1:10" x14ac:dyDescent="0.35">
      <c r="A923">
        <v>907</v>
      </c>
      <c r="B923" s="75">
        <v>89.85</v>
      </c>
      <c r="C923" s="75">
        <v>98.45</v>
      </c>
      <c r="D923" s="75">
        <v>92.21</v>
      </c>
      <c r="E923" s="75">
        <v>96.05</v>
      </c>
      <c r="F923">
        <v>-989.34</v>
      </c>
      <c r="G923">
        <v>-364.2</v>
      </c>
      <c r="H923">
        <v>1217.8</v>
      </c>
      <c r="I923">
        <v>-2666.5</v>
      </c>
      <c r="J923">
        <v>-2802.24</v>
      </c>
    </row>
    <row r="924" spans="1:10" x14ac:dyDescent="0.35">
      <c r="A924">
        <v>908</v>
      </c>
      <c r="B924" s="75">
        <v>89.123000000000005</v>
      </c>
      <c r="C924" s="75">
        <v>98.361400000000003</v>
      </c>
      <c r="D924" s="75">
        <v>94.125699999999995</v>
      </c>
      <c r="E924" s="75">
        <v>93.903899999999993</v>
      </c>
      <c r="F924">
        <v>1420.98</v>
      </c>
      <c r="G924">
        <v>-227.25</v>
      </c>
      <c r="H924">
        <v>-2619.2000000000003</v>
      </c>
      <c r="I924">
        <v>-523.29999999999995</v>
      </c>
      <c r="J924">
        <v>-1948.7700000000002</v>
      </c>
    </row>
    <row r="925" spans="1:10" x14ac:dyDescent="0.35">
      <c r="A925">
        <v>909</v>
      </c>
      <c r="B925" s="75">
        <v>89.27</v>
      </c>
      <c r="C925" s="75">
        <v>99.04</v>
      </c>
      <c r="D925" s="75">
        <v>91.41</v>
      </c>
      <c r="E925" s="75">
        <v>94.38</v>
      </c>
      <c r="F925">
        <v>933.56999999999994</v>
      </c>
      <c r="G925">
        <v>-1250.7</v>
      </c>
      <c r="H925">
        <v>2818.4</v>
      </c>
      <c r="I925">
        <v>-999.6</v>
      </c>
      <c r="J925">
        <v>1501.67</v>
      </c>
    </row>
    <row r="926" spans="1:10" x14ac:dyDescent="0.35">
      <c r="A926">
        <v>910</v>
      </c>
      <c r="B926" s="75">
        <v>89.185400000000001</v>
      </c>
      <c r="C926" s="75">
        <v>100.2351</v>
      </c>
      <c r="D926" s="75">
        <v>94.891499999999994</v>
      </c>
      <c r="E926" s="75">
        <v>93.843400000000003</v>
      </c>
      <c r="F926">
        <v>1215.0600000000002</v>
      </c>
      <c r="G926">
        <v>-3037.7999999999997</v>
      </c>
      <c r="H926">
        <v>-4150.8</v>
      </c>
      <c r="I926">
        <v>-462.8</v>
      </c>
      <c r="J926">
        <v>-6436.34</v>
      </c>
    </row>
    <row r="927" spans="1:10" x14ac:dyDescent="0.35">
      <c r="A927">
        <v>911</v>
      </c>
      <c r="B927" s="75">
        <v>89.19</v>
      </c>
      <c r="C927" s="75">
        <v>97.86</v>
      </c>
      <c r="D927" s="75">
        <v>94.81</v>
      </c>
      <c r="E927" s="75">
        <v>94.32</v>
      </c>
      <c r="F927">
        <v>1184.3699999999999</v>
      </c>
      <c r="G927">
        <v>529.05000000000007</v>
      </c>
      <c r="H927">
        <v>-3982.6000000000004</v>
      </c>
      <c r="I927">
        <v>-942.5</v>
      </c>
      <c r="J927">
        <v>-3211.6800000000003</v>
      </c>
    </row>
    <row r="928" spans="1:10" x14ac:dyDescent="0.35">
      <c r="A928">
        <v>912</v>
      </c>
      <c r="B928" s="75">
        <v>89.3459</v>
      </c>
      <c r="C928" s="75">
        <v>97.729399999999998</v>
      </c>
      <c r="D928" s="75">
        <v>92.930800000000005</v>
      </c>
      <c r="E928" s="75">
        <v>94.513900000000007</v>
      </c>
      <c r="F928">
        <v>685.41</v>
      </c>
      <c r="G928">
        <v>720.75</v>
      </c>
      <c r="H928">
        <v>-229.4</v>
      </c>
      <c r="I928">
        <v>-1133.3</v>
      </c>
      <c r="J928">
        <v>43.459999999999809</v>
      </c>
    </row>
    <row r="929" spans="1:10" x14ac:dyDescent="0.35">
      <c r="A929">
        <v>913</v>
      </c>
      <c r="B929" s="75">
        <v>89.64</v>
      </c>
      <c r="C929" s="75">
        <v>98.58</v>
      </c>
      <c r="D929" s="75">
        <v>91.06</v>
      </c>
      <c r="E929" s="75">
        <v>95.23</v>
      </c>
      <c r="F929">
        <v>-274.56</v>
      </c>
      <c r="G929">
        <v>-558</v>
      </c>
      <c r="H929">
        <v>3513.2</v>
      </c>
      <c r="I929">
        <v>-1854.2</v>
      </c>
      <c r="J929">
        <v>826.43999999999983</v>
      </c>
    </row>
    <row r="930" spans="1:10" x14ac:dyDescent="0.35">
      <c r="A930">
        <v>914</v>
      </c>
      <c r="B930" s="75">
        <v>90.134799999999998</v>
      </c>
      <c r="C930" s="75">
        <v>98.263199999999998</v>
      </c>
      <c r="D930" s="75">
        <v>92.954499999999996</v>
      </c>
      <c r="E930" s="75">
        <v>93.615799999999993</v>
      </c>
      <c r="F930">
        <v>-1917.9600000000003</v>
      </c>
      <c r="G930">
        <v>-79.95</v>
      </c>
      <c r="H930">
        <v>-276.8</v>
      </c>
      <c r="I930">
        <v>-235.2</v>
      </c>
      <c r="J930">
        <v>-2509.9100000000003</v>
      </c>
    </row>
    <row r="931" spans="1:10" x14ac:dyDescent="0.35">
      <c r="A931">
        <v>915</v>
      </c>
      <c r="B931" s="75">
        <v>89.97</v>
      </c>
      <c r="C931" s="75">
        <v>99.4</v>
      </c>
      <c r="D931" s="75">
        <v>93.18</v>
      </c>
      <c r="E931" s="75">
        <v>93.81</v>
      </c>
      <c r="F931">
        <v>-1387.32</v>
      </c>
      <c r="G931">
        <v>-1789.65</v>
      </c>
      <c r="H931">
        <v>-736.40000000000009</v>
      </c>
      <c r="I931">
        <v>-431.09999999999997</v>
      </c>
      <c r="J931">
        <v>-4344.47</v>
      </c>
    </row>
    <row r="932" spans="1:10" x14ac:dyDescent="0.35">
      <c r="A932">
        <v>916</v>
      </c>
      <c r="B932" s="75">
        <v>89.234499999999997</v>
      </c>
      <c r="C932" s="75">
        <v>97.1798</v>
      </c>
      <c r="D932" s="75">
        <v>90.363699999999994</v>
      </c>
      <c r="E932" s="75">
        <v>94.470299999999995</v>
      </c>
      <c r="F932">
        <v>1053.03</v>
      </c>
      <c r="G932">
        <v>1545.15</v>
      </c>
      <c r="H932">
        <v>4904.8</v>
      </c>
      <c r="I932">
        <v>-1089.6999999999998</v>
      </c>
      <c r="J932">
        <v>6413.2800000000007</v>
      </c>
    </row>
    <row r="933" spans="1:10" x14ac:dyDescent="0.35">
      <c r="A933">
        <v>917</v>
      </c>
      <c r="B933" s="75">
        <v>89.23</v>
      </c>
      <c r="C933" s="75">
        <v>98.3</v>
      </c>
      <c r="D933" s="75">
        <v>92</v>
      </c>
      <c r="E933" s="75">
        <v>95.24</v>
      </c>
      <c r="F933">
        <v>1073.1599999999999</v>
      </c>
      <c r="G933">
        <v>-138.6</v>
      </c>
      <c r="H933">
        <v>1631.2</v>
      </c>
      <c r="I933">
        <v>-1856.1000000000001</v>
      </c>
      <c r="J933">
        <v>709.65999999999963</v>
      </c>
    </row>
    <row r="934" spans="1:10" x14ac:dyDescent="0.35">
      <c r="A934">
        <v>918</v>
      </c>
      <c r="B934" s="75">
        <v>89.8994</v>
      </c>
      <c r="C934" s="75">
        <v>97.484499999999997</v>
      </c>
      <c r="D934" s="75">
        <v>90.738699999999994</v>
      </c>
      <c r="E934" s="75">
        <v>92.8733</v>
      </c>
      <c r="F934">
        <v>-1141.1400000000001</v>
      </c>
      <c r="G934">
        <v>1088.1000000000001</v>
      </c>
      <c r="H934">
        <v>4154.8</v>
      </c>
      <c r="I934">
        <v>507.29999999999995</v>
      </c>
      <c r="J934">
        <v>4609.0600000000004</v>
      </c>
    </row>
    <row r="935" spans="1:10" x14ac:dyDescent="0.35">
      <c r="A935">
        <v>919</v>
      </c>
      <c r="B935" s="75">
        <v>90.48</v>
      </c>
      <c r="C935" s="75">
        <v>98.23</v>
      </c>
      <c r="D935" s="75">
        <v>92.2</v>
      </c>
      <c r="E935" s="75">
        <v>92.86</v>
      </c>
      <c r="F935">
        <v>-3067.02</v>
      </c>
      <c r="G935">
        <v>-22.95</v>
      </c>
      <c r="H935">
        <v>1231.8</v>
      </c>
      <c r="I935">
        <v>522</v>
      </c>
      <c r="J935">
        <v>-1336.1699999999998</v>
      </c>
    </row>
    <row r="936" spans="1:10" x14ac:dyDescent="0.35">
      <c r="A936">
        <v>920</v>
      </c>
      <c r="B936" s="75">
        <v>89.663499999999999</v>
      </c>
      <c r="C936" s="75">
        <v>96.892099999999999</v>
      </c>
      <c r="D936" s="75">
        <v>94.19</v>
      </c>
      <c r="E936" s="75">
        <v>92.138599999999997</v>
      </c>
      <c r="F936">
        <v>-362.67</v>
      </c>
      <c r="G936">
        <v>1976.7</v>
      </c>
      <c r="H936">
        <v>-2747.7999999999997</v>
      </c>
      <c r="I936">
        <v>1242</v>
      </c>
      <c r="J936">
        <v>108.23000000000025</v>
      </c>
    </row>
    <row r="937" spans="1:10" x14ac:dyDescent="0.35">
      <c r="A937">
        <v>921</v>
      </c>
      <c r="B937" s="75">
        <v>88.97</v>
      </c>
      <c r="C937" s="75">
        <v>98.53</v>
      </c>
      <c r="D937" s="75">
        <v>94.57</v>
      </c>
      <c r="E937" s="75">
        <v>94.41</v>
      </c>
      <c r="F937">
        <v>1934.7900000000002</v>
      </c>
      <c r="G937">
        <v>-481.5</v>
      </c>
      <c r="H937">
        <v>-3515.6</v>
      </c>
      <c r="I937">
        <v>-1027.7</v>
      </c>
      <c r="J937">
        <v>-3090.0099999999993</v>
      </c>
    </row>
    <row r="938" spans="1:10" x14ac:dyDescent="0.35">
      <c r="A938">
        <v>922</v>
      </c>
      <c r="B938" s="75">
        <v>89.6053</v>
      </c>
      <c r="C938" s="75">
        <v>97.9512</v>
      </c>
      <c r="D938" s="75">
        <v>91.375100000000003</v>
      </c>
      <c r="E938" s="75">
        <v>93.057400000000001</v>
      </c>
      <c r="F938">
        <v>-170.61</v>
      </c>
      <c r="G938">
        <v>388.04999999999995</v>
      </c>
      <c r="H938">
        <v>2882</v>
      </c>
      <c r="I938">
        <v>323.2</v>
      </c>
      <c r="J938">
        <v>3422.64</v>
      </c>
    </row>
    <row r="939" spans="1:10" x14ac:dyDescent="0.35">
      <c r="A939">
        <v>923</v>
      </c>
      <c r="B939" s="75">
        <v>89.81</v>
      </c>
      <c r="C939" s="75">
        <v>97.94</v>
      </c>
      <c r="D939" s="75">
        <v>93.68</v>
      </c>
      <c r="E939" s="75">
        <v>95.1</v>
      </c>
      <c r="F939">
        <v>-858.9899999999999</v>
      </c>
      <c r="G939">
        <v>406.2</v>
      </c>
      <c r="H939">
        <v>-1726.3999999999999</v>
      </c>
      <c r="I939">
        <v>-1714.5</v>
      </c>
      <c r="J939">
        <v>-3893.6899999999996</v>
      </c>
    </row>
    <row r="940" spans="1:10" x14ac:dyDescent="0.35">
      <c r="A940">
        <v>924</v>
      </c>
      <c r="B940" s="75">
        <v>90.249399999999994</v>
      </c>
      <c r="C940" s="75">
        <v>98.490300000000005</v>
      </c>
      <c r="D940" s="75">
        <v>91.620199999999997</v>
      </c>
      <c r="E940" s="75">
        <v>91.125900000000001</v>
      </c>
      <c r="F940">
        <v>-2296.14</v>
      </c>
      <c r="G940">
        <v>-420.59999999999997</v>
      </c>
      <c r="H940">
        <v>2391.7999999999997</v>
      </c>
      <c r="I940">
        <v>2254.7000000000003</v>
      </c>
      <c r="J940">
        <v>1929.7600000000002</v>
      </c>
    </row>
    <row r="941" spans="1:10" x14ac:dyDescent="0.35">
      <c r="A941">
        <v>925</v>
      </c>
      <c r="B941" s="75">
        <v>89.7</v>
      </c>
      <c r="C941" s="75">
        <v>97.79</v>
      </c>
      <c r="D941" s="75">
        <v>93.13</v>
      </c>
      <c r="E941" s="75">
        <v>93.85</v>
      </c>
      <c r="F941">
        <v>-485.09999999999997</v>
      </c>
      <c r="G941">
        <v>637.20000000000005</v>
      </c>
      <c r="H941">
        <v>-625</v>
      </c>
      <c r="I941">
        <v>-470.4</v>
      </c>
      <c r="J941">
        <v>-943.3</v>
      </c>
    </row>
    <row r="942" spans="1:10" x14ac:dyDescent="0.35">
      <c r="A942">
        <v>926</v>
      </c>
      <c r="B942" s="75">
        <v>89.661199999999994</v>
      </c>
      <c r="C942" s="75">
        <v>98.836299999999994</v>
      </c>
      <c r="D942" s="75">
        <v>94.472499999999997</v>
      </c>
      <c r="E942" s="75">
        <v>90.964100000000002</v>
      </c>
      <c r="F942">
        <v>-355.08</v>
      </c>
      <c r="G942">
        <v>-939.59999999999991</v>
      </c>
      <c r="H942">
        <v>-3312.8</v>
      </c>
      <c r="I942">
        <v>2416.5</v>
      </c>
      <c r="J942">
        <v>-2190.9799999999996</v>
      </c>
    </row>
    <row r="943" spans="1:10" x14ac:dyDescent="0.35">
      <c r="A943">
        <v>927</v>
      </c>
      <c r="B943" s="75">
        <v>89.8</v>
      </c>
      <c r="C943" s="75">
        <v>98.59</v>
      </c>
      <c r="D943" s="75">
        <v>93.08</v>
      </c>
      <c r="E943" s="75">
        <v>89.89</v>
      </c>
      <c r="F943">
        <v>-815.76</v>
      </c>
      <c r="G943">
        <v>-570.45000000000005</v>
      </c>
      <c r="H943">
        <v>-519.4</v>
      </c>
      <c r="I943">
        <v>3489.7</v>
      </c>
      <c r="J943">
        <v>1584.0899999999997</v>
      </c>
    </row>
    <row r="944" spans="1:10" x14ac:dyDescent="0.35">
      <c r="A944">
        <v>928</v>
      </c>
      <c r="B944" s="75">
        <v>89.134399999999999</v>
      </c>
      <c r="C944" s="75">
        <v>98.200699999999998</v>
      </c>
      <c r="D944" s="75">
        <v>93.790599999999998</v>
      </c>
      <c r="E944" s="75">
        <v>94.700800000000001</v>
      </c>
      <c r="F944">
        <v>1383.3600000000001</v>
      </c>
      <c r="G944">
        <v>13.799999999999999</v>
      </c>
      <c r="H944">
        <v>-1949</v>
      </c>
      <c r="I944">
        <v>-1320.2</v>
      </c>
      <c r="J944">
        <v>-1872.04</v>
      </c>
    </row>
    <row r="945" spans="1:10" x14ac:dyDescent="0.35">
      <c r="A945">
        <v>929</v>
      </c>
      <c r="B945" s="75">
        <v>89.71</v>
      </c>
      <c r="C945" s="75">
        <v>99.17</v>
      </c>
      <c r="D945" s="75">
        <v>91.88</v>
      </c>
      <c r="E945" s="75">
        <v>95.15</v>
      </c>
      <c r="F945">
        <v>-511.83</v>
      </c>
      <c r="G945">
        <v>-1435.6499999999999</v>
      </c>
      <c r="H945">
        <v>1867</v>
      </c>
      <c r="I945">
        <v>-1768</v>
      </c>
      <c r="J945">
        <v>-1848.4799999999998</v>
      </c>
    </row>
    <row r="946" spans="1:10" x14ac:dyDescent="0.35">
      <c r="A946">
        <v>930</v>
      </c>
      <c r="B946" s="75">
        <v>90.130200000000002</v>
      </c>
      <c r="C946" s="75">
        <v>97.271799999999999</v>
      </c>
      <c r="D946" s="75">
        <v>93.3202</v>
      </c>
      <c r="E946" s="75">
        <v>91.45</v>
      </c>
      <c r="F946">
        <v>-1902.78</v>
      </c>
      <c r="G946">
        <v>1407.15</v>
      </c>
      <c r="H946">
        <v>-1008.1999999999999</v>
      </c>
      <c r="I946">
        <v>1930.6000000000001</v>
      </c>
      <c r="J946">
        <v>426.77000000000021</v>
      </c>
    </row>
    <row r="947" spans="1:10" x14ac:dyDescent="0.35">
      <c r="A947">
        <v>931</v>
      </c>
      <c r="B947" s="75">
        <v>89.92</v>
      </c>
      <c r="C947" s="75">
        <v>97.42</v>
      </c>
      <c r="D947" s="75">
        <v>91.25</v>
      </c>
      <c r="E947" s="75">
        <v>93.49</v>
      </c>
      <c r="F947">
        <v>-1220.01</v>
      </c>
      <c r="G947">
        <v>1186.8</v>
      </c>
      <c r="H947">
        <v>3128.8</v>
      </c>
      <c r="I947">
        <v>-109.60000000000001</v>
      </c>
      <c r="J947">
        <v>2985.9900000000002</v>
      </c>
    </row>
    <row r="948" spans="1:10" x14ac:dyDescent="0.35">
      <c r="A948">
        <v>932</v>
      </c>
      <c r="B948" s="75">
        <v>89.4512</v>
      </c>
      <c r="C948" s="75">
        <v>98.230599999999995</v>
      </c>
      <c r="D948" s="75">
        <v>91.742900000000006</v>
      </c>
      <c r="E948" s="75">
        <v>89.919499999999999</v>
      </c>
      <c r="F948">
        <v>337.92</v>
      </c>
      <c r="G948">
        <v>-31.05</v>
      </c>
      <c r="H948">
        <v>2146.3999999999996</v>
      </c>
      <c r="I948">
        <v>3461.1</v>
      </c>
      <c r="J948">
        <v>5914.369999999999</v>
      </c>
    </row>
    <row r="949" spans="1:10" x14ac:dyDescent="0.35">
      <c r="A949">
        <v>933</v>
      </c>
      <c r="B949" s="75">
        <v>90.02</v>
      </c>
      <c r="C949" s="75">
        <v>97.34</v>
      </c>
      <c r="D949" s="75">
        <v>90.44</v>
      </c>
      <c r="E949" s="75">
        <v>92.06</v>
      </c>
      <c r="F949">
        <v>-1554.63</v>
      </c>
      <c r="G949">
        <v>1298.7</v>
      </c>
      <c r="H949">
        <v>4752.7999999999993</v>
      </c>
      <c r="I949">
        <v>1318.3</v>
      </c>
      <c r="J949">
        <v>5815.1699999999992</v>
      </c>
    </row>
    <row r="950" spans="1:10" x14ac:dyDescent="0.35">
      <c r="A950">
        <v>934</v>
      </c>
      <c r="B950" s="75">
        <v>89.853999999999999</v>
      </c>
      <c r="C950" s="75">
        <v>96.500900000000001</v>
      </c>
      <c r="D950" s="75">
        <v>93.550399999999996</v>
      </c>
      <c r="E950" s="75">
        <v>95.014799999999994</v>
      </c>
      <c r="F950">
        <v>-991.32</v>
      </c>
      <c r="G950">
        <v>2563.5</v>
      </c>
      <c r="H950">
        <v>-1468.6</v>
      </c>
      <c r="I950">
        <v>-1634.2</v>
      </c>
      <c r="J950">
        <v>-1530.6200000000001</v>
      </c>
    </row>
    <row r="951" spans="1:10" x14ac:dyDescent="0.35">
      <c r="A951">
        <v>935</v>
      </c>
      <c r="B951" s="75">
        <v>90.29</v>
      </c>
      <c r="C951" s="75">
        <v>97.45</v>
      </c>
      <c r="D951" s="75">
        <v>94.3</v>
      </c>
      <c r="E951" s="75">
        <v>93.93</v>
      </c>
      <c r="F951">
        <v>-2428.8000000000002</v>
      </c>
      <c r="G951">
        <v>1134.75</v>
      </c>
      <c r="H951">
        <v>-2977.6</v>
      </c>
      <c r="I951">
        <v>-544.4</v>
      </c>
      <c r="J951">
        <v>-4816.0499999999993</v>
      </c>
    </row>
    <row r="952" spans="1:10" x14ac:dyDescent="0.35">
      <c r="A952">
        <v>936</v>
      </c>
      <c r="B952" s="75">
        <v>89.903099999999995</v>
      </c>
      <c r="C952" s="75">
        <v>99.756799999999998</v>
      </c>
      <c r="D952" s="75">
        <v>94.705299999999994</v>
      </c>
      <c r="E952" s="75">
        <v>92.729799999999997</v>
      </c>
      <c r="F952">
        <v>-1153.3499999999999</v>
      </c>
      <c r="G952">
        <v>-2320.35</v>
      </c>
      <c r="H952">
        <v>-3778.4</v>
      </c>
      <c r="I952">
        <v>650.80000000000007</v>
      </c>
      <c r="J952">
        <v>-6601.3</v>
      </c>
    </row>
    <row r="953" spans="1:10" x14ac:dyDescent="0.35">
      <c r="A953">
        <v>937</v>
      </c>
      <c r="B953" s="75">
        <v>90.57</v>
      </c>
      <c r="C953" s="75">
        <v>98.71</v>
      </c>
      <c r="D953" s="75">
        <v>92.42</v>
      </c>
      <c r="E953" s="75">
        <v>90.58</v>
      </c>
      <c r="F953">
        <v>-3341.58</v>
      </c>
      <c r="G953">
        <v>-744.3</v>
      </c>
      <c r="H953">
        <v>797.6</v>
      </c>
      <c r="I953">
        <v>2797.8999999999996</v>
      </c>
      <c r="J953">
        <v>-490.38000000000056</v>
      </c>
    </row>
    <row r="954" spans="1:10" x14ac:dyDescent="0.35">
      <c r="A954">
        <v>938</v>
      </c>
      <c r="B954" s="75">
        <v>89.357799999999997</v>
      </c>
      <c r="C954" s="75">
        <v>98.979500000000002</v>
      </c>
      <c r="D954" s="75">
        <v>93.428899999999999</v>
      </c>
      <c r="E954" s="75">
        <v>91.793400000000005</v>
      </c>
      <c r="F954">
        <v>646.14</v>
      </c>
      <c r="G954">
        <v>-1154.3999999999999</v>
      </c>
      <c r="H954">
        <v>-1225.5999999999999</v>
      </c>
      <c r="I954">
        <v>1587.2</v>
      </c>
      <c r="J954">
        <v>-146.65999999999963</v>
      </c>
    </row>
    <row r="955" spans="1:10" x14ac:dyDescent="0.35">
      <c r="A955">
        <v>939</v>
      </c>
      <c r="B955" s="75">
        <v>89.79</v>
      </c>
      <c r="C955" s="75">
        <v>97.14</v>
      </c>
      <c r="D955" s="75">
        <v>94.47</v>
      </c>
      <c r="E955" s="75">
        <v>94.78</v>
      </c>
      <c r="F955">
        <v>-795.63</v>
      </c>
      <c r="G955">
        <v>1605.75</v>
      </c>
      <c r="H955">
        <v>-3302.2</v>
      </c>
      <c r="I955">
        <v>-1395.6</v>
      </c>
      <c r="J955">
        <v>-3887.68</v>
      </c>
    </row>
    <row r="956" spans="1:10" x14ac:dyDescent="0.35">
      <c r="A956">
        <v>940</v>
      </c>
      <c r="B956" s="75">
        <v>90.127300000000005</v>
      </c>
      <c r="C956" s="75">
        <v>98.346400000000003</v>
      </c>
      <c r="D956" s="75">
        <v>93.350800000000007</v>
      </c>
      <c r="E956" s="75">
        <v>94.619299999999996</v>
      </c>
      <c r="F956">
        <v>-1893.21</v>
      </c>
      <c r="G956">
        <v>-204.75000000000003</v>
      </c>
      <c r="H956">
        <v>-1069.3999999999999</v>
      </c>
      <c r="I956">
        <v>-1238.6999999999998</v>
      </c>
      <c r="J956">
        <v>-4406.0599999999995</v>
      </c>
    </row>
    <row r="957" spans="1:10" x14ac:dyDescent="0.35">
      <c r="A957">
        <v>941</v>
      </c>
      <c r="B957" s="75">
        <v>89.49</v>
      </c>
      <c r="C957" s="75">
        <v>97.16</v>
      </c>
      <c r="D957" s="75">
        <v>92.19</v>
      </c>
      <c r="E957" s="75">
        <v>92.54</v>
      </c>
      <c r="F957">
        <v>221.76</v>
      </c>
      <c r="G957">
        <v>1579.8</v>
      </c>
      <c r="H957">
        <v>1250.2</v>
      </c>
      <c r="I957">
        <v>845.19999999999993</v>
      </c>
      <c r="J957">
        <v>3896.96</v>
      </c>
    </row>
    <row r="958" spans="1:10" x14ac:dyDescent="0.35">
      <c r="A958">
        <v>942</v>
      </c>
      <c r="B958" s="75">
        <v>89.940200000000004</v>
      </c>
      <c r="C958" s="75">
        <v>98.724999999999994</v>
      </c>
      <c r="D958" s="75">
        <v>93.055199999999999</v>
      </c>
      <c r="E958" s="75">
        <v>92.639799999999994</v>
      </c>
      <c r="F958">
        <v>-1275.78</v>
      </c>
      <c r="G958">
        <v>-772.65</v>
      </c>
      <c r="H958">
        <v>-478.2</v>
      </c>
      <c r="I958">
        <v>740.80000000000007</v>
      </c>
      <c r="J958">
        <v>-1785.8299999999995</v>
      </c>
    </row>
    <row r="959" spans="1:10" x14ac:dyDescent="0.35">
      <c r="A959">
        <v>943</v>
      </c>
      <c r="B959" s="75">
        <v>90.67</v>
      </c>
      <c r="C959" s="75">
        <v>96.82</v>
      </c>
      <c r="D959" s="75">
        <v>92.98</v>
      </c>
      <c r="E959" s="75">
        <v>94.25</v>
      </c>
      <c r="F959">
        <v>-3684.78</v>
      </c>
      <c r="G959">
        <v>2087.5499999999997</v>
      </c>
      <c r="H959">
        <v>-326</v>
      </c>
      <c r="I959">
        <v>-865.9</v>
      </c>
      <c r="J959">
        <v>-2789.1300000000006</v>
      </c>
    </row>
    <row r="960" spans="1:10" x14ac:dyDescent="0.35">
      <c r="A960">
        <v>944</v>
      </c>
      <c r="B960" s="75">
        <v>89.768500000000003</v>
      </c>
      <c r="C960" s="75">
        <v>97.789500000000004</v>
      </c>
      <c r="D960" s="75">
        <v>92.397499999999994</v>
      </c>
      <c r="E960" s="75">
        <v>93.513900000000007</v>
      </c>
      <c r="F960">
        <v>-709.17000000000007</v>
      </c>
      <c r="G960">
        <v>630.6</v>
      </c>
      <c r="H960">
        <v>837.2</v>
      </c>
      <c r="I960">
        <v>-133.30000000000001</v>
      </c>
      <c r="J960">
        <v>625.32999999999993</v>
      </c>
    </row>
    <row r="961" spans="1:10" x14ac:dyDescent="0.35">
      <c r="A961">
        <v>945</v>
      </c>
      <c r="B961" s="75">
        <v>89.73</v>
      </c>
      <c r="C961" s="75">
        <v>98.57</v>
      </c>
      <c r="D961" s="75">
        <v>92.48</v>
      </c>
      <c r="E961" s="75">
        <v>93.67</v>
      </c>
      <c r="F961">
        <v>-570.57000000000005</v>
      </c>
      <c r="G961">
        <v>-532.80000000000007</v>
      </c>
      <c r="H961">
        <v>674.4</v>
      </c>
      <c r="I961">
        <v>-290</v>
      </c>
      <c r="J961">
        <v>-718.97000000000014</v>
      </c>
    </row>
    <row r="962" spans="1:10" x14ac:dyDescent="0.35">
      <c r="A962">
        <v>946</v>
      </c>
      <c r="B962" s="75">
        <v>89.7346</v>
      </c>
      <c r="C962" s="75">
        <v>99.787800000000004</v>
      </c>
      <c r="D962" s="75">
        <v>90.984499999999997</v>
      </c>
      <c r="E962" s="75">
        <v>95.271199999999993</v>
      </c>
      <c r="F962">
        <v>-597.29999999999995</v>
      </c>
      <c r="G962">
        <v>-2366.85</v>
      </c>
      <c r="H962">
        <v>3663.2</v>
      </c>
      <c r="I962">
        <v>-1890.6000000000001</v>
      </c>
      <c r="J962">
        <v>-1191.55</v>
      </c>
    </row>
    <row r="963" spans="1:10" x14ac:dyDescent="0.35">
      <c r="A963">
        <v>947</v>
      </c>
      <c r="B963" s="75">
        <v>89.49</v>
      </c>
      <c r="C963" s="75">
        <v>97.37</v>
      </c>
      <c r="D963" s="75">
        <v>91.46</v>
      </c>
      <c r="E963" s="75">
        <v>94.63</v>
      </c>
      <c r="F963">
        <v>211.53</v>
      </c>
      <c r="G963">
        <v>1266</v>
      </c>
      <c r="H963">
        <v>2717.8</v>
      </c>
      <c r="I963">
        <v>-1245.3000000000002</v>
      </c>
      <c r="J963">
        <v>2950.0299999999997</v>
      </c>
    </row>
    <row r="964" spans="1:10" x14ac:dyDescent="0.35">
      <c r="A964">
        <v>948</v>
      </c>
      <c r="B964" s="75">
        <v>89.576599999999999</v>
      </c>
      <c r="C964" s="75">
        <v>97.527699999999996</v>
      </c>
      <c r="D964" s="75">
        <v>90.918800000000005</v>
      </c>
      <c r="E964" s="75">
        <v>94.316599999999994</v>
      </c>
      <c r="F964">
        <v>-75.900000000000006</v>
      </c>
      <c r="G964">
        <v>1023.3000000000001</v>
      </c>
      <c r="H964">
        <v>3794.6</v>
      </c>
      <c r="I964">
        <v>-936</v>
      </c>
      <c r="J964">
        <v>3806</v>
      </c>
    </row>
    <row r="965" spans="1:10" x14ac:dyDescent="0.35">
      <c r="A965">
        <v>949</v>
      </c>
      <c r="B965" s="75">
        <v>89.44</v>
      </c>
      <c r="C965" s="75">
        <v>99.49</v>
      </c>
      <c r="D965" s="75">
        <v>92.15</v>
      </c>
      <c r="E965" s="75">
        <v>95.93</v>
      </c>
      <c r="F965">
        <v>373.89</v>
      </c>
      <c r="G965">
        <v>-1926.45</v>
      </c>
      <c r="H965">
        <v>1332.8</v>
      </c>
      <c r="I965">
        <v>-2548.1999999999998</v>
      </c>
      <c r="J965">
        <v>-2767.96</v>
      </c>
    </row>
    <row r="966" spans="1:10" x14ac:dyDescent="0.35">
      <c r="A966">
        <v>950</v>
      </c>
      <c r="B966" s="75">
        <v>88.804699999999997</v>
      </c>
      <c r="C966" s="75">
        <v>98.113200000000006</v>
      </c>
      <c r="D966" s="75">
        <v>93.524500000000003</v>
      </c>
      <c r="E966" s="75">
        <v>93.632999999999996</v>
      </c>
      <c r="F966">
        <v>2471.37</v>
      </c>
      <c r="G966">
        <v>145.04999999999998</v>
      </c>
      <c r="H966">
        <v>-1416.8</v>
      </c>
      <c r="I966">
        <v>-252.4</v>
      </c>
      <c r="J966">
        <v>947.22000000000014</v>
      </c>
    </row>
    <row r="967" spans="1:10" x14ac:dyDescent="0.35">
      <c r="A967">
        <v>951</v>
      </c>
      <c r="B967" s="75">
        <v>89.26</v>
      </c>
      <c r="C967" s="75">
        <v>97.51</v>
      </c>
      <c r="D967" s="75">
        <v>90.77</v>
      </c>
      <c r="E967" s="75">
        <v>92.86</v>
      </c>
      <c r="F967">
        <v>971.19</v>
      </c>
      <c r="G967">
        <v>1054.05</v>
      </c>
      <c r="H967">
        <v>4087.7999999999997</v>
      </c>
      <c r="I967">
        <v>517</v>
      </c>
      <c r="J967">
        <v>6630.04</v>
      </c>
    </row>
    <row r="968" spans="1:10" x14ac:dyDescent="0.35">
      <c r="A968">
        <v>952</v>
      </c>
      <c r="B968" s="75">
        <v>89.036699999999996</v>
      </c>
      <c r="C968" s="75">
        <v>98.003900000000002</v>
      </c>
      <c r="D968" s="75">
        <v>92.733500000000006</v>
      </c>
      <c r="E968" s="75">
        <v>96.478800000000007</v>
      </c>
      <c r="F968">
        <v>1705.77</v>
      </c>
      <c r="G968">
        <v>309</v>
      </c>
      <c r="H968">
        <v>165.20000000000002</v>
      </c>
      <c r="I968">
        <v>-3098.2</v>
      </c>
      <c r="J968">
        <v>-918.23</v>
      </c>
    </row>
    <row r="969" spans="1:10" x14ac:dyDescent="0.35">
      <c r="A969">
        <v>953</v>
      </c>
      <c r="B969" s="75">
        <v>89.03</v>
      </c>
      <c r="C969" s="75">
        <v>97.93</v>
      </c>
      <c r="D969" s="75">
        <v>94.4</v>
      </c>
      <c r="E969" s="75">
        <v>93.47</v>
      </c>
      <c r="F969">
        <v>1713.03</v>
      </c>
      <c r="G969">
        <v>420.59999999999997</v>
      </c>
      <c r="H969">
        <v>-3167.6000000000004</v>
      </c>
      <c r="I969">
        <v>-85.9</v>
      </c>
      <c r="J969">
        <v>-1119.8700000000003</v>
      </c>
    </row>
    <row r="970" spans="1:10" x14ac:dyDescent="0.35">
      <c r="A970">
        <v>954</v>
      </c>
      <c r="B970" s="75">
        <v>89.8065</v>
      </c>
      <c r="C970" s="75">
        <v>98.803600000000003</v>
      </c>
      <c r="D970" s="75">
        <v>91.517700000000005</v>
      </c>
      <c r="E970" s="75">
        <v>92.892399999999995</v>
      </c>
      <c r="F970">
        <v>-834.57</v>
      </c>
      <c r="G970">
        <v>-890.55</v>
      </c>
      <c r="H970">
        <v>2596.8000000000002</v>
      </c>
      <c r="I970">
        <v>488.20000000000005</v>
      </c>
      <c r="J970">
        <v>1359.8800000000003</v>
      </c>
    </row>
    <row r="971" spans="1:10" x14ac:dyDescent="0.35">
      <c r="A971">
        <v>955</v>
      </c>
      <c r="B971" s="75">
        <v>88.98</v>
      </c>
      <c r="C971" s="75">
        <v>96.78</v>
      </c>
      <c r="D971" s="75">
        <v>93.11</v>
      </c>
      <c r="E971" s="75">
        <v>91.64</v>
      </c>
      <c r="F971">
        <v>1884.3</v>
      </c>
      <c r="G971">
        <v>2143.65</v>
      </c>
      <c r="H971">
        <v>-594.6</v>
      </c>
      <c r="I971">
        <v>1735.9</v>
      </c>
      <c r="J971">
        <v>5169.25</v>
      </c>
    </row>
    <row r="972" spans="1:10" x14ac:dyDescent="0.35">
      <c r="A972">
        <v>956</v>
      </c>
      <c r="B972" s="75">
        <v>89.8262</v>
      </c>
      <c r="C972" s="75">
        <v>97.453100000000006</v>
      </c>
      <c r="D972" s="75">
        <v>92.393299999999996</v>
      </c>
      <c r="E972" s="75">
        <v>96.712400000000002</v>
      </c>
      <c r="F972">
        <v>-899.58</v>
      </c>
      <c r="G972">
        <v>1135.2</v>
      </c>
      <c r="H972">
        <v>845.6</v>
      </c>
      <c r="I972">
        <v>-3331.7999999999997</v>
      </c>
      <c r="J972">
        <v>-2250.58</v>
      </c>
    </row>
    <row r="973" spans="1:10" x14ac:dyDescent="0.35">
      <c r="A973">
        <v>957</v>
      </c>
      <c r="B973" s="75">
        <v>90.52</v>
      </c>
      <c r="C973" s="75">
        <v>97.91</v>
      </c>
      <c r="D973" s="75">
        <v>93.38</v>
      </c>
      <c r="E973" s="75">
        <v>94.47</v>
      </c>
      <c r="F973">
        <v>-3178.56</v>
      </c>
      <c r="G973">
        <v>448.5</v>
      </c>
      <c r="H973">
        <v>-1134</v>
      </c>
      <c r="I973">
        <v>-1092.5999999999999</v>
      </c>
      <c r="J973">
        <v>-4956.66</v>
      </c>
    </row>
    <row r="974" spans="1:10" x14ac:dyDescent="0.35">
      <c r="A974">
        <v>958</v>
      </c>
      <c r="B974" s="75">
        <v>89.137600000000006</v>
      </c>
      <c r="C974" s="75">
        <v>97.096400000000003</v>
      </c>
      <c r="D974" s="75">
        <v>92.751599999999996</v>
      </c>
      <c r="E974" s="75">
        <v>94.355500000000006</v>
      </c>
      <c r="F974">
        <v>1372.8</v>
      </c>
      <c r="G974">
        <v>1670.25</v>
      </c>
      <c r="H974">
        <v>129</v>
      </c>
      <c r="I974">
        <v>-974.9</v>
      </c>
      <c r="J974">
        <v>2197.15</v>
      </c>
    </row>
    <row r="975" spans="1:10" x14ac:dyDescent="0.35">
      <c r="A975">
        <v>959</v>
      </c>
      <c r="B975" s="75">
        <v>90.17</v>
      </c>
      <c r="C975" s="75">
        <v>98.91</v>
      </c>
      <c r="D975" s="75">
        <v>94.65</v>
      </c>
      <c r="E975" s="75">
        <v>92.54</v>
      </c>
      <c r="F975">
        <v>-2040.06</v>
      </c>
      <c r="G975">
        <v>-1047.3</v>
      </c>
      <c r="H975">
        <v>-3666</v>
      </c>
      <c r="I975">
        <v>842.30000000000007</v>
      </c>
      <c r="J975">
        <v>-5911.0599999999995</v>
      </c>
    </row>
    <row r="976" spans="1:10" x14ac:dyDescent="0.35">
      <c r="A976">
        <v>960</v>
      </c>
      <c r="B976" s="75">
        <v>90.432599999999994</v>
      </c>
      <c r="C976" s="75">
        <v>98.113</v>
      </c>
      <c r="D976" s="75">
        <v>91.621499999999997</v>
      </c>
      <c r="E976" s="75">
        <v>91.826499999999996</v>
      </c>
      <c r="F976">
        <v>-2900.7</v>
      </c>
      <c r="G976">
        <v>145.35</v>
      </c>
      <c r="H976">
        <v>2389.2000000000003</v>
      </c>
      <c r="I976">
        <v>1554.1000000000001</v>
      </c>
      <c r="J976">
        <v>1187.9500000000005</v>
      </c>
    </row>
    <row r="977" spans="1:10" x14ac:dyDescent="0.35">
      <c r="A977">
        <v>961</v>
      </c>
      <c r="B977" s="75">
        <v>89.32</v>
      </c>
      <c r="C977" s="75">
        <v>98.45</v>
      </c>
      <c r="D977" s="75">
        <v>94.08</v>
      </c>
      <c r="E977" s="75">
        <v>92.47</v>
      </c>
      <c r="F977">
        <v>780.12</v>
      </c>
      <c r="G977">
        <v>-357.3</v>
      </c>
      <c r="H977">
        <v>-2535.8000000000002</v>
      </c>
      <c r="I977">
        <v>909</v>
      </c>
      <c r="J977">
        <v>-1203.98</v>
      </c>
    </row>
    <row r="978" spans="1:10" x14ac:dyDescent="0.35">
      <c r="A978">
        <v>962</v>
      </c>
      <c r="B978" s="75">
        <v>89.682500000000005</v>
      </c>
      <c r="C978" s="75">
        <v>98.524199999999993</v>
      </c>
      <c r="D978" s="75">
        <v>93.431700000000006</v>
      </c>
      <c r="E978" s="75">
        <v>93.67</v>
      </c>
      <c r="F978">
        <v>-425.36999999999995</v>
      </c>
      <c r="G978">
        <v>-471.45000000000005</v>
      </c>
      <c r="H978">
        <v>-1231.2</v>
      </c>
      <c r="I978">
        <v>-289.39999999999998</v>
      </c>
      <c r="J978">
        <v>-2417.42</v>
      </c>
    </row>
    <row r="979" spans="1:10" x14ac:dyDescent="0.35">
      <c r="A979">
        <v>963</v>
      </c>
      <c r="B979" s="75">
        <v>89.9</v>
      </c>
      <c r="C979" s="75">
        <v>99.57</v>
      </c>
      <c r="D979" s="75">
        <v>91.87</v>
      </c>
      <c r="E979" s="75">
        <v>92</v>
      </c>
      <c r="F979">
        <v>-1137.8399999999999</v>
      </c>
      <c r="G979">
        <v>-2040.0000000000002</v>
      </c>
      <c r="H979">
        <v>1898.2</v>
      </c>
      <c r="I979">
        <v>1380.7</v>
      </c>
      <c r="J979">
        <v>101.05999999999995</v>
      </c>
    </row>
    <row r="980" spans="1:10" x14ac:dyDescent="0.35">
      <c r="A980">
        <v>964</v>
      </c>
      <c r="B980" s="75">
        <v>89.3827</v>
      </c>
      <c r="C980" s="75">
        <v>98.827699999999993</v>
      </c>
      <c r="D980" s="75">
        <v>93.323800000000006</v>
      </c>
      <c r="E980" s="75">
        <v>94.964200000000005</v>
      </c>
      <c r="F980">
        <v>563.97</v>
      </c>
      <c r="G980">
        <v>-926.7</v>
      </c>
      <c r="H980">
        <v>-1015.4000000000001</v>
      </c>
      <c r="I980">
        <v>-1583.6</v>
      </c>
      <c r="J980">
        <v>-2961.73</v>
      </c>
    </row>
    <row r="981" spans="1:10" x14ac:dyDescent="0.35">
      <c r="A981">
        <v>965</v>
      </c>
      <c r="B981" s="75">
        <v>89.4</v>
      </c>
      <c r="C981" s="75">
        <v>97.96</v>
      </c>
      <c r="D981" s="75">
        <v>94.36</v>
      </c>
      <c r="E981" s="75">
        <v>94.64</v>
      </c>
      <c r="F981">
        <v>509.85</v>
      </c>
      <c r="G981">
        <v>370.8</v>
      </c>
      <c r="H981">
        <v>-3078.6</v>
      </c>
      <c r="I981">
        <v>-1263.0999999999999</v>
      </c>
      <c r="J981">
        <v>-3461.0499999999997</v>
      </c>
    </row>
    <row r="982" spans="1:10" x14ac:dyDescent="0.35">
      <c r="A982">
        <v>966</v>
      </c>
      <c r="B982" s="75">
        <v>89.497299999999996</v>
      </c>
      <c r="C982" s="75">
        <v>98.0809</v>
      </c>
      <c r="D982" s="75">
        <v>92.908199999999994</v>
      </c>
      <c r="E982" s="75">
        <v>93.914900000000003</v>
      </c>
      <c r="F982">
        <v>185.79000000000002</v>
      </c>
      <c r="G982">
        <v>193.5</v>
      </c>
      <c r="H982">
        <v>-184.2</v>
      </c>
      <c r="I982">
        <v>-534.29999999999995</v>
      </c>
      <c r="J982">
        <v>-339.20999999999992</v>
      </c>
    </row>
    <row r="983" spans="1:10" x14ac:dyDescent="0.35">
      <c r="A983">
        <v>967</v>
      </c>
      <c r="B983" s="75">
        <v>89.3</v>
      </c>
      <c r="C983" s="75">
        <v>96.69</v>
      </c>
      <c r="D983" s="75">
        <v>92.9</v>
      </c>
      <c r="E983" s="75">
        <v>90.09</v>
      </c>
      <c r="F983">
        <v>821.37</v>
      </c>
      <c r="G983">
        <v>2287.0499999999997</v>
      </c>
      <c r="H983">
        <v>-167.8</v>
      </c>
      <c r="I983">
        <v>3294.4</v>
      </c>
      <c r="J983">
        <v>6235.0199999999995</v>
      </c>
    </row>
    <row r="984" spans="1:10" x14ac:dyDescent="0.35">
      <c r="A984">
        <v>968</v>
      </c>
      <c r="B984" s="75">
        <v>89.896600000000007</v>
      </c>
      <c r="C984" s="75">
        <v>97.008300000000006</v>
      </c>
      <c r="D984" s="75">
        <v>93.297899999999998</v>
      </c>
      <c r="E984" s="75">
        <v>95.259200000000007</v>
      </c>
      <c r="F984">
        <v>-1131.9000000000001</v>
      </c>
      <c r="G984">
        <v>1802.4</v>
      </c>
      <c r="H984">
        <v>-963.6</v>
      </c>
      <c r="I984">
        <v>-1878.6000000000001</v>
      </c>
      <c r="J984">
        <v>-2171.7000000000003</v>
      </c>
    </row>
    <row r="985" spans="1:10" x14ac:dyDescent="0.35">
      <c r="A985">
        <v>969</v>
      </c>
      <c r="B985" s="75">
        <v>89.88</v>
      </c>
      <c r="C985" s="75">
        <v>98.79</v>
      </c>
      <c r="D985" s="75">
        <v>93.16</v>
      </c>
      <c r="E985" s="75">
        <v>92.96</v>
      </c>
      <c r="F985">
        <v>-1087.68</v>
      </c>
      <c r="G985">
        <v>-873.30000000000007</v>
      </c>
      <c r="H985">
        <v>-681.4</v>
      </c>
      <c r="I985">
        <v>422.5</v>
      </c>
      <c r="J985">
        <v>-2219.88</v>
      </c>
    </row>
    <row r="986" spans="1:10" x14ac:dyDescent="0.35">
      <c r="A986">
        <v>970</v>
      </c>
      <c r="B986" s="75">
        <v>89.655799999999999</v>
      </c>
      <c r="C986" s="75">
        <v>98.732299999999995</v>
      </c>
      <c r="D986" s="75">
        <v>92.106800000000007</v>
      </c>
      <c r="E986" s="75">
        <v>93.598299999999995</v>
      </c>
      <c r="F986">
        <v>-337.26</v>
      </c>
      <c r="G986">
        <v>-783.59999999999991</v>
      </c>
      <c r="H986">
        <v>1418.6000000000001</v>
      </c>
      <c r="I986">
        <v>-217.70000000000002</v>
      </c>
      <c r="J986">
        <v>80.040000000000219</v>
      </c>
    </row>
    <row r="987" spans="1:10" x14ac:dyDescent="0.35">
      <c r="A987">
        <v>971</v>
      </c>
      <c r="B987" s="75">
        <v>89.74</v>
      </c>
      <c r="C987" s="75">
        <v>98.44</v>
      </c>
      <c r="D987" s="75">
        <v>92.13</v>
      </c>
      <c r="E987" s="75">
        <v>93.45</v>
      </c>
      <c r="F987">
        <v>-611.82000000000005</v>
      </c>
      <c r="G987">
        <v>-349.65</v>
      </c>
      <c r="H987">
        <v>1370.6000000000001</v>
      </c>
      <c r="I987">
        <v>-70.7</v>
      </c>
      <c r="J987">
        <v>338.43000000000012</v>
      </c>
    </row>
    <row r="988" spans="1:10" x14ac:dyDescent="0.35">
      <c r="A988">
        <v>972</v>
      </c>
      <c r="B988" s="75">
        <v>89.309399999999997</v>
      </c>
      <c r="C988" s="75">
        <v>98.650899999999993</v>
      </c>
      <c r="D988" s="75">
        <v>95.122</v>
      </c>
      <c r="E988" s="75">
        <v>94.225399999999993</v>
      </c>
      <c r="F988">
        <v>805.86</v>
      </c>
      <c r="G988">
        <v>-661.5</v>
      </c>
      <c r="H988">
        <v>-4611.7999999999993</v>
      </c>
      <c r="I988">
        <v>-844.8</v>
      </c>
      <c r="J988">
        <v>-5312.24</v>
      </c>
    </row>
    <row r="989" spans="1:10" x14ac:dyDescent="0.35">
      <c r="A989">
        <v>973</v>
      </c>
      <c r="B989" s="75">
        <v>90.12</v>
      </c>
      <c r="C989" s="75">
        <v>97.66</v>
      </c>
      <c r="D989" s="75">
        <v>94.43</v>
      </c>
      <c r="E989" s="75">
        <v>94.37</v>
      </c>
      <c r="F989">
        <v>-1884.96</v>
      </c>
      <c r="G989">
        <v>829.95</v>
      </c>
      <c r="H989">
        <v>-3232.6000000000004</v>
      </c>
      <c r="I989">
        <v>-984.8</v>
      </c>
      <c r="J989">
        <v>-5272.4100000000008</v>
      </c>
    </row>
    <row r="990" spans="1:10" x14ac:dyDescent="0.35">
      <c r="A990">
        <v>974</v>
      </c>
      <c r="B990" s="75">
        <v>89.144300000000001</v>
      </c>
      <c r="C990" s="75">
        <v>96.650199999999998</v>
      </c>
      <c r="D990" s="75">
        <v>91.667100000000005</v>
      </c>
      <c r="E990" s="75">
        <v>93.820899999999995</v>
      </c>
      <c r="F990">
        <v>1350.69</v>
      </c>
      <c r="G990">
        <v>2339.5500000000002</v>
      </c>
      <c r="H990">
        <v>2298</v>
      </c>
      <c r="I990">
        <v>-440.3</v>
      </c>
      <c r="J990">
        <v>5547.94</v>
      </c>
    </row>
    <row r="991" spans="1:10" x14ac:dyDescent="0.35">
      <c r="A991">
        <v>975</v>
      </c>
      <c r="B991" s="75">
        <v>89.53</v>
      </c>
      <c r="C991" s="75">
        <v>98.61</v>
      </c>
      <c r="D991" s="75">
        <v>93.42</v>
      </c>
      <c r="E991" s="75">
        <v>91.92</v>
      </c>
      <c r="F991">
        <v>74.910000000000011</v>
      </c>
      <c r="G991">
        <v>-593.4</v>
      </c>
      <c r="H991">
        <v>-1216.3999999999999</v>
      </c>
      <c r="I991">
        <v>1463.3</v>
      </c>
      <c r="J991">
        <v>-271.58999999999992</v>
      </c>
    </row>
    <row r="992" spans="1:10" x14ac:dyDescent="0.35">
      <c r="A992">
        <v>976</v>
      </c>
      <c r="B992" s="75">
        <v>89.642300000000006</v>
      </c>
      <c r="C992" s="75">
        <v>98.307599999999994</v>
      </c>
      <c r="D992" s="75">
        <v>92.911000000000001</v>
      </c>
      <c r="E992" s="75">
        <v>93.71</v>
      </c>
      <c r="F992">
        <v>-292.70999999999998</v>
      </c>
      <c r="G992">
        <v>-146.54999999999998</v>
      </c>
      <c r="H992">
        <v>-189.79999999999998</v>
      </c>
      <c r="I992">
        <v>-329.40000000000003</v>
      </c>
      <c r="J992">
        <v>-958.46</v>
      </c>
    </row>
    <row r="993" spans="1:10" x14ac:dyDescent="0.35">
      <c r="A993">
        <v>977</v>
      </c>
      <c r="B993" s="75">
        <v>89.91</v>
      </c>
      <c r="C993" s="75">
        <v>100.46</v>
      </c>
      <c r="D993" s="75">
        <v>90.46</v>
      </c>
      <c r="E993" s="75">
        <v>96.19</v>
      </c>
      <c r="F993">
        <v>-1168.53</v>
      </c>
      <c r="G993">
        <v>-3376.3500000000004</v>
      </c>
      <c r="H993">
        <v>4722</v>
      </c>
      <c r="I993">
        <v>-2814.2</v>
      </c>
      <c r="J993">
        <v>-2637.08</v>
      </c>
    </row>
    <row r="994" spans="1:10" x14ac:dyDescent="0.35">
      <c r="A994">
        <v>978</v>
      </c>
      <c r="B994" s="75">
        <v>89.366</v>
      </c>
      <c r="C994" s="75">
        <v>98.462800000000001</v>
      </c>
      <c r="D994" s="75">
        <v>93.494100000000003</v>
      </c>
      <c r="E994" s="75">
        <v>97.596500000000006</v>
      </c>
      <c r="F994">
        <v>619.07999999999993</v>
      </c>
      <c r="G994">
        <v>-379.35</v>
      </c>
      <c r="H994">
        <v>-1356</v>
      </c>
      <c r="I994">
        <v>-4215.9000000000005</v>
      </c>
      <c r="J994">
        <v>-5332.17</v>
      </c>
    </row>
    <row r="995" spans="1:10" x14ac:dyDescent="0.35">
      <c r="A995">
        <v>979</v>
      </c>
      <c r="B995" s="75">
        <v>89.51</v>
      </c>
      <c r="C995" s="75">
        <v>99.96</v>
      </c>
      <c r="D995" s="75">
        <v>92.65</v>
      </c>
      <c r="E995" s="75">
        <v>94.87</v>
      </c>
      <c r="F995">
        <v>159.39000000000001</v>
      </c>
      <c r="G995">
        <v>-2624.25</v>
      </c>
      <c r="H995">
        <v>338.2</v>
      </c>
      <c r="I995">
        <v>-1491.5</v>
      </c>
      <c r="J995">
        <v>-3618.1600000000003</v>
      </c>
    </row>
    <row r="996" spans="1:10" x14ac:dyDescent="0.35">
      <c r="A996">
        <v>980</v>
      </c>
      <c r="B996" s="75">
        <v>89.548699999999997</v>
      </c>
      <c r="C996" s="75">
        <v>98.285399999999996</v>
      </c>
      <c r="D996" s="75">
        <v>92.173599999999993</v>
      </c>
      <c r="E996" s="75">
        <v>92.8172</v>
      </c>
      <c r="F996">
        <v>16.169999999999998</v>
      </c>
      <c r="G996">
        <v>-113.25</v>
      </c>
      <c r="H996">
        <v>1285</v>
      </c>
      <c r="I996">
        <v>563.4</v>
      </c>
      <c r="J996">
        <v>1751.3200000000002</v>
      </c>
    </row>
    <row r="997" spans="1:10" x14ac:dyDescent="0.35">
      <c r="A997">
        <v>981</v>
      </c>
      <c r="B997" s="75">
        <v>89.64</v>
      </c>
      <c r="C997" s="75">
        <v>97.54</v>
      </c>
      <c r="D997" s="75">
        <v>93.1</v>
      </c>
      <c r="E997" s="75">
        <v>94.93</v>
      </c>
      <c r="F997">
        <v>-293.7</v>
      </c>
      <c r="G997">
        <v>1000.95</v>
      </c>
      <c r="H997">
        <v>-573.6</v>
      </c>
      <c r="I997">
        <v>-1545.8</v>
      </c>
      <c r="J997">
        <v>-1412.15</v>
      </c>
    </row>
    <row r="998" spans="1:10" x14ac:dyDescent="0.35">
      <c r="A998">
        <v>982</v>
      </c>
      <c r="B998" s="75">
        <v>89.701899999999995</v>
      </c>
      <c r="C998" s="75">
        <v>97.193700000000007</v>
      </c>
      <c r="D998" s="75">
        <v>93.044700000000006</v>
      </c>
      <c r="E998" s="75">
        <v>92.564899999999994</v>
      </c>
      <c r="F998">
        <v>-489.39</v>
      </c>
      <c r="G998">
        <v>1524.3</v>
      </c>
      <c r="H998">
        <v>-457.2</v>
      </c>
      <c r="I998">
        <v>815.69999999999993</v>
      </c>
      <c r="J998">
        <v>1393.4099999999999</v>
      </c>
    </row>
    <row r="999" spans="1:10" x14ac:dyDescent="0.35">
      <c r="A999">
        <v>983</v>
      </c>
      <c r="B999" s="75">
        <v>90.17</v>
      </c>
      <c r="C999" s="75">
        <v>98.61</v>
      </c>
      <c r="D999" s="75">
        <v>90.95</v>
      </c>
      <c r="E999" s="75">
        <v>95.68</v>
      </c>
      <c r="F999">
        <v>-2033.4599999999998</v>
      </c>
      <c r="G999">
        <v>-595.19999999999993</v>
      </c>
      <c r="H999">
        <v>3736.2000000000003</v>
      </c>
      <c r="I999">
        <v>-2303.1000000000004</v>
      </c>
      <c r="J999">
        <v>-1195.56</v>
      </c>
    </row>
    <row r="1000" spans="1:10" x14ac:dyDescent="0.35">
      <c r="A1000">
        <v>984</v>
      </c>
      <c r="B1000" s="75">
        <v>89.6083</v>
      </c>
      <c r="C1000" s="75">
        <v>98.114800000000002</v>
      </c>
      <c r="D1000" s="75">
        <v>94.269400000000005</v>
      </c>
      <c r="E1000" s="75">
        <v>92.886600000000001</v>
      </c>
      <c r="F1000">
        <v>-180.51</v>
      </c>
      <c r="G1000">
        <v>142.65</v>
      </c>
      <c r="H1000">
        <v>-2906.6</v>
      </c>
      <c r="I1000">
        <v>494</v>
      </c>
      <c r="J1000">
        <v>-2450.46</v>
      </c>
    </row>
    <row r="1001" spans="1:10" x14ac:dyDescent="0.35">
      <c r="A1001">
        <v>985</v>
      </c>
      <c r="B1001" s="75">
        <v>89.95</v>
      </c>
      <c r="C1001" s="75">
        <v>96.69</v>
      </c>
      <c r="D1001" s="75">
        <v>92.61</v>
      </c>
      <c r="E1001" s="75">
        <v>95.84</v>
      </c>
      <c r="F1001">
        <v>-1305.48</v>
      </c>
      <c r="G1001">
        <v>2281.6499999999996</v>
      </c>
      <c r="H1001">
        <v>407.6</v>
      </c>
      <c r="I1001">
        <v>-2463.6999999999998</v>
      </c>
      <c r="J1001">
        <v>-1079.9300000000003</v>
      </c>
    </row>
    <row r="1002" spans="1:10" x14ac:dyDescent="0.35">
      <c r="A1002">
        <v>986</v>
      </c>
      <c r="B1002" s="75">
        <v>89.805199999999999</v>
      </c>
      <c r="C1002" s="75">
        <v>98.647900000000007</v>
      </c>
      <c r="D1002" s="75">
        <v>91.356999999999999</v>
      </c>
      <c r="E1002" s="75">
        <v>90.632499999999993</v>
      </c>
      <c r="F1002">
        <v>-830.28</v>
      </c>
      <c r="G1002">
        <v>-657</v>
      </c>
      <c r="H1002">
        <v>2918.2000000000003</v>
      </c>
      <c r="I1002">
        <v>2748.1</v>
      </c>
      <c r="J1002">
        <v>4179.0200000000004</v>
      </c>
    </row>
    <row r="1003" spans="1:10" x14ac:dyDescent="0.35">
      <c r="A1003">
        <v>987</v>
      </c>
      <c r="B1003" s="75">
        <v>89.12</v>
      </c>
      <c r="C1003" s="75">
        <v>98.94</v>
      </c>
      <c r="D1003" s="75">
        <v>94.26</v>
      </c>
      <c r="E1003" s="75">
        <v>95.07</v>
      </c>
      <c r="F1003">
        <v>1444.08</v>
      </c>
      <c r="G1003">
        <v>-1091.55</v>
      </c>
      <c r="H1003">
        <v>-2885.8</v>
      </c>
      <c r="I1003">
        <v>-1692.9</v>
      </c>
      <c r="J1003">
        <v>-4226.17</v>
      </c>
    </row>
    <row r="1004" spans="1:10" x14ac:dyDescent="0.35">
      <c r="A1004">
        <v>988</v>
      </c>
      <c r="B1004" s="75">
        <v>89.677999999999997</v>
      </c>
      <c r="C1004" s="75">
        <v>98.4786</v>
      </c>
      <c r="D1004" s="75">
        <v>91.1541</v>
      </c>
      <c r="E1004" s="75">
        <v>91.6631</v>
      </c>
      <c r="F1004">
        <v>-410.52</v>
      </c>
      <c r="G1004">
        <v>-403.05</v>
      </c>
      <c r="H1004">
        <v>3324</v>
      </c>
      <c r="I1004">
        <v>1717.5</v>
      </c>
      <c r="J1004">
        <v>4227.93</v>
      </c>
    </row>
    <row r="1005" spans="1:10" x14ac:dyDescent="0.35">
      <c r="A1005">
        <v>989</v>
      </c>
      <c r="B1005" s="75">
        <v>89.08</v>
      </c>
      <c r="C1005" s="75">
        <v>98.68</v>
      </c>
      <c r="D1005" s="75">
        <v>92.3</v>
      </c>
      <c r="E1005" s="75">
        <v>90.29</v>
      </c>
      <c r="F1005">
        <v>1560.57</v>
      </c>
      <c r="G1005">
        <v>-702.15</v>
      </c>
      <c r="H1005">
        <v>1037.1999999999998</v>
      </c>
      <c r="I1005">
        <v>3086.1</v>
      </c>
      <c r="J1005">
        <v>4981.7199999999993</v>
      </c>
    </row>
    <row r="1006" spans="1:10" x14ac:dyDescent="0.35">
      <c r="A1006">
        <v>990</v>
      </c>
      <c r="B1006" s="75">
        <v>90.381900000000002</v>
      </c>
      <c r="C1006" s="75">
        <v>99.3369</v>
      </c>
      <c r="D1006" s="75">
        <v>91.862099999999998</v>
      </c>
      <c r="E1006" s="75">
        <v>93.579599999999999</v>
      </c>
      <c r="F1006">
        <v>-2733.3900000000003</v>
      </c>
      <c r="G1006">
        <v>-1690.5</v>
      </c>
      <c r="H1006">
        <v>1908</v>
      </c>
      <c r="I1006">
        <v>-199</v>
      </c>
      <c r="J1006">
        <v>-2714.8900000000003</v>
      </c>
    </row>
    <row r="1007" spans="1:10" x14ac:dyDescent="0.35">
      <c r="A1007">
        <v>991</v>
      </c>
      <c r="B1007" s="75">
        <v>89.96</v>
      </c>
      <c r="C1007" s="75">
        <v>98.54</v>
      </c>
      <c r="D1007" s="75">
        <v>93.01</v>
      </c>
      <c r="E1007" s="75">
        <v>93.18</v>
      </c>
      <c r="F1007">
        <v>-1346.73</v>
      </c>
      <c r="G1007">
        <v>-500.7</v>
      </c>
      <c r="H1007">
        <v>-394</v>
      </c>
      <c r="I1007">
        <v>201.6</v>
      </c>
      <c r="J1007">
        <v>-2039.8300000000004</v>
      </c>
    </row>
    <row r="1008" spans="1:10" x14ac:dyDescent="0.35">
      <c r="A1008">
        <v>992</v>
      </c>
      <c r="B1008" s="75">
        <v>90.471800000000002</v>
      </c>
      <c r="C1008" s="75">
        <v>97.084599999999995</v>
      </c>
      <c r="D1008" s="75">
        <v>92.4559</v>
      </c>
      <c r="E1008" s="75">
        <v>90.06</v>
      </c>
      <c r="F1008">
        <v>-3030.06</v>
      </c>
      <c r="G1008">
        <v>1687.95</v>
      </c>
      <c r="H1008">
        <v>720.40000000000009</v>
      </c>
      <c r="I1008">
        <v>3320.6000000000004</v>
      </c>
      <c r="J1008">
        <v>2698.8900000000003</v>
      </c>
    </row>
    <row r="1009" spans="1:10" x14ac:dyDescent="0.35">
      <c r="A1009">
        <v>993</v>
      </c>
      <c r="B1009" s="75">
        <v>88.84</v>
      </c>
      <c r="C1009" s="75">
        <v>97.2</v>
      </c>
      <c r="D1009" s="75">
        <v>93.17</v>
      </c>
      <c r="E1009" s="75">
        <v>95.18</v>
      </c>
      <c r="F1009">
        <v>2367.42</v>
      </c>
      <c r="G1009">
        <v>1522.05</v>
      </c>
      <c r="H1009">
        <v>-698.6</v>
      </c>
      <c r="I1009">
        <v>-1803.8000000000002</v>
      </c>
      <c r="J1009">
        <v>1387.0700000000002</v>
      </c>
    </row>
    <row r="1010" spans="1:10" x14ac:dyDescent="0.35">
      <c r="A1010">
        <v>994</v>
      </c>
      <c r="B1010" s="75">
        <v>89.823899999999995</v>
      </c>
      <c r="C1010" s="75">
        <v>99.025899999999993</v>
      </c>
      <c r="D1010" s="75">
        <v>93.127799999999993</v>
      </c>
      <c r="E1010" s="75">
        <v>96.337900000000005</v>
      </c>
      <c r="F1010">
        <v>-891.9899999999999</v>
      </c>
      <c r="G1010">
        <v>-1224</v>
      </c>
      <c r="H1010">
        <v>-623.4</v>
      </c>
      <c r="I1010">
        <v>-2957.3</v>
      </c>
      <c r="J1010">
        <v>-5696.6900000000005</v>
      </c>
    </row>
    <row r="1011" spans="1:10" x14ac:dyDescent="0.35">
      <c r="A1011">
        <v>995</v>
      </c>
      <c r="B1011" s="75">
        <v>89.48</v>
      </c>
      <c r="C1011" s="75">
        <v>98.7</v>
      </c>
      <c r="D1011" s="75">
        <v>89.9</v>
      </c>
      <c r="E1011" s="75">
        <v>92.2</v>
      </c>
      <c r="F1011">
        <v>237.27</v>
      </c>
      <c r="G1011">
        <v>-732.75</v>
      </c>
      <c r="H1011">
        <v>5841.4000000000005</v>
      </c>
      <c r="I1011">
        <v>1184.0999999999999</v>
      </c>
      <c r="J1011">
        <v>6530.02</v>
      </c>
    </row>
    <row r="1012" spans="1:10" x14ac:dyDescent="0.35">
      <c r="A1012">
        <v>996</v>
      </c>
      <c r="B1012" s="75">
        <v>90.010199999999998</v>
      </c>
      <c r="C1012" s="75">
        <v>96.923400000000001</v>
      </c>
      <c r="D1012" s="75">
        <v>93.7517</v>
      </c>
      <c r="E1012" s="75">
        <v>94.020899999999997</v>
      </c>
      <c r="F1012">
        <v>-1506.78</v>
      </c>
      <c r="G1012">
        <v>1929.75</v>
      </c>
      <c r="H1012">
        <v>-1871.2</v>
      </c>
      <c r="I1012">
        <v>-640.29999999999995</v>
      </c>
      <c r="J1012">
        <v>-2088.5299999999997</v>
      </c>
    </row>
    <row r="1013" spans="1:10" x14ac:dyDescent="0.35">
      <c r="A1013">
        <v>997</v>
      </c>
      <c r="B1013" s="75">
        <v>89.14</v>
      </c>
      <c r="C1013" s="75">
        <v>97.39</v>
      </c>
      <c r="D1013" s="75">
        <v>92.55</v>
      </c>
      <c r="E1013" s="75">
        <v>93.47</v>
      </c>
      <c r="F1013">
        <v>1350.03</v>
      </c>
      <c r="G1013">
        <v>1229.4000000000001</v>
      </c>
      <c r="H1013">
        <v>539</v>
      </c>
      <c r="I1013">
        <v>-85.3</v>
      </c>
      <c r="J1013">
        <v>3033.13</v>
      </c>
    </row>
    <row r="1014" spans="1:10" x14ac:dyDescent="0.35">
      <c r="A1014">
        <v>998</v>
      </c>
      <c r="B1014" s="75">
        <v>90.382999999999996</v>
      </c>
      <c r="C1014" s="75">
        <v>97.6755</v>
      </c>
      <c r="D1014" s="75">
        <v>91.464200000000005</v>
      </c>
      <c r="E1014" s="75">
        <v>94.033900000000003</v>
      </c>
      <c r="F1014">
        <v>-2737.02</v>
      </c>
      <c r="G1014">
        <v>801.6</v>
      </c>
      <c r="H1014">
        <v>2703.8</v>
      </c>
      <c r="I1014">
        <v>-653.29999999999995</v>
      </c>
      <c r="J1014">
        <v>115.08000000000015</v>
      </c>
    </row>
    <row r="1015" spans="1:10" x14ac:dyDescent="0.35">
      <c r="A1015">
        <v>999</v>
      </c>
      <c r="B1015" s="75">
        <v>89.2</v>
      </c>
      <c r="C1015" s="75">
        <v>98.31</v>
      </c>
      <c r="D1015" s="75">
        <v>92.45</v>
      </c>
      <c r="E1015" s="75">
        <v>95.65</v>
      </c>
      <c r="F1015">
        <v>1166.22</v>
      </c>
      <c r="G1015">
        <v>-155.55000000000001</v>
      </c>
      <c r="H1015">
        <v>737.40000000000009</v>
      </c>
      <c r="I1015">
        <v>-2273.6</v>
      </c>
      <c r="J1015">
        <v>-525.52999999999975</v>
      </c>
    </row>
    <row r="1016" spans="1:10" x14ac:dyDescent="0.35">
      <c r="A1016">
        <v>1000</v>
      </c>
      <c r="B1016" s="75">
        <v>89.175899999999999</v>
      </c>
      <c r="C1016" s="75">
        <v>98.522000000000006</v>
      </c>
      <c r="D1016" s="75">
        <v>94.027799999999999</v>
      </c>
      <c r="E1016" s="75">
        <v>90.209100000000007</v>
      </c>
      <c r="F1016">
        <v>1246.4099999999999</v>
      </c>
      <c r="G1016">
        <v>-468.15</v>
      </c>
      <c r="H1016">
        <v>-2423.4</v>
      </c>
      <c r="I1016">
        <v>3171.5</v>
      </c>
      <c r="J1016">
        <v>1526.3599999999997</v>
      </c>
    </row>
    <row r="1017" spans="1:10" x14ac:dyDescent="0.35">
      <c r="A1017">
        <v>1001</v>
      </c>
      <c r="B1017" s="75">
        <v>89.66</v>
      </c>
      <c r="C1017" s="75">
        <v>96.59</v>
      </c>
      <c r="D1017" s="75">
        <v>90.11</v>
      </c>
      <c r="E1017" s="75">
        <v>91.48</v>
      </c>
      <c r="F1017">
        <v>-350.13</v>
      </c>
      <c r="G1017">
        <v>2423.4</v>
      </c>
      <c r="H1017">
        <v>5404.6</v>
      </c>
      <c r="I1017">
        <v>1897.2</v>
      </c>
      <c r="J1017">
        <v>9375.0700000000015</v>
      </c>
    </row>
    <row r="1018" spans="1:10" x14ac:dyDescent="0.35">
      <c r="A1018">
        <v>1002</v>
      </c>
      <c r="B1018" s="75">
        <v>89.776200000000003</v>
      </c>
      <c r="C1018" s="75">
        <v>97.001199999999997</v>
      </c>
      <c r="D1018" s="75">
        <v>93.187299999999993</v>
      </c>
      <c r="E1018" s="75">
        <v>93.625100000000003</v>
      </c>
      <c r="F1018">
        <v>-734.57999999999993</v>
      </c>
      <c r="G1018">
        <v>1813.0500000000002</v>
      </c>
      <c r="H1018">
        <v>-742.4</v>
      </c>
      <c r="I1018">
        <v>-244.5</v>
      </c>
      <c r="J1018">
        <v>91.570000000000277</v>
      </c>
    </row>
    <row r="1019" spans="1:10" x14ac:dyDescent="0.35">
      <c r="A1019">
        <v>1003</v>
      </c>
      <c r="B1019" s="75">
        <v>89.67</v>
      </c>
      <c r="C1019" s="75">
        <v>98.31</v>
      </c>
      <c r="D1019" s="75">
        <v>93.86</v>
      </c>
      <c r="E1019" s="75">
        <v>92.99</v>
      </c>
      <c r="F1019">
        <v>-371.90999999999997</v>
      </c>
      <c r="G1019">
        <v>-151.19999999999999</v>
      </c>
      <c r="H1019">
        <v>-2088.8000000000002</v>
      </c>
      <c r="I1019">
        <v>389.29999999999995</v>
      </c>
      <c r="J1019">
        <v>-2222.6099999999997</v>
      </c>
    </row>
    <row r="1020" spans="1:10" x14ac:dyDescent="0.35">
      <c r="A1020">
        <v>1004</v>
      </c>
      <c r="B1020" s="75">
        <v>88.480999999999995</v>
      </c>
      <c r="C1020" s="75">
        <v>98.366</v>
      </c>
      <c r="D1020" s="75">
        <v>93.837500000000006</v>
      </c>
      <c r="E1020" s="75">
        <v>93.567300000000003</v>
      </c>
      <c r="F1020">
        <v>3539.58</v>
      </c>
      <c r="G1020">
        <v>-234.14999999999998</v>
      </c>
      <c r="H1020">
        <v>-2042.8000000000002</v>
      </c>
      <c r="I1020">
        <v>-186.70000000000002</v>
      </c>
      <c r="J1020">
        <v>1075.9299999999996</v>
      </c>
    </row>
    <row r="1021" spans="1:10" x14ac:dyDescent="0.35">
      <c r="A1021">
        <v>1005</v>
      </c>
      <c r="B1021" s="75">
        <v>89.36</v>
      </c>
      <c r="C1021" s="75">
        <v>98.41</v>
      </c>
      <c r="D1021" s="75">
        <v>94.97</v>
      </c>
      <c r="E1021" s="75">
        <v>93.17</v>
      </c>
      <c r="F1021">
        <v>655.38</v>
      </c>
      <c r="G1021">
        <v>-295.34999999999997</v>
      </c>
      <c r="H1021">
        <v>-4306.8</v>
      </c>
      <c r="I1021">
        <v>214.2</v>
      </c>
      <c r="J1021">
        <v>-3732.57</v>
      </c>
    </row>
    <row r="1022" spans="1:10" x14ac:dyDescent="0.35">
      <c r="A1022">
        <v>1006</v>
      </c>
      <c r="B1022" s="75">
        <v>88.901200000000003</v>
      </c>
      <c r="C1022" s="75">
        <v>99.798100000000005</v>
      </c>
      <c r="D1022" s="75">
        <v>92.043000000000006</v>
      </c>
      <c r="E1022" s="75">
        <v>92.767700000000005</v>
      </c>
      <c r="F1022">
        <v>2152.92</v>
      </c>
      <c r="G1022">
        <v>-2382.3000000000002</v>
      </c>
      <c r="H1022">
        <v>1546.2</v>
      </c>
      <c r="I1022">
        <v>612.9</v>
      </c>
      <c r="J1022">
        <v>1929.7199999999998</v>
      </c>
    </row>
    <row r="1023" spans="1:10" x14ac:dyDescent="0.35">
      <c r="A1023">
        <v>1007</v>
      </c>
      <c r="B1023" s="75">
        <v>89.69</v>
      </c>
      <c r="C1023" s="75">
        <v>96.12</v>
      </c>
      <c r="D1023" s="75">
        <v>93.25</v>
      </c>
      <c r="E1023" s="75">
        <v>96.81</v>
      </c>
      <c r="F1023">
        <v>-465.63</v>
      </c>
      <c r="G1023">
        <v>3137.25</v>
      </c>
      <c r="H1023">
        <v>-876.4</v>
      </c>
      <c r="I1023">
        <v>-3428.4</v>
      </c>
      <c r="J1023">
        <v>-1633.1800000000003</v>
      </c>
    </row>
    <row r="1024" spans="1:10" x14ac:dyDescent="0.35">
      <c r="A1024">
        <v>1008</v>
      </c>
      <c r="B1024" s="75">
        <v>90.213200000000001</v>
      </c>
      <c r="C1024" s="75">
        <v>97.052999999999997</v>
      </c>
      <c r="D1024" s="75">
        <v>94.549000000000007</v>
      </c>
      <c r="E1024" s="75">
        <v>94.224299999999999</v>
      </c>
      <c r="F1024">
        <v>-2176.6799999999998</v>
      </c>
      <c r="G1024">
        <v>1735.3500000000001</v>
      </c>
      <c r="H1024">
        <v>-3465.8</v>
      </c>
      <c r="I1024">
        <v>-843.7</v>
      </c>
      <c r="J1024">
        <v>-4750.83</v>
      </c>
    </row>
    <row r="1025" spans="1:10" x14ac:dyDescent="0.35">
      <c r="A1025">
        <v>1009</v>
      </c>
      <c r="B1025" s="75">
        <v>89.27</v>
      </c>
      <c r="C1025" s="75">
        <v>98.53</v>
      </c>
      <c r="D1025" s="75">
        <v>91.1</v>
      </c>
      <c r="E1025" s="75">
        <v>91.58</v>
      </c>
      <c r="F1025">
        <v>926.96999999999991</v>
      </c>
      <c r="G1025">
        <v>-487.2</v>
      </c>
      <c r="H1025">
        <v>3428.4</v>
      </c>
      <c r="I1025">
        <v>1796</v>
      </c>
      <c r="J1025">
        <v>5664.17</v>
      </c>
    </row>
    <row r="1026" spans="1:10" x14ac:dyDescent="0.35">
      <c r="A1026">
        <v>1010</v>
      </c>
      <c r="B1026" s="75">
        <v>90.172200000000004</v>
      </c>
      <c r="C1026" s="75">
        <v>98.711399999999998</v>
      </c>
      <c r="D1026" s="75">
        <v>92.84</v>
      </c>
      <c r="E1026" s="75">
        <v>92.424099999999996</v>
      </c>
      <c r="F1026">
        <v>-2041.38</v>
      </c>
      <c r="G1026">
        <v>-752.24999999999989</v>
      </c>
      <c r="H1026">
        <v>-47.800000000000004</v>
      </c>
      <c r="I1026">
        <v>956.5</v>
      </c>
      <c r="J1026">
        <v>-1884.9300000000003</v>
      </c>
    </row>
    <row r="1027" spans="1:10" x14ac:dyDescent="0.35">
      <c r="A1027">
        <v>1011</v>
      </c>
      <c r="B1027" s="75">
        <v>90.38</v>
      </c>
      <c r="C1027" s="75">
        <v>99.94</v>
      </c>
      <c r="D1027" s="75">
        <v>93.46</v>
      </c>
      <c r="E1027" s="75">
        <v>93.12</v>
      </c>
      <c r="F1027">
        <v>-2728.11</v>
      </c>
      <c r="G1027">
        <v>-2592.15</v>
      </c>
      <c r="H1027">
        <v>-1282.5999999999999</v>
      </c>
      <c r="I1027">
        <v>261.10000000000002</v>
      </c>
      <c r="J1027">
        <v>-6341.76</v>
      </c>
    </row>
    <row r="1028" spans="1:10" x14ac:dyDescent="0.35">
      <c r="A1028">
        <v>1012</v>
      </c>
      <c r="B1028" s="75">
        <v>89.897400000000005</v>
      </c>
      <c r="C1028" s="75">
        <v>99.278700000000001</v>
      </c>
      <c r="D1028" s="75">
        <v>92.686599999999999</v>
      </c>
      <c r="E1028" s="75">
        <v>91.144000000000005</v>
      </c>
      <c r="F1028">
        <v>-1134.54</v>
      </c>
      <c r="G1028">
        <v>-1603.2</v>
      </c>
      <c r="H1028">
        <v>259</v>
      </c>
      <c r="I1028">
        <v>2236.6000000000004</v>
      </c>
      <c r="J1028">
        <v>-242.13999999999942</v>
      </c>
    </row>
    <row r="1029" spans="1:10" x14ac:dyDescent="0.35">
      <c r="A1029">
        <v>1013</v>
      </c>
      <c r="B1029" s="75">
        <v>90.07</v>
      </c>
      <c r="C1029" s="75">
        <v>99.25</v>
      </c>
      <c r="D1029" s="75">
        <v>93.19</v>
      </c>
      <c r="E1029" s="75">
        <v>96.14</v>
      </c>
      <c r="F1029">
        <v>-1719.63</v>
      </c>
      <c r="G1029">
        <v>-1564.35</v>
      </c>
      <c r="H1029">
        <v>-740</v>
      </c>
      <c r="I1029">
        <v>-2755.6</v>
      </c>
      <c r="J1029">
        <v>-6779.58</v>
      </c>
    </row>
    <row r="1030" spans="1:10" x14ac:dyDescent="0.35">
      <c r="A1030">
        <v>1014</v>
      </c>
      <c r="B1030" s="75">
        <v>89.777799999999999</v>
      </c>
      <c r="C1030" s="75">
        <v>98.690600000000003</v>
      </c>
      <c r="D1030" s="75">
        <v>93.182400000000001</v>
      </c>
      <c r="E1030" s="75">
        <v>92.442700000000002</v>
      </c>
      <c r="F1030">
        <v>-739.86</v>
      </c>
      <c r="G1030">
        <v>-721.05000000000007</v>
      </c>
      <c r="H1030">
        <v>-732.6</v>
      </c>
      <c r="I1030">
        <v>937.9</v>
      </c>
      <c r="J1030">
        <v>-1255.6100000000001</v>
      </c>
    </row>
    <row r="1031" spans="1:10" x14ac:dyDescent="0.35">
      <c r="A1031">
        <v>1015</v>
      </c>
      <c r="B1031" s="75">
        <v>89.14</v>
      </c>
      <c r="C1031" s="75">
        <v>96.95</v>
      </c>
      <c r="D1031" s="75">
        <v>91.37</v>
      </c>
      <c r="E1031" s="75">
        <v>93.25</v>
      </c>
      <c r="F1031">
        <v>1381.38</v>
      </c>
      <c r="G1031">
        <v>1886.1000000000001</v>
      </c>
      <c r="H1031">
        <v>2883.7999999999997</v>
      </c>
      <c r="I1031">
        <v>126.2</v>
      </c>
      <c r="J1031">
        <v>6277.4800000000005</v>
      </c>
    </row>
    <row r="1032" spans="1:10" x14ac:dyDescent="0.35">
      <c r="A1032">
        <v>1016</v>
      </c>
      <c r="B1032" s="75">
        <v>89.397300000000001</v>
      </c>
      <c r="C1032" s="75">
        <v>99.045599999999993</v>
      </c>
      <c r="D1032" s="75">
        <v>92.632400000000004</v>
      </c>
      <c r="E1032" s="75">
        <v>95.516800000000003</v>
      </c>
      <c r="F1032">
        <v>515.79</v>
      </c>
      <c r="G1032">
        <v>-1253.55</v>
      </c>
      <c r="H1032">
        <v>367.4</v>
      </c>
      <c r="I1032">
        <v>-2136.2000000000003</v>
      </c>
      <c r="J1032">
        <v>-2506.5600000000004</v>
      </c>
    </row>
    <row r="1033" spans="1:10" x14ac:dyDescent="0.35">
      <c r="A1033">
        <v>1017</v>
      </c>
      <c r="B1033" s="75">
        <v>89.74</v>
      </c>
      <c r="C1033" s="75">
        <v>99.25</v>
      </c>
      <c r="D1033" s="75">
        <v>93.85</v>
      </c>
      <c r="E1033" s="75">
        <v>95.04</v>
      </c>
      <c r="F1033">
        <v>-620.73</v>
      </c>
      <c r="G1033">
        <v>-1561.6499999999999</v>
      </c>
      <c r="H1033">
        <v>-2074.8000000000002</v>
      </c>
      <c r="I1033">
        <v>-1664.1</v>
      </c>
      <c r="J1033">
        <v>-5921.2800000000007</v>
      </c>
    </row>
    <row r="1034" spans="1:10" x14ac:dyDescent="0.35">
      <c r="A1034">
        <v>1018</v>
      </c>
      <c r="B1034" s="75">
        <v>90.153300000000002</v>
      </c>
      <c r="C1034" s="75">
        <v>98.331000000000003</v>
      </c>
      <c r="D1034" s="75">
        <v>95.010099999999994</v>
      </c>
      <c r="E1034" s="75">
        <v>93.758600000000001</v>
      </c>
      <c r="F1034">
        <v>-1979.01</v>
      </c>
      <c r="G1034">
        <v>-181.65</v>
      </c>
      <c r="H1034">
        <v>-4388</v>
      </c>
      <c r="I1034">
        <v>-378</v>
      </c>
      <c r="J1034">
        <v>-6926.66</v>
      </c>
    </row>
    <row r="1035" spans="1:10" x14ac:dyDescent="0.35">
      <c r="A1035">
        <v>1019</v>
      </c>
      <c r="B1035" s="75">
        <v>89.39</v>
      </c>
      <c r="C1035" s="75">
        <v>99.05</v>
      </c>
      <c r="D1035" s="75">
        <v>93.69</v>
      </c>
      <c r="E1035" s="75">
        <v>91.89</v>
      </c>
      <c r="F1035">
        <v>538.89</v>
      </c>
      <c r="G1035">
        <v>-1257</v>
      </c>
      <c r="H1035">
        <v>-1743</v>
      </c>
      <c r="I1035">
        <v>1488.5</v>
      </c>
      <c r="J1035">
        <v>-972.61000000000013</v>
      </c>
    </row>
    <row r="1036" spans="1:10" x14ac:dyDescent="0.35">
      <c r="A1036">
        <v>1020</v>
      </c>
      <c r="B1036" s="75">
        <v>90.026799999999994</v>
      </c>
      <c r="C1036" s="75">
        <v>97.084400000000002</v>
      </c>
      <c r="D1036" s="75">
        <v>92.749099999999999</v>
      </c>
      <c r="E1036" s="75">
        <v>93.432699999999997</v>
      </c>
      <c r="F1036">
        <v>-1561.56</v>
      </c>
      <c r="G1036">
        <v>1688.25</v>
      </c>
      <c r="H1036">
        <v>134</v>
      </c>
      <c r="I1036">
        <v>-52.1</v>
      </c>
      <c r="J1036">
        <v>208.59000000000006</v>
      </c>
    </row>
    <row r="1037" spans="1:10" x14ac:dyDescent="0.35">
      <c r="A1037">
        <v>1021</v>
      </c>
      <c r="B1037" s="75">
        <v>88.59</v>
      </c>
      <c r="C1037" s="75">
        <v>98.78</v>
      </c>
      <c r="D1037" s="75">
        <v>91.53</v>
      </c>
      <c r="E1037" s="75">
        <v>94.05</v>
      </c>
      <c r="F1037">
        <v>3166.35</v>
      </c>
      <c r="G1037">
        <v>-859.80000000000007</v>
      </c>
      <c r="H1037">
        <v>2576.1999999999998</v>
      </c>
      <c r="I1037">
        <v>-671.4</v>
      </c>
      <c r="J1037">
        <v>4211.3500000000004</v>
      </c>
    </row>
    <row r="1038" spans="1:10" x14ac:dyDescent="0.35">
      <c r="A1038">
        <v>1022</v>
      </c>
      <c r="B1038" s="75">
        <v>88.7119</v>
      </c>
      <c r="C1038" s="75">
        <v>98.690399999999997</v>
      </c>
      <c r="D1038" s="75">
        <v>91.575599999999994</v>
      </c>
      <c r="E1038" s="75">
        <v>94.972700000000003</v>
      </c>
      <c r="F1038">
        <v>2777.61</v>
      </c>
      <c r="G1038">
        <v>-720.75</v>
      </c>
      <c r="H1038">
        <v>2481</v>
      </c>
      <c r="I1038">
        <v>-1592.1000000000001</v>
      </c>
      <c r="J1038">
        <v>2945.76</v>
      </c>
    </row>
    <row r="1039" spans="1:10" x14ac:dyDescent="0.35">
      <c r="A1039">
        <v>1023</v>
      </c>
      <c r="B1039" s="75">
        <v>89.36</v>
      </c>
      <c r="C1039" s="75">
        <v>98.45</v>
      </c>
      <c r="D1039" s="75">
        <v>91.12</v>
      </c>
      <c r="E1039" s="75">
        <v>93.53</v>
      </c>
      <c r="F1039">
        <v>642.51</v>
      </c>
      <c r="G1039">
        <v>-365.85</v>
      </c>
      <c r="H1039">
        <v>3400</v>
      </c>
      <c r="I1039">
        <v>-149.19999999999999</v>
      </c>
      <c r="J1039">
        <v>3527.46</v>
      </c>
    </row>
    <row r="1040" spans="1:10" x14ac:dyDescent="0.35">
      <c r="A1040">
        <v>1024</v>
      </c>
      <c r="B1040" s="75">
        <v>89.673599999999993</v>
      </c>
      <c r="C1040" s="75">
        <v>98.233500000000006</v>
      </c>
      <c r="D1040" s="75">
        <v>93.533500000000004</v>
      </c>
      <c r="E1040" s="75">
        <v>93.651799999999994</v>
      </c>
      <c r="F1040">
        <v>-396</v>
      </c>
      <c r="G1040">
        <v>-35.4</v>
      </c>
      <c r="H1040">
        <v>-1434.8000000000002</v>
      </c>
      <c r="I1040">
        <v>-271.2</v>
      </c>
      <c r="J1040">
        <v>-2137.4</v>
      </c>
    </row>
    <row r="1041" spans="1:10" x14ac:dyDescent="0.35">
      <c r="A1041">
        <v>1025</v>
      </c>
      <c r="B1041" s="75">
        <v>90.37</v>
      </c>
      <c r="C1041" s="75">
        <v>97.92</v>
      </c>
      <c r="D1041" s="75">
        <v>92.06</v>
      </c>
      <c r="E1041" s="75">
        <v>93.45</v>
      </c>
      <c r="F1041">
        <v>-2680.59</v>
      </c>
      <c r="G1041">
        <v>435.59999999999997</v>
      </c>
      <c r="H1041">
        <v>1503.2</v>
      </c>
      <c r="I1041">
        <v>-74.2</v>
      </c>
      <c r="J1041">
        <v>-815.99000000000024</v>
      </c>
    </row>
    <row r="1042" spans="1:10" x14ac:dyDescent="0.35">
      <c r="A1042">
        <v>1026</v>
      </c>
      <c r="B1042" s="75">
        <v>89.620900000000006</v>
      </c>
      <c r="C1042" s="75">
        <v>98.530500000000004</v>
      </c>
      <c r="D1042" s="75">
        <v>93.989400000000003</v>
      </c>
      <c r="E1042" s="75">
        <v>91.564300000000003</v>
      </c>
      <c r="F1042">
        <v>-222.09</v>
      </c>
      <c r="G1042">
        <v>-480.9</v>
      </c>
      <c r="H1042">
        <v>-2346.6</v>
      </c>
      <c r="I1042">
        <v>1816.3</v>
      </c>
      <c r="J1042">
        <v>-1233.2900000000002</v>
      </c>
    </row>
    <row r="1043" spans="1:10" x14ac:dyDescent="0.35">
      <c r="A1043">
        <v>1027</v>
      </c>
      <c r="B1043" s="75">
        <v>90.19</v>
      </c>
      <c r="C1043" s="75">
        <v>98.2</v>
      </c>
      <c r="D1043" s="75">
        <v>92.09</v>
      </c>
      <c r="E1043" s="75">
        <v>95.12</v>
      </c>
      <c r="F1043">
        <v>-2109.36</v>
      </c>
      <c r="G1043">
        <v>12.9</v>
      </c>
      <c r="H1043">
        <v>1455</v>
      </c>
      <c r="I1043">
        <v>-1738.5</v>
      </c>
      <c r="J1043">
        <v>-2379.96</v>
      </c>
    </row>
    <row r="1044" spans="1:10" x14ac:dyDescent="0.35">
      <c r="A1044">
        <v>1028</v>
      </c>
      <c r="B1044" s="75">
        <v>90.230099999999993</v>
      </c>
      <c r="C1044" s="75">
        <v>96.890900000000002</v>
      </c>
      <c r="D1044" s="75">
        <v>90.827100000000002</v>
      </c>
      <c r="E1044" s="75">
        <v>93.027299999999997</v>
      </c>
      <c r="F1044">
        <v>-2232.4499999999998</v>
      </c>
      <c r="G1044">
        <v>1978.5</v>
      </c>
      <c r="H1044">
        <v>3978</v>
      </c>
      <c r="I1044">
        <v>353.3</v>
      </c>
      <c r="J1044">
        <v>4077.3500000000004</v>
      </c>
    </row>
    <row r="1045" spans="1:10" x14ac:dyDescent="0.35">
      <c r="A1045">
        <v>1029</v>
      </c>
      <c r="B1045" s="75">
        <v>89.17</v>
      </c>
      <c r="C1045" s="75">
        <v>99.04</v>
      </c>
      <c r="D1045" s="75">
        <v>94.94</v>
      </c>
      <c r="E1045" s="75">
        <v>93.58</v>
      </c>
      <c r="F1045">
        <v>1270.17</v>
      </c>
      <c r="G1045">
        <v>-1246.5</v>
      </c>
      <c r="H1045">
        <v>-4251.4000000000005</v>
      </c>
      <c r="I1045">
        <v>-194.6</v>
      </c>
      <c r="J1045">
        <v>-4422.3300000000008</v>
      </c>
    </row>
    <row r="1046" spans="1:10" x14ac:dyDescent="0.35">
      <c r="A1046">
        <v>1030</v>
      </c>
      <c r="B1046" s="75">
        <v>89.042900000000003</v>
      </c>
      <c r="C1046" s="75">
        <v>98.149199999999993</v>
      </c>
      <c r="D1046" s="75">
        <v>90.623800000000003</v>
      </c>
      <c r="E1046" s="75">
        <v>93.771500000000003</v>
      </c>
      <c r="F1046">
        <v>1685.3100000000002</v>
      </c>
      <c r="G1046">
        <v>91.05</v>
      </c>
      <c r="H1046">
        <v>4384.5999999999995</v>
      </c>
      <c r="I1046">
        <v>-390.90000000000003</v>
      </c>
      <c r="J1046">
        <v>5770.0599999999995</v>
      </c>
    </row>
    <row r="1047" spans="1:10" x14ac:dyDescent="0.35">
      <c r="A1047">
        <v>1031</v>
      </c>
      <c r="B1047" s="75">
        <v>89.47</v>
      </c>
      <c r="C1047" s="75">
        <v>98.21</v>
      </c>
      <c r="D1047" s="75">
        <v>94.95</v>
      </c>
      <c r="E1047" s="75">
        <v>93.37</v>
      </c>
      <c r="F1047">
        <v>289.41000000000003</v>
      </c>
      <c r="G1047">
        <v>2.6999999999999997</v>
      </c>
      <c r="H1047">
        <v>-4261.3999999999996</v>
      </c>
      <c r="I1047">
        <v>13.6</v>
      </c>
      <c r="J1047">
        <v>-3955.6899999999996</v>
      </c>
    </row>
    <row r="1048" spans="1:10" x14ac:dyDescent="0.35">
      <c r="A1048">
        <v>1032</v>
      </c>
      <c r="B1048" s="75">
        <v>89.721999999999994</v>
      </c>
      <c r="C1048" s="75">
        <v>98.065799999999996</v>
      </c>
      <c r="D1048" s="75">
        <v>90.767899999999997</v>
      </c>
      <c r="E1048" s="75">
        <v>93.335599999999999</v>
      </c>
      <c r="F1048">
        <v>-555.72</v>
      </c>
      <c r="G1048">
        <v>216.15</v>
      </c>
      <c r="H1048">
        <v>4096.3999999999996</v>
      </c>
      <c r="I1048">
        <v>45</v>
      </c>
      <c r="J1048">
        <v>3801.8299999999995</v>
      </c>
    </row>
    <row r="1049" spans="1:10" x14ac:dyDescent="0.35">
      <c r="A1049">
        <v>1033</v>
      </c>
      <c r="B1049" s="75">
        <v>89.64</v>
      </c>
      <c r="C1049" s="75">
        <v>96.36</v>
      </c>
      <c r="D1049" s="75">
        <v>94.08</v>
      </c>
      <c r="E1049" s="75">
        <v>89.98</v>
      </c>
      <c r="F1049">
        <v>-298.32</v>
      </c>
      <c r="G1049">
        <v>2781.75</v>
      </c>
      <c r="H1049">
        <v>-2524.6</v>
      </c>
      <c r="I1049">
        <v>3404.5</v>
      </c>
      <c r="J1049">
        <v>3363.33</v>
      </c>
    </row>
    <row r="1050" spans="1:10" x14ac:dyDescent="0.35">
      <c r="A1050">
        <v>1034</v>
      </c>
      <c r="B1050" s="75">
        <v>89.922700000000006</v>
      </c>
      <c r="C1050" s="75">
        <v>99.5411</v>
      </c>
      <c r="D1050" s="75">
        <v>95.033299999999997</v>
      </c>
      <c r="E1050" s="75">
        <v>93.8977</v>
      </c>
      <c r="F1050">
        <v>-1218.03</v>
      </c>
      <c r="G1050">
        <v>-1996.8</v>
      </c>
      <c r="H1050">
        <v>-4434.4000000000005</v>
      </c>
      <c r="I1050">
        <v>-517.1</v>
      </c>
      <c r="J1050">
        <v>-8166.3300000000008</v>
      </c>
    </row>
    <row r="1051" spans="1:10" x14ac:dyDescent="0.35">
      <c r="A1051">
        <v>1035</v>
      </c>
      <c r="B1051" s="75">
        <v>91.43</v>
      </c>
      <c r="C1051" s="75">
        <v>97.09</v>
      </c>
      <c r="D1051" s="75">
        <v>88.76</v>
      </c>
      <c r="E1051" s="75">
        <v>93.64</v>
      </c>
      <c r="F1051">
        <v>-6179.58</v>
      </c>
      <c r="G1051">
        <v>1677.3000000000002</v>
      </c>
      <c r="H1051">
        <v>8116.7999999999993</v>
      </c>
      <c r="I1051">
        <v>-256.60000000000002</v>
      </c>
      <c r="J1051">
        <v>3357.9199999999996</v>
      </c>
    </row>
    <row r="1052" spans="1:10" x14ac:dyDescent="0.35">
      <c r="A1052">
        <v>1036</v>
      </c>
      <c r="B1052" s="75">
        <v>89.926400000000001</v>
      </c>
      <c r="C1052" s="75">
        <v>98.058700000000002</v>
      </c>
      <c r="D1052" s="75">
        <v>91.699600000000004</v>
      </c>
      <c r="E1052" s="75">
        <v>91.319000000000003</v>
      </c>
      <c r="F1052">
        <v>-1230.24</v>
      </c>
      <c r="G1052">
        <v>226.8</v>
      </c>
      <c r="H1052">
        <v>2233</v>
      </c>
      <c r="I1052">
        <v>2061.6</v>
      </c>
      <c r="J1052">
        <v>3291.16</v>
      </c>
    </row>
    <row r="1053" spans="1:10" x14ac:dyDescent="0.35">
      <c r="A1053">
        <v>1037</v>
      </c>
      <c r="B1053" s="75">
        <v>90.13</v>
      </c>
      <c r="C1053" s="75">
        <v>97.68</v>
      </c>
      <c r="D1053" s="75">
        <v>93.78</v>
      </c>
      <c r="E1053" s="75">
        <v>93.54</v>
      </c>
      <c r="F1053">
        <v>-1913.34</v>
      </c>
      <c r="G1053">
        <v>790.94999999999993</v>
      </c>
      <c r="H1053">
        <v>-1923</v>
      </c>
      <c r="I1053">
        <v>-158.1</v>
      </c>
      <c r="J1053">
        <v>-3203.49</v>
      </c>
    </row>
    <row r="1054" spans="1:10" x14ac:dyDescent="0.35">
      <c r="A1054">
        <v>1038</v>
      </c>
      <c r="B1054" s="75">
        <v>89.6113</v>
      </c>
      <c r="C1054" s="75">
        <v>99.092500000000001</v>
      </c>
      <c r="D1054" s="75">
        <v>91.966499999999996</v>
      </c>
      <c r="E1054" s="75">
        <v>92.791399999999996</v>
      </c>
      <c r="F1054">
        <v>-190.41</v>
      </c>
      <c r="G1054">
        <v>-1323.9</v>
      </c>
      <c r="H1054">
        <v>1699.2</v>
      </c>
      <c r="I1054">
        <v>589.19999999999993</v>
      </c>
      <c r="J1054">
        <v>774.0899999999998</v>
      </c>
    </row>
    <row r="1055" spans="1:10" x14ac:dyDescent="0.35">
      <c r="A1055">
        <v>1039</v>
      </c>
      <c r="B1055" s="75">
        <v>90</v>
      </c>
      <c r="C1055" s="75">
        <v>98.38</v>
      </c>
      <c r="D1055" s="75">
        <v>94.46</v>
      </c>
      <c r="E1055" s="75">
        <v>93.51</v>
      </c>
      <c r="F1055">
        <v>-1481.04</v>
      </c>
      <c r="G1055">
        <v>-247.8</v>
      </c>
      <c r="H1055">
        <v>-3294</v>
      </c>
      <c r="I1055">
        <v>-127.1</v>
      </c>
      <c r="J1055">
        <v>-5149.9400000000005</v>
      </c>
    </row>
    <row r="1056" spans="1:10" x14ac:dyDescent="0.35">
      <c r="A1056">
        <v>1040</v>
      </c>
      <c r="B1056" s="75">
        <v>89.720399999999998</v>
      </c>
      <c r="C1056" s="75">
        <v>97.462500000000006</v>
      </c>
      <c r="D1056" s="75">
        <v>92.096999999999994</v>
      </c>
      <c r="E1056" s="75">
        <v>95.508600000000001</v>
      </c>
      <c r="F1056">
        <v>-550.44000000000005</v>
      </c>
      <c r="G1056">
        <v>1121.0999999999999</v>
      </c>
      <c r="H1056">
        <v>1438.1999999999998</v>
      </c>
      <c r="I1056">
        <v>-2128</v>
      </c>
      <c r="J1056">
        <v>-119.14000000000033</v>
      </c>
    </row>
    <row r="1057" spans="1:10" x14ac:dyDescent="0.35">
      <c r="A1057">
        <v>1041</v>
      </c>
      <c r="B1057" s="75">
        <v>89.81</v>
      </c>
      <c r="C1057" s="75">
        <v>95.7</v>
      </c>
      <c r="D1057" s="75">
        <v>91.46</v>
      </c>
      <c r="E1057" s="75">
        <v>92.88</v>
      </c>
      <c r="F1057">
        <v>-833.57999999999993</v>
      </c>
      <c r="G1057">
        <v>3764.3999999999996</v>
      </c>
      <c r="H1057">
        <v>2722</v>
      </c>
      <c r="I1057">
        <v>499.7</v>
      </c>
      <c r="J1057">
        <v>6152.5199999999995</v>
      </c>
    </row>
    <row r="1058" spans="1:10" x14ac:dyDescent="0.35">
      <c r="A1058">
        <v>1042</v>
      </c>
      <c r="B1058" s="75">
        <v>90.266400000000004</v>
      </c>
      <c r="C1058" s="75">
        <v>99.112799999999993</v>
      </c>
      <c r="D1058" s="75">
        <v>91.4114</v>
      </c>
      <c r="E1058" s="75">
        <v>96.443100000000001</v>
      </c>
      <c r="F1058">
        <v>-2352.2399999999998</v>
      </c>
      <c r="G1058">
        <v>-1354.3500000000001</v>
      </c>
      <c r="H1058">
        <v>2809.4</v>
      </c>
      <c r="I1058">
        <v>-3062.5</v>
      </c>
      <c r="J1058">
        <v>-3959.69</v>
      </c>
    </row>
    <row r="1059" spans="1:10" x14ac:dyDescent="0.35">
      <c r="A1059">
        <v>1043</v>
      </c>
      <c r="B1059" s="75">
        <v>90.23</v>
      </c>
      <c r="C1059" s="75">
        <v>98.66</v>
      </c>
      <c r="D1059" s="75">
        <v>92.46</v>
      </c>
      <c r="E1059" s="75">
        <v>91.57</v>
      </c>
      <c r="F1059">
        <v>-2235.09</v>
      </c>
      <c r="G1059">
        <v>-671.25</v>
      </c>
      <c r="H1059">
        <v>703.6</v>
      </c>
      <c r="I1059">
        <v>1809.3999999999999</v>
      </c>
      <c r="J1059">
        <v>-393.34000000000037</v>
      </c>
    </row>
    <row r="1060" spans="1:10" x14ac:dyDescent="0.35">
      <c r="A1060">
        <v>1044</v>
      </c>
      <c r="B1060" s="75">
        <v>89.628600000000006</v>
      </c>
      <c r="C1060" s="75">
        <v>97.966800000000006</v>
      </c>
      <c r="D1060" s="75">
        <v>93.060500000000005</v>
      </c>
      <c r="E1060" s="75">
        <v>93.308499999999995</v>
      </c>
      <c r="F1060">
        <v>-247.5</v>
      </c>
      <c r="G1060">
        <v>364.65000000000003</v>
      </c>
      <c r="H1060">
        <v>-488.8</v>
      </c>
      <c r="I1060">
        <v>72.099999999999994</v>
      </c>
      <c r="J1060">
        <v>-299.54999999999995</v>
      </c>
    </row>
    <row r="1061" spans="1:10" x14ac:dyDescent="0.35">
      <c r="A1061">
        <v>1045</v>
      </c>
      <c r="B1061" s="75">
        <v>88.8</v>
      </c>
      <c r="C1061" s="75">
        <v>97.51</v>
      </c>
      <c r="D1061" s="75">
        <v>92.71</v>
      </c>
      <c r="E1061" s="75">
        <v>91.06</v>
      </c>
      <c r="F1061">
        <v>2478.63</v>
      </c>
      <c r="G1061">
        <v>1043.8499999999999</v>
      </c>
      <c r="H1061">
        <v>207</v>
      </c>
      <c r="I1061">
        <v>2318.6</v>
      </c>
      <c r="J1061">
        <v>6048.08</v>
      </c>
    </row>
    <row r="1062" spans="1:10" x14ac:dyDescent="0.35">
      <c r="A1062">
        <v>1046</v>
      </c>
      <c r="B1062" s="75">
        <v>88.763099999999994</v>
      </c>
      <c r="C1062" s="75">
        <v>98.322000000000003</v>
      </c>
      <c r="D1062" s="75">
        <v>91.494699999999995</v>
      </c>
      <c r="E1062" s="75">
        <v>95.726100000000002</v>
      </c>
      <c r="F1062">
        <v>2608.65</v>
      </c>
      <c r="G1062">
        <v>-168.15</v>
      </c>
      <c r="H1062">
        <v>2642.7999999999997</v>
      </c>
      <c r="I1062">
        <v>-2345.5</v>
      </c>
      <c r="J1062">
        <v>2737.7999999999993</v>
      </c>
    </row>
    <row r="1063" spans="1:10" x14ac:dyDescent="0.35">
      <c r="A1063">
        <v>1047</v>
      </c>
      <c r="B1063" s="75">
        <v>89.78</v>
      </c>
      <c r="C1063" s="75">
        <v>97.59</v>
      </c>
      <c r="D1063" s="75">
        <v>91.02</v>
      </c>
      <c r="E1063" s="75">
        <v>93.03</v>
      </c>
      <c r="F1063">
        <v>-735.24</v>
      </c>
      <c r="G1063">
        <v>935.09999999999991</v>
      </c>
      <c r="H1063">
        <v>3584.4</v>
      </c>
      <c r="I1063">
        <v>346.5</v>
      </c>
      <c r="J1063">
        <v>4130.76</v>
      </c>
    </row>
    <row r="1064" spans="1:10" x14ac:dyDescent="0.35">
      <c r="A1064">
        <v>1048</v>
      </c>
      <c r="B1064" s="75">
        <v>89.411600000000007</v>
      </c>
      <c r="C1064" s="75">
        <v>98.131799999999998</v>
      </c>
      <c r="D1064" s="75">
        <v>93.930099999999996</v>
      </c>
      <c r="E1064" s="75">
        <v>91.682199999999995</v>
      </c>
      <c r="F1064">
        <v>468.59999999999997</v>
      </c>
      <c r="G1064">
        <v>117.15</v>
      </c>
      <c r="H1064">
        <v>-2228</v>
      </c>
      <c r="I1064">
        <v>1698.3999999999999</v>
      </c>
      <c r="J1064">
        <v>56.149999999999864</v>
      </c>
    </row>
    <row r="1065" spans="1:10" x14ac:dyDescent="0.35">
      <c r="A1065">
        <v>1049</v>
      </c>
      <c r="B1065" s="75">
        <v>88.96</v>
      </c>
      <c r="C1065" s="75">
        <v>98.4</v>
      </c>
      <c r="D1065" s="75">
        <v>93.61</v>
      </c>
      <c r="E1065" s="75">
        <v>94.09</v>
      </c>
      <c r="F1065">
        <v>1969.1100000000001</v>
      </c>
      <c r="G1065">
        <v>-290.25</v>
      </c>
      <c r="H1065">
        <v>-1592.4</v>
      </c>
      <c r="I1065">
        <v>-712.8</v>
      </c>
      <c r="J1065">
        <v>-626.33999999999992</v>
      </c>
    </row>
    <row r="1066" spans="1:10" x14ac:dyDescent="0.35">
      <c r="A1066">
        <v>1050</v>
      </c>
      <c r="B1066" s="75">
        <v>89.172399999999996</v>
      </c>
      <c r="C1066" s="75">
        <v>96.773799999999994</v>
      </c>
      <c r="D1066" s="75">
        <v>93.074100000000001</v>
      </c>
      <c r="E1066" s="75">
        <v>93.634600000000006</v>
      </c>
      <c r="F1066">
        <v>1257.96</v>
      </c>
      <c r="G1066">
        <v>2154.15</v>
      </c>
      <c r="H1066">
        <v>-516</v>
      </c>
      <c r="I1066">
        <v>-254</v>
      </c>
      <c r="J1066">
        <v>2642.11</v>
      </c>
    </row>
    <row r="1067" spans="1:10" x14ac:dyDescent="0.35">
      <c r="A1067">
        <v>1051</v>
      </c>
      <c r="B1067" s="75">
        <v>90.64</v>
      </c>
      <c r="C1067" s="75">
        <v>99.38</v>
      </c>
      <c r="D1067" s="75">
        <v>93.25</v>
      </c>
      <c r="E1067" s="75">
        <v>93.4</v>
      </c>
      <c r="F1067">
        <v>-3591.7200000000003</v>
      </c>
      <c r="G1067">
        <v>-1752.6000000000001</v>
      </c>
      <c r="H1067">
        <v>-858.40000000000009</v>
      </c>
      <c r="I1067">
        <v>-23</v>
      </c>
      <c r="J1067">
        <v>-6225.7200000000012</v>
      </c>
    </row>
    <row r="1068" spans="1:10" x14ac:dyDescent="0.35">
      <c r="A1068">
        <v>1052</v>
      </c>
      <c r="B1068" s="75">
        <v>89.700299999999999</v>
      </c>
      <c r="C1068" s="75">
        <v>98.223699999999994</v>
      </c>
      <c r="D1068" s="75">
        <v>94.243300000000005</v>
      </c>
      <c r="E1068" s="75">
        <v>94.923500000000004</v>
      </c>
      <c r="F1068">
        <v>-484.11</v>
      </c>
      <c r="G1068">
        <v>-20.7</v>
      </c>
      <c r="H1068">
        <v>-2854.4</v>
      </c>
      <c r="I1068">
        <v>-1542.8999999999999</v>
      </c>
      <c r="J1068">
        <v>-4902.1099999999997</v>
      </c>
    </row>
    <row r="1069" spans="1:10" x14ac:dyDescent="0.35">
      <c r="A1069">
        <v>1053</v>
      </c>
      <c r="B1069" s="75">
        <v>90.11</v>
      </c>
      <c r="C1069" s="75">
        <v>98.15</v>
      </c>
      <c r="D1069" s="75">
        <v>93.45</v>
      </c>
      <c r="E1069" s="75">
        <v>92.72</v>
      </c>
      <c r="F1069">
        <v>-1845.69</v>
      </c>
      <c r="G1069">
        <v>89.25</v>
      </c>
      <c r="H1069">
        <v>-1275.4000000000001</v>
      </c>
      <c r="I1069">
        <v>662.8</v>
      </c>
      <c r="J1069">
        <v>-2369.04</v>
      </c>
    </row>
    <row r="1070" spans="1:10" x14ac:dyDescent="0.35">
      <c r="A1070">
        <v>1054</v>
      </c>
      <c r="B1070" s="75">
        <v>89.686499999999995</v>
      </c>
      <c r="C1070" s="75">
        <v>96.813800000000001</v>
      </c>
      <c r="D1070" s="75">
        <v>93.337100000000007</v>
      </c>
      <c r="E1070" s="75">
        <v>93.492199999999997</v>
      </c>
      <c r="F1070">
        <v>-438.57</v>
      </c>
      <c r="G1070">
        <v>2094.1499999999996</v>
      </c>
      <c r="H1070">
        <v>-1042</v>
      </c>
      <c r="I1070">
        <v>-111.60000000000001</v>
      </c>
      <c r="J1070">
        <v>501.97999999999968</v>
      </c>
    </row>
    <row r="1071" spans="1:10" x14ac:dyDescent="0.35">
      <c r="A1071">
        <v>1055</v>
      </c>
      <c r="B1071" s="75">
        <v>88.95</v>
      </c>
      <c r="C1071" s="75">
        <v>98.99</v>
      </c>
      <c r="D1071" s="75">
        <v>91.59</v>
      </c>
      <c r="E1071" s="75">
        <v>91.07</v>
      </c>
      <c r="F1071">
        <v>2005.41</v>
      </c>
      <c r="G1071">
        <v>-1172.25</v>
      </c>
      <c r="H1071">
        <v>2457.8000000000002</v>
      </c>
      <c r="I1071">
        <v>2315.4</v>
      </c>
      <c r="J1071">
        <v>5606.3600000000006</v>
      </c>
    </row>
    <row r="1072" spans="1:10" x14ac:dyDescent="0.35">
      <c r="A1072">
        <v>1056</v>
      </c>
      <c r="B1072" s="75">
        <v>89.728999999999999</v>
      </c>
      <c r="C1072" s="75">
        <v>98.492199999999997</v>
      </c>
      <c r="D1072" s="75">
        <v>94.436599999999999</v>
      </c>
      <c r="E1072" s="75">
        <v>92.889200000000002</v>
      </c>
      <c r="F1072">
        <v>-578.82000000000005</v>
      </c>
      <c r="G1072">
        <v>-423.45</v>
      </c>
      <c r="H1072">
        <v>-3241</v>
      </c>
      <c r="I1072">
        <v>491.4</v>
      </c>
      <c r="J1072">
        <v>-3751.8700000000003</v>
      </c>
    </row>
    <row r="1073" spans="1:10" x14ac:dyDescent="0.35">
      <c r="A1073">
        <v>1057</v>
      </c>
      <c r="B1073" s="75">
        <v>90.2</v>
      </c>
      <c r="C1073" s="75">
        <v>100.48</v>
      </c>
      <c r="D1073" s="75">
        <v>91.45</v>
      </c>
      <c r="E1073" s="75">
        <v>95.5</v>
      </c>
      <c r="F1073">
        <v>-2121.9</v>
      </c>
      <c r="G1073">
        <v>-3403.5</v>
      </c>
      <c r="H1073">
        <v>2742</v>
      </c>
      <c r="I1073">
        <v>-2114.6</v>
      </c>
      <c r="J1073">
        <v>-4898</v>
      </c>
    </row>
    <row r="1074" spans="1:10" x14ac:dyDescent="0.35">
      <c r="A1074">
        <v>1058</v>
      </c>
      <c r="B1074" s="75">
        <v>89.092500000000001</v>
      </c>
      <c r="C1074" s="75">
        <v>97.025800000000004</v>
      </c>
      <c r="D1074" s="75">
        <v>92.33</v>
      </c>
      <c r="E1074" s="75">
        <v>93.529700000000005</v>
      </c>
      <c r="F1074">
        <v>1521.63</v>
      </c>
      <c r="G1074">
        <v>1776.1499999999999</v>
      </c>
      <c r="H1074">
        <v>972.19999999999993</v>
      </c>
      <c r="I1074">
        <v>-149.10000000000002</v>
      </c>
      <c r="J1074">
        <v>4120.8799999999992</v>
      </c>
    </row>
    <row r="1075" spans="1:10" x14ac:dyDescent="0.35">
      <c r="A1075">
        <v>1059</v>
      </c>
      <c r="B1075" s="75">
        <v>88.22</v>
      </c>
      <c r="C1075" s="75">
        <v>98.43</v>
      </c>
      <c r="D1075" s="75">
        <v>93.39</v>
      </c>
      <c r="E1075" s="75">
        <v>94.87</v>
      </c>
      <c r="F1075">
        <v>4401.54</v>
      </c>
      <c r="G1075">
        <v>-326.7</v>
      </c>
      <c r="H1075">
        <v>-1142.2</v>
      </c>
      <c r="I1075">
        <v>-1494.3</v>
      </c>
      <c r="J1075">
        <v>1438.3400000000004</v>
      </c>
    </row>
    <row r="1076" spans="1:10" x14ac:dyDescent="0.35">
      <c r="A1076">
        <v>1060</v>
      </c>
      <c r="B1076" s="75">
        <v>90.042699999999996</v>
      </c>
      <c r="C1076" s="75">
        <v>98.185699999999997</v>
      </c>
      <c r="D1076" s="75">
        <v>93.899799999999999</v>
      </c>
      <c r="E1076" s="75">
        <v>93.441900000000004</v>
      </c>
      <c r="F1076">
        <v>-1614.03</v>
      </c>
      <c r="G1076">
        <v>36.299999999999997</v>
      </c>
      <c r="H1076">
        <v>-2167.4</v>
      </c>
      <c r="I1076">
        <v>-61.3</v>
      </c>
      <c r="J1076">
        <v>-3806.4300000000003</v>
      </c>
    </row>
    <row r="1077" spans="1:10" x14ac:dyDescent="0.35">
      <c r="A1077">
        <v>1061</v>
      </c>
      <c r="B1077" s="75">
        <v>89.78</v>
      </c>
      <c r="C1077" s="75">
        <v>99.46</v>
      </c>
      <c r="D1077" s="75">
        <v>92.86</v>
      </c>
      <c r="E1077" s="75">
        <v>93.96</v>
      </c>
      <c r="F1077">
        <v>-758.01</v>
      </c>
      <c r="G1077">
        <v>-1882.1999999999998</v>
      </c>
      <c r="H1077">
        <v>-82</v>
      </c>
      <c r="I1077">
        <v>-581.6</v>
      </c>
      <c r="J1077">
        <v>-3303.81</v>
      </c>
    </row>
    <row r="1078" spans="1:10" x14ac:dyDescent="0.35">
      <c r="A1078">
        <v>1062</v>
      </c>
      <c r="B1078" s="75">
        <v>88.920199999999994</v>
      </c>
      <c r="C1078" s="75">
        <v>98.363299999999995</v>
      </c>
      <c r="D1078" s="75">
        <v>90.770200000000003</v>
      </c>
      <c r="E1078" s="75">
        <v>94.522499999999994</v>
      </c>
      <c r="F1078">
        <v>2090.2199999999998</v>
      </c>
      <c r="G1078">
        <v>-230.10000000000002</v>
      </c>
      <c r="H1078">
        <v>4091.8</v>
      </c>
      <c r="I1078">
        <v>-1141.8999999999999</v>
      </c>
      <c r="J1078">
        <v>4810.0200000000004</v>
      </c>
    </row>
    <row r="1079" spans="1:10" x14ac:dyDescent="0.35">
      <c r="A1079">
        <v>1063</v>
      </c>
      <c r="B1079" s="75">
        <v>90.33</v>
      </c>
      <c r="C1079" s="75">
        <v>97.05</v>
      </c>
      <c r="D1079" s="75">
        <v>91.81</v>
      </c>
      <c r="E1079" s="75">
        <v>90.61</v>
      </c>
      <c r="F1079">
        <v>-2574.66</v>
      </c>
      <c r="G1079">
        <v>1736.55</v>
      </c>
      <c r="H1079">
        <v>2006.4</v>
      </c>
      <c r="I1079">
        <v>2767.3</v>
      </c>
      <c r="J1079">
        <v>3935.59</v>
      </c>
    </row>
    <row r="1080" spans="1:10" x14ac:dyDescent="0.35">
      <c r="A1080">
        <v>1064</v>
      </c>
      <c r="B1080" s="75">
        <v>90.436400000000006</v>
      </c>
      <c r="C1080" s="75">
        <v>97.527900000000002</v>
      </c>
      <c r="D1080" s="75">
        <v>93.053899999999999</v>
      </c>
      <c r="E1080" s="75">
        <v>96.051599999999993</v>
      </c>
      <c r="F1080">
        <v>-2913.2400000000002</v>
      </c>
      <c r="G1080">
        <v>1023.0000000000001</v>
      </c>
      <c r="H1080">
        <v>-475.6</v>
      </c>
      <c r="I1080">
        <v>-2671</v>
      </c>
      <c r="J1080">
        <v>-5036.84</v>
      </c>
    </row>
    <row r="1081" spans="1:10" x14ac:dyDescent="0.35">
      <c r="A1081">
        <v>1065</v>
      </c>
      <c r="B1081" s="75">
        <v>89.8</v>
      </c>
      <c r="C1081" s="75">
        <v>97.54</v>
      </c>
      <c r="D1081" s="75">
        <v>91.82</v>
      </c>
      <c r="E1081" s="75">
        <v>94.12</v>
      </c>
      <c r="F1081">
        <v>-826.65</v>
      </c>
      <c r="G1081">
        <v>1009.1999999999999</v>
      </c>
      <c r="H1081">
        <v>1985.8</v>
      </c>
      <c r="I1081">
        <v>-736.3</v>
      </c>
      <c r="J1081">
        <v>1432.05</v>
      </c>
    </row>
    <row r="1082" spans="1:10" x14ac:dyDescent="0.35">
      <c r="A1082">
        <v>1066</v>
      </c>
      <c r="B1082" s="75">
        <v>89.456400000000002</v>
      </c>
      <c r="C1082" s="75">
        <v>100.22709999999999</v>
      </c>
      <c r="D1082" s="75">
        <v>91.460300000000004</v>
      </c>
      <c r="E1082" s="75">
        <v>96.144800000000004</v>
      </c>
      <c r="F1082">
        <v>320.76</v>
      </c>
      <c r="G1082">
        <v>-3025.7999999999997</v>
      </c>
      <c r="H1082">
        <v>2711.6</v>
      </c>
      <c r="I1082">
        <v>-2764.2000000000003</v>
      </c>
      <c r="J1082">
        <v>-2757.6400000000003</v>
      </c>
    </row>
    <row r="1083" spans="1:10" x14ac:dyDescent="0.35">
      <c r="A1083">
        <v>1067</v>
      </c>
      <c r="B1083" s="75">
        <v>89.11</v>
      </c>
      <c r="C1083" s="75">
        <v>98.29</v>
      </c>
      <c r="D1083" s="75">
        <v>91.75</v>
      </c>
      <c r="E1083" s="75">
        <v>93.58</v>
      </c>
      <c r="F1083">
        <v>1456.95</v>
      </c>
      <c r="G1083">
        <v>-123.45</v>
      </c>
      <c r="H1083">
        <v>2141</v>
      </c>
      <c r="I1083">
        <v>-197.4</v>
      </c>
      <c r="J1083">
        <v>3277.1</v>
      </c>
    </row>
    <row r="1084" spans="1:10" x14ac:dyDescent="0.35">
      <c r="A1084">
        <v>1068</v>
      </c>
      <c r="B1084" s="75">
        <v>88.821299999999994</v>
      </c>
      <c r="C1084" s="75">
        <v>98.917199999999994</v>
      </c>
      <c r="D1084" s="75">
        <v>92.102099999999993</v>
      </c>
      <c r="E1084" s="75">
        <v>94.114900000000006</v>
      </c>
      <c r="F1084">
        <v>2416.5899999999997</v>
      </c>
      <c r="G1084">
        <v>-1060.95</v>
      </c>
      <c r="H1084">
        <v>1428</v>
      </c>
      <c r="I1084">
        <v>-734.3</v>
      </c>
      <c r="J1084">
        <v>2049.3399999999992</v>
      </c>
    </row>
    <row r="1085" spans="1:10" x14ac:dyDescent="0.35">
      <c r="A1085">
        <v>1069</v>
      </c>
      <c r="B1085" s="75">
        <v>89.74</v>
      </c>
      <c r="C1085" s="75">
        <v>98.16</v>
      </c>
      <c r="D1085" s="75">
        <v>94.7</v>
      </c>
      <c r="E1085" s="75">
        <v>92.52</v>
      </c>
      <c r="F1085">
        <v>-618.75</v>
      </c>
      <c r="G1085">
        <v>76.8</v>
      </c>
      <c r="H1085">
        <v>-3772.8</v>
      </c>
      <c r="I1085">
        <v>858</v>
      </c>
      <c r="J1085">
        <v>-3456.75</v>
      </c>
    </row>
    <row r="1086" spans="1:10" x14ac:dyDescent="0.35">
      <c r="A1086">
        <v>1070</v>
      </c>
      <c r="B1086" s="75">
        <v>89.692300000000003</v>
      </c>
      <c r="C1086" s="75">
        <v>98.534599999999998</v>
      </c>
      <c r="D1086" s="75">
        <v>92.648200000000003</v>
      </c>
      <c r="E1086" s="75">
        <v>92.729399999999998</v>
      </c>
      <c r="F1086">
        <v>-457.71</v>
      </c>
      <c r="G1086">
        <v>-487.04999999999995</v>
      </c>
      <c r="H1086">
        <v>335.8</v>
      </c>
      <c r="I1086">
        <v>651.20000000000005</v>
      </c>
      <c r="J1086">
        <v>42.240000000000009</v>
      </c>
    </row>
    <row r="1087" spans="1:10" x14ac:dyDescent="0.35">
      <c r="A1087">
        <v>1071</v>
      </c>
      <c r="B1087" s="75">
        <v>89.36</v>
      </c>
      <c r="C1087" s="75">
        <v>98.39</v>
      </c>
      <c r="D1087" s="75">
        <v>92.76</v>
      </c>
      <c r="E1087" s="75">
        <v>92.66</v>
      </c>
      <c r="F1087">
        <v>645.15</v>
      </c>
      <c r="G1087">
        <v>-268.95</v>
      </c>
      <c r="H1087">
        <v>108.8</v>
      </c>
      <c r="I1087">
        <v>724.30000000000007</v>
      </c>
      <c r="J1087">
        <v>1209.3000000000002</v>
      </c>
    </row>
    <row r="1088" spans="1:10" x14ac:dyDescent="0.35">
      <c r="A1088">
        <v>1072</v>
      </c>
      <c r="B1088" s="75">
        <v>89.772400000000005</v>
      </c>
      <c r="C1088" s="75">
        <v>98.378900000000002</v>
      </c>
      <c r="D1088" s="75">
        <v>92.631200000000007</v>
      </c>
      <c r="E1088" s="75">
        <v>92.658799999999999</v>
      </c>
      <c r="F1088">
        <v>-722.04</v>
      </c>
      <c r="G1088">
        <v>-253.50000000000003</v>
      </c>
      <c r="H1088">
        <v>369.8</v>
      </c>
      <c r="I1088">
        <v>721.8</v>
      </c>
      <c r="J1088">
        <v>116.05999999999995</v>
      </c>
    </row>
    <row r="1089" spans="1:10" x14ac:dyDescent="0.35">
      <c r="A1089">
        <v>1073</v>
      </c>
      <c r="B1089" s="75">
        <v>89.19</v>
      </c>
      <c r="C1089" s="75">
        <v>98.11</v>
      </c>
      <c r="D1089" s="75">
        <v>91.43</v>
      </c>
      <c r="E1089" s="75">
        <v>94.93</v>
      </c>
      <c r="F1089">
        <v>1216.3799999999999</v>
      </c>
      <c r="G1089">
        <v>144.44999999999999</v>
      </c>
      <c r="H1089">
        <v>2766.4</v>
      </c>
      <c r="I1089">
        <v>-1550.1000000000001</v>
      </c>
      <c r="J1089">
        <v>2577.1299999999992</v>
      </c>
    </row>
    <row r="1090" spans="1:10" x14ac:dyDescent="0.35">
      <c r="A1090">
        <v>1074</v>
      </c>
      <c r="B1090" s="75">
        <v>91.034999999999997</v>
      </c>
      <c r="C1090" s="75">
        <v>98.049300000000002</v>
      </c>
      <c r="D1090" s="75">
        <v>91.615499999999997</v>
      </c>
      <c r="E1090" s="75">
        <v>93.776200000000003</v>
      </c>
      <c r="F1090">
        <v>-4888.62</v>
      </c>
      <c r="G1090">
        <v>240.89999999999998</v>
      </c>
      <c r="H1090">
        <v>2401.1999999999998</v>
      </c>
      <c r="I1090">
        <v>-395.6</v>
      </c>
      <c r="J1090">
        <v>-2642.1200000000003</v>
      </c>
    </row>
    <row r="1091" spans="1:10" x14ac:dyDescent="0.35">
      <c r="A1091">
        <v>1075</v>
      </c>
      <c r="B1091" s="75">
        <v>88.77</v>
      </c>
      <c r="C1091" s="75">
        <v>96.53</v>
      </c>
      <c r="D1091" s="75">
        <v>93.32</v>
      </c>
      <c r="E1091" s="75">
        <v>92.95</v>
      </c>
      <c r="F1091">
        <v>2593.8000000000002</v>
      </c>
      <c r="G1091">
        <v>2523.6</v>
      </c>
      <c r="H1091">
        <v>-1001.4000000000001</v>
      </c>
      <c r="I1091">
        <v>432.59999999999997</v>
      </c>
      <c r="J1091">
        <v>4548.6000000000004</v>
      </c>
    </row>
    <row r="1092" spans="1:10" x14ac:dyDescent="0.35">
      <c r="A1092">
        <v>1076</v>
      </c>
      <c r="B1092" s="75">
        <v>89.826099999999997</v>
      </c>
      <c r="C1092" s="75">
        <v>98.721199999999996</v>
      </c>
      <c r="D1092" s="75">
        <v>93.773399999999995</v>
      </c>
      <c r="E1092" s="75">
        <v>94.581599999999995</v>
      </c>
      <c r="F1092">
        <v>-899.25000000000011</v>
      </c>
      <c r="G1092">
        <v>-766.94999999999993</v>
      </c>
      <c r="H1092">
        <v>-1914.6000000000001</v>
      </c>
      <c r="I1092">
        <v>-1201</v>
      </c>
      <c r="J1092">
        <v>-4781.8</v>
      </c>
    </row>
    <row r="1093" spans="1:10" x14ac:dyDescent="0.35">
      <c r="A1093">
        <v>1077</v>
      </c>
      <c r="B1093" s="75">
        <v>89.94</v>
      </c>
      <c r="C1093" s="75">
        <v>98.38</v>
      </c>
      <c r="D1093" s="75">
        <v>93.28</v>
      </c>
      <c r="E1093" s="75">
        <v>90.68</v>
      </c>
      <c r="F1093">
        <v>-1284.3599999999999</v>
      </c>
      <c r="G1093">
        <v>-248.85</v>
      </c>
      <c r="H1093">
        <v>-920.8</v>
      </c>
      <c r="I1093">
        <v>2698.9</v>
      </c>
      <c r="J1093">
        <v>244.89000000000033</v>
      </c>
    </row>
    <row r="1094" spans="1:10" x14ac:dyDescent="0.35">
      <c r="A1094">
        <v>1078</v>
      </c>
      <c r="B1094" s="75">
        <v>90.282700000000006</v>
      </c>
      <c r="C1094" s="75">
        <v>98.674300000000002</v>
      </c>
      <c r="D1094" s="75">
        <v>94.264799999999994</v>
      </c>
      <c r="E1094" s="75">
        <v>93.471699999999998</v>
      </c>
      <c r="F1094">
        <v>-2406.0299999999997</v>
      </c>
      <c r="G1094">
        <v>-696.6</v>
      </c>
      <c r="H1094">
        <v>-2897.4</v>
      </c>
      <c r="I1094">
        <v>-91.1</v>
      </c>
      <c r="J1094">
        <v>-6091.13</v>
      </c>
    </row>
    <row r="1095" spans="1:10" x14ac:dyDescent="0.35">
      <c r="A1095">
        <v>1079</v>
      </c>
      <c r="B1095" s="75">
        <v>88.97</v>
      </c>
      <c r="C1095" s="75">
        <v>98.61</v>
      </c>
      <c r="D1095" s="75">
        <v>91.98</v>
      </c>
      <c r="E1095" s="75">
        <v>93.98</v>
      </c>
      <c r="F1095">
        <v>1927.1999999999998</v>
      </c>
      <c r="G1095">
        <v>-595.65</v>
      </c>
      <c r="H1095">
        <v>1673.8</v>
      </c>
      <c r="I1095">
        <v>-603.6</v>
      </c>
      <c r="J1095">
        <v>2401.7499999999995</v>
      </c>
    </row>
    <row r="1096" spans="1:10" x14ac:dyDescent="0.35">
      <c r="A1096">
        <v>1080</v>
      </c>
      <c r="B1096" s="75">
        <v>89.714299999999994</v>
      </c>
      <c r="C1096" s="75">
        <v>97.454300000000003</v>
      </c>
      <c r="D1096" s="75">
        <v>92.155799999999999</v>
      </c>
      <c r="E1096" s="75">
        <v>92.632499999999993</v>
      </c>
      <c r="F1096">
        <v>-530.31000000000006</v>
      </c>
      <c r="G1096">
        <v>1133.4000000000001</v>
      </c>
      <c r="H1096">
        <v>1320.6</v>
      </c>
      <c r="I1096">
        <v>748.1</v>
      </c>
      <c r="J1096">
        <v>2671.79</v>
      </c>
    </row>
    <row r="1097" spans="1:10" x14ac:dyDescent="0.35">
      <c r="A1097">
        <v>1081</v>
      </c>
      <c r="B1097" s="75">
        <v>90.16</v>
      </c>
      <c r="C1097" s="75">
        <v>97.51</v>
      </c>
      <c r="D1097" s="75">
        <v>93.46</v>
      </c>
      <c r="E1097" s="75">
        <v>92.69</v>
      </c>
      <c r="F1097">
        <v>-2008.38</v>
      </c>
      <c r="G1097">
        <v>1055.25</v>
      </c>
      <c r="H1097">
        <v>-1291.6000000000001</v>
      </c>
      <c r="I1097">
        <v>692.6</v>
      </c>
      <c r="J1097">
        <v>-1552.1300000000006</v>
      </c>
    </row>
    <row r="1098" spans="1:10" x14ac:dyDescent="0.35">
      <c r="A1098">
        <v>1082</v>
      </c>
      <c r="B1098" s="75">
        <v>89.663300000000007</v>
      </c>
      <c r="C1098" s="75">
        <v>98.238</v>
      </c>
      <c r="D1098" s="75">
        <v>93.223600000000005</v>
      </c>
      <c r="E1098" s="75">
        <v>91.515600000000006</v>
      </c>
      <c r="F1098">
        <v>-362.01</v>
      </c>
      <c r="G1098">
        <v>-42.15</v>
      </c>
      <c r="H1098">
        <v>-815</v>
      </c>
      <c r="I1098">
        <v>1865</v>
      </c>
      <c r="J1098">
        <v>645.84000000000015</v>
      </c>
    </row>
    <row r="1099" spans="1:10" x14ac:dyDescent="0.35">
      <c r="A1099">
        <v>1083</v>
      </c>
      <c r="B1099" s="75">
        <v>89.25</v>
      </c>
      <c r="C1099" s="75">
        <v>97.9</v>
      </c>
      <c r="D1099" s="75">
        <v>92.24</v>
      </c>
      <c r="E1099" s="75">
        <v>95.7</v>
      </c>
      <c r="F1099">
        <v>1018.38</v>
      </c>
      <c r="G1099">
        <v>463.20000000000005</v>
      </c>
      <c r="H1099">
        <v>1154.6000000000001</v>
      </c>
      <c r="I1099">
        <v>-2317.6999999999998</v>
      </c>
      <c r="J1099">
        <v>318.48000000000047</v>
      </c>
    </row>
    <row r="1100" spans="1:10" x14ac:dyDescent="0.35">
      <c r="A1100">
        <v>1084</v>
      </c>
      <c r="B1100" s="75">
        <v>89.363399999999999</v>
      </c>
      <c r="C1100" s="75">
        <v>98.191400000000002</v>
      </c>
      <c r="D1100" s="75">
        <v>92.493499999999997</v>
      </c>
      <c r="E1100" s="75">
        <v>96.985799999999998</v>
      </c>
      <c r="F1100">
        <v>627.66000000000008</v>
      </c>
      <c r="G1100">
        <v>27.75</v>
      </c>
      <c r="H1100">
        <v>645.20000000000005</v>
      </c>
      <c r="I1100">
        <v>-3605.2</v>
      </c>
      <c r="J1100">
        <v>-2304.5899999999997</v>
      </c>
    </row>
    <row r="1101" spans="1:10" x14ac:dyDescent="0.35">
      <c r="A1101">
        <v>1085</v>
      </c>
      <c r="B1101" s="75">
        <v>89.85</v>
      </c>
      <c r="C1101" s="75">
        <v>97.95</v>
      </c>
      <c r="D1101" s="75">
        <v>91.22</v>
      </c>
      <c r="E1101" s="75">
        <v>91.09</v>
      </c>
      <c r="F1101">
        <v>-963.93000000000006</v>
      </c>
      <c r="G1101">
        <v>395.55</v>
      </c>
      <c r="H1101">
        <v>3198</v>
      </c>
      <c r="I1101">
        <v>2287.6</v>
      </c>
      <c r="J1101">
        <v>4917.2199999999993</v>
      </c>
    </row>
    <row r="1102" spans="1:10" x14ac:dyDescent="0.35">
      <c r="A1102">
        <v>1086</v>
      </c>
      <c r="B1102" s="75">
        <v>89.298000000000002</v>
      </c>
      <c r="C1102" s="75">
        <v>98.673699999999997</v>
      </c>
      <c r="D1102" s="75">
        <v>94.014499999999998</v>
      </c>
      <c r="E1102" s="75">
        <v>89.418499999999995</v>
      </c>
      <c r="F1102">
        <v>843.48</v>
      </c>
      <c r="G1102">
        <v>-695.69999999999993</v>
      </c>
      <c r="H1102">
        <v>-2396.7999999999997</v>
      </c>
      <c r="I1102">
        <v>3962.1</v>
      </c>
      <c r="J1102">
        <v>1713.0800000000004</v>
      </c>
    </row>
    <row r="1103" spans="1:10" x14ac:dyDescent="0.35">
      <c r="A1103">
        <v>1087</v>
      </c>
      <c r="B1103" s="75">
        <v>89.62</v>
      </c>
      <c r="C1103" s="75">
        <v>97.53</v>
      </c>
      <c r="D1103" s="75">
        <v>93.22</v>
      </c>
      <c r="E1103" s="75">
        <v>92.19</v>
      </c>
      <c r="F1103">
        <v>-209.22</v>
      </c>
      <c r="G1103">
        <v>1026</v>
      </c>
      <c r="H1103">
        <v>-807.8</v>
      </c>
      <c r="I1103">
        <v>1193.8999999999999</v>
      </c>
      <c r="J1103">
        <v>1202.8799999999999</v>
      </c>
    </row>
    <row r="1104" spans="1:10" x14ac:dyDescent="0.35">
      <c r="A1104">
        <v>1088</v>
      </c>
      <c r="B1104" s="75">
        <v>89.454599999999999</v>
      </c>
      <c r="C1104" s="75">
        <v>98.038799999999995</v>
      </c>
      <c r="D1104" s="75">
        <v>93.071299999999994</v>
      </c>
      <c r="E1104" s="75">
        <v>95.793499999999995</v>
      </c>
      <c r="F1104">
        <v>326.7</v>
      </c>
      <c r="G1104">
        <v>256.64999999999998</v>
      </c>
      <c r="H1104">
        <v>-510.4</v>
      </c>
      <c r="I1104">
        <v>-2412.9</v>
      </c>
      <c r="J1104">
        <v>-2339.9500000000003</v>
      </c>
    </row>
    <row r="1105" spans="1:10" x14ac:dyDescent="0.35">
      <c r="A1105">
        <v>1089</v>
      </c>
      <c r="B1105" s="75">
        <v>89.93</v>
      </c>
      <c r="C1105" s="75">
        <v>98.25</v>
      </c>
      <c r="D1105" s="75">
        <v>90.67</v>
      </c>
      <c r="E1105" s="75">
        <v>92.84</v>
      </c>
      <c r="F1105">
        <v>-1256.31</v>
      </c>
      <c r="G1105">
        <v>-52.949999999999996</v>
      </c>
      <c r="H1105">
        <v>4301.5999999999995</v>
      </c>
      <c r="I1105">
        <v>544.4</v>
      </c>
      <c r="J1105">
        <v>3536.7399999999993</v>
      </c>
    </row>
    <row r="1106" spans="1:10" x14ac:dyDescent="0.35">
      <c r="A1106">
        <v>1090</v>
      </c>
      <c r="B1106" s="75">
        <v>89.297700000000006</v>
      </c>
      <c r="C1106" s="75">
        <v>96.485500000000002</v>
      </c>
      <c r="D1106" s="75">
        <v>92.609200000000001</v>
      </c>
      <c r="E1106" s="75">
        <v>91.009799999999998</v>
      </c>
      <c r="F1106">
        <v>844.47</v>
      </c>
      <c r="G1106">
        <v>2586.6</v>
      </c>
      <c r="H1106">
        <v>413.8</v>
      </c>
      <c r="I1106">
        <v>2370.8000000000002</v>
      </c>
      <c r="J1106">
        <v>6215.67</v>
      </c>
    </row>
    <row r="1107" spans="1:10" x14ac:dyDescent="0.35">
      <c r="A1107">
        <v>1091</v>
      </c>
      <c r="B1107" s="75">
        <v>89.51</v>
      </c>
      <c r="C1107" s="75">
        <v>98.19</v>
      </c>
      <c r="D1107" s="75">
        <v>92.99</v>
      </c>
      <c r="E1107" s="75">
        <v>92.19</v>
      </c>
      <c r="F1107">
        <v>147.51</v>
      </c>
      <c r="G1107">
        <v>26.999999999999996</v>
      </c>
      <c r="H1107">
        <v>-354.8</v>
      </c>
      <c r="I1107">
        <v>1195.5999999999999</v>
      </c>
      <c r="J1107">
        <v>1015.31</v>
      </c>
    </row>
    <row r="1108" spans="1:10" x14ac:dyDescent="0.35">
      <c r="A1108">
        <v>1092</v>
      </c>
      <c r="B1108" s="75">
        <v>90.000600000000006</v>
      </c>
      <c r="C1108" s="75">
        <v>98.340299999999999</v>
      </c>
      <c r="D1108" s="75">
        <v>92.826899999999995</v>
      </c>
      <c r="E1108" s="75">
        <v>92.785799999999995</v>
      </c>
      <c r="F1108">
        <v>-1475.1000000000001</v>
      </c>
      <c r="G1108">
        <v>-195.6</v>
      </c>
      <c r="H1108">
        <v>-21.6</v>
      </c>
      <c r="I1108">
        <v>594.79999999999995</v>
      </c>
      <c r="J1108">
        <v>-1097.5</v>
      </c>
    </row>
    <row r="1109" spans="1:10" x14ac:dyDescent="0.35">
      <c r="A1109">
        <v>1093</v>
      </c>
      <c r="B1109" s="75">
        <v>90.62</v>
      </c>
      <c r="C1109" s="75">
        <v>99.22</v>
      </c>
      <c r="D1109" s="75">
        <v>92.26</v>
      </c>
      <c r="E1109" s="75">
        <v>90.41</v>
      </c>
      <c r="F1109">
        <v>-3517.1400000000003</v>
      </c>
      <c r="G1109">
        <v>-1520.5500000000002</v>
      </c>
      <c r="H1109">
        <v>1103.2</v>
      </c>
      <c r="I1109">
        <v>2971.8</v>
      </c>
      <c r="J1109">
        <v>-962.69000000000051</v>
      </c>
    </row>
    <row r="1110" spans="1:10" x14ac:dyDescent="0.35">
      <c r="A1110">
        <v>1094</v>
      </c>
      <c r="B1110" s="75">
        <v>89.9893</v>
      </c>
      <c r="C1110" s="75">
        <v>98.185299999999998</v>
      </c>
      <c r="D1110" s="75">
        <v>92.1721</v>
      </c>
      <c r="E1110" s="75">
        <v>93.490099999999998</v>
      </c>
      <c r="F1110">
        <v>-1437.81</v>
      </c>
      <c r="G1110">
        <v>36.9</v>
      </c>
      <c r="H1110">
        <v>1288</v>
      </c>
      <c r="I1110">
        <v>-109.5</v>
      </c>
      <c r="J1110">
        <v>-222.40999999999985</v>
      </c>
    </row>
    <row r="1111" spans="1:10" x14ac:dyDescent="0.35">
      <c r="A1111">
        <v>1095</v>
      </c>
      <c r="B1111" s="75">
        <v>88.64</v>
      </c>
      <c r="C1111" s="75">
        <v>96.01</v>
      </c>
      <c r="D1111" s="75">
        <v>91.94</v>
      </c>
      <c r="E1111" s="75">
        <v>91.33</v>
      </c>
      <c r="F1111">
        <v>3007.29</v>
      </c>
      <c r="G1111">
        <v>3296.7</v>
      </c>
      <c r="H1111">
        <v>1745.6000000000001</v>
      </c>
      <c r="I1111">
        <v>2052</v>
      </c>
      <c r="J1111">
        <v>10101.59</v>
      </c>
    </row>
    <row r="1112" spans="1:10" x14ac:dyDescent="0.35">
      <c r="A1112">
        <v>1096</v>
      </c>
      <c r="B1112" s="75">
        <v>89.938400000000001</v>
      </c>
      <c r="C1112" s="75">
        <v>99.895200000000003</v>
      </c>
      <c r="D1112" s="75">
        <v>91.7941</v>
      </c>
      <c r="E1112" s="75">
        <v>92.714100000000002</v>
      </c>
      <c r="F1112">
        <v>-1269.8399999999999</v>
      </c>
      <c r="G1112">
        <v>-2527.9499999999998</v>
      </c>
      <c r="H1112">
        <v>2044</v>
      </c>
      <c r="I1112">
        <v>666.5</v>
      </c>
      <c r="J1112">
        <v>-1087.29</v>
      </c>
    </row>
    <row r="1113" spans="1:10" x14ac:dyDescent="0.35">
      <c r="A1113">
        <v>1097</v>
      </c>
      <c r="B1113" s="75">
        <v>90.13</v>
      </c>
      <c r="C1113" s="75">
        <v>99.1</v>
      </c>
      <c r="D1113" s="75">
        <v>91.72</v>
      </c>
      <c r="E1113" s="75">
        <v>90.85</v>
      </c>
      <c r="F1113">
        <v>-1899.81</v>
      </c>
      <c r="G1113">
        <v>-1340.25</v>
      </c>
      <c r="H1113">
        <v>2188.8000000000002</v>
      </c>
      <c r="I1113">
        <v>2532</v>
      </c>
      <c r="J1113">
        <v>1480.7400000000002</v>
      </c>
    </row>
    <row r="1114" spans="1:10" x14ac:dyDescent="0.35">
      <c r="A1114">
        <v>1098</v>
      </c>
      <c r="B1114" s="75">
        <v>89.674599999999998</v>
      </c>
      <c r="C1114" s="75">
        <v>98.7637</v>
      </c>
      <c r="D1114" s="75">
        <v>89.251999999999995</v>
      </c>
      <c r="E1114" s="75">
        <v>94.070800000000006</v>
      </c>
      <c r="F1114">
        <v>-399.3</v>
      </c>
      <c r="G1114">
        <v>-830.69999999999993</v>
      </c>
      <c r="H1114">
        <v>7128.2</v>
      </c>
      <c r="I1114">
        <v>-690.2</v>
      </c>
      <c r="J1114">
        <v>5208</v>
      </c>
    </row>
    <row r="1115" spans="1:10" x14ac:dyDescent="0.35">
      <c r="A1115">
        <v>1099</v>
      </c>
      <c r="B1115" s="75">
        <v>89.32</v>
      </c>
      <c r="C1115" s="75">
        <v>97.82</v>
      </c>
      <c r="D1115" s="75">
        <v>92.36</v>
      </c>
      <c r="E1115" s="75">
        <v>95.22</v>
      </c>
      <c r="F1115">
        <v>759.99</v>
      </c>
      <c r="G1115">
        <v>583.35</v>
      </c>
      <c r="H1115">
        <v>903.2</v>
      </c>
      <c r="I1115">
        <v>-1844.3</v>
      </c>
      <c r="J1115">
        <v>402.24</v>
      </c>
    </row>
    <row r="1116" spans="1:10" x14ac:dyDescent="0.35">
      <c r="A1116">
        <v>1100</v>
      </c>
      <c r="B1116" s="75">
        <v>88.914900000000003</v>
      </c>
      <c r="C1116" s="75">
        <v>98.783699999999996</v>
      </c>
      <c r="D1116" s="75">
        <v>94.208299999999994</v>
      </c>
      <c r="E1116" s="75">
        <v>90.466800000000006</v>
      </c>
      <c r="F1116">
        <v>2107.71</v>
      </c>
      <c r="G1116">
        <v>-860.69999999999993</v>
      </c>
      <c r="H1116">
        <v>-2784.4</v>
      </c>
      <c r="I1116">
        <v>2913.8</v>
      </c>
      <c r="J1116">
        <v>1376.4100000000003</v>
      </c>
    </row>
    <row r="1117" spans="1:10" x14ac:dyDescent="0.35">
      <c r="A1117">
        <v>1101</v>
      </c>
      <c r="B1117" s="75">
        <v>89.62</v>
      </c>
      <c r="C1117" s="75">
        <v>97.3</v>
      </c>
      <c r="D1117" s="75">
        <v>91.1</v>
      </c>
      <c r="E1117" s="75">
        <v>91.25</v>
      </c>
      <c r="F1117">
        <v>-214.83</v>
      </c>
      <c r="G1117">
        <v>1363.95</v>
      </c>
      <c r="H1117">
        <v>3434</v>
      </c>
      <c r="I1117">
        <v>2127.2000000000003</v>
      </c>
      <c r="J1117">
        <v>6710.32</v>
      </c>
    </row>
    <row r="1118" spans="1:10" x14ac:dyDescent="0.35">
      <c r="A1118">
        <v>1102</v>
      </c>
      <c r="B1118" s="75">
        <v>90.31</v>
      </c>
      <c r="C1118" s="75">
        <v>98.905900000000003</v>
      </c>
      <c r="D1118" s="75">
        <v>92.435199999999995</v>
      </c>
      <c r="E1118" s="75">
        <v>94.054100000000005</v>
      </c>
      <c r="F1118">
        <v>-2496.12</v>
      </c>
      <c r="G1118">
        <v>-1044</v>
      </c>
      <c r="H1118">
        <v>761.80000000000007</v>
      </c>
      <c r="I1118">
        <v>-673.5</v>
      </c>
      <c r="J1118">
        <v>-3451.8199999999997</v>
      </c>
    </row>
    <row r="1119" spans="1:10" x14ac:dyDescent="0.35">
      <c r="A1119">
        <v>1103</v>
      </c>
      <c r="B1119" s="75">
        <v>89.98</v>
      </c>
      <c r="C1119" s="75">
        <v>99.22</v>
      </c>
      <c r="D1119" s="75">
        <v>93.99</v>
      </c>
      <c r="E1119" s="75">
        <v>92.84</v>
      </c>
      <c r="F1119">
        <v>-1410.0900000000001</v>
      </c>
      <c r="G1119">
        <v>-1509.15</v>
      </c>
      <c r="H1119">
        <v>-2352.3999999999996</v>
      </c>
      <c r="I1119">
        <v>543.6</v>
      </c>
      <c r="J1119">
        <v>-4728.0399999999991</v>
      </c>
    </row>
    <row r="1120" spans="1:10" x14ac:dyDescent="0.35">
      <c r="A1120">
        <v>1104</v>
      </c>
      <c r="B1120" s="75">
        <v>88.416700000000006</v>
      </c>
      <c r="C1120" s="75">
        <v>99.633300000000006</v>
      </c>
      <c r="D1120" s="75">
        <v>92.914699999999996</v>
      </c>
      <c r="E1120" s="75">
        <v>91.136300000000006</v>
      </c>
      <c r="F1120">
        <v>3751.77</v>
      </c>
      <c r="G1120">
        <v>-2135.1</v>
      </c>
      <c r="H1120">
        <v>-197.2</v>
      </c>
      <c r="I1120">
        <v>2244.3000000000002</v>
      </c>
      <c r="J1120">
        <v>3663.7700000000004</v>
      </c>
    </row>
    <row r="1121" spans="1:10" x14ac:dyDescent="0.35">
      <c r="A1121">
        <v>1105</v>
      </c>
      <c r="B1121" s="75">
        <v>89.28</v>
      </c>
      <c r="C1121" s="75">
        <v>96.43</v>
      </c>
      <c r="D1121" s="75">
        <v>92.9</v>
      </c>
      <c r="E1121" s="75">
        <v>91.6</v>
      </c>
      <c r="F1121">
        <v>911.13</v>
      </c>
      <c r="G1121">
        <v>2676.75</v>
      </c>
      <c r="H1121">
        <v>-165.8</v>
      </c>
      <c r="I1121">
        <v>1781.1</v>
      </c>
      <c r="J1121">
        <v>5203.18</v>
      </c>
    </row>
    <row r="1122" spans="1:10" x14ac:dyDescent="0.35">
      <c r="A1122">
        <v>1106</v>
      </c>
      <c r="B1122" s="75">
        <v>89.855199999999996</v>
      </c>
      <c r="C1122" s="75">
        <v>97.623000000000005</v>
      </c>
      <c r="D1122" s="75">
        <v>93.637299999999996</v>
      </c>
      <c r="E1122" s="75">
        <v>91.424599999999998</v>
      </c>
      <c r="F1122">
        <v>-995.28</v>
      </c>
      <c r="G1122">
        <v>880.34999999999991</v>
      </c>
      <c r="H1122">
        <v>-1642.4</v>
      </c>
      <c r="I1122">
        <v>1956</v>
      </c>
      <c r="J1122">
        <v>198.66999999999985</v>
      </c>
    </row>
    <row r="1123" spans="1:10" x14ac:dyDescent="0.35">
      <c r="A1123">
        <v>1107</v>
      </c>
      <c r="B1123" s="75">
        <v>88.84</v>
      </c>
      <c r="C1123" s="75">
        <v>98.62</v>
      </c>
      <c r="D1123" s="75">
        <v>93.07</v>
      </c>
      <c r="E1123" s="75">
        <v>94.09</v>
      </c>
      <c r="F1123">
        <v>2350.2600000000002</v>
      </c>
      <c r="G1123">
        <v>-617.85</v>
      </c>
      <c r="H1123">
        <v>-502</v>
      </c>
      <c r="I1123">
        <v>-714.09999999999991</v>
      </c>
      <c r="J1123">
        <v>516.3100000000004</v>
      </c>
    </row>
    <row r="1124" spans="1:10" x14ac:dyDescent="0.35">
      <c r="A1124">
        <v>1108</v>
      </c>
      <c r="B1124" s="75">
        <v>89.934100000000001</v>
      </c>
      <c r="C1124" s="75">
        <v>97.368399999999994</v>
      </c>
      <c r="D1124" s="75">
        <v>93.771299999999997</v>
      </c>
      <c r="E1124" s="75">
        <v>94.606200000000001</v>
      </c>
      <c r="F1124">
        <v>-1255.6500000000001</v>
      </c>
      <c r="G1124">
        <v>1262.25</v>
      </c>
      <c r="H1124">
        <v>-1910.4</v>
      </c>
      <c r="I1124">
        <v>-1225.5999999999999</v>
      </c>
      <c r="J1124">
        <v>-3129.4</v>
      </c>
    </row>
    <row r="1125" spans="1:10" x14ac:dyDescent="0.35">
      <c r="A1125">
        <v>1109</v>
      </c>
      <c r="B1125" s="75">
        <v>90.47</v>
      </c>
      <c r="C1125" s="75">
        <v>98.11</v>
      </c>
      <c r="D1125" s="75">
        <v>93.26</v>
      </c>
      <c r="E1125" s="75">
        <v>91.65</v>
      </c>
      <c r="F1125">
        <v>-3036.9900000000002</v>
      </c>
      <c r="G1125">
        <v>156.45000000000002</v>
      </c>
      <c r="H1125">
        <v>-891.2</v>
      </c>
      <c r="I1125">
        <v>1729.7</v>
      </c>
      <c r="J1125">
        <v>-2042.0400000000006</v>
      </c>
    </row>
    <row r="1126" spans="1:10" x14ac:dyDescent="0.35">
      <c r="A1126">
        <v>1110</v>
      </c>
      <c r="B1126" s="75">
        <v>89.475499999999997</v>
      </c>
      <c r="C1126" s="75">
        <v>98.261300000000006</v>
      </c>
      <c r="D1126" s="75">
        <v>92.135099999999994</v>
      </c>
      <c r="E1126" s="75">
        <v>92.366100000000003</v>
      </c>
      <c r="F1126">
        <v>257.73</v>
      </c>
      <c r="G1126">
        <v>-77.100000000000009</v>
      </c>
      <c r="H1126">
        <v>1362</v>
      </c>
      <c r="I1126">
        <v>1014.5</v>
      </c>
      <c r="J1126">
        <v>2557.13</v>
      </c>
    </row>
    <row r="1127" spans="1:10" x14ac:dyDescent="0.35">
      <c r="A1127">
        <v>1111</v>
      </c>
      <c r="B1127" s="75">
        <v>90.01</v>
      </c>
      <c r="C1127" s="75">
        <v>98.29</v>
      </c>
      <c r="D1127" s="75">
        <v>92.37</v>
      </c>
      <c r="E1127" s="75">
        <v>94.15</v>
      </c>
      <c r="F1127">
        <v>-1508.1000000000001</v>
      </c>
      <c r="G1127">
        <v>-119.25</v>
      </c>
      <c r="H1127">
        <v>900.59999999999991</v>
      </c>
      <c r="I1127">
        <v>-766.3</v>
      </c>
      <c r="J1127">
        <v>-1493.0500000000002</v>
      </c>
    </row>
    <row r="1128" spans="1:10" x14ac:dyDescent="0.35">
      <c r="A1128">
        <v>1112</v>
      </c>
      <c r="B1128" s="75">
        <v>89.186400000000006</v>
      </c>
      <c r="C1128" s="75">
        <v>98.184799999999996</v>
      </c>
      <c r="D1128" s="75">
        <v>92.351900000000001</v>
      </c>
      <c r="E1128" s="75">
        <v>95.2483</v>
      </c>
      <c r="F1128">
        <v>1211.76</v>
      </c>
      <c r="G1128">
        <v>37.65</v>
      </c>
      <c r="H1128">
        <v>928.4</v>
      </c>
      <c r="I1128">
        <v>-1867.6999999999998</v>
      </c>
      <c r="J1128">
        <v>310.11000000000013</v>
      </c>
    </row>
    <row r="1129" spans="1:10" x14ac:dyDescent="0.35">
      <c r="A1129">
        <v>1113</v>
      </c>
      <c r="B1129" s="75">
        <v>89.52</v>
      </c>
      <c r="C1129" s="75">
        <v>99.62</v>
      </c>
      <c r="D1129" s="75">
        <v>93.75</v>
      </c>
      <c r="E1129" s="75">
        <v>93.37</v>
      </c>
      <c r="F1129">
        <v>95.039999999999992</v>
      </c>
      <c r="G1129">
        <v>-2116.9499999999998</v>
      </c>
      <c r="H1129">
        <v>-1866.4</v>
      </c>
      <c r="I1129">
        <v>9.7000000000000011</v>
      </c>
      <c r="J1129">
        <v>-3878.61</v>
      </c>
    </row>
    <row r="1130" spans="1:10" x14ac:dyDescent="0.35">
      <c r="A1130">
        <v>1114</v>
      </c>
      <c r="B1130" s="75">
        <v>90.150700000000001</v>
      </c>
      <c r="C1130" s="75">
        <v>98.4101</v>
      </c>
      <c r="D1130" s="75">
        <v>93.4512</v>
      </c>
      <c r="E1130" s="75">
        <v>91.763099999999994</v>
      </c>
      <c r="F1130">
        <v>-1970.4299999999998</v>
      </c>
      <c r="G1130">
        <v>-300.3</v>
      </c>
      <c r="H1130">
        <v>-1270.2</v>
      </c>
      <c r="I1130">
        <v>1617.5</v>
      </c>
      <c r="J1130">
        <v>-1923.4300000000003</v>
      </c>
    </row>
    <row r="1131" spans="1:10" x14ac:dyDescent="0.35">
      <c r="A1131">
        <v>1115</v>
      </c>
      <c r="B1131" s="75">
        <v>90.57</v>
      </c>
      <c r="C1131" s="75">
        <v>96.95</v>
      </c>
      <c r="D1131" s="75">
        <v>93.65</v>
      </c>
      <c r="E1131" s="75">
        <v>93.42</v>
      </c>
      <c r="F1131">
        <v>-3337.6200000000003</v>
      </c>
      <c r="G1131">
        <v>1896.15</v>
      </c>
      <c r="H1131">
        <v>-1671.8</v>
      </c>
      <c r="I1131">
        <v>-36.4</v>
      </c>
      <c r="J1131">
        <v>-3149.6700000000005</v>
      </c>
    </row>
    <row r="1132" spans="1:10" x14ac:dyDescent="0.35">
      <c r="A1132">
        <v>1116</v>
      </c>
      <c r="B1132" s="75">
        <v>90.134299999999996</v>
      </c>
      <c r="C1132" s="75">
        <v>98.345299999999995</v>
      </c>
      <c r="D1132" s="75">
        <v>93.826300000000003</v>
      </c>
      <c r="E1132" s="75">
        <v>95.494500000000002</v>
      </c>
      <c r="F1132">
        <v>-1916.31</v>
      </c>
      <c r="G1132">
        <v>-203.1</v>
      </c>
      <c r="H1132">
        <v>-2020.3999999999999</v>
      </c>
      <c r="I1132">
        <v>-2113.9</v>
      </c>
      <c r="J1132">
        <v>-6253.7099999999991</v>
      </c>
    </row>
    <row r="1133" spans="1:10" x14ac:dyDescent="0.35">
      <c r="A1133">
        <v>1117</v>
      </c>
      <c r="B1133" s="75">
        <v>89.06</v>
      </c>
      <c r="C1133" s="75">
        <v>98.28</v>
      </c>
      <c r="D1133" s="75">
        <v>93.35</v>
      </c>
      <c r="E1133" s="75">
        <v>94.44</v>
      </c>
      <c r="F1133">
        <v>1642.08</v>
      </c>
      <c r="G1133">
        <v>-102.14999999999999</v>
      </c>
      <c r="H1133">
        <v>-1057.8000000000002</v>
      </c>
      <c r="I1133">
        <v>-1056.8</v>
      </c>
      <c r="J1133">
        <v>-574.6700000000003</v>
      </c>
    </row>
    <row r="1134" spans="1:10" x14ac:dyDescent="0.35">
      <c r="A1134">
        <v>1118</v>
      </c>
      <c r="B1134" s="75">
        <v>89.986999999999995</v>
      </c>
      <c r="C1134" s="75">
        <v>99.422300000000007</v>
      </c>
      <c r="D1134" s="75">
        <v>91.217299999999994</v>
      </c>
      <c r="E1134" s="75">
        <v>93.4876</v>
      </c>
      <c r="F1134">
        <v>-1430.22</v>
      </c>
      <c r="G1134">
        <v>-1818.6</v>
      </c>
      <c r="H1134">
        <v>3197.6</v>
      </c>
      <c r="I1134">
        <v>-107</v>
      </c>
      <c r="J1134">
        <v>-158.2199999999998</v>
      </c>
    </row>
    <row r="1135" spans="1:10" x14ac:dyDescent="0.35">
      <c r="A1135">
        <v>1119</v>
      </c>
      <c r="B1135" s="75">
        <v>90</v>
      </c>
      <c r="C1135" s="75">
        <v>100.17</v>
      </c>
      <c r="D1135" s="75">
        <v>93.47</v>
      </c>
      <c r="E1135" s="75">
        <v>93.9</v>
      </c>
      <c r="F1135">
        <v>-1478.0700000000002</v>
      </c>
      <c r="G1135">
        <v>-2935.8</v>
      </c>
      <c r="H1135">
        <v>-1310.4000000000001</v>
      </c>
      <c r="I1135">
        <v>-523.20000000000005</v>
      </c>
      <c r="J1135">
        <v>-6247.47</v>
      </c>
    </row>
    <row r="1136" spans="1:10" x14ac:dyDescent="0.35">
      <c r="A1136">
        <v>1120</v>
      </c>
      <c r="B1136" s="75">
        <v>89.328900000000004</v>
      </c>
      <c r="C1136" s="75">
        <v>98.287400000000005</v>
      </c>
      <c r="D1136" s="75">
        <v>93.616699999999994</v>
      </c>
      <c r="E1136" s="75">
        <v>93.725099999999998</v>
      </c>
      <c r="F1136">
        <v>741.51</v>
      </c>
      <c r="G1136">
        <v>-116.25</v>
      </c>
      <c r="H1136">
        <v>-1601.2</v>
      </c>
      <c r="I1136">
        <v>-344.5</v>
      </c>
      <c r="J1136">
        <v>-1320.44</v>
      </c>
    </row>
    <row r="1137" spans="1:10" x14ac:dyDescent="0.35">
      <c r="A1137">
        <v>1121</v>
      </c>
      <c r="B1137" s="75">
        <v>89.65</v>
      </c>
      <c r="C1137" s="75">
        <v>97.84</v>
      </c>
      <c r="D1137" s="75">
        <v>95.12</v>
      </c>
      <c r="E1137" s="75">
        <v>92.28</v>
      </c>
      <c r="F1137">
        <v>-302.28000000000003</v>
      </c>
      <c r="G1137">
        <v>551.1</v>
      </c>
      <c r="H1137">
        <v>-4600.7999999999993</v>
      </c>
      <c r="I1137">
        <v>1100.8</v>
      </c>
      <c r="J1137">
        <v>-3251.1799999999994</v>
      </c>
    </row>
    <row r="1138" spans="1:10" x14ac:dyDescent="0.35">
      <c r="A1138">
        <v>1122</v>
      </c>
      <c r="B1138" s="75">
        <v>89.287199999999999</v>
      </c>
      <c r="C1138" s="75">
        <v>97.532600000000002</v>
      </c>
      <c r="D1138" s="75">
        <v>93.080100000000002</v>
      </c>
      <c r="E1138" s="75">
        <v>91.938199999999995</v>
      </c>
      <c r="F1138">
        <v>879.12000000000012</v>
      </c>
      <c r="G1138">
        <v>1015.95</v>
      </c>
      <c r="H1138">
        <v>-528</v>
      </c>
      <c r="I1138">
        <v>1442.3999999999999</v>
      </c>
      <c r="J1138">
        <v>2809.4700000000003</v>
      </c>
    </row>
    <row r="1139" spans="1:10" x14ac:dyDescent="0.35">
      <c r="A1139">
        <v>1123</v>
      </c>
      <c r="B1139" s="75">
        <v>89.55</v>
      </c>
      <c r="C1139" s="75">
        <v>98.35</v>
      </c>
      <c r="D1139" s="75">
        <v>95.32</v>
      </c>
      <c r="E1139" s="75">
        <v>92.91</v>
      </c>
      <c r="F1139">
        <v>20.79</v>
      </c>
      <c r="G1139">
        <v>-216.45000000000002</v>
      </c>
      <c r="H1139">
        <v>-5014.5999999999995</v>
      </c>
      <c r="I1139">
        <v>466.2</v>
      </c>
      <c r="J1139">
        <v>-4744.0599999999995</v>
      </c>
    </row>
    <row r="1140" spans="1:10" x14ac:dyDescent="0.35">
      <c r="A1140">
        <v>1124</v>
      </c>
      <c r="B1140" s="75">
        <v>89.5214</v>
      </c>
      <c r="C1140" s="75">
        <v>98.363799999999998</v>
      </c>
      <c r="D1140" s="75">
        <v>93.063299999999998</v>
      </c>
      <c r="E1140" s="75">
        <v>90.840599999999995</v>
      </c>
      <c r="F1140">
        <v>106.26</v>
      </c>
      <c r="G1140">
        <v>-230.85000000000002</v>
      </c>
      <c r="H1140">
        <v>-494.40000000000003</v>
      </c>
      <c r="I1140">
        <v>2540</v>
      </c>
      <c r="J1140">
        <v>1921.01</v>
      </c>
    </row>
    <row r="1141" spans="1:10" x14ac:dyDescent="0.35">
      <c r="A1141">
        <v>1125</v>
      </c>
      <c r="B1141" s="75">
        <v>89.47</v>
      </c>
      <c r="C1141" s="75">
        <v>99.2</v>
      </c>
      <c r="D1141" s="75">
        <v>93.32</v>
      </c>
      <c r="E1141" s="75">
        <v>90.57</v>
      </c>
      <c r="F1141">
        <v>267.95999999999998</v>
      </c>
      <c r="G1141">
        <v>-1484.85</v>
      </c>
      <c r="H1141">
        <v>-1010.4</v>
      </c>
      <c r="I1141">
        <v>2809.8999999999996</v>
      </c>
      <c r="J1141">
        <v>582.60999999999967</v>
      </c>
    </row>
    <row r="1142" spans="1:10" x14ac:dyDescent="0.35">
      <c r="A1142">
        <v>1126</v>
      </c>
      <c r="B1142" s="75">
        <v>88.933599999999998</v>
      </c>
      <c r="C1142" s="75">
        <v>100.1857</v>
      </c>
      <c r="D1142" s="75">
        <v>91.787199999999999</v>
      </c>
      <c r="E1142" s="75">
        <v>94.899900000000002</v>
      </c>
      <c r="F1142">
        <v>2046</v>
      </c>
      <c r="G1142">
        <v>-2963.7</v>
      </c>
      <c r="H1142">
        <v>2057.7999999999997</v>
      </c>
      <c r="I1142">
        <v>-1519.3000000000002</v>
      </c>
      <c r="J1142">
        <v>-379.20000000000027</v>
      </c>
    </row>
    <row r="1143" spans="1:10" x14ac:dyDescent="0.35">
      <c r="A1143">
        <v>1127</v>
      </c>
      <c r="B1143" s="75">
        <v>90.02</v>
      </c>
      <c r="C1143" s="75">
        <v>97.69</v>
      </c>
      <c r="D1143" s="75">
        <v>93.72</v>
      </c>
      <c r="E1143" s="75">
        <v>92.47</v>
      </c>
      <c r="F1143">
        <v>-1535.16</v>
      </c>
      <c r="G1143">
        <v>779.7</v>
      </c>
      <c r="H1143">
        <v>-1816.2</v>
      </c>
      <c r="I1143">
        <v>912.8</v>
      </c>
      <c r="J1143">
        <v>-1658.86</v>
      </c>
    </row>
    <row r="1144" spans="1:10" x14ac:dyDescent="0.35">
      <c r="A1144">
        <v>1128</v>
      </c>
      <c r="B1144" s="75">
        <v>88.855000000000004</v>
      </c>
      <c r="C1144" s="75">
        <v>97.113500000000002</v>
      </c>
      <c r="D1144" s="75">
        <v>92.216999999999999</v>
      </c>
      <c r="E1144" s="75">
        <v>90.358400000000003</v>
      </c>
      <c r="F1144">
        <v>2305.38</v>
      </c>
      <c r="G1144">
        <v>1644.6000000000001</v>
      </c>
      <c r="H1144">
        <v>1198.1999999999998</v>
      </c>
      <c r="I1144">
        <v>3022.2000000000003</v>
      </c>
      <c r="J1144">
        <v>8170.380000000001</v>
      </c>
    </row>
    <row r="1145" spans="1:10" x14ac:dyDescent="0.35">
      <c r="A1145">
        <v>1129</v>
      </c>
      <c r="B1145" s="75">
        <v>89.09</v>
      </c>
      <c r="C1145" s="75">
        <v>97.85</v>
      </c>
      <c r="D1145" s="75">
        <v>93.56</v>
      </c>
      <c r="E1145" s="75">
        <v>95.04</v>
      </c>
      <c r="F1145">
        <v>1534.8300000000002</v>
      </c>
      <c r="G1145">
        <v>546</v>
      </c>
      <c r="H1145">
        <v>-1480.8</v>
      </c>
      <c r="I1145">
        <v>-1658.6000000000001</v>
      </c>
      <c r="J1145">
        <v>-1058.5700000000002</v>
      </c>
    </row>
    <row r="1146" spans="1:10" x14ac:dyDescent="0.35">
      <c r="A1146">
        <v>1130</v>
      </c>
      <c r="B1146" s="75">
        <v>90.255600000000001</v>
      </c>
      <c r="C1146" s="75">
        <v>98.205699999999993</v>
      </c>
      <c r="D1146" s="75">
        <v>93.427300000000002</v>
      </c>
      <c r="E1146" s="75">
        <v>93.555099999999996</v>
      </c>
      <c r="F1146">
        <v>-2316.6</v>
      </c>
      <c r="G1146">
        <v>6.3</v>
      </c>
      <c r="H1146">
        <v>-1222.3999999999999</v>
      </c>
      <c r="I1146">
        <v>-174.5</v>
      </c>
      <c r="J1146">
        <v>-3707.2</v>
      </c>
    </row>
    <row r="1147" spans="1:10" x14ac:dyDescent="0.35">
      <c r="A1147">
        <v>1131</v>
      </c>
      <c r="B1147" s="75">
        <v>90.23</v>
      </c>
      <c r="C1147" s="75">
        <v>98.37</v>
      </c>
      <c r="D1147" s="75">
        <v>92.61</v>
      </c>
      <c r="E1147" s="75">
        <v>92.59</v>
      </c>
      <c r="F1147">
        <v>-2243.0099999999998</v>
      </c>
      <c r="G1147">
        <v>-247.35</v>
      </c>
      <c r="H1147">
        <v>404.4</v>
      </c>
      <c r="I1147">
        <v>792.1</v>
      </c>
      <c r="J1147">
        <v>-1293.8599999999997</v>
      </c>
    </row>
    <row r="1148" spans="1:10" x14ac:dyDescent="0.35">
      <c r="A1148">
        <v>1132</v>
      </c>
      <c r="B1148" s="75">
        <v>90.42</v>
      </c>
      <c r="C1148" s="75">
        <v>98.206699999999998</v>
      </c>
      <c r="D1148" s="75">
        <v>91.761099999999999</v>
      </c>
      <c r="E1148" s="75">
        <v>92.153700000000001</v>
      </c>
      <c r="F1148">
        <v>-2859.12</v>
      </c>
      <c r="G1148">
        <v>4.8</v>
      </c>
      <c r="H1148">
        <v>2110</v>
      </c>
      <c r="I1148">
        <v>1226.9000000000001</v>
      </c>
      <c r="J1148">
        <v>482.58000000000038</v>
      </c>
    </row>
    <row r="1149" spans="1:10" x14ac:dyDescent="0.35">
      <c r="A1149">
        <v>1133</v>
      </c>
      <c r="B1149" s="75">
        <v>89.57</v>
      </c>
      <c r="C1149" s="75">
        <v>98.72</v>
      </c>
      <c r="D1149" s="75">
        <v>93.57</v>
      </c>
      <c r="E1149" s="75">
        <v>92.21</v>
      </c>
      <c r="F1149">
        <v>-38.279999999999994</v>
      </c>
      <c r="G1149">
        <v>-767.85</v>
      </c>
      <c r="H1149">
        <v>-1503.4</v>
      </c>
      <c r="I1149">
        <v>1169.5999999999999</v>
      </c>
      <c r="J1149">
        <v>-1139.9300000000003</v>
      </c>
    </row>
    <row r="1150" spans="1:10" x14ac:dyDescent="0.35">
      <c r="A1150">
        <v>1134</v>
      </c>
      <c r="B1150" s="75">
        <v>89.229200000000006</v>
      </c>
      <c r="C1150" s="75">
        <v>98.002600000000001</v>
      </c>
      <c r="D1150" s="75">
        <v>91.622799999999998</v>
      </c>
      <c r="E1150" s="75">
        <v>92.413200000000003</v>
      </c>
      <c r="F1150">
        <v>1070.52</v>
      </c>
      <c r="G1150">
        <v>310.95000000000005</v>
      </c>
      <c r="H1150">
        <v>2386.6</v>
      </c>
      <c r="I1150">
        <v>967.40000000000009</v>
      </c>
      <c r="J1150">
        <v>4735.4699999999993</v>
      </c>
    </row>
    <row r="1151" spans="1:10" x14ac:dyDescent="0.35">
      <c r="A1151">
        <v>1135</v>
      </c>
      <c r="B1151" s="75">
        <v>89.76</v>
      </c>
      <c r="C1151" s="75">
        <v>97.21</v>
      </c>
      <c r="D1151" s="75">
        <v>91.22</v>
      </c>
      <c r="E1151" s="75">
        <v>96.19</v>
      </c>
      <c r="F1151">
        <v>-664.62</v>
      </c>
      <c r="G1151">
        <v>1494.6</v>
      </c>
      <c r="H1151">
        <v>3201</v>
      </c>
      <c r="I1151">
        <v>-2808.5</v>
      </c>
      <c r="J1151">
        <v>1222.48</v>
      </c>
    </row>
    <row r="1152" spans="1:10" x14ac:dyDescent="0.35">
      <c r="A1152">
        <v>1136</v>
      </c>
      <c r="B1152" s="75">
        <v>88.996499999999997</v>
      </c>
      <c r="C1152" s="75">
        <v>98.947299999999998</v>
      </c>
      <c r="D1152" s="75">
        <v>93.613299999999995</v>
      </c>
      <c r="E1152" s="75">
        <v>93.960700000000003</v>
      </c>
      <c r="F1152">
        <v>1838.43</v>
      </c>
      <c r="G1152">
        <v>-1106.1000000000001</v>
      </c>
      <c r="H1152">
        <v>-1594.4</v>
      </c>
      <c r="I1152">
        <v>-580.09999999999991</v>
      </c>
      <c r="J1152">
        <v>-1442.17</v>
      </c>
    </row>
    <row r="1153" spans="1:10" x14ac:dyDescent="0.35">
      <c r="A1153">
        <v>1137</v>
      </c>
      <c r="B1153" s="75">
        <v>89.57</v>
      </c>
      <c r="C1153" s="75">
        <v>98.8</v>
      </c>
      <c r="D1153" s="75">
        <v>92.35</v>
      </c>
      <c r="E1153" s="75">
        <v>94.72</v>
      </c>
      <c r="F1153">
        <v>-46.53</v>
      </c>
      <c r="G1153">
        <v>-882.75</v>
      </c>
      <c r="H1153">
        <v>932.2</v>
      </c>
      <c r="I1153">
        <v>-1335.9</v>
      </c>
      <c r="J1153">
        <v>-1332.98</v>
      </c>
    </row>
    <row r="1154" spans="1:10" x14ac:dyDescent="0.35">
      <c r="A1154">
        <v>1138</v>
      </c>
      <c r="B1154" s="75">
        <v>89.795000000000002</v>
      </c>
      <c r="C1154" s="75">
        <v>98.0364</v>
      </c>
      <c r="D1154" s="75">
        <v>94.468699999999998</v>
      </c>
      <c r="E1154" s="75">
        <v>91.636799999999994</v>
      </c>
      <c r="F1154">
        <v>-796.62</v>
      </c>
      <c r="G1154">
        <v>260.25</v>
      </c>
      <c r="H1154">
        <v>-3305.2000000000003</v>
      </c>
      <c r="I1154">
        <v>1743.8</v>
      </c>
      <c r="J1154">
        <v>-2097.7700000000004</v>
      </c>
    </row>
    <row r="1155" spans="1:10" x14ac:dyDescent="0.35">
      <c r="A1155">
        <v>1139</v>
      </c>
      <c r="B1155" s="75">
        <v>90.5</v>
      </c>
      <c r="C1155" s="75">
        <v>98.88</v>
      </c>
      <c r="D1155" s="75">
        <v>92.11</v>
      </c>
      <c r="E1155" s="75">
        <v>96.47</v>
      </c>
      <c r="F1155">
        <v>-3119.4900000000002</v>
      </c>
      <c r="G1155">
        <v>-1006.95</v>
      </c>
      <c r="H1155">
        <v>1414.8</v>
      </c>
      <c r="I1155">
        <v>-3094.3</v>
      </c>
      <c r="J1155">
        <v>-5805.9400000000005</v>
      </c>
    </row>
    <row r="1156" spans="1:10" x14ac:dyDescent="0.35">
      <c r="A1156">
        <v>1140</v>
      </c>
      <c r="B1156" s="75">
        <v>89.409000000000006</v>
      </c>
      <c r="C1156" s="75">
        <v>98.180899999999994</v>
      </c>
      <c r="D1156" s="75">
        <v>92.447900000000004</v>
      </c>
      <c r="E1156" s="75">
        <v>95.832300000000004</v>
      </c>
      <c r="F1156">
        <v>477.18</v>
      </c>
      <c r="G1156">
        <v>43.5</v>
      </c>
      <c r="H1156">
        <v>736.40000000000009</v>
      </c>
      <c r="I1156">
        <v>-2451.7000000000003</v>
      </c>
      <c r="J1156">
        <v>-1194.6200000000001</v>
      </c>
    </row>
    <row r="1157" spans="1:10" x14ac:dyDescent="0.35">
      <c r="A1157">
        <v>1141</v>
      </c>
      <c r="B1157" s="75">
        <v>89.41</v>
      </c>
      <c r="C1157" s="75">
        <v>98.03</v>
      </c>
      <c r="D1157" s="75">
        <v>93.99</v>
      </c>
      <c r="E1157" s="75">
        <v>94.78</v>
      </c>
      <c r="F1157">
        <v>489.72</v>
      </c>
      <c r="G1157">
        <v>275.10000000000002</v>
      </c>
      <c r="H1157">
        <v>-2340.3999999999996</v>
      </c>
      <c r="I1157">
        <v>-1402.5</v>
      </c>
      <c r="J1157">
        <v>-2978.0799999999995</v>
      </c>
    </row>
    <row r="1158" spans="1:10" x14ac:dyDescent="0.35">
      <c r="A1158">
        <v>1142</v>
      </c>
      <c r="B1158" s="75">
        <v>89.988200000000006</v>
      </c>
      <c r="C1158" s="75">
        <v>97.875699999999995</v>
      </c>
      <c r="D1158" s="75">
        <v>91.793499999999995</v>
      </c>
      <c r="E1158" s="75">
        <v>92.7239</v>
      </c>
      <c r="F1158">
        <v>-1434.18</v>
      </c>
      <c r="G1158">
        <v>501.3</v>
      </c>
      <c r="H1158">
        <v>2045.1999999999998</v>
      </c>
      <c r="I1158">
        <v>656.69999999999993</v>
      </c>
      <c r="J1158">
        <v>1769.0199999999995</v>
      </c>
    </row>
    <row r="1159" spans="1:10" x14ac:dyDescent="0.35">
      <c r="A1159">
        <v>1143</v>
      </c>
      <c r="B1159" s="75">
        <v>88.98</v>
      </c>
      <c r="C1159" s="75">
        <v>100.35</v>
      </c>
      <c r="D1159" s="75">
        <v>93.05</v>
      </c>
      <c r="E1159" s="75">
        <v>93.16</v>
      </c>
      <c r="F1159">
        <v>1893.21</v>
      </c>
      <c r="G1159">
        <v>-3210.6</v>
      </c>
      <c r="H1159">
        <v>-476.6</v>
      </c>
      <c r="I1159">
        <v>219.70000000000002</v>
      </c>
      <c r="J1159">
        <v>-1574.2899999999997</v>
      </c>
    </row>
    <row r="1160" spans="1:10" x14ac:dyDescent="0.35">
      <c r="A1160">
        <v>1144</v>
      </c>
      <c r="B1160" s="75">
        <v>88.943799999999996</v>
      </c>
      <c r="C1160" s="75">
        <v>98.229100000000003</v>
      </c>
      <c r="D1160" s="75">
        <v>92.882800000000003</v>
      </c>
      <c r="E1160" s="75">
        <v>94.9696</v>
      </c>
      <c r="F1160">
        <v>2012.34</v>
      </c>
      <c r="G1160">
        <v>-28.799999999999997</v>
      </c>
      <c r="H1160">
        <v>-133.39999999999998</v>
      </c>
      <c r="I1160">
        <v>-1589</v>
      </c>
      <c r="J1160">
        <v>261.13999999999987</v>
      </c>
    </row>
    <row r="1161" spans="1:10" x14ac:dyDescent="0.35">
      <c r="A1161">
        <v>1145</v>
      </c>
      <c r="B1161" s="75">
        <v>89.85</v>
      </c>
      <c r="C1161" s="75">
        <v>99.21</v>
      </c>
      <c r="D1161" s="75">
        <v>93.5</v>
      </c>
      <c r="E1161" s="75">
        <v>94.66</v>
      </c>
      <c r="F1161">
        <v>-985.71</v>
      </c>
      <c r="G1161">
        <v>-1494.3</v>
      </c>
      <c r="H1161">
        <v>-1358.2</v>
      </c>
      <c r="I1161">
        <v>-1283.7</v>
      </c>
      <c r="J1161">
        <v>-5121.91</v>
      </c>
    </row>
    <row r="1162" spans="1:10" x14ac:dyDescent="0.35">
      <c r="A1162">
        <v>1146</v>
      </c>
      <c r="B1162" s="75">
        <v>89.849599999999995</v>
      </c>
      <c r="C1162" s="75">
        <v>98.762900000000002</v>
      </c>
      <c r="D1162" s="75">
        <v>91.968199999999996</v>
      </c>
      <c r="E1162" s="75">
        <v>93.3386</v>
      </c>
      <c r="F1162">
        <v>-976.8</v>
      </c>
      <c r="G1162">
        <v>-829.50000000000011</v>
      </c>
      <c r="H1162">
        <v>1695.8</v>
      </c>
      <c r="I1162">
        <v>42</v>
      </c>
      <c r="J1162">
        <v>-68.500000000000227</v>
      </c>
    </row>
    <row r="1163" spans="1:10" x14ac:dyDescent="0.35">
      <c r="A1163">
        <v>1147</v>
      </c>
      <c r="B1163" s="75">
        <v>89.37</v>
      </c>
      <c r="C1163" s="75">
        <v>99.32</v>
      </c>
      <c r="D1163" s="75">
        <v>94.32</v>
      </c>
      <c r="E1163" s="75">
        <v>91.72</v>
      </c>
      <c r="F1163">
        <v>614.79</v>
      </c>
      <c r="G1163">
        <v>-1670.1</v>
      </c>
      <c r="H1163">
        <v>-3009.7999999999997</v>
      </c>
      <c r="I1163">
        <v>1659.4</v>
      </c>
      <c r="J1163">
        <v>-2405.7099999999996</v>
      </c>
    </row>
    <row r="1164" spans="1:10" x14ac:dyDescent="0.35">
      <c r="A1164">
        <v>1148</v>
      </c>
      <c r="B1164" s="75">
        <v>89.576899999999995</v>
      </c>
      <c r="C1164" s="75">
        <v>97.491699999999994</v>
      </c>
      <c r="D1164" s="75">
        <v>91.882099999999994</v>
      </c>
      <c r="E1164" s="75">
        <v>92.770899999999997</v>
      </c>
      <c r="F1164">
        <v>-76.89</v>
      </c>
      <c r="G1164">
        <v>1077.3</v>
      </c>
      <c r="H1164">
        <v>1868</v>
      </c>
      <c r="I1164">
        <v>609.70000000000005</v>
      </c>
      <c r="J1164">
        <v>3478.1099999999997</v>
      </c>
    </row>
    <row r="1165" spans="1:10" x14ac:dyDescent="0.35">
      <c r="A1165">
        <v>1149</v>
      </c>
      <c r="B1165" s="75">
        <v>90.1</v>
      </c>
      <c r="C1165" s="75">
        <v>98.13</v>
      </c>
      <c r="D1165" s="75">
        <v>92.84</v>
      </c>
      <c r="E1165" s="75">
        <v>94.22</v>
      </c>
      <c r="F1165">
        <v>-1798.8300000000002</v>
      </c>
      <c r="G1165">
        <v>119.1</v>
      </c>
      <c r="H1165">
        <v>-42.4</v>
      </c>
      <c r="I1165">
        <v>-840.7</v>
      </c>
      <c r="J1165">
        <v>-2562.8300000000004</v>
      </c>
    </row>
    <row r="1166" spans="1:10" x14ac:dyDescent="0.35">
      <c r="A1166">
        <v>1150</v>
      </c>
      <c r="B1166" s="75">
        <v>89.314300000000003</v>
      </c>
      <c r="C1166" s="75">
        <v>97.8904</v>
      </c>
      <c r="D1166" s="75">
        <v>92.860299999999995</v>
      </c>
      <c r="E1166" s="75">
        <v>90.792699999999996</v>
      </c>
      <c r="F1166">
        <v>789.69</v>
      </c>
      <c r="G1166">
        <v>479.25</v>
      </c>
      <c r="H1166">
        <v>-88.4</v>
      </c>
      <c r="I1166">
        <v>2587.9</v>
      </c>
      <c r="J1166">
        <v>3768.44</v>
      </c>
    </row>
    <row r="1167" spans="1:10" x14ac:dyDescent="0.35">
      <c r="A1167">
        <v>1151</v>
      </c>
      <c r="B1167" s="75">
        <v>89.19</v>
      </c>
      <c r="C1167" s="75">
        <v>100.01</v>
      </c>
      <c r="D1167" s="75">
        <v>93.95</v>
      </c>
      <c r="E1167" s="75">
        <v>92.39</v>
      </c>
      <c r="F1167">
        <v>1184.3699999999999</v>
      </c>
      <c r="G1167">
        <v>-2700.15</v>
      </c>
      <c r="H1167">
        <v>-2266.6</v>
      </c>
      <c r="I1167">
        <v>987.9</v>
      </c>
      <c r="J1167">
        <v>-2794.48</v>
      </c>
    </row>
    <row r="1168" spans="1:10" x14ac:dyDescent="0.35">
      <c r="A1168">
        <v>1152</v>
      </c>
      <c r="B1168" s="75">
        <v>89.911199999999994</v>
      </c>
      <c r="C1168" s="75">
        <v>97.594300000000004</v>
      </c>
      <c r="D1168" s="75">
        <v>93.384200000000007</v>
      </c>
      <c r="E1168" s="75">
        <v>94.841999999999999</v>
      </c>
      <c r="F1168">
        <v>-1180.08</v>
      </c>
      <c r="G1168">
        <v>923.40000000000009</v>
      </c>
      <c r="H1168">
        <v>-1136.2</v>
      </c>
      <c r="I1168">
        <v>-1461.4</v>
      </c>
      <c r="J1168">
        <v>-2854.2799999999997</v>
      </c>
    </row>
    <row r="1169" spans="1:10" x14ac:dyDescent="0.35">
      <c r="A1169">
        <v>1153</v>
      </c>
      <c r="B1169" s="75">
        <v>89.07</v>
      </c>
      <c r="C1169" s="75">
        <v>97.92</v>
      </c>
      <c r="D1169" s="75">
        <v>93.25</v>
      </c>
      <c r="E1169" s="75">
        <v>91.72</v>
      </c>
      <c r="F1169">
        <v>1586.64</v>
      </c>
      <c r="G1169">
        <v>433.34999999999997</v>
      </c>
      <c r="H1169">
        <v>-863.6</v>
      </c>
      <c r="I1169">
        <v>1659.5</v>
      </c>
      <c r="J1169">
        <v>2815.89</v>
      </c>
    </row>
    <row r="1170" spans="1:10" x14ac:dyDescent="0.35">
      <c r="A1170">
        <v>1154</v>
      </c>
      <c r="B1170" s="75">
        <v>90.388300000000001</v>
      </c>
      <c r="C1170" s="75">
        <v>98.367099999999994</v>
      </c>
      <c r="D1170" s="75">
        <v>92.150400000000005</v>
      </c>
      <c r="E1170" s="75">
        <v>92.342500000000001</v>
      </c>
      <c r="F1170">
        <v>-2754.51</v>
      </c>
      <c r="G1170">
        <v>-235.8</v>
      </c>
      <c r="H1170">
        <v>1331.3999999999999</v>
      </c>
      <c r="I1170">
        <v>1038.0999999999999</v>
      </c>
      <c r="J1170">
        <v>-620.81000000000063</v>
      </c>
    </row>
    <row r="1171" spans="1:10" x14ac:dyDescent="0.35">
      <c r="A1171">
        <v>1155</v>
      </c>
      <c r="B1171" s="75">
        <v>89.12</v>
      </c>
      <c r="C1171" s="75">
        <v>98.42</v>
      </c>
      <c r="D1171" s="75">
        <v>91.67</v>
      </c>
      <c r="E1171" s="75">
        <v>89.62</v>
      </c>
      <c r="F1171">
        <v>1429.23</v>
      </c>
      <c r="G1171">
        <v>-311.85000000000002</v>
      </c>
      <c r="H1171">
        <v>2289.8000000000002</v>
      </c>
      <c r="I1171">
        <v>3757.6</v>
      </c>
      <c r="J1171">
        <v>7164.7800000000007</v>
      </c>
    </row>
    <row r="1172" spans="1:10" x14ac:dyDescent="0.35">
      <c r="A1172">
        <v>1156</v>
      </c>
      <c r="B1172" s="75">
        <v>89.192499999999995</v>
      </c>
      <c r="C1172" s="75">
        <v>99.106700000000004</v>
      </c>
      <c r="D1172" s="75">
        <v>93.476200000000006</v>
      </c>
      <c r="E1172" s="75">
        <v>94.407399999999996</v>
      </c>
      <c r="F1172">
        <v>1191.6299999999999</v>
      </c>
      <c r="G1172">
        <v>-1345.2</v>
      </c>
      <c r="H1172">
        <v>-1320.2</v>
      </c>
      <c r="I1172">
        <v>-1026.8</v>
      </c>
      <c r="J1172">
        <v>-2500.5700000000002</v>
      </c>
    </row>
    <row r="1173" spans="1:10" x14ac:dyDescent="0.35">
      <c r="A1173">
        <v>1157</v>
      </c>
      <c r="B1173" s="75">
        <v>90.36</v>
      </c>
      <c r="C1173" s="75">
        <v>98.66</v>
      </c>
      <c r="D1173" s="75">
        <v>91.92</v>
      </c>
      <c r="E1173" s="75">
        <v>93.52</v>
      </c>
      <c r="F1173">
        <v>-2649.24</v>
      </c>
      <c r="G1173">
        <v>-676.94999999999993</v>
      </c>
      <c r="H1173">
        <v>1791.8</v>
      </c>
      <c r="I1173">
        <v>-138.30000000000001</v>
      </c>
      <c r="J1173">
        <v>-1672.6899999999996</v>
      </c>
    </row>
    <row r="1174" spans="1:10" x14ac:dyDescent="0.35">
      <c r="A1174">
        <v>1158</v>
      </c>
      <c r="B1174" s="75">
        <v>89.910200000000003</v>
      </c>
      <c r="C1174" s="75">
        <v>97.842600000000004</v>
      </c>
      <c r="D1174" s="75">
        <v>92.514300000000006</v>
      </c>
      <c r="E1174" s="75">
        <v>95.1768</v>
      </c>
      <c r="F1174">
        <v>-1176.78</v>
      </c>
      <c r="G1174">
        <v>550.95000000000005</v>
      </c>
      <c r="H1174">
        <v>603.6</v>
      </c>
      <c r="I1174">
        <v>-1796.2</v>
      </c>
      <c r="J1174">
        <v>-1818.4299999999998</v>
      </c>
    </row>
    <row r="1175" spans="1:10" x14ac:dyDescent="0.35">
      <c r="A1175">
        <v>1159</v>
      </c>
      <c r="B1175" s="75">
        <v>89.86</v>
      </c>
      <c r="C1175" s="75">
        <v>99.35</v>
      </c>
      <c r="D1175" s="75">
        <v>93.17</v>
      </c>
      <c r="E1175" s="75">
        <v>92.16</v>
      </c>
      <c r="F1175">
        <v>-1015.74</v>
      </c>
      <c r="G1175">
        <v>-1708.2</v>
      </c>
      <c r="H1175">
        <v>-702.4</v>
      </c>
      <c r="I1175">
        <v>1215.7</v>
      </c>
      <c r="J1175">
        <v>-2210.6400000000003</v>
      </c>
    </row>
    <row r="1176" spans="1:10" x14ac:dyDescent="0.35">
      <c r="A1176">
        <v>1160</v>
      </c>
      <c r="B1176" s="75">
        <v>89.122699999999995</v>
      </c>
      <c r="C1176" s="75">
        <v>97.88</v>
      </c>
      <c r="D1176" s="75">
        <v>91.327799999999996</v>
      </c>
      <c r="E1176" s="75">
        <v>94.963099999999997</v>
      </c>
      <c r="F1176">
        <v>1421.97</v>
      </c>
      <c r="G1176">
        <v>494.85</v>
      </c>
      <c r="H1176">
        <v>2976.6</v>
      </c>
      <c r="I1176">
        <v>-1582.5</v>
      </c>
      <c r="J1176">
        <v>3310.92</v>
      </c>
    </row>
    <row r="1177" spans="1:10" x14ac:dyDescent="0.35">
      <c r="A1177">
        <v>1161</v>
      </c>
      <c r="B1177" s="75">
        <v>89.28</v>
      </c>
      <c r="C1177" s="75">
        <v>97.43</v>
      </c>
      <c r="D1177" s="75">
        <v>92.46</v>
      </c>
      <c r="E1177" s="75">
        <v>92.56</v>
      </c>
      <c r="F1177">
        <v>887.36999999999989</v>
      </c>
      <c r="G1177">
        <v>1168.2</v>
      </c>
      <c r="H1177">
        <v>718</v>
      </c>
      <c r="I1177">
        <v>822</v>
      </c>
      <c r="J1177">
        <v>3595.5699999999997</v>
      </c>
    </row>
    <row r="1178" spans="1:10" x14ac:dyDescent="0.35">
      <c r="A1178">
        <v>1162</v>
      </c>
      <c r="B1178" s="75">
        <v>88.951400000000007</v>
      </c>
      <c r="C1178" s="75">
        <v>98.861400000000003</v>
      </c>
      <c r="D1178" s="75">
        <v>92.285799999999995</v>
      </c>
      <c r="E1178" s="75">
        <v>92.316000000000003</v>
      </c>
      <c r="F1178">
        <v>1987.2599999999998</v>
      </c>
      <c r="G1178">
        <v>-977.25</v>
      </c>
      <c r="H1178">
        <v>1060.5999999999999</v>
      </c>
      <c r="I1178">
        <v>1064.5999999999999</v>
      </c>
      <c r="J1178">
        <v>3135.2099999999996</v>
      </c>
    </row>
    <row r="1179" spans="1:10" x14ac:dyDescent="0.35">
      <c r="A1179">
        <v>1163</v>
      </c>
      <c r="B1179" s="75">
        <v>90.52</v>
      </c>
      <c r="C1179" s="75">
        <v>99.8</v>
      </c>
      <c r="D1179" s="75">
        <v>93.51</v>
      </c>
      <c r="E1179" s="75">
        <v>92.68</v>
      </c>
      <c r="F1179">
        <v>-3193.08</v>
      </c>
      <c r="G1179">
        <v>-2386.9499999999998</v>
      </c>
      <c r="H1179">
        <v>-1379.8</v>
      </c>
      <c r="I1179">
        <v>700.5</v>
      </c>
      <c r="J1179">
        <v>-6259.33</v>
      </c>
    </row>
    <row r="1180" spans="1:10" x14ac:dyDescent="0.35">
      <c r="A1180">
        <v>1164</v>
      </c>
      <c r="B1180" s="75">
        <v>89.952799999999996</v>
      </c>
      <c r="C1180" s="75">
        <v>97.641499999999994</v>
      </c>
      <c r="D1180" s="75">
        <v>91.914000000000001</v>
      </c>
      <c r="E1180" s="75">
        <v>90.544300000000007</v>
      </c>
      <c r="F1180">
        <v>-1317.36</v>
      </c>
      <c r="G1180">
        <v>852.6</v>
      </c>
      <c r="H1180">
        <v>1804.2</v>
      </c>
      <c r="I1180">
        <v>2836.3</v>
      </c>
      <c r="J1180">
        <v>4175.74</v>
      </c>
    </row>
    <row r="1181" spans="1:10" x14ac:dyDescent="0.35">
      <c r="A1181">
        <v>1165</v>
      </c>
      <c r="B1181" s="75">
        <v>90.36</v>
      </c>
      <c r="C1181" s="75">
        <v>99.63</v>
      </c>
      <c r="D1181" s="75">
        <v>93.51</v>
      </c>
      <c r="E1181" s="75">
        <v>92.16</v>
      </c>
      <c r="F1181">
        <v>-2659.14</v>
      </c>
      <c r="G1181">
        <v>-2133.9</v>
      </c>
      <c r="H1181">
        <v>-1378</v>
      </c>
      <c r="I1181">
        <v>1216.5999999999999</v>
      </c>
      <c r="J1181">
        <v>-4954.4400000000005</v>
      </c>
    </row>
    <row r="1182" spans="1:10" x14ac:dyDescent="0.35">
      <c r="A1182">
        <v>1166</v>
      </c>
      <c r="B1182" s="75">
        <v>88.611099999999993</v>
      </c>
      <c r="C1182" s="75">
        <v>99.539900000000003</v>
      </c>
      <c r="D1182" s="75">
        <v>93.610500000000002</v>
      </c>
      <c r="E1182" s="75">
        <v>95.156999999999996</v>
      </c>
      <c r="F1182">
        <v>3110.25</v>
      </c>
      <c r="G1182">
        <v>-1995</v>
      </c>
      <c r="H1182">
        <v>-1588.8</v>
      </c>
      <c r="I1182">
        <v>-1776.4</v>
      </c>
      <c r="J1182">
        <v>-2249.9499999999998</v>
      </c>
    </row>
    <row r="1183" spans="1:10" x14ac:dyDescent="0.35">
      <c r="A1183">
        <v>1167</v>
      </c>
      <c r="B1183" s="75">
        <v>90.25</v>
      </c>
      <c r="C1183" s="75">
        <v>97.66</v>
      </c>
      <c r="D1183" s="75">
        <v>90.58</v>
      </c>
      <c r="E1183" s="75">
        <v>94.65</v>
      </c>
      <c r="F1183">
        <v>-2308.6799999999998</v>
      </c>
      <c r="G1183">
        <v>832.19999999999993</v>
      </c>
      <c r="H1183">
        <v>4481.6000000000004</v>
      </c>
      <c r="I1183">
        <v>-1267.2</v>
      </c>
      <c r="J1183">
        <v>1737.9200000000003</v>
      </c>
    </row>
    <row r="1184" spans="1:10" x14ac:dyDescent="0.35">
      <c r="A1184">
        <v>1168</v>
      </c>
      <c r="B1184" s="75">
        <v>89.126400000000004</v>
      </c>
      <c r="C1184" s="75">
        <v>98.627099999999999</v>
      </c>
      <c r="D1184" s="75">
        <v>92.947000000000003</v>
      </c>
      <c r="E1184" s="75">
        <v>94.538600000000002</v>
      </c>
      <c r="F1184">
        <v>1409.76</v>
      </c>
      <c r="G1184">
        <v>-625.80000000000007</v>
      </c>
      <c r="H1184">
        <v>-261.79999999999995</v>
      </c>
      <c r="I1184">
        <v>-1158</v>
      </c>
      <c r="J1184">
        <v>-635.84</v>
      </c>
    </row>
    <row r="1185" spans="1:10" x14ac:dyDescent="0.35">
      <c r="A1185">
        <v>1169</v>
      </c>
      <c r="B1185" s="75">
        <v>89.29</v>
      </c>
      <c r="C1185" s="75">
        <v>97.38</v>
      </c>
      <c r="D1185" s="75">
        <v>90.97</v>
      </c>
      <c r="E1185" s="75">
        <v>91.55</v>
      </c>
      <c r="F1185">
        <v>881.76</v>
      </c>
      <c r="G1185">
        <v>1246.6499999999999</v>
      </c>
      <c r="H1185">
        <v>3694.7999999999997</v>
      </c>
      <c r="I1185">
        <v>1831.9</v>
      </c>
      <c r="J1185">
        <v>7655.1099999999988</v>
      </c>
    </row>
    <row r="1186" spans="1:10" x14ac:dyDescent="0.35">
      <c r="A1186">
        <v>1170</v>
      </c>
      <c r="B1186" s="75">
        <v>88.178299999999993</v>
      </c>
      <c r="C1186" s="75">
        <v>97.802599999999998</v>
      </c>
      <c r="D1186" s="75">
        <v>92.083799999999997</v>
      </c>
      <c r="E1186" s="75">
        <v>93.825900000000004</v>
      </c>
      <c r="F1186">
        <v>4538.49</v>
      </c>
      <c r="G1186">
        <v>610.95000000000005</v>
      </c>
      <c r="H1186">
        <v>1464.6</v>
      </c>
      <c r="I1186">
        <v>-445.29999999999995</v>
      </c>
      <c r="J1186">
        <v>6168.7399999999989</v>
      </c>
    </row>
    <row r="1187" spans="1:10" x14ac:dyDescent="0.35">
      <c r="A1187">
        <v>1171</v>
      </c>
      <c r="B1187" s="75">
        <v>89.97</v>
      </c>
      <c r="C1187" s="75">
        <v>99.33</v>
      </c>
      <c r="D1187" s="75">
        <v>92.39</v>
      </c>
      <c r="E1187" s="75">
        <v>94.53</v>
      </c>
      <c r="F1187">
        <v>-1376.1</v>
      </c>
      <c r="G1187">
        <v>-1680.9</v>
      </c>
      <c r="H1187">
        <v>855.19999999999993</v>
      </c>
      <c r="I1187">
        <v>-1146.5</v>
      </c>
      <c r="J1187">
        <v>-3348.3</v>
      </c>
    </row>
    <row r="1188" spans="1:10" x14ac:dyDescent="0.35">
      <c r="A1188">
        <v>1172</v>
      </c>
      <c r="B1188" s="75">
        <v>89.849500000000006</v>
      </c>
      <c r="C1188" s="75">
        <v>98.230900000000005</v>
      </c>
      <c r="D1188" s="75">
        <v>94.305099999999996</v>
      </c>
      <c r="E1188" s="75">
        <v>95.131600000000006</v>
      </c>
      <c r="F1188">
        <v>-976.47</v>
      </c>
      <c r="G1188">
        <v>-31.500000000000004</v>
      </c>
      <c r="H1188">
        <v>-2978</v>
      </c>
      <c r="I1188">
        <v>-1751</v>
      </c>
      <c r="J1188">
        <v>-5736.97</v>
      </c>
    </row>
    <row r="1189" spans="1:10" x14ac:dyDescent="0.35">
      <c r="A1189">
        <v>1173</v>
      </c>
      <c r="B1189" s="75">
        <v>89.12</v>
      </c>
      <c r="C1189" s="75">
        <v>99.32</v>
      </c>
      <c r="D1189" s="75">
        <v>91.5</v>
      </c>
      <c r="E1189" s="75">
        <v>93.75</v>
      </c>
      <c r="F1189">
        <v>1445.07</v>
      </c>
      <c r="G1189">
        <v>-1663.5</v>
      </c>
      <c r="H1189">
        <v>2627</v>
      </c>
      <c r="I1189">
        <v>-365.09999999999997</v>
      </c>
      <c r="J1189">
        <v>2043.4699999999998</v>
      </c>
    </row>
    <row r="1190" spans="1:10" x14ac:dyDescent="0.35">
      <c r="A1190">
        <v>1174</v>
      </c>
      <c r="B1190" s="75">
        <v>89.647000000000006</v>
      </c>
      <c r="C1190" s="75">
        <v>97.985200000000006</v>
      </c>
      <c r="D1190" s="75">
        <v>91.259900000000002</v>
      </c>
      <c r="E1190" s="75">
        <v>92.243799999999993</v>
      </c>
      <c r="F1190">
        <v>-308.21999999999997</v>
      </c>
      <c r="G1190">
        <v>337.05</v>
      </c>
      <c r="H1190">
        <v>3112.4</v>
      </c>
      <c r="I1190">
        <v>1136.8</v>
      </c>
      <c r="J1190">
        <v>4278.03</v>
      </c>
    </row>
    <row r="1191" spans="1:10" x14ac:dyDescent="0.35">
      <c r="A1191">
        <v>1175</v>
      </c>
      <c r="B1191" s="75">
        <v>89.57</v>
      </c>
      <c r="C1191" s="75">
        <v>98.53</v>
      </c>
      <c r="D1191" s="75">
        <v>92.57</v>
      </c>
      <c r="E1191" s="75">
        <v>92.1</v>
      </c>
      <c r="F1191">
        <v>-57.089999999999996</v>
      </c>
      <c r="G1191">
        <v>-474</v>
      </c>
      <c r="H1191">
        <v>486.59999999999997</v>
      </c>
      <c r="I1191">
        <v>1284.5999999999999</v>
      </c>
      <c r="J1191">
        <v>1240.1099999999999</v>
      </c>
    </row>
    <row r="1192" spans="1:10" x14ac:dyDescent="0.35">
      <c r="A1192">
        <v>1176</v>
      </c>
      <c r="B1192" s="75">
        <v>90.0214</v>
      </c>
      <c r="C1192" s="75">
        <v>98.204700000000003</v>
      </c>
      <c r="D1192" s="75">
        <v>94.503799999999998</v>
      </c>
      <c r="E1192" s="75">
        <v>91.821299999999994</v>
      </c>
      <c r="F1192">
        <v>-1543.74</v>
      </c>
      <c r="G1192">
        <v>7.8</v>
      </c>
      <c r="H1192">
        <v>-3375.4</v>
      </c>
      <c r="I1192">
        <v>1559.3</v>
      </c>
      <c r="J1192">
        <v>-3352.04</v>
      </c>
    </row>
    <row r="1193" spans="1:10" x14ac:dyDescent="0.35">
      <c r="A1193">
        <v>1177</v>
      </c>
      <c r="B1193" s="75">
        <v>89.27</v>
      </c>
      <c r="C1193" s="75">
        <v>97.45</v>
      </c>
      <c r="D1193" s="75">
        <v>94.39</v>
      </c>
      <c r="E1193" s="75">
        <v>94.12</v>
      </c>
      <c r="F1193">
        <v>948.42</v>
      </c>
      <c r="G1193">
        <v>1144.05</v>
      </c>
      <c r="H1193">
        <v>-3142.7999999999997</v>
      </c>
      <c r="I1193">
        <v>-734.40000000000009</v>
      </c>
      <c r="J1193">
        <v>-1784.73</v>
      </c>
    </row>
    <row r="1194" spans="1:10" x14ac:dyDescent="0.35">
      <c r="A1194">
        <v>1178</v>
      </c>
      <c r="B1194" s="75">
        <v>89.964799999999997</v>
      </c>
      <c r="C1194" s="75">
        <v>98.4285</v>
      </c>
      <c r="D1194" s="75">
        <v>94.386200000000002</v>
      </c>
      <c r="E1194" s="75">
        <v>95.716700000000003</v>
      </c>
      <c r="F1194">
        <v>-1356.96</v>
      </c>
      <c r="G1194">
        <v>-327.9</v>
      </c>
      <c r="H1194">
        <v>-3140.2000000000003</v>
      </c>
      <c r="I1194">
        <v>-2336.1</v>
      </c>
      <c r="J1194">
        <v>-7161.16</v>
      </c>
    </row>
    <row r="1195" spans="1:10" x14ac:dyDescent="0.35">
      <c r="A1195">
        <v>1179</v>
      </c>
      <c r="B1195" s="75">
        <v>89.88</v>
      </c>
      <c r="C1195" s="75">
        <v>98.49</v>
      </c>
      <c r="D1195" s="75">
        <v>93.67</v>
      </c>
      <c r="E1195" s="75">
        <v>93.87</v>
      </c>
      <c r="F1195">
        <v>-1073.1599999999999</v>
      </c>
      <c r="G1195">
        <v>-416.09999999999997</v>
      </c>
      <c r="H1195">
        <v>-1702.6</v>
      </c>
      <c r="I1195">
        <v>-489.09999999999997</v>
      </c>
      <c r="J1195">
        <v>-3680.9599999999996</v>
      </c>
    </row>
    <row r="1196" spans="1:10" x14ac:dyDescent="0.35">
      <c r="A1196">
        <v>1180</v>
      </c>
      <c r="B1196" s="75">
        <v>89.426900000000003</v>
      </c>
      <c r="C1196" s="75">
        <v>97.396299999999997</v>
      </c>
      <c r="D1196" s="75">
        <v>92.350800000000007</v>
      </c>
      <c r="E1196" s="75">
        <v>93.810699999999997</v>
      </c>
      <c r="F1196">
        <v>418.11</v>
      </c>
      <c r="G1196">
        <v>1220.4000000000001</v>
      </c>
      <c r="H1196">
        <v>930.6</v>
      </c>
      <c r="I1196">
        <v>-430.09999999999997</v>
      </c>
      <c r="J1196">
        <v>2139.0100000000002</v>
      </c>
    </row>
    <row r="1197" spans="1:10" x14ac:dyDescent="0.35">
      <c r="A1197">
        <v>1181</v>
      </c>
      <c r="B1197" s="75">
        <v>89.55</v>
      </c>
      <c r="C1197" s="75">
        <v>99.86</v>
      </c>
      <c r="D1197" s="75">
        <v>94.61</v>
      </c>
      <c r="E1197" s="75">
        <v>92.28</v>
      </c>
      <c r="F1197">
        <v>8.25</v>
      </c>
      <c r="G1197">
        <v>-2476.9499999999998</v>
      </c>
      <c r="H1197">
        <v>-3593.6</v>
      </c>
      <c r="I1197">
        <v>1102.2</v>
      </c>
      <c r="J1197">
        <v>-4960.0999999999995</v>
      </c>
    </row>
    <row r="1198" spans="1:10" x14ac:dyDescent="0.35">
      <c r="A1198">
        <v>1182</v>
      </c>
      <c r="B1198" s="75">
        <v>89.448099999999997</v>
      </c>
      <c r="C1198" s="75">
        <v>98.0227</v>
      </c>
      <c r="D1198" s="75">
        <v>92.631200000000007</v>
      </c>
      <c r="E1198" s="75">
        <v>96.369799999999998</v>
      </c>
      <c r="F1198">
        <v>348.15</v>
      </c>
      <c r="G1198">
        <v>280.8</v>
      </c>
      <c r="H1198">
        <v>369.8</v>
      </c>
      <c r="I1198">
        <v>-2989.2</v>
      </c>
      <c r="J1198">
        <v>-1990.4499999999998</v>
      </c>
    </row>
    <row r="1199" spans="1:10" x14ac:dyDescent="0.35">
      <c r="A1199">
        <v>1183</v>
      </c>
      <c r="B1199" s="75">
        <v>89.69</v>
      </c>
      <c r="C1199" s="75">
        <v>98.66</v>
      </c>
      <c r="D1199" s="75">
        <v>92.13</v>
      </c>
      <c r="E1199" s="75">
        <v>91.76</v>
      </c>
      <c r="F1199">
        <v>-435.6</v>
      </c>
      <c r="G1199">
        <v>-674.1</v>
      </c>
      <c r="H1199">
        <v>1369.3999999999999</v>
      </c>
      <c r="I1199">
        <v>1615.8</v>
      </c>
      <c r="J1199">
        <v>1875.4999999999998</v>
      </c>
    </row>
    <row r="1200" spans="1:10" x14ac:dyDescent="0.35">
      <c r="A1200">
        <v>1184</v>
      </c>
      <c r="B1200" s="75">
        <v>88.274500000000003</v>
      </c>
      <c r="C1200" s="75">
        <v>97.974599999999995</v>
      </c>
      <c r="D1200" s="75">
        <v>93.426400000000001</v>
      </c>
      <c r="E1200" s="75">
        <v>91.253600000000006</v>
      </c>
      <c r="F1200">
        <v>4221.03</v>
      </c>
      <c r="G1200">
        <v>352.95</v>
      </c>
      <c r="H1200">
        <v>-1220.5999999999999</v>
      </c>
      <c r="I1200">
        <v>2127</v>
      </c>
      <c r="J1200">
        <v>5480.3799999999992</v>
      </c>
    </row>
    <row r="1201" spans="1:10" x14ac:dyDescent="0.35">
      <c r="A1201">
        <v>1185</v>
      </c>
      <c r="B1201" s="75">
        <v>88.9</v>
      </c>
      <c r="C1201" s="75">
        <v>99.2</v>
      </c>
      <c r="D1201" s="75">
        <v>92.74</v>
      </c>
      <c r="E1201" s="75">
        <v>92.61</v>
      </c>
      <c r="F1201">
        <v>2143.02</v>
      </c>
      <c r="G1201">
        <v>-1481.4</v>
      </c>
      <c r="H1201">
        <v>161</v>
      </c>
      <c r="I1201">
        <v>766.3</v>
      </c>
      <c r="J1201">
        <v>1588.9199999999998</v>
      </c>
    </row>
    <row r="1202" spans="1:10" x14ac:dyDescent="0.35">
      <c r="A1202">
        <v>1186</v>
      </c>
      <c r="B1202" s="75">
        <v>90.384699999999995</v>
      </c>
      <c r="C1202" s="75">
        <v>97.555400000000006</v>
      </c>
      <c r="D1202" s="75">
        <v>91.509200000000007</v>
      </c>
      <c r="E1202" s="75">
        <v>94.980500000000006</v>
      </c>
      <c r="F1202">
        <v>-2742.6299999999997</v>
      </c>
      <c r="G1202">
        <v>981.75</v>
      </c>
      <c r="H1202">
        <v>2613.7999999999997</v>
      </c>
      <c r="I1202">
        <v>-1599.9</v>
      </c>
      <c r="J1202">
        <v>-746.98</v>
      </c>
    </row>
    <row r="1203" spans="1:10" x14ac:dyDescent="0.35">
      <c r="A1203">
        <v>1187</v>
      </c>
      <c r="B1203" s="75">
        <v>89.73</v>
      </c>
      <c r="C1203" s="75">
        <v>97.83</v>
      </c>
      <c r="D1203" s="75">
        <v>93.04</v>
      </c>
      <c r="E1203" s="75">
        <v>94.08</v>
      </c>
      <c r="F1203">
        <v>-582.78</v>
      </c>
      <c r="G1203">
        <v>564.6</v>
      </c>
      <c r="H1203">
        <v>-457.2</v>
      </c>
      <c r="I1203">
        <v>-694.9</v>
      </c>
      <c r="J1203">
        <v>-1170.28</v>
      </c>
    </row>
    <row r="1204" spans="1:10" x14ac:dyDescent="0.35">
      <c r="A1204">
        <v>1188</v>
      </c>
      <c r="B1204" s="75">
        <v>89.846299999999999</v>
      </c>
      <c r="C1204" s="75">
        <v>97.418499999999995</v>
      </c>
      <c r="D1204" s="75">
        <v>93.583799999999997</v>
      </c>
      <c r="E1204" s="75">
        <v>92.288499999999999</v>
      </c>
      <c r="F1204">
        <v>-965.91000000000008</v>
      </c>
      <c r="G1204">
        <v>1187.0999999999999</v>
      </c>
      <c r="H1204">
        <v>-1535.4</v>
      </c>
      <c r="I1204">
        <v>1092.1000000000001</v>
      </c>
      <c r="J1204">
        <v>-222.11000000000013</v>
      </c>
    </row>
    <row r="1205" spans="1:10" x14ac:dyDescent="0.35">
      <c r="A1205">
        <v>1189</v>
      </c>
      <c r="B1205" s="75">
        <v>89.22</v>
      </c>
      <c r="C1205" s="75">
        <v>97.88</v>
      </c>
      <c r="D1205" s="75">
        <v>93.22</v>
      </c>
      <c r="E1205" s="75">
        <v>93.72</v>
      </c>
      <c r="F1205">
        <v>1086.3599999999999</v>
      </c>
      <c r="G1205">
        <v>496.05</v>
      </c>
      <c r="H1205">
        <v>-798.2</v>
      </c>
      <c r="I1205">
        <v>-339.9</v>
      </c>
      <c r="J1205">
        <v>444.30999999999983</v>
      </c>
    </row>
    <row r="1206" spans="1:10" x14ac:dyDescent="0.35">
      <c r="A1206">
        <v>1190</v>
      </c>
      <c r="B1206" s="75">
        <v>90.015100000000004</v>
      </c>
      <c r="C1206" s="75">
        <v>98.876400000000004</v>
      </c>
      <c r="D1206" s="75">
        <v>93.367099999999994</v>
      </c>
      <c r="E1206" s="75">
        <v>95.801100000000005</v>
      </c>
      <c r="F1206">
        <v>-1522.95</v>
      </c>
      <c r="G1206">
        <v>-999.75</v>
      </c>
      <c r="H1206">
        <v>-1102</v>
      </c>
      <c r="I1206">
        <v>-2420.5</v>
      </c>
      <c r="J1206">
        <v>-6045.2</v>
      </c>
    </row>
    <row r="1207" spans="1:10" x14ac:dyDescent="0.35">
      <c r="A1207">
        <v>1191</v>
      </c>
      <c r="B1207" s="75">
        <v>90.42</v>
      </c>
      <c r="C1207" s="75">
        <v>98.19</v>
      </c>
      <c r="D1207" s="75">
        <v>93.21</v>
      </c>
      <c r="E1207" s="75">
        <v>95.11</v>
      </c>
      <c r="F1207">
        <v>-2857.14</v>
      </c>
      <c r="G1207">
        <v>34.200000000000003</v>
      </c>
      <c r="H1207">
        <v>-792.2</v>
      </c>
      <c r="I1207">
        <v>-1734</v>
      </c>
      <c r="J1207">
        <v>-5349.14</v>
      </c>
    </row>
    <row r="1208" spans="1:10" x14ac:dyDescent="0.35">
      <c r="A1208">
        <v>1192</v>
      </c>
      <c r="B1208" s="75">
        <v>89.454400000000007</v>
      </c>
      <c r="C1208" s="75">
        <v>97.112099999999998</v>
      </c>
      <c r="D1208" s="75">
        <v>92.178200000000004</v>
      </c>
      <c r="E1208" s="75">
        <v>94.0809</v>
      </c>
      <c r="F1208">
        <v>327.36</v>
      </c>
      <c r="G1208">
        <v>1646.7000000000003</v>
      </c>
      <c r="H1208">
        <v>1275.8</v>
      </c>
      <c r="I1208">
        <v>-700.30000000000007</v>
      </c>
      <c r="J1208">
        <v>2549.5600000000004</v>
      </c>
    </row>
    <row r="1209" spans="1:10" x14ac:dyDescent="0.35">
      <c r="A1209">
        <v>1193</v>
      </c>
      <c r="B1209" s="75">
        <v>89.74</v>
      </c>
      <c r="C1209" s="75">
        <v>97.68</v>
      </c>
      <c r="D1209" s="75">
        <v>93.62</v>
      </c>
      <c r="E1209" s="75">
        <v>93.95</v>
      </c>
      <c r="F1209">
        <v>-615.45000000000005</v>
      </c>
      <c r="G1209">
        <v>797.85</v>
      </c>
      <c r="H1209">
        <v>-1608.4</v>
      </c>
      <c r="I1209">
        <v>-572.79999999999995</v>
      </c>
      <c r="J1209">
        <v>-1998.8</v>
      </c>
    </row>
    <row r="1210" spans="1:10" x14ac:dyDescent="0.35">
      <c r="A1210">
        <v>1194</v>
      </c>
      <c r="B1210" s="75">
        <v>88.832499999999996</v>
      </c>
      <c r="C1210" s="75">
        <v>98.259299999999996</v>
      </c>
      <c r="D1210" s="75">
        <v>93.511399999999995</v>
      </c>
      <c r="E1210" s="75">
        <v>94.054199999999994</v>
      </c>
      <c r="F1210">
        <v>2379.6299999999997</v>
      </c>
      <c r="G1210">
        <v>-74.099999999999994</v>
      </c>
      <c r="H1210">
        <v>-1390.6000000000001</v>
      </c>
      <c r="I1210">
        <v>-673.6</v>
      </c>
      <c r="J1210">
        <v>241.32999999999959</v>
      </c>
    </row>
    <row r="1211" spans="1:10" x14ac:dyDescent="0.35">
      <c r="A1211">
        <v>1195</v>
      </c>
      <c r="B1211" s="75">
        <v>88.52</v>
      </c>
      <c r="C1211" s="75">
        <v>97.95</v>
      </c>
      <c r="D1211" s="75">
        <v>92.5</v>
      </c>
      <c r="E1211" s="75">
        <v>95.63</v>
      </c>
      <c r="F1211">
        <v>3407.91</v>
      </c>
      <c r="G1211">
        <v>389.7</v>
      </c>
      <c r="H1211">
        <v>630.19999999999993</v>
      </c>
      <c r="I1211">
        <v>-2246.7000000000003</v>
      </c>
      <c r="J1211">
        <v>2181.1099999999992</v>
      </c>
    </row>
    <row r="1212" spans="1:10" x14ac:dyDescent="0.35">
      <c r="A1212">
        <v>1196</v>
      </c>
      <c r="B1212" s="75">
        <v>89.854100000000003</v>
      </c>
      <c r="C1212" s="75">
        <v>98.357399999999998</v>
      </c>
      <c r="D1212" s="75">
        <v>90.329499999999996</v>
      </c>
      <c r="E1212" s="75">
        <v>93.775300000000001</v>
      </c>
      <c r="F1212">
        <v>-991.65</v>
      </c>
      <c r="G1212">
        <v>-221.25</v>
      </c>
      <c r="H1212">
        <v>4973.2000000000007</v>
      </c>
      <c r="I1212">
        <v>-394.7</v>
      </c>
      <c r="J1212">
        <v>3365.6000000000008</v>
      </c>
    </row>
    <row r="1213" spans="1:10" x14ac:dyDescent="0.35">
      <c r="A1213">
        <v>1197</v>
      </c>
      <c r="B1213" s="75">
        <v>90.37</v>
      </c>
      <c r="C1213" s="75">
        <v>97.73</v>
      </c>
      <c r="D1213" s="75">
        <v>92.84</v>
      </c>
      <c r="E1213" s="75">
        <v>94.82</v>
      </c>
      <c r="F1213">
        <v>-2696.4300000000003</v>
      </c>
      <c r="G1213">
        <v>712.65</v>
      </c>
      <c r="H1213">
        <v>-57.2</v>
      </c>
      <c r="I1213">
        <v>-1437</v>
      </c>
      <c r="J1213">
        <v>-3477.9800000000005</v>
      </c>
    </row>
    <row r="1214" spans="1:10" x14ac:dyDescent="0.35">
      <c r="A1214">
        <v>1198</v>
      </c>
      <c r="B1214" s="75">
        <v>88.850499999999997</v>
      </c>
      <c r="C1214" s="75">
        <v>99.954599999999999</v>
      </c>
      <c r="D1214" s="75">
        <v>92.390500000000003</v>
      </c>
      <c r="E1214" s="75">
        <v>93.052199999999999</v>
      </c>
      <c r="F1214">
        <v>2320.23</v>
      </c>
      <c r="G1214">
        <v>-2617.0499999999997</v>
      </c>
      <c r="H1214">
        <v>851.19999999999993</v>
      </c>
      <c r="I1214">
        <v>328.40000000000003</v>
      </c>
      <c r="J1214">
        <v>882.7800000000002</v>
      </c>
    </row>
    <row r="1215" spans="1:10" x14ac:dyDescent="0.35">
      <c r="A1215">
        <v>1199</v>
      </c>
      <c r="B1215" s="75">
        <v>89.33</v>
      </c>
      <c r="C1215" s="75">
        <v>97.94</v>
      </c>
      <c r="D1215" s="75">
        <v>92.59</v>
      </c>
      <c r="E1215" s="75">
        <v>91.86</v>
      </c>
      <c r="F1215">
        <v>732.27</v>
      </c>
      <c r="G1215">
        <v>412.2</v>
      </c>
      <c r="H1215">
        <v>446.2</v>
      </c>
      <c r="I1215">
        <v>1525.1</v>
      </c>
      <c r="J1215">
        <v>3115.77</v>
      </c>
    </row>
    <row r="1216" spans="1:10" x14ac:dyDescent="0.35">
      <c r="A1216">
        <v>1200</v>
      </c>
      <c r="B1216" s="75">
        <v>89.172200000000004</v>
      </c>
      <c r="C1216" s="75">
        <v>97.132800000000003</v>
      </c>
      <c r="D1216" s="75">
        <v>91.293899999999994</v>
      </c>
      <c r="E1216" s="75">
        <v>93.402100000000004</v>
      </c>
      <c r="F1216">
        <v>1258.6200000000001</v>
      </c>
      <c r="G1216">
        <v>1615.6499999999999</v>
      </c>
      <c r="H1216">
        <v>3044.4</v>
      </c>
      <c r="I1216">
        <v>-21.5</v>
      </c>
      <c r="J1216">
        <v>5897.17</v>
      </c>
    </row>
    <row r="1217" spans="1:10" x14ac:dyDescent="0.35">
      <c r="A1217">
        <v>1201</v>
      </c>
      <c r="B1217" s="75">
        <v>88.92</v>
      </c>
      <c r="C1217" s="75">
        <v>98.21</v>
      </c>
      <c r="D1217" s="75">
        <v>93.17</v>
      </c>
      <c r="E1217" s="75">
        <v>93.37</v>
      </c>
      <c r="F1217">
        <v>2107.3799999999997</v>
      </c>
      <c r="G1217">
        <v>-0.44999999999999996</v>
      </c>
      <c r="H1217">
        <v>-701.2</v>
      </c>
      <c r="I1217">
        <v>12.9</v>
      </c>
      <c r="J1217">
        <v>1418.6299999999999</v>
      </c>
    </row>
    <row r="1218" spans="1:10" x14ac:dyDescent="0.35">
      <c r="A1218">
        <v>1202</v>
      </c>
      <c r="B1218" s="75">
        <v>89.555300000000003</v>
      </c>
      <c r="C1218" s="75">
        <v>99.095500000000001</v>
      </c>
      <c r="D1218" s="75">
        <v>92.165000000000006</v>
      </c>
      <c r="E1218" s="75">
        <v>93.985500000000002</v>
      </c>
      <c r="F1218">
        <v>-5.6099999999999994</v>
      </c>
      <c r="G1218">
        <v>-1328.4</v>
      </c>
      <c r="H1218">
        <v>1302.2</v>
      </c>
      <c r="I1218">
        <v>-604.9</v>
      </c>
      <c r="J1218">
        <v>-636.70999999999992</v>
      </c>
    </row>
    <row r="1219" spans="1:10" x14ac:dyDescent="0.35">
      <c r="A1219">
        <v>1203</v>
      </c>
      <c r="B1219" s="75">
        <v>90</v>
      </c>
      <c r="C1219" s="75">
        <v>99.32</v>
      </c>
      <c r="D1219" s="75">
        <v>91.48</v>
      </c>
      <c r="E1219" s="75">
        <v>92.34</v>
      </c>
      <c r="F1219">
        <v>-1480.05</v>
      </c>
      <c r="G1219">
        <v>-1663.9499999999998</v>
      </c>
      <c r="H1219">
        <v>2663.4</v>
      </c>
      <c r="I1219">
        <v>1043.1999999999998</v>
      </c>
      <c r="J1219">
        <v>562.59999999999991</v>
      </c>
    </row>
    <row r="1220" spans="1:10" x14ac:dyDescent="0.35">
      <c r="A1220">
        <v>1204</v>
      </c>
      <c r="B1220" s="75">
        <v>88.9846</v>
      </c>
      <c r="C1220" s="75">
        <v>97.413799999999995</v>
      </c>
      <c r="D1220" s="75">
        <v>93.740899999999996</v>
      </c>
      <c r="E1220" s="75">
        <v>94.8018</v>
      </c>
      <c r="F1220">
        <v>1877.6999999999998</v>
      </c>
      <c r="G1220">
        <v>1194.1500000000001</v>
      </c>
      <c r="H1220">
        <v>-1849.6</v>
      </c>
      <c r="I1220">
        <v>-1421.2</v>
      </c>
      <c r="J1220">
        <v>-198.95000000000005</v>
      </c>
    </row>
    <row r="1221" spans="1:10" x14ac:dyDescent="0.35">
      <c r="A1221">
        <v>1205</v>
      </c>
      <c r="B1221" s="75">
        <v>89.59</v>
      </c>
      <c r="C1221" s="75">
        <v>97.91</v>
      </c>
      <c r="D1221" s="75">
        <v>90.52</v>
      </c>
      <c r="E1221" s="75">
        <v>92.02</v>
      </c>
      <c r="F1221">
        <v>-117.48</v>
      </c>
      <c r="G1221">
        <v>450.6</v>
      </c>
      <c r="H1221">
        <v>4585.8</v>
      </c>
      <c r="I1221">
        <v>1364.6000000000001</v>
      </c>
      <c r="J1221">
        <v>6283.52</v>
      </c>
    </row>
    <row r="1222" spans="1:10" x14ac:dyDescent="0.35">
      <c r="A1222">
        <v>1206</v>
      </c>
      <c r="B1222" s="75">
        <v>89.478700000000003</v>
      </c>
      <c r="C1222" s="75">
        <v>97.560500000000005</v>
      </c>
      <c r="D1222" s="75">
        <v>94.818899999999999</v>
      </c>
      <c r="E1222" s="75">
        <v>93.694000000000003</v>
      </c>
      <c r="F1222">
        <v>247.17</v>
      </c>
      <c r="G1222">
        <v>974.09999999999991</v>
      </c>
      <c r="H1222">
        <v>-4005.6000000000004</v>
      </c>
      <c r="I1222">
        <v>-313.40000000000003</v>
      </c>
      <c r="J1222">
        <v>-3097.7300000000005</v>
      </c>
    </row>
    <row r="1223" spans="1:10" x14ac:dyDescent="0.35">
      <c r="A1223">
        <v>1207</v>
      </c>
      <c r="B1223" s="75">
        <v>89.31</v>
      </c>
      <c r="C1223" s="75">
        <v>98.37</v>
      </c>
      <c r="D1223" s="75">
        <v>93.39</v>
      </c>
      <c r="E1223" s="75">
        <v>94.85</v>
      </c>
      <c r="F1223">
        <v>796.62</v>
      </c>
      <c r="G1223">
        <v>-246.75</v>
      </c>
      <c r="H1223">
        <v>-1139.5999999999999</v>
      </c>
      <c r="I1223">
        <v>-1466.1</v>
      </c>
      <c r="J1223">
        <v>-2055.83</v>
      </c>
    </row>
    <row r="1224" spans="1:10" x14ac:dyDescent="0.35">
      <c r="A1224">
        <v>1208</v>
      </c>
      <c r="B1224" s="75">
        <v>90.572199999999995</v>
      </c>
      <c r="C1224" s="75">
        <v>98.780600000000007</v>
      </c>
      <c r="D1224" s="75">
        <v>92.790999999999997</v>
      </c>
      <c r="E1224" s="75">
        <v>89.707099999999997</v>
      </c>
      <c r="F1224">
        <v>-3361.3799999999997</v>
      </c>
      <c r="G1224">
        <v>-856.05</v>
      </c>
      <c r="H1224">
        <v>50.2</v>
      </c>
      <c r="I1224">
        <v>3673.5</v>
      </c>
      <c r="J1224">
        <v>-493.72999999999956</v>
      </c>
    </row>
    <row r="1225" spans="1:10" x14ac:dyDescent="0.35">
      <c r="A1225">
        <v>1209</v>
      </c>
      <c r="B1225" s="75">
        <v>89.68</v>
      </c>
      <c r="C1225" s="75">
        <v>99.9</v>
      </c>
      <c r="D1225" s="75">
        <v>92.65</v>
      </c>
      <c r="E1225" s="75">
        <v>94</v>
      </c>
      <c r="F1225">
        <v>-412.83</v>
      </c>
      <c r="G1225">
        <v>-2537.4</v>
      </c>
      <c r="H1225">
        <v>340.4</v>
      </c>
      <c r="I1225">
        <v>-618.6</v>
      </c>
      <c r="J1225">
        <v>-3228.43</v>
      </c>
    </row>
    <row r="1226" spans="1:10" x14ac:dyDescent="0.35">
      <c r="A1226">
        <v>1210</v>
      </c>
      <c r="B1226" s="75">
        <v>89.000500000000002</v>
      </c>
      <c r="C1226" s="75">
        <v>97.993899999999996</v>
      </c>
      <c r="D1226" s="75">
        <v>91.93</v>
      </c>
      <c r="E1226" s="75">
        <v>94.506100000000004</v>
      </c>
      <c r="F1226">
        <v>1825.23</v>
      </c>
      <c r="G1226">
        <v>324</v>
      </c>
      <c r="H1226">
        <v>1772.2</v>
      </c>
      <c r="I1226">
        <v>-1125.5</v>
      </c>
      <c r="J1226">
        <v>2795.9300000000003</v>
      </c>
    </row>
    <row r="1227" spans="1:10" x14ac:dyDescent="0.35">
      <c r="A1227">
        <v>1211</v>
      </c>
      <c r="B1227" s="75">
        <v>89.3</v>
      </c>
      <c r="C1227" s="75">
        <v>98.49</v>
      </c>
      <c r="D1227" s="75">
        <v>93.47</v>
      </c>
      <c r="E1227" s="75">
        <v>95.64</v>
      </c>
      <c r="F1227">
        <v>825.32999999999993</v>
      </c>
      <c r="G1227">
        <v>-424.49999999999994</v>
      </c>
      <c r="H1227">
        <v>-1315.6000000000001</v>
      </c>
      <c r="I1227">
        <v>-2261.1</v>
      </c>
      <c r="J1227">
        <v>-3175.87</v>
      </c>
    </row>
    <row r="1228" spans="1:10" x14ac:dyDescent="0.35">
      <c r="A1228">
        <v>1212</v>
      </c>
      <c r="B1228" s="75">
        <v>90.155900000000003</v>
      </c>
      <c r="C1228" s="75">
        <v>98.863299999999995</v>
      </c>
      <c r="D1228" s="75">
        <v>94.161199999999994</v>
      </c>
      <c r="E1228" s="75">
        <v>92.666300000000007</v>
      </c>
      <c r="F1228">
        <v>-1987.59</v>
      </c>
      <c r="G1228">
        <v>-980.1</v>
      </c>
      <c r="H1228">
        <v>-2690.2</v>
      </c>
      <c r="I1228">
        <v>714.30000000000007</v>
      </c>
      <c r="J1228">
        <v>-4943.5899999999992</v>
      </c>
    </row>
    <row r="1229" spans="1:10" x14ac:dyDescent="0.35">
      <c r="A1229">
        <v>1213</v>
      </c>
      <c r="B1229" s="75">
        <v>90.08</v>
      </c>
      <c r="C1229" s="75">
        <v>97.13</v>
      </c>
      <c r="D1229" s="75">
        <v>92.71</v>
      </c>
      <c r="E1229" s="75">
        <v>94.37</v>
      </c>
      <c r="F1229">
        <v>-1734.4799999999998</v>
      </c>
      <c r="G1229">
        <v>1618.05</v>
      </c>
      <c r="H1229">
        <v>208.6</v>
      </c>
      <c r="I1229">
        <v>-993.19999999999993</v>
      </c>
      <c r="J1229">
        <v>-901.02999999999975</v>
      </c>
    </row>
    <row r="1230" spans="1:10" x14ac:dyDescent="0.35">
      <c r="A1230">
        <v>1214</v>
      </c>
      <c r="B1230" s="75">
        <v>89.706500000000005</v>
      </c>
      <c r="C1230" s="75">
        <v>99.427199999999999</v>
      </c>
      <c r="D1230" s="75">
        <v>93.152699999999996</v>
      </c>
      <c r="E1230" s="75">
        <v>91.713800000000006</v>
      </c>
      <c r="F1230">
        <v>-504.57000000000005</v>
      </c>
      <c r="G1230">
        <v>-1825.95</v>
      </c>
      <c r="H1230">
        <v>-673.2</v>
      </c>
      <c r="I1230">
        <v>1666.8</v>
      </c>
      <c r="J1230">
        <v>-1336.9200000000003</v>
      </c>
    </row>
    <row r="1231" spans="1:10" x14ac:dyDescent="0.35">
      <c r="A1231">
        <v>1215</v>
      </c>
      <c r="B1231" s="75">
        <v>88.47</v>
      </c>
      <c r="C1231" s="75">
        <v>97.43</v>
      </c>
      <c r="D1231" s="75">
        <v>91.93</v>
      </c>
      <c r="E1231" s="75">
        <v>90.26</v>
      </c>
      <c r="F1231">
        <v>3564.9900000000002</v>
      </c>
      <c r="G1231">
        <v>1165.6500000000001</v>
      </c>
      <c r="H1231">
        <v>1771</v>
      </c>
      <c r="I1231">
        <v>3120.2999999999997</v>
      </c>
      <c r="J1231">
        <v>9621.94</v>
      </c>
    </row>
    <row r="1232" spans="1:10" x14ac:dyDescent="0.35">
      <c r="A1232">
        <v>1216</v>
      </c>
      <c r="B1232" s="75">
        <v>89.270099999999999</v>
      </c>
      <c r="C1232" s="75">
        <v>98.854900000000001</v>
      </c>
      <c r="D1232" s="75">
        <v>91.444100000000006</v>
      </c>
      <c r="E1232" s="75">
        <v>93.336699999999993</v>
      </c>
      <c r="F1232">
        <v>935.55</v>
      </c>
      <c r="G1232">
        <v>-967.5</v>
      </c>
      <c r="H1232">
        <v>2744</v>
      </c>
      <c r="I1232">
        <v>43.9</v>
      </c>
      <c r="J1232">
        <v>2755.9500000000003</v>
      </c>
    </row>
    <row r="1233" spans="1:10" x14ac:dyDescent="0.35">
      <c r="A1233">
        <v>1217</v>
      </c>
      <c r="B1233" s="75">
        <v>88.75</v>
      </c>
      <c r="C1233" s="75">
        <v>98.39</v>
      </c>
      <c r="D1233" s="75">
        <v>91.78</v>
      </c>
      <c r="E1233" s="75">
        <v>91.6</v>
      </c>
      <c r="F1233">
        <v>2651.88</v>
      </c>
      <c r="G1233">
        <v>-272.55</v>
      </c>
      <c r="H1233">
        <v>2076.4</v>
      </c>
      <c r="I1233">
        <v>1782.3</v>
      </c>
      <c r="J1233">
        <v>6238.03</v>
      </c>
    </row>
    <row r="1234" spans="1:10" x14ac:dyDescent="0.35">
      <c r="A1234">
        <v>1218</v>
      </c>
      <c r="B1234" s="75">
        <v>88.767600000000002</v>
      </c>
      <c r="C1234" s="75">
        <v>97.253600000000006</v>
      </c>
      <c r="D1234" s="75">
        <v>92.735100000000003</v>
      </c>
      <c r="E1234" s="75">
        <v>91.277199999999993</v>
      </c>
      <c r="F1234">
        <v>2593.8000000000002</v>
      </c>
      <c r="G1234">
        <v>1434.45</v>
      </c>
      <c r="H1234">
        <v>162</v>
      </c>
      <c r="I1234">
        <v>2103.4</v>
      </c>
      <c r="J1234">
        <v>6293.65</v>
      </c>
    </row>
    <row r="1235" spans="1:10" x14ac:dyDescent="0.35">
      <c r="A1235">
        <v>1219</v>
      </c>
      <c r="B1235" s="75">
        <v>89.34</v>
      </c>
      <c r="C1235" s="75">
        <v>97.15</v>
      </c>
      <c r="D1235" s="75">
        <v>92.21</v>
      </c>
      <c r="E1235" s="75">
        <v>93.89</v>
      </c>
      <c r="F1235">
        <v>703.56</v>
      </c>
      <c r="G1235">
        <v>1591.35</v>
      </c>
      <c r="H1235">
        <v>1215</v>
      </c>
      <c r="I1235">
        <v>-508.49999999999994</v>
      </c>
      <c r="J1235">
        <v>3001.41</v>
      </c>
    </row>
    <row r="1236" spans="1:10" x14ac:dyDescent="0.35">
      <c r="A1236">
        <v>1220</v>
      </c>
      <c r="B1236" s="75">
        <v>89.869</v>
      </c>
      <c r="C1236" s="75">
        <v>98.100999999999999</v>
      </c>
      <c r="D1236" s="75">
        <v>93.343400000000003</v>
      </c>
      <c r="E1236" s="75">
        <v>92.91</v>
      </c>
      <c r="F1236">
        <v>-1040.82</v>
      </c>
      <c r="G1236">
        <v>163.35</v>
      </c>
      <c r="H1236">
        <v>-1054.5999999999999</v>
      </c>
      <c r="I1236">
        <v>470.6</v>
      </c>
      <c r="J1236">
        <v>-1461.4699999999998</v>
      </c>
    </row>
    <row r="1237" spans="1:10" x14ac:dyDescent="0.35">
      <c r="A1237">
        <v>1221</v>
      </c>
      <c r="B1237" s="75">
        <v>90.41</v>
      </c>
      <c r="C1237" s="75">
        <v>98.8</v>
      </c>
      <c r="D1237" s="75">
        <v>94.51</v>
      </c>
      <c r="E1237" s="75">
        <v>92.37</v>
      </c>
      <c r="F1237">
        <v>-2820.1800000000003</v>
      </c>
      <c r="G1237">
        <v>-890.25</v>
      </c>
      <c r="H1237">
        <v>-3392.6</v>
      </c>
      <c r="I1237">
        <v>1010.9999999999999</v>
      </c>
      <c r="J1237">
        <v>-6092.0300000000007</v>
      </c>
    </row>
    <row r="1238" spans="1:10" x14ac:dyDescent="0.35">
      <c r="A1238">
        <v>1222</v>
      </c>
      <c r="B1238" s="75">
        <v>89.058000000000007</v>
      </c>
      <c r="C1238" s="75">
        <v>97.721900000000005</v>
      </c>
      <c r="D1238" s="75">
        <v>91.375799999999998</v>
      </c>
      <c r="E1238" s="75">
        <v>91.448999999999998</v>
      </c>
      <c r="F1238">
        <v>1635.48</v>
      </c>
      <c r="G1238">
        <v>732</v>
      </c>
      <c r="H1238">
        <v>2880.6</v>
      </c>
      <c r="I1238">
        <v>1931.6</v>
      </c>
      <c r="J1238">
        <v>7179.68</v>
      </c>
    </row>
    <row r="1239" spans="1:10" x14ac:dyDescent="0.35">
      <c r="A1239">
        <v>1223</v>
      </c>
      <c r="B1239" s="75">
        <v>89.74</v>
      </c>
      <c r="C1239" s="75">
        <v>97.36</v>
      </c>
      <c r="D1239" s="75">
        <v>90.44</v>
      </c>
      <c r="E1239" s="75">
        <v>92.52</v>
      </c>
      <c r="F1239">
        <v>-611.82000000000005</v>
      </c>
      <c r="G1239">
        <v>1273.2</v>
      </c>
      <c r="H1239">
        <v>4753.3999999999996</v>
      </c>
      <c r="I1239">
        <v>857.1</v>
      </c>
      <c r="J1239">
        <v>6271.88</v>
      </c>
    </row>
    <row r="1240" spans="1:10" x14ac:dyDescent="0.35">
      <c r="A1240">
        <v>1224</v>
      </c>
      <c r="B1240" s="75">
        <v>88.988900000000001</v>
      </c>
      <c r="C1240" s="75">
        <v>97.703699999999998</v>
      </c>
      <c r="D1240" s="75">
        <v>92.038799999999995</v>
      </c>
      <c r="E1240" s="75">
        <v>95.114199999999997</v>
      </c>
      <c r="F1240">
        <v>1863.51</v>
      </c>
      <c r="G1240">
        <v>759.3</v>
      </c>
      <c r="H1240">
        <v>1554.6</v>
      </c>
      <c r="I1240">
        <v>-1733.6000000000001</v>
      </c>
      <c r="J1240">
        <v>2443.8099999999995</v>
      </c>
    </row>
    <row r="1241" spans="1:10" x14ac:dyDescent="0.35">
      <c r="A1241">
        <v>1225</v>
      </c>
      <c r="B1241" s="75">
        <v>89.02</v>
      </c>
      <c r="C1241" s="75">
        <v>96.97</v>
      </c>
      <c r="D1241" s="75">
        <v>92.75</v>
      </c>
      <c r="E1241" s="75">
        <v>93.16</v>
      </c>
      <c r="F1241">
        <v>1752.96</v>
      </c>
      <c r="G1241">
        <v>1854.3</v>
      </c>
      <c r="H1241">
        <v>127.6</v>
      </c>
      <c r="I1241">
        <v>218.79999999999998</v>
      </c>
      <c r="J1241">
        <v>3953.6600000000003</v>
      </c>
    </row>
    <row r="1242" spans="1:10" x14ac:dyDescent="0.35">
      <c r="A1242">
        <v>1226</v>
      </c>
      <c r="B1242" s="75">
        <v>89.819800000000001</v>
      </c>
      <c r="C1242" s="75">
        <v>97.252099999999999</v>
      </c>
      <c r="D1242" s="75">
        <v>93.768299999999996</v>
      </c>
      <c r="E1242" s="75">
        <v>94.980699999999999</v>
      </c>
      <c r="F1242">
        <v>-878.45999999999992</v>
      </c>
      <c r="G1242">
        <v>1436.7</v>
      </c>
      <c r="H1242">
        <v>-1904.4</v>
      </c>
      <c r="I1242">
        <v>-1600.1000000000001</v>
      </c>
      <c r="J1242">
        <v>-2946.26</v>
      </c>
    </row>
    <row r="1243" spans="1:10" x14ac:dyDescent="0.35">
      <c r="A1243">
        <v>1227</v>
      </c>
      <c r="B1243" s="75">
        <v>89.22</v>
      </c>
      <c r="C1243" s="75">
        <v>97.95</v>
      </c>
      <c r="D1243" s="75">
        <v>92.16</v>
      </c>
      <c r="E1243" s="75">
        <v>92.96</v>
      </c>
      <c r="F1243">
        <v>1111.44</v>
      </c>
      <c r="G1243">
        <v>395.25</v>
      </c>
      <c r="H1243">
        <v>1311.8000000000002</v>
      </c>
      <c r="I1243">
        <v>422.5</v>
      </c>
      <c r="J1243">
        <v>3240.9900000000002</v>
      </c>
    </row>
    <row r="1244" spans="1:10" x14ac:dyDescent="0.35">
      <c r="A1244">
        <v>1228</v>
      </c>
      <c r="B1244" s="75">
        <v>89.921099999999996</v>
      </c>
      <c r="C1244" s="75">
        <v>98.262699999999995</v>
      </c>
      <c r="D1244" s="75">
        <v>93.4114</v>
      </c>
      <c r="E1244" s="75">
        <v>92.900400000000005</v>
      </c>
      <c r="F1244">
        <v>-1212.75</v>
      </c>
      <c r="G1244">
        <v>-79.2</v>
      </c>
      <c r="H1244">
        <v>-1190.6000000000001</v>
      </c>
      <c r="I1244">
        <v>480.2</v>
      </c>
      <c r="J1244">
        <v>-2002.3500000000001</v>
      </c>
    </row>
    <row r="1245" spans="1:10" x14ac:dyDescent="0.35">
      <c r="A1245">
        <v>1229</v>
      </c>
      <c r="B1245" s="75">
        <v>89.84</v>
      </c>
      <c r="C1245" s="75">
        <v>98.22</v>
      </c>
      <c r="D1245" s="75">
        <v>95.33</v>
      </c>
      <c r="E1245" s="75">
        <v>92.84</v>
      </c>
      <c r="F1245">
        <v>-931.92</v>
      </c>
      <c r="G1245">
        <v>-9</v>
      </c>
      <c r="H1245">
        <v>-5020.2</v>
      </c>
      <c r="I1245">
        <v>543.4</v>
      </c>
      <c r="J1245">
        <v>-5417.72</v>
      </c>
    </row>
    <row r="1246" spans="1:10" x14ac:dyDescent="0.35">
      <c r="A1246">
        <v>1230</v>
      </c>
      <c r="B1246" s="75">
        <v>89.744299999999996</v>
      </c>
      <c r="C1246" s="75">
        <v>97.721100000000007</v>
      </c>
      <c r="D1246" s="75">
        <v>91.536000000000001</v>
      </c>
      <c r="E1246" s="75">
        <v>91.002099999999999</v>
      </c>
      <c r="F1246">
        <v>-629.31000000000006</v>
      </c>
      <c r="G1246">
        <v>733.2</v>
      </c>
      <c r="H1246">
        <v>2560.1999999999998</v>
      </c>
      <c r="I1246">
        <v>2378.5</v>
      </c>
      <c r="J1246">
        <v>5042.59</v>
      </c>
    </row>
    <row r="1247" spans="1:10" x14ac:dyDescent="0.35">
      <c r="A1247">
        <v>1231</v>
      </c>
      <c r="B1247" s="75">
        <v>89.22</v>
      </c>
      <c r="C1247" s="75">
        <v>98.6</v>
      </c>
      <c r="D1247" s="75">
        <v>91.35</v>
      </c>
      <c r="E1247" s="75">
        <v>93.02</v>
      </c>
      <c r="F1247">
        <v>1117.0500000000002</v>
      </c>
      <c r="G1247">
        <v>-583.5</v>
      </c>
      <c r="H1247">
        <v>2933.8</v>
      </c>
      <c r="I1247">
        <v>356.70000000000005</v>
      </c>
      <c r="J1247">
        <v>3824.05</v>
      </c>
    </row>
    <row r="1248" spans="1:10" x14ac:dyDescent="0.35">
      <c r="A1248">
        <v>1232</v>
      </c>
      <c r="B1248" s="75">
        <v>89.311199999999999</v>
      </c>
      <c r="C1248" s="75">
        <v>97.390600000000006</v>
      </c>
      <c r="D1248" s="75">
        <v>90.897400000000005</v>
      </c>
      <c r="E1248" s="75">
        <v>91.445499999999996</v>
      </c>
      <c r="F1248">
        <v>799.92</v>
      </c>
      <c r="G1248">
        <v>1228.95</v>
      </c>
      <c r="H1248">
        <v>3837.4</v>
      </c>
      <c r="I1248">
        <v>1935.1000000000001</v>
      </c>
      <c r="J1248">
        <v>7801.3700000000008</v>
      </c>
    </row>
    <row r="1249" spans="1:10" x14ac:dyDescent="0.35">
      <c r="A1249">
        <v>1233</v>
      </c>
      <c r="B1249" s="75">
        <v>89.06</v>
      </c>
      <c r="C1249" s="75">
        <v>98.38</v>
      </c>
      <c r="D1249" s="75">
        <v>93.44</v>
      </c>
      <c r="E1249" s="75">
        <v>96.44</v>
      </c>
      <c r="F1249">
        <v>1624.5900000000001</v>
      </c>
      <c r="G1249">
        <v>-251.54999999999998</v>
      </c>
      <c r="H1249">
        <v>-1246.5999999999999</v>
      </c>
      <c r="I1249">
        <v>-3059.6</v>
      </c>
      <c r="J1249">
        <v>-2933.16</v>
      </c>
    </row>
    <row r="1250" spans="1:10" x14ac:dyDescent="0.35">
      <c r="A1250">
        <v>1234</v>
      </c>
      <c r="B1250" s="75">
        <v>89.843800000000002</v>
      </c>
      <c r="C1250" s="75">
        <v>97.339299999999994</v>
      </c>
      <c r="D1250" s="75">
        <v>91.854699999999994</v>
      </c>
      <c r="E1250" s="75">
        <v>94.074299999999994</v>
      </c>
      <c r="F1250">
        <v>-957.66000000000008</v>
      </c>
      <c r="G1250">
        <v>1305.9000000000001</v>
      </c>
      <c r="H1250">
        <v>1922.8</v>
      </c>
      <c r="I1250">
        <v>-693.69999999999993</v>
      </c>
      <c r="J1250">
        <v>1577.3400000000001</v>
      </c>
    </row>
    <row r="1251" spans="1:10" x14ac:dyDescent="0.35">
      <c r="A1251">
        <v>1235</v>
      </c>
      <c r="B1251" s="75">
        <v>89.6</v>
      </c>
      <c r="C1251" s="75">
        <v>98.15</v>
      </c>
      <c r="D1251" s="75">
        <v>94.67</v>
      </c>
      <c r="E1251" s="75">
        <v>92.87</v>
      </c>
      <c r="F1251">
        <v>-145.19999999999999</v>
      </c>
      <c r="G1251">
        <v>93</v>
      </c>
      <c r="H1251">
        <v>-3717.6</v>
      </c>
      <c r="I1251">
        <v>512.1</v>
      </c>
      <c r="J1251">
        <v>-3257.7</v>
      </c>
    </row>
    <row r="1252" spans="1:10" x14ac:dyDescent="0.35">
      <c r="A1252">
        <v>1236</v>
      </c>
      <c r="B1252" s="75">
        <v>89.816999999999993</v>
      </c>
      <c r="C1252" s="75">
        <v>97.900800000000004</v>
      </c>
      <c r="D1252" s="75">
        <v>92.157700000000006</v>
      </c>
      <c r="E1252" s="75">
        <v>88.301000000000002</v>
      </c>
      <c r="F1252">
        <v>-869.22</v>
      </c>
      <c r="G1252">
        <v>463.65</v>
      </c>
      <c r="H1252">
        <v>1316.8</v>
      </c>
      <c r="I1252">
        <v>5079.6000000000004</v>
      </c>
      <c r="J1252">
        <v>5990.83</v>
      </c>
    </row>
    <row r="1253" spans="1:10" x14ac:dyDescent="0.35">
      <c r="A1253">
        <v>1237</v>
      </c>
      <c r="B1253" s="75">
        <v>89.2</v>
      </c>
      <c r="C1253" s="75">
        <v>99.27</v>
      </c>
      <c r="D1253" s="75">
        <v>92.42</v>
      </c>
      <c r="E1253" s="75">
        <v>93.53</v>
      </c>
      <c r="F1253">
        <v>1180.4100000000001</v>
      </c>
      <c r="G1253">
        <v>-1596</v>
      </c>
      <c r="H1253">
        <v>783.2</v>
      </c>
      <c r="I1253">
        <v>-150.60000000000002</v>
      </c>
      <c r="J1253">
        <v>217.0100000000001</v>
      </c>
    </row>
    <row r="1254" spans="1:10" x14ac:dyDescent="0.35">
      <c r="A1254">
        <v>1238</v>
      </c>
      <c r="B1254" s="75">
        <v>89.927199999999999</v>
      </c>
      <c r="C1254" s="75">
        <v>98.951099999999997</v>
      </c>
      <c r="D1254" s="75">
        <v>93.141300000000001</v>
      </c>
      <c r="E1254" s="75">
        <v>95.883799999999994</v>
      </c>
      <c r="F1254">
        <v>-1232.8799999999999</v>
      </c>
      <c r="G1254">
        <v>-1111.8</v>
      </c>
      <c r="H1254">
        <v>-650.4</v>
      </c>
      <c r="I1254">
        <v>-2503.2000000000003</v>
      </c>
      <c r="J1254">
        <v>-5498.2800000000007</v>
      </c>
    </row>
    <row r="1255" spans="1:10" x14ac:dyDescent="0.35">
      <c r="A1255">
        <v>1239</v>
      </c>
      <c r="B1255" s="75">
        <v>89.54</v>
      </c>
      <c r="C1255" s="75">
        <v>98.14</v>
      </c>
      <c r="D1255" s="75">
        <v>92.54</v>
      </c>
      <c r="E1255" s="75">
        <v>92.84</v>
      </c>
      <c r="F1255">
        <v>51.15</v>
      </c>
      <c r="G1255">
        <v>110.39999999999999</v>
      </c>
      <c r="H1255">
        <v>544.20000000000005</v>
      </c>
      <c r="I1255">
        <v>536.59999999999991</v>
      </c>
      <c r="J1255">
        <v>1242.3499999999999</v>
      </c>
    </row>
    <row r="1256" spans="1:10" x14ac:dyDescent="0.35">
      <c r="A1256">
        <v>1240</v>
      </c>
      <c r="B1256" s="75">
        <v>90.043000000000006</v>
      </c>
      <c r="C1256" s="75">
        <v>98.728899999999996</v>
      </c>
      <c r="D1256" s="75">
        <v>92.549899999999994</v>
      </c>
      <c r="E1256" s="75">
        <v>94.839399999999998</v>
      </c>
      <c r="F1256">
        <v>-1615.02</v>
      </c>
      <c r="G1256">
        <v>-778.5</v>
      </c>
      <c r="H1256">
        <v>532.4</v>
      </c>
      <c r="I1256">
        <v>-1458.8000000000002</v>
      </c>
      <c r="J1256">
        <v>-3319.92</v>
      </c>
    </row>
    <row r="1257" spans="1:10" x14ac:dyDescent="0.35">
      <c r="A1257">
        <v>1241</v>
      </c>
      <c r="B1257" s="75">
        <v>89.82</v>
      </c>
      <c r="C1257" s="75">
        <v>97.54</v>
      </c>
      <c r="D1257" s="75">
        <v>92.01</v>
      </c>
      <c r="E1257" s="75">
        <v>92.47</v>
      </c>
      <c r="F1257">
        <v>-873.83999999999992</v>
      </c>
      <c r="G1257">
        <v>1008.1500000000001</v>
      </c>
      <c r="H1257">
        <v>1603.3999999999999</v>
      </c>
      <c r="I1257">
        <v>910.5</v>
      </c>
      <c r="J1257">
        <v>2648.21</v>
      </c>
    </row>
    <row r="1258" spans="1:10" x14ac:dyDescent="0.35">
      <c r="A1258">
        <v>1242</v>
      </c>
      <c r="B1258" s="75">
        <v>89.830600000000004</v>
      </c>
      <c r="C1258" s="75">
        <v>99.027000000000001</v>
      </c>
      <c r="D1258" s="75">
        <v>93.599599999999995</v>
      </c>
      <c r="E1258" s="75">
        <v>91.515299999999996</v>
      </c>
      <c r="F1258">
        <v>-914.1</v>
      </c>
      <c r="G1258">
        <v>-1225.6500000000001</v>
      </c>
      <c r="H1258">
        <v>-1567</v>
      </c>
      <c r="I1258">
        <v>1865.3</v>
      </c>
      <c r="J1258">
        <v>-1841.45</v>
      </c>
    </row>
    <row r="1259" spans="1:10" x14ac:dyDescent="0.35">
      <c r="A1259">
        <v>1243</v>
      </c>
      <c r="B1259" s="75">
        <v>89.67</v>
      </c>
      <c r="C1259" s="75">
        <v>98.92</v>
      </c>
      <c r="D1259" s="75">
        <v>92.96</v>
      </c>
      <c r="E1259" s="75">
        <v>95.26</v>
      </c>
      <c r="F1259">
        <v>-392.37</v>
      </c>
      <c r="G1259">
        <v>-1057.8000000000002</v>
      </c>
      <c r="H1259">
        <v>-282.39999999999998</v>
      </c>
      <c r="I1259">
        <v>-1883.3999999999999</v>
      </c>
      <c r="J1259">
        <v>-3615.9700000000003</v>
      </c>
    </row>
    <row r="1260" spans="1:10" x14ac:dyDescent="0.35">
      <c r="A1260">
        <v>1244</v>
      </c>
      <c r="B1260" s="75">
        <v>89.016099999999994</v>
      </c>
      <c r="C1260" s="75">
        <v>99.047899999999998</v>
      </c>
      <c r="D1260" s="75">
        <v>90.743700000000004</v>
      </c>
      <c r="E1260" s="75">
        <v>94.597399999999993</v>
      </c>
      <c r="F1260">
        <v>1773.75</v>
      </c>
      <c r="G1260">
        <v>-1257</v>
      </c>
      <c r="H1260">
        <v>4144.8</v>
      </c>
      <c r="I1260">
        <v>-1216.8000000000002</v>
      </c>
      <c r="J1260">
        <v>3444.75</v>
      </c>
    </row>
    <row r="1261" spans="1:10" x14ac:dyDescent="0.35">
      <c r="A1261">
        <v>1245</v>
      </c>
      <c r="B1261" s="75">
        <v>89.82</v>
      </c>
      <c r="C1261" s="75">
        <v>98.56</v>
      </c>
      <c r="D1261" s="75">
        <v>92.95</v>
      </c>
      <c r="E1261" s="75">
        <v>91.32</v>
      </c>
      <c r="F1261">
        <v>-874.5</v>
      </c>
      <c r="G1261">
        <v>-523.35</v>
      </c>
      <c r="H1261">
        <v>-270</v>
      </c>
      <c r="I1261">
        <v>2060.1</v>
      </c>
      <c r="J1261">
        <v>392.25</v>
      </c>
    </row>
    <row r="1262" spans="1:10" x14ac:dyDescent="0.35">
      <c r="A1262">
        <v>1246</v>
      </c>
      <c r="B1262" s="75">
        <v>90.222300000000004</v>
      </c>
      <c r="C1262" s="75">
        <v>98.787599999999998</v>
      </c>
      <c r="D1262" s="75">
        <v>92.825199999999995</v>
      </c>
      <c r="E1262" s="75">
        <v>90.927899999999994</v>
      </c>
      <c r="F1262">
        <v>-2206.71</v>
      </c>
      <c r="G1262">
        <v>-866.55</v>
      </c>
      <c r="H1262">
        <v>-18.2</v>
      </c>
      <c r="I1262">
        <v>2452.7000000000003</v>
      </c>
      <c r="J1262">
        <v>-638.75999999999976</v>
      </c>
    </row>
    <row r="1263" spans="1:10" x14ac:dyDescent="0.35">
      <c r="A1263">
        <v>1247</v>
      </c>
      <c r="B1263" s="75">
        <v>89.55</v>
      </c>
      <c r="C1263" s="75">
        <v>99.79</v>
      </c>
      <c r="D1263" s="75">
        <v>91.92</v>
      </c>
      <c r="E1263" s="75">
        <v>91.44</v>
      </c>
      <c r="F1263">
        <v>0.98999999999999988</v>
      </c>
      <c r="G1263">
        <v>-2375.1</v>
      </c>
      <c r="H1263">
        <v>1799.8</v>
      </c>
      <c r="I1263">
        <v>1944.8000000000002</v>
      </c>
      <c r="J1263">
        <v>1370.49</v>
      </c>
    </row>
    <row r="1264" spans="1:10" x14ac:dyDescent="0.35">
      <c r="A1264">
        <v>1248</v>
      </c>
      <c r="B1264" s="75">
        <v>89.847499999999997</v>
      </c>
      <c r="C1264" s="75">
        <v>98.136399999999995</v>
      </c>
      <c r="D1264" s="75">
        <v>93.796199999999999</v>
      </c>
      <c r="E1264" s="75">
        <v>93.964799999999997</v>
      </c>
      <c r="F1264">
        <v>-969.87</v>
      </c>
      <c r="G1264">
        <v>110.25</v>
      </c>
      <c r="H1264">
        <v>-1960.2</v>
      </c>
      <c r="I1264">
        <v>-584.20000000000005</v>
      </c>
      <c r="J1264">
        <v>-3404.0200000000004</v>
      </c>
    </row>
    <row r="1265" spans="1:10" x14ac:dyDescent="0.35">
      <c r="A1265">
        <v>1249</v>
      </c>
      <c r="B1265" s="75">
        <v>90.14</v>
      </c>
      <c r="C1265" s="75">
        <v>98.8</v>
      </c>
      <c r="D1265" s="75">
        <v>93.94</v>
      </c>
      <c r="E1265" s="75">
        <v>93.12</v>
      </c>
      <c r="F1265">
        <v>-1919.61</v>
      </c>
      <c r="G1265">
        <v>-890.55</v>
      </c>
      <c r="H1265">
        <v>-2239.7999999999997</v>
      </c>
      <c r="I1265">
        <v>263.2</v>
      </c>
      <c r="J1265">
        <v>-4786.7599999999993</v>
      </c>
    </row>
    <row r="1266" spans="1:10" x14ac:dyDescent="0.35">
      <c r="A1266">
        <v>1250</v>
      </c>
      <c r="B1266" s="75">
        <v>89.206699999999998</v>
      </c>
      <c r="C1266" s="75">
        <v>97.593000000000004</v>
      </c>
      <c r="D1266" s="75">
        <v>92.643299999999996</v>
      </c>
      <c r="E1266" s="75">
        <v>94.338999999999999</v>
      </c>
      <c r="F1266">
        <v>1144.77</v>
      </c>
      <c r="G1266">
        <v>925.35</v>
      </c>
      <c r="H1266">
        <v>345.6</v>
      </c>
      <c r="I1266">
        <v>-958.4</v>
      </c>
      <c r="J1266">
        <v>1457.3199999999997</v>
      </c>
    </row>
    <row r="1267" spans="1:10" x14ac:dyDescent="0.35">
      <c r="A1267">
        <v>1251</v>
      </c>
      <c r="B1267" s="75">
        <v>89.62</v>
      </c>
      <c r="C1267" s="75">
        <v>98.37</v>
      </c>
      <c r="D1267" s="75">
        <v>93.11</v>
      </c>
      <c r="E1267" s="75">
        <v>91.31</v>
      </c>
      <c r="F1267">
        <v>-218.13000000000002</v>
      </c>
      <c r="G1267">
        <v>-243.75</v>
      </c>
      <c r="H1267">
        <v>-593.79999999999995</v>
      </c>
      <c r="I1267">
        <v>2070.9</v>
      </c>
      <c r="J1267">
        <v>1015.2200000000003</v>
      </c>
    </row>
    <row r="1268" spans="1:10" x14ac:dyDescent="0.35">
      <c r="A1268">
        <v>1252</v>
      </c>
      <c r="B1268" s="75">
        <v>89.861599999999996</v>
      </c>
      <c r="C1268" s="75">
        <v>97.939599999999999</v>
      </c>
      <c r="D1268" s="75">
        <v>92.915599999999998</v>
      </c>
      <c r="E1268" s="75">
        <v>92.081800000000001</v>
      </c>
      <c r="F1268">
        <v>-1016.4</v>
      </c>
      <c r="G1268">
        <v>405.45</v>
      </c>
      <c r="H1268">
        <v>-199</v>
      </c>
      <c r="I1268">
        <v>1298.8</v>
      </c>
      <c r="J1268">
        <v>488.84999999999991</v>
      </c>
    </row>
    <row r="1269" spans="1:10" x14ac:dyDescent="0.35">
      <c r="A1269">
        <v>1253</v>
      </c>
      <c r="B1269" s="75">
        <v>91.02</v>
      </c>
      <c r="C1269" s="75">
        <v>98.27</v>
      </c>
      <c r="D1269" s="75">
        <v>94.47</v>
      </c>
      <c r="E1269" s="75">
        <v>94.37</v>
      </c>
      <c r="F1269">
        <v>-4834.5</v>
      </c>
      <c r="G1269">
        <v>-84.75</v>
      </c>
      <c r="H1269">
        <v>-3299.2</v>
      </c>
      <c r="I1269">
        <v>-989.4</v>
      </c>
      <c r="J1269">
        <v>-9207.85</v>
      </c>
    </row>
    <row r="1270" spans="1:10" x14ac:dyDescent="0.35">
      <c r="A1270">
        <v>1254</v>
      </c>
      <c r="B1270" s="75">
        <v>89.352500000000006</v>
      </c>
      <c r="C1270" s="75">
        <v>97.415700000000001</v>
      </c>
      <c r="D1270" s="75">
        <v>93.113399999999999</v>
      </c>
      <c r="E1270" s="75">
        <v>92.076800000000006</v>
      </c>
      <c r="F1270">
        <v>663.63</v>
      </c>
      <c r="G1270">
        <v>1191.3</v>
      </c>
      <c r="H1270">
        <v>-594.6</v>
      </c>
      <c r="I1270">
        <v>1303.8000000000002</v>
      </c>
      <c r="J1270">
        <v>2564.13</v>
      </c>
    </row>
    <row r="1271" spans="1:10" x14ac:dyDescent="0.35">
      <c r="A1271">
        <v>1255</v>
      </c>
      <c r="B1271" s="75">
        <v>89.84</v>
      </c>
      <c r="C1271" s="75">
        <v>98.91</v>
      </c>
      <c r="D1271" s="75">
        <v>91.33</v>
      </c>
      <c r="E1271" s="75">
        <v>92.87</v>
      </c>
      <c r="F1271">
        <v>-947.09999999999991</v>
      </c>
      <c r="G1271">
        <v>-1056.3000000000002</v>
      </c>
      <c r="H1271">
        <v>2974</v>
      </c>
      <c r="I1271">
        <v>512.9</v>
      </c>
      <c r="J1271">
        <v>1483.5</v>
      </c>
    </row>
    <row r="1272" spans="1:10" x14ac:dyDescent="0.35">
      <c r="A1272">
        <v>1256</v>
      </c>
      <c r="B1272" s="75">
        <v>88.921800000000005</v>
      </c>
      <c r="C1272" s="75">
        <v>98.371399999999994</v>
      </c>
      <c r="D1272" s="75">
        <v>92.841800000000006</v>
      </c>
      <c r="E1272" s="75">
        <v>91.630799999999994</v>
      </c>
      <c r="F1272">
        <v>2084.94</v>
      </c>
      <c r="G1272">
        <v>-242.25</v>
      </c>
      <c r="H1272">
        <v>-51.4</v>
      </c>
      <c r="I1272">
        <v>1749.8</v>
      </c>
      <c r="J1272">
        <v>3541.09</v>
      </c>
    </row>
    <row r="1273" spans="1:10" x14ac:dyDescent="0.35">
      <c r="A1273">
        <v>1257</v>
      </c>
      <c r="B1273" s="75">
        <v>88.85</v>
      </c>
      <c r="C1273" s="75">
        <v>96.01</v>
      </c>
      <c r="D1273" s="75">
        <v>94.21</v>
      </c>
      <c r="E1273" s="75">
        <v>94.78</v>
      </c>
      <c r="F1273">
        <v>2321.88</v>
      </c>
      <c r="G1273">
        <v>3298.2</v>
      </c>
      <c r="H1273">
        <v>-2792.8</v>
      </c>
      <c r="I1273">
        <v>-1399.7</v>
      </c>
      <c r="J1273">
        <v>1427.5799999999997</v>
      </c>
    </row>
    <row r="1274" spans="1:10" x14ac:dyDescent="0.35">
      <c r="A1274">
        <v>1258</v>
      </c>
      <c r="B1274" s="75">
        <v>89.895700000000005</v>
      </c>
      <c r="C1274" s="75">
        <v>98.352699999999999</v>
      </c>
      <c r="D1274" s="75">
        <v>92.031899999999993</v>
      </c>
      <c r="E1274" s="75">
        <v>91.334000000000003</v>
      </c>
      <c r="F1274">
        <v>-1128.93</v>
      </c>
      <c r="G1274">
        <v>-214.20000000000002</v>
      </c>
      <c r="H1274">
        <v>1568.4</v>
      </c>
      <c r="I1274">
        <v>2046.6000000000001</v>
      </c>
      <c r="J1274">
        <v>2271.87</v>
      </c>
    </row>
    <row r="1275" spans="1:10" x14ac:dyDescent="0.35">
      <c r="A1275">
        <v>1259</v>
      </c>
      <c r="B1275" s="75">
        <v>90.06</v>
      </c>
      <c r="C1275" s="75">
        <v>98.68</v>
      </c>
      <c r="D1275" s="75">
        <v>94.4</v>
      </c>
      <c r="E1275" s="75">
        <v>91.48</v>
      </c>
      <c r="F1275">
        <v>-1654.62</v>
      </c>
      <c r="G1275">
        <v>-699.75</v>
      </c>
      <c r="H1275">
        <v>-3170.4</v>
      </c>
      <c r="I1275">
        <v>1903.6</v>
      </c>
      <c r="J1275">
        <v>-3621.1700000000005</v>
      </c>
    </row>
    <row r="1276" spans="1:10" x14ac:dyDescent="0.35">
      <c r="A1276">
        <v>1260</v>
      </c>
      <c r="B1276" s="75">
        <v>89.048400000000001</v>
      </c>
      <c r="C1276" s="75">
        <v>98.599400000000003</v>
      </c>
      <c r="D1276" s="75">
        <v>91.540700000000001</v>
      </c>
      <c r="E1276" s="75">
        <v>92.526799999999994</v>
      </c>
      <c r="F1276">
        <v>1667.1599999999999</v>
      </c>
      <c r="G1276">
        <v>-584.25</v>
      </c>
      <c r="H1276">
        <v>2550.8000000000002</v>
      </c>
      <c r="I1276">
        <v>853.8</v>
      </c>
      <c r="J1276">
        <v>4487.51</v>
      </c>
    </row>
    <row r="1277" spans="1:10" x14ac:dyDescent="0.35">
      <c r="A1277">
        <v>1261</v>
      </c>
      <c r="B1277" s="75">
        <v>89.69</v>
      </c>
      <c r="C1277" s="75">
        <v>97.78</v>
      </c>
      <c r="D1277" s="75">
        <v>93.17</v>
      </c>
      <c r="E1277" s="75">
        <v>95.72</v>
      </c>
      <c r="F1277">
        <v>-447.80999999999995</v>
      </c>
      <c r="G1277">
        <v>647.70000000000005</v>
      </c>
      <c r="H1277">
        <v>-705</v>
      </c>
      <c r="I1277">
        <v>-2337</v>
      </c>
      <c r="J1277">
        <v>-2842.1099999999997</v>
      </c>
    </row>
    <row r="1278" spans="1:10" x14ac:dyDescent="0.35">
      <c r="A1278">
        <v>1262</v>
      </c>
      <c r="B1278" s="75">
        <v>88.674000000000007</v>
      </c>
      <c r="C1278" s="75">
        <v>96.376599999999996</v>
      </c>
      <c r="D1278" s="75">
        <v>92.798000000000002</v>
      </c>
      <c r="E1278" s="75">
        <v>91.660600000000002</v>
      </c>
      <c r="F1278">
        <v>2902.6800000000003</v>
      </c>
      <c r="G1278">
        <v>2749.95</v>
      </c>
      <c r="H1278">
        <v>36.200000000000003</v>
      </c>
      <c r="I1278">
        <v>1720</v>
      </c>
      <c r="J1278">
        <v>7408.83</v>
      </c>
    </row>
    <row r="1279" spans="1:10" x14ac:dyDescent="0.35">
      <c r="A1279">
        <v>1263</v>
      </c>
      <c r="B1279" s="75">
        <v>89.58</v>
      </c>
      <c r="C1279" s="75">
        <v>98.23</v>
      </c>
      <c r="D1279" s="75">
        <v>93.25</v>
      </c>
      <c r="E1279" s="75">
        <v>92.71</v>
      </c>
      <c r="F1279">
        <v>-75.570000000000007</v>
      </c>
      <c r="G1279">
        <v>-23.4</v>
      </c>
      <c r="H1279">
        <v>-863.6</v>
      </c>
      <c r="I1279">
        <v>669.3</v>
      </c>
      <c r="J1279">
        <v>-293.2700000000001</v>
      </c>
    </row>
    <row r="1280" spans="1:10" x14ac:dyDescent="0.35">
      <c r="A1280">
        <v>1264</v>
      </c>
      <c r="B1280" s="75">
        <v>90.171099999999996</v>
      </c>
      <c r="C1280" s="75">
        <v>99.518199999999993</v>
      </c>
      <c r="D1280" s="75">
        <v>91.638800000000003</v>
      </c>
      <c r="E1280" s="75">
        <v>96.021100000000004</v>
      </c>
      <c r="F1280">
        <v>-2037.7500000000002</v>
      </c>
      <c r="G1280">
        <v>-1962.45</v>
      </c>
      <c r="H1280">
        <v>2354.6</v>
      </c>
      <c r="I1280">
        <v>-2640.5</v>
      </c>
      <c r="J1280">
        <v>-4286.1000000000004</v>
      </c>
    </row>
    <row r="1281" spans="1:10" x14ac:dyDescent="0.35">
      <c r="A1281">
        <v>1265</v>
      </c>
      <c r="B1281" s="75">
        <v>89.57</v>
      </c>
      <c r="C1281" s="75">
        <v>98.8</v>
      </c>
      <c r="D1281" s="75">
        <v>92.47</v>
      </c>
      <c r="E1281" s="75">
        <v>91.73</v>
      </c>
      <c r="F1281">
        <v>-43.56</v>
      </c>
      <c r="G1281">
        <v>-886.65</v>
      </c>
      <c r="H1281">
        <v>689.6</v>
      </c>
      <c r="I1281">
        <v>1651.1</v>
      </c>
      <c r="J1281">
        <v>1410.4899999999998</v>
      </c>
    </row>
    <row r="1282" spans="1:10" x14ac:dyDescent="0.35">
      <c r="A1282">
        <v>1266</v>
      </c>
      <c r="B1282" s="75">
        <v>89.996200000000002</v>
      </c>
      <c r="C1282" s="75">
        <v>97.774799999999999</v>
      </c>
      <c r="D1282" s="75">
        <v>93.171999999999997</v>
      </c>
      <c r="E1282" s="75">
        <v>92.947599999999994</v>
      </c>
      <c r="F1282">
        <v>-1460.58</v>
      </c>
      <c r="G1282">
        <v>652.65</v>
      </c>
      <c r="H1282">
        <v>-711.8</v>
      </c>
      <c r="I1282">
        <v>433</v>
      </c>
      <c r="J1282">
        <v>-1086.73</v>
      </c>
    </row>
    <row r="1283" spans="1:10" x14ac:dyDescent="0.35">
      <c r="A1283">
        <v>1267</v>
      </c>
      <c r="B1283" s="75">
        <v>89.54</v>
      </c>
      <c r="C1283" s="75">
        <v>97.99</v>
      </c>
      <c r="D1283" s="75">
        <v>93.7</v>
      </c>
      <c r="E1283" s="75">
        <v>92.64</v>
      </c>
      <c r="F1283">
        <v>33.99</v>
      </c>
      <c r="G1283">
        <v>325.8</v>
      </c>
      <c r="H1283">
        <v>-1761.6000000000001</v>
      </c>
      <c r="I1283">
        <v>738.1</v>
      </c>
      <c r="J1283">
        <v>-663.71000000000015</v>
      </c>
    </row>
    <row r="1284" spans="1:10" x14ac:dyDescent="0.35">
      <c r="A1284">
        <v>1268</v>
      </c>
      <c r="B1284" s="75">
        <v>89.678299999999993</v>
      </c>
      <c r="C1284" s="75">
        <v>98.3553</v>
      </c>
      <c r="D1284" s="75">
        <v>92.412300000000002</v>
      </c>
      <c r="E1284" s="75">
        <v>95.217699999999994</v>
      </c>
      <c r="F1284">
        <v>-411.51</v>
      </c>
      <c r="G1284">
        <v>-218.1</v>
      </c>
      <c r="H1284">
        <v>807.6</v>
      </c>
      <c r="I1284">
        <v>-1837.1</v>
      </c>
      <c r="J1284">
        <v>-1659.11</v>
      </c>
    </row>
    <row r="1285" spans="1:10" x14ac:dyDescent="0.35">
      <c r="A1285">
        <v>1269</v>
      </c>
      <c r="B1285" s="75">
        <v>89.37</v>
      </c>
      <c r="C1285" s="75">
        <v>97.27</v>
      </c>
      <c r="D1285" s="75">
        <v>93.85</v>
      </c>
      <c r="E1285" s="75">
        <v>92.13</v>
      </c>
      <c r="F1285">
        <v>608.18999999999994</v>
      </c>
      <c r="G1285">
        <v>1413.9</v>
      </c>
      <c r="H1285">
        <v>-2077.1999999999998</v>
      </c>
      <c r="I1285">
        <v>1248.8999999999999</v>
      </c>
      <c r="J1285">
        <v>1193.7900000000002</v>
      </c>
    </row>
    <row r="1286" spans="1:10" x14ac:dyDescent="0.35">
      <c r="A1286">
        <v>1270</v>
      </c>
      <c r="B1286" s="75">
        <v>88.9529</v>
      </c>
      <c r="C1286" s="75">
        <v>98.2791</v>
      </c>
      <c r="D1286" s="75">
        <v>92.835700000000003</v>
      </c>
      <c r="E1286" s="75">
        <v>94.499899999999997</v>
      </c>
      <c r="F1286">
        <v>1982.31</v>
      </c>
      <c r="G1286">
        <v>-103.8</v>
      </c>
      <c r="H1286">
        <v>-39.199999999999996</v>
      </c>
      <c r="I1286">
        <v>-1119.3</v>
      </c>
      <c r="J1286">
        <v>720.01</v>
      </c>
    </row>
    <row r="1287" spans="1:10" x14ac:dyDescent="0.35">
      <c r="A1287">
        <v>1271</v>
      </c>
      <c r="B1287" s="75">
        <v>89.45</v>
      </c>
      <c r="C1287" s="75">
        <v>98</v>
      </c>
      <c r="D1287" s="75">
        <v>92.94</v>
      </c>
      <c r="E1287" s="75">
        <v>92.53</v>
      </c>
      <c r="F1287">
        <v>328.02</v>
      </c>
      <c r="G1287">
        <v>311.85000000000002</v>
      </c>
      <c r="H1287">
        <v>-247.79999999999998</v>
      </c>
      <c r="I1287">
        <v>847.6</v>
      </c>
      <c r="J1287">
        <v>1239.67</v>
      </c>
    </row>
    <row r="1288" spans="1:10" x14ac:dyDescent="0.35">
      <c r="A1288">
        <v>1272</v>
      </c>
      <c r="B1288" s="75">
        <v>88.983199999999997</v>
      </c>
      <c r="C1288" s="75">
        <v>96.676000000000002</v>
      </c>
      <c r="D1288" s="75">
        <v>91.654799999999994</v>
      </c>
      <c r="E1288" s="75">
        <v>91.300700000000006</v>
      </c>
      <c r="F1288">
        <v>1882.3200000000002</v>
      </c>
      <c r="G1288">
        <v>2300.85</v>
      </c>
      <c r="H1288">
        <v>2322.6</v>
      </c>
      <c r="I1288">
        <v>2079.8999999999996</v>
      </c>
      <c r="J1288">
        <v>8585.67</v>
      </c>
    </row>
    <row r="1289" spans="1:10" x14ac:dyDescent="0.35">
      <c r="A1289">
        <v>1273</v>
      </c>
      <c r="B1289" s="75">
        <v>89.62</v>
      </c>
      <c r="C1289" s="75">
        <v>98.21</v>
      </c>
      <c r="D1289" s="75">
        <v>94.44</v>
      </c>
      <c r="E1289" s="75">
        <v>92.11</v>
      </c>
      <c r="F1289">
        <v>-226.05</v>
      </c>
      <c r="G1289">
        <v>3.75</v>
      </c>
      <c r="H1289">
        <v>-3244</v>
      </c>
      <c r="I1289">
        <v>1270</v>
      </c>
      <c r="J1289">
        <v>-2196.3000000000002</v>
      </c>
    </row>
    <row r="1290" spans="1:10" x14ac:dyDescent="0.35">
      <c r="A1290">
        <v>1274</v>
      </c>
      <c r="B1290" s="75">
        <v>89.723799999999997</v>
      </c>
      <c r="C1290" s="75">
        <v>98.289100000000005</v>
      </c>
      <c r="D1290" s="75">
        <v>92.2012</v>
      </c>
      <c r="E1290" s="75">
        <v>93.473200000000006</v>
      </c>
      <c r="F1290">
        <v>-561.66</v>
      </c>
      <c r="G1290">
        <v>-118.80000000000001</v>
      </c>
      <c r="H1290">
        <v>1229.8</v>
      </c>
      <c r="I1290">
        <v>-92.600000000000009</v>
      </c>
      <c r="J1290">
        <v>456.7399999999999</v>
      </c>
    </row>
    <row r="1291" spans="1:10" x14ac:dyDescent="0.35">
      <c r="A1291">
        <v>1275</v>
      </c>
      <c r="B1291" s="75">
        <v>89.49</v>
      </c>
      <c r="C1291" s="75">
        <v>97.71</v>
      </c>
      <c r="D1291" s="75">
        <v>92.23</v>
      </c>
      <c r="E1291" s="75">
        <v>92.36</v>
      </c>
      <c r="F1291">
        <v>220.10999999999999</v>
      </c>
      <c r="G1291">
        <v>743.7</v>
      </c>
      <c r="H1291">
        <v>1167</v>
      </c>
      <c r="I1291">
        <v>1017.5000000000001</v>
      </c>
      <c r="J1291">
        <v>3148.31</v>
      </c>
    </row>
    <row r="1292" spans="1:10" x14ac:dyDescent="0.35">
      <c r="A1292">
        <v>1276</v>
      </c>
      <c r="B1292" s="75">
        <v>90.063599999999994</v>
      </c>
      <c r="C1292" s="75">
        <v>97.364199999999997</v>
      </c>
      <c r="D1292" s="75">
        <v>91.789500000000004</v>
      </c>
      <c r="E1292" s="75">
        <v>92.891599999999997</v>
      </c>
      <c r="F1292">
        <v>-1683</v>
      </c>
      <c r="G1292">
        <v>1268.55</v>
      </c>
      <c r="H1292">
        <v>2053.1999999999998</v>
      </c>
      <c r="I1292">
        <v>489</v>
      </c>
      <c r="J1292">
        <v>2127.75</v>
      </c>
    </row>
    <row r="1293" spans="1:10" x14ac:dyDescent="0.35">
      <c r="A1293">
        <v>1277</v>
      </c>
      <c r="B1293" s="75">
        <v>88.8</v>
      </c>
      <c r="C1293" s="75">
        <v>98.06</v>
      </c>
      <c r="D1293" s="75">
        <v>94.55</v>
      </c>
      <c r="E1293" s="75">
        <v>99.4</v>
      </c>
      <c r="F1293">
        <v>2497.77</v>
      </c>
      <c r="G1293">
        <v>223.5</v>
      </c>
      <c r="H1293">
        <v>-3466.2000000000003</v>
      </c>
      <c r="I1293">
        <v>-6016.2000000000007</v>
      </c>
      <c r="J1293">
        <v>-6761.130000000001</v>
      </c>
    </row>
    <row r="1294" spans="1:10" x14ac:dyDescent="0.35">
      <c r="A1294">
        <v>1278</v>
      </c>
      <c r="B1294" s="75">
        <v>89.7834</v>
      </c>
      <c r="C1294" s="75">
        <v>98.007900000000006</v>
      </c>
      <c r="D1294" s="75">
        <v>92.689800000000005</v>
      </c>
      <c r="E1294" s="75">
        <v>94.061499999999995</v>
      </c>
      <c r="F1294">
        <v>-758.34</v>
      </c>
      <c r="G1294">
        <v>303</v>
      </c>
      <c r="H1294">
        <v>252.6</v>
      </c>
      <c r="I1294">
        <v>-680.9</v>
      </c>
      <c r="J1294">
        <v>-883.64</v>
      </c>
    </row>
    <row r="1295" spans="1:10" x14ac:dyDescent="0.35">
      <c r="A1295">
        <v>1279</v>
      </c>
      <c r="B1295" s="75">
        <v>89.09</v>
      </c>
      <c r="C1295" s="75">
        <v>99</v>
      </c>
      <c r="D1295" s="75">
        <v>94.09</v>
      </c>
      <c r="E1295" s="75">
        <v>95.94</v>
      </c>
      <c r="F1295">
        <v>1531.2</v>
      </c>
      <c r="G1295">
        <v>-1182.5999999999999</v>
      </c>
      <c r="H1295">
        <v>-2541.4</v>
      </c>
      <c r="I1295">
        <v>-2563.4</v>
      </c>
      <c r="J1295">
        <v>-4756.2000000000007</v>
      </c>
    </row>
    <row r="1296" spans="1:10" x14ac:dyDescent="0.35">
      <c r="A1296">
        <v>1280</v>
      </c>
      <c r="B1296" s="75">
        <v>89.648099999999999</v>
      </c>
      <c r="C1296" s="75">
        <v>99.843299999999999</v>
      </c>
      <c r="D1296" s="75">
        <v>93.6708</v>
      </c>
      <c r="E1296" s="75">
        <v>94.049199999999999</v>
      </c>
      <c r="F1296">
        <v>-311.85000000000002</v>
      </c>
      <c r="G1296">
        <v>-2450.1</v>
      </c>
      <c r="H1296">
        <v>-1709.4</v>
      </c>
      <c r="I1296">
        <v>-668.6</v>
      </c>
      <c r="J1296">
        <v>-5139.9500000000007</v>
      </c>
    </row>
    <row r="1297" spans="1:10" x14ac:dyDescent="0.35">
      <c r="A1297">
        <v>1281</v>
      </c>
      <c r="B1297" s="75">
        <v>90.1</v>
      </c>
      <c r="C1297" s="75">
        <v>99.87</v>
      </c>
      <c r="D1297" s="75">
        <v>93.2</v>
      </c>
      <c r="E1297" s="75">
        <v>94.2</v>
      </c>
      <c r="F1297">
        <v>-1812.69</v>
      </c>
      <c r="G1297">
        <v>-2488.9499999999998</v>
      </c>
      <c r="H1297">
        <v>-774</v>
      </c>
      <c r="I1297">
        <v>-821</v>
      </c>
      <c r="J1297">
        <v>-5896.6399999999994</v>
      </c>
    </row>
    <row r="1298" spans="1:10" x14ac:dyDescent="0.35">
      <c r="A1298">
        <v>1282</v>
      </c>
      <c r="B1298" s="75">
        <v>89.527500000000003</v>
      </c>
      <c r="C1298" s="75">
        <v>97.630300000000005</v>
      </c>
      <c r="D1298" s="75">
        <v>92.435599999999994</v>
      </c>
      <c r="E1298" s="75">
        <v>94.023300000000006</v>
      </c>
      <c r="F1298">
        <v>86.13000000000001</v>
      </c>
      <c r="G1298">
        <v>869.4</v>
      </c>
      <c r="H1298">
        <v>761</v>
      </c>
      <c r="I1298">
        <v>-642.70000000000005</v>
      </c>
      <c r="J1298">
        <v>1073.83</v>
      </c>
    </row>
    <row r="1299" spans="1:10" x14ac:dyDescent="0.35">
      <c r="A1299">
        <v>1283</v>
      </c>
      <c r="B1299" s="75">
        <v>89.69</v>
      </c>
      <c r="C1299" s="75">
        <v>97.51</v>
      </c>
      <c r="D1299" s="75">
        <v>94.47</v>
      </c>
      <c r="E1299" s="75">
        <v>95.22</v>
      </c>
      <c r="F1299">
        <v>-460.68</v>
      </c>
      <c r="G1299">
        <v>1046.7</v>
      </c>
      <c r="H1299">
        <v>-3300</v>
      </c>
      <c r="I1299">
        <v>-1839.9</v>
      </c>
      <c r="J1299">
        <v>-4553.88</v>
      </c>
    </row>
    <row r="1300" spans="1:10" x14ac:dyDescent="0.35">
      <c r="A1300">
        <v>1284</v>
      </c>
      <c r="B1300" s="75">
        <v>89.292500000000004</v>
      </c>
      <c r="C1300" s="75">
        <v>98.107299999999995</v>
      </c>
      <c r="D1300" s="75">
        <v>94.328699999999998</v>
      </c>
      <c r="E1300" s="75">
        <v>93.886300000000006</v>
      </c>
      <c r="F1300">
        <v>861.63</v>
      </c>
      <c r="G1300">
        <v>153.9</v>
      </c>
      <c r="H1300">
        <v>-3025.2</v>
      </c>
      <c r="I1300">
        <v>-505.70000000000005</v>
      </c>
      <c r="J1300">
        <v>-2515.37</v>
      </c>
    </row>
    <row r="1301" spans="1:10" x14ac:dyDescent="0.35">
      <c r="A1301">
        <v>1285</v>
      </c>
      <c r="B1301" s="75">
        <v>90.37</v>
      </c>
      <c r="C1301" s="75">
        <v>98.27</v>
      </c>
      <c r="D1301" s="75">
        <v>93.82</v>
      </c>
      <c r="E1301" s="75">
        <v>94.21</v>
      </c>
      <c r="F1301">
        <v>-2686.2</v>
      </c>
      <c r="G1301">
        <v>-83.55</v>
      </c>
      <c r="H1301">
        <v>-2012</v>
      </c>
      <c r="I1301">
        <v>-828.7</v>
      </c>
      <c r="J1301">
        <v>-5610.45</v>
      </c>
    </row>
    <row r="1302" spans="1:10" x14ac:dyDescent="0.35">
      <c r="A1302">
        <v>1286</v>
      </c>
      <c r="B1302" s="75">
        <v>88.425299999999993</v>
      </c>
      <c r="C1302" s="75">
        <v>99.392300000000006</v>
      </c>
      <c r="D1302" s="75">
        <v>91.7286</v>
      </c>
      <c r="E1302" s="75">
        <v>93.610500000000002</v>
      </c>
      <c r="F1302">
        <v>3723.3900000000003</v>
      </c>
      <c r="G1302">
        <v>-1773.6</v>
      </c>
      <c r="H1302">
        <v>2175</v>
      </c>
      <c r="I1302">
        <v>-229.9</v>
      </c>
      <c r="J1302">
        <v>3894.8900000000008</v>
      </c>
    </row>
    <row r="1303" spans="1:10" x14ac:dyDescent="0.35">
      <c r="A1303">
        <v>1287</v>
      </c>
      <c r="B1303" s="75">
        <v>88.6</v>
      </c>
      <c r="C1303" s="75">
        <v>97.25</v>
      </c>
      <c r="D1303" s="75">
        <v>93.07</v>
      </c>
      <c r="E1303" s="75">
        <v>93.09</v>
      </c>
      <c r="F1303">
        <v>3151.5</v>
      </c>
      <c r="G1303">
        <v>1443.9</v>
      </c>
      <c r="H1303">
        <v>-498.2</v>
      </c>
      <c r="I1303">
        <v>286.5</v>
      </c>
      <c r="J1303">
        <v>4383.7</v>
      </c>
    </row>
    <row r="1304" spans="1:10" x14ac:dyDescent="0.35">
      <c r="A1304">
        <v>1288</v>
      </c>
      <c r="B1304" s="75">
        <v>89.197400000000002</v>
      </c>
      <c r="C1304" s="75">
        <v>97.702100000000002</v>
      </c>
      <c r="D1304" s="75">
        <v>93.536199999999994</v>
      </c>
      <c r="E1304" s="75">
        <v>92.161100000000005</v>
      </c>
      <c r="F1304">
        <v>1175.46</v>
      </c>
      <c r="G1304">
        <v>761.7</v>
      </c>
      <c r="H1304">
        <v>-1440.1999999999998</v>
      </c>
      <c r="I1304">
        <v>1219.5</v>
      </c>
      <c r="J1304">
        <v>1716.4600000000003</v>
      </c>
    </row>
    <row r="1305" spans="1:10" x14ac:dyDescent="0.35">
      <c r="A1305">
        <v>1289</v>
      </c>
      <c r="B1305" s="75">
        <v>88.65</v>
      </c>
      <c r="C1305" s="75">
        <v>98.83</v>
      </c>
      <c r="D1305" s="75">
        <v>92.98</v>
      </c>
      <c r="E1305" s="75">
        <v>91.59</v>
      </c>
      <c r="F1305">
        <v>2995.08</v>
      </c>
      <c r="G1305">
        <v>-931.35</v>
      </c>
      <c r="H1305">
        <v>-331.2</v>
      </c>
      <c r="I1305">
        <v>1790.8</v>
      </c>
      <c r="J1305">
        <v>3523.33</v>
      </c>
    </row>
    <row r="1306" spans="1:10" x14ac:dyDescent="0.35">
      <c r="A1306">
        <v>1290</v>
      </c>
      <c r="B1306" s="75">
        <v>89.235500000000002</v>
      </c>
      <c r="C1306" s="75">
        <v>98.075699999999998</v>
      </c>
      <c r="D1306" s="75">
        <v>92.606099999999998</v>
      </c>
      <c r="E1306" s="75">
        <v>91.893100000000004</v>
      </c>
      <c r="F1306">
        <v>1049.73</v>
      </c>
      <c r="G1306">
        <v>201.3</v>
      </c>
      <c r="H1306">
        <v>420</v>
      </c>
      <c r="I1306">
        <v>1487.5</v>
      </c>
      <c r="J1306">
        <v>3158.5299999999997</v>
      </c>
    </row>
    <row r="1307" spans="1:10" x14ac:dyDescent="0.35">
      <c r="A1307">
        <v>1291</v>
      </c>
      <c r="B1307" s="75">
        <v>90.84</v>
      </c>
      <c r="C1307" s="75">
        <v>97.79</v>
      </c>
      <c r="D1307" s="75">
        <v>93.27</v>
      </c>
      <c r="E1307" s="75">
        <v>94.58</v>
      </c>
      <c r="F1307">
        <v>-4240.5</v>
      </c>
      <c r="G1307">
        <v>625.65000000000009</v>
      </c>
      <c r="H1307">
        <v>-908.59999999999991</v>
      </c>
      <c r="I1307">
        <v>-1197.8</v>
      </c>
      <c r="J1307">
        <v>-5721.25</v>
      </c>
    </row>
    <row r="1308" spans="1:10" x14ac:dyDescent="0.35">
      <c r="A1308">
        <v>1292</v>
      </c>
      <c r="B1308" s="75">
        <v>88.919600000000003</v>
      </c>
      <c r="C1308" s="75">
        <v>99.568299999999994</v>
      </c>
      <c r="D1308" s="75">
        <v>95.172700000000006</v>
      </c>
      <c r="E1308" s="75">
        <v>92.055000000000007</v>
      </c>
      <c r="F1308">
        <v>2092.1999999999998</v>
      </c>
      <c r="G1308">
        <v>-2037.6000000000001</v>
      </c>
      <c r="H1308">
        <v>-4713.2</v>
      </c>
      <c r="I1308">
        <v>1325.6</v>
      </c>
      <c r="J1308">
        <v>-3333.0000000000005</v>
      </c>
    </row>
    <row r="1309" spans="1:10" x14ac:dyDescent="0.35">
      <c r="A1309">
        <v>1293</v>
      </c>
      <c r="B1309" s="75">
        <v>90.05</v>
      </c>
      <c r="C1309" s="75">
        <v>97.72</v>
      </c>
      <c r="D1309" s="75">
        <v>93.58</v>
      </c>
      <c r="E1309" s="75">
        <v>94.05</v>
      </c>
      <c r="F1309">
        <v>-1641.42</v>
      </c>
      <c r="G1309">
        <v>736.05000000000007</v>
      </c>
      <c r="H1309">
        <v>-1529.8</v>
      </c>
      <c r="I1309">
        <v>-667.8</v>
      </c>
      <c r="J1309">
        <v>-3102.9700000000003</v>
      </c>
    </row>
    <row r="1310" spans="1:10" x14ac:dyDescent="0.35">
      <c r="A1310">
        <v>1294</v>
      </c>
      <c r="B1310" s="75">
        <v>90.835800000000006</v>
      </c>
      <c r="C1310" s="75">
        <v>98.253900000000002</v>
      </c>
      <c r="D1310" s="75">
        <v>93.709500000000006</v>
      </c>
      <c r="E1310" s="75">
        <v>90.938100000000006</v>
      </c>
      <c r="F1310">
        <v>-4231.26</v>
      </c>
      <c r="G1310">
        <v>-66</v>
      </c>
      <c r="H1310">
        <v>-1786.8</v>
      </c>
      <c r="I1310">
        <v>2442.5</v>
      </c>
      <c r="J1310">
        <v>-3641.5600000000004</v>
      </c>
    </row>
    <row r="1311" spans="1:10" x14ac:dyDescent="0.35">
      <c r="A1311">
        <v>1295</v>
      </c>
      <c r="B1311" s="75">
        <v>90</v>
      </c>
      <c r="C1311" s="75">
        <v>98.02</v>
      </c>
      <c r="D1311" s="75">
        <v>92.65</v>
      </c>
      <c r="E1311" s="75">
        <v>93.63</v>
      </c>
      <c r="F1311">
        <v>-1458.6</v>
      </c>
      <c r="G1311">
        <v>282.45</v>
      </c>
      <c r="H1311">
        <v>337.2</v>
      </c>
      <c r="I1311">
        <v>-251.6</v>
      </c>
      <c r="J1311">
        <v>-1090.5499999999997</v>
      </c>
    </row>
    <row r="1312" spans="1:10" x14ac:dyDescent="0.35">
      <c r="A1312">
        <v>1296</v>
      </c>
      <c r="B1312" s="75">
        <v>90.151600000000002</v>
      </c>
      <c r="C1312" s="75">
        <v>98.133499999999998</v>
      </c>
      <c r="D1312" s="75">
        <v>92.0548</v>
      </c>
      <c r="E1312" s="75">
        <v>90.370999999999995</v>
      </c>
      <c r="F1312">
        <v>-1973.3999999999999</v>
      </c>
      <c r="G1312">
        <v>114.6</v>
      </c>
      <c r="H1312">
        <v>1522.6</v>
      </c>
      <c r="I1312">
        <v>3009.6</v>
      </c>
      <c r="J1312">
        <v>2673.3999999999996</v>
      </c>
    </row>
    <row r="1313" spans="1:10" x14ac:dyDescent="0.35">
      <c r="A1313">
        <v>1297</v>
      </c>
      <c r="B1313" s="75">
        <v>89.72</v>
      </c>
      <c r="C1313" s="75">
        <v>97.49</v>
      </c>
      <c r="D1313" s="75">
        <v>92.31</v>
      </c>
      <c r="E1313" s="75">
        <v>91.79</v>
      </c>
      <c r="F1313">
        <v>-540.54</v>
      </c>
      <c r="G1313">
        <v>1084.8</v>
      </c>
      <c r="H1313">
        <v>1009.6</v>
      </c>
      <c r="I1313">
        <v>1587.5</v>
      </c>
      <c r="J1313">
        <v>3141.36</v>
      </c>
    </row>
    <row r="1314" spans="1:10" x14ac:dyDescent="0.35">
      <c r="A1314">
        <v>1298</v>
      </c>
      <c r="B1314" s="75">
        <v>88.975499999999997</v>
      </c>
      <c r="C1314" s="75">
        <v>99.002499999999998</v>
      </c>
      <c r="D1314" s="75">
        <v>94.6631</v>
      </c>
      <c r="E1314" s="75">
        <v>92.513400000000004</v>
      </c>
      <c r="F1314">
        <v>1907.7299999999998</v>
      </c>
      <c r="G1314">
        <v>-1188.8999999999999</v>
      </c>
      <c r="H1314">
        <v>-3694</v>
      </c>
      <c r="I1314">
        <v>867.19999999999993</v>
      </c>
      <c r="J1314">
        <v>-2107.9700000000003</v>
      </c>
    </row>
    <row r="1315" spans="1:10" x14ac:dyDescent="0.35">
      <c r="A1315">
        <v>1299</v>
      </c>
      <c r="B1315" s="75">
        <v>90.16</v>
      </c>
      <c r="C1315" s="75">
        <v>99.16</v>
      </c>
      <c r="D1315" s="75">
        <v>91.85</v>
      </c>
      <c r="E1315" s="75">
        <v>94.44</v>
      </c>
      <c r="F1315">
        <v>-1993.2</v>
      </c>
      <c r="G1315">
        <v>-1424.1000000000001</v>
      </c>
      <c r="H1315">
        <v>1928.3999999999999</v>
      </c>
      <c r="I1315">
        <v>-1061.1999999999998</v>
      </c>
      <c r="J1315">
        <v>-2550.1000000000004</v>
      </c>
    </row>
    <row r="1316" spans="1:10" x14ac:dyDescent="0.35">
      <c r="A1316">
        <v>1300</v>
      </c>
      <c r="B1316" s="75">
        <v>90.259100000000004</v>
      </c>
      <c r="C1316" s="75">
        <v>100.0347</v>
      </c>
      <c r="D1316" s="75">
        <v>93.847399999999993</v>
      </c>
      <c r="E1316" s="75">
        <v>94.642099999999999</v>
      </c>
      <c r="F1316">
        <v>-2328.15</v>
      </c>
      <c r="G1316">
        <v>-2737.2</v>
      </c>
      <c r="H1316">
        <v>-2062.6000000000004</v>
      </c>
      <c r="I1316">
        <v>-1261.5</v>
      </c>
      <c r="J1316">
        <v>-8389.4500000000007</v>
      </c>
    </row>
    <row r="1317" spans="1:10" x14ac:dyDescent="0.35">
      <c r="A1317">
        <v>1301</v>
      </c>
      <c r="B1317" s="75">
        <v>90.31</v>
      </c>
      <c r="C1317" s="75">
        <v>98.33</v>
      </c>
      <c r="D1317" s="75">
        <v>91.34</v>
      </c>
      <c r="E1317" s="75">
        <v>94.22</v>
      </c>
      <c r="F1317">
        <v>-2501.4</v>
      </c>
      <c r="G1317">
        <v>-175.65</v>
      </c>
      <c r="H1317">
        <v>2947.8</v>
      </c>
      <c r="I1317">
        <v>-838.19999999999993</v>
      </c>
      <c r="J1317">
        <v>-567.44999999999993</v>
      </c>
    </row>
    <row r="1318" spans="1:10" x14ac:dyDescent="0.35">
      <c r="A1318">
        <v>1302</v>
      </c>
      <c r="B1318" s="75">
        <v>89.353399999999993</v>
      </c>
      <c r="C1318" s="75">
        <v>98.37</v>
      </c>
      <c r="D1318" s="75">
        <v>93.878799999999998</v>
      </c>
      <c r="E1318" s="75">
        <v>95.534999999999997</v>
      </c>
      <c r="F1318">
        <v>660.66</v>
      </c>
      <c r="G1318">
        <v>-240.14999999999998</v>
      </c>
      <c r="H1318">
        <v>-2125.4</v>
      </c>
      <c r="I1318">
        <v>-2154.4</v>
      </c>
      <c r="J1318">
        <v>-3859.29</v>
      </c>
    </row>
    <row r="1319" spans="1:10" x14ac:dyDescent="0.35">
      <c r="A1319">
        <v>1303</v>
      </c>
      <c r="B1319" s="75">
        <v>89.83</v>
      </c>
      <c r="C1319" s="75">
        <v>98.5</v>
      </c>
      <c r="D1319" s="75">
        <v>93.34</v>
      </c>
      <c r="E1319" s="75">
        <v>91.19</v>
      </c>
      <c r="F1319">
        <v>-911.13</v>
      </c>
      <c r="G1319">
        <v>-433.49999999999994</v>
      </c>
      <c r="H1319">
        <v>-1057.3999999999999</v>
      </c>
      <c r="I1319">
        <v>2185.7000000000003</v>
      </c>
      <c r="J1319">
        <v>-216.32999999999947</v>
      </c>
    </row>
    <row r="1320" spans="1:10" x14ac:dyDescent="0.35">
      <c r="A1320">
        <v>1304</v>
      </c>
      <c r="B1320" s="75">
        <v>89.968199999999996</v>
      </c>
      <c r="C1320" s="75">
        <v>98.322800000000001</v>
      </c>
      <c r="D1320" s="75">
        <v>92.577600000000004</v>
      </c>
      <c r="E1320" s="75">
        <v>94.010400000000004</v>
      </c>
      <c r="F1320">
        <v>-1368.18</v>
      </c>
      <c r="G1320">
        <v>-169.35</v>
      </c>
      <c r="H1320">
        <v>477</v>
      </c>
      <c r="I1320">
        <v>-629.80000000000007</v>
      </c>
      <c r="J1320">
        <v>-1690.33</v>
      </c>
    </row>
    <row r="1321" spans="1:10" x14ac:dyDescent="0.35">
      <c r="A1321">
        <v>1305</v>
      </c>
      <c r="B1321" s="75">
        <v>89.87</v>
      </c>
      <c r="C1321" s="75">
        <v>100.11</v>
      </c>
      <c r="D1321" s="75">
        <v>94.18</v>
      </c>
      <c r="E1321" s="75">
        <v>90.26</v>
      </c>
      <c r="F1321">
        <v>-1047.75</v>
      </c>
      <c r="G1321">
        <v>-2846.4</v>
      </c>
      <c r="H1321">
        <v>-2731.2</v>
      </c>
      <c r="I1321">
        <v>3116.5</v>
      </c>
      <c r="J1321">
        <v>-3508.8500000000004</v>
      </c>
    </row>
    <row r="1322" spans="1:10" x14ac:dyDescent="0.35">
      <c r="A1322">
        <v>1306</v>
      </c>
      <c r="B1322" s="75">
        <v>88.922399999999996</v>
      </c>
      <c r="C1322" s="75">
        <v>97.972099999999998</v>
      </c>
      <c r="D1322" s="75">
        <v>94.331299999999999</v>
      </c>
      <c r="E1322" s="75">
        <v>95.416399999999996</v>
      </c>
      <c r="F1322">
        <v>2082.96</v>
      </c>
      <c r="G1322">
        <v>356.70000000000005</v>
      </c>
      <c r="H1322">
        <v>-3030.4</v>
      </c>
      <c r="I1322">
        <v>-2035.8</v>
      </c>
      <c r="J1322">
        <v>-2626.54</v>
      </c>
    </row>
    <row r="1323" spans="1:10" x14ac:dyDescent="0.35">
      <c r="A1323">
        <v>1307</v>
      </c>
      <c r="B1323" s="75">
        <v>90.09</v>
      </c>
      <c r="C1323" s="75">
        <v>98.61</v>
      </c>
      <c r="D1323" s="75">
        <v>94.78</v>
      </c>
      <c r="E1323" s="75">
        <v>90.1</v>
      </c>
      <c r="F1323">
        <v>-1776.72</v>
      </c>
      <c r="G1323">
        <v>-594.9</v>
      </c>
      <c r="H1323">
        <v>-3935.4</v>
      </c>
      <c r="I1323">
        <v>3275.7000000000003</v>
      </c>
      <c r="J1323">
        <v>-3031.32</v>
      </c>
    </row>
    <row r="1324" spans="1:10" x14ac:dyDescent="0.35">
      <c r="A1324">
        <v>1308</v>
      </c>
      <c r="B1324" s="75">
        <v>89.220799999999997</v>
      </c>
      <c r="C1324" s="75">
        <v>97.011499999999998</v>
      </c>
      <c r="D1324" s="75">
        <v>92.0946</v>
      </c>
      <c r="E1324" s="75">
        <v>94.969099999999997</v>
      </c>
      <c r="F1324">
        <v>1098.24</v>
      </c>
      <c r="G1324">
        <v>1797.6</v>
      </c>
      <c r="H1324">
        <v>1443</v>
      </c>
      <c r="I1324">
        <v>-1588.5</v>
      </c>
      <c r="J1324">
        <v>2750.34</v>
      </c>
    </row>
    <row r="1325" spans="1:10" x14ac:dyDescent="0.35">
      <c r="A1325">
        <v>1309</v>
      </c>
      <c r="B1325" s="75">
        <v>90.43</v>
      </c>
      <c r="C1325" s="75">
        <v>99.18</v>
      </c>
      <c r="D1325" s="75">
        <v>93.31</v>
      </c>
      <c r="E1325" s="75">
        <v>93.56</v>
      </c>
      <c r="F1325">
        <v>-2879.9100000000003</v>
      </c>
      <c r="G1325">
        <v>-1461.45</v>
      </c>
      <c r="H1325">
        <v>-985</v>
      </c>
      <c r="I1325">
        <v>-177.5</v>
      </c>
      <c r="J1325">
        <v>-5503.8600000000006</v>
      </c>
    </row>
    <row r="1326" spans="1:10" x14ac:dyDescent="0.35">
      <c r="A1326">
        <v>1310</v>
      </c>
      <c r="B1326" s="75">
        <v>90.376199999999997</v>
      </c>
      <c r="C1326" s="75">
        <v>98.753200000000007</v>
      </c>
      <c r="D1326" s="75">
        <v>92.159000000000006</v>
      </c>
      <c r="E1326" s="75">
        <v>98.234499999999997</v>
      </c>
      <c r="F1326">
        <v>-2714.58</v>
      </c>
      <c r="G1326">
        <v>-814.95</v>
      </c>
      <c r="H1326">
        <v>1314.2</v>
      </c>
      <c r="I1326">
        <v>-4853.9000000000005</v>
      </c>
      <c r="J1326">
        <v>-7069.2300000000005</v>
      </c>
    </row>
    <row r="1327" spans="1:10" x14ac:dyDescent="0.35">
      <c r="A1327">
        <v>1311</v>
      </c>
      <c r="B1327" s="75">
        <v>89.38</v>
      </c>
      <c r="C1327" s="75">
        <v>97.14</v>
      </c>
      <c r="D1327" s="75">
        <v>91.99</v>
      </c>
      <c r="E1327" s="75">
        <v>93.6</v>
      </c>
      <c r="F1327">
        <v>557.37</v>
      </c>
      <c r="G1327">
        <v>1606.6499999999999</v>
      </c>
      <c r="H1327">
        <v>1643.6</v>
      </c>
      <c r="I1327">
        <v>-221</v>
      </c>
      <c r="J1327">
        <v>3586.62</v>
      </c>
    </row>
    <row r="1328" spans="1:10" x14ac:dyDescent="0.35">
      <c r="A1328">
        <v>1312</v>
      </c>
      <c r="B1328" s="75">
        <v>88.956100000000006</v>
      </c>
      <c r="C1328" s="75">
        <v>98.144599999999997</v>
      </c>
      <c r="D1328" s="75">
        <v>94.440200000000004</v>
      </c>
      <c r="E1328" s="75">
        <v>92.39</v>
      </c>
      <c r="F1328">
        <v>1971.75</v>
      </c>
      <c r="G1328">
        <v>97.949999999999989</v>
      </c>
      <c r="H1328">
        <v>-3248.2000000000003</v>
      </c>
      <c r="I1328">
        <v>990.6</v>
      </c>
      <c r="J1328">
        <v>-187.90000000000043</v>
      </c>
    </row>
    <row r="1329" spans="1:10" x14ac:dyDescent="0.35">
      <c r="A1329">
        <v>1313</v>
      </c>
      <c r="B1329" s="75">
        <v>88.38</v>
      </c>
      <c r="C1329" s="75">
        <v>98.58</v>
      </c>
      <c r="D1329" s="75">
        <v>93.5</v>
      </c>
      <c r="E1329" s="75">
        <v>94.14</v>
      </c>
      <c r="F1329">
        <v>3873.21</v>
      </c>
      <c r="G1329">
        <v>-559.79999999999995</v>
      </c>
      <c r="H1329">
        <v>-1367.6</v>
      </c>
      <c r="I1329">
        <v>-758.4</v>
      </c>
      <c r="J1329">
        <v>1187.4099999999999</v>
      </c>
    </row>
    <row r="1330" spans="1:10" x14ac:dyDescent="0.35">
      <c r="A1330">
        <v>1314</v>
      </c>
      <c r="B1330" s="75">
        <v>88.144499999999994</v>
      </c>
      <c r="C1330" s="75">
        <v>97.279499999999999</v>
      </c>
      <c r="D1330" s="75">
        <v>92.716399999999993</v>
      </c>
      <c r="E1330" s="75">
        <v>91.993700000000004</v>
      </c>
      <c r="F1330">
        <v>4650.03</v>
      </c>
      <c r="G1330">
        <v>1395.6</v>
      </c>
      <c r="H1330">
        <v>199.4</v>
      </c>
      <c r="I1330">
        <v>1386.9</v>
      </c>
      <c r="J1330">
        <v>7631.9299999999985</v>
      </c>
    </row>
    <row r="1331" spans="1:10" x14ac:dyDescent="0.35">
      <c r="A1331">
        <v>1315</v>
      </c>
      <c r="B1331" s="75">
        <v>90.25</v>
      </c>
      <c r="C1331" s="75">
        <v>98.32</v>
      </c>
      <c r="D1331" s="75">
        <v>92.72</v>
      </c>
      <c r="E1331" s="75">
        <v>93.53</v>
      </c>
      <c r="F1331">
        <v>-2294.1600000000003</v>
      </c>
      <c r="G1331">
        <v>-167.25</v>
      </c>
      <c r="H1331">
        <v>191.8</v>
      </c>
      <c r="I1331">
        <v>-150.19999999999999</v>
      </c>
      <c r="J1331">
        <v>-2419.81</v>
      </c>
    </row>
    <row r="1332" spans="1:10" x14ac:dyDescent="0.35">
      <c r="A1332">
        <v>1316</v>
      </c>
      <c r="B1332" s="75">
        <v>90.066199999999995</v>
      </c>
      <c r="C1332" s="75">
        <v>97.001000000000005</v>
      </c>
      <c r="D1332" s="75">
        <v>92.331800000000001</v>
      </c>
      <c r="E1332" s="75">
        <v>96.150499999999994</v>
      </c>
      <c r="F1332">
        <v>-1691.58</v>
      </c>
      <c r="G1332">
        <v>1813.3500000000001</v>
      </c>
      <c r="H1332">
        <v>968.6</v>
      </c>
      <c r="I1332">
        <v>-2769.8999999999996</v>
      </c>
      <c r="J1332">
        <v>-1679.5299999999993</v>
      </c>
    </row>
    <row r="1333" spans="1:10" x14ac:dyDescent="0.35">
      <c r="A1333">
        <v>1317</v>
      </c>
      <c r="B1333" s="75">
        <v>89.93</v>
      </c>
      <c r="C1333" s="75">
        <v>97.02</v>
      </c>
      <c r="D1333" s="75">
        <v>91.97</v>
      </c>
      <c r="E1333" s="75">
        <v>90.4</v>
      </c>
      <c r="F1333">
        <v>-1252.3499999999999</v>
      </c>
      <c r="G1333">
        <v>1788.4499999999998</v>
      </c>
      <c r="H1333">
        <v>1700</v>
      </c>
      <c r="I1333">
        <v>2976.2</v>
      </c>
      <c r="J1333">
        <v>5212.2999999999993</v>
      </c>
    </row>
    <row r="1334" spans="1:10" x14ac:dyDescent="0.35">
      <c r="A1334">
        <v>1318</v>
      </c>
      <c r="B1334" s="75">
        <v>88.505600000000001</v>
      </c>
      <c r="C1334" s="75">
        <v>96.396199999999993</v>
      </c>
      <c r="D1334" s="75">
        <v>91.171099999999996</v>
      </c>
      <c r="E1334" s="75">
        <v>93.016000000000005</v>
      </c>
      <c r="F1334">
        <v>3458.4</v>
      </c>
      <c r="G1334">
        <v>2720.55</v>
      </c>
      <c r="H1334">
        <v>3290</v>
      </c>
      <c r="I1334">
        <v>364.59999999999997</v>
      </c>
      <c r="J1334">
        <v>9833.5500000000011</v>
      </c>
    </row>
    <row r="1335" spans="1:10" x14ac:dyDescent="0.35">
      <c r="A1335">
        <v>1319</v>
      </c>
      <c r="B1335" s="75">
        <v>89.33</v>
      </c>
      <c r="C1335" s="75">
        <v>98.46</v>
      </c>
      <c r="D1335" s="75">
        <v>93.28</v>
      </c>
      <c r="E1335" s="75">
        <v>95.28</v>
      </c>
      <c r="F1335">
        <v>731.93999999999994</v>
      </c>
      <c r="G1335">
        <v>-378.15</v>
      </c>
      <c r="H1335">
        <v>-917.8</v>
      </c>
      <c r="I1335">
        <v>-1898.1</v>
      </c>
      <c r="J1335">
        <v>-2462.1099999999997</v>
      </c>
    </row>
    <row r="1336" spans="1:10" x14ac:dyDescent="0.35">
      <c r="A1336">
        <v>1320</v>
      </c>
      <c r="B1336" s="75">
        <v>89.446899999999999</v>
      </c>
      <c r="C1336" s="75">
        <v>97.407600000000002</v>
      </c>
      <c r="D1336" s="75">
        <v>93.882599999999996</v>
      </c>
      <c r="E1336" s="75">
        <v>91.717399999999998</v>
      </c>
      <c r="F1336">
        <v>352.11</v>
      </c>
      <c r="G1336">
        <v>1203.45</v>
      </c>
      <c r="H1336">
        <v>-2133</v>
      </c>
      <c r="I1336">
        <v>1663.2</v>
      </c>
      <c r="J1336">
        <v>1085.76</v>
      </c>
    </row>
    <row r="1337" spans="1:10" x14ac:dyDescent="0.35">
      <c r="A1337">
        <v>1321</v>
      </c>
      <c r="B1337" s="75">
        <v>89.01</v>
      </c>
      <c r="C1337" s="75">
        <v>98.26</v>
      </c>
      <c r="D1337" s="75">
        <v>92.88</v>
      </c>
      <c r="E1337" s="75">
        <v>91.15</v>
      </c>
      <c r="F1337">
        <v>1778.0399999999997</v>
      </c>
      <c r="G1337">
        <v>-79.2</v>
      </c>
      <c r="H1337">
        <v>-119.6</v>
      </c>
      <c r="I1337">
        <v>2234.9</v>
      </c>
      <c r="J1337">
        <v>3814.14</v>
      </c>
    </row>
    <row r="1338" spans="1:10" x14ac:dyDescent="0.35">
      <c r="A1338">
        <v>1322</v>
      </c>
      <c r="B1338" s="75">
        <v>89.284300000000002</v>
      </c>
      <c r="C1338" s="75">
        <v>97.774500000000003</v>
      </c>
      <c r="D1338" s="75">
        <v>92.790999999999997</v>
      </c>
      <c r="E1338" s="75">
        <v>95.924400000000006</v>
      </c>
      <c r="F1338">
        <v>888.68999999999994</v>
      </c>
      <c r="G1338">
        <v>653.1</v>
      </c>
      <c r="H1338">
        <v>50.2</v>
      </c>
      <c r="I1338">
        <v>-2543.8000000000002</v>
      </c>
      <c r="J1338">
        <v>-951.81000000000017</v>
      </c>
    </row>
    <row r="1339" spans="1:10" x14ac:dyDescent="0.35">
      <c r="A1339">
        <v>1323</v>
      </c>
      <c r="B1339" s="75">
        <v>88.85</v>
      </c>
      <c r="C1339" s="75">
        <v>98.46</v>
      </c>
      <c r="D1339" s="75">
        <v>90.92</v>
      </c>
      <c r="E1339" s="75">
        <v>92.95</v>
      </c>
      <c r="F1339">
        <v>2329.14</v>
      </c>
      <c r="G1339">
        <v>-381.29999999999995</v>
      </c>
      <c r="H1339">
        <v>3801.4</v>
      </c>
      <c r="I1339">
        <v>433.5</v>
      </c>
      <c r="J1339">
        <v>6182.74</v>
      </c>
    </row>
    <row r="1340" spans="1:10" x14ac:dyDescent="0.35">
      <c r="A1340">
        <v>1324</v>
      </c>
      <c r="B1340" s="75">
        <v>89.088099999999997</v>
      </c>
      <c r="C1340" s="75">
        <v>98.464600000000004</v>
      </c>
      <c r="D1340" s="75">
        <v>93.648600000000002</v>
      </c>
      <c r="E1340" s="75">
        <v>93.307100000000005</v>
      </c>
      <c r="F1340">
        <v>1536.15</v>
      </c>
      <c r="G1340">
        <v>-382.04999999999995</v>
      </c>
      <c r="H1340">
        <v>-1665</v>
      </c>
      <c r="I1340">
        <v>73.5</v>
      </c>
      <c r="J1340">
        <v>-437.39999999999986</v>
      </c>
    </row>
    <row r="1341" spans="1:10" x14ac:dyDescent="0.35">
      <c r="A1341">
        <v>1325</v>
      </c>
      <c r="B1341" s="75">
        <v>89.12</v>
      </c>
      <c r="C1341" s="75">
        <v>98.03</v>
      </c>
      <c r="D1341" s="75">
        <v>92.83</v>
      </c>
      <c r="E1341" s="75">
        <v>92.49</v>
      </c>
      <c r="F1341">
        <v>1425.9299999999998</v>
      </c>
      <c r="G1341">
        <v>272.40000000000003</v>
      </c>
      <c r="H1341">
        <v>-21.4</v>
      </c>
      <c r="I1341">
        <v>893.5</v>
      </c>
      <c r="J1341">
        <v>2570.4299999999998</v>
      </c>
    </row>
    <row r="1342" spans="1:10" x14ac:dyDescent="0.35">
      <c r="A1342">
        <v>1326</v>
      </c>
      <c r="B1342" s="75">
        <v>88.930099999999996</v>
      </c>
      <c r="C1342" s="75">
        <v>98.443600000000004</v>
      </c>
      <c r="D1342" s="75">
        <v>92.229600000000005</v>
      </c>
      <c r="E1342" s="75">
        <v>91.619</v>
      </c>
      <c r="F1342">
        <v>2057.5500000000002</v>
      </c>
      <c r="G1342">
        <v>-350.55</v>
      </c>
      <c r="H1342">
        <v>1173</v>
      </c>
      <c r="I1342">
        <v>1761.6000000000001</v>
      </c>
      <c r="J1342">
        <v>4641.6000000000004</v>
      </c>
    </row>
    <row r="1343" spans="1:10" x14ac:dyDescent="0.35">
      <c r="A1343">
        <v>1327</v>
      </c>
      <c r="B1343" s="75">
        <v>89.88</v>
      </c>
      <c r="C1343" s="75">
        <v>97.87</v>
      </c>
      <c r="D1343" s="75">
        <v>93.13</v>
      </c>
      <c r="E1343" s="75">
        <v>92.08</v>
      </c>
      <c r="F1343">
        <v>-1068.54</v>
      </c>
      <c r="G1343">
        <v>504.75000000000006</v>
      </c>
      <c r="H1343">
        <v>-620.19999999999993</v>
      </c>
      <c r="I1343">
        <v>1303</v>
      </c>
      <c r="J1343">
        <v>119.01000000000022</v>
      </c>
    </row>
    <row r="1344" spans="1:10" x14ac:dyDescent="0.35">
      <c r="A1344">
        <v>1328</v>
      </c>
      <c r="B1344" s="75">
        <v>89.001999999999995</v>
      </c>
      <c r="C1344" s="75">
        <v>99.246499999999997</v>
      </c>
      <c r="D1344" s="75">
        <v>92.709500000000006</v>
      </c>
      <c r="E1344" s="75">
        <v>91.549300000000002</v>
      </c>
      <c r="F1344">
        <v>1820.28</v>
      </c>
      <c r="G1344">
        <v>-1554.8999999999999</v>
      </c>
      <c r="H1344">
        <v>213.2</v>
      </c>
      <c r="I1344">
        <v>1831.3</v>
      </c>
      <c r="J1344">
        <v>2309.88</v>
      </c>
    </row>
    <row r="1345" spans="1:10" x14ac:dyDescent="0.35">
      <c r="A1345">
        <v>1329</v>
      </c>
      <c r="B1345" s="75">
        <v>89.75</v>
      </c>
      <c r="C1345" s="75">
        <v>99.64</v>
      </c>
      <c r="D1345" s="75">
        <v>92.7</v>
      </c>
      <c r="E1345" s="75">
        <v>95.26</v>
      </c>
      <c r="F1345">
        <v>-656.7</v>
      </c>
      <c r="G1345">
        <v>-2142.15</v>
      </c>
      <c r="H1345">
        <v>227.20000000000002</v>
      </c>
      <c r="I1345">
        <v>-1879.6999999999998</v>
      </c>
      <c r="J1345">
        <v>-4451.3500000000004</v>
      </c>
    </row>
    <row r="1346" spans="1:10" x14ac:dyDescent="0.35">
      <c r="A1346">
        <v>1330</v>
      </c>
      <c r="B1346" s="75">
        <v>88.572199999999995</v>
      </c>
      <c r="C1346" s="75">
        <v>98.670900000000003</v>
      </c>
      <c r="D1346" s="75">
        <v>93.303100000000001</v>
      </c>
      <c r="E1346" s="75">
        <v>92.519400000000005</v>
      </c>
      <c r="F1346">
        <v>3238.6200000000003</v>
      </c>
      <c r="G1346">
        <v>-691.5</v>
      </c>
      <c r="H1346">
        <v>-974</v>
      </c>
      <c r="I1346">
        <v>861.19999999999993</v>
      </c>
      <c r="J1346">
        <v>2434.3200000000002</v>
      </c>
    </row>
    <row r="1347" spans="1:10" x14ac:dyDescent="0.35">
      <c r="A1347">
        <v>1331</v>
      </c>
      <c r="B1347" s="75">
        <v>89.3</v>
      </c>
      <c r="C1347" s="75">
        <v>98.48</v>
      </c>
      <c r="D1347" s="75">
        <v>91.4</v>
      </c>
      <c r="E1347" s="75">
        <v>93.81</v>
      </c>
      <c r="F1347">
        <v>823.35</v>
      </c>
      <c r="G1347">
        <v>-403.95</v>
      </c>
      <c r="H1347">
        <v>2839</v>
      </c>
      <c r="I1347">
        <v>-428.3</v>
      </c>
      <c r="J1347">
        <v>2830.1</v>
      </c>
    </row>
    <row r="1348" spans="1:10" x14ac:dyDescent="0.35">
      <c r="A1348">
        <v>1332</v>
      </c>
      <c r="B1348" s="75">
        <v>88.875500000000002</v>
      </c>
      <c r="C1348" s="75">
        <v>98.124799999999993</v>
      </c>
      <c r="D1348" s="75">
        <v>94.845200000000006</v>
      </c>
      <c r="E1348" s="75">
        <v>96.986999999999995</v>
      </c>
      <c r="F1348">
        <v>2237.73</v>
      </c>
      <c r="G1348">
        <v>127.64999999999999</v>
      </c>
      <c r="H1348">
        <v>-4058.2000000000003</v>
      </c>
      <c r="I1348">
        <v>-3606.3999999999996</v>
      </c>
      <c r="J1348">
        <v>-5299.2199999999993</v>
      </c>
    </row>
    <row r="1349" spans="1:10" x14ac:dyDescent="0.35">
      <c r="A1349">
        <v>1333</v>
      </c>
      <c r="B1349" s="75">
        <v>88.84</v>
      </c>
      <c r="C1349" s="75">
        <v>97.72</v>
      </c>
      <c r="D1349" s="75">
        <v>94.01</v>
      </c>
      <c r="E1349" s="75">
        <v>94.88</v>
      </c>
      <c r="F1349">
        <v>2346.96</v>
      </c>
      <c r="G1349">
        <v>737.55000000000007</v>
      </c>
      <c r="H1349">
        <v>-2396.3999999999996</v>
      </c>
      <c r="I1349">
        <v>-1501</v>
      </c>
      <c r="J1349">
        <v>-812.88999999999942</v>
      </c>
    </row>
    <row r="1350" spans="1:10" x14ac:dyDescent="0.35">
      <c r="A1350">
        <v>1334</v>
      </c>
      <c r="B1350" s="75">
        <v>89.965199999999996</v>
      </c>
      <c r="C1350" s="75">
        <v>98.780199999999994</v>
      </c>
      <c r="D1350" s="75">
        <v>92.407899999999998</v>
      </c>
      <c r="E1350" s="75">
        <v>92.774299999999997</v>
      </c>
      <c r="F1350">
        <v>-1358.28</v>
      </c>
      <c r="G1350">
        <v>-855.45</v>
      </c>
      <c r="H1350">
        <v>816.4</v>
      </c>
      <c r="I1350">
        <v>606.29999999999995</v>
      </c>
      <c r="J1350">
        <v>-791.03</v>
      </c>
    </row>
    <row r="1351" spans="1:10" x14ac:dyDescent="0.35">
      <c r="A1351">
        <v>1335</v>
      </c>
      <c r="B1351" s="75">
        <v>89.99</v>
      </c>
      <c r="C1351" s="75">
        <v>98.4</v>
      </c>
      <c r="D1351" s="75">
        <v>91.21</v>
      </c>
      <c r="E1351" s="75">
        <v>93.99</v>
      </c>
      <c r="F1351">
        <v>-1455.6299999999999</v>
      </c>
      <c r="G1351">
        <v>-279.3</v>
      </c>
      <c r="H1351">
        <v>3217.2000000000003</v>
      </c>
      <c r="I1351">
        <v>-612</v>
      </c>
      <c r="J1351">
        <v>870.27000000000044</v>
      </c>
    </row>
    <row r="1352" spans="1:10" x14ac:dyDescent="0.35">
      <c r="A1352">
        <v>1336</v>
      </c>
      <c r="B1352" s="75">
        <v>90.072699999999998</v>
      </c>
      <c r="C1352" s="75">
        <v>97.009</v>
      </c>
      <c r="D1352" s="75">
        <v>91.491299999999995</v>
      </c>
      <c r="E1352" s="75">
        <v>94.3643</v>
      </c>
      <c r="F1352">
        <v>-1713.03</v>
      </c>
      <c r="G1352">
        <v>1801.3500000000001</v>
      </c>
      <c r="H1352">
        <v>2649.6</v>
      </c>
      <c r="I1352">
        <v>-983.7</v>
      </c>
      <c r="J1352">
        <v>1754.22</v>
      </c>
    </row>
    <row r="1353" spans="1:10" x14ac:dyDescent="0.35">
      <c r="A1353">
        <v>1337</v>
      </c>
      <c r="B1353" s="75">
        <v>89.39</v>
      </c>
      <c r="C1353" s="75">
        <v>98.19</v>
      </c>
      <c r="D1353" s="75">
        <v>92.96</v>
      </c>
      <c r="E1353" s="75">
        <v>93.66</v>
      </c>
      <c r="F1353">
        <v>535.26</v>
      </c>
      <c r="G1353">
        <v>32.25</v>
      </c>
      <c r="H1353">
        <v>-285.2</v>
      </c>
      <c r="I1353">
        <v>-279.7</v>
      </c>
      <c r="J1353">
        <v>2.6100000000000136</v>
      </c>
    </row>
    <row r="1354" spans="1:10" x14ac:dyDescent="0.35">
      <c r="A1354">
        <v>1338</v>
      </c>
      <c r="B1354" s="75">
        <v>88.946200000000005</v>
      </c>
      <c r="C1354" s="75">
        <v>96.735200000000006</v>
      </c>
      <c r="D1354" s="75">
        <v>91.972999999999999</v>
      </c>
      <c r="E1354" s="75">
        <v>94.219099999999997</v>
      </c>
      <c r="F1354">
        <v>2004.42</v>
      </c>
      <c r="G1354">
        <v>2212.0499999999997</v>
      </c>
      <c r="H1354">
        <v>1686.1999999999998</v>
      </c>
      <c r="I1354">
        <v>-838.5</v>
      </c>
      <c r="J1354">
        <v>5064.1699999999992</v>
      </c>
    </row>
    <row r="1355" spans="1:10" x14ac:dyDescent="0.35">
      <c r="A1355">
        <v>1339</v>
      </c>
      <c r="B1355" s="75">
        <v>89.31</v>
      </c>
      <c r="C1355" s="75">
        <v>97.61</v>
      </c>
      <c r="D1355" s="75">
        <v>92.26</v>
      </c>
      <c r="E1355" s="75">
        <v>91.56</v>
      </c>
      <c r="F1355">
        <v>799.92</v>
      </c>
      <c r="G1355">
        <v>903.90000000000009</v>
      </c>
      <c r="H1355">
        <v>1109.5999999999999</v>
      </c>
      <c r="I1355">
        <v>1823.3</v>
      </c>
      <c r="J1355">
        <v>4636.72</v>
      </c>
    </row>
    <row r="1356" spans="1:10" x14ac:dyDescent="0.35">
      <c r="A1356">
        <v>1340</v>
      </c>
      <c r="B1356" s="75">
        <v>89.249700000000004</v>
      </c>
      <c r="C1356" s="75">
        <v>98.009299999999996</v>
      </c>
      <c r="D1356" s="75">
        <v>92.384399999999999</v>
      </c>
      <c r="E1356" s="75">
        <v>88.584500000000006</v>
      </c>
      <c r="F1356">
        <v>1002.87</v>
      </c>
      <c r="G1356">
        <v>300.89999999999998</v>
      </c>
      <c r="H1356">
        <v>863.4</v>
      </c>
      <c r="I1356">
        <v>4796.1000000000004</v>
      </c>
      <c r="J1356">
        <v>6963.27</v>
      </c>
    </row>
    <row r="1357" spans="1:10" x14ac:dyDescent="0.35">
      <c r="A1357">
        <v>1341</v>
      </c>
      <c r="B1357" s="75">
        <v>89.22</v>
      </c>
      <c r="C1357" s="75">
        <v>98.29</v>
      </c>
      <c r="D1357" s="75">
        <v>92.91</v>
      </c>
      <c r="E1357" s="75">
        <v>90.46</v>
      </c>
      <c r="F1357">
        <v>1091.97</v>
      </c>
      <c r="G1357">
        <v>-125.85000000000001</v>
      </c>
      <c r="H1357">
        <v>-179.2</v>
      </c>
      <c r="I1357">
        <v>2916.7999999999997</v>
      </c>
      <c r="J1357">
        <v>3703.72</v>
      </c>
    </row>
    <row r="1358" spans="1:10" x14ac:dyDescent="0.35">
      <c r="A1358">
        <v>1342</v>
      </c>
      <c r="B1358" s="75">
        <v>89.717399999999998</v>
      </c>
      <c r="C1358" s="75">
        <v>97.080100000000002</v>
      </c>
      <c r="D1358" s="75">
        <v>91.0869</v>
      </c>
      <c r="E1358" s="75">
        <v>91.070499999999996</v>
      </c>
      <c r="F1358">
        <v>-540.54</v>
      </c>
      <c r="G1358">
        <v>1694.6999999999998</v>
      </c>
      <c r="H1358">
        <v>3458.4</v>
      </c>
      <c r="I1358">
        <v>2310.1</v>
      </c>
      <c r="J1358">
        <v>6922.66</v>
      </c>
    </row>
    <row r="1359" spans="1:10" x14ac:dyDescent="0.35">
      <c r="A1359">
        <v>1343</v>
      </c>
      <c r="B1359" s="75">
        <v>88.99</v>
      </c>
      <c r="C1359" s="75">
        <v>96.83</v>
      </c>
      <c r="D1359" s="75">
        <v>91.43</v>
      </c>
      <c r="E1359" s="75">
        <v>94.3</v>
      </c>
      <c r="F1359">
        <v>1864.1699999999998</v>
      </c>
      <c r="G1359">
        <v>2071.8000000000002</v>
      </c>
      <c r="H1359">
        <v>2781.4</v>
      </c>
      <c r="I1359">
        <v>-917.90000000000009</v>
      </c>
      <c r="J1359">
        <v>5799.4700000000012</v>
      </c>
    </row>
    <row r="1360" spans="1:10" x14ac:dyDescent="0.35">
      <c r="A1360">
        <v>1344</v>
      </c>
      <c r="B1360" s="75">
        <v>89.761099999999999</v>
      </c>
      <c r="C1360" s="75">
        <v>98.023399999999995</v>
      </c>
      <c r="D1360" s="75">
        <v>91.398399999999995</v>
      </c>
      <c r="E1360" s="75">
        <v>96.209000000000003</v>
      </c>
      <c r="F1360">
        <v>-684.75</v>
      </c>
      <c r="G1360">
        <v>279.75</v>
      </c>
      <c r="H1360">
        <v>2835.4</v>
      </c>
      <c r="I1360">
        <v>-2828.3999999999996</v>
      </c>
      <c r="J1360">
        <v>-397.99999999999955</v>
      </c>
    </row>
    <row r="1361" spans="1:10" x14ac:dyDescent="0.35">
      <c r="A1361">
        <v>1345</v>
      </c>
      <c r="B1361" s="75">
        <v>88.87</v>
      </c>
      <c r="C1361" s="75">
        <v>98.68</v>
      </c>
      <c r="D1361" s="75">
        <v>93.38</v>
      </c>
      <c r="E1361" s="75">
        <v>93.54</v>
      </c>
      <c r="F1361">
        <v>2257.5300000000002</v>
      </c>
      <c r="G1361">
        <v>-703.2</v>
      </c>
      <c r="H1361">
        <v>-1121.3999999999999</v>
      </c>
      <c r="I1361">
        <v>-161.5</v>
      </c>
      <c r="J1361">
        <v>271.43000000000029</v>
      </c>
    </row>
    <row r="1362" spans="1:10" x14ac:dyDescent="0.35">
      <c r="A1362">
        <v>1346</v>
      </c>
      <c r="B1362" s="75">
        <v>88.436099999999996</v>
      </c>
      <c r="C1362" s="75">
        <v>100.19410000000001</v>
      </c>
      <c r="D1362" s="75">
        <v>93.118799999999993</v>
      </c>
      <c r="E1362" s="75">
        <v>95.141599999999997</v>
      </c>
      <c r="F1362">
        <v>3687.75</v>
      </c>
      <c r="G1362">
        <v>-2976.2999999999997</v>
      </c>
      <c r="H1362">
        <v>-605.40000000000009</v>
      </c>
      <c r="I1362">
        <v>-1761</v>
      </c>
      <c r="J1362">
        <v>-1654.9499999999998</v>
      </c>
    </row>
    <row r="1363" spans="1:10" x14ac:dyDescent="0.35">
      <c r="A1363">
        <v>1347</v>
      </c>
      <c r="B1363" s="75">
        <v>89.71</v>
      </c>
      <c r="C1363" s="75">
        <v>97.38</v>
      </c>
      <c r="D1363" s="75">
        <v>93.14</v>
      </c>
      <c r="E1363" s="75">
        <v>93.74</v>
      </c>
      <c r="F1363">
        <v>-521.07000000000005</v>
      </c>
      <c r="G1363">
        <v>1238.8499999999999</v>
      </c>
      <c r="H1363">
        <v>-653.4</v>
      </c>
      <c r="I1363">
        <v>-363</v>
      </c>
      <c r="J1363">
        <v>-298.62000000000012</v>
      </c>
    </row>
    <row r="1364" spans="1:10" x14ac:dyDescent="0.35">
      <c r="A1364">
        <v>1348</v>
      </c>
      <c r="B1364" s="75">
        <v>89.781700000000001</v>
      </c>
      <c r="C1364" s="75">
        <v>98.261899999999997</v>
      </c>
      <c r="D1364" s="75">
        <v>92.327299999999994</v>
      </c>
      <c r="E1364" s="75">
        <v>96.765900000000002</v>
      </c>
      <c r="F1364">
        <v>-752.73</v>
      </c>
      <c r="G1364">
        <v>-78</v>
      </c>
      <c r="H1364">
        <v>977.6</v>
      </c>
      <c r="I1364">
        <v>-3385.3</v>
      </c>
      <c r="J1364">
        <v>-3238.4300000000003</v>
      </c>
    </row>
    <row r="1365" spans="1:10" x14ac:dyDescent="0.35">
      <c r="A1365">
        <v>1349</v>
      </c>
      <c r="B1365" s="75">
        <v>90.39</v>
      </c>
      <c r="C1365" s="75">
        <v>98.28</v>
      </c>
      <c r="D1365" s="75">
        <v>92.82</v>
      </c>
      <c r="E1365" s="75">
        <v>91.38</v>
      </c>
      <c r="F1365">
        <v>-2749.56</v>
      </c>
      <c r="G1365">
        <v>-98.25</v>
      </c>
      <c r="H1365">
        <v>-12.200000000000001</v>
      </c>
      <c r="I1365">
        <v>1998.3</v>
      </c>
      <c r="J1365">
        <v>-861.70999999999981</v>
      </c>
    </row>
    <row r="1366" spans="1:10" x14ac:dyDescent="0.35">
      <c r="A1366">
        <v>1350</v>
      </c>
      <c r="B1366" s="75">
        <v>90.335400000000007</v>
      </c>
      <c r="C1366" s="75">
        <v>99.589200000000005</v>
      </c>
      <c r="D1366" s="75">
        <v>91.929599999999994</v>
      </c>
      <c r="E1366" s="75">
        <v>92.222700000000003</v>
      </c>
      <c r="F1366">
        <v>-2579.94</v>
      </c>
      <c r="G1366">
        <v>-2068.9499999999998</v>
      </c>
      <c r="H1366">
        <v>1773</v>
      </c>
      <c r="I1366">
        <v>1157.8999999999999</v>
      </c>
      <c r="J1366">
        <v>-1717.9899999999996</v>
      </c>
    </row>
    <row r="1367" spans="1:10" x14ac:dyDescent="0.35">
      <c r="A1367">
        <v>1351</v>
      </c>
      <c r="B1367" s="75">
        <v>89.26</v>
      </c>
      <c r="C1367" s="75">
        <v>98.77</v>
      </c>
      <c r="D1367" s="75">
        <v>93.46</v>
      </c>
      <c r="E1367" s="75">
        <v>93.43</v>
      </c>
      <c r="F1367">
        <v>968.55</v>
      </c>
      <c r="G1367">
        <v>-840.9</v>
      </c>
      <c r="H1367">
        <v>-1286.5999999999999</v>
      </c>
      <c r="I1367">
        <v>-47.199999999999996</v>
      </c>
      <c r="J1367">
        <v>-1206.1499999999999</v>
      </c>
    </row>
    <row r="1368" spans="1:10" x14ac:dyDescent="0.35">
      <c r="A1368">
        <v>1352</v>
      </c>
      <c r="B1368" s="75">
        <v>89.834400000000002</v>
      </c>
      <c r="C1368" s="75">
        <v>99.198300000000003</v>
      </c>
      <c r="D1368" s="75">
        <v>92.830399999999997</v>
      </c>
      <c r="E1368" s="75">
        <v>91.215400000000002</v>
      </c>
      <c r="F1368">
        <v>-926.64</v>
      </c>
      <c r="G1368">
        <v>-1482.6</v>
      </c>
      <c r="H1368">
        <v>-28.6</v>
      </c>
      <c r="I1368">
        <v>2165.1999999999998</v>
      </c>
      <c r="J1368">
        <v>-272.63999999999987</v>
      </c>
    </row>
    <row r="1369" spans="1:10" x14ac:dyDescent="0.35">
      <c r="A1369">
        <v>1353</v>
      </c>
      <c r="B1369" s="75">
        <v>89.49</v>
      </c>
      <c r="C1369" s="75">
        <v>97.89</v>
      </c>
      <c r="D1369" s="75">
        <v>92.25</v>
      </c>
      <c r="E1369" s="75">
        <v>96.52</v>
      </c>
      <c r="F1369">
        <v>208.56000000000003</v>
      </c>
      <c r="G1369">
        <v>480.9</v>
      </c>
      <c r="H1369">
        <v>1140.4000000000001</v>
      </c>
      <c r="I1369">
        <v>-3137.1000000000004</v>
      </c>
      <c r="J1369">
        <v>-1307.2400000000002</v>
      </c>
    </row>
    <row r="1370" spans="1:10" x14ac:dyDescent="0.35">
      <c r="A1370">
        <v>1354</v>
      </c>
      <c r="B1370" s="75">
        <v>90.105400000000003</v>
      </c>
      <c r="C1370" s="75">
        <v>97.497699999999995</v>
      </c>
      <c r="D1370" s="75">
        <v>92.802800000000005</v>
      </c>
      <c r="E1370" s="75">
        <v>91.014899999999997</v>
      </c>
      <c r="F1370">
        <v>-1820.9399999999998</v>
      </c>
      <c r="G1370">
        <v>1068.3000000000002</v>
      </c>
      <c r="H1370">
        <v>26.599999999999998</v>
      </c>
      <c r="I1370">
        <v>2365.6999999999998</v>
      </c>
      <c r="J1370">
        <v>1639.6600000000003</v>
      </c>
    </row>
    <row r="1371" spans="1:10" x14ac:dyDescent="0.35">
      <c r="A1371">
        <v>1355</v>
      </c>
      <c r="B1371" s="75">
        <v>90.03</v>
      </c>
      <c r="C1371" s="75">
        <v>97.4</v>
      </c>
      <c r="D1371" s="75">
        <v>92.65</v>
      </c>
      <c r="E1371" s="75">
        <v>91.86</v>
      </c>
      <c r="F1371">
        <v>-1585.98</v>
      </c>
      <c r="G1371">
        <v>1217.25</v>
      </c>
      <c r="H1371">
        <v>339.6</v>
      </c>
      <c r="I1371">
        <v>1519.6000000000001</v>
      </c>
      <c r="J1371">
        <v>1490.4700000000003</v>
      </c>
    </row>
    <row r="1372" spans="1:10" x14ac:dyDescent="0.35">
      <c r="A1372">
        <v>1356</v>
      </c>
      <c r="B1372" s="75">
        <v>89.329599999999999</v>
      </c>
      <c r="C1372" s="75">
        <v>97.650400000000005</v>
      </c>
      <c r="D1372" s="75">
        <v>92.769300000000001</v>
      </c>
      <c r="E1372" s="75">
        <v>91.563900000000004</v>
      </c>
      <c r="F1372">
        <v>739.2</v>
      </c>
      <c r="G1372">
        <v>839.25</v>
      </c>
      <c r="H1372">
        <v>93.600000000000009</v>
      </c>
      <c r="I1372">
        <v>1816.7</v>
      </c>
      <c r="J1372">
        <v>3488.75</v>
      </c>
    </row>
    <row r="1373" spans="1:10" x14ac:dyDescent="0.35">
      <c r="A1373">
        <v>1357</v>
      </c>
      <c r="B1373" s="75">
        <v>89.33</v>
      </c>
      <c r="C1373" s="75">
        <v>97.7</v>
      </c>
      <c r="D1373" s="75">
        <v>93.94</v>
      </c>
      <c r="E1373" s="75">
        <v>94.22</v>
      </c>
      <c r="F1373">
        <v>743.49</v>
      </c>
      <c r="G1373">
        <v>761.40000000000009</v>
      </c>
      <c r="H1373">
        <v>-2242.4</v>
      </c>
      <c r="I1373">
        <v>-839</v>
      </c>
      <c r="J1373">
        <v>-1576.51</v>
      </c>
    </row>
    <row r="1374" spans="1:10" x14ac:dyDescent="0.35">
      <c r="A1374">
        <v>1358</v>
      </c>
      <c r="B1374" s="75">
        <v>89.736500000000007</v>
      </c>
      <c r="C1374" s="75">
        <v>97.1374</v>
      </c>
      <c r="D1374" s="75">
        <v>93.151600000000002</v>
      </c>
      <c r="E1374" s="75">
        <v>92.023499999999999</v>
      </c>
      <c r="F1374">
        <v>-603.57000000000005</v>
      </c>
      <c r="G1374">
        <v>1608.75</v>
      </c>
      <c r="H1374">
        <v>-671</v>
      </c>
      <c r="I1374">
        <v>1357.1</v>
      </c>
      <c r="J1374">
        <v>1691.2799999999997</v>
      </c>
    </row>
    <row r="1375" spans="1:10" x14ac:dyDescent="0.35">
      <c r="A1375">
        <v>1359</v>
      </c>
      <c r="B1375" s="75">
        <v>89.7</v>
      </c>
      <c r="C1375" s="75">
        <v>100.05</v>
      </c>
      <c r="D1375" s="75">
        <v>94.3</v>
      </c>
      <c r="E1375" s="75">
        <v>93.06</v>
      </c>
      <c r="F1375">
        <v>-475.53000000000003</v>
      </c>
      <c r="G1375">
        <v>-2754</v>
      </c>
      <c r="H1375">
        <v>-2961.8</v>
      </c>
      <c r="I1375">
        <v>319.90000000000003</v>
      </c>
      <c r="J1375">
        <v>-5871.43</v>
      </c>
    </row>
    <row r="1376" spans="1:10" x14ac:dyDescent="0.35">
      <c r="A1376">
        <v>1360</v>
      </c>
      <c r="B1376" s="75">
        <v>89.256600000000006</v>
      </c>
      <c r="C1376" s="75">
        <v>98.055999999999997</v>
      </c>
      <c r="D1376" s="75">
        <v>92.201700000000002</v>
      </c>
      <c r="E1376" s="75">
        <v>93.4422</v>
      </c>
      <c r="F1376">
        <v>980.09999999999991</v>
      </c>
      <c r="G1376">
        <v>230.85000000000002</v>
      </c>
      <c r="H1376">
        <v>1228.8</v>
      </c>
      <c r="I1376">
        <v>-61.6</v>
      </c>
      <c r="J1376">
        <v>2378.15</v>
      </c>
    </row>
    <row r="1377" spans="1:10" x14ac:dyDescent="0.35">
      <c r="A1377">
        <v>1361</v>
      </c>
      <c r="B1377" s="75">
        <v>90.63</v>
      </c>
      <c r="C1377" s="75">
        <v>97.71</v>
      </c>
      <c r="D1377" s="75">
        <v>93.18</v>
      </c>
      <c r="E1377" s="75">
        <v>92.69</v>
      </c>
      <c r="F1377">
        <v>-3550.1400000000003</v>
      </c>
      <c r="G1377">
        <v>756.15</v>
      </c>
      <c r="H1377">
        <v>-720.19999999999993</v>
      </c>
      <c r="I1377">
        <v>689.30000000000007</v>
      </c>
      <c r="J1377">
        <v>-2824.89</v>
      </c>
    </row>
    <row r="1378" spans="1:10" x14ac:dyDescent="0.35">
      <c r="A1378">
        <v>1362</v>
      </c>
      <c r="B1378" s="75">
        <v>89.73</v>
      </c>
      <c r="C1378" s="75">
        <v>97.385000000000005</v>
      </c>
      <c r="D1378" s="75">
        <v>94.301199999999994</v>
      </c>
      <c r="E1378" s="75">
        <v>94.320400000000006</v>
      </c>
      <c r="F1378">
        <v>-582.12</v>
      </c>
      <c r="G1378">
        <v>1237.3499999999999</v>
      </c>
      <c r="H1378">
        <v>-2970.2000000000003</v>
      </c>
      <c r="I1378">
        <v>-939.8</v>
      </c>
      <c r="J1378">
        <v>-3254.7700000000004</v>
      </c>
    </row>
    <row r="1379" spans="1:10" x14ac:dyDescent="0.35">
      <c r="A1379">
        <v>1363</v>
      </c>
      <c r="B1379" s="75">
        <v>89.83</v>
      </c>
      <c r="C1379" s="75">
        <v>97.57</v>
      </c>
      <c r="D1379" s="75">
        <v>94.02</v>
      </c>
      <c r="E1379" s="75">
        <v>92.19</v>
      </c>
      <c r="F1379">
        <v>-925.65000000000009</v>
      </c>
      <c r="G1379">
        <v>957.74999999999989</v>
      </c>
      <c r="H1379">
        <v>-2413.4</v>
      </c>
      <c r="I1379">
        <v>1188.5</v>
      </c>
      <c r="J1379">
        <v>-1192.8000000000002</v>
      </c>
    </row>
    <row r="1380" spans="1:10" x14ac:dyDescent="0.35">
      <c r="A1380">
        <v>1364</v>
      </c>
      <c r="B1380" s="75">
        <v>89.621499999999997</v>
      </c>
      <c r="C1380" s="75">
        <v>96.964100000000002</v>
      </c>
      <c r="D1380" s="75">
        <v>91.652699999999996</v>
      </c>
      <c r="E1380" s="75">
        <v>92.127700000000004</v>
      </c>
      <c r="F1380">
        <v>-224.07</v>
      </c>
      <c r="G1380">
        <v>1868.7</v>
      </c>
      <c r="H1380">
        <v>2326.8000000000002</v>
      </c>
      <c r="I1380">
        <v>1252.8999999999999</v>
      </c>
      <c r="J1380">
        <v>5224.33</v>
      </c>
    </row>
    <row r="1381" spans="1:10" x14ac:dyDescent="0.35">
      <c r="A1381">
        <v>1365</v>
      </c>
      <c r="B1381" s="75">
        <v>88.66</v>
      </c>
      <c r="C1381" s="75">
        <v>97.4</v>
      </c>
      <c r="D1381" s="75">
        <v>93.82</v>
      </c>
      <c r="E1381" s="75">
        <v>95.67</v>
      </c>
      <c r="F1381">
        <v>2933.37</v>
      </c>
      <c r="G1381">
        <v>1210.05</v>
      </c>
      <c r="H1381">
        <v>-2003.6000000000001</v>
      </c>
      <c r="I1381">
        <v>-2294.1999999999998</v>
      </c>
      <c r="J1381">
        <v>-154.38000000000011</v>
      </c>
    </row>
    <row r="1382" spans="1:10" x14ac:dyDescent="0.35">
      <c r="A1382">
        <v>1366</v>
      </c>
      <c r="B1382" s="75">
        <v>90.166499999999999</v>
      </c>
      <c r="C1382" s="75">
        <v>98.727800000000002</v>
      </c>
      <c r="D1382" s="75">
        <v>91.822199999999995</v>
      </c>
      <c r="E1382" s="75">
        <v>91.564999999999998</v>
      </c>
      <c r="F1382">
        <v>-2022.57</v>
      </c>
      <c r="G1382">
        <v>-776.85</v>
      </c>
      <c r="H1382">
        <v>1987.8</v>
      </c>
      <c r="I1382">
        <v>1815.6000000000001</v>
      </c>
      <c r="J1382">
        <v>1003.98</v>
      </c>
    </row>
    <row r="1383" spans="1:10" x14ac:dyDescent="0.35">
      <c r="A1383">
        <v>1367</v>
      </c>
      <c r="B1383" s="75">
        <v>89.63</v>
      </c>
      <c r="C1383" s="75">
        <v>97.32</v>
      </c>
      <c r="D1383" s="75">
        <v>91.82</v>
      </c>
      <c r="E1383" s="75">
        <v>92.96</v>
      </c>
      <c r="F1383">
        <v>-239.91</v>
      </c>
      <c r="G1383">
        <v>1335.15</v>
      </c>
      <c r="H1383">
        <v>1988.6</v>
      </c>
      <c r="I1383">
        <v>420.20000000000005</v>
      </c>
      <c r="J1383">
        <v>3504.04</v>
      </c>
    </row>
    <row r="1384" spans="1:10" x14ac:dyDescent="0.35">
      <c r="A1384">
        <v>1368</v>
      </c>
      <c r="B1384" s="75">
        <v>89.665199999999999</v>
      </c>
      <c r="C1384" s="75">
        <v>98.631500000000003</v>
      </c>
      <c r="D1384" s="75">
        <v>93.751300000000001</v>
      </c>
      <c r="E1384" s="75">
        <v>94.287599999999998</v>
      </c>
      <c r="F1384">
        <v>-368.28000000000003</v>
      </c>
      <c r="G1384">
        <v>-632.4</v>
      </c>
      <c r="H1384">
        <v>-1870.4</v>
      </c>
      <c r="I1384">
        <v>-907</v>
      </c>
      <c r="J1384">
        <v>-3778.08</v>
      </c>
    </row>
    <row r="1385" spans="1:10" x14ac:dyDescent="0.35">
      <c r="A1385">
        <v>1369</v>
      </c>
      <c r="B1385" s="75">
        <v>89.3</v>
      </c>
      <c r="C1385" s="75">
        <v>97.6</v>
      </c>
      <c r="D1385" s="75">
        <v>91.45</v>
      </c>
      <c r="E1385" s="75">
        <v>92.48</v>
      </c>
      <c r="F1385">
        <v>847.43999999999994</v>
      </c>
      <c r="G1385">
        <v>920.55000000000007</v>
      </c>
      <c r="H1385">
        <v>2737.8</v>
      </c>
      <c r="I1385">
        <v>898</v>
      </c>
      <c r="J1385">
        <v>5403.79</v>
      </c>
    </row>
    <row r="1386" spans="1:10" x14ac:dyDescent="0.35">
      <c r="A1386">
        <v>1370</v>
      </c>
      <c r="B1386" s="75">
        <v>89.093900000000005</v>
      </c>
      <c r="C1386" s="75">
        <v>98.149500000000003</v>
      </c>
      <c r="D1386" s="75">
        <v>91.692099999999996</v>
      </c>
      <c r="E1386" s="75">
        <v>91.966200000000001</v>
      </c>
      <c r="F1386">
        <v>1517.01</v>
      </c>
      <c r="G1386">
        <v>90.600000000000009</v>
      </c>
      <c r="H1386">
        <v>2248</v>
      </c>
      <c r="I1386">
        <v>1414.4</v>
      </c>
      <c r="J1386">
        <v>5270.01</v>
      </c>
    </row>
    <row r="1387" spans="1:10" x14ac:dyDescent="0.35">
      <c r="A1387">
        <v>1371</v>
      </c>
      <c r="B1387" s="75">
        <v>89.4</v>
      </c>
      <c r="C1387" s="75">
        <v>99.62</v>
      </c>
      <c r="D1387" s="75">
        <v>92.81</v>
      </c>
      <c r="E1387" s="75">
        <v>91.29</v>
      </c>
      <c r="F1387">
        <v>516.12</v>
      </c>
      <c r="G1387">
        <v>-2119.8000000000002</v>
      </c>
      <c r="H1387">
        <v>10.4</v>
      </c>
      <c r="I1387">
        <v>2089.9</v>
      </c>
      <c r="J1387">
        <v>496.61999999999989</v>
      </c>
    </row>
    <row r="1388" spans="1:10" x14ac:dyDescent="0.35">
      <c r="A1388">
        <v>1372</v>
      </c>
      <c r="B1388" s="75">
        <v>89.536799999999999</v>
      </c>
      <c r="C1388" s="75">
        <v>98.232699999999994</v>
      </c>
      <c r="D1388" s="75">
        <v>92.663399999999996</v>
      </c>
      <c r="E1388" s="75">
        <v>95.288899999999998</v>
      </c>
      <c r="F1388">
        <v>55.44</v>
      </c>
      <c r="G1388">
        <v>-34.200000000000003</v>
      </c>
      <c r="H1388">
        <v>305.39999999999998</v>
      </c>
      <c r="I1388">
        <v>-1908.3000000000002</v>
      </c>
      <c r="J1388">
        <v>-1581.6600000000003</v>
      </c>
    </row>
    <row r="1389" spans="1:10" x14ac:dyDescent="0.35">
      <c r="A1389">
        <v>1373</v>
      </c>
      <c r="B1389" s="75">
        <v>89.47</v>
      </c>
      <c r="C1389" s="75">
        <v>99.19</v>
      </c>
      <c r="D1389" s="75">
        <v>93.73</v>
      </c>
      <c r="E1389" s="75">
        <v>90.6</v>
      </c>
      <c r="F1389">
        <v>273.57</v>
      </c>
      <c r="G1389">
        <v>-1470.6000000000001</v>
      </c>
      <c r="H1389">
        <v>-1823.6000000000001</v>
      </c>
      <c r="I1389">
        <v>2778.5</v>
      </c>
      <c r="J1389">
        <v>-242.13000000000011</v>
      </c>
    </row>
    <row r="1390" spans="1:10" x14ac:dyDescent="0.35">
      <c r="A1390">
        <v>1374</v>
      </c>
      <c r="B1390" s="75">
        <v>88.650099999999995</v>
      </c>
      <c r="C1390" s="75">
        <v>97.981700000000004</v>
      </c>
      <c r="D1390" s="75">
        <v>92.938000000000002</v>
      </c>
      <c r="E1390" s="75">
        <v>96.040999999999997</v>
      </c>
      <c r="F1390">
        <v>2981.5499999999997</v>
      </c>
      <c r="G1390">
        <v>342.29999999999995</v>
      </c>
      <c r="H1390">
        <v>-243.79999999999998</v>
      </c>
      <c r="I1390">
        <v>-2660.4</v>
      </c>
      <c r="J1390">
        <v>419.64999999999918</v>
      </c>
    </row>
    <row r="1391" spans="1:10" x14ac:dyDescent="0.35">
      <c r="A1391">
        <v>1375</v>
      </c>
      <c r="B1391" s="75">
        <v>89.54</v>
      </c>
      <c r="C1391" s="75">
        <v>98.23</v>
      </c>
      <c r="D1391" s="75">
        <v>91.18</v>
      </c>
      <c r="E1391" s="75">
        <v>94.38</v>
      </c>
      <c r="F1391">
        <v>30.689999999999998</v>
      </c>
      <c r="G1391">
        <v>-27.45</v>
      </c>
      <c r="H1391">
        <v>3265.2000000000003</v>
      </c>
      <c r="I1391">
        <v>-1001.7</v>
      </c>
      <c r="J1391">
        <v>2266.7399999999998</v>
      </c>
    </row>
    <row r="1392" spans="1:10" x14ac:dyDescent="0.35">
      <c r="A1392">
        <v>1376</v>
      </c>
      <c r="B1392" s="75">
        <v>89.808199999999999</v>
      </c>
      <c r="C1392" s="75">
        <v>97.604299999999995</v>
      </c>
      <c r="D1392" s="75">
        <v>92.783500000000004</v>
      </c>
      <c r="E1392" s="75">
        <v>92.086600000000004</v>
      </c>
      <c r="F1392">
        <v>-840.18</v>
      </c>
      <c r="G1392">
        <v>908.40000000000009</v>
      </c>
      <c r="H1392">
        <v>65.199999999999989</v>
      </c>
      <c r="I1392">
        <v>1294</v>
      </c>
      <c r="J1392">
        <v>1427.42</v>
      </c>
    </row>
    <row r="1393" spans="1:10" x14ac:dyDescent="0.35">
      <c r="A1393">
        <v>1377</v>
      </c>
      <c r="B1393" s="75">
        <v>90.11</v>
      </c>
      <c r="C1393" s="75">
        <v>99.61</v>
      </c>
      <c r="D1393" s="75">
        <v>94.29</v>
      </c>
      <c r="E1393" s="75">
        <v>95.62</v>
      </c>
      <c r="F1393">
        <v>-1845.69</v>
      </c>
      <c r="G1393">
        <v>-2099.5499999999997</v>
      </c>
      <c r="H1393">
        <v>-2949.2</v>
      </c>
      <c r="I1393">
        <v>-2243.1</v>
      </c>
      <c r="J1393">
        <v>-9137.5399999999991</v>
      </c>
    </row>
    <row r="1394" spans="1:10" x14ac:dyDescent="0.35">
      <c r="A1394">
        <v>1378</v>
      </c>
      <c r="B1394" s="75">
        <v>88.601900000000001</v>
      </c>
      <c r="C1394" s="75">
        <v>98.037400000000005</v>
      </c>
      <c r="D1394" s="75">
        <v>92.585400000000007</v>
      </c>
      <c r="E1394" s="75">
        <v>95.963399999999993</v>
      </c>
      <c r="F1394">
        <v>3140.61</v>
      </c>
      <c r="G1394">
        <v>258.75</v>
      </c>
      <c r="H1394">
        <v>461.4</v>
      </c>
      <c r="I1394">
        <v>-2582.8000000000002</v>
      </c>
      <c r="J1394">
        <v>1277.96</v>
      </c>
    </row>
    <row r="1395" spans="1:10" x14ac:dyDescent="0.35">
      <c r="A1395">
        <v>1379</v>
      </c>
      <c r="B1395" s="75">
        <v>90.33</v>
      </c>
      <c r="C1395" s="75">
        <v>98.84</v>
      </c>
      <c r="D1395" s="75">
        <v>92.02</v>
      </c>
      <c r="E1395" s="75">
        <v>94.46</v>
      </c>
      <c r="F1395">
        <v>-2556.1799999999998</v>
      </c>
      <c r="G1395">
        <v>-941.24999999999989</v>
      </c>
      <c r="H1395">
        <v>1590</v>
      </c>
      <c r="I1395">
        <v>-1083</v>
      </c>
      <c r="J1395">
        <v>-2990.43</v>
      </c>
    </row>
    <row r="1396" spans="1:10" x14ac:dyDescent="0.35">
      <c r="A1396">
        <v>1380</v>
      </c>
      <c r="B1396" s="75">
        <v>89.668800000000005</v>
      </c>
      <c r="C1396" s="75">
        <v>96.405100000000004</v>
      </c>
      <c r="D1396" s="75">
        <v>92.880300000000005</v>
      </c>
      <c r="E1396" s="75">
        <v>93.722499999999997</v>
      </c>
      <c r="F1396">
        <v>-380.15999999999997</v>
      </c>
      <c r="G1396">
        <v>2707.2</v>
      </c>
      <c r="H1396">
        <v>-128.39999999999998</v>
      </c>
      <c r="I1396">
        <v>-341.9</v>
      </c>
      <c r="J1396">
        <v>1856.7399999999998</v>
      </c>
    </row>
    <row r="1397" spans="1:10" x14ac:dyDescent="0.35">
      <c r="A1397">
        <v>1381</v>
      </c>
      <c r="B1397" s="75">
        <v>89.65</v>
      </c>
      <c r="C1397" s="75">
        <v>97.69</v>
      </c>
      <c r="D1397" s="75">
        <v>92.38</v>
      </c>
      <c r="E1397" s="75">
        <v>90.94</v>
      </c>
      <c r="F1397">
        <v>-302.61</v>
      </c>
      <c r="G1397">
        <v>780</v>
      </c>
      <c r="H1397">
        <v>876.19999999999993</v>
      </c>
      <c r="I1397">
        <v>2437.1</v>
      </c>
      <c r="J1397">
        <v>3790.6899999999996</v>
      </c>
    </row>
    <row r="1398" spans="1:10" x14ac:dyDescent="0.35">
      <c r="A1398">
        <v>1382</v>
      </c>
      <c r="B1398" s="75">
        <v>89.625699999999995</v>
      </c>
      <c r="C1398" s="75">
        <v>99.730599999999995</v>
      </c>
      <c r="D1398" s="75">
        <v>93.570300000000003</v>
      </c>
      <c r="E1398" s="75">
        <v>93.328699999999998</v>
      </c>
      <c r="F1398">
        <v>-237.92999999999998</v>
      </c>
      <c r="G1398">
        <v>-2281.0499999999997</v>
      </c>
      <c r="H1398">
        <v>-1508.3999999999999</v>
      </c>
      <c r="I1398">
        <v>51.9</v>
      </c>
      <c r="J1398">
        <v>-3975.4799999999991</v>
      </c>
    </row>
    <row r="1399" spans="1:10" x14ac:dyDescent="0.35">
      <c r="A1399">
        <v>1383</v>
      </c>
      <c r="B1399" s="75">
        <v>89.38</v>
      </c>
      <c r="C1399" s="75">
        <v>98.08</v>
      </c>
      <c r="D1399" s="75">
        <v>93.41</v>
      </c>
      <c r="E1399" s="75">
        <v>95.2</v>
      </c>
      <c r="F1399">
        <v>561.33000000000004</v>
      </c>
      <c r="G1399">
        <v>191.85000000000002</v>
      </c>
      <c r="H1399">
        <v>-1196.1999999999998</v>
      </c>
      <c r="I1399">
        <v>-1819.8000000000002</v>
      </c>
      <c r="J1399">
        <v>-2262.8199999999997</v>
      </c>
    </row>
    <row r="1400" spans="1:10" x14ac:dyDescent="0.35">
      <c r="A1400">
        <v>1384</v>
      </c>
      <c r="B1400" s="75">
        <v>89.527000000000001</v>
      </c>
      <c r="C1400" s="75">
        <v>99.808300000000003</v>
      </c>
      <c r="D1400" s="75">
        <v>93.457400000000007</v>
      </c>
      <c r="E1400" s="75">
        <v>90.874200000000002</v>
      </c>
      <c r="F1400">
        <v>87.78</v>
      </c>
      <c r="G1400">
        <v>-2397.6</v>
      </c>
      <c r="H1400">
        <v>-1282.5999999999999</v>
      </c>
      <c r="I1400">
        <v>2506.4</v>
      </c>
      <c r="J1400">
        <v>-1086.0199999999995</v>
      </c>
    </row>
    <row r="1401" spans="1:10" x14ac:dyDescent="0.35">
      <c r="A1401">
        <v>1385</v>
      </c>
      <c r="B1401" s="75">
        <v>88.11</v>
      </c>
      <c r="C1401" s="75">
        <v>97.24</v>
      </c>
      <c r="D1401" s="75">
        <v>93.26</v>
      </c>
      <c r="E1401" s="75">
        <v>95.13</v>
      </c>
      <c r="F1401">
        <v>4771.1400000000003</v>
      </c>
      <c r="G1401">
        <v>1455.45</v>
      </c>
      <c r="H1401">
        <v>-882.80000000000007</v>
      </c>
      <c r="I1401">
        <v>-1748.5</v>
      </c>
      <c r="J1401">
        <v>3595.29</v>
      </c>
    </row>
    <row r="1402" spans="1:10" x14ac:dyDescent="0.35">
      <c r="A1402">
        <v>1386</v>
      </c>
      <c r="B1402" s="75">
        <v>90.084999999999994</v>
      </c>
      <c r="C1402" s="75">
        <v>98.166399999999996</v>
      </c>
      <c r="D1402" s="75">
        <v>92.551500000000004</v>
      </c>
      <c r="E1402" s="75">
        <v>93.113</v>
      </c>
      <c r="F1402">
        <v>-1753.62</v>
      </c>
      <c r="G1402">
        <v>65.25</v>
      </c>
      <c r="H1402">
        <v>529.20000000000005</v>
      </c>
      <c r="I1402">
        <v>267.60000000000002</v>
      </c>
      <c r="J1402">
        <v>-891.56999999999982</v>
      </c>
    </row>
    <row r="1403" spans="1:10" x14ac:dyDescent="0.35">
      <c r="A1403">
        <v>1387</v>
      </c>
      <c r="B1403" s="75">
        <v>89.84</v>
      </c>
      <c r="C1403" s="75">
        <v>98.31</v>
      </c>
      <c r="D1403" s="75">
        <v>91.72</v>
      </c>
      <c r="E1403" s="75">
        <v>94.41</v>
      </c>
      <c r="F1403">
        <v>-937.53000000000009</v>
      </c>
      <c r="G1403">
        <v>-144</v>
      </c>
      <c r="H1403">
        <v>2185</v>
      </c>
      <c r="I1403">
        <v>-1032.0999999999999</v>
      </c>
      <c r="J1403">
        <v>71.369999999999891</v>
      </c>
    </row>
    <row r="1404" spans="1:10" x14ac:dyDescent="0.35">
      <c r="A1404">
        <v>1388</v>
      </c>
      <c r="B1404" s="75">
        <v>89.439599999999999</v>
      </c>
      <c r="C1404" s="75">
        <v>97.276200000000003</v>
      </c>
      <c r="D1404" s="75">
        <v>91.482299999999995</v>
      </c>
      <c r="E1404" s="75">
        <v>95.814400000000006</v>
      </c>
      <c r="F1404">
        <v>376.2</v>
      </c>
      <c r="G1404">
        <v>1400.55</v>
      </c>
      <c r="H1404">
        <v>2667.6000000000004</v>
      </c>
      <c r="I1404">
        <v>-2433.8000000000002</v>
      </c>
      <c r="J1404">
        <v>2010.5500000000002</v>
      </c>
    </row>
    <row r="1405" spans="1:10" x14ac:dyDescent="0.35">
      <c r="A1405">
        <v>1389</v>
      </c>
      <c r="B1405" s="75">
        <v>89.7</v>
      </c>
      <c r="C1405" s="75">
        <v>98.09</v>
      </c>
      <c r="D1405" s="75">
        <v>92.52</v>
      </c>
      <c r="E1405" s="75">
        <v>92.02</v>
      </c>
      <c r="F1405">
        <v>-477.84000000000003</v>
      </c>
      <c r="G1405">
        <v>187.05</v>
      </c>
      <c r="H1405">
        <v>601.40000000000009</v>
      </c>
      <c r="I1405">
        <v>1357.2</v>
      </c>
      <c r="J1405">
        <v>1667.8100000000002</v>
      </c>
    </row>
    <row r="1406" spans="1:10" x14ac:dyDescent="0.35">
      <c r="A1406">
        <v>1390</v>
      </c>
      <c r="B1406" s="75">
        <v>89.103700000000003</v>
      </c>
      <c r="C1406" s="75">
        <v>98.103300000000004</v>
      </c>
      <c r="D1406" s="75">
        <v>93.562600000000003</v>
      </c>
      <c r="E1406" s="75">
        <v>93.043400000000005</v>
      </c>
      <c r="F1406">
        <v>1484.67</v>
      </c>
      <c r="G1406">
        <v>159.9</v>
      </c>
      <c r="H1406">
        <v>-1493</v>
      </c>
      <c r="I1406">
        <v>337.2</v>
      </c>
      <c r="J1406">
        <v>488.77000000000015</v>
      </c>
    </row>
    <row r="1407" spans="1:10" x14ac:dyDescent="0.35">
      <c r="A1407">
        <v>1391</v>
      </c>
      <c r="B1407" s="75">
        <v>89.2</v>
      </c>
      <c r="C1407" s="75">
        <v>100</v>
      </c>
      <c r="D1407" s="75">
        <v>91.81</v>
      </c>
      <c r="E1407" s="75">
        <v>94.78</v>
      </c>
      <c r="F1407">
        <v>1152.69</v>
      </c>
      <c r="G1407">
        <v>-2683.35</v>
      </c>
      <c r="H1407">
        <v>2011.4</v>
      </c>
      <c r="I1407">
        <v>-1400.1</v>
      </c>
      <c r="J1407">
        <v>-919.35999999999967</v>
      </c>
    </row>
    <row r="1408" spans="1:10" x14ac:dyDescent="0.35">
      <c r="A1408">
        <v>1392</v>
      </c>
      <c r="B1408" s="75">
        <v>89.264799999999994</v>
      </c>
      <c r="C1408" s="75">
        <v>99.921800000000005</v>
      </c>
      <c r="D1408" s="75">
        <v>95.856200000000001</v>
      </c>
      <c r="E1408" s="75">
        <v>90.813000000000002</v>
      </c>
      <c r="F1408">
        <v>953.04</v>
      </c>
      <c r="G1408">
        <v>-2567.85</v>
      </c>
      <c r="H1408">
        <v>-6080.2</v>
      </c>
      <c r="I1408">
        <v>2567.6</v>
      </c>
      <c r="J1408">
        <v>-5127.41</v>
      </c>
    </row>
    <row r="1409" spans="1:10" x14ac:dyDescent="0.35">
      <c r="A1409">
        <v>1393</v>
      </c>
      <c r="B1409" s="75">
        <v>89.5</v>
      </c>
      <c r="C1409" s="75">
        <v>99.22</v>
      </c>
      <c r="D1409" s="75">
        <v>93.61</v>
      </c>
      <c r="E1409" s="75">
        <v>93.04</v>
      </c>
      <c r="F1409">
        <v>168.29999999999998</v>
      </c>
      <c r="G1409">
        <v>-1509.8999999999999</v>
      </c>
      <c r="H1409">
        <v>-1588</v>
      </c>
      <c r="I1409">
        <v>340.5</v>
      </c>
      <c r="J1409">
        <v>-2589.1</v>
      </c>
    </row>
    <row r="1410" spans="1:10" x14ac:dyDescent="0.35">
      <c r="A1410">
        <v>1394</v>
      </c>
      <c r="B1410" s="75">
        <v>89.863299999999995</v>
      </c>
      <c r="C1410" s="75">
        <v>98.289900000000003</v>
      </c>
      <c r="D1410" s="75">
        <v>90.506900000000002</v>
      </c>
      <c r="E1410" s="75">
        <v>92.768900000000002</v>
      </c>
      <c r="F1410">
        <v>-1022.0099999999999</v>
      </c>
      <c r="G1410">
        <v>-120</v>
      </c>
      <c r="H1410">
        <v>4618.4000000000005</v>
      </c>
      <c r="I1410">
        <v>611.70000000000005</v>
      </c>
      <c r="J1410">
        <v>4088.0900000000011</v>
      </c>
    </row>
    <row r="1411" spans="1:10" x14ac:dyDescent="0.35">
      <c r="A1411">
        <v>1395</v>
      </c>
      <c r="B1411" s="75">
        <v>89.87</v>
      </c>
      <c r="C1411" s="75">
        <v>97.36</v>
      </c>
      <c r="D1411" s="75">
        <v>93.69</v>
      </c>
      <c r="E1411" s="75">
        <v>92.45</v>
      </c>
      <c r="F1411">
        <v>-1038.8400000000001</v>
      </c>
      <c r="G1411">
        <v>1270.5</v>
      </c>
      <c r="H1411">
        <v>-1739.2</v>
      </c>
      <c r="I1411">
        <v>932.30000000000007</v>
      </c>
      <c r="J1411">
        <v>-575.24000000000012</v>
      </c>
    </row>
    <row r="1412" spans="1:10" x14ac:dyDescent="0.35">
      <c r="A1412">
        <v>1396</v>
      </c>
      <c r="B1412" s="75">
        <v>90.014399999999995</v>
      </c>
      <c r="C1412" s="75">
        <v>98.233999999999995</v>
      </c>
      <c r="D1412" s="75">
        <v>92.683199999999999</v>
      </c>
      <c r="E1412" s="75">
        <v>94.648799999999994</v>
      </c>
      <c r="F1412">
        <v>-1520.6399999999999</v>
      </c>
      <c r="G1412">
        <v>-36.15</v>
      </c>
      <c r="H1412">
        <v>265.79999999999995</v>
      </c>
      <c r="I1412">
        <v>-1268.2</v>
      </c>
      <c r="J1412">
        <v>-2559.19</v>
      </c>
    </row>
    <row r="1413" spans="1:10" x14ac:dyDescent="0.35">
      <c r="A1413">
        <v>1397</v>
      </c>
      <c r="B1413" s="75">
        <v>89.74</v>
      </c>
      <c r="C1413" s="75">
        <v>97.24</v>
      </c>
      <c r="D1413" s="75">
        <v>92.26</v>
      </c>
      <c r="E1413" s="75">
        <v>90.9</v>
      </c>
      <c r="F1413">
        <v>-618.42000000000007</v>
      </c>
      <c r="G1413">
        <v>1455.9</v>
      </c>
      <c r="H1413">
        <v>1117.8</v>
      </c>
      <c r="I1413">
        <v>2484.7000000000003</v>
      </c>
      <c r="J1413">
        <v>4439.9800000000005</v>
      </c>
    </row>
    <row r="1414" spans="1:10" x14ac:dyDescent="0.35">
      <c r="A1414">
        <v>1398</v>
      </c>
      <c r="B1414" s="75">
        <v>89.9375</v>
      </c>
      <c r="C1414" s="75">
        <v>97.764700000000005</v>
      </c>
      <c r="D1414" s="75">
        <v>92.978700000000003</v>
      </c>
      <c r="E1414" s="75">
        <v>97.1083</v>
      </c>
      <c r="F1414">
        <v>-1266.8700000000001</v>
      </c>
      <c r="G1414">
        <v>667.8</v>
      </c>
      <c r="H1414">
        <v>-325.2</v>
      </c>
      <c r="I1414">
        <v>-3727.7</v>
      </c>
      <c r="J1414">
        <v>-4651.97</v>
      </c>
    </row>
    <row r="1415" spans="1:10" x14ac:dyDescent="0.35">
      <c r="A1415">
        <v>1399</v>
      </c>
      <c r="B1415" s="75">
        <v>89.89</v>
      </c>
      <c r="C1415" s="75">
        <v>97.53</v>
      </c>
      <c r="D1415" s="75">
        <v>92.93</v>
      </c>
      <c r="E1415" s="75">
        <v>91.87</v>
      </c>
      <c r="F1415">
        <v>-1100.55</v>
      </c>
      <c r="G1415">
        <v>1024.3499999999999</v>
      </c>
      <c r="H1415">
        <v>-224.6</v>
      </c>
      <c r="I1415">
        <v>1515.3000000000002</v>
      </c>
      <c r="J1415">
        <v>1214.5</v>
      </c>
    </row>
    <row r="1416" spans="1:10" x14ac:dyDescent="0.35">
      <c r="A1416">
        <v>1400</v>
      </c>
      <c r="B1416" s="75">
        <v>88.954700000000003</v>
      </c>
      <c r="C1416" s="75">
        <v>97.765199999999993</v>
      </c>
      <c r="D1416" s="75">
        <v>92.586200000000005</v>
      </c>
      <c r="E1416" s="75">
        <v>93.532300000000006</v>
      </c>
      <c r="F1416">
        <v>1976.37</v>
      </c>
      <c r="G1416">
        <v>667.05</v>
      </c>
      <c r="H1416">
        <v>459.8</v>
      </c>
      <c r="I1416">
        <v>-151.69999999999999</v>
      </c>
      <c r="J1416">
        <v>2951.5200000000004</v>
      </c>
    </row>
    <row r="1417" spans="1:10" x14ac:dyDescent="0.35">
      <c r="A1417">
        <v>1401</v>
      </c>
      <c r="B1417" s="75">
        <v>88.5</v>
      </c>
      <c r="C1417" s="75">
        <v>99.76</v>
      </c>
      <c r="D1417" s="75">
        <v>90.94</v>
      </c>
      <c r="E1417" s="75">
        <v>91.64</v>
      </c>
      <c r="F1417">
        <v>3475.5599999999995</v>
      </c>
      <c r="G1417">
        <v>-2328.4499999999998</v>
      </c>
      <c r="H1417">
        <v>3755.3999999999996</v>
      </c>
      <c r="I1417">
        <v>1740.3999999999999</v>
      </c>
      <c r="J1417">
        <v>6642.9099999999989</v>
      </c>
    </row>
    <row r="1418" spans="1:10" x14ac:dyDescent="0.35">
      <c r="A1418">
        <v>1402</v>
      </c>
      <c r="B1418" s="75">
        <v>89.715000000000003</v>
      </c>
      <c r="C1418" s="75">
        <v>99.563299999999998</v>
      </c>
      <c r="D1418" s="75">
        <v>93.493200000000002</v>
      </c>
      <c r="E1418" s="75">
        <v>92.815299999999993</v>
      </c>
      <c r="F1418">
        <v>-532.62</v>
      </c>
      <c r="G1418">
        <v>-2030.1</v>
      </c>
      <c r="H1418">
        <v>-1354.2</v>
      </c>
      <c r="I1418">
        <v>565.30000000000007</v>
      </c>
      <c r="J1418">
        <v>-3351.62</v>
      </c>
    </row>
    <row r="1419" spans="1:10" x14ac:dyDescent="0.35">
      <c r="A1419">
        <v>1403</v>
      </c>
      <c r="B1419" s="75">
        <v>89.41</v>
      </c>
      <c r="C1419" s="75">
        <v>98.73</v>
      </c>
      <c r="D1419" s="75">
        <v>92.81</v>
      </c>
      <c r="E1419" s="75">
        <v>91.18</v>
      </c>
      <c r="F1419">
        <v>481.47</v>
      </c>
      <c r="G1419">
        <v>-779.85</v>
      </c>
      <c r="H1419">
        <v>11.6</v>
      </c>
      <c r="I1419">
        <v>2196</v>
      </c>
      <c r="J1419">
        <v>1909.22</v>
      </c>
    </row>
    <row r="1420" spans="1:10" x14ac:dyDescent="0.35">
      <c r="A1420">
        <v>1404</v>
      </c>
      <c r="B1420" s="75">
        <v>89.365300000000005</v>
      </c>
      <c r="C1420" s="75">
        <v>98.778300000000002</v>
      </c>
      <c r="D1420" s="75">
        <v>94.205100000000002</v>
      </c>
      <c r="E1420" s="75">
        <v>92.742999999999995</v>
      </c>
      <c r="F1420">
        <v>621.39</v>
      </c>
      <c r="G1420">
        <v>-852.6</v>
      </c>
      <c r="H1420">
        <v>-2778</v>
      </c>
      <c r="I1420">
        <v>637.59999999999991</v>
      </c>
      <c r="J1420">
        <v>-2371.61</v>
      </c>
    </row>
    <row r="1421" spans="1:10" x14ac:dyDescent="0.35">
      <c r="A1421">
        <v>1405</v>
      </c>
      <c r="B1421" s="75">
        <v>89.62</v>
      </c>
      <c r="C1421" s="75">
        <v>98.77</v>
      </c>
      <c r="D1421" s="75">
        <v>94.77</v>
      </c>
      <c r="E1421" s="75">
        <v>93.86</v>
      </c>
      <c r="F1421">
        <v>-232.98</v>
      </c>
      <c r="G1421">
        <v>-832.80000000000007</v>
      </c>
      <c r="H1421">
        <v>-3911.7999999999997</v>
      </c>
      <c r="I1421">
        <v>-478.9</v>
      </c>
      <c r="J1421">
        <v>-5456.48</v>
      </c>
    </row>
    <row r="1422" spans="1:10" x14ac:dyDescent="0.35">
      <c r="A1422">
        <v>1406</v>
      </c>
      <c r="B1422" s="75">
        <v>90.408600000000007</v>
      </c>
      <c r="C1422" s="75">
        <v>98.122299999999996</v>
      </c>
      <c r="D1422" s="75">
        <v>91.404899999999998</v>
      </c>
      <c r="E1422" s="75">
        <v>92.846400000000003</v>
      </c>
      <c r="F1422">
        <v>-2821.5</v>
      </c>
      <c r="G1422">
        <v>131.4</v>
      </c>
      <c r="H1422">
        <v>2822.4</v>
      </c>
      <c r="I1422">
        <v>534.20000000000005</v>
      </c>
      <c r="J1422">
        <v>666.50000000000023</v>
      </c>
    </row>
    <row r="1423" spans="1:10" x14ac:dyDescent="0.35">
      <c r="A1423">
        <v>1407</v>
      </c>
      <c r="B1423" s="75">
        <v>89.55</v>
      </c>
      <c r="C1423" s="75">
        <v>97.56</v>
      </c>
      <c r="D1423" s="75">
        <v>92.15</v>
      </c>
      <c r="E1423" s="75">
        <v>93.52</v>
      </c>
      <c r="F1423">
        <v>27.060000000000002</v>
      </c>
      <c r="G1423">
        <v>980.55</v>
      </c>
      <c r="H1423">
        <v>1337.8000000000002</v>
      </c>
      <c r="I1423">
        <v>-144.19999999999999</v>
      </c>
      <c r="J1423">
        <v>2201.21</v>
      </c>
    </row>
    <row r="1424" spans="1:10" x14ac:dyDescent="0.35">
      <c r="A1424">
        <v>1408</v>
      </c>
      <c r="B1424" s="75">
        <v>89.364599999999996</v>
      </c>
      <c r="C1424" s="75">
        <v>96.471299999999999</v>
      </c>
      <c r="D1424" s="75">
        <v>92.833100000000002</v>
      </c>
      <c r="E1424" s="75">
        <v>96.534400000000005</v>
      </c>
      <c r="F1424">
        <v>623.70000000000005</v>
      </c>
      <c r="G1424">
        <v>2607.9</v>
      </c>
      <c r="H1424">
        <v>-34</v>
      </c>
      <c r="I1424">
        <v>-3153.7999999999997</v>
      </c>
      <c r="J1424">
        <v>43.800000000000637</v>
      </c>
    </row>
    <row r="1425" spans="1:10" x14ac:dyDescent="0.35">
      <c r="A1425">
        <v>1409</v>
      </c>
      <c r="B1425" s="75">
        <v>90.05</v>
      </c>
      <c r="C1425" s="75">
        <v>98.82</v>
      </c>
      <c r="D1425" s="75">
        <v>92.27</v>
      </c>
      <c r="E1425" s="75">
        <v>93.03</v>
      </c>
      <c r="F1425">
        <v>-1624.26</v>
      </c>
      <c r="G1425">
        <v>-913.94999999999993</v>
      </c>
      <c r="H1425">
        <v>1090.5999999999999</v>
      </c>
      <c r="I1425">
        <v>350.9</v>
      </c>
      <c r="J1425">
        <v>-1096.71</v>
      </c>
    </row>
    <row r="1426" spans="1:10" x14ac:dyDescent="0.35">
      <c r="A1426">
        <v>1410</v>
      </c>
      <c r="B1426" s="75">
        <v>89.335800000000006</v>
      </c>
      <c r="C1426" s="75">
        <v>97.506</v>
      </c>
      <c r="D1426" s="75">
        <v>93.161000000000001</v>
      </c>
      <c r="E1426" s="75">
        <v>94.844099999999997</v>
      </c>
      <c r="F1426">
        <v>718.74</v>
      </c>
      <c r="G1426">
        <v>1055.8499999999999</v>
      </c>
      <c r="H1426">
        <v>-689.8</v>
      </c>
      <c r="I1426">
        <v>-1463.5</v>
      </c>
      <c r="J1426">
        <v>-378.71000000000004</v>
      </c>
    </row>
    <row r="1427" spans="1:10" x14ac:dyDescent="0.35">
      <c r="A1427">
        <v>1411</v>
      </c>
      <c r="B1427" s="75">
        <v>89.32</v>
      </c>
      <c r="C1427" s="75">
        <v>97.78</v>
      </c>
      <c r="D1427" s="75">
        <v>93.09</v>
      </c>
      <c r="E1427" s="75">
        <v>93.28</v>
      </c>
      <c r="F1427">
        <v>759</v>
      </c>
      <c r="G1427">
        <v>645.75</v>
      </c>
      <c r="H1427">
        <v>-541.6</v>
      </c>
      <c r="I1427">
        <v>98.7</v>
      </c>
      <c r="J1427">
        <v>961.85</v>
      </c>
    </row>
    <row r="1428" spans="1:10" x14ac:dyDescent="0.35">
      <c r="A1428">
        <v>1412</v>
      </c>
      <c r="B1428" s="75">
        <v>88.809700000000007</v>
      </c>
      <c r="C1428" s="75">
        <v>97.282799999999995</v>
      </c>
      <c r="D1428" s="75">
        <v>90.828400000000002</v>
      </c>
      <c r="E1428" s="75">
        <v>92.958799999999997</v>
      </c>
      <c r="F1428">
        <v>2454.87</v>
      </c>
      <c r="G1428">
        <v>1390.65</v>
      </c>
      <c r="H1428">
        <v>3975.4</v>
      </c>
      <c r="I1428">
        <v>421.8</v>
      </c>
      <c r="J1428">
        <v>8242.7199999999993</v>
      </c>
    </row>
    <row r="1429" spans="1:10" x14ac:dyDescent="0.35">
      <c r="A1429">
        <v>1413</v>
      </c>
      <c r="B1429" s="75">
        <v>90.06</v>
      </c>
      <c r="C1429" s="75">
        <v>98.94</v>
      </c>
      <c r="D1429" s="75">
        <v>93.16</v>
      </c>
      <c r="E1429" s="75">
        <v>93.07</v>
      </c>
      <c r="F1429">
        <v>-1676.73</v>
      </c>
      <c r="G1429">
        <v>-1089</v>
      </c>
      <c r="H1429">
        <v>-686.4</v>
      </c>
      <c r="I1429">
        <v>315.09999999999997</v>
      </c>
      <c r="J1429">
        <v>-3137.03</v>
      </c>
    </row>
    <row r="1430" spans="1:10" x14ac:dyDescent="0.35">
      <c r="A1430">
        <v>1414</v>
      </c>
      <c r="B1430" s="75">
        <v>89.554900000000004</v>
      </c>
      <c r="C1430" s="75">
        <v>98.894499999999994</v>
      </c>
      <c r="D1430" s="75">
        <v>91.128900000000002</v>
      </c>
      <c r="E1430" s="75">
        <v>93.264300000000006</v>
      </c>
      <c r="F1430">
        <v>-4.29</v>
      </c>
      <c r="G1430">
        <v>-1026.9000000000001</v>
      </c>
      <c r="H1430">
        <v>3374.4</v>
      </c>
      <c r="I1430">
        <v>116.3</v>
      </c>
      <c r="J1430">
        <v>2459.5100000000002</v>
      </c>
    </row>
    <row r="1431" spans="1:10" x14ac:dyDescent="0.35">
      <c r="A1431">
        <v>1415</v>
      </c>
      <c r="B1431" s="75">
        <v>89.08</v>
      </c>
      <c r="C1431" s="75">
        <v>98.03</v>
      </c>
      <c r="D1431" s="75">
        <v>93.67</v>
      </c>
      <c r="E1431" s="75">
        <v>93.07</v>
      </c>
      <c r="F1431">
        <v>1559.91</v>
      </c>
      <c r="G1431">
        <v>276.15000000000003</v>
      </c>
      <c r="H1431">
        <v>-1700.8000000000002</v>
      </c>
      <c r="I1431">
        <v>310.40000000000003</v>
      </c>
      <c r="J1431">
        <v>445.66</v>
      </c>
    </row>
    <row r="1432" spans="1:10" x14ac:dyDescent="0.35">
      <c r="A1432">
        <v>1416</v>
      </c>
      <c r="B1432" s="75">
        <v>89.399000000000001</v>
      </c>
      <c r="C1432" s="75">
        <v>98.066599999999994</v>
      </c>
      <c r="D1432" s="75">
        <v>93.971699999999998</v>
      </c>
      <c r="E1432" s="75">
        <v>92.272199999999998</v>
      </c>
      <c r="F1432">
        <v>510.17999999999995</v>
      </c>
      <c r="G1432">
        <v>214.95000000000002</v>
      </c>
      <c r="H1432">
        <v>-2311.1999999999998</v>
      </c>
      <c r="I1432">
        <v>1108.4000000000001</v>
      </c>
      <c r="J1432">
        <v>-477.66999999999962</v>
      </c>
    </row>
    <row r="1433" spans="1:10" x14ac:dyDescent="0.35">
      <c r="A1433">
        <v>1417</v>
      </c>
      <c r="B1433" s="75">
        <v>90.31</v>
      </c>
      <c r="C1433" s="75">
        <v>98.65</v>
      </c>
      <c r="D1433" s="75">
        <v>92.18</v>
      </c>
      <c r="E1433" s="75">
        <v>90.52</v>
      </c>
      <c r="F1433">
        <v>-2506.6800000000003</v>
      </c>
      <c r="G1433">
        <v>-665.4</v>
      </c>
      <c r="H1433">
        <v>1264</v>
      </c>
      <c r="I1433">
        <v>2862.7</v>
      </c>
      <c r="J1433">
        <v>954.61999999999944</v>
      </c>
    </row>
    <row r="1434" spans="1:10" x14ac:dyDescent="0.35">
      <c r="A1434">
        <v>1418</v>
      </c>
      <c r="B1434" s="75">
        <v>88.745400000000004</v>
      </c>
      <c r="C1434" s="75">
        <v>98.378500000000003</v>
      </c>
      <c r="D1434" s="75">
        <v>91.987099999999998</v>
      </c>
      <c r="E1434" s="75">
        <v>96.238299999999995</v>
      </c>
      <c r="F1434">
        <v>2667.06</v>
      </c>
      <c r="G1434">
        <v>-252.9</v>
      </c>
      <c r="H1434">
        <v>1658</v>
      </c>
      <c r="I1434">
        <v>-2857.7</v>
      </c>
      <c r="J1434">
        <v>1214.46</v>
      </c>
    </row>
    <row r="1435" spans="1:10" x14ac:dyDescent="0.35">
      <c r="A1435">
        <v>1419</v>
      </c>
      <c r="B1435" s="75">
        <v>89.22</v>
      </c>
      <c r="C1435" s="75">
        <v>97.82</v>
      </c>
      <c r="D1435" s="75">
        <v>92.45</v>
      </c>
      <c r="E1435" s="75">
        <v>93.81</v>
      </c>
      <c r="F1435">
        <v>1112.43</v>
      </c>
      <c r="G1435">
        <v>587.54999999999995</v>
      </c>
      <c r="H1435">
        <v>741.80000000000007</v>
      </c>
      <c r="I1435">
        <v>-424.9</v>
      </c>
      <c r="J1435">
        <v>2016.88</v>
      </c>
    </row>
    <row r="1436" spans="1:10" x14ac:dyDescent="0.35">
      <c r="A1436">
        <v>1420</v>
      </c>
      <c r="B1436" s="75">
        <v>89.259500000000003</v>
      </c>
      <c r="C1436" s="75">
        <v>97.788300000000007</v>
      </c>
      <c r="D1436" s="75">
        <v>91.878699999999995</v>
      </c>
      <c r="E1436" s="75">
        <v>95.304900000000004</v>
      </c>
      <c r="F1436">
        <v>970.52999999999986</v>
      </c>
      <c r="G1436">
        <v>632.4</v>
      </c>
      <c r="H1436">
        <v>1874.8</v>
      </c>
      <c r="I1436">
        <v>-1924.3</v>
      </c>
      <c r="J1436">
        <v>1553.4299999999996</v>
      </c>
    </row>
    <row r="1437" spans="1:10" x14ac:dyDescent="0.35">
      <c r="A1437">
        <v>1421</v>
      </c>
      <c r="B1437" s="75">
        <v>90.17</v>
      </c>
      <c r="C1437" s="75">
        <v>97.48</v>
      </c>
      <c r="D1437" s="75">
        <v>94.11</v>
      </c>
      <c r="E1437" s="75">
        <v>94.98</v>
      </c>
      <c r="F1437">
        <v>-2036.76</v>
      </c>
      <c r="G1437">
        <v>1092.75</v>
      </c>
      <c r="H1437">
        <v>-2580.6</v>
      </c>
      <c r="I1437">
        <v>-1594.4</v>
      </c>
      <c r="J1437">
        <v>-5119.01</v>
      </c>
    </row>
    <row r="1438" spans="1:10" x14ac:dyDescent="0.35">
      <c r="A1438">
        <v>1422</v>
      </c>
      <c r="B1438" s="75">
        <v>89.668000000000006</v>
      </c>
      <c r="C1438" s="75">
        <v>98.258899999999997</v>
      </c>
      <c r="D1438" s="75">
        <v>91.680899999999994</v>
      </c>
      <c r="E1438" s="75">
        <v>94.406000000000006</v>
      </c>
      <c r="F1438">
        <v>-377.52</v>
      </c>
      <c r="G1438">
        <v>-73.5</v>
      </c>
      <c r="H1438">
        <v>2270.4</v>
      </c>
      <c r="I1438">
        <v>-1025.4000000000001</v>
      </c>
      <c r="J1438">
        <v>793.98</v>
      </c>
    </row>
    <row r="1439" spans="1:10" x14ac:dyDescent="0.35">
      <c r="A1439">
        <v>1423</v>
      </c>
      <c r="B1439" s="75">
        <v>89.93</v>
      </c>
      <c r="C1439" s="75">
        <v>98.16</v>
      </c>
      <c r="D1439" s="75">
        <v>90.93</v>
      </c>
      <c r="E1439" s="75">
        <v>94.91</v>
      </c>
      <c r="F1439">
        <v>-1227.93</v>
      </c>
      <c r="G1439">
        <v>69.3</v>
      </c>
      <c r="H1439">
        <v>3763.2</v>
      </c>
      <c r="I1439">
        <v>-1532.3</v>
      </c>
      <c r="J1439">
        <v>1072.2699999999998</v>
      </c>
    </row>
    <row r="1440" spans="1:10" x14ac:dyDescent="0.35">
      <c r="A1440">
        <v>1424</v>
      </c>
      <c r="B1440" s="75">
        <v>88.414500000000004</v>
      </c>
      <c r="C1440" s="75">
        <v>99.553899999999999</v>
      </c>
      <c r="D1440" s="75">
        <v>92.056799999999996</v>
      </c>
      <c r="E1440" s="75">
        <v>96.243899999999996</v>
      </c>
      <c r="F1440">
        <v>3759.03</v>
      </c>
      <c r="G1440">
        <v>-2016.0000000000002</v>
      </c>
      <c r="H1440">
        <v>1518.6</v>
      </c>
      <c r="I1440">
        <v>-2863.3</v>
      </c>
      <c r="J1440">
        <v>398.32999999999993</v>
      </c>
    </row>
    <row r="1441" spans="1:10" x14ac:dyDescent="0.35">
      <c r="A1441">
        <v>1425</v>
      </c>
      <c r="B1441" s="75">
        <v>89.27</v>
      </c>
      <c r="C1441" s="75">
        <v>98.56</v>
      </c>
      <c r="D1441" s="75">
        <v>93.68</v>
      </c>
      <c r="E1441" s="75">
        <v>91.39</v>
      </c>
      <c r="F1441">
        <v>932.91</v>
      </c>
      <c r="G1441">
        <v>-525.75</v>
      </c>
      <c r="H1441">
        <v>-1719.8</v>
      </c>
      <c r="I1441">
        <v>1994.3</v>
      </c>
      <c r="J1441">
        <v>681.66000000000008</v>
      </c>
    </row>
    <row r="1442" spans="1:10" x14ac:dyDescent="0.35">
      <c r="A1442">
        <v>1426</v>
      </c>
      <c r="B1442" s="75">
        <v>89.834000000000003</v>
      </c>
      <c r="C1442" s="75">
        <v>97.907600000000002</v>
      </c>
      <c r="D1442" s="75">
        <v>91.525800000000004</v>
      </c>
      <c r="E1442" s="75">
        <v>91.481300000000005</v>
      </c>
      <c r="F1442">
        <v>-925.31999999999994</v>
      </c>
      <c r="G1442">
        <v>453.45000000000005</v>
      </c>
      <c r="H1442">
        <v>2580.6</v>
      </c>
      <c r="I1442">
        <v>1899.3</v>
      </c>
      <c r="J1442">
        <v>4008.0299999999997</v>
      </c>
    </row>
    <row r="1443" spans="1:10" x14ac:dyDescent="0.35">
      <c r="A1443">
        <v>1427</v>
      </c>
      <c r="B1443" s="75">
        <v>90.25</v>
      </c>
      <c r="C1443" s="75">
        <v>97.51</v>
      </c>
      <c r="D1443" s="75">
        <v>91.57</v>
      </c>
      <c r="E1443" s="75">
        <v>88.37</v>
      </c>
      <c r="F1443">
        <v>-2284.59</v>
      </c>
      <c r="G1443">
        <v>1047</v>
      </c>
      <c r="H1443">
        <v>2484.1999999999998</v>
      </c>
      <c r="I1443">
        <v>5014.8999999999996</v>
      </c>
      <c r="J1443">
        <v>6261.5099999999993</v>
      </c>
    </row>
    <row r="1444" spans="1:10" x14ac:dyDescent="0.35">
      <c r="A1444">
        <v>1428</v>
      </c>
      <c r="B1444" s="75">
        <v>90.365200000000002</v>
      </c>
      <c r="C1444" s="75">
        <v>98.573599999999999</v>
      </c>
      <c r="D1444" s="75">
        <v>90.741100000000003</v>
      </c>
      <c r="E1444" s="75">
        <v>95.015900000000002</v>
      </c>
      <c r="F1444">
        <v>-2678.2799999999997</v>
      </c>
      <c r="G1444">
        <v>-545.55000000000007</v>
      </c>
      <c r="H1444">
        <v>4150</v>
      </c>
      <c r="I1444">
        <v>-1635.3</v>
      </c>
      <c r="J1444">
        <v>-709.12999999999988</v>
      </c>
    </row>
    <row r="1445" spans="1:10" x14ac:dyDescent="0.35">
      <c r="A1445">
        <v>1429</v>
      </c>
      <c r="B1445" s="75">
        <v>90.57</v>
      </c>
      <c r="C1445" s="75">
        <v>99.35</v>
      </c>
      <c r="D1445" s="75">
        <v>93.75</v>
      </c>
      <c r="E1445" s="75">
        <v>89.07</v>
      </c>
      <c r="F1445">
        <v>-3344.55</v>
      </c>
      <c r="G1445">
        <v>-1702.95</v>
      </c>
      <c r="H1445">
        <v>-1869</v>
      </c>
      <c r="I1445">
        <v>4306.8</v>
      </c>
      <c r="J1445">
        <v>-2609.6999999999998</v>
      </c>
    </row>
    <row r="1446" spans="1:10" x14ac:dyDescent="0.35">
      <c r="A1446">
        <v>1430</v>
      </c>
      <c r="B1446" s="75">
        <v>89.769900000000007</v>
      </c>
      <c r="C1446" s="75">
        <v>99.188599999999994</v>
      </c>
      <c r="D1446" s="75">
        <v>93.103899999999996</v>
      </c>
      <c r="E1446" s="75">
        <v>90.922300000000007</v>
      </c>
      <c r="F1446">
        <v>-713.79</v>
      </c>
      <c r="G1446">
        <v>-1468.05</v>
      </c>
      <c r="H1446">
        <v>-575.6</v>
      </c>
      <c r="I1446">
        <v>2458.2999999999997</v>
      </c>
      <c r="J1446">
        <v>-299.14000000000033</v>
      </c>
    </row>
    <row r="1447" spans="1:10" x14ac:dyDescent="0.35">
      <c r="A1447">
        <v>1431</v>
      </c>
      <c r="B1447" s="75">
        <v>89.32</v>
      </c>
      <c r="C1447" s="75">
        <v>98.3</v>
      </c>
      <c r="D1447" s="75">
        <v>92.65</v>
      </c>
      <c r="E1447" s="75">
        <v>94.55</v>
      </c>
      <c r="F1447">
        <v>765.27</v>
      </c>
      <c r="G1447">
        <v>-130.20000000000002</v>
      </c>
      <c r="H1447">
        <v>327.2</v>
      </c>
      <c r="I1447">
        <v>-1167.1000000000001</v>
      </c>
      <c r="J1447">
        <v>-204.83000000000015</v>
      </c>
    </row>
    <row r="1448" spans="1:10" x14ac:dyDescent="0.35">
      <c r="A1448">
        <v>1432</v>
      </c>
      <c r="B1448" s="75">
        <v>89.439099999999996</v>
      </c>
      <c r="C1448" s="75">
        <v>97.614099999999993</v>
      </c>
      <c r="D1448" s="75">
        <v>93.425200000000004</v>
      </c>
      <c r="E1448" s="75">
        <v>95.592500000000001</v>
      </c>
      <c r="F1448">
        <v>377.85</v>
      </c>
      <c r="G1448">
        <v>893.7</v>
      </c>
      <c r="H1448">
        <v>-1218.2</v>
      </c>
      <c r="I1448">
        <v>-2211.9</v>
      </c>
      <c r="J1448">
        <v>-2158.5500000000002</v>
      </c>
    </row>
    <row r="1449" spans="1:10" x14ac:dyDescent="0.35">
      <c r="A1449">
        <v>1433</v>
      </c>
      <c r="B1449" s="75">
        <v>90.11</v>
      </c>
      <c r="C1449" s="75">
        <v>98.11</v>
      </c>
      <c r="D1449" s="75">
        <v>93.25</v>
      </c>
      <c r="E1449" s="75">
        <v>91.81</v>
      </c>
      <c r="F1449">
        <v>-1841.4</v>
      </c>
      <c r="G1449">
        <v>153.6</v>
      </c>
      <c r="H1449">
        <v>-861.19999999999993</v>
      </c>
      <c r="I1449">
        <v>1566.1000000000001</v>
      </c>
      <c r="J1449">
        <v>-982.89999999999986</v>
      </c>
    </row>
    <row r="1450" spans="1:10" x14ac:dyDescent="0.35">
      <c r="A1450">
        <v>1434</v>
      </c>
      <c r="B1450" s="75">
        <v>89.372500000000002</v>
      </c>
      <c r="C1450" s="75">
        <v>99.079899999999995</v>
      </c>
      <c r="D1450" s="75">
        <v>93.044200000000004</v>
      </c>
      <c r="E1450" s="75">
        <v>90.539599999999993</v>
      </c>
      <c r="F1450">
        <v>597.63</v>
      </c>
      <c r="G1450">
        <v>-1305</v>
      </c>
      <c r="H1450">
        <v>-456.2</v>
      </c>
      <c r="I1450">
        <v>2841</v>
      </c>
      <c r="J1450">
        <v>1677.43</v>
      </c>
    </row>
    <row r="1451" spans="1:10" x14ac:dyDescent="0.35">
      <c r="A1451">
        <v>1435</v>
      </c>
      <c r="B1451" s="75">
        <v>90.63</v>
      </c>
      <c r="C1451" s="75">
        <v>99.05</v>
      </c>
      <c r="D1451" s="75">
        <v>92.69</v>
      </c>
      <c r="E1451" s="75">
        <v>94.49</v>
      </c>
      <c r="F1451">
        <v>-3546.18</v>
      </c>
      <c r="G1451">
        <v>-1259.25</v>
      </c>
      <c r="H1451">
        <v>257.2</v>
      </c>
      <c r="I1451">
        <v>-1104.5</v>
      </c>
      <c r="J1451">
        <v>-5652.7300000000005</v>
      </c>
    </row>
    <row r="1452" spans="1:10" x14ac:dyDescent="0.35">
      <c r="A1452">
        <v>1436</v>
      </c>
      <c r="B1452" s="75">
        <v>89.340100000000007</v>
      </c>
      <c r="C1452" s="75">
        <v>98.275499999999994</v>
      </c>
      <c r="D1452" s="75">
        <v>93.432599999999994</v>
      </c>
      <c r="E1452" s="75">
        <v>97.118300000000005</v>
      </c>
      <c r="F1452">
        <v>704.55</v>
      </c>
      <c r="G1452">
        <v>-98.4</v>
      </c>
      <c r="H1452">
        <v>-1233</v>
      </c>
      <c r="I1452">
        <v>-3737.7</v>
      </c>
      <c r="J1452">
        <v>-4364.55</v>
      </c>
    </row>
    <row r="1453" spans="1:10" x14ac:dyDescent="0.35">
      <c r="A1453">
        <v>1437</v>
      </c>
      <c r="B1453" s="75">
        <v>89.57</v>
      </c>
      <c r="C1453" s="75">
        <v>99.81</v>
      </c>
      <c r="D1453" s="75">
        <v>92.12</v>
      </c>
      <c r="E1453" s="75">
        <v>92.91</v>
      </c>
      <c r="F1453">
        <v>-60.72</v>
      </c>
      <c r="G1453">
        <v>-2404.9499999999998</v>
      </c>
      <c r="H1453">
        <v>1390.2</v>
      </c>
      <c r="I1453">
        <v>473.7</v>
      </c>
      <c r="J1453">
        <v>-601.76999999999953</v>
      </c>
    </row>
    <row r="1454" spans="1:10" x14ac:dyDescent="0.35">
      <c r="A1454">
        <v>1438</v>
      </c>
      <c r="B1454" s="75">
        <v>89.736900000000006</v>
      </c>
      <c r="C1454" s="75">
        <v>98.691900000000004</v>
      </c>
      <c r="D1454" s="75">
        <v>91.1648</v>
      </c>
      <c r="E1454" s="75">
        <v>95.221699999999998</v>
      </c>
      <c r="F1454">
        <v>-604.89</v>
      </c>
      <c r="G1454">
        <v>-723</v>
      </c>
      <c r="H1454">
        <v>3302.6</v>
      </c>
      <c r="I1454">
        <v>-1841.1</v>
      </c>
      <c r="J1454">
        <v>133.61000000000013</v>
      </c>
    </row>
    <row r="1455" spans="1:10" x14ac:dyDescent="0.35">
      <c r="A1455">
        <v>1439</v>
      </c>
      <c r="B1455" s="75">
        <v>89.49</v>
      </c>
      <c r="C1455" s="75">
        <v>99.23</v>
      </c>
      <c r="D1455" s="75">
        <v>93.22</v>
      </c>
      <c r="E1455" s="75">
        <v>97.07</v>
      </c>
      <c r="F1455">
        <v>219.78000000000003</v>
      </c>
      <c r="G1455">
        <v>-1527</v>
      </c>
      <c r="H1455">
        <v>-811.6</v>
      </c>
      <c r="I1455">
        <v>-3686.4</v>
      </c>
      <c r="J1455">
        <v>-5805.22</v>
      </c>
    </row>
    <row r="1456" spans="1:10" x14ac:dyDescent="0.35">
      <c r="A1456">
        <v>1440</v>
      </c>
      <c r="B1456" s="75">
        <v>90.102400000000003</v>
      </c>
      <c r="C1456" s="75">
        <v>97.625799999999998</v>
      </c>
      <c r="D1456" s="75">
        <v>93.4161</v>
      </c>
      <c r="E1456" s="75">
        <v>91.578800000000001</v>
      </c>
      <c r="F1456">
        <v>-1811.04</v>
      </c>
      <c r="G1456">
        <v>876.15</v>
      </c>
      <c r="H1456">
        <v>-1200</v>
      </c>
      <c r="I1456">
        <v>1801.8000000000002</v>
      </c>
      <c r="J1456">
        <v>-333.08999999999969</v>
      </c>
    </row>
    <row r="1457" spans="1:10" x14ac:dyDescent="0.35">
      <c r="A1457">
        <v>1441</v>
      </c>
      <c r="B1457" s="75">
        <v>89.56</v>
      </c>
      <c r="C1457" s="75">
        <v>97.29</v>
      </c>
      <c r="D1457" s="75">
        <v>92.96</v>
      </c>
      <c r="E1457" s="75">
        <v>91.82</v>
      </c>
      <c r="F1457">
        <v>-9.24</v>
      </c>
      <c r="G1457">
        <v>1377.6</v>
      </c>
      <c r="H1457">
        <v>-293.8</v>
      </c>
      <c r="I1457">
        <v>1556.7</v>
      </c>
      <c r="J1457">
        <v>2631.26</v>
      </c>
    </row>
    <row r="1458" spans="1:10" x14ac:dyDescent="0.35">
      <c r="A1458">
        <v>1442</v>
      </c>
      <c r="B1458" s="75">
        <v>89.429000000000002</v>
      </c>
      <c r="C1458" s="75">
        <v>97.251599999999996</v>
      </c>
      <c r="D1458" s="75">
        <v>94.046499999999995</v>
      </c>
      <c r="E1458" s="75">
        <v>93.491900000000001</v>
      </c>
      <c r="F1458">
        <v>411.18</v>
      </c>
      <c r="G1458">
        <v>1437.45</v>
      </c>
      <c r="H1458">
        <v>-2460.7999999999997</v>
      </c>
      <c r="I1458">
        <v>-111.3</v>
      </c>
      <c r="J1458">
        <v>-723.46999999999957</v>
      </c>
    </row>
    <row r="1459" spans="1:10" x14ac:dyDescent="0.35">
      <c r="A1459">
        <v>1443</v>
      </c>
      <c r="B1459" s="75">
        <v>89.67</v>
      </c>
      <c r="C1459" s="75">
        <v>98.86</v>
      </c>
      <c r="D1459" s="75">
        <v>92.47</v>
      </c>
      <c r="E1459" s="75">
        <v>93.63</v>
      </c>
      <c r="F1459">
        <v>-372.90000000000003</v>
      </c>
      <c r="G1459">
        <v>-969</v>
      </c>
      <c r="H1459">
        <v>686.2</v>
      </c>
      <c r="I1459">
        <v>-244.5</v>
      </c>
      <c r="J1459">
        <v>-900.2</v>
      </c>
    </row>
    <row r="1460" spans="1:10" x14ac:dyDescent="0.35">
      <c r="A1460">
        <v>1444</v>
      </c>
      <c r="B1460" s="75">
        <v>90.364900000000006</v>
      </c>
      <c r="C1460" s="75">
        <v>99.350200000000001</v>
      </c>
      <c r="D1460" s="75">
        <v>92.273399999999995</v>
      </c>
      <c r="E1460" s="75">
        <v>96.169600000000003</v>
      </c>
      <c r="F1460">
        <v>-2677.29</v>
      </c>
      <c r="G1460">
        <v>-1710.45</v>
      </c>
      <c r="H1460">
        <v>1085.3999999999999</v>
      </c>
      <c r="I1460">
        <v>-2789</v>
      </c>
      <c r="J1460">
        <v>-6091.34</v>
      </c>
    </row>
    <row r="1461" spans="1:10" x14ac:dyDescent="0.35">
      <c r="A1461">
        <v>1445</v>
      </c>
      <c r="B1461" s="75">
        <v>89.63</v>
      </c>
      <c r="C1461" s="75">
        <v>99.48</v>
      </c>
      <c r="D1461" s="75">
        <v>92.2</v>
      </c>
      <c r="E1461" s="75">
        <v>95.97</v>
      </c>
      <c r="F1461">
        <v>-235.62</v>
      </c>
      <c r="G1461">
        <v>-1897.6499999999999</v>
      </c>
      <c r="H1461">
        <v>1225.2</v>
      </c>
      <c r="I1461">
        <v>-2587.1</v>
      </c>
      <c r="J1461">
        <v>-3495.17</v>
      </c>
    </row>
    <row r="1462" spans="1:10" x14ac:dyDescent="0.35">
      <c r="A1462">
        <v>1446</v>
      </c>
      <c r="B1462" s="75">
        <v>89.614900000000006</v>
      </c>
      <c r="C1462" s="75">
        <v>97.961399999999998</v>
      </c>
      <c r="D1462" s="75">
        <v>94.790400000000005</v>
      </c>
      <c r="E1462" s="75">
        <v>94.273600000000002</v>
      </c>
      <c r="F1462">
        <v>-202.29</v>
      </c>
      <c r="G1462">
        <v>372.75</v>
      </c>
      <c r="H1462">
        <v>-3948.6</v>
      </c>
      <c r="I1462">
        <v>-893</v>
      </c>
      <c r="J1462">
        <v>-4671.1399999999994</v>
      </c>
    </row>
    <row r="1463" spans="1:10" x14ac:dyDescent="0.35">
      <c r="A1463">
        <v>1447</v>
      </c>
      <c r="B1463" s="75">
        <v>89.89</v>
      </c>
      <c r="C1463" s="75">
        <v>98.19</v>
      </c>
      <c r="D1463" s="75">
        <v>90.78</v>
      </c>
      <c r="E1463" s="75">
        <v>94.8</v>
      </c>
      <c r="F1463">
        <v>-1114.08</v>
      </c>
      <c r="G1463">
        <v>34.65</v>
      </c>
      <c r="H1463">
        <v>4077.2000000000003</v>
      </c>
      <c r="I1463">
        <v>-1416.8</v>
      </c>
      <c r="J1463">
        <v>1580.9700000000005</v>
      </c>
    </row>
    <row r="1464" spans="1:10" x14ac:dyDescent="0.35">
      <c r="A1464">
        <v>1448</v>
      </c>
      <c r="B1464" s="75">
        <v>89.513800000000003</v>
      </c>
      <c r="C1464" s="75">
        <v>97.727699999999999</v>
      </c>
      <c r="D1464" s="75">
        <v>91.766999999999996</v>
      </c>
      <c r="E1464" s="75">
        <v>91.496099999999998</v>
      </c>
      <c r="F1464">
        <v>131.34</v>
      </c>
      <c r="G1464">
        <v>723.30000000000007</v>
      </c>
      <c r="H1464">
        <v>2098.1999999999998</v>
      </c>
      <c r="I1464">
        <v>1884.5</v>
      </c>
      <c r="J1464">
        <v>4837.34</v>
      </c>
    </row>
    <row r="1465" spans="1:10" x14ac:dyDescent="0.35">
      <c r="A1465">
        <v>1449</v>
      </c>
      <c r="B1465" s="75">
        <v>89.32</v>
      </c>
      <c r="C1465" s="75">
        <v>99.72</v>
      </c>
      <c r="D1465" s="75">
        <v>91.33</v>
      </c>
      <c r="E1465" s="75">
        <v>94.01</v>
      </c>
      <c r="F1465">
        <v>760.65000000000009</v>
      </c>
      <c r="G1465">
        <v>-2264.85</v>
      </c>
      <c r="H1465">
        <v>2980.4</v>
      </c>
      <c r="I1465">
        <v>-633.1</v>
      </c>
      <c r="J1465">
        <v>843.10000000000025</v>
      </c>
    </row>
    <row r="1466" spans="1:10" x14ac:dyDescent="0.35">
      <c r="A1466">
        <v>1450</v>
      </c>
      <c r="B1466" s="75">
        <v>90.397000000000006</v>
      </c>
      <c r="C1466" s="75">
        <v>98.694000000000003</v>
      </c>
      <c r="D1466" s="75">
        <v>92.165700000000001</v>
      </c>
      <c r="E1466" s="75">
        <v>92.997500000000002</v>
      </c>
      <c r="F1466">
        <v>-2783.2200000000003</v>
      </c>
      <c r="G1466">
        <v>-726.15</v>
      </c>
      <c r="H1466">
        <v>1300.8</v>
      </c>
      <c r="I1466">
        <v>383.1</v>
      </c>
      <c r="J1466">
        <v>-1825.4700000000007</v>
      </c>
    </row>
    <row r="1467" spans="1:10" x14ac:dyDescent="0.35">
      <c r="A1467">
        <v>1451</v>
      </c>
      <c r="B1467" s="75">
        <v>90.11</v>
      </c>
      <c r="C1467" s="75">
        <v>98.26</v>
      </c>
      <c r="D1467" s="75">
        <v>92.79</v>
      </c>
      <c r="E1467" s="75">
        <v>93.55</v>
      </c>
      <c r="F1467">
        <v>-1849.98</v>
      </c>
      <c r="G1467">
        <v>-79.2</v>
      </c>
      <c r="H1467">
        <v>46.199999999999996</v>
      </c>
      <c r="I1467">
        <v>-172.8</v>
      </c>
      <c r="J1467">
        <v>-2055.7800000000002</v>
      </c>
    </row>
    <row r="1468" spans="1:10" x14ac:dyDescent="0.35">
      <c r="A1468">
        <v>1452</v>
      </c>
      <c r="B1468" s="75">
        <v>89.797899999999998</v>
      </c>
      <c r="C1468" s="75">
        <v>98.824600000000004</v>
      </c>
      <c r="D1468" s="75">
        <v>91.982299999999995</v>
      </c>
      <c r="E1468" s="75">
        <v>91.871200000000002</v>
      </c>
      <c r="F1468">
        <v>-806.18999999999994</v>
      </c>
      <c r="G1468">
        <v>-922.05000000000007</v>
      </c>
      <c r="H1468">
        <v>1667.6</v>
      </c>
      <c r="I1468">
        <v>1509.4</v>
      </c>
      <c r="J1468">
        <v>1448.76</v>
      </c>
    </row>
    <row r="1469" spans="1:10" x14ac:dyDescent="0.35">
      <c r="A1469">
        <v>1453</v>
      </c>
      <c r="B1469" s="75">
        <v>89.05</v>
      </c>
      <c r="C1469" s="75">
        <v>97.35</v>
      </c>
      <c r="D1469" s="75">
        <v>95.89</v>
      </c>
      <c r="E1469" s="75">
        <v>93.49</v>
      </c>
      <c r="F1469">
        <v>1670.1299999999999</v>
      </c>
      <c r="G1469">
        <v>1294.3499999999999</v>
      </c>
      <c r="H1469">
        <v>-6156.4</v>
      </c>
      <c r="I1469">
        <v>-114.1</v>
      </c>
      <c r="J1469">
        <v>-3306.02</v>
      </c>
    </row>
    <row r="1470" spans="1:10" x14ac:dyDescent="0.35">
      <c r="A1470">
        <v>1454</v>
      </c>
      <c r="B1470" s="75">
        <v>89.926100000000005</v>
      </c>
      <c r="C1470" s="75">
        <v>97.479799999999997</v>
      </c>
      <c r="D1470" s="75">
        <v>92.387600000000006</v>
      </c>
      <c r="E1470" s="75">
        <v>89.966700000000003</v>
      </c>
      <c r="F1470">
        <v>-1229.25</v>
      </c>
      <c r="G1470">
        <v>1095.1499999999999</v>
      </c>
      <c r="H1470">
        <v>857</v>
      </c>
      <c r="I1470">
        <v>3413.9</v>
      </c>
      <c r="J1470">
        <v>4136.8</v>
      </c>
    </row>
    <row r="1471" spans="1:10" x14ac:dyDescent="0.35">
      <c r="A1471">
        <v>1455</v>
      </c>
      <c r="B1471" s="75">
        <v>90.17</v>
      </c>
      <c r="C1471" s="75">
        <v>99.66</v>
      </c>
      <c r="D1471" s="75">
        <v>92.92</v>
      </c>
      <c r="E1471" s="75">
        <v>93.57</v>
      </c>
      <c r="F1471">
        <v>-2019.6</v>
      </c>
      <c r="G1471">
        <v>-2175.8999999999996</v>
      </c>
      <c r="H1471">
        <v>-198.6</v>
      </c>
      <c r="I1471">
        <v>-188.6</v>
      </c>
      <c r="J1471">
        <v>-4582.7000000000007</v>
      </c>
    </row>
    <row r="1472" spans="1:10" x14ac:dyDescent="0.35">
      <c r="A1472">
        <v>1456</v>
      </c>
      <c r="B1472" s="75">
        <v>89.024900000000002</v>
      </c>
      <c r="C1472" s="75">
        <v>97.682500000000005</v>
      </c>
      <c r="D1472" s="75">
        <v>93.400999999999996</v>
      </c>
      <c r="E1472" s="75">
        <v>93.494299999999996</v>
      </c>
      <c r="F1472">
        <v>1744.7099999999998</v>
      </c>
      <c r="G1472">
        <v>791.1</v>
      </c>
      <c r="H1472">
        <v>-1169.8</v>
      </c>
      <c r="I1472">
        <v>-113.69999999999999</v>
      </c>
      <c r="J1472">
        <v>1252.31</v>
      </c>
    </row>
    <row r="1473" spans="1:10" x14ac:dyDescent="0.35">
      <c r="A1473">
        <v>1457</v>
      </c>
      <c r="B1473" s="75">
        <v>90.41</v>
      </c>
      <c r="C1473" s="75">
        <v>98.8</v>
      </c>
      <c r="D1473" s="75">
        <v>93.68</v>
      </c>
      <c r="E1473" s="75">
        <v>96.62</v>
      </c>
      <c r="F1473">
        <v>-2835.0299999999997</v>
      </c>
      <c r="G1473">
        <v>-878.84999999999991</v>
      </c>
      <c r="H1473">
        <v>-1735</v>
      </c>
      <c r="I1473">
        <v>-3240.7</v>
      </c>
      <c r="J1473">
        <v>-8689.5799999999981</v>
      </c>
    </row>
    <row r="1474" spans="1:10" x14ac:dyDescent="0.35">
      <c r="A1474">
        <v>1458</v>
      </c>
      <c r="B1474" s="75">
        <v>90.121799999999993</v>
      </c>
      <c r="C1474" s="75">
        <v>98.287099999999995</v>
      </c>
      <c r="D1474" s="75">
        <v>93.546000000000006</v>
      </c>
      <c r="E1474" s="75">
        <v>93.636799999999994</v>
      </c>
      <c r="F1474">
        <v>-1875.0600000000002</v>
      </c>
      <c r="G1474">
        <v>-115.80000000000001</v>
      </c>
      <c r="H1474">
        <v>-1459.8</v>
      </c>
      <c r="I1474">
        <v>-256.2</v>
      </c>
      <c r="J1474">
        <v>-3706.8599999999997</v>
      </c>
    </row>
    <row r="1475" spans="1:10" x14ac:dyDescent="0.35">
      <c r="A1475">
        <v>1459</v>
      </c>
      <c r="B1475" s="75">
        <v>90.63</v>
      </c>
      <c r="C1475" s="75">
        <v>96.32</v>
      </c>
      <c r="D1475" s="75">
        <v>93.28</v>
      </c>
      <c r="E1475" s="75">
        <v>95.63</v>
      </c>
      <c r="F1475">
        <v>-3557.73</v>
      </c>
      <c r="G1475">
        <v>2835.75</v>
      </c>
      <c r="H1475">
        <v>-935.4</v>
      </c>
      <c r="I1475">
        <v>-2247.6999999999998</v>
      </c>
      <c r="J1475">
        <v>-3905.08</v>
      </c>
    </row>
    <row r="1476" spans="1:10" x14ac:dyDescent="0.35">
      <c r="A1476">
        <v>1460</v>
      </c>
      <c r="B1476" s="75">
        <v>89.534499999999994</v>
      </c>
      <c r="C1476" s="75">
        <v>98.246399999999994</v>
      </c>
      <c r="D1476" s="75">
        <v>92.876099999999994</v>
      </c>
      <c r="E1476" s="75">
        <v>92.579800000000006</v>
      </c>
      <c r="F1476">
        <v>63.029999999999994</v>
      </c>
      <c r="G1476">
        <v>-54.75</v>
      </c>
      <c r="H1476">
        <v>-120</v>
      </c>
      <c r="I1476">
        <v>800.8</v>
      </c>
      <c r="J1476">
        <v>689.07999999999993</v>
      </c>
    </row>
    <row r="1477" spans="1:10" x14ac:dyDescent="0.35">
      <c r="A1477">
        <v>1461</v>
      </c>
      <c r="B1477" s="75">
        <v>89.76</v>
      </c>
      <c r="C1477" s="75">
        <v>98.18</v>
      </c>
      <c r="D1477" s="75">
        <v>93.18</v>
      </c>
      <c r="E1477" s="75">
        <v>96.26</v>
      </c>
      <c r="F1477">
        <v>-672.54000000000008</v>
      </c>
      <c r="G1477">
        <v>44.85</v>
      </c>
      <c r="H1477">
        <v>-721.19999999999993</v>
      </c>
      <c r="I1477">
        <v>-2881</v>
      </c>
      <c r="J1477">
        <v>-4229.8899999999994</v>
      </c>
    </row>
    <row r="1478" spans="1:10" x14ac:dyDescent="0.35">
      <c r="A1478">
        <v>1462</v>
      </c>
      <c r="B1478" s="75">
        <v>90.532799999999995</v>
      </c>
      <c r="C1478" s="75">
        <v>98.442400000000006</v>
      </c>
      <c r="D1478" s="75">
        <v>92.456299999999999</v>
      </c>
      <c r="E1478" s="75">
        <v>90.839600000000004</v>
      </c>
      <c r="F1478">
        <v>-3231.3599999999997</v>
      </c>
      <c r="G1478">
        <v>-348.75</v>
      </c>
      <c r="H1478">
        <v>719.6</v>
      </c>
      <c r="I1478">
        <v>2541</v>
      </c>
      <c r="J1478">
        <v>-319.50999999999976</v>
      </c>
    </row>
    <row r="1479" spans="1:10" x14ac:dyDescent="0.35">
      <c r="A1479">
        <v>1463</v>
      </c>
      <c r="B1479" s="75">
        <v>90.22</v>
      </c>
      <c r="C1479" s="75">
        <v>96.63</v>
      </c>
      <c r="D1479" s="75">
        <v>91.17</v>
      </c>
      <c r="E1479" s="75">
        <v>96.54</v>
      </c>
      <c r="F1479">
        <v>-2206.38</v>
      </c>
      <c r="G1479">
        <v>2367.15</v>
      </c>
      <c r="H1479">
        <v>3290.4</v>
      </c>
      <c r="I1479">
        <v>-3161.7999999999997</v>
      </c>
      <c r="J1479">
        <v>289.37000000000035</v>
      </c>
    </row>
    <row r="1480" spans="1:10" x14ac:dyDescent="0.35">
      <c r="A1480">
        <v>1464</v>
      </c>
      <c r="B1480" s="75">
        <v>89.605599999999995</v>
      </c>
      <c r="C1480" s="75">
        <v>98.691500000000005</v>
      </c>
      <c r="D1480" s="75">
        <v>92.704700000000003</v>
      </c>
      <c r="E1480" s="75">
        <v>91.575199999999995</v>
      </c>
      <c r="F1480">
        <v>-171.6</v>
      </c>
      <c r="G1480">
        <v>-722.4</v>
      </c>
      <c r="H1480">
        <v>222.8</v>
      </c>
      <c r="I1480">
        <v>1805.3999999999999</v>
      </c>
      <c r="J1480">
        <v>1134.1999999999998</v>
      </c>
    </row>
    <row r="1481" spans="1:10" x14ac:dyDescent="0.35">
      <c r="A1481">
        <v>1465</v>
      </c>
      <c r="B1481" s="75">
        <v>89.88</v>
      </c>
      <c r="C1481" s="75">
        <v>98.47</v>
      </c>
      <c r="D1481" s="75">
        <v>92.89</v>
      </c>
      <c r="E1481" s="75">
        <v>93.67</v>
      </c>
      <c r="F1481">
        <v>-1086.03</v>
      </c>
      <c r="G1481">
        <v>-383.70000000000005</v>
      </c>
      <c r="H1481">
        <v>-152.79999999999998</v>
      </c>
      <c r="I1481">
        <v>-290</v>
      </c>
      <c r="J1481">
        <v>-1912.53</v>
      </c>
    </row>
    <row r="1482" spans="1:10" x14ac:dyDescent="0.35">
      <c r="A1482">
        <v>1466</v>
      </c>
      <c r="B1482" s="75">
        <v>88.816100000000006</v>
      </c>
      <c r="C1482" s="75">
        <v>97.774000000000001</v>
      </c>
      <c r="D1482" s="75">
        <v>93.292199999999994</v>
      </c>
      <c r="E1482" s="75">
        <v>92.453699999999998</v>
      </c>
      <c r="F1482">
        <v>2433.75</v>
      </c>
      <c r="G1482">
        <v>653.85</v>
      </c>
      <c r="H1482">
        <v>-952.2</v>
      </c>
      <c r="I1482">
        <v>926.9</v>
      </c>
      <c r="J1482">
        <v>3062.2999999999997</v>
      </c>
    </row>
    <row r="1483" spans="1:10" x14ac:dyDescent="0.35">
      <c r="A1483">
        <v>1467</v>
      </c>
      <c r="B1483" s="75">
        <v>88.9</v>
      </c>
      <c r="C1483" s="75">
        <v>97.85</v>
      </c>
      <c r="D1483" s="75">
        <v>93.3</v>
      </c>
      <c r="E1483" s="75">
        <v>89.76</v>
      </c>
      <c r="F1483">
        <v>2155.56</v>
      </c>
      <c r="G1483">
        <v>546.75</v>
      </c>
      <c r="H1483">
        <v>-969.8</v>
      </c>
      <c r="I1483">
        <v>3617.4</v>
      </c>
      <c r="J1483">
        <v>5349.91</v>
      </c>
    </row>
    <row r="1484" spans="1:10" x14ac:dyDescent="0.35">
      <c r="A1484">
        <v>1468</v>
      </c>
      <c r="B1484" s="75">
        <v>89.426900000000003</v>
      </c>
      <c r="C1484" s="75">
        <v>97.799199999999999</v>
      </c>
      <c r="D1484" s="75">
        <v>92.397499999999994</v>
      </c>
      <c r="E1484" s="75">
        <v>96.365300000000005</v>
      </c>
      <c r="F1484">
        <v>418.11</v>
      </c>
      <c r="G1484">
        <v>616.05000000000007</v>
      </c>
      <c r="H1484">
        <v>837.2</v>
      </c>
      <c r="I1484">
        <v>-2984.7000000000003</v>
      </c>
      <c r="J1484">
        <v>-1113.3400000000001</v>
      </c>
    </row>
    <row r="1485" spans="1:10" x14ac:dyDescent="0.35">
      <c r="A1485">
        <v>1469</v>
      </c>
      <c r="B1485" s="75">
        <v>90.44</v>
      </c>
      <c r="C1485" s="75">
        <v>97.23</v>
      </c>
      <c r="D1485" s="75">
        <v>91.42</v>
      </c>
      <c r="E1485" s="75">
        <v>94.57</v>
      </c>
      <c r="F1485">
        <v>-2920.83</v>
      </c>
      <c r="G1485">
        <v>1465.9499999999998</v>
      </c>
      <c r="H1485">
        <v>2801.2000000000003</v>
      </c>
      <c r="I1485">
        <v>-1189.1000000000001</v>
      </c>
      <c r="J1485">
        <v>157.22000000000003</v>
      </c>
    </row>
    <row r="1486" spans="1:10" x14ac:dyDescent="0.35">
      <c r="A1486">
        <v>1470</v>
      </c>
      <c r="B1486" s="75">
        <v>90.198999999999998</v>
      </c>
      <c r="C1486" s="75">
        <v>98.287499999999994</v>
      </c>
      <c r="D1486" s="75">
        <v>90.590800000000002</v>
      </c>
      <c r="E1486" s="75">
        <v>93.412599999999998</v>
      </c>
      <c r="F1486">
        <v>-2129.8199999999997</v>
      </c>
      <c r="G1486">
        <v>-116.4</v>
      </c>
      <c r="H1486">
        <v>4450.5999999999995</v>
      </c>
      <c r="I1486">
        <v>-32</v>
      </c>
      <c r="J1486">
        <v>2172.3799999999997</v>
      </c>
    </row>
    <row r="1487" spans="1:10" x14ac:dyDescent="0.35">
      <c r="A1487">
        <v>1471</v>
      </c>
      <c r="B1487" s="75">
        <v>88.61</v>
      </c>
      <c r="C1487" s="75">
        <v>98.61</v>
      </c>
      <c r="D1487" s="75">
        <v>94.01</v>
      </c>
      <c r="E1487" s="75">
        <v>91.55</v>
      </c>
      <c r="F1487">
        <v>3129.06</v>
      </c>
      <c r="G1487">
        <v>-606</v>
      </c>
      <c r="H1487">
        <v>-2392.3999999999996</v>
      </c>
      <c r="I1487">
        <v>1829.3999999999999</v>
      </c>
      <c r="J1487">
        <v>1960.0600000000002</v>
      </c>
    </row>
    <row r="1488" spans="1:10" x14ac:dyDescent="0.35">
      <c r="A1488">
        <v>1472</v>
      </c>
      <c r="B1488" s="75">
        <v>89.508600000000001</v>
      </c>
      <c r="C1488" s="75">
        <v>98.078800000000001</v>
      </c>
      <c r="D1488" s="75">
        <v>92.805199999999999</v>
      </c>
      <c r="E1488" s="75">
        <v>94.489000000000004</v>
      </c>
      <c r="F1488">
        <v>148.5</v>
      </c>
      <c r="G1488">
        <v>196.64999999999998</v>
      </c>
      <c r="H1488">
        <v>21.8</v>
      </c>
      <c r="I1488">
        <v>-1108.4000000000001</v>
      </c>
      <c r="J1488">
        <v>-741.45</v>
      </c>
    </row>
    <row r="1489" spans="1:10" x14ac:dyDescent="0.35">
      <c r="A1489">
        <v>1473</v>
      </c>
      <c r="B1489" s="75">
        <v>90.15</v>
      </c>
      <c r="C1489" s="75">
        <v>98.7</v>
      </c>
      <c r="D1489" s="75">
        <v>92.98</v>
      </c>
      <c r="E1489" s="75">
        <v>91.15</v>
      </c>
      <c r="F1489">
        <v>-1965.15</v>
      </c>
      <c r="G1489">
        <v>-734.4</v>
      </c>
      <c r="H1489">
        <v>-332.2</v>
      </c>
      <c r="I1489">
        <v>2225.8000000000002</v>
      </c>
      <c r="J1489">
        <v>-805.94999999999982</v>
      </c>
    </row>
    <row r="1490" spans="1:10" x14ac:dyDescent="0.35">
      <c r="A1490">
        <v>1474</v>
      </c>
      <c r="B1490" s="75">
        <v>89.591700000000003</v>
      </c>
      <c r="C1490" s="75">
        <v>98.539599999999993</v>
      </c>
      <c r="D1490" s="75">
        <v>93.084699999999998</v>
      </c>
      <c r="E1490" s="75">
        <v>93.180999999999997</v>
      </c>
      <c r="F1490">
        <v>-125.73</v>
      </c>
      <c r="G1490">
        <v>-494.55</v>
      </c>
      <c r="H1490">
        <v>-537.20000000000005</v>
      </c>
      <c r="I1490">
        <v>199.6</v>
      </c>
      <c r="J1490">
        <v>-957.88</v>
      </c>
    </row>
    <row r="1491" spans="1:10" x14ac:dyDescent="0.35">
      <c r="A1491">
        <v>1475</v>
      </c>
      <c r="B1491" s="75">
        <v>89.06</v>
      </c>
      <c r="C1491" s="75">
        <v>97.88</v>
      </c>
      <c r="D1491" s="75">
        <v>93.39</v>
      </c>
      <c r="E1491" s="75">
        <v>92.47</v>
      </c>
      <c r="F1491">
        <v>1615.02</v>
      </c>
      <c r="G1491">
        <v>496.05</v>
      </c>
      <c r="H1491">
        <v>-1148.4000000000001</v>
      </c>
      <c r="I1491">
        <v>914.1</v>
      </c>
      <c r="J1491">
        <v>1876.77</v>
      </c>
    </row>
    <row r="1492" spans="1:10" x14ac:dyDescent="0.35">
      <c r="A1492">
        <v>1476</v>
      </c>
      <c r="B1492" s="75">
        <v>88.753900000000002</v>
      </c>
      <c r="C1492" s="75">
        <v>99.239000000000004</v>
      </c>
      <c r="D1492" s="75">
        <v>94.4499</v>
      </c>
      <c r="E1492" s="75">
        <v>91.092100000000002</v>
      </c>
      <c r="F1492">
        <v>2639.0099999999998</v>
      </c>
      <c r="G1492">
        <v>-1543.6499999999999</v>
      </c>
      <c r="H1492">
        <v>-3267.6</v>
      </c>
      <c r="I1492">
        <v>2288.5</v>
      </c>
      <c r="J1492">
        <v>116.26000000000022</v>
      </c>
    </row>
    <row r="1493" spans="1:10" x14ac:dyDescent="0.35">
      <c r="A1493">
        <v>1477</v>
      </c>
      <c r="B1493" s="75">
        <v>89.53</v>
      </c>
      <c r="C1493" s="75">
        <v>99.09</v>
      </c>
      <c r="D1493" s="75">
        <v>93.22</v>
      </c>
      <c r="E1493" s="75">
        <v>93.78</v>
      </c>
      <c r="F1493">
        <v>93.39</v>
      </c>
      <c r="G1493">
        <v>-1325.55</v>
      </c>
      <c r="H1493">
        <v>-805.2</v>
      </c>
      <c r="I1493">
        <v>-397.2</v>
      </c>
      <c r="J1493">
        <v>-2434.56</v>
      </c>
    </row>
    <row r="1494" spans="1:10" x14ac:dyDescent="0.35">
      <c r="A1494">
        <v>1478</v>
      </c>
      <c r="B1494" s="75">
        <v>89.403999999999996</v>
      </c>
      <c r="C1494" s="75">
        <v>98.975999999999999</v>
      </c>
      <c r="D1494" s="75">
        <v>94.352800000000002</v>
      </c>
      <c r="E1494" s="75">
        <v>97.414000000000001</v>
      </c>
      <c r="F1494">
        <v>493.68000000000006</v>
      </c>
      <c r="G1494">
        <v>-1149.1500000000001</v>
      </c>
      <c r="H1494">
        <v>-3073.4</v>
      </c>
      <c r="I1494">
        <v>-4033.4000000000005</v>
      </c>
      <c r="J1494">
        <v>-7762.27</v>
      </c>
    </row>
    <row r="1495" spans="1:10" x14ac:dyDescent="0.35">
      <c r="A1495">
        <v>1479</v>
      </c>
      <c r="B1495" s="75">
        <v>89.54</v>
      </c>
      <c r="C1495" s="75">
        <v>99.69</v>
      </c>
      <c r="D1495" s="75">
        <v>93.49</v>
      </c>
      <c r="E1495" s="75">
        <v>94.93</v>
      </c>
      <c r="F1495">
        <v>41.91</v>
      </c>
      <c r="G1495">
        <v>-2214.15</v>
      </c>
      <c r="H1495">
        <v>-1355</v>
      </c>
      <c r="I1495">
        <v>-1553</v>
      </c>
      <c r="J1495">
        <v>-5080.24</v>
      </c>
    </row>
    <row r="1496" spans="1:10" x14ac:dyDescent="0.35">
      <c r="A1496">
        <v>1480</v>
      </c>
      <c r="B1496" s="75">
        <v>89.846500000000006</v>
      </c>
      <c r="C1496" s="75">
        <v>100.176</v>
      </c>
      <c r="D1496" s="75">
        <v>92.642499999999998</v>
      </c>
      <c r="E1496" s="75">
        <v>89.974100000000007</v>
      </c>
      <c r="F1496">
        <v>-966.56999999999994</v>
      </c>
      <c r="G1496">
        <v>-2949.15</v>
      </c>
      <c r="H1496">
        <v>347.2</v>
      </c>
      <c r="I1496">
        <v>3406.5</v>
      </c>
      <c r="J1496">
        <v>-162.02000000000044</v>
      </c>
    </row>
    <row r="1497" spans="1:10" x14ac:dyDescent="0.35">
      <c r="A1497">
        <v>1481</v>
      </c>
      <c r="B1497" s="75">
        <v>89.36</v>
      </c>
      <c r="C1497" s="75">
        <v>98.13</v>
      </c>
      <c r="D1497" s="75">
        <v>91.57</v>
      </c>
      <c r="E1497" s="75">
        <v>92.77</v>
      </c>
      <c r="F1497">
        <v>637.89</v>
      </c>
      <c r="G1497">
        <v>113.1</v>
      </c>
      <c r="H1497">
        <v>2501.1999999999998</v>
      </c>
      <c r="I1497">
        <v>614.1</v>
      </c>
      <c r="J1497">
        <v>3866.2899999999995</v>
      </c>
    </row>
    <row r="1498" spans="1:10" x14ac:dyDescent="0.35">
      <c r="A1498">
        <v>1482</v>
      </c>
      <c r="B1498" s="75">
        <v>89.519199999999998</v>
      </c>
      <c r="C1498" s="75">
        <v>98.681299999999993</v>
      </c>
      <c r="D1498" s="75">
        <v>93.389499999999998</v>
      </c>
      <c r="E1498" s="75">
        <v>95.055199999999999</v>
      </c>
      <c r="F1498">
        <v>113.52</v>
      </c>
      <c r="G1498">
        <v>-707.1</v>
      </c>
      <c r="H1498">
        <v>-1146.8</v>
      </c>
      <c r="I1498">
        <v>-1674.6000000000001</v>
      </c>
      <c r="J1498">
        <v>-3414.9800000000005</v>
      </c>
    </row>
    <row r="1499" spans="1:10" x14ac:dyDescent="0.35">
      <c r="A1499">
        <v>1483</v>
      </c>
      <c r="B1499" s="75">
        <v>89.47</v>
      </c>
      <c r="C1499" s="75">
        <v>97.55</v>
      </c>
      <c r="D1499" s="75">
        <v>93.7</v>
      </c>
      <c r="E1499" s="75">
        <v>94.86</v>
      </c>
      <c r="F1499">
        <v>265.98</v>
      </c>
      <c r="G1499">
        <v>994.19999999999993</v>
      </c>
      <c r="H1499">
        <v>-1758.8</v>
      </c>
      <c r="I1499">
        <v>-1479.7</v>
      </c>
      <c r="J1499">
        <v>-1978.3200000000002</v>
      </c>
    </row>
    <row r="1500" spans="1:10" x14ac:dyDescent="0.35">
      <c r="A1500">
        <v>1484</v>
      </c>
      <c r="B1500" s="75">
        <v>90.367500000000007</v>
      </c>
      <c r="C1500" s="75">
        <v>97.260099999999994</v>
      </c>
      <c r="D1500" s="75">
        <v>91.189300000000003</v>
      </c>
      <c r="E1500" s="75">
        <v>91.473799999999997</v>
      </c>
      <c r="F1500">
        <v>-2685.87</v>
      </c>
      <c r="G1500">
        <v>1424.7</v>
      </c>
      <c r="H1500">
        <v>3253.6</v>
      </c>
      <c r="I1500">
        <v>1906.8</v>
      </c>
      <c r="J1500">
        <v>3899.23</v>
      </c>
    </row>
    <row r="1501" spans="1:10" x14ac:dyDescent="0.35">
      <c r="A1501">
        <v>1485</v>
      </c>
      <c r="B1501" s="75">
        <v>89.63</v>
      </c>
      <c r="C1501" s="75">
        <v>98.57</v>
      </c>
      <c r="D1501" s="75">
        <v>93.27</v>
      </c>
      <c r="E1501" s="75">
        <v>94.42</v>
      </c>
      <c r="F1501">
        <v>-258.06</v>
      </c>
      <c r="G1501">
        <v>-543.45000000000005</v>
      </c>
      <c r="H1501">
        <v>-910</v>
      </c>
      <c r="I1501">
        <v>-1039</v>
      </c>
      <c r="J1501">
        <v>-2750.51</v>
      </c>
    </row>
    <row r="1502" spans="1:10" x14ac:dyDescent="0.35">
      <c r="A1502">
        <v>1486</v>
      </c>
      <c r="B1502" s="75">
        <v>90.353200000000001</v>
      </c>
      <c r="C1502" s="75">
        <v>100.7593</v>
      </c>
      <c r="D1502" s="75">
        <v>92.582700000000003</v>
      </c>
      <c r="E1502" s="75">
        <v>91.103499999999997</v>
      </c>
      <c r="F1502">
        <v>-2638.68</v>
      </c>
      <c r="G1502">
        <v>-3824.1</v>
      </c>
      <c r="H1502">
        <v>466.8</v>
      </c>
      <c r="I1502">
        <v>2277.1</v>
      </c>
      <c r="J1502">
        <v>-3718.8799999999997</v>
      </c>
    </row>
    <row r="1503" spans="1:10" x14ac:dyDescent="0.35">
      <c r="A1503">
        <v>1487</v>
      </c>
      <c r="B1503" s="75">
        <v>89.11</v>
      </c>
      <c r="C1503" s="75">
        <v>98.03</v>
      </c>
      <c r="D1503" s="75">
        <v>93.79</v>
      </c>
      <c r="E1503" s="75">
        <v>94.11</v>
      </c>
      <c r="F1503">
        <v>1476.75</v>
      </c>
      <c r="G1503">
        <v>264</v>
      </c>
      <c r="H1503">
        <v>-1950</v>
      </c>
      <c r="I1503">
        <v>-728.40000000000009</v>
      </c>
      <c r="J1503">
        <v>-937.65000000000009</v>
      </c>
    </row>
    <row r="1504" spans="1:10" x14ac:dyDescent="0.35">
      <c r="A1504">
        <v>1488</v>
      </c>
      <c r="B1504" s="75">
        <v>90.005200000000002</v>
      </c>
      <c r="C1504" s="75">
        <v>97.813599999999994</v>
      </c>
      <c r="D1504" s="75">
        <v>91.744600000000005</v>
      </c>
      <c r="E1504" s="75">
        <v>93.617500000000007</v>
      </c>
      <c r="F1504">
        <v>-1490.28</v>
      </c>
      <c r="G1504">
        <v>594.44999999999993</v>
      </c>
      <c r="H1504">
        <v>2143</v>
      </c>
      <c r="I1504">
        <v>-236.9</v>
      </c>
      <c r="J1504">
        <v>1010.2700000000001</v>
      </c>
    </row>
    <row r="1505" spans="1:10" x14ac:dyDescent="0.35">
      <c r="A1505">
        <v>1489</v>
      </c>
      <c r="B1505" s="75">
        <v>89.89</v>
      </c>
      <c r="C1505" s="75">
        <v>98.34</v>
      </c>
      <c r="D1505" s="75">
        <v>91.52</v>
      </c>
      <c r="E1505" s="75">
        <v>90.67</v>
      </c>
      <c r="F1505">
        <v>-1096.5899999999999</v>
      </c>
      <c r="G1505">
        <v>-193.5</v>
      </c>
      <c r="H1505">
        <v>2602.1999999999998</v>
      </c>
      <c r="I1505">
        <v>2714.3</v>
      </c>
      <c r="J1505">
        <v>4026.41</v>
      </c>
    </row>
    <row r="1506" spans="1:10" x14ac:dyDescent="0.35">
      <c r="A1506">
        <v>1490</v>
      </c>
      <c r="B1506" s="75">
        <v>90.071600000000004</v>
      </c>
      <c r="C1506" s="75">
        <v>98.748800000000003</v>
      </c>
      <c r="D1506" s="75">
        <v>93.811300000000003</v>
      </c>
      <c r="E1506" s="75">
        <v>91.044300000000007</v>
      </c>
      <c r="F1506">
        <v>-1709.4</v>
      </c>
      <c r="G1506">
        <v>-808.35</v>
      </c>
      <c r="H1506">
        <v>-1990.3999999999999</v>
      </c>
      <c r="I1506">
        <v>2336.3000000000002</v>
      </c>
      <c r="J1506">
        <v>-2171.8499999999995</v>
      </c>
    </row>
    <row r="1507" spans="1:10" x14ac:dyDescent="0.35">
      <c r="A1507">
        <v>1491</v>
      </c>
      <c r="B1507" s="75">
        <v>89.58</v>
      </c>
      <c r="C1507" s="75">
        <v>98.12</v>
      </c>
      <c r="D1507" s="75">
        <v>93.04</v>
      </c>
      <c r="E1507" s="75">
        <v>95.03</v>
      </c>
      <c r="F1507">
        <v>-81.180000000000007</v>
      </c>
      <c r="G1507">
        <v>129.15</v>
      </c>
      <c r="H1507">
        <v>-457</v>
      </c>
      <c r="I1507">
        <v>-1645.3999999999999</v>
      </c>
      <c r="J1507">
        <v>-2054.4299999999998</v>
      </c>
    </row>
    <row r="1508" spans="1:10" x14ac:dyDescent="0.35">
      <c r="A1508">
        <v>1492</v>
      </c>
      <c r="B1508" s="75">
        <v>88.712199999999996</v>
      </c>
      <c r="C1508" s="75">
        <v>97.318399999999997</v>
      </c>
      <c r="D1508" s="75">
        <v>92.882599999999996</v>
      </c>
      <c r="E1508" s="75">
        <v>91.441299999999998</v>
      </c>
      <c r="F1508">
        <v>2776.6200000000003</v>
      </c>
      <c r="G1508">
        <v>1337.25</v>
      </c>
      <c r="H1508">
        <v>-133</v>
      </c>
      <c r="I1508">
        <v>1939.3</v>
      </c>
      <c r="J1508">
        <v>5920.170000000001</v>
      </c>
    </row>
    <row r="1509" spans="1:10" x14ac:dyDescent="0.35">
      <c r="A1509">
        <v>1493</v>
      </c>
      <c r="B1509" s="75">
        <v>89.97</v>
      </c>
      <c r="C1509" s="75">
        <v>97.15</v>
      </c>
      <c r="D1509" s="75">
        <v>93.55</v>
      </c>
      <c r="E1509" s="75">
        <v>89.83</v>
      </c>
      <c r="F1509">
        <v>-1389.3</v>
      </c>
      <c r="G1509">
        <v>1585.05</v>
      </c>
      <c r="H1509">
        <v>-1462.6</v>
      </c>
      <c r="I1509">
        <v>3552.5</v>
      </c>
      <c r="J1509">
        <v>2285.65</v>
      </c>
    </row>
    <row r="1510" spans="1:10" x14ac:dyDescent="0.35">
      <c r="A1510">
        <v>1494</v>
      </c>
      <c r="B1510" s="75">
        <v>89.713099999999997</v>
      </c>
      <c r="C1510" s="75">
        <v>98.354799999999997</v>
      </c>
      <c r="D1510" s="75">
        <v>94.328299999999999</v>
      </c>
      <c r="E1510" s="75">
        <v>92.888000000000005</v>
      </c>
      <c r="F1510">
        <v>-526.35</v>
      </c>
      <c r="G1510">
        <v>-217.35</v>
      </c>
      <c r="H1510">
        <v>-3024.4</v>
      </c>
      <c r="I1510">
        <v>492.59999999999997</v>
      </c>
      <c r="J1510">
        <v>-3275.5000000000005</v>
      </c>
    </row>
    <row r="1511" spans="1:10" x14ac:dyDescent="0.35">
      <c r="A1511">
        <v>1495</v>
      </c>
      <c r="B1511" s="75">
        <v>89.11</v>
      </c>
      <c r="C1511" s="75">
        <v>98.3</v>
      </c>
      <c r="D1511" s="75">
        <v>94.2</v>
      </c>
      <c r="E1511" s="75">
        <v>93.63</v>
      </c>
      <c r="F1511">
        <v>1461.24</v>
      </c>
      <c r="G1511">
        <v>-129.9</v>
      </c>
      <c r="H1511">
        <v>-2771.7999999999997</v>
      </c>
      <c r="I1511">
        <v>-247</v>
      </c>
      <c r="J1511">
        <v>-1687.4599999999998</v>
      </c>
    </row>
    <row r="1512" spans="1:10" x14ac:dyDescent="0.35">
      <c r="A1512">
        <v>1496</v>
      </c>
      <c r="B1512" s="75">
        <v>89.179500000000004</v>
      </c>
      <c r="C1512" s="75">
        <v>98.549400000000006</v>
      </c>
      <c r="D1512" s="75">
        <v>92.197900000000004</v>
      </c>
      <c r="E1512" s="75">
        <v>97.224199999999996</v>
      </c>
      <c r="F1512">
        <v>1234.53</v>
      </c>
      <c r="G1512">
        <v>-509.25000000000006</v>
      </c>
      <c r="H1512">
        <v>1236.3999999999999</v>
      </c>
      <c r="I1512">
        <v>-3843.6</v>
      </c>
      <c r="J1512">
        <v>-1881.92</v>
      </c>
    </row>
    <row r="1513" spans="1:10" x14ac:dyDescent="0.35">
      <c r="A1513">
        <v>1497</v>
      </c>
      <c r="B1513" s="75">
        <v>89.92</v>
      </c>
      <c r="C1513" s="75">
        <v>96.19</v>
      </c>
      <c r="D1513" s="75">
        <v>92.93</v>
      </c>
      <c r="E1513" s="75">
        <v>91.74</v>
      </c>
      <c r="F1513">
        <v>-1194.5999999999999</v>
      </c>
      <c r="G1513">
        <v>3031.9500000000003</v>
      </c>
      <c r="H1513">
        <v>-224.6</v>
      </c>
      <c r="I1513">
        <v>1644</v>
      </c>
      <c r="J1513">
        <v>3256.7500000000005</v>
      </c>
    </row>
    <row r="1514" spans="1:10" x14ac:dyDescent="0.35">
      <c r="A1514">
        <v>1498</v>
      </c>
      <c r="B1514" s="75">
        <v>89.275099999999995</v>
      </c>
      <c r="C1514" s="75">
        <v>98.472200000000001</v>
      </c>
      <c r="D1514" s="75">
        <v>91.726900000000001</v>
      </c>
      <c r="E1514" s="75">
        <v>88.999300000000005</v>
      </c>
      <c r="F1514">
        <v>919.05000000000007</v>
      </c>
      <c r="G1514">
        <v>-393.45</v>
      </c>
      <c r="H1514">
        <v>2178.4</v>
      </c>
      <c r="I1514">
        <v>4381.3</v>
      </c>
      <c r="J1514">
        <v>7085.3</v>
      </c>
    </row>
    <row r="1515" spans="1:10" x14ac:dyDescent="0.35">
      <c r="A1515">
        <v>1499</v>
      </c>
      <c r="B1515" s="75">
        <v>88.95</v>
      </c>
      <c r="C1515" s="75">
        <v>98.97</v>
      </c>
      <c r="D1515" s="75">
        <v>95.52</v>
      </c>
      <c r="E1515" s="75">
        <v>93.98</v>
      </c>
      <c r="F1515">
        <v>1989.8999999999999</v>
      </c>
      <c r="G1515">
        <v>-1141.05</v>
      </c>
      <c r="H1515">
        <v>-5407.4</v>
      </c>
      <c r="I1515">
        <v>-599.30000000000007</v>
      </c>
      <c r="J1515">
        <v>-5157.8499999999995</v>
      </c>
    </row>
    <row r="1516" spans="1:10" x14ac:dyDescent="0.35">
      <c r="A1516">
        <v>1500</v>
      </c>
      <c r="B1516" s="75">
        <v>90.062899999999999</v>
      </c>
      <c r="C1516" s="75">
        <v>98.541200000000003</v>
      </c>
      <c r="D1516" s="75">
        <v>92.584699999999998</v>
      </c>
      <c r="E1516" s="75">
        <v>94.089299999999994</v>
      </c>
      <c r="F1516">
        <v>-1680.6899999999998</v>
      </c>
      <c r="G1516">
        <v>-496.95</v>
      </c>
      <c r="H1516">
        <v>462.8</v>
      </c>
      <c r="I1516">
        <v>-708.7</v>
      </c>
      <c r="J1516">
        <v>-2423.54</v>
      </c>
    </row>
    <row r="1517" spans="1:10" x14ac:dyDescent="0.35">
      <c r="A1517">
        <v>1501</v>
      </c>
      <c r="B1517" s="75">
        <v>90.04</v>
      </c>
      <c r="C1517" s="75">
        <v>97.64</v>
      </c>
      <c r="D1517" s="75">
        <v>93.94</v>
      </c>
      <c r="E1517" s="75">
        <v>93.55</v>
      </c>
      <c r="F1517">
        <v>-1604.79</v>
      </c>
      <c r="G1517">
        <v>859.80000000000007</v>
      </c>
      <c r="H1517">
        <v>-2244.6000000000004</v>
      </c>
      <c r="I1517">
        <v>-173.2</v>
      </c>
      <c r="J1517">
        <v>-3162.79</v>
      </c>
    </row>
    <row r="1518" spans="1:10" x14ac:dyDescent="0.35">
      <c r="A1518">
        <v>1502</v>
      </c>
      <c r="B1518" s="75">
        <v>89.598600000000005</v>
      </c>
      <c r="C1518" s="75">
        <v>97.815700000000007</v>
      </c>
      <c r="D1518" s="75">
        <v>93.679900000000004</v>
      </c>
      <c r="E1518" s="75">
        <v>95.001900000000006</v>
      </c>
      <c r="F1518">
        <v>-148.5</v>
      </c>
      <c r="G1518">
        <v>591.29999999999995</v>
      </c>
      <c r="H1518">
        <v>-1727.6000000000001</v>
      </c>
      <c r="I1518">
        <v>-1621.3</v>
      </c>
      <c r="J1518">
        <v>-2906.1000000000004</v>
      </c>
    </row>
    <row r="1519" spans="1:10" x14ac:dyDescent="0.35">
      <c r="A1519">
        <v>1503</v>
      </c>
      <c r="B1519" s="75">
        <v>89.97</v>
      </c>
      <c r="C1519" s="75">
        <v>98.2</v>
      </c>
      <c r="D1519" s="75">
        <v>90.82</v>
      </c>
      <c r="E1519" s="75">
        <v>93.34</v>
      </c>
      <c r="F1519">
        <v>-1386.99</v>
      </c>
      <c r="G1519">
        <v>14.850000000000001</v>
      </c>
      <c r="H1519">
        <v>4001.4</v>
      </c>
      <c r="I1519">
        <v>42.9</v>
      </c>
      <c r="J1519">
        <v>2672.1600000000003</v>
      </c>
    </row>
    <row r="1520" spans="1:10" x14ac:dyDescent="0.35">
      <c r="A1520">
        <v>1504</v>
      </c>
      <c r="B1520" s="75">
        <v>89.4452</v>
      </c>
      <c r="C1520" s="75">
        <v>99.015500000000003</v>
      </c>
      <c r="D1520" s="75">
        <v>92.434200000000004</v>
      </c>
      <c r="E1520" s="75">
        <v>95.587400000000002</v>
      </c>
      <c r="F1520">
        <v>357.71999999999997</v>
      </c>
      <c r="G1520">
        <v>-1208.3999999999999</v>
      </c>
      <c r="H1520">
        <v>763.80000000000007</v>
      </c>
      <c r="I1520">
        <v>-2206.7999999999997</v>
      </c>
      <c r="J1520">
        <v>-2293.6799999999994</v>
      </c>
    </row>
    <row r="1521" spans="1:10" x14ac:dyDescent="0.35">
      <c r="A1521">
        <v>1505</v>
      </c>
      <c r="B1521" s="75">
        <v>89.29</v>
      </c>
      <c r="C1521" s="75">
        <v>99.04</v>
      </c>
      <c r="D1521" s="75">
        <v>94.08</v>
      </c>
      <c r="E1521" s="75">
        <v>94.89</v>
      </c>
      <c r="F1521">
        <v>872.85</v>
      </c>
      <c r="G1521">
        <v>-1249.95</v>
      </c>
      <c r="H1521">
        <v>-2537</v>
      </c>
      <c r="I1521">
        <v>-1504.5</v>
      </c>
      <c r="J1521">
        <v>-4418.6000000000004</v>
      </c>
    </row>
    <row r="1522" spans="1:10" x14ac:dyDescent="0.35">
      <c r="A1522">
        <v>1506</v>
      </c>
      <c r="B1522" s="75">
        <v>89.487899999999996</v>
      </c>
      <c r="C1522" s="75">
        <v>98.340100000000007</v>
      </c>
      <c r="D1522" s="75">
        <v>93.033600000000007</v>
      </c>
      <c r="E1522" s="75">
        <v>95.319900000000004</v>
      </c>
      <c r="F1522">
        <v>216.80999999999997</v>
      </c>
      <c r="G1522">
        <v>-195.3</v>
      </c>
      <c r="H1522">
        <v>-435</v>
      </c>
      <c r="I1522">
        <v>-1939.3</v>
      </c>
      <c r="J1522">
        <v>-2352.79</v>
      </c>
    </row>
    <row r="1523" spans="1:10" x14ac:dyDescent="0.35">
      <c r="A1523">
        <v>1507</v>
      </c>
      <c r="B1523" s="75">
        <v>90.26</v>
      </c>
      <c r="C1523" s="75">
        <v>99.02</v>
      </c>
      <c r="D1523" s="75">
        <v>91.44</v>
      </c>
      <c r="E1523" s="75">
        <v>94.42</v>
      </c>
      <c r="F1523">
        <v>-2317.92</v>
      </c>
      <c r="G1523">
        <v>-1218.3</v>
      </c>
      <c r="H1523">
        <v>2757.8</v>
      </c>
      <c r="I1523">
        <v>-1043.8</v>
      </c>
      <c r="J1523">
        <v>-1822.22</v>
      </c>
    </row>
    <row r="1524" spans="1:10" x14ac:dyDescent="0.35">
      <c r="A1524">
        <v>1508</v>
      </c>
      <c r="B1524" s="75">
        <v>89.615200000000002</v>
      </c>
      <c r="C1524" s="75">
        <v>99.0441</v>
      </c>
      <c r="D1524" s="75">
        <v>93.5749</v>
      </c>
      <c r="E1524" s="75">
        <v>93.971900000000005</v>
      </c>
      <c r="F1524">
        <v>-203.28</v>
      </c>
      <c r="G1524">
        <v>-1251.3000000000002</v>
      </c>
      <c r="H1524">
        <v>-1517.6000000000001</v>
      </c>
      <c r="I1524">
        <v>-591.30000000000007</v>
      </c>
      <c r="J1524">
        <v>-3563.4800000000005</v>
      </c>
    </row>
    <row r="1525" spans="1:10" x14ac:dyDescent="0.35">
      <c r="A1525">
        <v>1509</v>
      </c>
      <c r="B1525" s="75">
        <v>90.27</v>
      </c>
      <c r="C1525" s="75">
        <v>98.66</v>
      </c>
      <c r="D1525" s="75">
        <v>93.06</v>
      </c>
      <c r="E1525" s="75">
        <v>91.26</v>
      </c>
      <c r="F1525">
        <v>-2368.41</v>
      </c>
      <c r="G1525">
        <v>-668.1</v>
      </c>
      <c r="H1525">
        <v>-481.2</v>
      </c>
      <c r="I1525">
        <v>2117</v>
      </c>
      <c r="J1525">
        <v>-1400.7099999999996</v>
      </c>
    </row>
    <row r="1526" spans="1:10" x14ac:dyDescent="0.35">
      <c r="A1526">
        <v>1510</v>
      </c>
      <c r="B1526" s="75">
        <v>89.9</v>
      </c>
      <c r="C1526" s="75">
        <v>97.787800000000004</v>
      </c>
      <c r="D1526" s="75">
        <v>92.103700000000003</v>
      </c>
      <c r="E1526" s="75">
        <v>94.904399999999995</v>
      </c>
      <c r="F1526">
        <v>-1143.1199999999999</v>
      </c>
      <c r="G1526">
        <v>633.15</v>
      </c>
      <c r="H1526">
        <v>1424.8</v>
      </c>
      <c r="I1526">
        <v>-1523.8</v>
      </c>
      <c r="J1526">
        <v>-608.96999999999991</v>
      </c>
    </row>
    <row r="1527" spans="1:10" x14ac:dyDescent="0.35">
      <c r="A1527">
        <v>1511</v>
      </c>
      <c r="B1527" s="75">
        <v>89.86</v>
      </c>
      <c r="C1527" s="75">
        <v>97.65</v>
      </c>
      <c r="D1527" s="75">
        <v>92.99</v>
      </c>
      <c r="E1527" s="75">
        <v>95.75</v>
      </c>
      <c r="F1527">
        <v>-996.93</v>
      </c>
      <c r="G1527">
        <v>847.19999999999993</v>
      </c>
      <c r="H1527">
        <v>-351.4</v>
      </c>
      <c r="I1527">
        <v>-2371.4</v>
      </c>
      <c r="J1527">
        <v>-2872.53</v>
      </c>
    </row>
    <row r="1528" spans="1:10" x14ac:dyDescent="0.35">
      <c r="A1528">
        <v>1512</v>
      </c>
      <c r="B1528" s="75">
        <v>89.698499999999996</v>
      </c>
      <c r="C1528" s="75">
        <v>98.677400000000006</v>
      </c>
      <c r="D1528" s="75">
        <v>92.225700000000003</v>
      </c>
      <c r="E1528" s="75">
        <v>96.078199999999995</v>
      </c>
      <c r="F1528">
        <v>-478.17</v>
      </c>
      <c r="G1528">
        <v>-701.25</v>
      </c>
      <c r="H1528">
        <v>1180.8000000000002</v>
      </c>
      <c r="I1528">
        <v>-2697.6</v>
      </c>
      <c r="J1528">
        <v>-2696.22</v>
      </c>
    </row>
    <row r="1529" spans="1:10" x14ac:dyDescent="0.35">
      <c r="A1529">
        <v>1513</v>
      </c>
      <c r="B1529" s="75">
        <v>89.09</v>
      </c>
      <c r="C1529" s="75">
        <v>97.08</v>
      </c>
      <c r="D1529" s="75">
        <v>94.27</v>
      </c>
      <c r="E1529" s="75">
        <v>91.64</v>
      </c>
      <c r="F1529">
        <v>1543.74</v>
      </c>
      <c r="G1529">
        <v>1699.05</v>
      </c>
      <c r="H1529">
        <v>-2908.7999999999997</v>
      </c>
      <c r="I1529">
        <v>1740.8</v>
      </c>
      <c r="J1529">
        <v>2074.79</v>
      </c>
    </row>
    <row r="1530" spans="1:10" x14ac:dyDescent="0.35">
      <c r="A1530">
        <v>1514</v>
      </c>
      <c r="B1530" s="75">
        <v>90.037599999999998</v>
      </c>
      <c r="C1530" s="75">
        <v>97.532899999999998</v>
      </c>
      <c r="D1530" s="75">
        <v>93.253100000000003</v>
      </c>
      <c r="E1530" s="75">
        <v>94.720100000000002</v>
      </c>
      <c r="F1530">
        <v>-1597.2</v>
      </c>
      <c r="G1530">
        <v>1015.5000000000001</v>
      </c>
      <c r="H1530">
        <v>-874</v>
      </c>
      <c r="I1530">
        <v>-1339.5</v>
      </c>
      <c r="J1530">
        <v>-2795.2</v>
      </c>
    </row>
    <row r="1531" spans="1:10" x14ac:dyDescent="0.35">
      <c r="A1531">
        <v>1515</v>
      </c>
      <c r="B1531" s="75">
        <v>89.45</v>
      </c>
      <c r="C1531" s="75">
        <v>99.57</v>
      </c>
      <c r="D1531" s="75">
        <v>93.61</v>
      </c>
      <c r="E1531" s="75">
        <v>90.74</v>
      </c>
      <c r="F1531">
        <v>343.53</v>
      </c>
      <c r="G1531">
        <v>-2040.3000000000002</v>
      </c>
      <c r="H1531">
        <v>-1584.6</v>
      </c>
      <c r="I1531">
        <v>2640.8999999999996</v>
      </c>
      <c r="J1531">
        <v>-640.47000000000025</v>
      </c>
    </row>
    <row r="1532" spans="1:10" x14ac:dyDescent="0.35">
      <c r="A1532">
        <v>1516</v>
      </c>
      <c r="B1532" s="75">
        <v>90.132300000000001</v>
      </c>
      <c r="C1532" s="75">
        <v>96.709800000000001</v>
      </c>
      <c r="D1532" s="75">
        <v>92.765100000000004</v>
      </c>
      <c r="E1532" s="75">
        <v>93.199100000000001</v>
      </c>
      <c r="F1532">
        <v>-1909.71</v>
      </c>
      <c r="G1532">
        <v>2250.15</v>
      </c>
      <c r="H1532">
        <v>102</v>
      </c>
      <c r="I1532">
        <v>181.5</v>
      </c>
      <c r="J1532">
        <v>623.94000000000005</v>
      </c>
    </row>
    <row r="1533" spans="1:10" x14ac:dyDescent="0.35">
      <c r="A1533">
        <v>1517</v>
      </c>
      <c r="B1533" s="75">
        <v>89.9</v>
      </c>
      <c r="C1533" s="75">
        <v>97.56</v>
      </c>
      <c r="D1533" s="75">
        <v>93.47</v>
      </c>
      <c r="E1533" s="75">
        <v>88.21</v>
      </c>
      <c r="F1533">
        <v>-1144.77</v>
      </c>
      <c r="G1533">
        <v>972.3</v>
      </c>
      <c r="H1533">
        <v>-1307.6000000000001</v>
      </c>
      <c r="I1533">
        <v>5172.6000000000004</v>
      </c>
      <c r="J1533">
        <v>3692.53</v>
      </c>
    </row>
    <row r="1534" spans="1:10" x14ac:dyDescent="0.35">
      <c r="A1534">
        <v>1518</v>
      </c>
      <c r="B1534" s="75">
        <v>88.366100000000003</v>
      </c>
      <c r="C1534" s="75">
        <v>97.446899999999999</v>
      </c>
      <c r="D1534" s="75">
        <v>92.603899999999996</v>
      </c>
      <c r="E1534" s="75">
        <v>91.595100000000002</v>
      </c>
      <c r="F1534">
        <v>3918.75</v>
      </c>
      <c r="G1534">
        <v>1144.5</v>
      </c>
      <c r="H1534">
        <v>424.4</v>
      </c>
      <c r="I1534">
        <v>1785.5</v>
      </c>
      <c r="J1534">
        <v>7273.15</v>
      </c>
    </row>
    <row r="1535" spans="1:10" x14ac:dyDescent="0.35">
      <c r="A1535">
        <v>1519</v>
      </c>
      <c r="B1535" s="75">
        <v>89.86</v>
      </c>
      <c r="C1535" s="75">
        <v>99.55</v>
      </c>
      <c r="D1535" s="75">
        <v>93.51</v>
      </c>
      <c r="E1535" s="75">
        <v>90.54</v>
      </c>
      <c r="F1535">
        <v>-1012.44</v>
      </c>
      <c r="G1535">
        <v>-2003.3999999999999</v>
      </c>
      <c r="H1535">
        <v>-1378</v>
      </c>
      <c r="I1535">
        <v>2839.7000000000003</v>
      </c>
      <c r="J1535">
        <v>-1554.1399999999999</v>
      </c>
    </row>
    <row r="1536" spans="1:10" x14ac:dyDescent="0.35">
      <c r="A1536">
        <v>1520</v>
      </c>
      <c r="B1536" s="75">
        <v>89.283000000000001</v>
      </c>
      <c r="C1536" s="75">
        <v>98.323300000000003</v>
      </c>
      <c r="D1536" s="75">
        <v>92.6999</v>
      </c>
      <c r="E1536" s="75">
        <v>90.437799999999996</v>
      </c>
      <c r="F1536">
        <v>892.98</v>
      </c>
      <c r="G1536">
        <v>-170.1</v>
      </c>
      <c r="H1536">
        <v>232.4</v>
      </c>
      <c r="I1536">
        <v>2942.8</v>
      </c>
      <c r="J1536">
        <v>3898.08</v>
      </c>
    </row>
    <row r="1537" spans="1:10" x14ac:dyDescent="0.35">
      <c r="A1537">
        <v>1521</v>
      </c>
      <c r="B1537" s="75">
        <v>88.97</v>
      </c>
      <c r="C1537" s="75">
        <v>97.86</v>
      </c>
      <c r="D1537" s="75">
        <v>92.17</v>
      </c>
      <c r="E1537" s="75">
        <v>93.93</v>
      </c>
      <c r="F1537">
        <v>1930.4999999999998</v>
      </c>
      <c r="G1537">
        <v>529.05000000000007</v>
      </c>
      <c r="H1537">
        <v>1287.1999999999998</v>
      </c>
      <c r="I1537">
        <v>-545.29999999999995</v>
      </c>
      <c r="J1537">
        <v>3201.45</v>
      </c>
    </row>
    <row r="1538" spans="1:10" x14ac:dyDescent="0.35">
      <c r="A1538">
        <v>1522</v>
      </c>
      <c r="B1538" s="75">
        <v>90.087400000000002</v>
      </c>
      <c r="C1538" s="75">
        <v>99.479100000000003</v>
      </c>
      <c r="D1538" s="75">
        <v>92.884500000000003</v>
      </c>
      <c r="E1538" s="75">
        <v>95.453000000000003</v>
      </c>
      <c r="F1538">
        <v>-1761.5400000000002</v>
      </c>
      <c r="G1538">
        <v>-1903.8000000000002</v>
      </c>
      <c r="H1538">
        <v>-136.80000000000001</v>
      </c>
      <c r="I1538">
        <v>-2072.4</v>
      </c>
      <c r="J1538">
        <v>-5874.5400000000009</v>
      </c>
    </row>
    <row r="1539" spans="1:10" x14ac:dyDescent="0.35">
      <c r="A1539">
        <v>1523</v>
      </c>
      <c r="B1539" s="75">
        <v>88.57</v>
      </c>
      <c r="C1539" s="75">
        <v>98.73</v>
      </c>
      <c r="D1539" s="75">
        <v>92.76</v>
      </c>
      <c r="E1539" s="75">
        <v>93.65</v>
      </c>
      <c r="F1539">
        <v>3234.99</v>
      </c>
      <c r="G1539">
        <v>-777.59999999999991</v>
      </c>
      <c r="H1539">
        <v>103.2</v>
      </c>
      <c r="I1539">
        <v>-266.10000000000002</v>
      </c>
      <c r="J1539">
        <v>2294.4899999999998</v>
      </c>
    </row>
    <row r="1540" spans="1:10" x14ac:dyDescent="0.35">
      <c r="A1540">
        <v>1524</v>
      </c>
      <c r="B1540" s="75">
        <v>90.009200000000007</v>
      </c>
      <c r="C1540" s="75">
        <v>98.846800000000002</v>
      </c>
      <c r="D1540" s="75">
        <v>92.385400000000004</v>
      </c>
      <c r="E1540" s="75">
        <v>95.337999999999994</v>
      </c>
      <c r="F1540">
        <v>-1503.48</v>
      </c>
      <c r="G1540">
        <v>-955.35</v>
      </c>
      <c r="H1540">
        <v>861.40000000000009</v>
      </c>
      <c r="I1540">
        <v>-1957.4</v>
      </c>
      <c r="J1540">
        <v>-3554.83</v>
      </c>
    </row>
    <row r="1541" spans="1:10" x14ac:dyDescent="0.35">
      <c r="A1541">
        <v>1525</v>
      </c>
      <c r="B1541" s="75">
        <v>89.69</v>
      </c>
      <c r="C1541" s="75">
        <v>98.95</v>
      </c>
      <c r="D1541" s="75">
        <v>92.68</v>
      </c>
      <c r="E1541" s="75">
        <v>93.53</v>
      </c>
      <c r="F1541">
        <v>-436.26000000000005</v>
      </c>
      <c r="G1541">
        <v>-1106.55</v>
      </c>
      <c r="H1541">
        <v>264.79999999999995</v>
      </c>
      <c r="I1541">
        <v>-151</v>
      </c>
      <c r="J1541">
        <v>-1429.01</v>
      </c>
    </row>
    <row r="1542" spans="1:10" x14ac:dyDescent="0.35">
      <c r="A1542">
        <v>1526</v>
      </c>
      <c r="B1542" s="75">
        <v>89.210599999999999</v>
      </c>
      <c r="C1542" s="75">
        <v>97.667199999999994</v>
      </c>
      <c r="D1542" s="75">
        <v>93.305099999999996</v>
      </c>
      <c r="E1542" s="75">
        <v>93.041600000000003</v>
      </c>
      <c r="F1542">
        <v>1131.9000000000001</v>
      </c>
      <c r="G1542">
        <v>814.05</v>
      </c>
      <c r="H1542">
        <v>-978</v>
      </c>
      <c r="I1542">
        <v>339</v>
      </c>
      <c r="J1542">
        <v>1306.95</v>
      </c>
    </row>
    <row r="1543" spans="1:10" x14ac:dyDescent="0.35">
      <c r="A1543">
        <v>1527</v>
      </c>
      <c r="B1543" s="75">
        <v>89.72</v>
      </c>
      <c r="C1543" s="75">
        <v>97.21</v>
      </c>
      <c r="D1543" s="75">
        <v>94.34</v>
      </c>
      <c r="E1543" s="75">
        <v>92.63</v>
      </c>
      <c r="F1543">
        <v>-557.04</v>
      </c>
      <c r="G1543">
        <v>1505.4</v>
      </c>
      <c r="H1543">
        <v>-3048.2</v>
      </c>
      <c r="I1543">
        <v>755.19999999999993</v>
      </c>
      <c r="J1543">
        <v>-1344.6399999999999</v>
      </c>
    </row>
    <row r="1544" spans="1:10" x14ac:dyDescent="0.35">
      <c r="A1544">
        <v>1528</v>
      </c>
      <c r="B1544" s="75">
        <v>89.544399999999996</v>
      </c>
      <c r="C1544" s="75">
        <v>97.383499999999998</v>
      </c>
      <c r="D1544" s="75">
        <v>93.5608</v>
      </c>
      <c r="E1544" s="75">
        <v>91.481800000000007</v>
      </c>
      <c r="F1544">
        <v>30.36</v>
      </c>
      <c r="G1544">
        <v>1239.6000000000001</v>
      </c>
      <c r="H1544">
        <v>-1489.4</v>
      </c>
      <c r="I1544">
        <v>1898.8</v>
      </c>
      <c r="J1544">
        <v>1679.36</v>
      </c>
    </row>
    <row r="1545" spans="1:10" x14ac:dyDescent="0.35">
      <c r="A1545">
        <v>1529</v>
      </c>
      <c r="B1545" s="75">
        <v>90.45</v>
      </c>
      <c r="C1545" s="75">
        <v>98.88</v>
      </c>
      <c r="D1545" s="75">
        <v>91.47</v>
      </c>
      <c r="E1545" s="75">
        <v>95.26</v>
      </c>
      <c r="F1545">
        <v>-2948.5499999999997</v>
      </c>
      <c r="G1545">
        <v>-997.80000000000007</v>
      </c>
      <c r="H1545">
        <v>2702.2</v>
      </c>
      <c r="I1545">
        <v>-1874.7</v>
      </c>
      <c r="J1545">
        <v>-3118.8500000000004</v>
      </c>
    </row>
    <row r="1546" spans="1:10" x14ac:dyDescent="0.35">
      <c r="A1546">
        <v>1530</v>
      </c>
      <c r="B1546" s="75">
        <v>89.158799999999999</v>
      </c>
      <c r="C1546" s="75">
        <v>98.616799999999998</v>
      </c>
      <c r="D1546" s="75">
        <v>94.010199999999998</v>
      </c>
      <c r="E1546" s="75">
        <v>96.356300000000005</v>
      </c>
      <c r="F1546">
        <v>1302.8399999999999</v>
      </c>
      <c r="G1546">
        <v>-610.35</v>
      </c>
      <c r="H1546">
        <v>-2388.1999999999998</v>
      </c>
      <c r="I1546">
        <v>-2975.7</v>
      </c>
      <c r="J1546">
        <v>-4671.41</v>
      </c>
    </row>
    <row r="1547" spans="1:10" x14ac:dyDescent="0.35">
      <c r="A1547">
        <v>1531</v>
      </c>
      <c r="B1547" s="75">
        <v>89.09</v>
      </c>
      <c r="C1547" s="75">
        <v>97.55</v>
      </c>
      <c r="D1547" s="75">
        <v>92.01</v>
      </c>
      <c r="E1547" s="75">
        <v>90.88</v>
      </c>
      <c r="F1547">
        <v>1546.0500000000002</v>
      </c>
      <c r="G1547">
        <v>996.75</v>
      </c>
      <c r="H1547">
        <v>1617.2</v>
      </c>
      <c r="I1547">
        <v>2503.4</v>
      </c>
      <c r="J1547">
        <v>6663.4</v>
      </c>
    </row>
    <row r="1548" spans="1:10" x14ac:dyDescent="0.35">
      <c r="A1548">
        <v>1532</v>
      </c>
      <c r="B1548" s="75">
        <v>89.317099999999996</v>
      </c>
      <c r="C1548" s="75">
        <v>100.0795</v>
      </c>
      <c r="D1548" s="75">
        <v>90.956000000000003</v>
      </c>
      <c r="E1548" s="75">
        <v>93.799899999999994</v>
      </c>
      <c r="F1548">
        <v>780.44999999999993</v>
      </c>
      <c r="G1548">
        <v>-2804.4</v>
      </c>
      <c r="H1548">
        <v>3720.2000000000003</v>
      </c>
      <c r="I1548">
        <v>-419.3</v>
      </c>
      <c r="J1548">
        <v>1276.95</v>
      </c>
    </row>
    <row r="1549" spans="1:10" x14ac:dyDescent="0.35">
      <c r="A1549">
        <v>1533</v>
      </c>
      <c r="B1549" s="75">
        <v>89.54</v>
      </c>
      <c r="C1549" s="75">
        <v>97.69</v>
      </c>
      <c r="D1549" s="75">
        <v>92.45</v>
      </c>
      <c r="E1549" s="75">
        <v>93.26</v>
      </c>
      <c r="F1549">
        <v>28.709999999999997</v>
      </c>
      <c r="G1549">
        <v>783.9</v>
      </c>
      <c r="H1549">
        <v>733.8</v>
      </c>
      <c r="I1549">
        <v>124</v>
      </c>
      <c r="J1549">
        <v>1670.4099999999999</v>
      </c>
    </row>
    <row r="1550" spans="1:10" x14ac:dyDescent="0.35">
      <c r="A1550">
        <v>1534</v>
      </c>
      <c r="B1550" s="75">
        <v>90.161900000000003</v>
      </c>
      <c r="C1550" s="75">
        <v>97.650599999999997</v>
      </c>
      <c r="D1550" s="75">
        <v>94.305700000000002</v>
      </c>
      <c r="E1550" s="75">
        <v>94.000200000000007</v>
      </c>
      <c r="F1550">
        <v>-2007.3899999999999</v>
      </c>
      <c r="G1550">
        <v>838.95</v>
      </c>
      <c r="H1550">
        <v>-2979.2000000000003</v>
      </c>
      <c r="I1550">
        <v>-619.6</v>
      </c>
      <c r="J1550">
        <v>-4767.2400000000007</v>
      </c>
    </row>
    <row r="1551" spans="1:10" x14ac:dyDescent="0.35">
      <c r="A1551">
        <v>1535</v>
      </c>
      <c r="B1551" s="75">
        <v>90.11</v>
      </c>
      <c r="C1551" s="75">
        <v>97.98</v>
      </c>
      <c r="D1551" s="75">
        <v>92.51</v>
      </c>
      <c r="E1551" s="75">
        <v>96.28</v>
      </c>
      <c r="F1551">
        <v>-1824.2399999999998</v>
      </c>
      <c r="G1551">
        <v>341.25</v>
      </c>
      <c r="H1551">
        <v>617.6</v>
      </c>
      <c r="I1551">
        <v>-2903</v>
      </c>
      <c r="J1551">
        <v>-3768.39</v>
      </c>
    </row>
    <row r="1552" spans="1:10" x14ac:dyDescent="0.35">
      <c r="A1552">
        <v>1536</v>
      </c>
      <c r="B1552" s="75">
        <v>89.947400000000002</v>
      </c>
      <c r="C1552" s="75">
        <v>98.3245</v>
      </c>
      <c r="D1552" s="75">
        <v>93.653099999999995</v>
      </c>
      <c r="E1552" s="75">
        <v>92.917299999999997</v>
      </c>
      <c r="F1552">
        <v>-1299.54</v>
      </c>
      <c r="G1552">
        <v>-171.89999999999998</v>
      </c>
      <c r="H1552">
        <v>-1674</v>
      </c>
      <c r="I1552">
        <v>463.3</v>
      </c>
      <c r="J1552">
        <v>-2682.14</v>
      </c>
    </row>
    <row r="1553" spans="1:10" x14ac:dyDescent="0.35">
      <c r="A1553">
        <v>1537</v>
      </c>
      <c r="B1553" s="75">
        <v>90.14</v>
      </c>
      <c r="C1553" s="75">
        <v>98.92</v>
      </c>
      <c r="D1553" s="75">
        <v>91.84</v>
      </c>
      <c r="E1553" s="75">
        <v>93.78</v>
      </c>
      <c r="F1553">
        <v>-1938.75</v>
      </c>
      <c r="G1553">
        <v>-1057.8000000000002</v>
      </c>
      <c r="H1553">
        <v>1953.4</v>
      </c>
      <c r="I1553">
        <v>-395.4</v>
      </c>
      <c r="J1553">
        <v>-1438.5500000000002</v>
      </c>
    </row>
    <row r="1554" spans="1:10" x14ac:dyDescent="0.35">
      <c r="A1554">
        <v>1538</v>
      </c>
      <c r="B1554" s="75">
        <v>90.417100000000005</v>
      </c>
      <c r="C1554" s="75">
        <v>99.779499999999999</v>
      </c>
      <c r="D1554" s="75">
        <v>92.482900000000001</v>
      </c>
      <c r="E1554" s="75">
        <v>93.972300000000004</v>
      </c>
      <c r="F1554">
        <v>-2849.55</v>
      </c>
      <c r="G1554">
        <v>-2354.4</v>
      </c>
      <c r="H1554">
        <v>666.4</v>
      </c>
      <c r="I1554">
        <v>-591.70000000000005</v>
      </c>
      <c r="J1554">
        <v>-5129.2500000000009</v>
      </c>
    </row>
    <row r="1555" spans="1:10" x14ac:dyDescent="0.35">
      <c r="A1555">
        <v>1539</v>
      </c>
      <c r="B1555" s="75">
        <v>89.49</v>
      </c>
      <c r="C1555" s="75">
        <v>98.12</v>
      </c>
      <c r="D1555" s="75">
        <v>92.04</v>
      </c>
      <c r="E1555" s="75">
        <v>91.29</v>
      </c>
      <c r="F1555">
        <v>210.87</v>
      </c>
      <c r="G1555">
        <v>137.4</v>
      </c>
      <c r="H1555">
        <v>1553.3999999999999</v>
      </c>
      <c r="I1555">
        <v>2090.1999999999998</v>
      </c>
      <c r="J1555">
        <v>3991.87</v>
      </c>
    </row>
    <row r="1556" spans="1:10" x14ac:dyDescent="0.35">
      <c r="A1556">
        <v>1540</v>
      </c>
      <c r="B1556" s="75">
        <v>89.908799999999999</v>
      </c>
      <c r="C1556" s="75">
        <v>98.055800000000005</v>
      </c>
      <c r="D1556" s="75">
        <v>93.740700000000004</v>
      </c>
      <c r="E1556" s="75">
        <v>94.205699999999993</v>
      </c>
      <c r="F1556">
        <v>-1172.1600000000001</v>
      </c>
      <c r="G1556">
        <v>231.14999999999998</v>
      </c>
      <c r="H1556">
        <v>-1849.2</v>
      </c>
      <c r="I1556">
        <v>-825.09999999999991</v>
      </c>
      <c r="J1556">
        <v>-3615.31</v>
      </c>
    </row>
    <row r="1557" spans="1:10" x14ac:dyDescent="0.35">
      <c r="A1557">
        <v>1541</v>
      </c>
      <c r="B1557" s="75">
        <v>88.63</v>
      </c>
      <c r="C1557" s="75">
        <v>96.76</v>
      </c>
      <c r="D1557" s="75">
        <v>92.28</v>
      </c>
      <c r="E1557" s="75">
        <v>93.98</v>
      </c>
      <c r="F1557">
        <v>3064.38</v>
      </c>
      <c r="G1557">
        <v>2170.65</v>
      </c>
      <c r="H1557">
        <v>1071.1999999999998</v>
      </c>
      <c r="I1557">
        <v>-603.79999999999995</v>
      </c>
      <c r="J1557">
        <v>5702.43</v>
      </c>
    </row>
    <row r="1558" spans="1:10" x14ac:dyDescent="0.35">
      <c r="A1558">
        <v>1542</v>
      </c>
      <c r="B1558" s="75">
        <v>89.629300000000001</v>
      </c>
      <c r="C1558" s="75">
        <v>98.478499999999997</v>
      </c>
      <c r="D1558" s="75">
        <v>94.531700000000001</v>
      </c>
      <c r="E1558" s="75">
        <v>92.545100000000005</v>
      </c>
      <c r="F1558">
        <v>-249.81</v>
      </c>
      <c r="G1558">
        <v>-402.90000000000003</v>
      </c>
      <c r="H1558">
        <v>-3431.2</v>
      </c>
      <c r="I1558">
        <v>835.5</v>
      </c>
      <c r="J1558">
        <v>-3248.41</v>
      </c>
    </row>
    <row r="1559" spans="1:10" x14ac:dyDescent="0.35">
      <c r="A1559">
        <v>1543</v>
      </c>
      <c r="B1559" s="75">
        <v>89.68</v>
      </c>
      <c r="C1559" s="75">
        <v>98.33</v>
      </c>
      <c r="D1559" s="75">
        <v>91.53</v>
      </c>
      <c r="E1559" s="75">
        <v>92.53</v>
      </c>
      <c r="F1559">
        <v>-432.96000000000004</v>
      </c>
      <c r="G1559">
        <v>-185.4</v>
      </c>
      <c r="H1559">
        <v>2572.4</v>
      </c>
      <c r="I1559">
        <v>854.1</v>
      </c>
      <c r="J1559">
        <v>2808.14</v>
      </c>
    </row>
    <row r="1560" spans="1:10" x14ac:dyDescent="0.35">
      <c r="A1560">
        <v>1544</v>
      </c>
      <c r="B1560" s="75">
        <v>89.412400000000005</v>
      </c>
      <c r="C1560" s="75">
        <v>98.282200000000003</v>
      </c>
      <c r="D1560" s="75">
        <v>91.686599999999999</v>
      </c>
      <c r="E1560" s="75">
        <v>94.864199999999997</v>
      </c>
      <c r="F1560">
        <v>465.96</v>
      </c>
      <c r="G1560">
        <v>-108.45</v>
      </c>
      <c r="H1560">
        <v>2259</v>
      </c>
      <c r="I1560">
        <v>-1483.6000000000001</v>
      </c>
      <c r="J1560">
        <v>1132.9100000000001</v>
      </c>
    </row>
    <row r="1561" spans="1:10" x14ac:dyDescent="0.35">
      <c r="A1561">
        <v>1545</v>
      </c>
      <c r="B1561" s="75">
        <v>88.87</v>
      </c>
      <c r="C1561" s="75">
        <v>98.07</v>
      </c>
      <c r="D1561" s="75">
        <v>93.46</v>
      </c>
      <c r="E1561" s="75">
        <v>94.37</v>
      </c>
      <c r="F1561">
        <v>2257.86</v>
      </c>
      <c r="G1561">
        <v>205.95000000000002</v>
      </c>
      <c r="H1561">
        <v>-1280.8</v>
      </c>
      <c r="I1561">
        <v>-993.1</v>
      </c>
      <c r="J1561">
        <v>189.90999999999997</v>
      </c>
    </row>
    <row r="1562" spans="1:10" x14ac:dyDescent="0.35">
      <c r="A1562">
        <v>1546</v>
      </c>
      <c r="B1562" s="75">
        <v>89.118399999999994</v>
      </c>
      <c r="C1562" s="75">
        <v>97.754900000000006</v>
      </c>
      <c r="D1562" s="75">
        <v>93.729699999999994</v>
      </c>
      <c r="E1562" s="75">
        <v>93.0989</v>
      </c>
      <c r="F1562">
        <v>1436.1599999999999</v>
      </c>
      <c r="G1562">
        <v>682.5</v>
      </c>
      <c r="H1562">
        <v>-1827.2</v>
      </c>
      <c r="I1562">
        <v>281.7</v>
      </c>
      <c r="J1562">
        <v>573.15999999999985</v>
      </c>
    </row>
    <row r="1563" spans="1:10" x14ac:dyDescent="0.35">
      <c r="A1563">
        <v>1547</v>
      </c>
      <c r="B1563" s="75">
        <v>89.71</v>
      </c>
      <c r="C1563" s="75">
        <v>99.06</v>
      </c>
      <c r="D1563" s="75">
        <v>93.19</v>
      </c>
      <c r="E1563" s="75">
        <v>94.27</v>
      </c>
      <c r="F1563">
        <v>-528</v>
      </c>
      <c r="G1563">
        <v>-1271.25</v>
      </c>
      <c r="H1563">
        <v>-740.19999999999993</v>
      </c>
      <c r="I1563">
        <v>-891.4</v>
      </c>
      <c r="J1563">
        <v>-3430.85</v>
      </c>
    </row>
    <row r="1564" spans="1:10" x14ac:dyDescent="0.35">
      <c r="A1564">
        <v>1548</v>
      </c>
      <c r="B1564" s="75">
        <v>89.741900000000001</v>
      </c>
      <c r="C1564" s="75">
        <v>97.777000000000001</v>
      </c>
      <c r="D1564" s="75">
        <v>95.2898</v>
      </c>
      <c r="E1564" s="75">
        <v>89.531400000000005</v>
      </c>
      <c r="F1564">
        <v>-621.39</v>
      </c>
      <c r="G1564">
        <v>649.35</v>
      </c>
      <c r="H1564">
        <v>-4947.3999999999996</v>
      </c>
      <c r="I1564">
        <v>3849.2000000000003</v>
      </c>
      <c r="J1564">
        <v>-1070.2399999999993</v>
      </c>
    </row>
    <row r="1565" spans="1:10" x14ac:dyDescent="0.35">
      <c r="A1565">
        <v>1549</v>
      </c>
      <c r="B1565" s="75">
        <v>89.29</v>
      </c>
      <c r="C1565" s="75">
        <v>98.89</v>
      </c>
      <c r="D1565" s="75">
        <v>92.34</v>
      </c>
      <c r="E1565" s="75">
        <v>93.35</v>
      </c>
      <c r="F1565">
        <v>864.6</v>
      </c>
      <c r="G1565">
        <v>-1021.3499999999999</v>
      </c>
      <c r="H1565">
        <v>961.8</v>
      </c>
      <c r="I1565">
        <v>26.599999999999998</v>
      </c>
      <c r="J1565">
        <v>831.65000000000009</v>
      </c>
    </row>
    <row r="1566" spans="1:10" x14ac:dyDescent="0.35">
      <c r="A1566">
        <v>1550</v>
      </c>
      <c r="B1566" s="75">
        <v>90.100099999999998</v>
      </c>
      <c r="C1566" s="75">
        <v>98.802199999999999</v>
      </c>
      <c r="D1566" s="75">
        <v>93.569599999999994</v>
      </c>
      <c r="E1566" s="75">
        <v>96.565299999999993</v>
      </c>
      <c r="F1566">
        <v>-1803.45</v>
      </c>
      <c r="G1566">
        <v>-888.45</v>
      </c>
      <c r="H1566">
        <v>-1507</v>
      </c>
      <c r="I1566">
        <v>-3184.7</v>
      </c>
      <c r="J1566">
        <v>-7383.5999999999995</v>
      </c>
    </row>
    <row r="1567" spans="1:10" x14ac:dyDescent="0.35">
      <c r="A1567">
        <v>1551</v>
      </c>
      <c r="B1567" s="75">
        <v>90.01</v>
      </c>
      <c r="C1567" s="75">
        <v>97.85</v>
      </c>
      <c r="D1567" s="75">
        <v>94.31</v>
      </c>
      <c r="E1567" s="75">
        <v>92.33</v>
      </c>
      <c r="F1567">
        <v>-1516.3500000000001</v>
      </c>
      <c r="G1567">
        <v>536.85</v>
      </c>
      <c r="H1567">
        <v>-2986.2000000000003</v>
      </c>
      <c r="I1567">
        <v>1054.3</v>
      </c>
      <c r="J1567">
        <v>-2911.4000000000005</v>
      </c>
    </row>
    <row r="1568" spans="1:10" x14ac:dyDescent="0.35">
      <c r="A1568">
        <v>1552</v>
      </c>
      <c r="B1568" s="75">
        <v>88.845399999999998</v>
      </c>
      <c r="C1568" s="75">
        <v>98.3583</v>
      </c>
      <c r="D1568" s="75">
        <v>93.490499999999997</v>
      </c>
      <c r="E1568" s="75">
        <v>94.860299999999995</v>
      </c>
      <c r="F1568">
        <v>2337.06</v>
      </c>
      <c r="G1568">
        <v>-222.6</v>
      </c>
      <c r="H1568">
        <v>-1348.8</v>
      </c>
      <c r="I1568">
        <v>-1479.7</v>
      </c>
      <c r="J1568">
        <v>-714.04</v>
      </c>
    </row>
    <row r="1569" spans="1:10" x14ac:dyDescent="0.35">
      <c r="A1569">
        <v>1553</v>
      </c>
      <c r="B1569" s="75">
        <v>89.29</v>
      </c>
      <c r="C1569" s="75">
        <v>99</v>
      </c>
      <c r="D1569" s="75">
        <v>93.43</v>
      </c>
      <c r="E1569" s="75">
        <v>92.07</v>
      </c>
      <c r="F1569">
        <v>856.68</v>
      </c>
      <c r="G1569">
        <v>-1181.55</v>
      </c>
      <c r="H1569">
        <v>-1235.2</v>
      </c>
      <c r="I1569">
        <v>1309.1999999999998</v>
      </c>
      <c r="J1569">
        <v>-250.87000000000035</v>
      </c>
    </row>
    <row r="1570" spans="1:10" x14ac:dyDescent="0.35">
      <c r="A1570">
        <v>1554</v>
      </c>
      <c r="B1570" s="75">
        <v>89.463700000000003</v>
      </c>
      <c r="C1570" s="75">
        <v>98.328999999999994</v>
      </c>
      <c r="D1570" s="75">
        <v>93.936199999999999</v>
      </c>
      <c r="E1570" s="75">
        <v>92.604900000000001</v>
      </c>
      <c r="F1570">
        <v>296.66999999999996</v>
      </c>
      <c r="G1570">
        <v>-178.65</v>
      </c>
      <c r="H1570">
        <v>-2240.2000000000003</v>
      </c>
      <c r="I1570">
        <v>775.69999999999993</v>
      </c>
      <c r="J1570">
        <v>-1346.4800000000005</v>
      </c>
    </row>
    <row r="1571" spans="1:10" x14ac:dyDescent="0.35">
      <c r="A1571">
        <v>1555</v>
      </c>
      <c r="B1571" s="75">
        <v>90.17</v>
      </c>
      <c r="C1571" s="75">
        <v>98.6</v>
      </c>
      <c r="D1571" s="75">
        <v>93.8</v>
      </c>
      <c r="E1571" s="75">
        <v>94.73</v>
      </c>
      <c r="F1571">
        <v>-2020.26</v>
      </c>
      <c r="G1571">
        <v>-591.15</v>
      </c>
      <c r="H1571">
        <v>-1974.3999999999999</v>
      </c>
      <c r="I1571">
        <v>-1350.9</v>
      </c>
      <c r="J1571">
        <v>-5936.7099999999991</v>
      </c>
    </row>
    <row r="1572" spans="1:10" x14ac:dyDescent="0.35">
      <c r="A1572">
        <v>1556</v>
      </c>
      <c r="B1572" s="75">
        <v>89.985100000000003</v>
      </c>
      <c r="C1572" s="75">
        <v>96.712400000000002</v>
      </c>
      <c r="D1572" s="75">
        <v>94.218900000000005</v>
      </c>
      <c r="E1572" s="75">
        <v>94.329800000000006</v>
      </c>
      <c r="F1572">
        <v>-1423.95</v>
      </c>
      <c r="G1572">
        <v>2246.25</v>
      </c>
      <c r="H1572">
        <v>-2805.6</v>
      </c>
      <c r="I1572">
        <v>-949.2</v>
      </c>
      <c r="J1572">
        <v>-2932.5</v>
      </c>
    </row>
    <row r="1573" spans="1:10" x14ac:dyDescent="0.35">
      <c r="A1573">
        <v>1557</v>
      </c>
      <c r="B1573" s="75">
        <v>89.4</v>
      </c>
      <c r="C1573" s="75">
        <v>98.66</v>
      </c>
      <c r="D1573" s="75">
        <v>91.73</v>
      </c>
      <c r="E1573" s="75">
        <v>94.89</v>
      </c>
      <c r="F1573">
        <v>507.21000000000004</v>
      </c>
      <c r="G1573">
        <v>-677.55</v>
      </c>
      <c r="H1573">
        <v>2170</v>
      </c>
      <c r="I1573">
        <v>-1509.9</v>
      </c>
      <c r="J1573">
        <v>489.76</v>
      </c>
    </row>
    <row r="1574" spans="1:10" x14ac:dyDescent="0.35">
      <c r="A1574">
        <v>1558</v>
      </c>
      <c r="B1574" s="75">
        <v>88.518299999999996</v>
      </c>
      <c r="C1574" s="75">
        <v>96.975800000000007</v>
      </c>
      <c r="D1574" s="75">
        <v>92.603200000000001</v>
      </c>
      <c r="E1574" s="75">
        <v>93.072400000000002</v>
      </c>
      <c r="F1574">
        <v>3416.4900000000002</v>
      </c>
      <c r="G1574">
        <v>1851.1499999999999</v>
      </c>
      <c r="H1574">
        <v>425.8</v>
      </c>
      <c r="I1574">
        <v>308.2</v>
      </c>
      <c r="J1574">
        <v>6001.64</v>
      </c>
    </row>
    <row r="1575" spans="1:10" x14ac:dyDescent="0.35">
      <c r="A1575">
        <v>1559</v>
      </c>
      <c r="B1575" s="75">
        <v>88.58</v>
      </c>
      <c r="C1575" s="75">
        <v>99.2</v>
      </c>
      <c r="D1575" s="75">
        <v>91.11</v>
      </c>
      <c r="E1575" s="75">
        <v>93.94</v>
      </c>
      <c r="F1575">
        <v>3218.82</v>
      </c>
      <c r="G1575">
        <v>-1491</v>
      </c>
      <c r="H1575">
        <v>3409.8</v>
      </c>
      <c r="I1575">
        <v>-554.5</v>
      </c>
      <c r="J1575">
        <v>4583.1200000000008</v>
      </c>
    </row>
    <row r="1576" spans="1:10" x14ac:dyDescent="0.35">
      <c r="A1576">
        <v>1560</v>
      </c>
      <c r="B1576" s="75">
        <v>89.442999999999998</v>
      </c>
      <c r="C1576" s="75">
        <v>99.162800000000004</v>
      </c>
      <c r="D1576" s="75">
        <v>93.083200000000005</v>
      </c>
      <c r="E1576" s="75">
        <v>91.043700000000001</v>
      </c>
      <c r="F1576">
        <v>364.98</v>
      </c>
      <c r="G1576">
        <v>-1429.35</v>
      </c>
      <c r="H1576">
        <v>-534.20000000000005</v>
      </c>
      <c r="I1576">
        <v>2336.9</v>
      </c>
      <c r="J1576">
        <v>738.33000000000015</v>
      </c>
    </row>
    <row r="1577" spans="1:10" x14ac:dyDescent="0.35">
      <c r="A1577">
        <v>1561</v>
      </c>
      <c r="B1577" s="75">
        <v>89.5</v>
      </c>
      <c r="C1577" s="75">
        <v>97.14</v>
      </c>
      <c r="D1577" s="75">
        <v>94.24</v>
      </c>
      <c r="E1577" s="75">
        <v>95.34</v>
      </c>
      <c r="F1577">
        <v>167.31</v>
      </c>
      <c r="G1577">
        <v>1601.8500000000001</v>
      </c>
      <c r="H1577">
        <v>-2849</v>
      </c>
      <c r="I1577">
        <v>-1955.8</v>
      </c>
      <c r="J1577">
        <v>-3035.64</v>
      </c>
    </row>
    <row r="1578" spans="1:10" x14ac:dyDescent="0.35">
      <c r="A1578">
        <v>1562</v>
      </c>
      <c r="B1578" s="75">
        <v>88.629300000000001</v>
      </c>
      <c r="C1578" s="75">
        <v>99.222700000000003</v>
      </c>
      <c r="D1578" s="75">
        <v>92.213899999999995</v>
      </c>
      <c r="E1578" s="75">
        <v>93.1614</v>
      </c>
      <c r="F1578">
        <v>3050.19</v>
      </c>
      <c r="G1578">
        <v>-1519.1999999999998</v>
      </c>
      <c r="H1578">
        <v>1204.3999999999999</v>
      </c>
      <c r="I1578">
        <v>219.20000000000002</v>
      </c>
      <c r="J1578">
        <v>2954.59</v>
      </c>
    </row>
    <row r="1579" spans="1:10" x14ac:dyDescent="0.35">
      <c r="A1579">
        <v>1563</v>
      </c>
      <c r="B1579" s="75">
        <v>89.91</v>
      </c>
      <c r="C1579" s="75">
        <v>97.51</v>
      </c>
      <c r="D1579" s="75">
        <v>93.62</v>
      </c>
      <c r="E1579" s="75">
        <v>92.71</v>
      </c>
      <c r="F1579">
        <v>-1187.3399999999999</v>
      </c>
      <c r="G1579">
        <v>1055.7</v>
      </c>
      <c r="H1579">
        <v>-1597.8000000000002</v>
      </c>
      <c r="I1579">
        <v>667.8</v>
      </c>
      <c r="J1579">
        <v>-1061.6400000000001</v>
      </c>
    </row>
    <row r="1580" spans="1:10" x14ac:dyDescent="0.35">
      <c r="A1580">
        <v>1564</v>
      </c>
      <c r="B1580" s="75">
        <v>89.8506</v>
      </c>
      <c r="C1580" s="75">
        <v>98.696700000000007</v>
      </c>
      <c r="D1580" s="75">
        <v>92.859499999999997</v>
      </c>
      <c r="E1580" s="75">
        <v>93.730199999999996</v>
      </c>
      <c r="F1580">
        <v>-980.09999999999991</v>
      </c>
      <c r="G1580">
        <v>-730.2</v>
      </c>
      <c r="H1580">
        <v>-86.8</v>
      </c>
      <c r="I1580">
        <v>-349.6</v>
      </c>
      <c r="J1580">
        <v>-2146.6999999999998</v>
      </c>
    </row>
    <row r="1581" spans="1:10" x14ac:dyDescent="0.35">
      <c r="A1581">
        <v>1565</v>
      </c>
      <c r="B1581" s="75">
        <v>89.86</v>
      </c>
      <c r="C1581" s="75">
        <v>99.26</v>
      </c>
      <c r="D1581" s="75">
        <v>91.98</v>
      </c>
      <c r="E1581" s="75">
        <v>91.95</v>
      </c>
      <c r="F1581">
        <v>-1008.4799999999999</v>
      </c>
      <c r="G1581">
        <v>-1578.15</v>
      </c>
      <c r="H1581">
        <v>1670.6000000000001</v>
      </c>
      <c r="I1581">
        <v>1428.3999999999999</v>
      </c>
      <c r="J1581">
        <v>512.36999999999989</v>
      </c>
    </row>
    <row r="1582" spans="1:10" x14ac:dyDescent="0.35">
      <c r="A1582">
        <v>1566</v>
      </c>
      <c r="B1582" s="75">
        <v>90.042900000000003</v>
      </c>
      <c r="C1582" s="75">
        <v>97.222099999999998</v>
      </c>
      <c r="D1582" s="75">
        <v>92.765199999999993</v>
      </c>
      <c r="E1582" s="75">
        <v>93.829099999999997</v>
      </c>
      <c r="F1582">
        <v>-1614.69</v>
      </c>
      <c r="G1582">
        <v>1481.7</v>
      </c>
      <c r="H1582">
        <v>101.8</v>
      </c>
      <c r="I1582">
        <v>-448.5</v>
      </c>
      <c r="J1582">
        <v>-479.69</v>
      </c>
    </row>
    <row r="1583" spans="1:10" x14ac:dyDescent="0.35">
      <c r="A1583">
        <v>1567</v>
      </c>
      <c r="B1583" s="75">
        <v>89.04</v>
      </c>
      <c r="C1583" s="75">
        <v>98.78</v>
      </c>
      <c r="D1583" s="75">
        <v>93.85</v>
      </c>
      <c r="E1583" s="75">
        <v>93.93</v>
      </c>
      <c r="F1583">
        <v>1698.8400000000001</v>
      </c>
      <c r="G1583">
        <v>-851.25</v>
      </c>
      <c r="H1583">
        <v>-2071.8000000000002</v>
      </c>
      <c r="I1583">
        <v>-546</v>
      </c>
      <c r="J1583">
        <v>-1770.21</v>
      </c>
    </row>
    <row r="1584" spans="1:10" x14ac:dyDescent="0.35">
      <c r="A1584">
        <v>1568</v>
      </c>
      <c r="B1584" s="75">
        <v>89.557100000000005</v>
      </c>
      <c r="C1584" s="75">
        <v>98.487300000000005</v>
      </c>
      <c r="D1584" s="75">
        <v>91.973699999999994</v>
      </c>
      <c r="E1584" s="75">
        <v>93.762299999999996</v>
      </c>
      <c r="F1584">
        <v>-11.55</v>
      </c>
      <c r="G1584">
        <v>-416.09999999999997</v>
      </c>
      <c r="H1584">
        <v>1684.8000000000002</v>
      </c>
      <c r="I1584">
        <v>-381.7</v>
      </c>
      <c r="J1584">
        <v>875.45</v>
      </c>
    </row>
    <row r="1585" spans="1:10" x14ac:dyDescent="0.35">
      <c r="A1585">
        <v>1569</v>
      </c>
      <c r="B1585" s="75">
        <v>89.47</v>
      </c>
      <c r="C1585" s="75">
        <v>97.77</v>
      </c>
      <c r="D1585" s="75">
        <v>91.85</v>
      </c>
      <c r="E1585" s="75">
        <v>92.47</v>
      </c>
      <c r="F1585">
        <v>275.55</v>
      </c>
      <c r="G1585">
        <v>661.35</v>
      </c>
      <c r="H1585">
        <v>1940</v>
      </c>
      <c r="I1585">
        <v>907.90000000000009</v>
      </c>
      <c r="J1585">
        <v>3784.8</v>
      </c>
    </row>
    <row r="1586" spans="1:10" x14ac:dyDescent="0.35">
      <c r="A1586">
        <v>1570</v>
      </c>
      <c r="B1586" s="75">
        <v>89.513499999999993</v>
      </c>
      <c r="C1586" s="75">
        <v>98.718500000000006</v>
      </c>
      <c r="D1586" s="75">
        <v>92.419799999999995</v>
      </c>
      <c r="E1586" s="75">
        <v>94.92</v>
      </c>
      <c r="F1586">
        <v>132.32999999999998</v>
      </c>
      <c r="G1586">
        <v>-762.90000000000009</v>
      </c>
      <c r="H1586">
        <v>792.6</v>
      </c>
      <c r="I1586">
        <v>-1539.4</v>
      </c>
      <c r="J1586">
        <v>-1377.3700000000003</v>
      </c>
    </row>
    <row r="1587" spans="1:10" x14ac:dyDescent="0.35">
      <c r="A1587">
        <v>1571</v>
      </c>
      <c r="B1587" s="75">
        <v>89.44</v>
      </c>
      <c r="C1587" s="75">
        <v>99.02</v>
      </c>
      <c r="D1587" s="75">
        <v>93.92</v>
      </c>
      <c r="E1587" s="75">
        <v>93.98</v>
      </c>
      <c r="F1587">
        <v>372.90000000000003</v>
      </c>
      <c r="G1587">
        <v>-1207.6500000000001</v>
      </c>
      <c r="H1587">
        <v>-2208</v>
      </c>
      <c r="I1587">
        <v>-594.5</v>
      </c>
      <c r="J1587">
        <v>-3637.25</v>
      </c>
    </row>
    <row r="1588" spans="1:10" x14ac:dyDescent="0.35">
      <c r="A1588">
        <v>1572</v>
      </c>
      <c r="B1588" s="75">
        <v>89.512600000000006</v>
      </c>
      <c r="C1588" s="75">
        <v>97.836799999999997</v>
      </c>
      <c r="D1588" s="75">
        <v>93.316800000000001</v>
      </c>
      <c r="E1588" s="75">
        <v>92.183800000000005</v>
      </c>
      <c r="F1588">
        <v>135.30000000000001</v>
      </c>
      <c r="G1588">
        <v>559.65</v>
      </c>
      <c r="H1588">
        <v>-1001.4000000000001</v>
      </c>
      <c r="I1588">
        <v>1196.8000000000002</v>
      </c>
      <c r="J1588">
        <v>890.35000000000014</v>
      </c>
    </row>
    <row r="1589" spans="1:10" x14ac:dyDescent="0.35">
      <c r="A1589">
        <v>1573</v>
      </c>
      <c r="B1589" s="75">
        <v>89.56</v>
      </c>
      <c r="C1589" s="75">
        <v>98.25</v>
      </c>
      <c r="D1589" s="75">
        <v>93.63</v>
      </c>
      <c r="E1589" s="75">
        <v>94.12</v>
      </c>
      <c r="F1589">
        <v>-35.309999999999995</v>
      </c>
      <c r="G1589">
        <v>-65.55</v>
      </c>
      <c r="H1589">
        <v>-1618.8</v>
      </c>
      <c r="I1589">
        <v>-739.4</v>
      </c>
      <c r="J1589">
        <v>-2459.06</v>
      </c>
    </row>
    <row r="1590" spans="1:10" x14ac:dyDescent="0.35">
      <c r="A1590">
        <v>1574</v>
      </c>
      <c r="B1590" s="75">
        <v>90.396699999999996</v>
      </c>
      <c r="C1590" s="75">
        <v>99.012200000000007</v>
      </c>
      <c r="D1590" s="75">
        <v>93.110799999999998</v>
      </c>
      <c r="E1590" s="75">
        <v>91.934700000000007</v>
      </c>
      <c r="F1590">
        <v>-2782.23</v>
      </c>
      <c r="G1590">
        <v>-1203.45</v>
      </c>
      <c r="H1590">
        <v>-589.40000000000009</v>
      </c>
      <c r="I1590">
        <v>1445.8999999999999</v>
      </c>
      <c r="J1590">
        <v>-3129.1800000000003</v>
      </c>
    </row>
    <row r="1591" spans="1:10" x14ac:dyDescent="0.35">
      <c r="A1591">
        <v>1575</v>
      </c>
      <c r="B1591" s="75">
        <v>90.28</v>
      </c>
      <c r="C1591" s="75">
        <v>96.44</v>
      </c>
      <c r="D1591" s="75">
        <v>94.69</v>
      </c>
      <c r="E1591" s="75">
        <v>94.83</v>
      </c>
      <c r="F1591">
        <v>-2394.81</v>
      </c>
      <c r="G1591">
        <v>2655</v>
      </c>
      <c r="H1591">
        <v>-3743.3999999999996</v>
      </c>
      <c r="I1591">
        <v>-1450.3999999999999</v>
      </c>
      <c r="J1591">
        <v>-4933.6099999999997</v>
      </c>
    </row>
    <row r="1592" spans="1:10" x14ac:dyDescent="0.35">
      <c r="A1592">
        <v>1576</v>
      </c>
      <c r="B1592" s="75">
        <v>90.127499999999998</v>
      </c>
      <c r="C1592" s="75">
        <v>97.518600000000006</v>
      </c>
      <c r="D1592" s="75">
        <v>92.696200000000005</v>
      </c>
      <c r="E1592" s="75">
        <v>93.064800000000005</v>
      </c>
      <c r="F1592">
        <v>-1893.87</v>
      </c>
      <c r="G1592">
        <v>1036.95</v>
      </c>
      <c r="H1592">
        <v>239.8</v>
      </c>
      <c r="I1592">
        <v>315.8</v>
      </c>
      <c r="J1592">
        <v>-301.31999999999988</v>
      </c>
    </row>
    <row r="1593" spans="1:10" x14ac:dyDescent="0.35">
      <c r="A1593">
        <v>1577</v>
      </c>
      <c r="B1593" s="75">
        <v>89.96</v>
      </c>
      <c r="C1593" s="75">
        <v>97.98</v>
      </c>
      <c r="D1593" s="75">
        <v>91.71</v>
      </c>
      <c r="E1593" s="75">
        <v>93.08</v>
      </c>
      <c r="F1593">
        <v>-1328.91</v>
      </c>
      <c r="G1593">
        <v>347.7</v>
      </c>
      <c r="H1593">
        <v>2206.7999999999997</v>
      </c>
      <c r="I1593">
        <v>297.70000000000005</v>
      </c>
      <c r="J1593">
        <v>1523.2899999999997</v>
      </c>
    </row>
    <row r="1594" spans="1:10" x14ac:dyDescent="0.35">
      <c r="A1594">
        <v>1578</v>
      </c>
      <c r="B1594" s="75">
        <v>89.477500000000006</v>
      </c>
      <c r="C1594" s="75">
        <v>98.497100000000003</v>
      </c>
      <c r="D1594" s="75">
        <v>92.415400000000005</v>
      </c>
      <c r="E1594" s="75">
        <v>90.8386</v>
      </c>
      <c r="F1594">
        <v>251.13</v>
      </c>
      <c r="G1594">
        <v>-430.8</v>
      </c>
      <c r="H1594">
        <v>801.4</v>
      </c>
      <c r="I1594">
        <v>2542</v>
      </c>
      <c r="J1594">
        <v>3163.73</v>
      </c>
    </row>
    <row r="1595" spans="1:10" x14ac:dyDescent="0.35">
      <c r="A1595">
        <v>1579</v>
      </c>
      <c r="B1595" s="75">
        <v>90.26</v>
      </c>
      <c r="C1595" s="75">
        <v>98.77</v>
      </c>
      <c r="D1595" s="75">
        <v>92.24</v>
      </c>
      <c r="E1595" s="75">
        <v>92.64</v>
      </c>
      <c r="F1595">
        <v>-2332.11</v>
      </c>
      <c r="G1595">
        <v>-836.25</v>
      </c>
      <c r="H1595">
        <v>1151.2</v>
      </c>
      <c r="I1595">
        <v>739.4</v>
      </c>
      <c r="J1595">
        <v>-1277.7600000000002</v>
      </c>
    </row>
    <row r="1596" spans="1:10" x14ac:dyDescent="0.35">
      <c r="A1596">
        <v>1580</v>
      </c>
      <c r="B1596" s="75">
        <v>88.748699999999999</v>
      </c>
      <c r="C1596" s="75">
        <v>97.417100000000005</v>
      </c>
      <c r="D1596" s="75">
        <v>92.330399999999997</v>
      </c>
      <c r="E1596" s="75">
        <v>91.367999999999995</v>
      </c>
      <c r="F1596">
        <v>2656.1699999999996</v>
      </c>
      <c r="G1596">
        <v>1189.1999999999998</v>
      </c>
      <c r="H1596">
        <v>971.40000000000009</v>
      </c>
      <c r="I1596">
        <v>2012.6</v>
      </c>
      <c r="J1596">
        <v>6829.369999999999</v>
      </c>
    </row>
    <row r="1597" spans="1:10" x14ac:dyDescent="0.35">
      <c r="A1597">
        <v>1581</v>
      </c>
      <c r="B1597" s="75">
        <v>89.85</v>
      </c>
      <c r="C1597" s="75">
        <v>99.29</v>
      </c>
      <c r="D1597" s="75">
        <v>91.6</v>
      </c>
      <c r="E1597" s="75">
        <v>93.95</v>
      </c>
      <c r="F1597">
        <v>-968.88000000000011</v>
      </c>
      <c r="G1597">
        <v>-1617.9</v>
      </c>
      <c r="H1597">
        <v>2427.1999999999998</v>
      </c>
      <c r="I1597">
        <v>-569.1</v>
      </c>
      <c r="J1597">
        <v>-728.6800000000004</v>
      </c>
    </row>
    <row r="1598" spans="1:10" x14ac:dyDescent="0.35">
      <c r="A1598">
        <v>1582</v>
      </c>
      <c r="B1598" s="75">
        <v>90.006699999999995</v>
      </c>
      <c r="C1598" s="75">
        <v>97.860100000000003</v>
      </c>
      <c r="D1598" s="75">
        <v>93.295400000000001</v>
      </c>
      <c r="E1598" s="75">
        <v>94.885999999999996</v>
      </c>
      <c r="F1598">
        <v>-1495.23</v>
      </c>
      <c r="G1598">
        <v>524.70000000000005</v>
      </c>
      <c r="H1598">
        <v>-958.6</v>
      </c>
      <c r="I1598">
        <v>-1505.4</v>
      </c>
      <c r="J1598">
        <v>-3434.53</v>
      </c>
    </row>
    <row r="1599" spans="1:10" x14ac:dyDescent="0.35">
      <c r="A1599">
        <v>1583</v>
      </c>
      <c r="B1599" s="75">
        <v>90.03</v>
      </c>
      <c r="C1599" s="75">
        <v>97.53</v>
      </c>
      <c r="D1599" s="75">
        <v>92.33</v>
      </c>
      <c r="E1599" s="75">
        <v>93.49</v>
      </c>
      <c r="F1599">
        <v>-1555.9499999999998</v>
      </c>
      <c r="G1599">
        <v>1015.6500000000001</v>
      </c>
      <c r="H1599">
        <v>970.19999999999993</v>
      </c>
      <c r="I1599">
        <v>-104.80000000000001</v>
      </c>
      <c r="J1599">
        <v>325.10000000000019</v>
      </c>
    </row>
    <row r="1600" spans="1:10" x14ac:dyDescent="0.35">
      <c r="A1600">
        <v>1584</v>
      </c>
      <c r="B1600" s="75">
        <v>88.737200000000001</v>
      </c>
      <c r="C1600" s="75">
        <v>97.851200000000006</v>
      </c>
      <c r="D1600" s="75">
        <v>90.617599999999996</v>
      </c>
      <c r="E1600" s="75">
        <v>91.682000000000002</v>
      </c>
      <c r="F1600">
        <v>2694.12</v>
      </c>
      <c r="G1600">
        <v>538.05000000000007</v>
      </c>
      <c r="H1600">
        <v>4397</v>
      </c>
      <c r="I1600">
        <v>1698.6000000000001</v>
      </c>
      <c r="J1600">
        <v>9327.77</v>
      </c>
    </row>
    <row r="1601" spans="1:10" x14ac:dyDescent="0.35">
      <c r="A1601">
        <v>1585</v>
      </c>
      <c r="B1601" s="75">
        <v>89.02</v>
      </c>
      <c r="C1601" s="75">
        <v>99.07</v>
      </c>
      <c r="D1601" s="75">
        <v>93</v>
      </c>
      <c r="E1601" s="75">
        <v>89.02</v>
      </c>
      <c r="F1601">
        <v>1757.58</v>
      </c>
      <c r="G1601">
        <v>-1295.0999999999999</v>
      </c>
      <c r="H1601">
        <v>-374.2</v>
      </c>
      <c r="I1601">
        <v>4355.8</v>
      </c>
      <c r="J1601">
        <v>4444.08</v>
      </c>
    </row>
    <row r="1602" spans="1:10" x14ac:dyDescent="0.35">
      <c r="A1602">
        <v>1586</v>
      </c>
      <c r="B1602" s="75">
        <v>89.745999999999995</v>
      </c>
      <c r="C1602" s="75">
        <v>99.266900000000007</v>
      </c>
      <c r="D1602" s="75">
        <v>93.381699999999995</v>
      </c>
      <c r="E1602" s="75">
        <v>92.878399999999999</v>
      </c>
      <c r="F1602">
        <v>-634.91999999999996</v>
      </c>
      <c r="G1602">
        <v>-1585.5</v>
      </c>
      <c r="H1602">
        <v>-1131.2</v>
      </c>
      <c r="I1602">
        <v>502.2</v>
      </c>
      <c r="J1602">
        <v>-2849.42</v>
      </c>
    </row>
    <row r="1603" spans="1:10" x14ac:dyDescent="0.35">
      <c r="A1603">
        <v>1587</v>
      </c>
      <c r="B1603" s="75">
        <v>89.59</v>
      </c>
      <c r="C1603" s="75">
        <v>97.94</v>
      </c>
      <c r="D1603" s="75">
        <v>92.55</v>
      </c>
      <c r="E1603" s="75">
        <v>91.02</v>
      </c>
      <c r="F1603">
        <v>-130.68</v>
      </c>
      <c r="G1603">
        <v>402.3</v>
      </c>
      <c r="H1603">
        <v>529.59999999999991</v>
      </c>
      <c r="I1603">
        <v>2357.2000000000003</v>
      </c>
      <c r="J1603">
        <v>3158.42</v>
      </c>
    </row>
    <row r="1604" spans="1:10" x14ac:dyDescent="0.35">
      <c r="A1604">
        <v>1588</v>
      </c>
      <c r="B1604" s="75">
        <v>89.234700000000004</v>
      </c>
      <c r="C1604" s="75">
        <v>97.576300000000003</v>
      </c>
      <c r="D1604" s="75">
        <v>93.287499999999994</v>
      </c>
      <c r="E1604" s="75">
        <v>93.718699999999998</v>
      </c>
      <c r="F1604">
        <v>1052.3700000000001</v>
      </c>
      <c r="G1604">
        <v>950.40000000000009</v>
      </c>
      <c r="H1604">
        <v>-942.8</v>
      </c>
      <c r="I1604">
        <v>-338.1</v>
      </c>
      <c r="J1604">
        <v>721.87000000000023</v>
      </c>
    </row>
    <row r="1605" spans="1:10" x14ac:dyDescent="0.35">
      <c r="A1605">
        <v>1589</v>
      </c>
      <c r="B1605" s="75">
        <v>89.88</v>
      </c>
      <c r="C1605" s="75">
        <v>97.25</v>
      </c>
      <c r="D1605" s="75">
        <v>94.37</v>
      </c>
      <c r="E1605" s="75">
        <v>91.29</v>
      </c>
      <c r="F1605">
        <v>-1060.6200000000001</v>
      </c>
      <c r="G1605">
        <v>1438.6499999999999</v>
      </c>
      <c r="H1605">
        <v>-3100.6</v>
      </c>
      <c r="I1605">
        <v>2094.5</v>
      </c>
      <c r="J1605">
        <v>-628.07000000000016</v>
      </c>
    </row>
    <row r="1606" spans="1:10" x14ac:dyDescent="0.35">
      <c r="A1606">
        <v>1590</v>
      </c>
      <c r="B1606" s="75">
        <v>89.898600000000002</v>
      </c>
      <c r="C1606" s="75">
        <v>98.232299999999995</v>
      </c>
      <c r="D1606" s="75">
        <v>94.351299999999995</v>
      </c>
      <c r="E1606" s="75">
        <v>97.992599999999996</v>
      </c>
      <c r="F1606">
        <v>-1138.5</v>
      </c>
      <c r="G1606">
        <v>-33.6</v>
      </c>
      <c r="H1606">
        <v>-3070.3999999999996</v>
      </c>
      <c r="I1606">
        <v>-4612</v>
      </c>
      <c r="J1606">
        <v>-8854.5</v>
      </c>
    </row>
    <row r="1607" spans="1:10" x14ac:dyDescent="0.35">
      <c r="A1607">
        <v>1591</v>
      </c>
      <c r="B1607" s="75">
        <v>90.38</v>
      </c>
      <c r="C1607" s="75">
        <v>97.83</v>
      </c>
      <c r="D1607" s="75">
        <v>92.3</v>
      </c>
      <c r="E1607" s="75">
        <v>94.13</v>
      </c>
      <c r="F1607">
        <v>-2736.69</v>
      </c>
      <c r="G1607">
        <v>564.6</v>
      </c>
      <c r="H1607">
        <v>1027.8</v>
      </c>
      <c r="I1607">
        <v>-748.6</v>
      </c>
      <c r="J1607">
        <v>-1892.8900000000003</v>
      </c>
    </row>
    <row r="1608" spans="1:10" x14ac:dyDescent="0.35">
      <c r="A1608">
        <v>1592</v>
      </c>
      <c r="B1608" s="75">
        <v>88.912300000000002</v>
      </c>
      <c r="C1608" s="75">
        <v>99.675200000000004</v>
      </c>
      <c r="D1608" s="75">
        <v>91.403599999999997</v>
      </c>
      <c r="E1608" s="75">
        <v>93.705100000000002</v>
      </c>
      <c r="F1608">
        <v>2116.29</v>
      </c>
      <c r="G1608">
        <v>-2197.9500000000003</v>
      </c>
      <c r="H1608">
        <v>2825</v>
      </c>
      <c r="I1608">
        <v>-324.5</v>
      </c>
      <c r="J1608">
        <v>2418.8399999999997</v>
      </c>
    </row>
    <row r="1609" spans="1:10" x14ac:dyDescent="0.35">
      <c r="A1609">
        <v>1593</v>
      </c>
      <c r="B1609" s="75">
        <v>90.62</v>
      </c>
      <c r="C1609" s="75">
        <v>99.35</v>
      </c>
      <c r="D1609" s="75">
        <v>93.81</v>
      </c>
      <c r="E1609" s="75">
        <v>94.91</v>
      </c>
      <c r="F1609">
        <v>-3519.12</v>
      </c>
      <c r="G1609">
        <v>-1715.1</v>
      </c>
      <c r="H1609">
        <v>-1985.4</v>
      </c>
      <c r="I1609">
        <v>-1524.5</v>
      </c>
      <c r="J1609">
        <v>-8744.119999999999</v>
      </c>
    </row>
    <row r="1610" spans="1:10" x14ac:dyDescent="0.35">
      <c r="A1610">
        <v>1594</v>
      </c>
      <c r="B1610" s="75">
        <v>90.221400000000003</v>
      </c>
      <c r="C1610" s="75">
        <v>100.5946</v>
      </c>
      <c r="D1610" s="75">
        <v>94.117000000000004</v>
      </c>
      <c r="E1610" s="75">
        <v>92.646299999999997</v>
      </c>
      <c r="F1610">
        <v>-2203.7399999999998</v>
      </c>
      <c r="G1610">
        <v>-3577.05</v>
      </c>
      <c r="H1610">
        <v>-2601.7999999999997</v>
      </c>
      <c r="I1610">
        <v>734.3</v>
      </c>
      <c r="J1610">
        <v>-7648.29</v>
      </c>
    </row>
    <row r="1611" spans="1:10" x14ac:dyDescent="0.35">
      <c r="A1611">
        <v>1595</v>
      </c>
      <c r="B1611" s="75">
        <v>90.15</v>
      </c>
      <c r="C1611" s="75">
        <v>97.96</v>
      </c>
      <c r="D1611" s="75">
        <v>93.86</v>
      </c>
      <c r="E1611" s="75">
        <v>95.58</v>
      </c>
      <c r="F1611">
        <v>-1981.3200000000002</v>
      </c>
      <c r="G1611">
        <v>370.95</v>
      </c>
      <c r="H1611">
        <v>-2091.2000000000003</v>
      </c>
      <c r="I1611">
        <v>-2195.9</v>
      </c>
      <c r="J1611">
        <v>-5897.4700000000012</v>
      </c>
    </row>
    <row r="1612" spans="1:10" x14ac:dyDescent="0.35">
      <c r="A1612">
        <v>1596</v>
      </c>
      <c r="B1612" s="75">
        <v>89.651399999999995</v>
      </c>
      <c r="C1612" s="75">
        <v>98.4499</v>
      </c>
      <c r="D1612" s="75">
        <v>92.600099999999998</v>
      </c>
      <c r="E1612" s="75">
        <v>94.143900000000002</v>
      </c>
      <c r="F1612">
        <v>-322.74</v>
      </c>
      <c r="G1612">
        <v>-360</v>
      </c>
      <c r="H1612">
        <v>432</v>
      </c>
      <c r="I1612">
        <v>-763.3</v>
      </c>
      <c r="J1612">
        <v>-1014.04</v>
      </c>
    </row>
    <row r="1613" spans="1:10" x14ac:dyDescent="0.35">
      <c r="A1613">
        <v>1597</v>
      </c>
      <c r="B1613" s="75">
        <v>89.97</v>
      </c>
      <c r="C1613" s="75">
        <v>97.42</v>
      </c>
      <c r="D1613" s="75">
        <v>94.36</v>
      </c>
      <c r="E1613" s="75">
        <v>94.99</v>
      </c>
      <c r="F1613">
        <v>-1378.0800000000002</v>
      </c>
      <c r="G1613">
        <v>1189.05</v>
      </c>
      <c r="H1613">
        <v>-3078.6</v>
      </c>
      <c r="I1613">
        <v>-1612</v>
      </c>
      <c r="J1613">
        <v>-4879.63</v>
      </c>
    </row>
    <row r="1614" spans="1:10" x14ac:dyDescent="0.35">
      <c r="A1614">
        <v>1598</v>
      </c>
      <c r="B1614" s="75">
        <v>89.563800000000001</v>
      </c>
      <c r="C1614" s="75">
        <v>97.619600000000005</v>
      </c>
      <c r="D1614" s="75">
        <v>93.402900000000002</v>
      </c>
      <c r="E1614" s="75">
        <v>93.441500000000005</v>
      </c>
      <c r="F1614">
        <v>-33.660000000000004</v>
      </c>
      <c r="G1614">
        <v>885.45</v>
      </c>
      <c r="H1614">
        <v>-1173.5999999999999</v>
      </c>
      <c r="I1614">
        <v>-60.900000000000006</v>
      </c>
      <c r="J1614">
        <v>-382.70999999999981</v>
      </c>
    </row>
    <row r="1615" spans="1:10" x14ac:dyDescent="0.35">
      <c r="A1615">
        <v>1599</v>
      </c>
      <c r="B1615" s="75">
        <v>89.36</v>
      </c>
      <c r="C1615" s="75">
        <v>97.33</v>
      </c>
      <c r="D1615" s="75">
        <v>92.86</v>
      </c>
      <c r="E1615" s="75">
        <v>94.08</v>
      </c>
      <c r="F1615">
        <v>631.62</v>
      </c>
      <c r="G1615">
        <v>1318.5</v>
      </c>
      <c r="H1615">
        <v>-96.600000000000009</v>
      </c>
      <c r="I1615">
        <v>-695.1</v>
      </c>
      <c r="J1615">
        <v>1158.42</v>
      </c>
    </row>
    <row r="1616" spans="1:10" x14ac:dyDescent="0.35">
      <c r="A1616">
        <v>1600</v>
      </c>
      <c r="B1616" s="75">
        <v>88.564499999999995</v>
      </c>
      <c r="C1616" s="75">
        <v>97.721400000000003</v>
      </c>
      <c r="D1616" s="75">
        <v>91.641800000000003</v>
      </c>
      <c r="E1616" s="75">
        <v>94.374600000000001</v>
      </c>
      <c r="F1616">
        <v>3264.0299999999997</v>
      </c>
      <c r="G1616">
        <v>732.75</v>
      </c>
      <c r="H1616">
        <v>2348.6</v>
      </c>
      <c r="I1616">
        <v>-994</v>
      </c>
      <c r="J1616">
        <v>5351.3799999999992</v>
      </c>
    </row>
    <row r="1617" spans="1:10" x14ac:dyDescent="0.35">
      <c r="A1617">
        <v>1601</v>
      </c>
      <c r="B1617" s="75">
        <v>89.29</v>
      </c>
      <c r="C1617" s="75">
        <v>97.82</v>
      </c>
      <c r="D1617" s="75">
        <v>93.11</v>
      </c>
      <c r="E1617" s="75">
        <v>91.83</v>
      </c>
      <c r="F1617">
        <v>884.73</v>
      </c>
      <c r="G1617">
        <v>585.9</v>
      </c>
      <c r="H1617">
        <v>-588.6</v>
      </c>
      <c r="I1617">
        <v>1550</v>
      </c>
      <c r="J1617">
        <v>2432.0300000000002</v>
      </c>
    </row>
    <row r="1618" spans="1:10" x14ac:dyDescent="0.35">
      <c r="A1618">
        <v>1602</v>
      </c>
      <c r="B1618" s="75">
        <v>89.226799999999997</v>
      </c>
      <c r="C1618" s="75">
        <v>98.647000000000006</v>
      </c>
      <c r="D1618" s="75">
        <v>92.433700000000002</v>
      </c>
      <c r="E1618" s="75">
        <v>93.727199999999996</v>
      </c>
      <c r="F1618">
        <v>1078.4399999999998</v>
      </c>
      <c r="G1618">
        <v>-655.65</v>
      </c>
      <c r="H1618">
        <v>764.80000000000007</v>
      </c>
      <c r="I1618">
        <v>-346.6</v>
      </c>
      <c r="J1618">
        <v>840.9899999999999</v>
      </c>
    </row>
    <row r="1619" spans="1:10" x14ac:dyDescent="0.35">
      <c r="A1619">
        <v>1603</v>
      </c>
      <c r="B1619" s="75">
        <v>90</v>
      </c>
      <c r="C1619" s="75">
        <v>100.05</v>
      </c>
      <c r="D1619" s="75">
        <v>90.62</v>
      </c>
      <c r="E1619" s="75">
        <v>93.79</v>
      </c>
      <c r="F1619">
        <v>-1480.38</v>
      </c>
      <c r="G1619">
        <v>-2765.7000000000003</v>
      </c>
      <c r="H1619">
        <v>4391.8</v>
      </c>
      <c r="I1619">
        <v>-408.6</v>
      </c>
      <c r="J1619">
        <v>-262.87999999999977</v>
      </c>
    </row>
    <row r="1620" spans="1:10" x14ac:dyDescent="0.35">
      <c r="A1620">
        <v>1604</v>
      </c>
      <c r="B1620" s="75">
        <v>89.142200000000003</v>
      </c>
      <c r="C1620" s="75">
        <v>97.712800000000001</v>
      </c>
      <c r="D1620" s="75">
        <v>92.388099999999994</v>
      </c>
      <c r="E1620" s="75">
        <v>95.468999999999994</v>
      </c>
      <c r="F1620">
        <v>1357.62</v>
      </c>
      <c r="G1620">
        <v>745.65</v>
      </c>
      <c r="H1620">
        <v>856</v>
      </c>
      <c r="I1620">
        <v>-2088.4</v>
      </c>
      <c r="J1620">
        <v>870.86999999999989</v>
      </c>
    </row>
    <row r="1621" spans="1:10" x14ac:dyDescent="0.35">
      <c r="A1621">
        <v>1605</v>
      </c>
      <c r="B1621" s="75">
        <v>89.26</v>
      </c>
      <c r="C1621" s="75">
        <v>96.47</v>
      </c>
      <c r="D1621" s="75">
        <v>92.27</v>
      </c>
      <c r="E1621" s="75">
        <v>92.13</v>
      </c>
      <c r="F1621">
        <v>957.99</v>
      </c>
      <c r="G1621">
        <v>2615.85</v>
      </c>
      <c r="H1621">
        <v>1085</v>
      </c>
      <c r="I1621">
        <v>1254.6999999999998</v>
      </c>
      <c r="J1621">
        <v>5913.54</v>
      </c>
    </row>
    <row r="1622" spans="1:10" x14ac:dyDescent="0.35">
      <c r="A1622">
        <v>1606</v>
      </c>
      <c r="B1622" s="75">
        <v>89.224400000000003</v>
      </c>
      <c r="C1622" s="75">
        <v>98.671499999999995</v>
      </c>
      <c r="D1622" s="75">
        <v>94.752200000000002</v>
      </c>
      <c r="E1622" s="75">
        <v>92.111800000000002</v>
      </c>
      <c r="F1622">
        <v>1086.3599999999999</v>
      </c>
      <c r="G1622">
        <v>-692.4</v>
      </c>
      <c r="H1622">
        <v>-3872.2</v>
      </c>
      <c r="I1622">
        <v>1268.8</v>
      </c>
      <c r="J1622">
        <v>-2209.4399999999996</v>
      </c>
    </row>
    <row r="1623" spans="1:10" x14ac:dyDescent="0.35">
      <c r="A1623">
        <v>1607</v>
      </c>
      <c r="B1623" s="75">
        <v>89.44</v>
      </c>
      <c r="C1623" s="75">
        <v>96.41</v>
      </c>
      <c r="D1623" s="75">
        <v>92.58</v>
      </c>
      <c r="E1623" s="75">
        <v>91.64</v>
      </c>
      <c r="F1623">
        <v>381.47999999999996</v>
      </c>
      <c r="G1623">
        <v>2705.25</v>
      </c>
      <c r="H1623">
        <v>469.8</v>
      </c>
      <c r="I1623">
        <v>1740.5</v>
      </c>
      <c r="J1623">
        <v>5297.0300000000007</v>
      </c>
    </row>
    <row r="1624" spans="1:10" x14ac:dyDescent="0.35">
      <c r="A1624">
        <v>1608</v>
      </c>
      <c r="B1624" s="75">
        <v>89.6614</v>
      </c>
      <c r="C1624" s="75">
        <v>98.033299999999997</v>
      </c>
      <c r="D1624" s="75">
        <v>93.042400000000001</v>
      </c>
      <c r="E1624" s="75">
        <v>93.144900000000007</v>
      </c>
      <c r="F1624">
        <v>-355.74</v>
      </c>
      <c r="G1624">
        <v>264.90000000000003</v>
      </c>
      <c r="H1624">
        <v>-452.6</v>
      </c>
      <c r="I1624">
        <v>235.7</v>
      </c>
      <c r="J1624">
        <v>-307.74000000000007</v>
      </c>
    </row>
    <row r="1625" spans="1:10" x14ac:dyDescent="0.35">
      <c r="A1625">
        <v>1609</v>
      </c>
      <c r="B1625" s="75">
        <v>89.63</v>
      </c>
      <c r="C1625" s="75">
        <v>98.04</v>
      </c>
      <c r="D1625" s="75">
        <v>94.2</v>
      </c>
      <c r="E1625" s="75">
        <v>90.15</v>
      </c>
      <c r="F1625">
        <v>-244.53</v>
      </c>
      <c r="G1625">
        <v>259.5</v>
      </c>
      <c r="H1625">
        <v>-2767.3999999999996</v>
      </c>
      <c r="I1625">
        <v>3226.3</v>
      </c>
      <c r="J1625">
        <v>473.87000000000035</v>
      </c>
    </row>
    <row r="1626" spans="1:10" x14ac:dyDescent="0.35">
      <c r="A1626">
        <v>1610</v>
      </c>
      <c r="B1626" s="75">
        <v>90.301100000000005</v>
      </c>
      <c r="C1626" s="75">
        <v>98.3078</v>
      </c>
      <c r="D1626" s="75">
        <v>93.200699999999998</v>
      </c>
      <c r="E1626" s="75">
        <v>92.800700000000006</v>
      </c>
      <c r="F1626">
        <v>-2466.75</v>
      </c>
      <c r="G1626">
        <v>-146.85</v>
      </c>
      <c r="H1626">
        <v>-769.2</v>
      </c>
      <c r="I1626">
        <v>579.9</v>
      </c>
      <c r="J1626">
        <v>-2802.9</v>
      </c>
    </row>
    <row r="1627" spans="1:10" x14ac:dyDescent="0.35">
      <c r="A1627">
        <v>1611</v>
      </c>
      <c r="B1627" s="75">
        <v>89.2</v>
      </c>
      <c r="C1627" s="75">
        <v>97.8</v>
      </c>
      <c r="D1627" s="75">
        <v>93.64</v>
      </c>
      <c r="E1627" s="75">
        <v>93.35</v>
      </c>
      <c r="F1627">
        <v>1158.96</v>
      </c>
      <c r="G1627">
        <v>608.70000000000005</v>
      </c>
      <c r="H1627">
        <v>-1644.2</v>
      </c>
      <c r="I1627">
        <v>26.3</v>
      </c>
      <c r="J1627">
        <v>149.76000000000005</v>
      </c>
    </row>
    <row r="1628" spans="1:10" x14ac:dyDescent="0.35">
      <c r="A1628">
        <v>1612</v>
      </c>
      <c r="B1628" s="75">
        <v>89.675799999999995</v>
      </c>
      <c r="C1628" s="75">
        <v>97.525499999999994</v>
      </c>
      <c r="D1628" s="75">
        <v>94.037599999999998</v>
      </c>
      <c r="E1628" s="75">
        <v>94.076800000000006</v>
      </c>
      <c r="F1628">
        <v>-403.26</v>
      </c>
      <c r="G1628">
        <v>1026.5999999999999</v>
      </c>
      <c r="H1628">
        <v>-2443</v>
      </c>
      <c r="I1628">
        <v>-696.2</v>
      </c>
      <c r="J1628">
        <v>-2515.86</v>
      </c>
    </row>
    <row r="1629" spans="1:10" x14ac:dyDescent="0.35">
      <c r="A1629">
        <v>1613</v>
      </c>
      <c r="B1629" s="75">
        <v>88.86</v>
      </c>
      <c r="C1629" s="75">
        <v>97.81</v>
      </c>
      <c r="D1629" s="75">
        <v>92.58</v>
      </c>
      <c r="E1629" s="75">
        <v>92.19</v>
      </c>
      <c r="F1629">
        <v>2274.0300000000002</v>
      </c>
      <c r="G1629">
        <v>605.85</v>
      </c>
      <c r="H1629">
        <v>467.4</v>
      </c>
      <c r="I1629">
        <v>1191.5999999999999</v>
      </c>
      <c r="J1629">
        <v>4538.88</v>
      </c>
    </row>
    <row r="1630" spans="1:10" x14ac:dyDescent="0.35">
      <c r="A1630">
        <v>1614</v>
      </c>
      <c r="B1630" s="75">
        <v>89.351299999999995</v>
      </c>
      <c r="C1630" s="75">
        <v>98.610100000000003</v>
      </c>
      <c r="D1630" s="75">
        <v>92.882599999999996</v>
      </c>
      <c r="E1630" s="75">
        <v>91.478300000000004</v>
      </c>
      <c r="F1630">
        <v>667.59</v>
      </c>
      <c r="G1630">
        <v>-600.29999999999995</v>
      </c>
      <c r="H1630">
        <v>-133</v>
      </c>
      <c r="I1630">
        <v>1902.3000000000002</v>
      </c>
      <c r="J1630">
        <v>1836.5900000000001</v>
      </c>
    </row>
    <row r="1631" spans="1:10" x14ac:dyDescent="0.35">
      <c r="A1631">
        <v>1615</v>
      </c>
      <c r="B1631" s="75">
        <v>89.27</v>
      </c>
      <c r="C1631" s="75">
        <v>98.8</v>
      </c>
      <c r="D1631" s="75">
        <v>91.23</v>
      </c>
      <c r="E1631" s="75">
        <v>91.75</v>
      </c>
      <c r="F1631">
        <v>935.55</v>
      </c>
      <c r="G1631">
        <v>-889.5</v>
      </c>
      <c r="H1631">
        <v>3174.2</v>
      </c>
      <c r="I1631">
        <v>1632.8</v>
      </c>
      <c r="J1631">
        <v>4853.05</v>
      </c>
    </row>
    <row r="1632" spans="1:10" x14ac:dyDescent="0.35">
      <c r="A1632">
        <v>1616</v>
      </c>
      <c r="B1632" s="75">
        <v>89.9238</v>
      </c>
      <c r="C1632" s="75">
        <v>97.807699999999997</v>
      </c>
      <c r="D1632" s="75">
        <v>93.626900000000006</v>
      </c>
      <c r="E1632" s="75">
        <v>95.484099999999998</v>
      </c>
      <c r="F1632">
        <v>-1221.6599999999999</v>
      </c>
      <c r="G1632">
        <v>603.29999999999995</v>
      </c>
      <c r="H1632">
        <v>-1621.6</v>
      </c>
      <c r="I1632">
        <v>-2103.5</v>
      </c>
      <c r="J1632">
        <v>-4343.46</v>
      </c>
    </row>
    <row r="1633" spans="1:10" x14ac:dyDescent="0.35">
      <c r="A1633">
        <v>1617</v>
      </c>
      <c r="B1633" s="75">
        <v>89.81</v>
      </c>
      <c r="C1633" s="75">
        <v>97.49</v>
      </c>
      <c r="D1633" s="75">
        <v>91.55</v>
      </c>
      <c r="E1633" s="75">
        <v>94.4</v>
      </c>
      <c r="F1633">
        <v>-844.80000000000007</v>
      </c>
      <c r="G1633">
        <v>1081.5</v>
      </c>
      <c r="H1633">
        <v>2542</v>
      </c>
      <c r="I1633">
        <v>-1014.8999999999999</v>
      </c>
      <c r="J1633">
        <v>1763.8</v>
      </c>
    </row>
    <row r="1634" spans="1:10" x14ac:dyDescent="0.35">
      <c r="A1634">
        <v>1618</v>
      </c>
      <c r="B1634" s="75">
        <v>89.314800000000005</v>
      </c>
      <c r="C1634" s="75">
        <v>98.420500000000004</v>
      </c>
      <c r="D1634" s="75">
        <v>93.947900000000004</v>
      </c>
      <c r="E1634" s="75">
        <v>89.858999999999995</v>
      </c>
      <c r="F1634">
        <v>788.04000000000008</v>
      </c>
      <c r="G1634">
        <v>-315.90000000000003</v>
      </c>
      <c r="H1634">
        <v>-2263.6</v>
      </c>
      <c r="I1634">
        <v>3521.6</v>
      </c>
      <c r="J1634">
        <v>1730.14</v>
      </c>
    </row>
    <row r="1635" spans="1:10" x14ac:dyDescent="0.35">
      <c r="A1635">
        <v>1619</v>
      </c>
      <c r="B1635" s="75">
        <v>89.39</v>
      </c>
      <c r="C1635" s="75">
        <v>98.61</v>
      </c>
      <c r="D1635" s="75">
        <v>91.86</v>
      </c>
      <c r="E1635" s="75">
        <v>91.12</v>
      </c>
      <c r="F1635">
        <v>551.76</v>
      </c>
      <c r="G1635">
        <v>-607.04999999999995</v>
      </c>
      <c r="H1635">
        <v>1912.8</v>
      </c>
      <c r="I1635">
        <v>2257.8000000000002</v>
      </c>
      <c r="J1635">
        <v>4115.3100000000004</v>
      </c>
    </row>
    <row r="1636" spans="1:10" x14ac:dyDescent="0.35">
      <c r="A1636">
        <v>1620</v>
      </c>
      <c r="B1636" s="75">
        <v>89.6858</v>
      </c>
      <c r="C1636" s="75">
        <v>97.859899999999996</v>
      </c>
      <c r="D1636" s="75">
        <v>94.237499999999997</v>
      </c>
      <c r="E1636" s="75">
        <v>94.739099999999993</v>
      </c>
      <c r="F1636">
        <v>-436.26000000000005</v>
      </c>
      <c r="G1636">
        <v>525</v>
      </c>
      <c r="H1636">
        <v>-2842.8</v>
      </c>
      <c r="I1636">
        <v>-1358.5</v>
      </c>
      <c r="J1636">
        <v>-4112.5600000000004</v>
      </c>
    </row>
    <row r="1637" spans="1:10" x14ac:dyDescent="0.35">
      <c r="A1637">
        <v>1621</v>
      </c>
      <c r="B1637" s="75">
        <v>89.41</v>
      </c>
      <c r="C1637" s="75">
        <v>97.79</v>
      </c>
      <c r="D1637" s="75">
        <v>92.2</v>
      </c>
      <c r="E1637" s="75">
        <v>93.69</v>
      </c>
      <c r="F1637">
        <v>462.00000000000006</v>
      </c>
      <c r="G1637">
        <v>628.20000000000005</v>
      </c>
      <c r="H1637">
        <v>1222.5999999999999</v>
      </c>
      <c r="I1637">
        <v>-313.7</v>
      </c>
      <c r="J1637">
        <v>1999.1000000000001</v>
      </c>
    </row>
    <row r="1638" spans="1:10" x14ac:dyDescent="0.35">
      <c r="A1638">
        <v>1622</v>
      </c>
      <c r="B1638" s="75">
        <v>90.167900000000003</v>
      </c>
      <c r="C1638" s="75">
        <v>100.06319999999999</v>
      </c>
      <c r="D1638" s="75">
        <v>93.694800000000001</v>
      </c>
      <c r="E1638" s="75">
        <v>93.776499999999999</v>
      </c>
      <c r="F1638">
        <v>-2027.1899999999998</v>
      </c>
      <c r="G1638">
        <v>-2779.95</v>
      </c>
      <c r="H1638">
        <v>-1757.4</v>
      </c>
      <c r="I1638">
        <v>-395.9</v>
      </c>
      <c r="J1638">
        <v>-6960.4399999999987</v>
      </c>
    </row>
    <row r="1639" spans="1:10" x14ac:dyDescent="0.35">
      <c r="A1639">
        <v>1623</v>
      </c>
      <c r="B1639" s="75">
        <v>88.57</v>
      </c>
      <c r="C1639" s="75">
        <v>97.47</v>
      </c>
      <c r="D1639" s="75">
        <v>92.98</v>
      </c>
      <c r="E1639" s="75">
        <v>95.72</v>
      </c>
      <c r="F1639">
        <v>3237.96</v>
      </c>
      <c r="G1639">
        <v>1102.6499999999999</v>
      </c>
      <c r="H1639">
        <v>-331.6</v>
      </c>
      <c r="I1639">
        <v>-2343.4</v>
      </c>
      <c r="J1639">
        <v>1665.6099999999997</v>
      </c>
    </row>
    <row r="1640" spans="1:10" x14ac:dyDescent="0.35">
      <c r="A1640">
        <v>1624</v>
      </c>
      <c r="B1640" s="75">
        <v>89.160399999999996</v>
      </c>
      <c r="C1640" s="75">
        <v>96.819299999999998</v>
      </c>
      <c r="D1640" s="75">
        <v>93.721599999999995</v>
      </c>
      <c r="E1640" s="75">
        <v>94.1447</v>
      </c>
      <c r="F1640">
        <v>1297.56</v>
      </c>
      <c r="G1640">
        <v>2085.9</v>
      </c>
      <c r="H1640">
        <v>-1811</v>
      </c>
      <c r="I1640">
        <v>-764.1</v>
      </c>
      <c r="J1640">
        <v>808.36</v>
      </c>
    </row>
    <row r="1641" spans="1:10" x14ac:dyDescent="0.35">
      <c r="A1641">
        <v>1625</v>
      </c>
      <c r="B1641" s="75">
        <v>89.66</v>
      </c>
      <c r="C1641" s="75">
        <v>98.32</v>
      </c>
      <c r="D1641" s="75">
        <v>93.41</v>
      </c>
      <c r="E1641" s="75">
        <v>93.61</v>
      </c>
      <c r="F1641">
        <v>-356.73</v>
      </c>
      <c r="G1641">
        <v>-172.5</v>
      </c>
      <c r="H1641">
        <v>-1179.5999999999999</v>
      </c>
      <c r="I1641">
        <v>-230.2</v>
      </c>
      <c r="J1641">
        <v>-1939.03</v>
      </c>
    </row>
    <row r="1642" spans="1:10" x14ac:dyDescent="0.35">
      <c r="A1642">
        <v>1626</v>
      </c>
      <c r="B1642" s="75">
        <v>88.766199999999998</v>
      </c>
      <c r="C1642" s="75">
        <v>99.384299999999996</v>
      </c>
      <c r="D1642" s="75">
        <v>91.916600000000003</v>
      </c>
      <c r="E1642" s="75">
        <v>92.343599999999995</v>
      </c>
      <c r="F1642">
        <v>2598.42</v>
      </c>
      <c r="G1642">
        <v>-1761.6000000000001</v>
      </c>
      <c r="H1642">
        <v>1799</v>
      </c>
      <c r="I1642">
        <v>1037</v>
      </c>
      <c r="J1642">
        <v>3672.8199999999997</v>
      </c>
    </row>
    <row r="1643" spans="1:10" x14ac:dyDescent="0.35">
      <c r="A1643">
        <v>1627</v>
      </c>
      <c r="B1643" s="75">
        <v>89.35</v>
      </c>
      <c r="C1643" s="75">
        <v>97.9</v>
      </c>
      <c r="D1643" s="75">
        <v>91.56</v>
      </c>
      <c r="E1643" s="75">
        <v>92.11</v>
      </c>
      <c r="F1643">
        <v>687.72</v>
      </c>
      <c r="G1643">
        <v>469.79999999999995</v>
      </c>
      <c r="H1643">
        <v>2512.6</v>
      </c>
      <c r="I1643">
        <v>1267.3000000000002</v>
      </c>
      <c r="J1643">
        <v>4937.42</v>
      </c>
    </row>
    <row r="1644" spans="1:10" x14ac:dyDescent="0.35">
      <c r="A1644">
        <v>1628</v>
      </c>
      <c r="B1644" s="75">
        <v>90.003699999999995</v>
      </c>
      <c r="C1644" s="75">
        <v>98.949100000000001</v>
      </c>
      <c r="D1644" s="75">
        <v>91.994299999999996</v>
      </c>
      <c r="E1644" s="75">
        <v>95.257099999999994</v>
      </c>
      <c r="F1644">
        <v>-1485.33</v>
      </c>
      <c r="G1644">
        <v>-1108.8</v>
      </c>
      <c r="H1644">
        <v>1643.6</v>
      </c>
      <c r="I1644">
        <v>-1876.5</v>
      </c>
      <c r="J1644">
        <v>-2827.03</v>
      </c>
    </row>
    <row r="1645" spans="1:10" x14ac:dyDescent="0.35">
      <c r="A1645">
        <v>1629</v>
      </c>
      <c r="B1645" s="75">
        <v>89.77</v>
      </c>
      <c r="C1645" s="75">
        <v>99.51</v>
      </c>
      <c r="D1645" s="75">
        <v>93.67</v>
      </c>
      <c r="E1645" s="75">
        <v>93.71</v>
      </c>
      <c r="F1645">
        <v>-712.47</v>
      </c>
      <c r="G1645">
        <v>-1956.75</v>
      </c>
      <c r="H1645">
        <v>-1702.3999999999999</v>
      </c>
      <c r="I1645">
        <v>-330.5</v>
      </c>
      <c r="J1645">
        <v>-4702.12</v>
      </c>
    </row>
    <row r="1646" spans="1:10" x14ac:dyDescent="0.35">
      <c r="A1646">
        <v>1630</v>
      </c>
      <c r="B1646" s="75">
        <v>89.607299999999995</v>
      </c>
      <c r="C1646" s="75">
        <v>99.2851</v>
      </c>
      <c r="D1646" s="75">
        <v>94.636600000000001</v>
      </c>
      <c r="E1646" s="75">
        <v>94.444100000000006</v>
      </c>
      <c r="F1646">
        <v>-177.20999999999998</v>
      </c>
      <c r="G1646">
        <v>-1612.8</v>
      </c>
      <c r="H1646">
        <v>-3641</v>
      </c>
      <c r="I1646">
        <v>-1063.5</v>
      </c>
      <c r="J1646">
        <v>-6494.51</v>
      </c>
    </row>
    <row r="1647" spans="1:10" x14ac:dyDescent="0.35">
      <c r="A1647">
        <v>1631</v>
      </c>
      <c r="B1647" s="75">
        <v>89.64</v>
      </c>
      <c r="C1647" s="75">
        <v>96.23</v>
      </c>
      <c r="D1647" s="75">
        <v>90.25</v>
      </c>
      <c r="E1647" s="75">
        <v>93.11</v>
      </c>
      <c r="F1647">
        <v>-275.55</v>
      </c>
      <c r="G1647">
        <v>2965.3500000000004</v>
      </c>
      <c r="H1647">
        <v>5133.3999999999996</v>
      </c>
      <c r="I1647">
        <v>271.39999999999998</v>
      </c>
      <c r="J1647">
        <v>8094.5999999999995</v>
      </c>
    </row>
    <row r="1648" spans="1:10" x14ac:dyDescent="0.35">
      <c r="A1648">
        <v>1632</v>
      </c>
      <c r="B1648" s="75">
        <v>90.355900000000005</v>
      </c>
      <c r="C1648" s="75">
        <v>97.497299999999996</v>
      </c>
      <c r="D1648" s="75">
        <v>93.672499999999999</v>
      </c>
      <c r="E1648" s="75">
        <v>92.680599999999998</v>
      </c>
      <c r="F1648">
        <v>-2647.59</v>
      </c>
      <c r="G1648">
        <v>1068.9000000000001</v>
      </c>
      <c r="H1648">
        <v>-1712.8000000000002</v>
      </c>
      <c r="I1648">
        <v>700</v>
      </c>
      <c r="J1648">
        <v>-2591.4900000000002</v>
      </c>
    </row>
    <row r="1649" spans="1:10" x14ac:dyDescent="0.35">
      <c r="A1649">
        <v>1633</v>
      </c>
      <c r="B1649" s="75">
        <v>90.03</v>
      </c>
      <c r="C1649" s="75">
        <v>98.94</v>
      </c>
      <c r="D1649" s="75">
        <v>93.1</v>
      </c>
      <c r="E1649" s="75">
        <v>92.5</v>
      </c>
      <c r="F1649">
        <v>-1585.6499999999999</v>
      </c>
      <c r="G1649">
        <v>-1102.2</v>
      </c>
      <c r="H1649">
        <v>-567.20000000000005</v>
      </c>
      <c r="I1649">
        <v>875.80000000000007</v>
      </c>
      <c r="J1649">
        <v>-2379.25</v>
      </c>
    </row>
    <row r="1650" spans="1:10" x14ac:dyDescent="0.35">
      <c r="A1650">
        <v>1634</v>
      </c>
      <c r="B1650" s="75">
        <v>89.835800000000006</v>
      </c>
      <c r="C1650" s="75">
        <v>98.192800000000005</v>
      </c>
      <c r="D1650" s="75">
        <v>93.098100000000002</v>
      </c>
      <c r="E1650" s="75">
        <v>95.104100000000003</v>
      </c>
      <c r="F1650">
        <v>-931.26</v>
      </c>
      <c r="G1650">
        <v>25.650000000000002</v>
      </c>
      <c r="H1650">
        <v>-564</v>
      </c>
      <c r="I1650">
        <v>-1723.5</v>
      </c>
      <c r="J1650">
        <v>-3193.11</v>
      </c>
    </row>
    <row r="1651" spans="1:10" x14ac:dyDescent="0.35">
      <c r="A1651">
        <v>1635</v>
      </c>
      <c r="B1651" s="75">
        <v>89.92</v>
      </c>
      <c r="C1651" s="75">
        <v>98.76</v>
      </c>
      <c r="D1651" s="75">
        <v>93.17</v>
      </c>
      <c r="E1651" s="75">
        <v>92.54</v>
      </c>
      <c r="F1651">
        <v>-1204.17</v>
      </c>
      <c r="G1651">
        <v>-824.85000000000014</v>
      </c>
      <c r="H1651">
        <v>-715.6</v>
      </c>
      <c r="I1651">
        <v>844.30000000000007</v>
      </c>
      <c r="J1651">
        <v>-1900.3200000000002</v>
      </c>
    </row>
    <row r="1652" spans="1:10" x14ac:dyDescent="0.35">
      <c r="A1652">
        <v>1636</v>
      </c>
      <c r="B1652" s="75">
        <v>90.621899999999997</v>
      </c>
      <c r="C1652" s="75">
        <v>96.316900000000004</v>
      </c>
      <c r="D1652" s="75">
        <v>92.168300000000002</v>
      </c>
      <c r="E1652" s="75">
        <v>90.846400000000003</v>
      </c>
      <c r="F1652">
        <v>-3525.39</v>
      </c>
      <c r="G1652">
        <v>2839.5</v>
      </c>
      <c r="H1652">
        <v>1295.6000000000001</v>
      </c>
      <c r="I1652">
        <v>2534.1999999999998</v>
      </c>
      <c r="J1652">
        <v>3143.91</v>
      </c>
    </row>
    <row r="1653" spans="1:10" x14ac:dyDescent="0.35">
      <c r="A1653">
        <v>1637</v>
      </c>
      <c r="B1653" s="75">
        <v>90.57</v>
      </c>
      <c r="C1653" s="75">
        <v>97.28</v>
      </c>
      <c r="D1653" s="75">
        <v>92.14</v>
      </c>
      <c r="E1653" s="75">
        <v>91.56</v>
      </c>
      <c r="F1653">
        <v>-3337.9500000000003</v>
      </c>
      <c r="G1653">
        <v>1389.15</v>
      </c>
      <c r="H1653">
        <v>1362.2</v>
      </c>
      <c r="I1653">
        <v>1824.3</v>
      </c>
      <c r="J1653">
        <v>1237.6999999999998</v>
      </c>
    </row>
    <row r="1654" spans="1:10" x14ac:dyDescent="0.35">
      <c r="A1654">
        <v>1638</v>
      </c>
      <c r="B1654" s="75">
        <v>88.973699999999994</v>
      </c>
      <c r="C1654" s="75">
        <v>99.032300000000006</v>
      </c>
      <c r="D1654" s="75">
        <v>94.066000000000003</v>
      </c>
      <c r="E1654" s="75">
        <v>92.927999999999997</v>
      </c>
      <c r="F1654">
        <v>1913.6699999999998</v>
      </c>
      <c r="G1654">
        <v>-1233.6000000000001</v>
      </c>
      <c r="H1654">
        <v>-2499.8000000000002</v>
      </c>
      <c r="I1654">
        <v>452.6</v>
      </c>
      <c r="J1654">
        <v>-1367.1300000000006</v>
      </c>
    </row>
    <row r="1655" spans="1:10" x14ac:dyDescent="0.35">
      <c r="A1655">
        <v>1639</v>
      </c>
      <c r="B1655" s="75">
        <v>89.1</v>
      </c>
      <c r="C1655" s="75">
        <v>96.85</v>
      </c>
      <c r="D1655" s="75">
        <v>91.78</v>
      </c>
      <c r="E1655" s="75">
        <v>91.21</v>
      </c>
      <c r="F1655">
        <v>1489.6200000000001</v>
      </c>
      <c r="G1655">
        <v>2043.75</v>
      </c>
      <c r="H1655">
        <v>2065</v>
      </c>
      <c r="I1655">
        <v>2166.9</v>
      </c>
      <c r="J1655">
        <v>7765.27</v>
      </c>
    </row>
    <row r="1656" spans="1:10" x14ac:dyDescent="0.35">
      <c r="A1656">
        <v>1640</v>
      </c>
      <c r="B1656" s="75">
        <v>90.343100000000007</v>
      </c>
      <c r="C1656" s="75">
        <v>98.828699999999998</v>
      </c>
      <c r="D1656" s="75">
        <v>93.265600000000006</v>
      </c>
      <c r="E1656" s="75">
        <v>92.403300000000002</v>
      </c>
      <c r="F1656">
        <v>-2605.35</v>
      </c>
      <c r="G1656">
        <v>-928.2</v>
      </c>
      <c r="H1656">
        <v>-899</v>
      </c>
      <c r="I1656">
        <v>977.3</v>
      </c>
      <c r="J1656">
        <v>-3455.25</v>
      </c>
    </row>
    <row r="1657" spans="1:10" x14ac:dyDescent="0.35">
      <c r="A1657">
        <v>1641</v>
      </c>
      <c r="B1657" s="75">
        <v>89.6</v>
      </c>
      <c r="C1657" s="75">
        <v>97.97</v>
      </c>
      <c r="D1657" s="75">
        <v>92.44</v>
      </c>
      <c r="E1657" s="75">
        <v>94.19</v>
      </c>
      <c r="F1657">
        <v>-158.4</v>
      </c>
      <c r="G1657">
        <v>357.15000000000003</v>
      </c>
      <c r="H1657">
        <v>743</v>
      </c>
      <c r="I1657">
        <v>-811.5</v>
      </c>
      <c r="J1657">
        <v>130.25</v>
      </c>
    </row>
    <row r="1658" spans="1:10" x14ac:dyDescent="0.35">
      <c r="A1658">
        <v>1642</v>
      </c>
      <c r="B1658" s="75">
        <v>90.178399999999996</v>
      </c>
      <c r="C1658" s="75">
        <v>97.0792</v>
      </c>
      <c r="D1658" s="75">
        <v>93.323400000000007</v>
      </c>
      <c r="E1658" s="75">
        <v>94.260599999999997</v>
      </c>
      <c r="F1658">
        <v>-2061.84</v>
      </c>
      <c r="G1658">
        <v>1696.05</v>
      </c>
      <c r="H1658">
        <v>-1014.5999999999999</v>
      </c>
      <c r="I1658">
        <v>-880</v>
      </c>
      <c r="J1658">
        <v>-2260.3900000000003</v>
      </c>
    </row>
    <row r="1659" spans="1:10" x14ac:dyDescent="0.35">
      <c r="A1659">
        <v>1643</v>
      </c>
      <c r="B1659" s="75">
        <v>90.22</v>
      </c>
      <c r="C1659" s="75">
        <v>97.3</v>
      </c>
      <c r="D1659" s="75">
        <v>93.43</v>
      </c>
      <c r="E1659" s="75">
        <v>91.07</v>
      </c>
      <c r="F1659">
        <v>-2195.4899999999998</v>
      </c>
      <c r="G1659">
        <v>1370.25</v>
      </c>
      <c r="H1659">
        <v>-1227.8</v>
      </c>
      <c r="I1659">
        <v>2310.4</v>
      </c>
      <c r="J1659">
        <v>257.36000000000013</v>
      </c>
    </row>
    <row r="1660" spans="1:10" x14ac:dyDescent="0.35">
      <c r="A1660">
        <v>1644</v>
      </c>
      <c r="B1660" s="75">
        <v>89.610200000000006</v>
      </c>
      <c r="C1660" s="75">
        <v>98.781300000000002</v>
      </c>
      <c r="D1660" s="75">
        <v>92.442899999999995</v>
      </c>
      <c r="E1660" s="75">
        <v>92.719499999999996</v>
      </c>
      <c r="F1660">
        <v>-186.78</v>
      </c>
      <c r="G1660">
        <v>-857.1</v>
      </c>
      <c r="H1660">
        <v>746.4</v>
      </c>
      <c r="I1660">
        <v>661.1</v>
      </c>
      <c r="J1660">
        <v>363.61999999999989</v>
      </c>
    </row>
    <row r="1661" spans="1:10" x14ac:dyDescent="0.35">
      <c r="A1661">
        <v>1645</v>
      </c>
      <c r="B1661" s="75">
        <v>89.72</v>
      </c>
      <c r="C1661" s="75">
        <v>98.38</v>
      </c>
      <c r="D1661" s="75">
        <v>93.21</v>
      </c>
      <c r="E1661" s="75">
        <v>95.92</v>
      </c>
      <c r="F1661">
        <v>-548.79</v>
      </c>
      <c r="G1661">
        <v>-256.64999999999998</v>
      </c>
      <c r="H1661">
        <v>-796</v>
      </c>
      <c r="I1661">
        <v>-2543.4</v>
      </c>
      <c r="J1661">
        <v>-4144.84</v>
      </c>
    </row>
    <row r="1662" spans="1:10" x14ac:dyDescent="0.35">
      <c r="A1662">
        <v>1646</v>
      </c>
      <c r="B1662" s="75">
        <v>88.985900000000001</v>
      </c>
      <c r="C1662" s="75">
        <v>97.391599999999997</v>
      </c>
      <c r="D1662" s="75">
        <v>90.801000000000002</v>
      </c>
      <c r="E1662" s="75">
        <v>92.221800000000002</v>
      </c>
      <c r="F1662">
        <v>1873.4099999999999</v>
      </c>
      <c r="G1662">
        <v>1227.45</v>
      </c>
      <c r="H1662">
        <v>4030.2</v>
      </c>
      <c r="I1662">
        <v>1158.8</v>
      </c>
      <c r="J1662">
        <v>8289.8599999999988</v>
      </c>
    </row>
    <row r="1663" spans="1:10" x14ac:dyDescent="0.35">
      <c r="A1663">
        <v>1647</v>
      </c>
      <c r="B1663" s="75">
        <v>89.85</v>
      </c>
      <c r="C1663" s="75">
        <v>99.38</v>
      </c>
      <c r="D1663" s="75">
        <v>92.88</v>
      </c>
      <c r="E1663" s="75">
        <v>93.09</v>
      </c>
      <c r="F1663">
        <v>-991.9799999999999</v>
      </c>
      <c r="G1663">
        <v>-1759.8</v>
      </c>
      <c r="H1663">
        <v>-137</v>
      </c>
      <c r="I1663">
        <v>289</v>
      </c>
      <c r="J1663">
        <v>-2599.7799999999997</v>
      </c>
    </row>
    <row r="1664" spans="1:10" x14ac:dyDescent="0.35">
      <c r="A1664">
        <v>1648</v>
      </c>
      <c r="B1664" s="75">
        <v>89.608400000000003</v>
      </c>
      <c r="C1664" s="75">
        <v>97.579499999999996</v>
      </c>
      <c r="D1664" s="75">
        <v>92.468800000000002</v>
      </c>
      <c r="E1664" s="75">
        <v>92.398700000000005</v>
      </c>
      <c r="F1664">
        <v>-180.84</v>
      </c>
      <c r="G1664">
        <v>945.59999999999991</v>
      </c>
      <c r="H1664">
        <v>694.6</v>
      </c>
      <c r="I1664">
        <v>981.9</v>
      </c>
      <c r="J1664">
        <v>2441.2599999999998</v>
      </c>
    </row>
    <row r="1665" spans="1:10" x14ac:dyDescent="0.35">
      <c r="A1665">
        <v>1649</v>
      </c>
      <c r="B1665" s="75">
        <v>88.39</v>
      </c>
      <c r="C1665" s="75">
        <v>98.59</v>
      </c>
      <c r="D1665" s="75">
        <v>90.63</v>
      </c>
      <c r="E1665" s="75">
        <v>94.66</v>
      </c>
      <c r="F1665">
        <v>3839.5499999999997</v>
      </c>
      <c r="G1665">
        <v>-572.1</v>
      </c>
      <c r="H1665">
        <v>4368.4000000000005</v>
      </c>
      <c r="I1665">
        <v>-1278.8999999999999</v>
      </c>
      <c r="J1665">
        <v>6356.9500000000007</v>
      </c>
    </row>
    <row r="1666" spans="1:10" x14ac:dyDescent="0.35">
      <c r="A1666">
        <v>1650</v>
      </c>
      <c r="B1666" s="75">
        <v>89.314800000000005</v>
      </c>
      <c r="C1666" s="75">
        <v>96.301699999999997</v>
      </c>
      <c r="D1666" s="75">
        <v>92.897300000000001</v>
      </c>
      <c r="E1666" s="75">
        <v>96.238500000000002</v>
      </c>
      <c r="F1666">
        <v>788.04000000000008</v>
      </c>
      <c r="G1666">
        <v>2862.2999999999997</v>
      </c>
      <c r="H1666">
        <v>-162.39999999999998</v>
      </c>
      <c r="I1666">
        <v>-2857.9</v>
      </c>
      <c r="J1666">
        <v>630.03999999999951</v>
      </c>
    </row>
    <row r="1667" spans="1:10" x14ac:dyDescent="0.35">
      <c r="A1667">
        <v>1651</v>
      </c>
      <c r="B1667" s="75">
        <v>89.89</v>
      </c>
      <c r="C1667" s="75">
        <v>97.37</v>
      </c>
      <c r="D1667" s="75">
        <v>93.83</v>
      </c>
      <c r="E1667" s="75">
        <v>96.78</v>
      </c>
      <c r="F1667">
        <v>-1118.04</v>
      </c>
      <c r="G1667">
        <v>1263.1499999999999</v>
      </c>
      <c r="H1667">
        <v>-2035.4</v>
      </c>
      <c r="I1667">
        <v>-3396.5</v>
      </c>
      <c r="J1667">
        <v>-5286.79</v>
      </c>
    </row>
    <row r="1668" spans="1:10" x14ac:dyDescent="0.35">
      <c r="A1668">
        <v>1652</v>
      </c>
      <c r="B1668" s="75">
        <v>90.188299999999998</v>
      </c>
      <c r="C1668" s="75">
        <v>99.3245</v>
      </c>
      <c r="D1668" s="75">
        <v>94.712699999999998</v>
      </c>
      <c r="E1668" s="75">
        <v>92.061000000000007</v>
      </c>
      <c r="F1668">
        <v>-2094.5100000000002</v>
      </c>
      <c r="G1668">
        <v>-1671.9</v>
      </c>
      <c r="H1668">
        <v>-3793.2000000000003</v>
      </c>
      <c r="I1668">
        <v>1319.6000000000001</v>
      </c>
      <c r="J1668">
        <v>-6240.01</v>
      </c>
    </row>
    <row r="1669" spans="1:10" x14ac:dyDescent="0.35">
      <c r="A1669">
        <v>1653</v>
      </c>
      <c r="B1669" s="75">
        <v>88.85</v>
      </c>
      <c r="C1669" s="75">
        <v>98.24</v>
      </c>
      <c r="D1669" s="75">
        <v>92.28</v>
      </c>
      <c r="E1669" s="75">
        <v>93.06</v>
      </c>
      <c r="F1669">
        <v>2308.6799999999998</v>
      </c>
      <c r="G1669">
        <v>-45.75</v>
      </c>
      <c r="H1669">
        <v>1081</v>
      </c>
      <c r="I1669">
        <v>316.7</v>
      </c>
      <c r="J1669">
        <v>3660.6299999999997</v>
      </c>
    </row>
    <row r="1670" spans="1:10" x14ac:dyDescent="0.35">
      <c r="A1670">
        <v>1654</v>
      </c>
      <c r="B1670" s="75">
        <v>89.577600000000004</v>
      </c>
      <c r="C1670" s="75">
        <v>98.2791</v>
      </c>
      <c r="D1670" s="75">
        <v>92.788399999999996</v>
      </c>
      <c r="E1670" s="75">
        <v>91.357399999999998</v>
      </c>
      <c r="F1670">
        <v>-79.2</v>
      </c>
      <c r="G1670">
        <v>-103.8</v>
      </c>
      <c r="H1670">
        <v>55.4</v>
      </c>
      <c r="I1670">
        <v>2023.2</v>
      </c>
      <c r="J1670">
        <v>1895.6000000000001</v>
      </c>
    </row>
    <row r="1671" spans="1:10" x14ac:dyDescent="0.35">
      <c r="A1671">
        <v>1655</v>
      </c>
      <c r="B1671" s="75">
        <v>90.38</v>
      </c>
      <c r="C1671" s="75">
        <v>98.45</v>
      </c>
      <c r="D1671" s="75">
        <v>92.11</v>
      </c>
      <c r="E1671" s="75">
        <v>93.21</v>
      </c>
      <c r="F1671">
        <v>-2725.47</v>
      </c>
      <c r="G1671">
        <v>-363.6</v>
      </c>
      <c r="H1671">
        <v>1410.8</v>
      </c>
      <c r="I1671">
        <v>172.9</v>
      </c>
      <c r="J1671">
        <v>-1505.3699999999997</v>
      </c>
    </row>
    <row r="1672" spans="1:10" x14ac:dyDescent="0.35">
      <c r="A1672">
        <v>1656</v>
      </c>
      <c r="B1672" s="75">
        <v>90.064099999999996</v>
      </c>
      <c r="C1672" s="75">
        <v>96.86</v>
      </c>
      <c r="D1672" s="75">
        <v>92.0655</v>
      </c>
      <c r="E1672" s="75">
        <v>94.607299999999995</v>
      </c>
      <c r="F1672">
        <v>-1684.6499999999999</v>
      </c>
      <c r="G1672">
        <v>2024.8500000000001</v>
      </c>
      <c r="H1672">
        <v>1501.2</v>
      </c>
      <c r="I1672">
        <v>-1226.6999999999998</v>
      </c>
      <c r="J1672">
        <v>614.7000000000005</v>
      </c>
    </row>
    <row r="1673" spans="1:10" x14ac:dyDescent="0.35">
      <c r="A1673">
        <v>1657</v>
      </c>
      <c r="B1673" s="75">
        <v>88.69</v>
      </c>
      <c r="C1673" s="75">
        <v>98.08</v>
      </c>
      <c r="D1673" s="75">
        <v>92.95</v>
      </c>
      <c r="E1673" s="75">
        <v>92.64</v>
      </c>
      <c r="F1673">
        <v>2838.66</v>
      </c>
      <c r="G1673">
        <v>188.55</v>
      </c>
      <c r="H1673">
        <v>-260.79999999999995</v>
      </c>
      <c r="I1673">
        <v>738.4</v>
      </c>
      <c r="J1673">
        <v>3504.81</v>
      </c>
    </row>
    <row r="1674" spans="1:10" x14ac:dyDescent="0.35">
      <c r="A1674">
        <v>1658</v>
      </c>
      <c r="B1674" s="75">
        <v>89.340199999999996</v>
      </c>
      <c r="C1674" s="75">
        <v>98.509399999999999</v>
      </c>
      <c r="D1674" s="75">
        <v>91.625500000000002</v>
      </c>
      <c r="E1674" s="75">
        <v>95.093599999999995</v>
      </c>
      <c r="F1674">
        <v>704.22</v>
      </c>
      <c r="G1674">
        <v>-449.25</v>
      </c>
      <c r="H1674">
        <v>2381.2000000000003</v>
      </c>
      <c r="I1674">
        <v>-1713</v>
      </c>
      <c r="J1674">
        <v>923.17000000000007</v>
      </c>
    </row>
    <row r="1675" spans="1:10" x14ac:dyDescent="0.35">
      <c r="A1675">
        <v>1659</v>
      </c>
      <c r="B1675" s="75">
        <v>89.96</v>
      </c>
      <c r="C1675" s="75">
        <v>98.6</v>
      </c>
      <c r="D1675" s="75">
        <v>93.96</v>
      </c>
      <c r="E1675" s="75">
        <v>92.29</v>
      </c>
      <c r="F1675">
        <v>-1335.18</v>
      </c>
      <c r="G1675">
        <v>-589.19999999999993</v>
      </c>
      <c r="H1675">
        <v>-2284.8000000000002</v>
      </c>
      <c r="I1675">
        <v>1094.8</v>
      </c>
      <c r="J1675">
        <v>-3114.38</v>
      </c>
    </row>
    <row r="1676" spans="1:10" x14ac:dyDescent="0.35">
      <c r="A1676">
        <v>1660</v>
      </c>
      <c r="B1676" s="75">
        <v>89.855500000000006</v>
      </c>
      <c r="C1676" s="75">
        <v>99.1952</v>
      </c>
      <c r="D1676" s="75">
        <v>92.439400000000006</v>
      </c>
      <c r="E1676" s="75">
        <v>94.745900000000006</v>
      </c>
      <c r="F1676">
        <v>-996.27</v>
      </c>
      <c r="G1676">
        <v>-1477.9499999999998</v>
      </c>
      <c r="H1676">
        <v>753.4</v>
      </c>
      <c r="I1676">
        <v>-1365.3</v>
      </c>
      <c r="J1676">
        <v>-3086.12</v>
      </c>
    </row>
    <row r="1677" spans="1:10" x14ac:dyDescent="0.35">
      <c r="A1677">
        <v>1661</v>
      </c>
      <c r="B1677" s="75">
        <v>88.34</v>
      </c>
      <c r="C1677" s="75">
        <v>97.59</v>
      </c>
      <c r="D1677" s="75">
        <v>93.66</v>
      </c>
      <c r="E1677" s="75">
        <v>91.24</v>
      </c>
      <c r="F1677">
        <v>4010.1600000000003</v>
      </c>
      <c r="G1677">
        <v>925.5</v>
      </c>
      <c r="H1677">
        <v>-1694</v>
      </c>
      <c r="I1677">
        <v>2138</v>
      </c>
      <c r="J1677">
        <v>5379.66</v>
      </c>
    </row>
    <row r="1678" spans="1:10" x14ac:dyDescent="0.35">
      <c r="A1678">
        <v>1662</v>
      </c>
      <c r="B1678" s="75">
        <v>89.424099999999996</v>
      </c>
      <c r="C1678" s="75">
        <v>97.072500000000005</v>
      </c>
      <c r="D1678" s="75">
        <v>94.701700000000002</v>
      </c>
      <c r="E1678" s="75">
        <v>96.152299999999997</v>
      </c>
      <c r="F1678">
        <v>427.35</v>
      </c>
      <c r="G1678">
        <v>1706.1</v>
      </c>
      <c r="H1678">
        <v>-3771.2</v>
      </c>
      <c r="I1678">
        <v>-2771.7000000000003</v>
      </c>
      <c r="J1678">
        <v>-4409.4500000000007</v>
      </c>
    </row>
    <row r="1679" spans="1:10" x14ac:dyDescent="0.35">
      <c r="A1679">
        <v>1663</v>
      </c>
      <c r="B1679" s="75">
        <v>89.04</v>
      </c>
      <c r="C1679" s="75">
        <v>97.55</v>
      </c>
      <c r="D1679" s="75">
        <v>90.95</v>
      </c>
      <c r="E1679" s="75">
        <v>93.87</v>
      </c>
      <c r="F1679">
        <v>1692.5700000000002</v>
      </c>
      <c r="G1679">
        <v>988.05</v>
      </c>
      <c r="H1679">
        <v>3736.4</v>
      </c>
      <c r="I1679">
        <v>-492.5</v>
      </c>
      <c r="J1679">
        <v>5924.52</v>
      </c>
    </row>
    <row r="1680" spans="1:10" x14ac:dyDescent="0.35">
      <c r="A1680">
        <v>1664</v>
      </c>
      <c r="B1680" s="75">
        <v>89.076599999999999</v>
      </c>
      <c r="C1680" s="75">
        <v>98.191699999999997</v>
      </c>
      <c r="D1680" s="75">
        <v>92.559399999999997</v>
      </c>
      <c r="E1680" s="75">
        <v>95.565100000000001</v>
      </c>
      <c r="F1680">
        <v>1574.1</v>
      </c>
      <c r="G1680">
        <v>27.3</v>
      </c>
      <c r="H1680">
        <v>513.4</v>
      </c>
      <c r="I1680">
        <v>-2184.5</v>
      </c>
      <c r="J1680">
        <v>-69.700000000000273</v>
      </c>
    </row>
    <row r="1681" spans="1:10" x14ac:dyDescent="0.35">
      <c r="A1681">
        <v>1665</v>
      </c>
      <c r="B1681" s="75">
        <v>89.32</v>
      </c>
      <c r="C1681" s="75">
        <v>98.46</v>
      </c>
      <c r="D1681" s="75">
        <v>93.05</v>
      </c>
      <c r="E1681" s="75">
        <v>92.97</v>
      </c>
      <c r="F1681">
        <v>762.30000000000007</v>
      </c>
      <c r="G1681">
        <v>-372.15</v>
      </c>
      <c r="H1681">
        <v>-464.2</v>
      </c>
      <c r="I1681">
        <v>414.2</v>
      </c>
      <c r="J1681">
        <v>340.15000000000009</v>
      </c>
    </row>
    <row r="1682" spans="1:10" x14ac:dyDescent="0.35">
      <c r="A1682">
        <v>1666</v>
      </c>
      <c r="B1682" s="75">
        <v>88.822000000000003</v>
      </c>
      <c r="C1682" s="75">
        <v>98.201899999999995</v>
      </c>
      <c r="D1682" s="75">
        <v>94.902100000000004</v>
      </c>
      <c r="E1682" s="75">
        <v>91.965299999999999</v>
      </c>
      <c r="F1682">
        <v>2414.2800000000002</v>
      </c>
      <c r="G1682">
        <v>12</v>
      </c>
      <c r="H1682">
        <v>-4172</v>
      </c>
      <c r="I1682">
        <v>1415.3</v>
      </c>
      <c r="J1682">
        <v>-330.41999999999985</v>
      </c>
    </row>
    <row r="1683" spans="1:10" x14ac:dyDescent="0.35">
      <c r="A1683">
        <v>1667</v>
      </c>
      <c r="B1683" s="75">
        <v>89.1</v>
      </c>
      <c r="C1683" s="75">
        <v>96.69</v>
      </c>
      <c r="D1683" s="75">
        <v>94.5</v>
      </c>
      <c r="E1683" s="75">
        <v>93.28</v>
      </c>
      <c r="F1683">
        <v>1508.76</v>
      </c>
      <c r="G1683">
        <v>2274.6</v>
      </c>
      <c r="H1683">
        <v>-3372.6</v>
      </c>
      <c r="I1683">
        <v>105.2</v>
      </c>
      <c r="J1683">
        <v>515.95999999999981</v>
      </c>
    </row>
    <row r="1684" spans="1:10" x14ac:dyDescent="0.35">
      <c r="A1684">
        <v>1668</v>
      </c>
      <c r="B1684" s="75">
        <v>89.178399999999996</v>
      </c>
      <c r="C1684" s="75">
        <v>98.673100000000005</v>
      </c>
      <c r="D1684" s="75">
        <v>92.1678</v>
      </c>
      <c r="E1684" s="75">
        <v>94.642700000000005</v>
      </c>
      <c r="F1684">
        <v>1238.1599999999999</v>
      </c>
      <c r="G1684">
        <v>-694.8</v>
      </c>
      <c r="H1684">
        <v>1296.5999999999999</v>
      </c>
      <c r="I1684">
        <v>-1262.0999999999999</v>
      </c>
      <c r="J1684">
        <v>577.8599999999999</v>
      </c>
    </row>
    <row r="1685" spans="1:10" x14ac:dyDescent="0.35">
      <c r="A1685">
        <v>1669</v>
      </c>
      <c r="B1685" s="75">
        <v>89.23</v>
      </c>
      <c r="C1685" s="75">
        <v>97.71</v>
      </c>
      <c r="D1685" s="75">
        <v>91.49</v>
      </c>
      <c r="E1685" s="75">
        <v>94.68</v>
      </c>
      <c r="F1685">
        <v>1074.1500000000001</v>
      </c>
      <c r="G1685">
        <v>745.05</v>
      </c>
      <c r="H1685">
        <v>2656.4</v>
      </c>
      <c r="I1685">
        <v>-1295.1999999999998</v>
      </c>
      <c r="J1685">
        <v>3180.4000000000005</v>
      </c>
    </row>
    <row r="1686" spans="1:10" x14ac:dyDescent="0.35">
      <c r="A1686">
        <v>1670</v>
      </c>
      <c r="B1686" s="75">
        <v>90.010300000000001</v>
      </c>
      <c r="C1686" s="75">
        <v>99.372200000000007</v>
      </c>
      <c r="D1686" s="75">
        <v>93.352999999999994</v>
      </c>
      <c r="E1686" s="75">
        <v>91.662199999999999</v>
      </c>
      <c r="F1686">
        <v>-1507.11</v>
      </c>
      <c r="G1686">
        <v>-1743.4500000000003</v>
      </c>
      <c r="H1686">
        <v>-1073.8000000000002</v>
      </c>
      <c r="I1686">
        <v>1718.3999999999999</v>
      </c>
      <c r="J1686">
        <v>-2605.9600000000009</v>
      </c>
    </row>
    <row r="1687" spans="1:10" x14ac:dyDescent="0.35">
      <c r="A1687">
        <v>1671</v>
      </c>
      <c r="B1687" s="75">
        <v>89</v>
      </c>
      <c r="C1687" s="75">
        <v>98.81</v>
      </c>
      <c r="D1687" s="75">
        <v>91.32</v>
      </c>
      <c r="E1687" s="75">
        <v>91.29</v>
      </c>
      <c r="F1687">
        <v>1824.57</v>
      </c>
      <c r="G1687">
        <v>-905.55000000000007</v>
      </c>
      <c r="H1687">
        <v>2994.4</v>
      </c>
      <c r="I1687">
        <v>2093.5</v>
      </c>
      <c r="J1687">
        <v>6006.92</v>
      </c>
    </row>
    <row r="1688" spans="1:10" x14ac:dyDescent="0.35">
      <c r="A1688">
        <v>1672</v>
      </c>
      <c r="B1688" s="75">
        <v>90.3001</v>
      </c>
      <c r="C1688" s="75">
        <v>97.551500000000004</v>
      </c>
      <c r="D1688" s="75">
        <v>91.753799999999998</v>
      </c>
      <c r="E1688" s="75">
        <v>91.367199999999997</v>
      </c>
      <c r="F1688">
        <v>-2463.4500000000003</v>
      </c>
      <c r="G1688">
        <v>987.6</v>
      </c>
      <c r="H1688">
        <v>2124.6</v>
      </c>
      <c r="I1688">
        <v>2013.3999999999999</v>
      </c>
      <c r="J1688">
        <v>2662.1499999999996</v>
      </c>
    </row>
    <row r="1689" spans="1:10" x14ac:dyDescent="0.35">
      <c r="A1689">
        <v>1673</v>
      </c>
      <c r="B1689" s="75">
        <v>89.59</v>
      </c>
      <c r="C1689" s="75">
        <v>99</v>
      </c>
      <c r="D1689" s="75">
        <v>91.68</v>
      </c>
      <c r="E1689" s="75">
        <v>92.87</v>
      </c>
      <c r="F1689">
        <v>-114.51</v>
      </c>
      <c r="G1689">
        <v>-1180.2</v>
      </c>
      <c r="H1689">
        <v>2266.7999999999997</v>
      </c>
      <c r="I1689">
        <v>514.59999999999991</v>
      </c>
      <c r="J1689">
        <v>1486.6899999999996</v>
      </c>
    </row>
    <row r="1690" spans="1:10" x14ac:dyDescent="0.35">
      <c r="A1690">
        <v>1674</v>
      </c>
      <c r="B1690" s="75">
        <v>89.054900000000004</v>
      </c>
      <c r="C1690" s="75">
        <v>97.668400000000005</v>
      </c>
      <c r="D1690" s="75">
        <v>94.731499999999997</v>
      </c>
      <c r="E1690" s="75">
        <v>94.744100000000003</v>
      </c>
      <c r="F1690">
        <v>1645.71</v>
      </c>
      <c r="G1690">
        <v>812.25</v>
      </c>
      <c r="H1690">
        <v>-3830.8</v>
      </c>
      <c r="I1690">
        <v>-1363.5</v>
      </c>
      <c r="J1690">
        <v>-2736.34</v>
      </c>
    </row>
    <row r="1691" spans="1:10" x14ac:dyDescent="0.35">
      <c r="A1691">
        <v>1675</v>
      </c>
      <c r="B1691" s="75">
        <v>89.47</v>
      </c>
      <c r="C1691" s="75">
        <v>98.67</v>
      </c>
      <c r="D1691" s="75">
        <v>93.62</v>
      </c>
      <c r="E1691" s="75">
        <v>90.72</v>
      </c>
      <c r="F1691">
        <v>272.90999999999997</v>
      </c>
      <c r="G1691">
        <v>-695.69999999999993</v>
      </c>
      <c r="H1691">
        <v>-1616</v>
      </c>
      <c r="I1691">
        <v>2662.3</v>
      </c>
      <c r="J1691">
        <v>623.51000000000022</v>
      </c>
    </row>
    <row r="1692" spans="1:10" x14ac:dyDescent="0.35">
      <c r="A1692">
        <v>1676</v>
      </c>
      <c r="B1692" s="75">
        <v>89.593199999999996</v>
      </c>
      <c r="C1692" s="75">
        <v>98.826700000000002</v>
      </c>
      <c r="D1692" s="75">
        <v>91.9208</v>
      </c>
      <c r="E1692" s="75">
        <v>92.436499999999995</v>
      </c>
      <c r="F1692">
        <v>-130.68</v>
      </c>
      <c r="G1692">
        <v>-925.2</v>
      </c>
      <c r="H1692">
        <v>1790.6</v>
      </c>
      <c r="I1692">
        <v>944.1</v>
      </c>
      <c r="J1692">
        <v>1678.8199999999997</v>
      </c>
    </row>
    <row r="1693" spans="1:10" x14ac:dyDescent="0.35">
      <c r="A1693">
        <v>1677</v>
      </c>
      <c r="B1693" s="75">
        <v>90.6</v>
      </c>
      <c r="C1693" s="75">
        <v>97.92</v>
      </c>
      <c r="D1693" s="75">
        <v>92.44</v>
      </c>
      <c r="E1693" s="75">
        <v>92.82</v>
      </c>
      <c r="F1693">
        <v>-3465.9900000000002</v>
      </c>
      <c r="G1693">
        <v>433.2</v>
      </c>
      <c r="H1693">
        <v>753.19999999999993</v>
      </c>
      <c r="I1693">
        <v>562</v>
      </c>
      <c r="J1693">
        <v>-1717.5900000000006</v>
      </c>
    </row>
    <row r="1694" spans="1:10" x14ac:dyDescent="0.35">
      <c r="A1694">
        <v>1678</v>
      </c>
      <c r="B1694" s="75">
        <v>90.794399999999996</v>
      </c>
      <c r="C1694" s="75">
        <v>98.835099999999997</v>
      </c>
      <c r="D1694" s="75">
        <v>92.666899999999998</v>
      </c>
      <c r="E1694" s="75">
        <v>96.484300000000005</v>
      </c>
      <c r="F1694">
        <v>-4094.64</v>
      </c>
      <c r="G1694">
        <v>-937.8</v>
      </c>
      <c r="H1694">
        <v>298.39999999999998</v>
      </c>
      <c r="I1694">
        <v>-3103.7</v>
      </c>
      <c r="J1694">
        <v>-7837.74</v>
      </c>
    </row>
    <row r="1695" spans="1:10" x14ac:dyDescent="0.35">
      <c r="A1695">
        <v>1679</v>
      </c>
      <c r="B1695" s="75">
        <v>89.58</v>
      </c>
      <c r="C1695" s="75">
        <v>98.6</v>
      </c>
      <c r="D1695" s="75">
        <v>93.27</v>
      </c>
      <c r="E1695" s="75">
        <v>92.61</v>
      </c>
      <c r="F1695">
        <v>-93.72</v>
      </c>
      <c r="G1695">
        <v>-591.15</v>
      </c>
      <c r="H1695">
        <v>-907</v>
      </c>
      <c r="I1695">
        <v>775.5</v>
      </c>
      <c r="J1695">
        <v>-816.36999999999989</v>
      </c>
    </row>
    <row r="1696" spans="1:10" x14ac:dyDescent="0.35">
      <c r="A1696">
        <v>1680</v>
      </c>
      <c r="B1696" s="75">
        <v>89.723799999999997</v>
      </c>
      <c r="C1696" s="75">
        <v>99.090599999999995</v>
      </c>
      <c r="D1696" s="75">
        <v>94.417599999999993</v>
      </c>
      <c r="E1696" s="75">
        <v>95.6708</v>
      </c>
      <c r="F1696">
        <v>-561.66</v>
      </c>
      <c r="G1696">
        <v>-1321.05</v>
      </c>
      <c r="H1696">
        <v>-3203</v>
      </c>
      <c r="I1696">
        <v>-2290.1999999999998</v>
      </c>
      <c r="J1696">
        <v>-7375.91</v>
      </c>
    </row>
    <row r="1697" spans="1:10" x14ac:dyDescent="0.35">
      <c r="A1697">
        <v>1681</v>
      </c>
      <c r="B1697" s="75">
        <v>89.51</v>
      </c>
      <c r="C1697" s="75">
        <v>98.36</v>
      </c>
      <c r="D1697" s="75">
        <v>92.6</v>
      </c>
      <c r="E1697" s="75">
        <v>92.09</v>
      </c>
      <c r="F1697">
        <v>153.11999999999998</v>
      </c>
      <c r="G1697">
        <v>-217.65</v>
      </c>
      <c r="H1697">
        <v>432.2</v>
      </c>
      <c r="I1697">
        <v>1286.2</v>
      </c>
      <c r="J1697">
        <v>1653.87</v>
      </c>
    </row>
    <row r="1698" spans="1:10" x14ac:dyDescent="0.35">
      <c r="A1698">
        <v>1682</v>
      </c>
      <c r="B1698" s="75">
        <v>90.003299999999996</v>
      </c>
      <c r="C1698" s="75">
        <v>98.136700000000005</v>
      </c>
      <c r="D1698" s="75">
        <v>93.553700000000006</v>
      </c>
      <c r="E1698" s="75">
        <v>93.614099999999993</v>
      </c>
      <c r="F1698">
        <v>-1484.01</v>
      </c>
      <c r="G1698">
        <v>109.8</v>
      </c>
      <c r="H1698">
        <v>-1475.2</v>
      </c>
      <c r="I1698">
        <v>-233.5</v>
      </c>
      <c r="J1698">
        <v>-3082.91</v>
      </c>
    </row>
    <row r="1699" spans="1:10" x14ac:dyDescent="0.35">
      <c r="A1699">
        <v>1683</v>
      </c>
      <c r="B1699" s="75">
        <v>91.4</v>
      </c>
      <c r="C1699" s="75">
        <v>98.44</v>
      </c>
      <c r="D1699" s="75">
        <v>94.11</v>
      </c>
      <c r="E1699" s="75">
        <v>95.25</v>
      </c>
      <c r="F1699">
        <v>-6092.79</v>
      </c>
      <c r="G1699">
        <v>-350.1</v>
      </c>
      <c r="H1699">
        <v>-2585.7999999999997</v>
      </c>
      <c r="I1699">
        <v>-1872.2</v>
      </c>
      <c r="J1699">
        <v>-10900.890000000001</v>
      </c>
    </row>
    <row r="1700" spans="1:10" x14ac:dyDescent="0.35">
      <c r="A1700">
        <v>1684</v>
      </c>
      <c r="B1700" s="75">
        <v>89.704300000000003</v>
      </c>
      <c r="C1700" s="75">
        <v>98.972399999999993</v>
      </c>
      <c r="D1700" s="75">
        <v>91.213899999999995</v>
      </c>
      <c r="E1700" s="75">
        <v>94.327299999999994</v>
      </c>
      <c r="F1700">
        <v>-497.31</v>
      </c>
      <c r="G1700">
        <v>-1143.75</v>
      </c>
      <c r="H1700">
        <v>3204.4</v>
      </c>
      <c r="I1700">
        <v>-946.69999999999993</v>
      </c>
      <c r="J1700">
        <v>616.64000000000021</v>
      </c>
    </row>
    <row r="1701" spans="1:10" x14ac:dyDescent="0.35">
      <c r="A1701">
        <v>1685</v>
      </c>
      <c r="B1701" s="75">
        <v>90.53</v>
      </c>
      <c r="C1701" s="75">
        <v>98.62</v>
      </c>
      <c r="D1701" s="75">
        <v>93.49</v>
      </c>
      <c r="E1701" s="75">
        <v>92.23</v>
      </c>
      <c r="F1701">
        <v>-3207.93</v>
      </c>
      <c r="G1701">
        <v>-621.75</v>
      </c>
      <c r="H1701">
        <v>-1341.2</v>
      </c>
      <c r="I1701">
        <v>1147.8999999999999</v>
      </c>
      <c r="J1701">
        <v>-4022.9800000000005</v>
      </c>
    </row>
    <row r="1702" spans="1:10" x14ac:dyDescent="0.35">
      <c r="A1702">
        <v>1686</v>
      </c>
      <c r="B1702" s="75">
        <v>89.759500000000003</v>
      </c>
      <c r="C1702" s="75">
        <v>100.1378</v>
      </c>
      <c r="D1702" s="75">
        <v>92.410399999999996</v>
      </c>
      <c r="E1702" s="75">
        <v>95.669200000000004</v>
      </c>
      <c r="F1702">
        <v>-679.47</v>
      </c>
      <c r="G1702">
        <v>-2891.85</v>
      </c>
      <c r="H1702">
        <v>811.4</v>
      </c>
      <c r="I1702">
        <v>-2288.6000000000004</v>
      </c>
      <c r="J1702">
        <v>-5048.5200000000004</v>
      </c>
    </row>
    <row r="1703" spans="1:10" x14ac:dyDescent="0.35">
      <c r="A1703">
        <v>1687</v>
      </c>
      <c r="B1703" s="75">
        <v>90.11</v>
      </c>
      <c r="C1703" s="75">
        <v>98.77</v>
      </c>
      <c r="D1703" s="75">
        <v>90.61</v>
      </c>
      <c r="E1703" s="75">
        <v>92.9</v>
      </c>
      <c r="F1703">
        <v>-1835.79</v>
      </c>
      <c r="G1703">
        <v>-844.95</v>
      </c>
      <c r="H1703">
        <v>4412.6000000000004</v>
      </c>
      <c r="I1703">
        <v>480.4</v>
      </c>
      <c r="J1703">
        <v>2212.2600000000007</v>
      </c>
    </row>
    <row r="1704" spans="1:10" x14ac:dyDescent="0.35">
      <c r="A1704">
        <v>1688</v>
      </c>
      <c r="B1704" s="75">
        <v>89.541600000000003</v>
      </c>
      <c r="C1704" s="75">
        <v>98.807900000000004</v>
      </c>
      <c r="D1704" s="75">
        <v>94.100700000000003</v>
      </c>
      <c r="E1704" s="75">
        <v>95.703999999999994</v>
      </c>
      <c r="F1704">
        <v>39.6</v>
      </c>
      <c r="G1704">
        <v>-897</v>
      </c>
      <c r="H1704">
        <v>-2569.1999999999998</v>
      </c>
      <c r="I1704">
        <v>-2323.4</v>
      </c>
      <c r="J1704">
        <v>-5750</v>
      </c>
    </row>
    <row r="1705" spans="1:10" x14ac:dyDescent="0.35">
      <c r="A1705">
        <v>1689</v>
      </c>
      <c r="B1705" s="75">
        <v>89.81</v>
      </c>
      <c r="C1705" s="75">
        <v>98.16</v>
      </c>
      <c r="D1705" s="75">
        <v>92.59</v>
      </c>
      <c r="E1705" s="75">
        <v>91.87</v>
      </c>
      <c r="F1705">
        <v>-848.76</v>
      </c>
      <c r="G1705">
        <v>73.949999999999989</v>
      </c>
      <c r="H1705">
        <v>449.79999999999995</v>
      </c>
      <c r="I1705">
        <v>1515.2</v>
      </c>
      <c r="J1705">
        <v>1190.19</v>
      </c>
    </row>
    <row r="1706" spans="1:10" x14ac:dyDescent="0.35">
      <c r="A1706">
        <v>1690</v>
      </c>
      <c r="B1706" s="75">
        <v>90.442999999999998</v>
      </c>
      <c r="C1706" s="75">
        <v>98.628299999999996</v>
      </c>
      <c r="D1706" s="75">
        <v>91.631699999999995</v>
      </c>
      <c r="E1706" s="75">
        <v>96.002499999999998</v>
      </c>
      <c r="F1706">
        <v>-2935.02</v>
      </c>
      <c r="G1706">
        <v>-627.6</v>
      </c>
      <c r="H1706">
        <v>2368.7999999999997</v>
      </c>
      <c r="I1706">
        <v>-2621.9</v>
      </c>
      <c r="J1706">
        <v>-3815.7200000000003</v>
      </c>
    </row>
    <row r="1707" spans="1:10" x14ac:dyDescent="0.35">
      <c r="A1707">
        <v>1691</v>
      </c>
      <c r="B1707" s="75">
        <v>89.19</v>
      </c>
      <c r="C1707" s="75">
        <v>99.94</v>
      </c>
      <c r="D1707" s="75">
        <v>93.26</v>
      </c>
      <c r="E1707" s="75">
        <v>94.63</v>
      </c>
      <c r="F1707">
        <v>1199.22</v>
      </c>
      <c r="G1707">
        <v>-2591.25</v>
      </c>
      <c r="H1707">
        <v>-885.80000000000007</v>
      </c>
      <c r="I1707">
        <v>-1248.2</v>
      </c>
      <c r="J1707">
        <v>-3526.0299999999997</v>
      </c>
    </row>
    <row r="1708" spans="1:10" x14ac:dyDescent="0.35">
      <c r="A1708">
        <v>1692</v>
      </c>
      <c r="B1708" s="75">
        <v>90.267499999999998</v>
      </c>
      <c r="C1708" s="75">
        <v>98.719200000000001</v>
      </c>
      <c r="D1708" s="75">
        <v>92.933199999999999</v>
      </c>
      <c r="E1708" s="75">
        <v>94.644099999999995</v>
      </c>
      <c r="F1708">
        <v>-2355.87</v>
      </c>
      <c r="G1708">
        <v>-763.94999999999993</v>
      </c>
      <c r="H1708">
        <v>-234.2</v>
      </c>
      <c r="I1708">
        <v>-1263.5</v>
      </c>
      <c r="J1708">
        <v>-4617.5199999999995</v>
      </c>
    </row>
    <row r="1709" spans="1:10" x14ac:dyDescent="0.35">
      <c r="A1709">
        <v>1693</v>
      </c>
      <c r="B1709" s="75">
        <v>89.62</v>
      </c>
      <c r="C1709" s="75">
        <v>97.59</v>
      </c>
      <c r="D1709" s="75">
        <v>91.8</v>
      </c>
      <c r="E1709" s="75">
        <v>93.22</v>
      </c>
      <c r="F1709">
        <v>-226.70999999999998</v>
      </c>
      <c r="G1709">
        <v>923.55000000000007</v>
      </c>
      <c r="H1709">
        <v>2035.0000000000002</v>
      </c>
      <c r="I1709">
        <v>165.5</v>
      </c>
      <c r="J1709">
        <v>2897.34</v>
      </c>
    </row>
    <row r="1710" spans="1:10" x14ac:dyDescent="0.35">
      <c r="A1710">
        <v>1694</v>
      </c>
      <c r="B1710" s="75">
        <v>89.492900000000006</v>
      </c>
      <c r="C1710" s="75">
        <v>97.987700000000004</v>
      </c>
      <c r="D1710" s="75">
        <v>94.498800000000003</v>
      </c>
      <c r="E1710" s="75">
        <v>91.235900000000001</v>
      </c>
      <c r="F1710">
        <v>200.31</v>
      </c>
      <c r="G1710">
        <v>333.3</v>
      </c>
      <c r="H1710">
        <v>-3365.4</v>
      </c>
      <c r="I1710">
        <v>2144.6999999999998</v>
      </c>
      <c r="J1710">
        <v>-687.09000000000015</v>
      </c>
    </row>
    <row r="1711" spans="1:10" x14ac:dyDescent="0.35">
      <c r="A1711">
        <v>1695</v>
      </c>
      <c r="B1711" s="75">
        <v>89</v>
      </c>
      <c r="C1711" s="75">
        <v>99.12</v>
      </c>
      <c r="D1711" s="75">
        <v>90.69</v>
      </c>
      <c r="E1711" s="75">
        <v>93.05</v>
      </c>
      <c r="F1711">
        <v>1813.02</v>
      </c>
      <c r="G1711">
        <v>-1358.7</v>
      </c>
      <c r="H1711">
        <v>4261.3999999999996</v>
      </c>
      <c r="I1711">
        <v>333.1</v>
      </c>
      <c r="J1711">
        <v>5048.82</v>
      </c>
    </row>
    <row r="1712" spans="1:10" x14ac:dyDescent="0.35">
      <c r="A1712">
        <v>1696</v>
      </c>
      <c r="B1712" s="75">
        <v>90.129300000000001</v>
      </c>
      <c r="C1712" s="75">
        <v>98.229200000000006</v>
      </c>
      <c r="D1712" s="75">
        <v>92.898899999999998</v>
      </c>
      <c r="E1712" s="75">
        <v>95.3125</v>
      </c>
      <c r="F1712">
        <v>-1899.81</v>
      </c>
      <c r="G1712">
        <v>-28.950000000000003</v>
      </c>
      <c r="H1712">
        <v>-165.6</v>
      </c>
      <c r="I1712">
        <v>-1931.8999999999999</v>
      </c>
      <c r="J1712">
        <v>-4026.26</v>
      </c>
    </row>
    <row r="1713" spans="1:10" x14ac:dyDescent="0.35">
      <c r="A1713">
        <v>1697</v>
      </c>
      <c r="B1713" s="75">
        <v>89.44</v>
      </c>
      <c r="C1713" s="75">
        <v>98.62</v>
      </c>
      <c r="D1713" s="75">
        <v>93.29</v>
      </c>
      <c r="E1713" s="75">
        <v>92.05</v>
      </c>
      <c r="F1713">
        <v>376.86</v>
      </c>
      <c r="G1713">
        <v>-622.05000000000007</v>
      </c>
      <c r="H1713">
        <v>-943.8</v>
      </c>
      <c r="I1713">
        <v>1327.3</v>
      </c>
      <c r="J1713">
        <v>138.30999999999995</v>
      </c>
    </row>
    <row r="1714" spans="1:10" x14ac:dyDescent="0.35">
      <c r="A1714">
        <v>1698</v>
      </c>
      <c r="B1714" s="75">
        <v>90.888099999999994</v>
      </c>
      <c r="C1714" s="75">
        <v>98.418099999999995</v>
      </c>
      <c r="D1714" s="75">
        <v>92.726699999999994</v>
      </c>
      <c r="E1714" s="75">
        <v>95.016499999999994</v>
      </c>
      <c r="F1714">
        <v>-4403.8500000000004</v>
      </c>
      <c r="G1714">
        <v>-312.3</v>
      </c>
      <c r="H1714">
        <v>178.79999999999998</v>
      </c>
      <c r="I1714">
        <v>-1635.8999999999999</v>
      </c>
      <c r="J1714">
        <v>-6173.25</v>
      </c>
    </row>
    <row r="1715" spans="1:10" x14ac:dyDescent="0.35">
      <c r="A1715">
        <v>1699</v>
      </c>
      <c r="B1715" s="75">
        <v>90.27</v>
      </c>
      <c r="C1715" s="75">
        <v>100.22</v>
      </c>
      <c r="D1715" s="75">
        <v>94.63</v>
      </c>
      <c r="E1715" s="75">
        <v>94.93</v>
      </c>
      <c r="F1715">
        <v>-2347.9500000000003</v>
      </c>
      <c r="G1715">
        <v>-3020.9999999999995</v>
      </c>
      <c r="H1715">
        <v>-3624.4</v>
      </c>
      <c r="I1715">
        <v>-1553.8000000000002</v>
      </c>
      <c r="J1715">
        <v>-10547.150000000001</v>
      </c>
    </row>
    <row r="1716" spans="1:10" x14ac:dyDescent="0.35">
      <c r="A1716">
        <v>1700</v>
      </c>
      <c r="B1716" s="75">
        <v>90.281199999999998</v>
      </c>
      <c r="C1716" s="75">
        <v>98.204599999999999</v>
      </c>
      <c r="D1716" s="75">
        <v>92.024199999999993</v>
      </c>
      <c r="E1716" s="75">
        <v>93.183999999999997</v>
      </c>
      <c r="F1716">
        <v>-2401.08</v>
      </c>
      <c r="G1716">
        <v>7.95</v>
      </c>
      <c r="H1716">
        <v>1583.8000000000002</v>
      </c>
      <c r="I1716">
        <v>196.6</v>
      </c>
      <c r="J1716">
        <v>-612.7299999999999</v>
      </c>
    </row>
    <row r="1717" spans="1:10" x14ac:dyDescent="0.35">
      <c r="A1717">
        <v>1701</v>
      </c>
      <c r="B1717" s="75">
        <v>89.57</v>
      </c>
      <c r="C1717" s="75">
        <v>96.04</v>
      </c>
      <c r="D1717" s="75">
        <v>93.01</v>
      </c>
      <c r="E1717" s="75">
        <v>94.76</v>
      </c>
      <c r="F1717">
        <v>-44.22</v>
      </c>
      <c r="G1717">
        <v>3261.2999999999997</v>
      </c>
      <c r="H1717">
        <v>-384.2</v>
      </c>
      <c r="I1717">
        <v>-1381.2</v>
      </c>
      <c r="J1717">
        <v>1451.68</v>
      </c>
    </row>
    <row r="1718" spans="1:10" x14ac:dyDescent="0.35">
      <c r="A1718">
        <v>1702</v>
      </c>
      <c r="B1718" s="75">
        <v>89.7333</v>
      </c>
      <c r="C1718" s="75">
        <v>97.787099999999995</v>
      </c>
      <c r="D1718" s="75">
        <v>92.785899999999998</v>
      </c>
      <c r="E1718" s="75">
        <v>90.799300000000002</v>
      </c>
      <c r="F1718">
        <v>-593.01</v>
      </c>
      <c r="G1718">
        <v>634.20000000000005</v>
      </c>
      <c r="H1718">
        <v>60.400000000000006</v>
      </c>
      <c r="I1718">
        <v>2581.3000000000002</v>
      </c>
      <c r="J1718">
        <v>2682.8900000000003</v>
      </c>
    </row>
    <row r="1719" spans="1:10" x14ac:dyDescent="0.35">
      <c r="A1719">
        <v>1703</v>
      </c>
      <c r="B1719" s="75">
        <v>90.85</v>
      </c>
      <c r="C1719" s="75">
        <v>97.95</v>
      </c>
      <c r="D1719" s="75">
        <v>90.59</v>
      </c>
      <c r="E1719" s="75">
        <v>93.99</v>
      </c>
      <c r="F1719">
        <v>-4264.59</v>
      </c>
      <c r="G1719">
        <v>397.35</v>
      </c>
      <c r="H1719">
        <v>4453.2</v>
      </c>
      <c r="I1719">
        <v>-606.29999999999995</v>
      </c>
      <c r="J1719">
        <v>-20.340000000000373</v>
      </c>
    </row>
    <row r="1720" spans="1:10" x14ac:dyDescent="0.35">
      <c r="A1720">
        <v>1704</v>
      </c>
      <c r="B1720" s="75">
        <v>89.764600000000002</v>
      </c>
      <c r="C1720" s="75">
        <v>99.462900000000005</v>
      </c>
      <c r="D1720" s="75">
        <v>94.305400000000006</v>
      </c>
      <c r="E1720" s="75">
        <v>95.925299999999993</v>
      </c>
      <c r="F1720">
        <v>-696.3</v>
      </c>
      <c r="G1720">
        <v>-1879.4999999999998</v>
      </c>
      <c r="H1720">
        <v>-2978.6000000000004</v>
      </c>
      <c r="I1720">
        <v>-2544.7000000000003</v>
      </c>
      <c r="J1720">
        <v>-8099.1</v>
      </c>
    </row>
    <row r="1721" spans="1:10" x14ac:dyDescent="0.35">
      <c r="A1721">
        <v>1705</v>
      </c>
      <c r="B1721" s="75">
        <v>89.44</v>
      </c>
      <c r="C1721" s="75">
        <v>98.36</v>
      </c>
      <c r="D1721" s="75">
        <v>92.74</v>
      </c>
      <c r="E1721" s="75">
        <v>95.29</v>
      </c>
      <c r="F1721">
        <v>381.81</v>
      </c>
      <c r="G1721">
        <v>-225.75</v>
      </c>
      <c r="H1721">
        <v>155</v>
      </c>
      <c r="I1721">
        <v>-1911.8</v>
      </c>
      <c r="J1721">
        <v>-1600.74</v>
      </c>
    </row>
    <row r="1722" spans="1:10" x14ac:dyDescent="0.35">
      <c r="A1722">
        <v>1706</v>
      </c>
      <c r="B1722" s="75">
        <v>89.567700000000002</v>
      </c>
      <c r="C1722" s="75">
        <v>97.922300000000007</v>
      </c>
      <c r="D1722" s="75">
        <v>91.928299999999993</v>
      </c>
      <c r="E1722" s="75">
        <v>91.188000000000002</v>
      </c>
      <c r="F1722">
        <v>-46.53</v>
      </c>
      <c r="G1722">
        <v>431.40000000000003</v>
      </c>
      <c r="H1722">
        <v>1775.6000000000001</v>
      </c>
      <c r="I1722">
        <v>2192.6</v>
      </c>
      <c r="J1722">
        <v>4353.07</v>
      </c>
    </row>
    <row r="1723" spans="1:10" x14ac:dyDescent="0.35">
      <c r="A1723">
        <v>1707</v>
      </c>
      <c r="B1723" s="75">
        <v>89.84</v>
      </c>
      <c r="C1723" s="75">
        <v>99.62</v>
      </c>
      <c r="D1723" s="75">
        <v>94.49</v>
      </c>
      <c r="E1723" s="75">
        <v>92.17</v>
      </c>
      <c r="F1723">
        <v>-935.88000000000011</v>
      </c>
      <c r="G1723">
        <v>-2108.1</v>
      </c>
      <c r="H1723">
        <v>-3349.2000000000003</v>
      </c>
      <c r="I1723">
        <v>1208.3999999999999</v>
      </c>
      <c r="J1723">
        <v>-5184.7800000000007</v>
      </c>
    </row>
    <row r="1724" spans="1:10" x14ac:dyDescent="0.35">
      <c r="A1724">
        <v>1708</v>
      </c>
      <c r="B1724" s="75">
        <v>89.570599999999999</v>
      </c>
      <c r="C1724" s="75">
        <v>96.916399999999996</v>
      </c>
      <c r="D1724" s="75">
        <v>93.663700000000006</v>
      </c>
      <c r="E1724" s="75">
        <v>95.784800000000004</v>
      </c>
      <c r="F1724">
        <v>-56.1</v>
      </c>
      <c r="G1724">
        <v>1940.2500000000002</v>
      </c>
      <c r="H1724">
        <v>-1695.2</v>
      </c>
      <c r="I1724">
        <v>-2404.1999999999998</v>
      </c>
      <c r="J1724">
        <v>-2215.2499999999995</v>
      </c>
    </row>
    <row r="1725" spans="1:10" x14ac:dyDescent="0.35">
      <c r="A1725">
        <v>1709</v>
      </c>
      <c r="B1725" s="75">
        <v>89.85</v>
      </c>
      <c r="C1725" s="75">
        <v>97.04</v>
      </c>
      <c r="D1725" s="75">
        <v>93.97</v>
      </c>
      <c r="E1725" s="75">
        <v>97.5</v>
      </c>
      <c r="F1725">
        <v>-988.68</v>
      </c>
      <c r="G1725">
        <v>1760.55</v>
      </c>
      <c r="H1725">
        <v>-2311.7999999999997</v>
      </c>
      <c r="I1725">
        <v>-4122.8999999999996</v>
      </c>
      <c r="J1725">
        <v>-5662.83</v>
      </c>
    </row>
    <row r="1726" spans="1:10" x14ac:dyDescent="0.35">
      <c r="A1726">
        <v>1710</v>
      </c>
      <c r="B1726" s="75">
        <v>89.404799999999994</v>
      </c>
      <c r="C1726" s="75">
        <v>99.427300000000002</v>
      </c>
      <c r="D1726" s="75">
        <v>94.654399999999995</v>
      </c>
      <c r="E1726" s="75">
        <v>93.468699999999998</v>
      </c>
      <c r="F1726">
        <v>491.03999999999996</v>
      </c>
      <c r="G1726">
        <v>-1826.1000000000001</v>
      </c>
      <c r="H1726">
        <v>-3676.6</v>
      </c>
      <c r="I1726">
        <v>-88.1</v>
      </c>
      <c r="J1726">
        <v>-5099.76</v>
      </c>
    </row>
    <row r="1727" spans="1:10" x14ac:dyDescent="0.35">
      <c r="A1727">
        <v>1711</v>
      </c>
      <c r="B1727" s="75">
        <v>89.04</v>
      </c>
      <c r="C1727" s="75">
        <v>98.28</v>
      </c>
      <c r="D1727" s="75">
        <v>92.34</v>
      </c>
      <c r="E1727" s="75">
        <v>92.32</v>
      </c>
      <c r="F1727">
        <v>1692.9</v>
      </c>
      <c r="G1727">
        <v>-108.3</v>
      </c>
      <c r="H1727">
        <v>961.8</v>
      </c>
      <c r="I1727">
        <v>1063.1999999999998</v>
      </c>
      <c r="J1727">
        <v>3609.6</v>
      </c>
    </row>
    <row r="1728" spans="1:10" x14ac:dyDescent="0.35">
      <c r="A1728">
        <v>1712</v>
      </c>
      <c r="B1728" s="75">
        <v>88.621700000000004</v>
      </c>
      <c r="C1728" s="75">
        <v>99.020899999999997</v>
      </c>
      <c r="D1728" s="75">
        <v>93.833100000000002</v>
      </c>
      <c r="E1728" s="75">
        <v>88.944400000000002</v>
      </c>
      <c r="F1728">
        <v>3075.27</v>
      </c>
      <c r="G1728">
        <v>-1216.5</v>
      </c>
      <c r="H1728">
        <v>-2033.9999999999998</v>
      </c>
      <c r="I1728">
        <v>4436.2000000000007</v>
      </c>
      <c r="J1728">
        <v>4260.9700000000012</v>
      </c>
    </row>
    <row r="1729" spans="1:10" x14ac:dyDescent="0.35">
      <c r="A1729">
        <v>1713</v>
      </c>
      <c r="B1729" s="75">
        <v>90.27</v>
      </c>
      <c r="C1729" s="75">
        <v>97.7</v>
      </c>
      <c r="D1729" s="75">
        <v>92.22</v>
      </c>
      <c r="E1729" s="75">
        <v>90.11</v>
      </c>
      <c r="F1729">
        <v>-2375.0100000000002</v>
      </c>
      <c r="G1729">
        <v>770.24999999999989</v>
      </c>
      <c r="H1729">
        <v>1193</v>
      </c>
      <c r="I1729">
        <v>3269.2000000000003</v>
      </c>
      <c r="J1729">
        <v>2857.44</v>
      </c>
    </row>
    <row r="1730" spans="1:10" x14ac:dyDescent="0.35">
      <c r="A1730">
        <v>1714</v>
      </c>
      <c r="B1730" s="75">
        <v>88.926599999999993</v>
      </c>
      <c r="C1730" s="75">
        <v>98.437700000000007</v>
      </c>
      <c r="D1730" s="75">
        <v>92.322400000000002</v>
      </c>
      <c r="E1730" s="75">
        <v>94.389200000000002</v>
      </c>
      <c r="F1730">
        <v>2069.1</v>
      </c>
      <c r="G1730">
        <v>-341.7</v>
      </c>
      <c r="H1730">
        <v>987.40000000000009</v>
      </c>
      <c r="I1730">
        <v>-1008.5999999999999</v>
      </c>
      <c r="J1730">
        <v>1706.2000000000003</v>
      </c>
    </row>
    <row r="1731" spans="1:10" x14ac:dyDescent="0.35">
      <c r="A1731">
        <v>1715</v>
      </c>
      <c r="B1731" s="75">
        <v>90.38</v>
      </c>
      <c r="C1731" s="75">
        <v>97.66</v>
      </c>
      <c r="D1731" s="75">
        <v>92.55</v>
      </c>
      <c r="E1731" s="75">
        <v>96.15</v>
      </c>
      <c r="F1731">
        <v>-2740.65</v>
      </c>
      <c r="G1731">
        <v>827.84999999999991</v>
      </c>
      <c r="H1731">
        <v>530.4</v>
      </c>
      <c r="I1731">
        <v>-2765.5</v>
      </c>
      <c r="J1731">
        <v>-4147.8999999999996</v>
      </c>
    </row>
    <row r="1732" spans="1:10" x14ac:dyDescent="0.35">
      <c r="A1732">
        <v>1716</v>
      </c>
      <c r="B1732" s="75">
        <v>89.421599999999998</v>
      </c>
      <c r="C1732" s="75">
        <v>98.508399999999995</v>
      </c>
      <c r="D1732" s="75">
        <v>93.058099999999996</v>
      </c>
      <c r="E1732" s="75">
        <v>89.845799999999997</v>
      </c>
      <c r="F1732">
        <v>435.6</v>
      </c>
      <c r="G1732">
        <v>-447.75</v>
      </c>
      <c r="H1732">
        <v>-484</v>
      </c>
      <c r="I1732">
        <v>3534.8</v>
      </c>
      <c r="J1732">
        <v>3038.65</v>
      </c>
    </row>
    <row r="1733" spans="1:10" x14ac:dyDescent="0.35">
      <c r="A1733">
        <v>1717</v>
      </c>
      <c r="B1733" s="75">
        <v>89.73</v>
      </c>
      <c r="C1733" s="75">
        <v>99.48</v>
      </c>
      <c r="D1733" s="75">
        <v>93</v>
      </c>
      <c r="E1733" s="75">
        <v>93.48</v>
      </c>
      <c r="F1733">
        <v>-592.35</v>
      </c>
      <c r="G1733">
        <v>-1908.15</v>
      </c>
      <c r="H1733">
        <v>-377.2</v>
      </c>
      <c r="I1733">
        <v>-97.9</v>
      </c>
      <c r="J1733">
        <v>-2975.6</v>
      </c>
    </row>
    <row r="1734" spans="1:10" x14ac:dyDescent="0.35">
      <c r="A1734">
        <v>1718</v>
      </c>
      <c r="B1734" s="75">
        <v>89.795299999999997</v>
      </c>
      <c r="C1734" s="75">
        <v>97.652900000000002</v>
      </c>
      <c r="D1734" s="75">
        <v>91.172600000000003</v>
      </c>
      <c r="E1734" s="75">
        <v>95.423699999999997</v>
      </c>
      <c r="F1734">
        <v>-797.61</v>
      </c>
      <c r="G1734">
        <v>835.50000000000011</v>
      </c>
      <c r="H1734">
        <v>3287</v>
      </c>
      <c r="I1734">
        <v>-2043.1</v>
      </c>
      <c r="J1734">
        <v>1281.7900000000004</v>
      </c>
    </row>
    <row r="1735" spans="1:10" x14ac:dyDescent="0.35">
      <c r="A1735">
        <v>1719</v>
      </c>
      <c r="B1735" s="75">
        <v>89.76</v>
      </c>
      <c r="C1735" s="75">
        <v>98.11</v>
      </c>
      <c r="D1735" s="75">
        <v>93.96</v>
      </c>
      <c r="E1735" s="75">
        <v>91.27</v>
      </c>
      <c r="F1735">
        <v>-666.27</v>
      </c>
      <c r="G1735">
        <v>156.45000000000002</v>
      </c>
      <c r="H1735">
        <v>-2286.4</v>
      </c>
      <c r="I1735">
        <v>2114.9</v>
      </c>
      <c r="J1735">
        <v>-681.32000000000016</v>
      </c>
    </row>
    <row r="1736" spans="1:10" x14ac:dyDescent="0.35">
      <c r="A1736">
        <v>1720</v>
      </c>
      <c r="B1736" s="75">
        <v>88.959599999999995</v>
      </c>
      <c r="C1736" s="75">
        <v>99.113799999999998</v>
      </c>
      <c r="D1736" s="75">
        <v>94.114199999999997</v>
      </c>
      <c r="E1736" s="75">
        <v>91.876999999999995</v>
      </c>
      <c r="F1736">
        <v>1960.1999999999998</v>
      </c>
      <c r="G1736">
        <v>-1355.8500000000001</v>
      </c>
      <c r="H1736">
        <v>-2596.2000000000003</v>
      </c>
      <c r="I1736">
        <v>1503.6000000000001</v>
      </c>
      <c r="J1736">
        <v>-488.25000000000045</v>
      </c>
    </row>
    <row r="1737" spans="1:10" x14ac:dyDescent="0.35">
      <c r="A1737">
        <v>1721</v>
      </c>
      <c r="B1737" s="75">
        <v>89.26</v>
      </c>
      <c r="C1737" s="75">
        <v>98.65</v>
      </c>
      <c r="D1737" s="75">
        <v>92.56</v>
      </c>
      <c r="E1737" s="75">
        <v>91.02</v>
      </c>
      <c r="F1737">
        <v>958.65</v>
      </c>
      <c r="G1737">
        <v>-663</v>
      </c>
      <c r="H1737">
        <v>505.8</v>
      </c>
      <c r="I1737">
        <v>2362.2999999999997</v>
      </c>
      <c r="J1737">
        <v>3163.75</v>
      </c>
    </row>
    <row r="1738" spans="1:10" x14ac:dyDescent="0.35">
      <c r="A1738">
        <v>1722</v>
      </c>
      <c r="B1738" s="75">
        <v>89.5</v>
      </c>
      <c r="C1738" s="75">
        <v>97.745800000000003</v>
      </c>
      <c r="D1738" s="75">
        <v>92.919200000000004</v>
      </c>
      <c r="E1738" s="75">
        <v>91.516400000000004</v>
      </c>
      <c r="F1738">
        <v>176.88</v>
      </c>
      <c r="G1738">
        <v>696.15</v>
      </c>
      <c r="H1738">
        <v>-206.2</v>
      </c>
      <c r="I1738">
        <v>1864.2</v>
      </c>
      <c r="J1738">
        <v>2531.0299999999997</v>
      </c>
    </row>
    <row r="1739" spans="1:10" x14ac:dyDescent="0.35">
      <c r="A1739">
        <v>1723</v>
      </c>
      <c r="B1739" s="75">
        <v>90.43</v>
      </c>
      <c r="C1739" s="75">
        <v>99.62</v>
      </c>
      <c r="D1739" s="75">
        <v>94.39</v>
      </c>
      <c r="E1739" s="75">
        <v>91.6</v>
      </c>
      <c r="F1739">
        <v>-2879.58</v>
      </c>
      <c r="G1739">
        <v>-2121</v>
      </c>
      <c r="H1739">
        <v>-3148</v>
      </c>
      <c r="I1739">
        <v>1784.1</v>
      </c>
      <c r="J1739">
        <v>-6364.48</v>
      </c>
    </row>
    <row r="1740" spans="1:10" x14ac:dyDescent="0.35">
      <c r="A1740">
        <v>1724</v>
      </c>
      <c r="B1740" s="75">
        <v>90.033799999999999</v>
      </c>
      <c r="C1740" s="75">
        <v>97.310400000000001</v>
      </c>
      <c r="D1740" s="75">
        <v>91.444800000000001</v>
      </c>
      <c r="E1740" s="75">
        <v>90.262799999999999</v>
      </c>
      <c r="F1740">
        <v>-1584.66</v>
      </c>
      <c r="G1740">
        <v>1349.25</v>
      </c>
      <c r="H1740">
        <v>2742.6</v>
      </c>
      <c r="I1740">
        <v>3117.7999999999997</v>
      </c>
      <c r="J1740">
        <v>5624.99</v>
      </c>
    </row>
    <row r="1741" spans="1:10" x14ac:dyDescent="0.35">
      <c r="A1741">
        <v>1725</v>
      </c>
      <c r="B1741" s="75">
        <v>89.95</v>
      </c>
      <c r="C1741" s="75">
        <v>99.43</v>
      </c>
      <c r="D1741" s="75">
        <v>94.83</v>
      </c>
      <c r="E1741" s="75">
        <v>92.23</v>
      </c>
      <c r="F1741">
        <v>-1314.06</v>
      </c>
      <c r="G1741">
        <v>-1834.65</v>
      </c>
      <c r="H1741">
        <v>-4032.7999999999997</v>
      </c>
      <c r="I1741">
        <v>1151.0999999999999</v>
      </c>
      <c r="J1741">
        <v>-6030.41</v>
      </c>
    </row>
    <row r="1742" spans="1:10" x14ac:dyDescent="0.35">
      <c r="A1742">
        <v>1726</v>
      </c>
      <c r="B1742" s="75">
        <v>89.907799999999995</v>
      </c>
      <c r="C1742" s="75">
        <v>98.848600000000005</v>
      </c>
      <c r="D1742" s="75">
        <v>92.068700000000007</v>
      </c>
      <c r="E1742" s="75">
        <v>92.331299999999999</v>
      </c>
      <c r="F1742">
        <v>-1168.8600000000001</v>
      </c>
      <c r="G1742">
        <v>-958.05000000000007</v>
      </c>
      <c r="H1742">
        <v>1494.8</v>
      </c>
      <c r="I1742">
        <v>1049.3</v>
      </c>
      <c r="J1742">
        <v>417.1899999999996</v>
      </c>
    </row>
    <row r="1743" spans="1:10" x14ac:dyDescent="0.35">
      <c r="A1743">
        <v>1727</v>
      </c>
      <c r="B1743" s="75">
        <v>90.26</v>
      </c>
      <c r="C1743" s="75">
        <v>97.96</v>
      </c>
      <c r="D1743" s="75">
        <v>92.95</v>
      </c>
      <c r="E1743" s="75">
        <v>91.35</v>
      </c>
      <c r="F1743">
        <v>-2335.7399999999998</v>
      </c>
      <c r="G1743">
        <v>375.75</v>
      </c>
      <c r="H1743">
        <v>-275.2</v>
      </c>
      <c r="I1743">
        <v>2028.6</v>
      </c>
      <c r="J1743">
        <v>-206.58999999999969</v>
      </c>
    </row>
    <row r="1744" spans="1:10" x14ac:dyDescent="0.35">
      <c r="A1744">
        <v>1728</v>
      </c>
      <c r="B1744" s="75">
        <v>89.860699999999994</v>
      </c>
      <c r="C1744" s="75">
        <v>98.2346</v>
      </c>
      <c r="D1744" s="75">
        <v>92.818399999999997</v>
      </c>
      <c r="E1744" s="75">
        <v>94.745699999999999</v>
      </c>
      <c r="F1744">
        <v>-1013.43</v>
      </c>
      <c r="G1744">
        <v>-37.049999999999997</v>
      </c>
      <c r="H1744">
        <v>-4.5999999999999996</v>
      </c>
      <c r="I1744">
        <v>-1365.1</v>
      </c>
      <c r="J1744">
        <v>-2420.1799999999998</v>
      </c>
    </row>
    <row r="1745" spans="1:10" x14ac:dyDescent="0.35">
      <c r="A1745">
        <v>1729</v>
      </c>
      <c r="B1745" s="75">
        <v>88.9</v>
      </c>
      <c r="C1745" s="75">
        <v>98.49</v>
      </c>
      <c r="D1745" s="75">
        <v>93.87</v>
      </c>
      <c r="E1745" s="75">
        <v>95.51</v>
      </c>
      <c r="F1745">
        <v>2161.17</v>
      </c>
      <c r="G1745">
        <v>-419.25000000000006</v>
      </c>
      <c r="H1745">
        <v>-2117</v>
      </c>
      <c r="I1745">
        <v>-2131.6000000000004</v>
      </c>
      <c r="J1745">
        <v>-2506.6800000000003</v>
      </c>
    </row>
    <row r="1746" spans="1:10" x14ac:dyDescent="0.35">
      <c r="A1746">
        <v>1730</v>
      </c>
      <c r="B1746" s="75">
        <v>89.217600000000004</v>
      </c>
      <c r="C1746" s="75">
        <v>98.457400000000007</v>
      </c>
      <c r="D1746" s="75">
        <v>93.0809</v>
      </c>
      <c r="E1746" s="75">
        <v>94.947699999999998</v>
      </c>
      <c r="F1746">
        <v>1108.8000000000002</v>
      </c>
      <c r="G1746">
        <v>-371.25</v>
      </c>
      <c r="H1746">
        <v>-529.59999999999991</v>
      </c>
      <c r="I1746">
        <v>-1567.1</v>
      </c>
      <c r="J1746">
        <v>-1359.1499999999996</v>
      </c>
    </row>
    <row r="1747" spans="1:10" x14ac:dyDescent="0.35">
      <c r="A1747">
        <v>1731</v>
      </c>
      <c r="B1747" s="75">
        <v>89.63</v>
      </c>
      <c r="C1747" s="75">
        <v>97.26</v>
      </c>
      <c r="D1747" s="75">
        <v>93.69</v>
      </c>
      <c r="E1747" s="75">
        <v>94.35</v>
      </c>
      <c r="F1747">
        <v>-255.75</v>
      </c>
      <c r="G1747">
        <v>1425.3</v>
      </c>
      <c r="H1747">
        <v>-1750.2</v>
      </c>
      <c r="I1747">
        <v>-974</v>
      </c>
      <c r="J1747">
        <v>-1554.65</v>
      </c>
    </row>
    <row r="1748" spans="1:10" x14ac:dyDescent="0.35">
      <c r="A1748">
        <v>1732</v>
      </c>
      <c r="B1748" s="75">
        <v>89.401399999999995</v>
      </c>
      <c r="C1748" s="75">
        <v>98.775800000000004</v>
      </c>
      <c r="D1748" s="75">
        <v>91.272900000000007</v>
      </c>
      <c r="E1748" s="75">
        <v>91.956599999999995</v>
      </c>
      <c r="F1748">
        <v>502.26</v>
      </c>
      <c r="G1748">
        <v>-848.84999999999991</v>
      </c>
      <c r="H1748">
        <v>3086.3999999999996</v>
      </c>
      <c r="I1748">
        <v>1424</v>
      </c>
      <c r="J1748">
        <v>4163.8099999999995</v>
      </c>
    </row>
    <row r="1749" spans="1:10" x14ac:dyDescent="0.35">
      <c r="A1749">
        <v>1733</v>
      </c>
      <c r="B1749" s="75">
        <v>90.43</v>
      </c>
      <c r="C1749" s="75">
        <v>97.78</v>
      </c>
      <c r="D1749" s="75">
        <v>95.04</v>
      </c>
      <c r="E1749" s="75">
        <v>93.46</v>
      </c>
      <c r="F1749">
        <v>-2894.1</v>
      </c>
      <c r="G1749">
        <v>649.65</v>
      </c>
      <c r="H1749">
        <v>-4442.8</v>
      </c>
      <c r="I1749">
        <v>-81.199999999999989</v>
      </c>
      <c r="J1749">
        <v>-6768.45</v>
      </c>
    </row>
    <row r="1750" spans="1:10" x14ac:dyDescent="0.35">
      <c r="A1750">
        <v>1734</v>
      </c>
      <c r="B1750" s="75">
        <v>89.2363</v>
      </c>
      <c r="C1750" s="75">
        <v>99.624499999999998</v>
      </c>
      <c r="D1750" s="75">
        <v>92.851299999999995</v>
      </c>
      <c r="E1750" s="75">
        <v>92.164599999999993</v>
      </c>
      <c r="F1750">
        <v>1047.0900000000001</v>
      </c>
      <c r="G1750">
        <v>-2121.9</v>
      </c>
      <c r="H1750">
        <v>-70.400000000000006</v>
      </c>
      <c r="I1750">
        <v>1216</v>
      </c>
      <c r="J1750">
        <v>70.789999999999964</v>
      </c>
    </row>
    <row r="1751" spans="1:10" x14ac:dyDescent="0.35">
      <c r="A1751">
        <v>1735</v>
      </c>
      <c r="B1751" s="75">
        <v>89.72</v>
      </c>
      <c r="C1751" s="75">
        <v>98.11</v>
      </c>
      <c r="D1751" s="75">
        <v>91.34</v>
      </c>
      <c r="E1751" s="75">
        <v>94.26</v>
      </c>
      <c r="F1751">
        <v>-545.16000000000008</v>
      </c>
      <c r="G1751">
        <v>156.75</v>
      </c>
      <c r="H1751">
        <v>2956.4</v>
      </c>
      <c r="I1751">
        <v>-882.6</v>
      </c>
      <c r="J1751">
        <v>1685.3899999999999</v>
      </c>
    </row>
    <row r="1752" spans="1:10" x14ac:dyDescent="0.35">
      <c r="A1752">
        <v>1736</v>
      </c>
      <c r="B1752" s="75">
        <v>89.432100000000005</v>
      </c>
      <c r="C1752" s="75">
        <v>98.97</v>
      </c>
      <c r="D1752" s="75">
        <v>93.832499999999996</v>
      </c>
      <c r="E1752" s="75">
        <v>92.648799999999994</v>
      </c>
      <c r="F1752">
        <v>400.95</v>
      </c>
      <c r="G1752">
        <v>-1140.1500000000001</v>
      </c>
      <c r="H1752">
        <v>-2032.8</v>
      </c>
      <c r="I1752">
        <v>731.8</v>
      </c>
      <c r="J1752">
        <v>-2040.2</v>
      </c>
    </row>
    <row r="1753" spans="1:10" x14ac:dyDescent="0.35">
      <c r="A1753">
        <v>1737</v>
      </c>
      <c r="B1753" s="75">
        <v>88.82</v>
      </c>
      <c r="C1753" s="75">
        <v>98.43</v>
      </c>
      <c r="D1753" s="75">
        <v>92.69</v>
      </c>
      <c r="E1753" s="75">
        <v>92.26</v>
      </c>
      <c r="F1753">
        <v>2414.61</v>
      </c>
      <c r="G1753">
        <v>-324.45</v>
      </c>
      <c r="H1753">
        <v>246.60000000000002</v>
      </c>
      <c r="I1753">
        <v>1117.3</v>
      </c>
      <c r="J1753">
        <v>3454.0600000000004</v>
      </c>
    </row>
    <row r="1754" spans="1:10" x14ac:dyDescent="0.35">
      <c r="A1754">
        <v>1738</v>
      </c>
      <c r="B1754" s="75">
        <v>90.510599999999997</v>
      </c>
      <c r="C1754" s="75">
        <v>98.719399999999993</v>
      </c>
      <c r="D1754" s="75">
        <v>93.316000000000003</v>
      </c>
      <c r="E1754" s="75">
        <v>93.0565</v>
      </c>
      <c r="F1754">
        <v>-3158.1</v>
      </c>
      <c r="G1754">
        <v>-764.24999999999989</v>
      </c>
      <c r="H1754">
        <v>-999.80000000000007</v>
      </c>
      <c r="I1754">
        <v>324.10000000000002</v>
      </c>
      <c r="J1754">
        <v>-4598.0499999999993</v>
      </c>
    </row>
    <row r="1755" spans="1:10" x14ac:dyDescent="0.35">
      <c r="A1755">
        <v>1739</v>
      </c>
      <c r="B1755" s="75">
        <v>89.34</v>
      </c>
      <c r="C1755" s="75">
        <v>97.17</v>
      </c>
      <c r="D1755" s="75">
        <v>91.94</v>
      </c>
      <c r="E1755" s="75">
        <v>96.03</v>
      </c>
      <c r="F1755">
        <v>692.01</v>
      </c>
      <c r="G1755">
        <v>1563.3</v>
      </c>
      <c r="H1755">
        <v>1762</v>
      </c>
      <c r="I1755">
        <v>-2646.6</v>
      </c>
      <c r="J1755">
        <v>1370.71</v>
      </c>
    </row>
    <row r="1756" spans="1:10" x14ac:dyDescent="0.35">
      <c r="A1756">
        <v>1740</v>
      </c>
      <c r="B1756" s="75">
        <v>89.606999999999999</v>
      </c>
      <c r="C1756" s="75">
        <v>97.123400000000004</v>
      </c>
      <c r="D1756" s="75">
        <v>92.396199999999993</v>
      </c>
      <c r="E1756" s="75">
        <v>91.409400000000005</v>
      </c>
      <c r="F1756">
        <v>-176.22</v>
      </c>
      <c r="G1756">
        <v>1629.75</v>
      </c>
      <c r="H1756">
        <v>839.8</v>
      </c>
      <c r="I1756">
        <v>1971.2</v>
      </c>
      <c r="J1756">
        <v>4264.53</v>
      </c>
    </row>
    <row r="1757" spans="1:10" x14ac:dyDescent="0.35">
      <c r="A1757">
        <v>1741</v>
      </c>
      <c r="B1757" s="75">
        <v>89.41</v>
      </c>
      <c r="C1757" s="75">
        <v>98.57</v>
      </c>
      <c r="D1757" s="75">
        <v>93.24</v>
      </c>
      <c r="E1757" s="75">
        <v>92.69</v>
      </c>
      <c r="F1757">
        <v>483.78000000000003</v>
      </c>
      <c r="G1757">
        <v>-538.5</v>
      </c>
      <c r="H1757">
        <v>-844.8</v>
      </c>
      <c r="I1757">
        <v>686.69999999999993</v>
      </c>
      <c r="J1757">
        <v>-212.82000000000005</v>
      </c>
    </row>
    <row r="1758" spans="1:10" x14ac:dyDescent="0.35">
      <c r="A1758">
        <v>1742</v>
      </c>
      <c r="B1758" s="75">
        <v>89.855199999999996</v>
      </c>
      <c r="C1758" s="75">
        <v>98.901499999999999</v>
      </c>
      <c r="D1758" s="75">
        <v>92.218999999999994</v>
      </c>
      <c r="E1758" s="75">
        <v>94.226399999999998</v>
      </c>
      <c r="F1758">
        <v>-995.28</v>
      </c>
      <c r="G1758">
        <v>-1037.4000000000001</v>
      </c>
      <c r="H1758">
        <v>1194.1999999999998</v>
      </c>
      <c r="I1758">
        <v>-845.8</v>
      </c>
      <c r="J1758">
        <v>-1684.2800000000002</v>
      </c>
    </row>
    <row r="1759" spans="1:10" x14ac:dyDescent="0.35">
      <c r="A1759">
        <v>1743</v>
      </c>
      <c r="B1759" s="75">
        <v>89.6</v>
      </c>
      <c r="C1759" s="75">
        <v>97.8</v>
      </c>
      <c r="D1759" s="75">
        <v>92.54</v>
      </c>
      <c r="E1759" s="75">
        <v>88.76</v>
      </c>
      <c r="F1759">
        <v>-168.96</v>
      </c>
      <c r="G1759">
        <v>621.30000000000007</v>
      </c>
      <c r="H1759">
        <v>560</v>
      </c>
      <c r="I1759">
        <v>4616.3</v>
      </c>
      <c r="J1759">
        <v>5628.64</v>
      </c>
    </row>
    <row r="1760" spans="1:10" x14ac:dyDescent="0.35">
      <c r="A1760">
        <v>1744</v>
      </c>
      <c r="B1760" s="75">
        <v>88.906199999999998</v>
      </c>
      <c r="C1760" s="75">
        <v>97.828299999999999</v>
      </c>
      <c r="D1760" s="75">
        <v>92.411199999999994</v>
      </c>
      <c r="E1760" s="75">
        <v>95.092200000000005</v>
      </c>
      <c r="F1760">
        <v>2136.42</v>
      </c>
      <c r="G1760">
        <v>572.4</v>
      </c>
      <c r="H1760">
        <v>809.8</v>
      </c>
      <c r="I1760">
        <v>-1711.6</v>
      </c>
      <c r="J1760">
        <v>1807.02</v>
      </c>
    </row>
    <row r="1761" spans="1:10" x14ac:dyDescent="0.35">
      <c r="A1761">
        <v>1745</v>
      </c>
      <c r="B1761" s="75">
        <v>89.83</v>
      </c>
      <c r="C1761" s="75">
        <v>97.98</v>
      </c>
      <c r="D1761" s="75">
        <v>93.56</v>
      </c>
      <c r="E1761" s="75">
        <v>94.38</v>
      </c>
      <c r="F1761">
        <v>-928.29</v>
      </c>
      <c r="G1761">
        <v>339.59999999999997</v>
      </c>
      <c r="H1761">
        <v>-1478.8</v>
      </c>
      <c r="I1761">
        <v>-1003.9</v>
      </c>
      <c r="J1761">
        <v>-3071.39</v>
      </c>
    </row>
    <row r="1762" spans="1:10" x14ac:dyDescent="0.35">
      <c r="A1762">
        <v>1746</v>
      </c>
      <c r="B1762" s="75">
        <v>89.765199999999993</v>
      </c>
      <c r="C1762" s="75">
        <v>98.510199999999998</v>
      </c>
      <c r="D1762" s="75">
        <v>94.336299999999994</v>
      </c>
      <c r="E1762" s="75">
        <v>92.704999999999998</v>
      </c>
      <c r="F1762">
        <v>-698.28000000000009</v>
      </c>
      <c r="G1762">
        <v>-450.45000000000005</v>
      </c>
      <c r="H1762">
        <v>-3040.4</v>
      </c>
      <c r="I1762">
        <v>675.6</v>
      </c>
      <c r="J1762">
        <v>-3513.53</v>
      </c>
    </row>
    <row r="1763" spans="1:10" x14ac:dyDescent="0.35">
      <c r="A1763">
        <v>1747</v>
      </c>
      <c r="B1763" s="75">
        <v>89.76</v>
      </c>
      <c r="C1763" s="75">
        <v>99.98</v>
      </c>
      <c r="D1763" s="75">
        <v>94.52</v>
      </c>
      <c r="E1763" s="75">
        <v>92.68</v>
      </c>
      <c r="F1763">
        <v>-683.43000000000006</v>
      </c>
      <c r="G1763">
        <v>-2656.5</v>
      </c>
      <c r="H1763">
        <v>-3399.2</v>
      </c>
      <c r="I1763">
        <v>702</v>
      </c>
      <c r="J1763">
        <v>-6037.13</v>
      </c>
    </row>
    <row r="1764" spans="1:10" x14ac:dyDescent="0.35">
      <c r="A1764">
        <v>1748</v>
      </c>
      <c r="B1764" s="75">
        <v>89.679599999999994</v>
      </c>
      <c r="C1764" s="75">
        <v>99.215900000000005</v>
      </c>
      <c r="D1764" s="75">
        <v>91.734099999999998</v>
      </c>
      <c r="E1764" s="75">
        <v>95.315799999999996</v>
      </c>
      <c r="F1764">
        <v>-415.8</v>
      </c>
      <c r="G1764">
        <v>-1509</v>
      </c>
      <c r="H1764">
        <v>2164</v>
      </c>
      <c r="I1764">
        <v>-1935.2</v>
      </c>
      <c r="J1764">
        <v>-1696</v>
      </c>
    </row>
    <row r="1765" spans="1:10" x14ac:dyDescent="0.35">
      <c r="A1765">
        <v>1749</v>
      </c>
      <c r="B1765" s="75">
        <v>89.96</v>
      </c>
      <c r="C1765" s="75">
        <v>98.77</v>
      </c>
      <c r="D1765" s="75">
        <v>91.49</v>
      </c>
      <c r="E1765" s="75">
        <v>93.47</v>
      </c>
      <c r="F1765">
        <v>-1352.6699999999998</v>
      </c>
      <c r="G1765">
        <v>-836.55</v>
      </c>
      <c r="H1765">
        <v>2652.6</v>
      </c>
      <c r="I1765">
        <v>-91.5</v>
      </c>
      <c r="J1765">
        <v>371.88000000000011</v>
      </c>
    </row>
    <row r="1766" spans="1:10" x14ac:dyDescent="0.35">
      <c r="A1766">
        <v>1750</v>
      </c>
      <c r="B1766" s="75">
        <v>90.186999999999998</v>
      </c>
      <c r="C1766" s="75">
        <v>97.400599999999997</v>
      </c>
      <c r="D1766" s="75">
        <v>93.877300000000005</v>
      </c>
      <c r="E1766" s="75">
        <v>92.541799999999995</v>
      </c>
      <c r="F1766">
        <v>-2090.2199999999998</v>
      </c>
      <c r="G1766">
        <v>1213.95</v>
      </c>
      <c r="H1766">
        <v>-2122.3999999999996</v>
      </c>
      <c r="I1766">
        <v>838.8</v>
      </c>
      <c r="J1766">
        <v>-2159.869999999999</v>
      </c>
    </row>
    <row r="1767" spans="1:10" x14ac:dyDescent="0.35">
      <c r="A1767">
        <v>1751</v>
      </c>
      <c r="B1767" s="75">
        <v>89.84</v>
      </c>
      <c r="C1767" s="75">
        <v>98.28</v>
      </c>
      <c r="D1767" s="75">
        <v>92.44</v>
      </c>
      <c r="E1767" s="75">
        <v>93.42</v>
      </c>
      <c r="F1767">
        <v>-931.26</v>
      </c>
      <c r="G1767">
        <v>-108.14999999999999</v>
      </c>
      <c r="H1767">
        <v>744.80000000000007</v>
      </c>
      <c r="I1767">
        <v>-38.800000000000004</v>
      </c>
      <c r="J1767">
        <v>-333.41</v>
      </c>
    </row>
    <row r="1768" spans="1:10" x14ac:dyDescent="0.35">
      <c r="A1768">
        <v>1752</v>
      </c>
      <c r="B1768" s="75">
        <v>89.6464</v>
      </c>
      <c r="C1768" s="75">
        <v>96.635000000000005</v>
      </c>
      <c r="D1768" s="75">
        <v>94.083600000000004</v>
      </c>
      <c r="E1768" s="75">
        <v>91.88</v>
      </c>
      <c r="F1768">
        <v>-306.23999999999995</v>
      </c>
      <c r="G1768">
        <v>2362.35</v>
      </c>
      <c r="H1768">
        <v>-2535</v>
      </c>
      <c r="I1768">
        <v>1500.6</v>
      </c>
      <c r="J1768">
        <v>1021.71</v>
      </c>
    </row>
    <row r="1769" spans="1:10" x14ac:dyDescent="0.35">
      <c r="A1769">
        <v>1753</v>
      </c>
      <c r="B1769" s="75">
        <v>89.23</v>
      </c>
      <c r="C1769" s="75">
        <v>98.39</v>
      </c>
      <c r="D1769" s="75">
        <v>93.65</v>
      </c>
      <c r="E1769" s="75">
        <v>94.11</v>
      </c>
      <c r="F1769">
        <v>1069.8599999999999</v>
      </c>
      <c r="G1769">
        <v>-276.89999999999998</v>
      </c>
      <c r="H1769">
        <v>-1677</v>
      </c>
      <c r="I1769">
        <v>-730.7</v>
      </c>
      <c r="J1769">
        <v>-1614.7400000000002</v>
      </c>
    </row>
    <row r="1770" spans="1:10" x14ac:dyDescent="0.35">
      <c r="A1770">
        <v>1754</v>
      </c>
      <c r="B1770" s="75">
        <v>90.296300000000002</v>
      </c>
      <c r="C1770" s="75">
        <v>97.877300000000005</v>
      </c>
      <c r="D1770" s="75">
        <v>91.4452</v>
      </c>
      <c r="E1770" s="75">
        <v>93.005499999999998</v>
      </c>
      <c r="F1770">
        <v>-2450.9100000000003</v>
      </c>
      <c r="G1770">
        <v>498.90000000000003</v>
      </c>
      <c r="H1770">
        <v>2741.8</v>
      </c>
      <c r="I1770">
        <v>375.09999999999997</v>
      </c>
      <c r="J1770">
        <v>1164.8899999999999</v>
      </c>
    </row>
    <row r="1771" spans="1:10" x14ac:dyDescent="0.35">
      <c r="A1771">
        <v>1755</v>
      </c>
      <c r="B1771" s="75">
        <v>89.51</v>
      </c>
      <c r="C1771" s="75">
        <v>98.77</v>
      </c>
      <c r="D1771" s="75">
        <v>92.27</v>
      </c>
      <c r="E1771" s="75">
        <v>94.71</v>
      </c>
      <c r="F1771">
        <v>154.10999999999999</v>
      </c>
      <c r="G1771">
        <v>-838.65000000000009</v>
      </c>
      <c r="H1771">
        <v>1091.3999999999999</v>
      </c>
      <c r="I1771">
        <v>-1327.3</v>
      </c>
      <c r="J1771">
        <v>-920.44000000000017</v>
      </c>
    </row>
    <row r="1772" spans="1:10" x14ac:dyDescent="0.35">
      <c r="A1772">
        <v>1756</v>
      </c>
      <c r="B1772" s="75">
        <v>89.703900000000004</v>
      </c>
      <c r="C1772" s="75">
        <v>96.915899999999993</v>
      </c>
      <c r="D1772" s="75">
        <v>92.730699999999999</v>
      </c>
      <c r="E1772" s="75">
        <v>93.566199999999995</v>
      </c>
      <c r="F1772">
        <v>-495.98999999999995</v>
      </c>
      <c r="G1772">
        <v>1941</v>
      </c>
      <c r="H1772">
        <v>170.8</v>
      </c>
      <c r="I1772">
        <v>-185.6</v>
      </c>
      <c r="J1772">
        <v>1430.21</v>
      </c>
    </row>
    <row r="1773" spans="1:10" x14ac:dyDescent="0.35">
      <c r="A1773">
        <v>1757</v>
      </c>
      <c r="B1773" s="75">
        <v>89.6</v>
      </c>
      <c r="C1773" s="75">
        <v>96.28</v>
      </c>
      <c r="D1773" s="75">
        <v>92.87</v>
      </c>
      <c r="E1773" s="75">
        <v>93.05</v>
      </c>
      <c r="F1773">
        <v>-168.29999999999998</v>
      </c>
      <c r="G1773">
        <v>2892</v>
      </c>
      <c r="H1773">
        <v>-114.2</v>
      </c>
      <c r="I1773">
        <v>334.1</v>
      </c>
      <c r="J1773">
        <v>2943.6</v>
      </c>
    </row>
    <row r="1774" spans="1:10" x14ac:dyDescent="0.35">
      <c r="A1774">
        <v>1758</v>
      </c>
      <c r="B1774" s="75">
        <v>89.438999999999993</v>
      </c>
      <c r="C1774" s="75">
        <v>98.49</v>
      </c>
      <c r="D1774" s="75">
        <v>93.267399999999995</v>
      </c>
      <c r="E1774" s="75">
        <v>94.935299999999998</v>
      </c>
      <c r="F1774">
        <v>378.18</v>
      </c>
      <c r="G1774">
        <v>-420.15000000000003</v>
      </c>
      <c r="H1774">
        <v>-902.59999999999991</v>
      </c>
      <c r="I1774">
        <v>-1554.7</v>
      </c>
      <c r="J1774">
        <v>-2499.27</v>
      </c>
    </row>
    <row r="1775" spans="1:10" x14ac:dyDescent="0.35">
      <c r="A1775">
        <v>1759</v>
      </c>
      <c r="B1775" s="75">
        <v>89.76</v>
      </c>
      <c r="C1775" s="75">
        <v>97.85</v>
      </c>
      <c r="D1775" s="75">
        <v>92.84</v>
      </c>
      <c r="E1775" s="75">
        <v>96.6</v>
      </c>
      <c r="F1775">
        <v>-679.8</v>
      </c>
      <c r="G1775">
        <v>536.55000000000007</v>
      </c>
      <c r="H1775">
        <v>-56.800000000000004</v>
      </c>
      <c r="I1775">
        <v>-3220.8</v>
      </c>
      <c r="J1775">
        <v>-3420.85</v>
      </c>
    </row>
    <row r="1776" spans="1:10" x14ac:dyDescent="0.35">
      <c r="A1776">
        <v>1760</v>
      </c>
      <c r="B1776" s="75">
        <v>89.979399999999998</v>
      </c>
      <c r="C1776" s="75">
        <v>97.875500000000002</v>
      </c>
      <c r="D1776" s="75">
        <v>93.154300000000006</v>
      </c>
      <c r="E1776" s="75">
        <v>96.960800000000006</v>
      </c>
      <c r="F1776">
        <v>-1405.14</v>
      </c>
      <c r="G1776">
        <v>501.59999999999997</v>
      </c>
      <c r="H1776">
        <v>-676.4</v>
      </c>
      <c r="I1776">
        <v>-3580.2000000000003</v>
      </c>
      <c r="J1776">
        <v>-5160.1400000000003</v>
      </c>
    </row>
    <row r="1777" spans="1:10" x14ac:dyDescent="0.35">
      <c r="A1777">
        <v>1761</v>
      </c>
      <c r="B1777" s="75">
        <v>89.07</v>
      </c>
      <c r="C1777" s="75">
        <v>99.01</v>
      </c>
      <c r="D1777" s="75">
        <v>92.72</v>
      </c>
      <c r="E1777" s="75">
        <v>92.84</v>
      </c>
      <c r="F1777">
        <v>1584</v>
      </c>
      <c r="G1777">
        <v>-1194.45</v>
      </c>
      <c r="H1777">
        <v>201.6</v>
      </c>
      <c r="I1777">
        <v>541.20000000000005</v>
      </c>
      <c r="J1777">
        <v>1132.3499999999999</v>
      </c>
    </row>
    <row r="1778" spans="1:10" x14ac:dyDescent="0.35">
      <c r="A1778">
        <v>1762</v>
      </c>
      <c r="B1778" s="75">
        <v>89.933199999999999</v>
      </c>
      <c r="C1778" s="75">
        <v>97.537599999999998</v>
      </c>
      <c r="D1778" s="75">
        <v>93.743300000000005</v>
      </c>
      <c r="E1778" s="75">
        <v>91.900700000000001</v>
      </c>
      <c r="F1778">
        <v>-1252.68</v>
      </c>
      <c r="G1778">
        <v>1008.45</v>
      </c>
      <c r="H1778">
        <v>-1854.4</v>
      </c>
      <c r="I1778">
        <v>1479.9</v>
      </c>
      <c r="J1778">
        <v>-618.73</v>
      </c>
    </row>
    <row r="1779" spans="1:10" x14ac:dyDescent="0.35">
      <c r="A1779">
        <v>1763</v>
      </c>
      <c r="B1779" s="75">
        <v>89.03</v>
      </c>
      <c r="C1779" s="75">
        <v>98.35</v>
      </c>
      <c r="D1779" s="75">
        <v>91.5</v>
      </c>
      <c r="E1779" s="75">
        <v>95.88</v>
      </c>
      <c r="F1779">
        <v>1723.59</v>
      </c>
      <c r="G1779">
        <v>-212.54999999999998</v>
      </c>
      <c r="H1779">
        <v>2628.2000000000003</v>
      </c>
      <c r="I1779">
        <v>-2500.3000000000002</v>
      </c>
      <c r="J1779">
        <v>1638.9399999999996</v>
      </c>
    </row>
    <row r="1780" spans="1:10" x14ac:dyDescent="0.35">
      <c r="A1780">
        <v>1764</v>
      </c>
      <c r="B1780" s="75">
        <v>89.1614</v>
      </c>
      <c r="C1780" s="75">
        <v>97.8733</v>
      </c>
      <c r="D1780" s="75">
        <v>90.8065</v>
      </c>
      <c r="E1780" s="75">
        <v>91.570800000000006</v>
      </c>
      <c r="F1780">
        <v>1294.26</v>
      </c>
      <c r="G1780">
        <v>504.90000000000003</v>
      </c>
      <c r="H1780">
        <v>4019.2</v>
      </c>
      <c r="I1780">
        <v>1809.8000000000002</v>
      </c>
      <c r="J1780">
        <v>7628.16</v>
      </c>
    </row>
    <row r="1781" spans="1:10" x14ac:dyDescent="0.35">
      <c r="A1781">
        <v>1765</v>
      </c>
      <c r="B1781" s="75">
        <v>88.89</v>
      </c>
      <c r="C1781" s="75">
        <v>98.5</v>
      </c>
      <c r="D1781" s="75">
        <v>93.75</v>
      </c>
      <c r="E1781" s="75">
        <v>93.87</v>
      </c>
      <c r="F1781">
        <v>2175.0300000000002</v>
      </c>
      <c r="G1781">
        <v>-441.75</v>
      </c>
      <c r="H1781">
        <v>-1871.8</v>
      </c>
      <c r="I1781">
        <v>-490.59999999999997</v>
      </c>
      <c r="J1781">
        <v>-629.11999999999966</v>
      </c>
    </row>
    <row r="1782" spans="1:10" x14ac:dyDescent="0.35">
      <c r="A1782">
        <v>1766</v>
      </c>
      <c r="B1782" s="75">
        <v>88.977199999999996</v>
      </c>
      <c r="C1782" s="75">
        <v>98.136799999999994</v>
      </c>
      <c r="D1782" s="75">
        <v>92.892399999999995</v>
      </c>
      <c r="E1782" s="75">
        <v>93.178100000000001</v>
      </c>
      <c r="F1782">
        <v>1902.1200000000001</v>
      </c>
      <c r="G1782">
        <v>109.64999999999999</v>
      </c>
      <c r="H1782">
        <v>-152.60000000000002</v>
      </c>
      <c r="I1782">
        <v>202.5</v>
      </c>
      <c r="J1782">
        <v>2061.67</v>
      </c>
    </row>
    <row r="1783" spans="1:10" x14ac:dyDescent="0.35">
      <c r="A1783">
        <v>1767</v>
      </c>
      <c r="B1783" s="75">
        <v>89.52</v>
      </c>
      <c r="C1783" s="75">
        <v>97.85</v>
      </c>
      <c r="D1783" s="75">
        <v>93.12</v>
      </c>
      <c r="E1783" s="75">
        <v>94.04</v>
      </c>
      <c r="F1783">
        <v>124.41</v>
      </c>
      <c r="G1783">
        <v>540.30000000000007</v>
      </c>
      <c r="H1783">
        <v>-613</v>
      </c>
      <c r="I1783">
        <v>-658.2</v>
      </c>
      <c r="J1783">
        <v>-606.49</v>
      </c>
    </row>
    <row r="1784" spans="1:10" x14ac:dyDescent="0.35">
      <c r="A1784">
        <v>1768</v>
      </c>
      <c r="B1784" s="75">
        <v>89.654499999999999</v>
      </c>
      <c r="C1784" s="75">
        <v>98.727199999999996</v>
      </c>
      <c r="D1784" s="75">
        <v>93.144099999999995</v>
      </c>
      <c r="E1784" s="75">
        <v>94.238100000000003</v>
      </c>
      <c r="F1784">
        <v>-332.97</v>
      </c>
      <c r="G1784">
        <v>-775.94999999999993</v>
      </c>
      <c r="H1784">
        <v>-656</v>
      </c>
      <c r="I1784">
        <v>-857.5</v>
      </c>
      <c r="J1784">
        <v>-2622.42</v>
      </c>
    </row>
    <row r="1785" spans="1:10" x14ac:dyDescent="0.35">
      <c r="A1785">
        <v>1769</v>
      </c>
      <c r="B1785" s="75">
        <v>90.35</v>
      </c>
      <c r="C1785" s="75">
        <v>98.72</v>
      </c>
      <c r="D1785" s="75">
        <v>94.18</v>
      </c>
      <c r="E1785" s="75">
        <v>94.07</v>
      </c>
      <c r="F1785">
        <v>-2643.3</v>
      </c>
      <c r="G1785">
        <v>-762.3</v>
      </c>
      <c r="H1785">
        <v>-2733.6</v>
      </c>
      <c r="I1785">
        <v>-689.2</v>
      </c>
      <c r="J1785">
        <v>-6828.4000000000005</v>
      </c>
    </row>
    <row r="1786" spans="1:10" x14ac:dyDescent="0.35">
      <c r="A1786">
        <v>1770</v>
      </c>
      <c r="B1786" s="75">
        <v>89.766900000000007</v>
      </c>
      <c r="C1786" s="75">
        <v>97.870999999999995</v>
      </c>
      <c r="D1786" s="75">
        <v>91.596800000000002</v>
      </c>
      <c r="E1786" s="75">
        <v>94.491299999999995</v>
      </c>
      <c r="F1786">
        <v>-703.89</v>
      </c>
      <c r="G1786">
        <v>508.34999999999997</v>
      </c>
      <c r="H1786">
        <v>2438.6</v>
      </c>
      <c r="I1786">
        <v>-1110.7</v>
      </c>
      <c r="J1786">
        <v>1132.3599999999999</v>
      </c>
    </row>
    <row r="1787" spans="1:10" x14ac:dyDescent="0.35">
      <c r="A1787">
        <v>1771</v>
      </c>
      <c r="B1787" s="75">
        <v>90.07</v>
      </c>
      <c r="C1787" s="75">
        <v>97.57</v>
      </c>
      <c r="D1787" s="75">
        <v>91.56</v>
      </c>
      <c r="E1787" s="75">
        <v>92.98</v>
      </c>
      <c r="F1787">
        <v>-1711.7100000000003</v>
      </c>
      <c r="G1787">
        <v>965.4</v>
      </c>
      <c r="H1787">
        <v>2514.8000000000002</v>
      </c>
      <c r="I1787">
        <v>398.5</v>
      </c>
      <c r="J1787">
        <v>2166.9899999999998</v>
      </c>
    </row>
    <row r="1788" spans="1:10" x14ac:dyDescent="0.35">
      <c r="A1788">
        <v>1772</v>
      </c>
      <c r="B1788" s="75">
        <v>89.746200000000002</v>
      </c>
      <c r="C1788" s="75">
        <v>98.538499999999999</v>
      </c>
      <c r="D1788" s="75">
        <v>93.891900000000007</v>
      </c>
      <c r="E1788" s="75">
        <v>95.354100000000003</v>
      </c>
      <c r="F1788">
        <v>-635.57999999999993</v>
      </c>
      <c r="G1788">
        <v>-492.9</v>
      </c>
      <c r="H1788">
        <v>-2151.6000000000004</v>
      </c>
      <c r="I1788">
        <v>-1973.5</v>
      </c>
      <c r="J1788">
        <v>-5253.58</v>
      </c>
    </row>
    <row r="1789" spans="1:10" x14ac:dyDescent="0.35">
      <c r="A1789">
        <v>1773</v>
      </c>
      <c r="B1789" s="75">
        <v>89.61</v>
      </c>
      <c r="C1789" s="75">
        <v>99.5</v>
      </c>
      <c r="D1789" s="75">
        <v>93.43</v>
      </c>
      <c r="E1789" s="75">
        <v>92.22</v>
      </c>
      <c r="F1789">
        <v>-196.35</v>
      </c>
      <c r="G1789">
        <v>-1940.2500000000002</v>
      </c>
      <c r="H1789">
        <v>-1218</v>
      </c>
      <c r="I1789">
        <v>1163.8999999999999</v>
      </c>
      <c r="J1789">
        <v>-2190.7000000000007</v>
      </c>
    </row>
    <row r="1790" spans="1:10" x14ac:dyDescent="0.35">
      <c r="A1790">
        <v>1774</v>
      </c>
      <c r="B1790" s="75">
        <v>89.377700000000004</v>
      </c>
      <c r="C1790" s="75">
        <v>98.402699999999996</v>
      </c>
      <c r="D1790" s="75">
        <v>92.190799999999996</v>
      </c>
      <c r="E1790" s="75">
        <v>91.358400000000003</v>
      </c>
      <c r="F1790">
        <v>580.47</v>
      </c>
      <c r="G1790">
        <v>-289.2</v>
      </c>
      <c r="H1790">
        <v>1250.5999999999999</v>
      </c>
      <c r="I1790">
        <v>2022.2000000000003</v>
      </c>
      <c r="J1790">
        <v>3564.07</v>
      </c>
    </row>
    <row r="1791" spans="1:10" x14ac:dyDescent="0.35">
      <c r="A1791">
        <v>1775</v>
      </c>
      <c r="B1791" s="75">
        <v>90.73</v>
      </c>
      <c r="C1791" s="75">
        <v>98.38</v>
      </c>
      <c r="D1791" s="75">
        <v>92.33</v>
      </c>
      <c r="E1791" s="75">
        <v>95.35</v>
      </c>
      <c r="F1791">
        <v>-3889.38</v>
      </c>
      <c r="G1791">
        <v>-252.6</v>
      </c>
      <c r="H1791">
        <v>971.40000000000009</v>
      </c>
      <c r="I1791">
        <v>-1971.2</v>
      </c>
      <c r="J1791">
        <v>-5141.7800000000007</v>
      </c>
    </row>
    <row r="1792" spans="1:10" x14ac:dyDescent="0.35">
      <c r="A1792">
        <v>1776</v>
      </c>
      <c r="B1792" s="75">
        <v>89.961699999999993</v>
      </c>
      <c r="C1792" s="75">
        <v>98.084599999999995</v>
      </c>
      <c r="D1792" s="75">
        <v>91.351200000000006</v>
      </c>
      <c r="E1792" s="75">
        <v>93.931299999999993</v>
      </c>
      <c r="F1792">
        <v>-1346.73</v>
      </c>
      <c r="G1792">
        <v>187.95</v>
      </c>
      <c r="H1792">
        <v>2929.8</v>
      </c>
      <c r="I1792">
        <v>-550.69999999999993</v>
      </c>
      <c r="J1792">
        <v>1220.3200000000002</v>
      </c>
    </row>
    <row r="1793" spans="1:10" x14ac:dyDescent="0.35">
      <c r="A1793">
        <v>1777</v>
      </c>
      <c r="B1793" s="75">
        <v>89.46</v>
      </c>
      <c r="C1793" s="75">
        <v>97.67</v>
      </c>
      <c r="D1793" s="75">
        <v>92.94</v>
      </c>
      <c r="E1793" s="75">
        <v>90.33</v>
      </c>
      <c r="F1793">
        <v>304.91999999999996</v>
      </c>
      <c r="G1793">
        <v>810.9</v>
      </c>
      <c r="H1793">
        <v>-246.79999999999998</v>
      </c>
      <c r="I1793">
        <v>3055.1</v>
      </c>
      <c r="J1793">
        <v>3924.12</v>
      </c>
    </row>
    <row r="1794" spans="1:10" x14ac:dyDescent="0.35">
      <c r="A1794">
        <v>1778</v>
      </c>
      <c r="B1794" s="75">
        <v>88.564400000000006</v>
      </c>
      <c r="C1794" s="75">
        <v>98.568700000000007</v>
      </c>
      <c r="D1794" s="75">
        <v>92.674099999999996</v>
      </c>
      <c r="E1794" s="75">
        <v>91.654899999999998</v>
      </c>
      <c r="F1794">
        <v>3264.3599999999997</v>
      </c>
      <c r="G1794">
        <v>-538.20000000000005</v>
      </c>
      <c r="H1794">
        <v>284</v>
      </c>
      <c r="I1794">
        <v>1725.7</v>
      </c>
      <c r="J1794">
        <v>4735.8599999999997</v>
      </c>
    </row>
    <row r="1795" spans="1:10" x14ac:dyDescent="0.35">
      <c r="A1795">
        <v>1779</v>
      </c>
      <c r="B1795" s="75">
        <v>89.24</v>
      </c>
      <c r="C1795" s="75">
        <v>98.93</v>
      </c>
      <c r="D1795" s="75">
        <v>92.21</v>
      </c>
      <c r="E1795" s="75">
        <v>91.26</v>
      </c>
      <c r="F1795">
        <v>1029.27</v>
      </c>
      <c r="G1795">
        <v>-1080.45</v>
      </c>
      <c r="H1795">
        <v>1208.5999999999999</v>
      </c>
      <c r="I1795">
        <v>2119.2000000000003</v>
      </c>
      <c r="J1795">
        <v>3276.62</v>
      </c>
    </row>
    <row r="1796" spans="1:10" x14ac:dyDescent="0.35">
      <c r="A1796">
        <v>1780</v>
      </c>
      <c r="B1796" s="75">
        <v>89.965800000000002</v>
      </c>
      <c r="C1796" s="75">
        <v>99.363600000000005</v>
      </c>
      <c r="D1796" s="75">
        <v>93.931200000000004</v>
      </c>
      <c r="E1796" s="75">
        <v>93.759299999999996</v>
      </c>
      <c r="F1796">
        <v>-1360.26</v>
      </c>
      <c r="G1796">
        <v>-1730.55</v>
      </c>
      <c r="H1796">
        <v>-2230.1999999999998</v>
      </c>
      <c r="I1796">
        <v>-378.7</v>
      </c>
      <c r="J1796">
        <v>-5699.71</v>
      </c>
    </row>
    <row r="1797" spans="1:10" x14ac:dyDescent="0.35">
      <c r="A1797">
        <v>1781</v>
      </c>
      <c r="B1797" s="75">
        <v>89.33</v>
      </c>
      <c r="C1797" s="75">
        <v>98.39</v>
      </c>
      <c r="D1797" s="75">
        <v>93.67</v>
      </c>
      <c r="E1797" s="75">
        <v>94.83</v>
      </c>
      <c r="F1797">
        <v>727.98</v>
      </c>
      <c r="G1797">
        <v>-274.05</v>
      </c>
      <c r="H1797">
        <v>-1700.8000000000002</v>
      </c>
      <c r="I1797">
        <v>-1449.2</v>
      </c>
      <c r="J1797">
        <v>-2696.07</v>
      </c>
    </row>
    <row r="1798" spans="1:10" x14ac:dyDescent="0.35">
      <c r="A1798">
        <v>1782</v>
      </c>
      <c r="B1798" s="75">
        <v>90.051299999999998</v>
      </c>
      <c r="C1798" s="75">
        <v>99.049400000000006</v>
      </c>
      <c r="D1798" s="75">
        <v>93.393600000000006</v>
      </c>
      <c r="E1798" s="75">
        <v>95.1768</v>
      </c>
      <c r="F1798">
        <v>-1642.4099999999999</v>
      </c>
      <c r="G1798">
        <v>-1259.25</v>
      </c>
      <c r="H1798">
        <v>-1155</v>
      </c>
      <c r="I1798">
        <v>-1796.2</v>
      </c>
      <c r="J1798">
        <v>-5852.86</v>
      </c>
    </row>
    <row r="1799" spans="1:10" x14ac:dyDescent="0.35">
      <c r="A1799">
        <v>1783</v>
      </c>
      <c r="B1799" s="75">
        <v>89.6</v>
      </c>
      <c r="C1799" s="75">
        <v>99.14</v>
      </c>
      <c r="D1799" s="75">
        <v>92.1</v>
      </c>
      <c r="E1799" s="75">
        <v>93.27</v>
      </c>
      <c r="F1799">
        <v>-158.72999999999999</v>
      </c>
      <c r="G1799">
        <v>-1394.25</v>
      </c>
      <c r="H1799">
        <v>1431.6</v>
      </c>
      <c r="I1799">
        <v>112.19999999999999</v>
      </c>
      <c r="J1799">
        <v>-9.1800000000001205</v>
      </c>
    </row>
    <row r="1800" spans="1:10" x14ac:dyDescent="0.35">
      <c r="A1800">
        <v>1784</v>
      </c>
      <c r="B1800" s="75">
        <v>90.698400000000007</v>
      </c>
      <c r="C1800" s="75">
        <v>98.715400000000002</v>
      </c>
      <c r="D1800" s="75">
        <v>93.078699999999998</v>
      </c>
      <c r="E1800" s="75">
        <v>94.968100000000007</v>
      </c>
      <c r="F1800">
        <v>-3777.84</v>
      </c>
      <c r="G1800">
        <v>-758.24999999999989</v>
      </c>
      <c r="H1800">
        <v>-525.20000000000005</v>
      </c>
      <c r="I1800">
        <v>-1587.5</v>
      </c>
      <c r="J1800">
        <v>-6648.79</v>
      </c>
    </row>
    <row r="1801" spans="1:10" x14ac:dyDescent="0.35">
      <c r="A1801">
        <v>1785</v>
      </c>
      <c r="B1801" s="75">
        <v>89.07</v>
      </c>
      <c r="C1801" s="75">
        <v>98.9</v>
      </c>
      <c r="D1801" s="75">
        <v>92.59</v>
      </c>
      <c r="E1801" s="75">
        <v>94.62</v>
      </c>
      <c r="F1801">
        <v>1611.0600000000002</v>
      </c>
      <c r="G1801">
        <v>-1029.1500000000001</v>
      </c>
      <c r="H1801">
        <v>461</v>
      </c>
      <c r="I1801">
        <v>-1238.8999999999999</v>
      </c>
      <c r="J1801">
        <v>-195.98999999999978</v>
      </c>
    </row>
    <row r="1802" spans="1:10" x14ac:dyDescent="0.35">
      <c r="A1802">
        <v>1786</v>
      </c>
      <c r="B1802" s="75">
        <v>90.449100000000001</v>
      </c>
      <c r="C1802" s="75">
        <v>97.942899999999995</v>
      </c>
      <c r="D1802" s="75">
        <v>92.776700000000005</v>
      </c>
      <c r="E1802" s="75">
        <v>93.663300000000007</v>
      </c>
      <c r="F1802">
        <v>-2955.15</v>
      </c>
      <c r="G1802">
        <v>400.5</v>
      </c>
      <c r="H1802">
        <v>78.8</v>
      </c>
      <c r="I1802">
        <v>-282.7</v>
      </c>
      <c r="J1802">
        <v>-2758.5499999999997</v>
      </c>
    </row>
    <row r="1803" spans="1:10" x14ac:dyDescent="0.35">
      <c r="A1803">
        <v>1787</v>
      </c>
      <c r="B1803" s="75">
        <v>89.83</v>
      </c>
      <c r="C1803" s="75">
        <v>98.72</v>
      </c>
      <c r="D1803" s="75">
        <v>93.8</v>
      </c>
      <c r="E1803" s="75">
        <v>94.2</v>
      </c>
      <c r="F1803">
        <v>-916.41</v>
      </c>
      <c r="G1803">
        <v>-760.94999999999993</v>
      </c>
      <c r="H1803">
        <v>-1967.4</v>
      </c>
      <c r="I1803">
        <v>-823.1</v>
      </c>
      <c r="J1803">
        <v>-4467.8600000000006</v>
      </c>
    </row>
    <row r="1804" spans="1:10" x14ac:dyDescent="0.35">
      <c r="A1804">
        <v>1788</v>
      </c>
      <c r="B1804" s="75">
        <v>90.344899999999996</v>
      </c>
      <c r="C1804" s="75">
        <v>96.331699999999998</v>
      </c>
      <c r="D1804" s="75">
        <v>93.039299999999997</v>
      </c>
      <c r="E1804" s="75">
        <v>96.293199999999999</v>
      </c>
      <c r="F1804">
        <v>-2611.29</v>
      </c>
      <c r="G1804">
        <v>2817.3</v>
      </c>
      <c r="H1804">
        <v>-446.40000000000003</v>
      </c>
      <c r="I1804">
        <v>-2912.6</v>
      </c>
      <c r="J1804">
        <v>-3152.99</v>
      </c>
    </row>
    <row r="1805" spans="1:10" x14ac:dyDescent="0.35">
      <c r="A1805">
        <v>1789</v>
      </c>
      <c r="B1805" s="75">
        <v>89.92</v>
      </c>
      <c r="C1805" s="75">
        <v>98.74</v>
      </c>
      <c r="D1805" s="75">
        <v>91.68</v>
      </c>
      <c r="E1805" s="75">
        <v>95.61</v>
      </c>
      <c r="F1805">
        <v>-1216.71</v>
      </c>
      <c r="G1805">
        <v>-788.55</v>
      </c>
      <c r="H1805">
        <v>2272.4</v>
      </c>
      <c r="I1805">
        <v>-2231.9</v>
      </c>
      <c r="J1805">
        <v>-1964.76</v>
      </c>
    </row>
    <row r="1806" spans="1:10" x14ac:dyDescent="0.35">
      <c r="A1806">
        <v>1790</v>
      </c>
      <c r="B1806" s="75">
        <v>89.629400000000004</v>
      </c>
      <c r="C1806" s="75">
        <v>98.487099999999998</v>
      </c>
      <c r="D1806" s="75">
        <v>92.378799999999998</v>
      </c>
      <c r="E1806" s="75">
        <v>93.867900000000006</v>
      </c>
      <c r="F1806">
        <v>-250.14000000000001</v>
      </c>
      <c r="G1806">
        <v>-415.8</v>
      </c>
      <c r="H1806">
        <v>874.6</v>
      </c>
      <c r="I1806">
        <v>-487.3</v>
      </c>
      <c r="J1806">
        <v>-278.64000000000004</v>
      </c>
    </row>
    <row r="1807" spans="1:10" x14ac:dyDescent="0.35">
      <c r="A1807">
        <v>1791</v>
      </c>
      <c r="B1807" s="75">
        <v>89.45</v>
      </c>
      <c r="C1807" s="75">
        <v>98.88</v>
      </c>
      <c r="D1807" s="75">
        <v>94.25</v>
      </c>
      <c r="E1807" s="75">
        <v>94.62</v>
      </c>
      <c r="F1807">
        <v>349.46999999999997</v>
      </c>
      <c r="G1807">
        <v>-998.69999999999993</v>
      </c>
      <c r="H1807">
        <v>-2859</v>
      </c>
      <c r="I1807">
        <v>-1234.9000000000001</v>
      </c>
      <c r="J1807">
        <v>-4743.13</v>
      </c>
    </row>
    <row r="1808" spans="1:10" x14ac:dyDescent="0.35">
      <c r="A1808">
        <v>1792</v>
      </c>
      <c r="B1808" s="75">
        <v>90.196100000000001</v>
      </c>
      <c r="C1808" s="75">
        <v>97.231399999999994</v>
      </c>
      <c r="D1808" s="75">
        <v>94.262500000000003</v>
      </c>
      <c r="E1808" s="75">
        <v>93.304500000000004</v>
      </c>
      <c r="F1808">
        <v>-2120.25</v>
      </c>
      <c r="G1808">
        <v>1467.75</v>
      </c>
      <c r="H1808">
        <v>-2892.7999999999997</v>
      </c>
      <c r="I1808">
        <v>76.099999999999994</v>
      </c>
      <c r="J1808">
        <v>-3469.2</v>
      </c>
    </row>
    <row r="1809" spans="1:10" x14ac:dyDescent="0.35">
      <c r="A1809">
        <v>1793</v>
      </c>
      <c r="B1809" s="75">
        <v>89.47</v>
      </c>
      <c r="C1809" s="75">
        <v>98.42</v>
      </c>
      <c r="D1809" s="75">
        <v>91.75</v>
      </c>
      <c r="E1809" s="75">
        <v>94.42</v>
      </c>
      <c r="F1809">
        <v>278.19</v>
      </c>
      <c r="G1809">
        <v>-315.45</v>
      </c>
      <c r="H1809">
        <v>2139</v>
      </c>
      <c r="I1809">
        <v>-1035.7</v>
      </c>
      <c r="J1809">
        <v>1066.0399999999997</v>
      </c>
    </row>
    <row r="1810" spans="1:10" x14ac:dyDescent="0.35">
      <c r="A1810">
        <v>1794</v>
      </c>
      <c r="B1810" s="75">
        <v>89.564099999999996</v>
      </c>
      <c r="C1810" s="75">
        <v>98.439800000000005</v>
      </c>
      <c r="D1810" s="75">
        <v>93.119100000000003</v>
      </c>
      <c r="E1810" s="75">
        <v>92.876300000000001</v>
      </c>
      <c r="F1810">
        <v>-34.650000000000006</v>
      </c>
      <c r="G1810">
        <v>-344.84999999999997</v>
      </c>
      <c r="H1810">
        <v>-606</v>
      </c>
      <c r="I1810">
        <v>504.29999999999995</v>
      </c>
      <c r="J1810">
        <v>-481.20000000000005</v>
      </c>
    </row>
    <row r="1811" spans="1:10" x14ac:dyDescent="0.35">
      <c r="A1811">
        <v>1795</v>
      </c>
      <c r="B1811" s="75">
        <v>88.94</v>
      </c>
      <c r="C1811" s="75">
        <v>99.72</v>
      </c>
      <c r="D1811" s="75">
        <v>91.33</v>
      </c>
      <c r="E1811" s="75">
        <v>94.92</v>
      </c>
      <c r="F1811">
        <v>2018.6100000000001</v>
      </c>
      <c r="G1811">
        <v>-2260.9500000000003</v>
      </c>
      <c r="H1811">
        <v>2974.8</v>
      </c>
      <c r="I1811">
        <v>-1538.8999999999999</v>
      </c>
      <c r="J1811">
        <v>1193.5600000000002</v>
      </c>
    </row>
    <row r="1812" spans="1:10" x14ac:dyDescent="0.35">
      <c r="A1812">
        <v>1796</v>
      </c>
      <c r="B1812" s="75">
        <v>88.916799999999995</v>
      </c>
      <c r="C1812" s="75">
        <v>99.313199999999995</v>
      </c>
      <c r="D1812" s="75">
        <v>93.328800000000001</v>
      </c>
      <c r="E1812" s="75">
        <v>96.496799999999993</v>
      </c>
      <c r="F1812">
        <v>2101.44</v>
      </c>
      <c r="G1812">
        <v>-1654.9499999999998</v>
      </c>
      <c r="H1812">
        <v>-1025.4000000000001</v>
      </c>
      <c r="I1812">
        <v>-3116.2000000000003</v>
      </c>
      <c r="J1812">
        <v>-3695.11</v>
      </c>
    </row>
    <row r="1813" spans="1:10" x14ac:dyDescent="0.35">
      <c r="A1813">
        <v>1797</v>
      </c>
      <c r="B1813" s="75">
        <v>89.33</v>
      </c>
      <c r="C1813" s="75">
        <v>96.96</v>
      </c>
      <c r="D1813" s="75">
        <v>93.16</v>
      </c>
      <c r="E1813" s="75">
        <v>92.42</v>
      </c>
      <c r="F1813">
        <v>726</v>
      </c>
      <c r="G1813">
        <v>1879.65</v>
      </c>
      <c r="H1813">
        <v>-696.6</v>
      </c>
      <c r="I1813">
        <v>957.5</v>
      </c>
      <c r="J1813">
        <v>2866.55</v>
      </c>
    </row>
    <row r="1814" spans="1:10" x14ac:dyDescent="0.35">
      <c r="A1814">
        <v>1798</v>
      </c>
      <c r="B1814" s="75">
        <v>89.409300000000002</v>
      </c>
      <c r="C1814" s="75">
        <v>96.244399999999999</v>
      </c>
      <c r="D1814" s="75">
        <v>93.822000000000003</v>
      </c>
      <c r="E1814" s="75">
        <v>92.749700000000004</v>
      </c>
      <c r="F1814">
        <v>476.19000000000005</v>
      </c>
      <c r="G1814">
        <v>2948.25</v>
      </c>
      <c r="H1814">
        <v>-2011.8</v>
      </c>
      <c r="I1814">
        <v>630.9</v>
      </c>
      <c r="J1814">
        <v>2043.54</v>
      </c>
    </row>
    <row r="1815" spans="1:10" x14ac:dyDescent="0.35">
      <c r="A1815">
        <v>1799</v>
      </c>
      <c r="B1815" s="75">
        <v>89.95</v>
      </c>
      <c r="C1815" s="75">
        <v>98.92</v>
      </c>
      <c r="D1815" s="75">
        <v>94.17</v>
      </c>
      <c r="E1815" s="75">
        <v>91.81</v>
      </c>
      <c r="F1815">
        <v>-1302.51</v>
      </c>
      <c r="G1815">
        <v>-1059.45</v>
      </c>
      <c r="H1815">
        <v>-2704</v>
      </c>
      <c r="I1815">
        <v>1569.6000000000001</v>
      </c>
      <c r="J1815">
        <v>-3496.3599999999997</v>
      </c>
    </row>
    <row r="1816" spans="1:10" x14ac:dyDescent="0.35">
      <c r="A1816">
        <v>1800</v>
      </c>
      <c r="B1816" s="75">
        <v>90.211299999999994</v>
      </c>
      <c r="C1816" s="75">
        <v>98.558700000000002</v>
      </c>
      <c r="D1816" s="75">
        <v>93.853399999999993</v>
      </c>
      <c r="E1816" s="75">
        <v>92.918499999999995</v>
      </c>
      <c r="F1816">
        <v>-2170.41</v>
      </c>
      <c r="G1816">
        <v>-523.20000000000005</v>
      </c>
      <c r="H1816">
        <v>-2074.6000000000004</v>
      </c>
      <c r="I1816">
        <v>462.1</v>
      </c>
      <c r="J1816">
        <v>-4306.1099999999997</v>
      </c>
    </row>
    <row r="1817" spans="1:10" x14ac:dyDescent="0.35">
      <c r="A1817">
        <v>1801</v>
      </c>
      <c r="B1817" s="75">
        <v>89.06</v>
      </c>
      <c r="C1817" s="75">
        <v>97.1</v>
      </c>
      <c r="D1817" s="75">
        <v>93.64</v>
      </c>
      <c r="E1817" s="75">
        <v>91.78</v>
      </c>
      <c r="F1817">
        <v>1616.01</v>
      </c>
      <c r="G1817">
        <v>1659.45</v>
      </c>
      <c r="H1817">
        <v>-1642</v>
      </c>
      <c r="I1817">
        <v>1595.9</v>
      </c>
      <c r="J1817">
        <v>3229.36</v>
      </c>
    </row>
    <row r="1818" spans="1:10" x14ac:dyDescent="0.35">
      <c r="A1818">
        <v>1802</v>
      </c>
      <c r="B1818" s="75">
        <v>90.549599999999998</v>
      </c>
      <c r="C1818" s="75">
        <v>96.866200000000006</v>
      </c>
      <c r="D1818" s="75">
        <v>95.354699999999994</v>
      </c>
      <c r="E1818" s="75">
        <v>93.594399999999993</v>
      </c>
      <c r="F1818">
        <v>-3286.8</v>
      </c>
      <c r="G1818">
        <v>2015.55</v>
      </c>
      <c r="H1818">
        <v>-5077.2000000000007</v>
      </c>
      <c r="I1818">
        <v>-213.79999999999998</v>
      </c>
      <c r="J1818">
        <v>-6562.2500000000009</v>
      </c>
    </row>
    <row r="1819" spans="1:10" x14ac:dyDescent="0.35">
      <c r="A1819">
        <v>1803</v>
      </c>
      <c r="B1819" s="75">
        <v>89.45</v>
      </c>
      <c r="C1819" s="75">
        <v>97.43</v>
      </c>
      <c r="D1819" s="75">
        <v>92.55</v>
      </c>
      <c r="E1819" s="75">
        <v>92.91</v>
      </c>
      <c r="F1819">
        <v>354.41999999999996</v>
      </c>
      <c r="G1819">
        <v>1163.25</v>
      </c>
      <c r="H1819">
        <v>532</v>
      </c>
      <c r="I1819">
        <v>471.9</v>
      </c>
      <c r="J1819">
        <v>2521.5700000000002</v>
      </c>
    </row>
    <row r="1820" spans="1:10" x14ac:dyDescent="0.35">
      <c r="A1820">
        <v>1804</v>
      </c>
      <c r="B1820" s="75">
        <v>89.219099999999997</v>
      </c>
      <c r="C1820" s="75">
        <v>99.484800000000007</v>
      </c>
      <c r="D1820" s="75">
        <v>92.735500000000002</v>
      </c>
      <c r="E1820" s="75">
        <v>93.3142</v>
      </c>
      <c r="F1820">
        <v>1103.8500000000001</v>
      </c>
      <c r="G1820">
        <v>-1912.35</v>
      </c>
      <c r="H1820">
        <v>161.20000000000002</v>
      </c>
      <c r="I1820">
        <v>66.400000000000006</v>
      </c>
      <c r="J1820">
        <v>-580.89999999999975</v>
      </c>
    </row>
    <row r="1821" spans="1:10" x14ac:dyDescent="0.35">
      <c r="A1821">
        <v>1805</v>
      </c>
      <c r="B1821" s="75">
        <v>88.16</v>
      </c>
      <c r="C1821" s="75">
        <v>98.34</v>
      </c>
      <c r="D1821" s="75">
        <v>92.27</v>
      </c>
      <c r="E1821" s="75">
        <v>94.27</v>
      </c>
      <c r="F1821">
        <v>4606.4699999999993</v>
      </c>
      <c r="G1821">
        <v>-191.85000000000002</v>
      </c>
      <c r="H1821">
        <v>1093.5999999999999</v>
      </c>
      <c r="I1821">
        <v>-891.5</v>
      </c>
      <c r="J1821">
        <v>4616.7199999999993</v>
      </c>
    </row>
    <row r="1822" spans="1:10" x14ac:dyDescent="0.35">
      <c r="A1822">
        <v>1806</v>
      </c>
      <c r="B1822" s="75">
        <v>90.266800000000003</v>
      </c>
      <c r="C1822" s="75">
        <v>98.405100000000004</v>
      </c>
      <c r="D1822" s="75">
        <v>92.778800000000004</v>
      </c>
      <c r="E1822" s="75">
        <v>95.016999999999996</v>
      </c>
      <c r="F1822">
        <v>-2353.56</v>
      </c>
      <c r="G1822">
        <v>-292.8</v>
      </c>
      <c r="H1822">
        <v>74.599999999999994</v>
      </c>
      <c r="I1822">
        <v>-1636.4</v>
      </c>
      <c r="J1822">
        <v>-4208.16</v>
      </c>
    </row>
    <row r="1823" spans="1:10" x14ac:dyDescent="0.35">
      <c r="A1823">
        <v>1807</v>
      </c>
      <c r="B1823" s="75">
        <v>90.34</v>
      </c>
      <c r="C1823" s="75">
        <v>97.29</v>
      </c>
      <c r="D1823" s="75">
        <v>95.17</v>
      </c>
      <c r="E1823" s="75">
        <v>95.18</v>
      </c>
      <c r="F1823">
        <v>-2583.2400000000002</v>
      </c>
      <c r="G1823">
        <v>1381.95</v>
      </c>
      <c r="H1823">
        <v>-4709.3999999999996</v>
      </c>
      <c r="I1823">
        <v>-1803.9</v>
      </c>
      <c r="J1823">
        <v>-7714.59</v>
      </c>
    </row>
    <row r="1824" spans="1:10" x14ac:dyDescent="0.35">
      <c r="A1824">
        <v>1808</v>
      </c>
      <c r="B1824" s="75">
        <v>90.067099999999996</v>
      </c>
      <c r="C1824" s="75">
        <v>98.726200000000006</v>
      </c>
      <c r="D1824" s="75">
        <v>92.877799999999993</v>
      </c>
      <c r="E1824" s="75">
        <v>93.735200000000006</v>
      </c>
      <c r="F1824">
        <v>-1694.55</v>
      </c>
      <c r="G1824">
        <v>-774.44999999999993</v>
      </c>
      <c r="H1824">
        <v>-123.39999999999999</v>
      </c>
      <c r="I1824">
        <v>-354.6</v>
      </c>
      <c r="J1824">
        <v>-2947</v>
      </c>
    </row>
    <row r="1825" spans="1:10" x14ac:dyDescent="0.35">
      <c r="A1825">
        <v>1809</v>
      </c>
      <c r="B1825" s="75">
        <v>88.96</v>
      </c>
      <c r="C1825" s="75">
        <v>97.83</v>
      </c>
      <c r="D1825" s="75">
        <v>92.87</v>
      </c>
      <c r="E1825" s="75">
        <v>92.88</v>
      </c>
      <c r="F1825">
        <v>1947</v>
      </c>
      <c r="G1825">
        <v>563.54999999999995</v>
      </c>
      <c r="H1825">
        <v>-109.8</v>
      </c>
      <c r="I1825">
        <v>495.7</v>
      </c>
      <c r="J1825">
        <v>2896.45</v>
      </c>
    </row>
    <row r="1826" spans="1:10" x14ac:dyDescent="0.35">
      <c r="A1826">
        <v>1810</v>
      </c>
      <c r="B1826" s="75">
        <v>89.381600000000006</v>
      </c>
      <c r="C1826" s="75">
        <v>98.863500000000002</v>
      </c>
      <c r="D1826" s="75">
        <v>95.093699999999998</v>
      </c>
      <c r="E1826" s="75">
        <v>95.283799999999999</v>
      </c>
      <c r="F1826">
        <v>567.59999999999991</v>
      </c>
      <c r="G1826">
        <v>-980.4</v>
      </c>
      <c r="H1826">
        <v>-4555.2</v>
      </c>
      <c r="I1826">
        <v>-1903.2</v>
      </c>
      <c r="J1826">
        <v>-6871.2</v>
      </c>
    </row>
    <row r="1827" spans="1:10" x14ac:dyDescent="0.35">
      <c r="A1827">
        <v>1811</v>
      </c>
      <c r="B1827" s="75">
        <v>89.71</v>
      </c>
      <c r="C1827" s="75">
        <v>97.98</v>
      </c>
      <c r="D1827" s="75">
        <v>92.92</v>
      </c>
      <c r="E1827" s="75">
        <v>92.05</v>
      </c>
      <c r="F1827">
        <v>-511.83</v>
      </c>
      <c r="G1827">
        <v>352.05</v>
      </c>
      <c r="H1827">
        <v>-208.8</v>
      </c>
      <c r="I1827">
        <v>1326</v>
      </c>
      <c r="J1827">
        <v>957.42000000000007</v>
      </c>
    </row>
    <row r="1828" spans="1:10" x14ac:dyDescent="0.35">
      <c r="A1828">
        <v>1812</v>
      </c>
      <c r="B1828" s="75">
        <v>89.486199999999997</v>
      </c>
      <c r="C1828" s="75">
        <v>96.717600000000004</v>
      </c>
      <c r="D1828" s="75">
        <v>91.784899999999993</v>
      </c>
      <c r="E1828" s="75">
        <v>94.703900000000004</v>
      </c>
      <c r="F1828">
        <v>222.42000000000002</v>
      </c>
      <c r="G1828">
        <v>2238.4499999999998</v>
      </c>
      <c r="H1828">
        <v>2062.3999999999996</v>
      </c>
      <c r="I1828">
        <v>-1323.3</v>
      </c>
      <c r="J1828">
        <v>3199.9699999999993</v>
      </c>
    </row>
    <row r="1829" spans="1:10" x14ac:dyDescent="0.35">
      <c r="A1829">
        <v>1813</v>
      </c>
      <c r="B1829" s="75">
        <v>90.26</v>
      </c>
      <c r="C1829" s="75">
        <v>97.66</v>
      </c>
      <c r="D1829" s="75">
        <v>93.96</v>
      </c>
      <c r="E1829" s="75">
        <v>93.18</v>
      </c>
      <c r="F1829">
        <v>-2333.7600000000002</v>
      </c>
      <c r="G1829">
        <v>830.1</v>
      </c>
      <c r="H1829">
        <v>-2294.6</v>
      </c>
      <c r="I1829">
        <v>198.2</v>
      </c>
      <c r="J1829">
        <v>-3600.0600000000004</v>
      </c>
    </row>
    <row r="1830" spans="1:10" x14ac:dyDescent="0.35">
      <c r="A1830">
        <v>1814</v>
      </c>
      <c r="B1830" s="75">
        <v>89.365899999999996</v>
      </c>
      <c r="C1830" s="75">
        <v>98.833200000000005</v>
      </c>
      <c r="D1830" s="75">
        <v>93.892200000000003</v>
      </c>
      <c r="E1830" s="75">
        <v>92.872500000000002</v>
      </c>
      <c r="F1830">
        <v>619.41</v>
      </c>
      <c r="G1830">
        <v>-934.94999999999993</v>
      </c>
      <c r="H1830">
        <v>-2152.2000000000003</v>
      </c>
      <c r="I1830">
        <v>508.1</v>
      </c>
      <c r="J1830">
        <v>-1959.6400000000003</v>
      </c>
    </row>
    <row r="1831" spans="1:10" x14ac:dyDescent="0.35">
      <c r="A1831">
        <v>1815</v>
      </c>
      <c r="B1831" s="75">
        <v>90.46</v>
      </c>
      <c r="C1831" s="75">
        <v>98.37</v>
      </c>
      <c r="D1831" s="75">
        <v>94.06</v>
      </c>
      <c r="E1831" s="75">
        <v>92.58</v>
      </c>
      <c r="F1831">
        <v>-2990.13</v>
      </c>
      <c r="G1831">
        <v>-243.9</v>
      </c>
      <c r="H1831">
        <v>-2481.1999999999998</v>
      </c>
      <c r="I1831">
        <v>799.2</v>
      </c>
      <c r="J1831">
        <v>-4916.03</v>
      </c>
    </row>
    <row r="1832" spans="1:10" x14ac:dyDescent="0.35">
      <c r="A1832">
        <v>1816</v>
      </c>
      <c r="B1832" s="75">
        <v>89.3964</v>
      </c>
      <c r="C1832" s="75">
        <v>97.778999999999996</v>
      </c>
      <c r="D1832" s="75">
        <v>94.138599999999997</v>
      </c>
      <c r="E1832" s="75">
        <v>91.481099999999998</v>
      </c>
      <c r="F1832">
        <v>518.76</v>
      </c>
      <c r="G1832">
        <v>646.35</v>
      </c>
      <c r="H1832">
        <v>-2645</v>
      </c>
      <c r="I1832">
        <v>1899.5</v>
      </c>
      <c r="J1832">
        <v>419.61000000000013</v>
      </c>
    </row>
    <row r="1833" spans="1:10" x14ac:dyDescent="0.35">
      <c r="A1833">
        <v>1817</v>
      </c>
      <c r="B1833" s="75">
        <v>89.34</v>
      </c>
      <c r="C1833" s="75">
        <v>99.09</v>
      </c>
      <c r="D1833" s="75">
        <v>91.41</v>
      </c>
      <c r="E1833" s="75">
        <v>93.38</v>
      </c>
      <c r="F1833">
        <v>720.72</v>
      </c>
      <c r="G1833">
        <v>-1314.45</v>
      </c>
      <c r="H1833">
        <v>2814.6</v>
      </c>
      <c r="I1833">
        <v>-1.3</v>
      </c>
      <c r="J1833">
        <v>2219.5699999999997</v>
      </c>
    </row>
    <row r="1834" spans="1:10" x14ac:dyDescent="0.35">
      <c r="A1834">
        <v>1818</v>
      </c>
      <c r="B1834" s="75">
        <v>89.901700000000005</v>
      </c>
      <c r="C1834" s="75">
        <v>98.290599999999998</v>
      </c>
      <c r="D1834" s="75">
        <v>93.608599999999996</v>
      </c>
      <c r="E1834" s="75">
        <v>90.427800000000005</v>
      </c>
      <c r="F1834">
        <v>-1148.73</v>
      </c>
      <c r="G1834">
        <v>-121.05</v>
      </c>
      <c r="H1834">
        <v>-1585</v>
      </c>
      <c r="I1834">
        <v>2952.7999999999997</v>
      </c>
      <c r="J1834">
        <v>98.019999999999982</v>
      </c>
    </row>
    <row r="1835" spans="1:10" x14ac:dyDescent="0.35">
      <c r="A1835">
        <v>1819</v>
      </c>
      <c r="B1835" s="75">
        <v>89.42</v>
      </c>
      <c r="C1835" s="75">
        <v>99.25</v>
      </c>
      <c r="D1835" s="75">
        <v>91.66</v>
      </c>
      <c r="E1835" s="75">
        <v>92.96</v>
      </c>
      <c r="F1835">
        <v>428.34</v>
      </c>
      <c r="G1835">
        <v>-1561.05</v>
      </c>
      <c r="H1835">
        <v>2316.8000000000002</v>
      </c>
      <c r="I1835">
        <v>421.59999999999997</v>
      </c>
      <c r="J1835">
        <v>1605.69</v>
      </c>
    </row>
    <row r="1836" spans="1:10" x14ac:dyDescent="0.35">
      <c r="A1836">
        <v>1820</v>
      </c>
      <c r="B1836" s="75">
        <v>89.372699999999995</v>
      </c>
      <c r="C1836" s="75">
        <v>97.256799999999998</v>
      </c>
      <c r="D1836" s="75">
        <v>93.969800000000006</v>
      </c>
      <c r="E1836" s="75">
        <v>96.875799999999998</v>
      </c>
      <c r="F1836">
        <v>596.97</v>
      </c>
      <c r="G1836">
        <v>1429.6499999999999</v>
      </c>
      <c r="H1836">
        <v>-2307.4</v>
      </c>
      <c r="I1836">
        <v>-3495.2000000000003</v>
      </c>
      <c r="J1836">
        <v>-3775.9800000000005</v>
      </c>
    </row>
    <row r="1837" spans="1:10" x14ac:dyDescent="0.35">
      <c r="A1837">
        <v>1821</v>
      </c>
      <c r="B1837" s="75">
        <v>90.14</v>
      </c>
      <c r="C1837" s="75">
        <v>98.99</v>
      </c>
      <c r="D1837" s="75">
        <v>93.4</v>
      </c>
      <c r="E1837" s="75">
        <v>94.26</v>
      </c>
      <c r="F1837">
        <v>-1936.11</v>
      </c>
      <c r="G1837">
        <v>-1173</v>
      </c>
      <c r="H1837">
        <v>-1166.8</v>
      </c>
      <c r="I1837">
        <v>-875.1</v>
      </c>
      <c r="J1837">
        <v>-5151.01</v>
      </c>
    </row>
    <row r="1838" spans="1:10" x14ac:dyDescent="0.35">
      <c r="A1838">
        <v>1822</v>
      </c>
      <c r="B1838" s="75">
        <v>90.493099999999998</v>
      </c>
      <c r="C1838" s="75">
        <v>98.927700000000002</v>
      </c>
      <c r="D1838" s="75">
        <v>93.648499999999999</v>
      </c>
      <c r="E1838" s="75">
        <v>94.243099999999998</v>
      </c>
      <c r="F1838">
        <v>-3100.35</v>
      </c>
      <c r="G1838">
        <v>-1076.7</v>
      </c>
      <c r="H1838">
        <v>-1664.8</v>
      </c>
      <c r="I1838">
        <v>-862.5</v>
      </c>
      <c r="J1838">
        <v>-6704.35</v>
      </c>
    </row>
    <row r="1839" spans="1:10" x14ac:dyDescent="0.35">
      <c r="A1839">
        <v>1823</v>
      </c>
      <c r="B1839" s="75">
        <v>89.85</v>
      </c>
      <c r="C1839" s="75">
        <v>98.08</v>
      </c>
      <c r="D1839" s="75">
        <v>93.55</v>
      </c>
      <c r="E1839" s="75">
        <v>92.09</v>
      </c>
      <c r="F1839">
        <v>-973.5</v>
      </c>
      <c r="G1839">
        <v>193.5</v>
      </c>
      <c r="H1839">
        <v>-1464.8000000000002</v>
      </c>
      <c r="I1839">
        <v>1293.0999999999999</v>
      </c>
      <c r="J1839">
        <v>-951.70000000000027</v>
      </c>
    </row>
    <row r="1840" spans="1:10" x14ac:dyDescent="0.35">
      <c r="A1840">
        <v>1824</v>
      </c>
      <c r="B1840" s="75">
        <v>89.405699999999996</v>
      </c>
      <c r="C1840" s="75">
        <v>97.792699999999996</v>
      </c>
      <c r="D1840" s="75">
        <v>92.915099999999995</v>
      </c>
      <c r="E1840" s="75">
        <v>93.517099999999999</v>
      </c>
      <c r="F1840">
        <v>488.07</v>
      </c>
      <c r="G1840">
        <v>625.80000000000007</v>
      </c>
      <c r="H1840">
        <v>-198</v>
      </c>
      <c r="I1840">
        <v>-136.5</v>
      </c>
      <c r="J1840">
        <v>779.37000000000012</v>
      </c>
    </row>
    <row r="1841" spans="1:10" x14ac:dyDescent="0.35">
      <c r="A1841">
        <v>1825</v>
      </c>
      <c r="B1841" s="75">
        <v>89.58</v>
      </c>
      <c r="C1841" s="75">
        <v>97.95</v>
      </c>
      <c r="D1841" s="75">
        <v>92.09</v>
      </c>
      <c r="E1841" s="75">
        <v>90.95</v>
      </c>
      <c r="F1841">
        <v>-71.94</v>
      </c>
      <c r="G1841">
        <v>384.9</v>
      </c>
      <c r="H1841">
        <v>1458.6</v>
      </c>
      <c r="I1841">
        <v>2430.5</v>
      </c>
      <c r="J1841">
        <v>4202.0599999999995</v>
      </c>
    </row>
    <row r="1842" spans="1:10" x14ac:dyDescent="0.35">
      <c r="A1842">
        <v>1826</v>
      </c>
      <c r="B1842" s="75">
        <v>88.652900000000002</v>
      </c>
      <c r="C1842" s="75">
        <v>97.697400000000002</v>
      </c>
      <c r="D1842" s="75">
        <v>93.661199999999994</v>
      </c>
      <c r="E1842" s="75">
        <v>92.403000000000006</v>
      </c>
      <c r="F1842">
        <v>2972.31</v>
      </c>
      <c r="G1842">
        <v>768.74999999999989</v>
      </c>
      <c r="H1842">
        <v>-1690.1999999999998</v>
      </c>
      <c r="I1842">
        <v>977.6</v>
      </c>
      <c r="J1842">
        <v>3028.46</v>
      </c>
    </row>
    <row r="1843" spans="1:10" x14ac:dyDescent="0.35">
      <c r="A1843">
        <v>1827</v>
      </c>
      <c r="B1843" s="75">
        <v>89.64</v>
      </c>
      <c r="C1843" s="75">
        <v>97.75</v>
      </c>
      <c r="D1843" s="75">
        <v>92.88</v>
      </c>
      <c r="E1843" s="75">
        <v>92.56</v>
      </c>
      <c r="F1843">
        <v>-273.57</v>
      </c>
      <c r="G1843">
        <v>696.9</v>
      </c>
      <c r="H1843">
        <v>-121.80000000000001</v>
      </c>
      <c r="I1843">
        <v>816.8</v>
      </c>
      <c r="J1843">
        <v>1118.33</v>
      </c>
    </row>
    <row r="1844" spans="1:10" x14ac:dyDescent="0.35">
      <c r="A1844">
        <v>1828</v>
      </c>
      <c r="B1844" s="75">
        <v>89.554299999999998</v>
      </c>
      <c r="C1844" s="75">
        <v>98.622500000000002</v>
      </c>
      <c r="D1844" s="75">
        <v>93.852699999999999</v>
      </c>
      <c r="E1844" s="75">
        <v>89.584900000000005</v>
      </c>
      <c r="F1844">
        <v>-2.31</v>
      </c>
      <c r="G1844">
        <v>-618.9</v>
      </c>
      <c r="H1844">
        <v>-2073.1999999999998</v>
      </c>
      <c r="I1844">
        <v>3795.7000000000003</v>
      </c>
      <c r="J1844">
        <v>1101.2900000000004</v>
      </c>
    </row>
    <row r="1845" spans="1:10" x14ac:dyDescent="0.35">
      <c r="A1845">
        <v>1829</v>
      </c>
      <c r="B1845" s="75">
        <v>90.35</v>
      </c>
      <c r="C1845" s="75">
        <v>98.67</v>
      </c>
      <c r="D1845" s="75">
        <v>93.32</v>
      </c>
      <c r="E1845" s="75">
        <v>97.25</v>
      </c>
      <c r="F1845">
        <v>-2633.4</v>
      </c>
      <c r="G1845">
        <v>-688.05</v>
      </c>
      <c r="H1845">
        <v>-1010.9999999999999</v>
      </c>
      <c r="I1845">
        <v>-3870.2999999999997</v>
      </c>
      <c r="J1845">
        <v>-8202.75</v>
      </c>
    </row>
    <row r="1846" spans="1:10" x14ac:dyDescent="0.35">
      <c r="A1846">
        <v>1830</v>
      </c>
      <c r="B1846" s="75">
        <v>90.901499999999999</v>
      </c>
      <c r="C1846" s="75">
        <v>97.102999999999994</v>
      </c>
      <c r="D1846" s="75">
        <v>92.444800000000001</v>
      </c>
      <c r="E1846" s="75">
        <v>95.188500000000005</v>
      </c>
      <c r="F1846">
        <v>-4448.0700000000006</v>
      </c>
      <c r="G1846">
        <v>1660.35</v>
      </c>
      <c r="H1846">
        <v>742.6</v>
      </c>
      <c r="I1846">
        <v>-1807.9</v>
      </c>
      <c r="J1846">
        <v>-3853.0200000000009</v>
      </c>
    </row>
    <row r="1847" spans="1:10" x14ac:dyDescent="0.35">
      <c r="A1847">
        <v>1831</v>
      </c>
      <c r="B1847" s="75">
        <v>89.37</v>
      </c>
      <c r="C1847" s="75">
        <v>98.91</v>
      </c>
      <c r="D1847" s="75">
        <v>93.65</v>
      </c>
      <c r="E1847" s="75">
        <v>91.22</v>
      </c>
      <c r="F1847">
        <v>590.69999999999993</v>
      </c>
      <c r="G1847">
        <v>-1057.5</v>
      </c>
      <c r="H1847">
        <v>-1661.4</v>
      </c>
      <c r="I1847">
        <v>2164.5</v>
      </c>
      <c r="J1847">
        <v>36.299999999999727</v>
      </c>
    </row>
    <row r="1848" spans="1:10" x14ac:dyDescent="0.35">
      <c r="A1848">
        <v>1832</v>
      </c>
      <c r="B1848" s="75">
        <v>88.794200000000004</v>
      </c>
      <c r="C1848" s="75">
        <v>97.893000000000001</v>
      </c>
      <c r="D1848" s="75">
        <v>91.905600000000007</v>
      </c>
      <c r="E1848" s="75">
        <v>91.463800000000006</v>
      </c>
      <c r="F1848">
        <v>2506.02</v>
      </c>
      <c r="G1848">
        <v>475.35</v>
      </c>
      <c r="H1848">
        <v>1821</v>
      </c>
      <c r="I1848">
        <v>1916.8</v>
      </c>
      <c r="J1848">
        <v>6719.17</v>
      </c>
    </row>
    <row r="1849" spans="1:10" x14ac:dyDescent="0.35">
      <c r="A1849">
        <v>1833</v>
      </c>
      <c r="B1849" s="75">
        <v>89.89</v>
      </c>
      <c r="C1849" s="75">
        <v>98.35</v>
      </c>
      <c r="D1849" s="75">
        <v>93.56</v>
      </c>
      <c r="E1849" s="75">
        <v>93.06</v>
      </c>
      <c r="F1849">
        <v>-1107.81</v>
      </c>
      <c r="G1849">
        <v>-209.70000000000002</v>
      </c>
      <c r="H1849">
        <v>-1489.2</v>
      </c>
      <c r="I1849">
        <v>316.40000000000003</v>
      </c>
      <c r="J1849">
        <v>-2490.31</v>
      </c>
    </row>
    <row r="1850" spans="1:10" x14ac:dyDescent="0.35">
      <c r="A1850">
        <v>1834</v>
      </c>
      <c r="B1850" s="75">
        <v>89.643699999999995</v>
      </c>
      <c r="C1850" s="75">
        <v>99.744699999999995</v>
      </c>
      <c r="D1850" s="75">
        <v>93.199700000000007</v>
      </c>
      <c r="E1850" s="75">
        <v>94.775899999999993</v>
      </c>
      <c r="F1850">
        <v>-297.33</v>
      </c>
      <c r="G1850">
        <v>-2302.1999999999998</v>
      </c>
      <c r="H1850">
        <v>-767.2</v>
      </c>
      <c r="I1850">
        <v>-1395.3</v>
      </c>
      <c r="J1850">
        <v>-4762.03</v>
      </c>
    </row>
    <row r="1851" spans="1:10" x14ac:dyDescent="0.35">
      <c r="A1851">
        <v>1835</v>
      </c>
      <c r="B1851" s="75">
        <v>89.37</v>
      </c>
      <c r="C1851" s="75">
        <v>97.55</v>
      </c>
      <c r="D1851" s="75">
        <v>94.28</v>
      </c>
      <c r="E1851" s="75">
        <v>92.1</v>
      </c>
      <c r="F1851">
        <v>612.15</v>
      </c>
      <c r="G1851">
        <v>983.55</v>
      </c>
      <c r="H1851">
        <v>-2922.2000000000003</v>
      </c>
      <c r="I1851">
        <v>1285.3000000000002</v>
      </c>
      <c r="J1851">
        <v>-41.200000000000273</v>
      </c>
    </row>
    <row r="1852" spans="1:10" x14ac:dyDescent="0.35">
      <c r="A1852">
        <v>1836</v>
      </c>
      <c r="B1852" s="75">
        <v>89.672499999999999</v>
      </c>
      <c r="C1852" s="75">
        <v>99.0077</v>
      </c>
      <c r="D1852" s="75">
        <v>94.091499999999996</v>
      </c>
      <c r="E1852" s="75">
        <v>90.939700000000002</v>
      </c>
      <c r="F1852">
        <v>-392.37</v>
      </c>
      <c r="G1852">
        <v>-1196.6999999999998</v>
      </c>
      <c r="H1852">
        <v>-2550.8000000000002</v>
      </c>
      <c r="I1852">
        <v>2440.9</v>
      </c>
      <c r="J1852">
        <v>-1698.9699999999998</v>
      </c>
    </row>
    <row r="1853" spans="1:10" x14ac:dyDescent="0.35">
      <c r="A1853">
        <v>1837</v>
      </c>
      <c r="B1853" s="75">
        <v>88.49</v>
      </c>
      <c r="C1853" s="75">
        <v>99.23</v>
      </c>
      <c r="D1853" s="75">
        <v>94.64</v>
      </c>
      <c r="E1853" s="75">
        <v>94.57</v>
      </c>
      <c r="F1853">
        <v>3522.0899999999997</v>
      </c>
      <c r="G1853">
        <v>-1533.75</v>
      </c>
      <c r="H1853">
        <v>-3643</v>
      </c>
      <c r="I1853">
        <v>-1192.5</v>
      </c>
      <c r="J1853">
        <v>-2847.1600000000003</v>
      </c>
    </row>
    <row r="1854" spans="1:10" x14ac:dyDescent="0.35">
      <c r="A1854">
        <v>1838</v>
      </c>
      <c r="B1854" s="75">
        <v>88.469200000000001</v>
      </c>
      <c r="C1854" s="75">
        <v>97.837199999999996</v>
      </c>
      <c r="D1854" s="75">
        <v>94.394599999999997</v>
      </c>
      <c r="E1854" s="75">
        <v>95.528099999999995</v>
      </c>
      <c r="F1854">
        <v>3578.52</v>
      </c>
      <c r="G1854">
        <v>559.04999999999995</v>
      </c>
      <c r="H1854">
        <v>-3157</v>
      </c>
      <c r="I1854">
        <v>-2147.5</v>
      </c>
      <c r="J1854">
        <v>-1166.9300000000003</v>
      </c>
    </row>
    <row r="1855" spans="1:10" x14ac:dyDescent="0.35">
      <c r="A1855">
        <v>1839</v>
      </c>
      <c r="B1855" s="75">
        <v>88.54</v>
      </c>
      <c r="C1855" s="75">
        <v>99.33</v>
      </c>
      <c r="D1855" s="75">
        <v>94.12</v>
      </c>
      <c r="E1855" s="75">
        <v>95.46</v>
      </c>
      <c r="F1855">
        <v>3338.61</v>
      </c>
      <c r="G1855">
        <v>-1674.75</v>
      </c>
      <c r="H1855">
        <v>-2612.2000000000003</v>
      </c>
      <c r="I1855">
        <v>-2078.1999999999998</v>
      </c>
      <c r="J1855">
        <v>-3026.54</v>
      </c>
    </row>
    <row r="1856" spans="1:10" x14ac:dyDescent="0.35">
      <c r="A1856">
        <v>1840</v>
      </c>
      <c r="B1856" s="75">
        <v>90.302400000000006</v>
      </c>
      <c r="C1856" s="75">
        <v>97.779899999999998</v>
      </c>
      <c r="D1856" s="75">
        <v>93.726299999999995</v>
      </c>
      <c r="E1856" s="75">
        <v>92.5869</v>
      </c>
      <c r="F1856">
        <v>-2471.04</v>
      </c>
      <c r="G1856">
        <v>645</v>
      </c>
      <c r="H1856">
        <v>-1820.4</v>
      </c>
      <c r="I1856">
        <v>793.69999999999993</v>
      </c>
      <c r="J1856">
        <v>-2852.7400000000002</v>
      </c>
    </row>
    <row r="1857" spans="1:10" x14ac:dyDescent="0.35">
      <c r="A1857">
        <v>1841</v>
      </c>
      <c r="B1857" s="75">
        <v>89.04</v>
      </c>
      <c r="C1857" s="75">
        <v>99.77</v>
      </c>
      <c r="D1857" s="75">
        <v>92.04</v>
      </c>
      <c r="E1857" s="75">
        <v>94.35</v>
      </c>
      <c r="F1857">
        <v>1698.5100000000002</v>
      </c>
      <c r="G1857">
        <v>-2340.15</v>
      </c>
      <c r="H1857">
        <v>1556.8</v>
      </c>
      <c r="I1857">
        <v>-973.9</v>
      </c>
      <c r="J1857">
        <v>-58.739999999999895</v>
      </c>
    </row>
    <row r="1858" spans="1:10" x14ac:dyDescent="0.35">
      <c r="A1858">
        <v>1842</v>
      </c>
      <c r="B1858" s="75">
        <v>90.403700000000001</v>
      </c>
      <c r="C1858" s="75">
        <v>97.689899999999994</v>
      </c>
      <c r="D1858" s="75">
        <v>94.867400000000004</v>
      </c>
      <c r="E1858" s="75">
        <v>91.353700000000003</v>
      </c>
      <c r="F1858">
        <v>-2805.33</v>
      </c>
      <c r="G1858">
        <v>780</v>
      </c>
      <c r="H1858">
        <v>-4102.5999999999995</v>
      </c>
      <c r="I1858">
        <v>2026.8999999999999</v>
      </c>
      <c r="J1858">
        <v>-4101.03</v>
      </c>
    </row>
    <row r="1859" spans="1:10" x14ac:dyDescent="0.35">
      <c r="A1859">
        <v>1843</v>
      </c>
      <c r="B1859" s="75">
        <v>89.28</v>
      </c>
      <c r="C1859" s="75">
        <v>98.54</v>
      </c>
      <c r="D1859" s="75">
        <v>93.77</v>
      </c>
      <c r="E1859" s="75">
        <v>95.34</v>
      </c>
      <c r="F1859">
        <v>898.26</v>
      </c>
      <c r="G1859">
        <v>-497.84999999999997</v>
      </c>
      <c r="H1859">
        <v>-1904</v>
      </c>
      <c r="I1859">
        <v>-1963.1000000000001</v>
      </c>
      <c r="J1859">
        <v>-3466.69</v>
      </c>
    </row>
    <row r="1860" spans="1:10" x14ac:dyDescent="0.35">
      <c r="A1860">
        <v>1844</v>
      </c>
      <c r="B1860" s="75">
        <v>89.2209</v>
      </c>
      <c r="C1860" s="75">
        <v>96.935900000000004</v>
      </c>
      <c r="D1860" s="75">
        <v>95.019099999999995</v>
      </c>
      <c r="E1860" s="75">
        <v>94.149699999999996</v>
      </c>
      <c r="F1860">
        <v>1097.9100000000001</v>
      </c>
      <c r="G1860">
        <v>1911</v>
      </c>
      <c r="H1860">
        <v>-4406</v>
      </c>
      <c r="I1860">
        <v>-769.1</v>
      </c>
      <c r="J1860">
        <v>-2166.19</v>
      </c>
    </row>
    <row r="1861" spans="1:10" x14ac:dyDescent="0.35">
      <c r="A1861">
        <v>1845</v>
      </c>
      <c r="B1861" s="75">
        <v>89.49</v>
      </c>
      <c r="C1861" s="75">
        <v>97.16</v>
      </c>
      <c r="D1861" s="75">
        <v>93.02</v>
      </c>
      <c r="E1861" s="75">
        <v>92.31</v>
      </c>
      <c r="F1861">
        <v>221.43000000000004</v>
      </c>
      <c r="G1861">
        <v>1577.1</v>
      </c>
      <c r="H1861">
        <v>-398.4</v>
      </c>
      <c r="I1861">
        <v>1071.3</v>
      </c>
      <c r="J1861">
        <v>2471.4300000000003</v>
      </c>
    </row>
    <row r="1862" spans="1:10" x14ac:dyDescent="0.35">
      <c r="A1862">
        <v>1846</v>
      </c>
      <c r="B1862" s="75">
        <v>90.018500000000003</v>
      </c>
      <c r="C1862" s="75">
        <v>97.624300000000005</v>
      </c>
      <c r="D1862" s="75">
        <v>91.203400000000002</v>
      </c>
      <c r="E1862" s="75">
        <v>91.643000000000001</v>
      </c>
      <c r="F1862">
        <v>-1534.1699999999998</v>
      </c>
      <c r="G1862">
        <v>878.4</v>
      </c>
      <c r="H1862">
        <v>3225.4</v>
      </c>
      <c r="I1862">
        <v>1737.6000000000001</v>
      </c>
      <c r="J1862">
        <v>4307.2300000000005</v>
      </c>
    </row>
    <row r="1863" spans="1:10" x14ac:dyDescent="0.35">
      <c r="A1863">
        <v>1847</v>
      </c>
      <c r="B1863" s="75">
        <v>89.44</v>
      </c>
      <c r="C1863" s="75">
        <v>97.09</v>
      </c>
      <c r="D1863" s="75">
        <v>94.03</v>
      </c>
      <c r="E1863" s="75">
        <v>90.32</v>
      </c>
      <c r="F1863">
        <v>388.74</v>
      </c>
      <c r="G1863">
        <v>1677.15</v>
      </c>
      <c r="H1863">
        <v>-2424.6</v>
      </c>
      <c r="I1863">
        <v>3059.5</v>
      </c>
      <c r="J1863">
        <v>2700.7900000000004</v>
      </c>
    </row>
    <row r="1864" spans="1:10" x14ac:dyDescent="0.35">
      <c r="A1864">
        <v>1848</v>
      </c>
      <c r="B1864" s="75">
        <v>88.936099999999996</v>
      </c>
      <c r="C1864" s="75">
        <v>99.043999999999997</v>
      </c>
      <c r="D1864" s="75">
        <v>91.281700000000001</v>
      </c>
      <c r="E1864" s="75">
        <v>92.772599999999997</v>
      </c>
      <c r="F1864">
        <v>2037.7500000000002</v>
      </c>
      <c r="G1864">
        <v>-1251.1499999999999</v>
      </c>
      <c r="H1864">
        <v>3068.8</v>
      </c>
      <c r="I1864">
        <v>608</v>
      </c>
      <c r="J1864">
        <v>4463.4000000000005</v>
      </c>
    </row>
    <row r="1865" spans="1:10" x14ac:dyDescent="0.35">
      <c r="A1865">
        <v>1849</v>
      </c>
      <c r="B1865" s="75">
        <v>89.87</v>
      </c>
      <c r="C1865" s="75">
        <v>99.14</v>
      </c>
      <c r="D1865" s="75">
        <v>92.96</v>
      </c>
      <c r="E1865" s="75">
        <v>94.39</v>
      </c>
      <c r="F1865">
        <v>-1052.3700000000001</v>
      </c>
      <c r="G1865">
        <v>-1400.25</v>
      </c>
      <c r="H1865">
        <v>-284.60000000000002</v>
      </c>
      <c r="I1865">
        <v>-1010.1</v>
      </c>
      <c r="J1865">
        <v>-3747.3199999999997</v>
      </c>
    </row>
    <row r="1866" spans="1:10" x14ac:dyDescent="0.35">
      <c r="A1866">
        <v>1850</v>
      </c>
      <c r="B1866" s="75">
        <v>90.150199999999998</v>
      </c>
      <c r="C1866" s="75">
        <v>96.476200000000006</v>
      </c>
      <c r="D1866" s="75">
        <v>93.660200000000003</v>
      </c>
      <c r="E1866" s="75">
        <v>91.966399999999993</v>
      </c>
      <c r="F1866">
        <v>-1968.78</v>
      </c>
      <c r="G1866">
        <v>2600.5500000000002</v>
      </c>
      <c r="H1866">
        <v>-1688.1999999999998</v>
      </c>
      <c r="I1866">
        <v>1414.1999999999998</v>
      </c>
      <c r="J1866">
        <v>357.77000000000021</v>
      </c>
    </row>
    <row r="1867" spans="1:10" x14ac:dyDescent="0.35">
      <c r="A1867">
        <v>1851</v>
      </c>
      <c r="B1867" s="75">
        <v>89.45</v>
      </c>
      <c r="C1867" s="75">
        <v>99.1</v>
      </c>
      <c r="D1867" s="75">
        <v>91.9</v>
      </c>
      <c r="E1867" s="75">
        <v>93.66</v>
      </c>
      <c r="F1867">
        <v>356.4</v>
      </c>
      <c r="G1867">
        <v>-1336.3500000000001</v>
      </c>
      <c r="H1867">
        <v>1829.3999999999999</v>
      </c>
      <c r="I1867">
        <v>-278.5</v>
      </c>
      <c r="J1867">
        <v>570.9499999999997</v>
      </c>
    </row>
    <row r="1868" spans="1:10" x14ac:dyDescent="0.35">
      <c r="A1868">
        <v>1852</v>
      </c>
      <c r="B1868" s="75">
        <v>88.807199999999995</v>
      </c>
      <c r="C1868" s="75">
        <v>98.850899999999996</v>
      </c>
      <c r="D1868" s="75">
        <v>91.778400000000005</v>
      </c>
      <c r="E1868" s="75">
        <v>96.692300000000003</v>
      </c>
      <c r="F1868">
        <v>2463.12</v>
      </c>
      <c r="G1868">
        <v>-961.5</v>
      </c>
      <c r="H1868">
        <v>2075.4</v>
      </c>
      <c r="I1868">
        <v>-3311.7000000000003</v>
      </c>
      <c r="J1868">
        <v>265.31999999999971</v>
      </c>
    </row>
    <row r="1869" spans="1:10" x14ac:dyDescent="0.35">
      <c r="A1869">
        <v>1853</v>
      </c>
      <c r="B1869" s="75">
        <v>89.24</v>
      </c>
      <c r="C1869" s="75">
        <v>99.96</v>
      </c>
      <c r="D1869" s="75">
        <v>92.38</v>
      </c>
      <c r="E1869" s="75">
        <v>94.22</v>
      </c>
      <c r="F1869">
        <v>1023.66</v>
      </c>
      <c r="G1869">
        <v>-2630.1</v>
      </c>
      <c r="H1869">
        <v>873.19999999999993</v>
      </c>
      <c r="I1869">
        <v>-835.4</v>
      </c>
      <c r="J1869">
        <v>-1568.64</v>
      </c>
    </row>
    <row r="1870" spans="1:10" x14ac:dyDescent="0.35">
      <c r="A1870">
        <v>1854</v>
      </c>
      <c r="B1870" s="75">
        <v>89.637799999999999</v>
      </c>
      <c r="C1870" s="75">
        <v>97.144000000000005</v>
      </c>
      <c r="D1870" s="75">
        <v>94.138000000000005</v>
      </c>
      <c r="E1870" s="75">
        <v>92.325900000000004</v>
      </c>
      <c r="F1870">
        <v>-277.86</v>
      </c>
      <c r="G1870">
        <v>1598.8500000000001</v>
      </c>
      <c r="H1870">
        <v>-2643.8</v>
      </c>
      <c r="I1870">
        <v>1054.7</v>
      </c>
      <c r="J1870">
        <v>-268.1099999999999</v>
      </c>
    </row>
    <row r="1871" spans="1:10" x14ac:dyDescent="0.35">
      <c r="A1871">
        <v>1855</v>
      </c>
      <c r="B1871" s="75">
        <v>89.38</v>
      </c>
      <c r="C1871" s="75">
        <v>98.02</v>
      </c>
      <c r="D1871" s="75">
        <v>89.91</v>
      </c>
      <c r="E1871" s="75">
        <v>93.45</v>
      </c>
      <c r="F1871">
        <v>572.54999999999995</v>
      </c>
      <c r="G1871">
        <v>292.2</v>
      </c>
      <c r="H1871">
        <v>5805.2</v>
      </c>
      <c r="I1871">
        <v>-66.600000000000009</v>
      </c>
      <c r="J1871">
        <v>6603.3499999999995</v>
      </c>
    </row>
    <row r="1872" spans="1:10" x14ac:dyDescent="0.35">
      <c r="A1872">
        <v>1856</v>
      </c>
      <c r="B1872" s="75">
        <v>89.522599999999997</v>
      </c>
      <c r="C1872" s="75">
        <v>96.970799999999997</v>
      </c>
      <c r="D1872" s="75">
        <v>93.857200000000006</v>
      </c>
      <c r="E1872" s="75">
        <v>93.4679</v>
      </c>
      <c r="F1872">
        <v>102.3</v>
      </c>
      <c r="G1872">
        <v>1858.65</v>
      </c>
      <c r="H1872">
        <v>-2082.1999999999998</v>
      </c>
      <c r="I1872">
        <v>-87.3</v>
      </c>
      <c r="J1872">
        <v>-208.54999999999978</v>
      </c>
    </row>
    <row r="1873" spans="1:10" x14ac:dyDescent="0.35">
      <c r="A1873">
        <v>1857</v>
      </c>
      <c r="B1873" s="75">
        <v>89.84</v>
      </c>
      <c r="C1873" s="75">
        <v>98.15</v>
      </c>
      <c r="D1873" s="75">
        <v>93.33</v>
      </c>
      <c r="E1873" s="75">
        <v>91.62</v>
      </c>
      <c r="F1873">
        <v>-940.49999999999989</v>
      </c>
      <c r="G1873">
        <v>83.399999999999991</v>
      </c>
      <c r="H1873">
        <v>-1028.5999999999999</v>
      </c>
      <c r="I1873">
        <v>1758.1</v>
      </c>
      <c r="J1873">
        <v>-127.59999999999991</v>
      </c>
    </row>
    <row r="1874" spans="1:10" x14ac:dyDescent="0.35">
      <c r="A1874">
        <v>1858</v>
      </c>
      <c r="B1874" s="75">
        <v>89.069900000000004</v>
      </c>
      <c r="C1874" s="75">
        <v>99.656300000000002</v>
      </c>
      <c r="D1874" s="75">
        <v>90.970299999999995</v>
      </c>
      <c r="E1874" s="75">
        <v>94.656300000000002</v>
      </c>
      <c r="F1874">
        <v>1596.21</v>
      </c>
      <c r="G1874">
        <v>-2169.6</v>
      </c>
      <c r="H1874">
        <v>3691.6000000000004</v>
      </c>
      <c r="I1874">
        <v>-1275.7</v>
      </c>
      <c r="J1874">
        <v>1842.5100000000004</v>
      </c>
    </row>
    <row r="1875" spans="1:10" x14ac:dyDescent="0.35">
      <c r="A1875">
        <v>1859</v>
      </c>
      <c r="B1875" s="75">
        <v>89.08</v>
      </c>
      <c r="C1875" s="75">
        <v>98.15</v>
      </c>
      <c r="D1875" s="75">
        <v>93.63</v>
      </c>
      <c r="E1875" s="75">
        <v>91.98</v>
      </c>
      <c r="F1875">
        <v>1571.79</v>
      </c>
      <c r="G1875">
        <v>97.05</v>
      </c>
      <c r="H1875">
        <v>-1618.6000000000001</v>
      </c>
      <c r="I1875">
        <v>1402.1</v>
      </c>
      <c r="J1875">
        <v>1452.3399999999997</v>
      </c>
    </row>
    <row r="1876" spans="1:10" x14ac:dyDescent="0.35">
      <c r="A1876">
        <v>1860</v>
      </c>
      <c r="B1876" s="75">
        <v>89.959400000000002</v>
      </c>
      <c r="C1876" s="75">
        <v>97.233000000000004</v>
      </c>
      <c r="D1876" s="75">
        <v>93.246899999999997</v>
      </c>
      <c r="E1876" s="75">
        <v>93.081100000000006</v>
      </c>
      <c r="F1876">
        <v>-1339.1399999999999</v>
      </c>
      <c r="G1876">
        <v>1465.35</v>
      </c>
      <c r="H1876">
        <v>-861.6</v>
      </c>
      <c r="I1876">
        <v>299.5</v>
      </c>
      <c r="J1876">
        <v>-435.89</v>
      </c>
    </row>
    <row r="1877" spans="1:10" x14ac:dyDescent="0.35">
      <c r="A1877">
        <v>1861</v>
      </c>
      <c r="B1877" s="75">
        <v>89.22</v>
      </c>
      <c r="C1877" s="75">
        <v>98.02</v>
      </c>
      <c r="D1877" s="75">
        <v>92.17</v>
      </c>
      <c r="E1877" s="75">
        <v>92.46</v>
      </c>
      <c r="F1877">
        <v>1100.55</v>
      </c>
      <c r="G1877">
        <v>288.59999999999997</v>
      </c>
      <c r="H1877">
        <v>1296.4000000000001</v>
      </c>
      <c r="I1877">
        <v>924.2</v>
      </c>
      <c r="J1877">
        <v>3609.75</v>
      </c>
    </row>
    <row r="1878" spans="1:10" x14ac:dyDescent="0.35">
      <c r="A1878">
        <v>1862</v>
      </c>
      <c r="B1878" s="75">
        <v>89.317999999999998</v>
      </c>
      <c r="C1878" s="75">
        <v>97.988</v>
      </c>
      <c r="D1878" s="75">
        <v>94.641900000000007</v>
      </c>
      <c r="E1878" s="75">
        <v>92.515699999999995</v>
      </c>
      <c r="F1878">
        <v>777.48</v>
      </c>
      <c r="G1878">
        <v>332.84999999999997</v>
      </c>
      <c r="H1878">
        <v>-3651.6000000000004</v>
      </c>
      <c r="I1878">
        <v>864.9</v>
      </c>
      <c r="J1878">
        <v>-1676.3700000000003</v>
      </c>
    </row>
    <row r="1879" spans="1:10" x14ac:dyDescent="0.35">
      <c r="A1879">
        <v>1863</v>
      </c>
      <c r="B1879" s="75">
        <v>89.28</v>
      </c>
      <c r="C1879" s="75">
        <v>97.81</v>
      </c>
      <c r="D1879" s="75">
        <v>93.7</v>
      </c>
      <c r="E1879" s="75">
        <v>94.19</v>
      </c>
      <c r="F1879">
        <v>917.73</v>
      </c>
      <c r="G1879">
        <v>594.59999999999991</v>
      </c>
      <c r="H1879">
        <v>-1776.4</v>
      </c>
      <c r="I1879">
        <v>-804.8</v>
      </c>
      <c r="J1879">
        <v>-1068.8700000000001</v>
      </c>
    </row>
    <row r="1880" spans="1:10" x14ac:dyDescent="0.35">
      <c r="A1880">
        <v>1864</v>
      </c>
      <c r="B1880" s="75">
        <v>89.498599999999996</v>
      </c>
      <c r="C1880" s="75">
        <v>98.4251</v>
      </c>
      <c r="D1880" s="75">
        <v>92.450500000000005</v>
      </c>
      <c r="E1880" s="75">
        <v>92.713999999999999</v>
      </c>
      <c r="F1880">
        <v>181.5</v>
      </c>
      <c r="G1880">
        <v>-322.8</v>
      </c>
      <c r="H1880">
        <v>731.19999999999993</v>
      </c>
      <c r="I1880">
        <v>666.6</v>
      </c>
      <c r="J1880">
        <v>1256.5</v>
      </c>
    </row>
    <row r="1881" spans="1:10" x14ac:dyDescent="0.35">
      <c r="A1881">
        <v>1865</v>
      </c>
      <c r="B1881" s="75">
        <v>89.75</v>
      </c>
      <c r="C1881" s="75">
        <v>97.36</v>
      </c>
      <c r="D1881" s="75">
        <v>92.82</v>
      </c>
      <c r="E1881" s="75">
        <v>92.04</v>
      </c>
      <c r="F1881">
        <v>-636.56999999999994</v>
      </c>
      <c r="G1881">
        <v>1276.3499999999999</v>
      </c>
      <c r="H1881">
        <v>-14.4</v>
      </c>
      <c r="I1881">
        <v>1341.1</v>
      </c>
      <c r="J1881">
        <v>1966.48</v>
      </c>
    </row>
    <row r="1882" spans="1:10" x14ac:dyDescent="0.35">
      <c r="A1882">
        <v>1866</v>
      </c>
      <c r="B1882" s="75">
        <v>89.490600000000001</v>
      </c>
      <c r="C1882" s="75">
        <v>98.436099999999996</v>
      </c>
      <c r="D1882" s="75">
        <v>93.566199999999995</v>
      </c>
      <c r="E1882" s="75">
        <v>94.925399999999996</v>
      </c>
      <c r="F1882">
        <v>207.9</v>
      </c>
      <c r="G1882">
        <v>-339.3</v>
      </c>
      <c r="H1882">
        <v>-1500.2</v>
      </c>
      <c r="I1882">
        <v>-1544.8</v>
      </c>
      <c r="J1882">
        <v>-3176.4</v>
      </c>
    </row>
    <row r="1883" spans="1:10" x14ac:dyDescent="0.35">
      <c r="A1883">
        <v>1867</v>
      </c>
      <c r="B1883" s="75">
        <v>89.38</v>
      </c>
      <c r="C1883" s="75">
        <v>96.59</v>
      </c>
      <c r="D1883" s="75">
        <v>93.56</v>
      </c>
      <c r="E1883" s="75">
        <v>93.34</v>
      </c>
      <c r="F1883">
        <v>586.74</v>
      </c>
      <c r="G1883">
        <v>2434.9499999999998</v>
      </c>
      <c r="H1883">
        <v>-1484.8</v>
      </c>
      <c r="I1883">
        <v>42.2</v>
      </c>
      <c r="J1883">
        <v>1579.0899999999997</v>
      </c>
    </row>
    <row r="1884" spans="1:10" x14ac:dyDescent="0.35">
      <c r="A1884">
        <v>1868</v>
      </c>
      <c r="B1884" s="75">
        <v>89.902199999999993</v>
      </c>
      <c r="C1884" s="75">
        <v>97.695999999999998</v>
      </c>
      <c r="D1884" s="75">
        <v>93.219899999999996</v>
      </c>
      <c r="E1884" s="75">
        <v>92.780900000000003</v>
      </c>
      <c r="F1884">
        <v>-1150.3800000000001</v>
      </c>
      <c r="G1884">
        <v>770.85</v>
      </c>
      <c r="H1884">
        <v>-807.6</v>
      </c>
      <c r="I1884">
        <v>599.70000000000005</v>
      </c>
      <c r="J1884">
        <v>-587.43000000000006</v>
      </c>
    </row>
    <row r="1885" spans="1:10" x14ac:dyDescent="0.35">
      <c r="A1885">
        <v>1869</v>
      </c>
      <c r="B1885" s="75">
        <v>89.38</v>
      </c>
      <c r="C1885" s="75">
        <v>97.71</v>
      </c>
      <c r="D1885" s="75">
        <v>94.14</v>
      </c>
      <c r="E1885" s="75">
        <v>94.9</v>
      </c>
      <c r="F1885">
        <v>572.88</v>
      </c>
      <c r="G1885">
        <v>755.55000000000007</v>
      </c>
      <c r="H1885">
        <v>-2651.6000000000004</v>
      </c>
      <c r="I1885">
        <v>-1519.4</v>
      </c>
      <c r="J1885">
        <v>-2842.5700000000006</v>
      </c>
    </row>
    <row r="1886" spans="1:10" x14ac:dyDescent="0.35">
      <c r="A1886">
        <v>1870</v>
      </c>
      <c r="B1886" s="75">
        <v>89.354299999999995</v>
      </c>
      <c r="C1886" s="75">
        <v>97.987399999999994</v>
      </c>
      <c r="D1886" s="75">
        <v>92.000399999999999</v>
      </c>
      <c r="E1886" s="75">
        <v>92.867000000000004</v>
      </c>
      <c r="F1886">
        <v>657.69</v>
      </c>
      <c r="G1886">
        <v>333.75</v>
      </c>
      <c r="H1886">
        <v>1631.3999999999999</v>
      </c>
      <c r="I1886">
        <v>513.59999999999991</v>
      </c>
      <c r="J1886">
        <v>3136.44</v>
      </c>
    </row>
    <row r="1887" spans="1:10" x14ac:dyDescent="0.35">
      <c r="A1887">
        <v>1871</v>
      </c>
      <c r="B1887" s="75">
        <v>89.15</v>
      </c>
      <c r="C1887" s="75">
        <v>98.43</v>
      </c>
      <c r="D1887" s="75">
        <v>91.17</v>
      </c>
      <c r="E1887" s="75">
        <v>92.48</v>
      </c>
      <c r="F1887">
        <v>1327.26</v>
      </c>
      <c r="G1887">
        <v>-332.84999999999997</v>
      </c>
      <c r="H1887">
        <v>3286</v>
      </c>
      <c r="I1887">
        <v>900</v>
      </c>
      <c r="J1887">
        <v>5180.41</v>
      </c>
    </row>
    <row r="1888" spans="1:10" x14ac:dyDescent="0.35">
      <c r="A1888">
        <v>1872</v>
      </c>
      <c r="B1888" s="75">
        <v>89.518500000000003</v>
      </c>
      <c r="C1888" s="75">
        <v>98.094999999999999</v>
      </c>
      <c r="D1888" s="75">
        <v>92.746399999999994</v>
      </c>
      <c r="E1888" s="75">
        <v>96.2744</v>
      </c>
      <c r="F1888">
        <v>115.83</v>
      </c>
      <c r="G1888">
        <v>172.35</v>
      </c>
      <c r="H1888">
        <v>139.4</v>
      </c>
      <c r="I1888">
        <v>-2893.8</v>
      </c>
      <c r="J1888">
        <v>-2466.2200000000003</v>
      </c>
    </row>
    <row r="1889" spans="1:10" x14ac:dyDescent="0.35">
      <c r="A1889">
        <v>1873</v>
      </c>
      <c r="B1889" s="75">
        <v>89.92</v>
      </c>
      <c r="C1889" s="75">
        <v>99.14</v>
      </c>
      <c r="D1889" s="75">
        <v>93.05</v>
      </c>
      <c r="E1889" s="75">
        <v>96.31</v>
      </c>
      <c r="F1889">
        <v>-1201.2</v>
      </c>
      <c r="G1889">
        <v>-1401.75</v>
      </c>
      <c r="H1889">
        <v>-467.6</v>
      </c>
      <c r="I1889">
        <v>-2926.5</v>
      </c>
      <c r="J1889">
        <v>-5997.0499999999993</v>
      </c>
    </row>
    <row r="1890" spans="1:10" x14ac:dyDescent="0.35">
      <c r="A1890">
        <v>1874</v>
      </c>
      <c r="B1890" s="75">
        <v>89.333399999999997</v>
      </c>
      <c r="C1890" s="75">
        <v>98.165700000000001</v>
      </c>
      <c r="D1890" s="75">
        <v>91.494500000000002</v>
      </c>
      <c r="E1890" s="75">
        <v>91.999899999999997</v>
      </c>
      <c r="F1890">
        <v>726.66</v>
      </c>
      <c r="G1890">
        <v>66.300000000000011</v>
      </c>
      <c r="H1890">
        <v>2643.2000000000003</v>
      </c>
      <c r="I1890">
        <v>1380.7</v>
      </c>
      <c r="J1890">
        <v>4816.8600000000006</v>
      </c>
    </row>
    <row r="1891" spans="1:10" x14ac:dyDescent="0.35">
      <c r="A1891">
        <v>1875</v>
      </c>
      <c r="B1891" s="75">
        <v>89.24</v>
      </c>
      <c r="C1891" s="75">
        <v>97.28</v>
      </c>
      <c r="D1891" s="75">
        <v>92.37</v>
      </c>
      <c r="E1891" s="75">
        <v>92.59</v>
      </c>
      <c r="F1891">
        <v>1032.57</v>
      </c>
      <c r="G1891">
        <v>1392.15</v>
      </c>
      <c r="H1891">
        <v>901.80000000000007</v>
      </c>
      <c r="I1891">
        <v>788.6</v>
      </c>
      <c r="J1891">
        <v>4115.1200000000008</v>
      </c>
    </row>
    <row r="1892" spans="1:10" x14ac:dyDescent="0.35">
      <c r="A1892">
        <v>1876</v>
      </c>
      <c r="B1892" s="75">
        <v>88.894999999999996</v>
      </c>
      <c r="C1892" s="75">
        <v>99.185000000000002</v>
      </c>
      <c r="D1892" s="75">
        <v>92.051100000000005</v>
      </c>
      <c r="E1892" s="75">
        <v>93.243499999999997</v>
      </c>
      <c r="F1892">
        <v>2173.3799999999997</v>
      </c>
      <c r="G1892">
        <v>-1462.6499999999999</v>
      </c>
      <c r="H1892">
        <v>1530</v>
      </c>
      <c r="I1892">
        <v>137.1</v>
      </c>
      <c r="J1892">
        <v>2377.8299999999995</v>
      </c>
    </row>
    <row r="1893" spans="1:10" x14ac:dyDescent="0.35">
      <c r="A1893">
        <v>1877</v>
      </c>
      <c r="B1893" s="75">
        <v>89.15</v>
      </c>
      <c r="C1893" s="75">
        <v>98.84</v>
      </c>
      <c r="D1893" s="75">
        <v>92.33</v>
      </c>
      <c r="E1893" s="75">
        <v>92.68</v>
      </c>
      <c r="F1893">
        <v>1325.61</v>
      </c>
      <c r="G1893">
        <v>-941.09999999999991</v>
      </c>
      <c r="H1893">
        <v>967.8</v>
      </c>
      <c r="I1893">
        <v>696</v>
      </c>
      <c r="J1893">
        <v>2048.31</v>
      </c>
    </row>
    <row r="1894" spans="1:10" x14ac:dyDescent="0.35">
      <c r="A1894">
        <v>1878</v>
      </c>
      <c r="B1894" s="75">
        <v>89.075900000000004</v>
      </c>
      <c r="C1894" s="75">
        <v>98.7607</v>
      </c>
      <c r="D1894" s="75">
        <v>94.387</v>
      </c>
      <c r="E1894" s="75">
        <v>94.377700000000004</v>
      </c>
      <c r="F1894">
        <v>1576.41</v>
      </c>
      <c r="G1894">
        <v>-826.19999999999993</v>
      </c>
      <c r="H1894">
        <v>-3141.7999999999997</v>
      </c>
      <c r="I1894">
        <v>-997.1</v>
      </c>
      <c r="J1894">
        <v>-3388.6899999999996</v>
      </c>
    </row>
    <row r="1895" spans="1:10" x14ac:dyDescent="0.35">
      <c r="A1895">
        <v>1879</v>
      </c>
      <c r="B1895" s="75">
        <v>89.89</v>
      </c>
      <c r="C1895" s="75">
        <v>98.05</v>
      </c>
      <c r="D1895" s="75">
        <v>93.46</v>
      </c>
      <c r="E1895" s="75">
        <v>93.18</v>
      </c>
      <c r="F1895">
        <v>-1106.49</v>
      </c>
      <c r="G1895">
        <v>236.85000000000002</v>
      </c>
      <c r="H1895">
        <v>-1287</v>
      </c>
      <c r="I1895">
        <v>200.7</v>
      </c>
      <c r="J1895">
        <v>-1955.9399999999998</v>
      </c>
    </row>
    <row r="1896" spans="1:10" x14ac:dyDescent="0.35">
      <c r="A1896">
        <v>1880</v>
      </c>
      <c r="B1896" s="75">
        <v>89.638999999999996</v>
      </c>
      <c r="C1896" s="75">
        <v>98.2988</v>
      </c>
      <c r="D1896" s="75">
        <v>93.664500000000004</v>
      </c>
      <c r="E1896" s="75">
        <v>93.806799999999996</v>
      </c>
      <c r="F1896">
        <v>-281.82</v>
      </c>
      <c r="G1896">
        <v>-133.35000000000002</v>
      </c>
      <c r="H1896">
        <v>-1696.8000000000002</v>
      </c>
      <c r="I1896">
        <v>-426.20000000000005</v>
      </c>
      <c r="J1896">
        <v>-2538.17</v>
      </c>
    </row>
    <row r="1897" spans="1:10" x14ac:dyDescent="0.35">
      <c r="A1897">
        <v>1881</v>
      </c>
      <c r="B1897" s="75">
        <v>89.26</v>
      </c>
      <c r="C1897" s="75">
        <v>98.9</v>
      </c>
      <c r="D1897" s="75">
        <v>92.9</v>
      </c>
      <c r="E1897" s="75">
        <v>95.5</v>
      </c>
      <c r="F1897">
        <v>971.19</v>
      </c>
      <c r="G1897">
        <v>-1031.25</v>
      </c>
      <c r="H1897">
        <v>-162</v>
      </c>
      <c r="I1897">
        <v>-2117.1999999999998</v>
      </c>
      <c r="J1897">
        <v>-2339.2599999999998</v>
      </c>
    </row>
    <row r="1898" spans="1:10" x14ac:dyDescent="0.35">
      <c r="A1898">
        <v>1882</v>
      </c>
      <c r="B1898" s="75">
        <v>89.4495</v>
      </c>
      <c r="C1898" s="75">
        <v>99.247600000000006</v>
      </c>
      <c r="D1898" s="75">
        <v>92.019599999999997</v>
      </c>
      <c r="E1898" s="75">
        <v>94.865499999999997</v>
      </c>
      <c r="F1898">
        <v>343.53</v>
      </c>
      <c r="G1898">
        <v>-1556.5500000000002</v>
      </c>
      <c r="H1898">
        <v>1593</v>
      </c>
      <c r="I1898">
        <v>-1484.9</v>
      </c>
      <c r="J1898">
        <v>-1104.9200000000003</v>
      </c>
    </row>
    <row r="1899" spans="1:10" x14ac:dyDescent="0.35">
      <c r="A1899">
        <v>1883</v>
      </c>
      <c r="B1899" s="75">
        <v>88.78</v>
      </c>
      <c r="C1899" s="75">
        <v>97.15</v>
      </c>
      <c r="D1899" s="75">
        <v>93.3</v>
      </c>
      <c r="E1899" s="75">
        <v>93.83</v>
      </c>
      <c r="F1899">
        <v>2554.2000000000003</v>
      </c>
      <c r="G1899">
        <v>1597.2</v>
      </c>
      <c r="H1899">
        <v>-972.8</v>
      </c>
      <c r="I1899">
        <v>-447.79999999999995</v>
      </c>
      <c r="J1899">
        <v>2730.8</v>
      </c>
    </row>
    <row r="1900" spans="1:10" x14ac:dyDescent="0.35">
      <c r="A1900">
        <v>1884</v>
      </c>
      <c r="B1900" s="75">
        <v>89.821200000000005</v>
      </c>
      <c r="C1900" s="75">
        <v>98.332400000000007</v>
      </c>
      <c r="D1900" s="75">
        <v>91.842299999999994</v>
      </c>
      <c r="E1900" s="75">
        <v>93.917100000000005</v>
      </c>
      <c r="F1900">
        <v>-883.08</v>
      </c>
      <c r="G1900">
        <v>-183.75</v>
      </c>
      <c r="H1900">
        <v>1947.6</v>
      </c>
      <c r="I1900">
        <v>-536.5</v>
      </c>
      <c r="J1900">
        <v>344.27</v>
      </c>
    </row>
    <row r="1901" spans="1:10" x14ac:dyDescent="0.35">
      <c r="A1901">
        <v>1885</v>
      </c>
      <c r="B1901" s="75">
        <v>89.6</v>
      </c>
      <c r="C1901" s="75">
        <v>98.02</v>
      </c>
      <c r="D1901" s="75">
        <v>92.55</v>
      </c>
      <c r="E1901" s="75">
        <v>89.78</v>
      </c>
      <c r="F1901">
        <v>-139.26</v>
      </c>
      <c r="G1901">
        <v>288.89999999999998</v>
      </c>
      <c r="H1901">
        <v>538.79999999999995</v>
      </c>
      <c r="I1901">
        <v>3599.8</v>
      </c>
      <c r="J1901">
        <v>4288.24</v>
      </c>
    </row>
    <row r="1902" spans="1:10" x14ac:dyDescent="0.35">
      <c r="A1902">
        <v>1886</v>
      </c>
      <c r="B1902" s="75">
        <v>90.005300000000005</v>
      </c>
      <c r="C1902" s="75">
        <v>97.006699999999995</v>
      </c>
      <c r="D1902" s="75">
        <v>93.754800000000003</v>
      </c>
      <c r="E1902" s="75">
        <v>93.754599999999996</v>
      </c>
      <c r="F1902">
        <v>-1490.61</v>
      </c>
      <c r="G1902">
        <v>1804.8000000000002</v>
      </c>
      <c r="H1902">
        <v>-1877.3999999999999</v>
      </c>
      <c r="I1902">
        <v>-374</v>
      </c>
      <c r="J1902">
        <v>-1937.2099999999996</v>
      </c>
    </row>
    <row r="1903" spans="1:10" x14ac:dyDescent="0.35">
      <c r="A1903">
        <v>1887</v>
      </c>
      <c r="B1903" s="75">
        <v>89.63</v>
      </c>
      <c r="C1903" s="75">
        <v>98.11</v>
      </c>
      <c r="D1903" s="75">
        <v>93.28</v>
      </c>
      <c r="E1903" s="75">
        <v>92.59</v>
      </c>
      <c r="F1903">
        <v>-257.73</v>
      </c>
      <c r="G1903">
        <v>150</v>
      </c>
      <c r="H1903">
        <v>-919.6</v>
      </c>
      <c r="I1903">
        <v>793</v>
      </c>
      <c r="J1903">
        <v>-234.32999999999993</v>
      </c>
    </row>
    <row r="1904" spans="1:10" x14ac:dyDescent="0.35">
      <c r="A1904">
        <v>1888</v>
      </c>
      <c r="B1904" s="75">
        <v>89.342100000000002</v>
      </c>
      <c r="C1904" s="75">
        <v>98.315700000000007</v>
      </c>
      <c r="D1904" s="75">
        <v>92.812700000000007</v>
      </c>
      <c r="E1904" s="75">
        <v>92.809200000000004</v>
      </c>
      <c r="F1904">
        <v>697.94999999999993</v>
      </c>
      <c r="G1904">
        <v>-158.70000000000002</v>
      </c>
      <c r="H1904">
        <v>6.8</v>
      </c>
      <c r="I1904">
        <v>571.4</v>
      </c>
      <c r="J1904">
        <v>1117.4499999999998</v>
      </c>
    </row>
    <row r="1905" spans="1:10" x14ac:dyDescent="0.35">
      <c r="A1905">
        <v>1889</v>
      </c>
      <c r="B1905" s="75">
        <v>88.93</v>
      </c>
      <c r="C1905" s="75">
        <v>98.17</v>
      </c>
      <c r="D1905" s="75">
        <v>92.13</v>
      </c>
      <c r="E1905" s="75">
        <v>93.64</v>
      </c>
      <c r="F1905">
        <v>2073.39</v>
      </c>
      <c r="G1905">
        <v>62.699999999999996</v>
      </c>
      <c r="H1905">
        <v>1381.2</v>
      </c>
      <c r="I1905">
        <v>-263.90000000000003</v>
      </c>
      <c r="J1905">
        <v>3253.39</v>
      </c>
    </row>
    <row r="1906" spans="1:10" x14ac:dyDescent="0.35">
      <c r="A1906">
        <v>1890</v>
      </c>
      <c r="B1906" s="75">
        <v>89.438000000000002</v>
      </c>
      <c r="C1906" s="75">
        <v>97.990499999999997</v>
      </c>
      <c r="D1906" s="75">
        <v>92.949799999999996</v>
      </c>
      <c r="E1906" s="75">
        <v>94.945800000000006</v>
      </c>
      <c r="F1906">
        <v>381.47999999999996</v>
      </c>
      <c r="G1906">
        <v>329.1</v>
      </c>
      <c r="H1906">
        <v>-267.40000000000003</v>
      </c>
      <c r="I1906">
        <v>-1565.1999999999998</v>
      </c>
      <c r="J1906">
        <v>-1122.02</v>
      </c>
    </row>
    <row r="1907" spans="1:10" x14ac:dyDescent="0.35">
      <c r="A1907">
        <v>1891</v>
      </c>
      <c r="B1907" s="75">
        <v>89.78</v>
      </c>
      <c r="C1907" s="75">
        <v>98.48</v>
      </c>
      <c r="D1907" s="75">
        <v>94.69</v>
      </c>
      <c r="E1907" s="75">
        <v>92.68</v>
      </c>
      <c r="F1907">
        <v>-751.08</v>
      </c>
      <c r="G1907">
        <v>-411.59999999999997</v>
      </c>
      <c r="H1907">
        <v>-3754.4</v>
      </c>
      <c r="I1907">
        <v>704.30000000000007</v>
      </c>
      <c r="J1907">
        <v>-4212.78</v>
      </c>
    </row>
    <row r="1908" spans="1:10" x14ac:dyDescent="0.35">
      <c r="A1908">
        <v>1892</v>
      </c>
      <c r="B1908" s="75">
        <v>90.417699999999996</v>
      </c>
      <c r="C1908" s="75">
        <v>98.445800000000006</v>
      </c>
      <c r="D1908" s="75">
        <v>92.367800000000003</v>
      </c>
      <c r="E1908" s="75">
        <v>91.870500000000007</v>
      </c>
      <c r="F1908">
        <v>-2851.5299999999997</v>
      </c>
      <c r="G1908">
        <v>-353.85</v>
      </c>
      <c r="H1908">
        <v>896.59999999999991</v>
      </c>
      <c r="I1908">
        <v>1510.1</v>
      </c>
      <c r="J1908">
        <v>-798.67999999999984</v>
      </c>
    </row>
    <row r="1909" spans="1:10" x14ac:dyDescent="0.35">
      <c r="A1909">
        <v>1893</v>
      </c>
      <c r="B1909" s="75">
        <v>89.78</v>
      </c>
      <c r="C1909" s="75">
        <v>97.39</v>
      </c>
      <c r="D1909" s="75">
        <v>93.07</v>
      </c>
      <c r="E1909" s="75">
        <v>92.04</v>
      </c>
      <c r="F1909">
        <v>-730.95</v>
      </c>
      <c r="G1909">
        <v>1237.05</v>
      </c>
      <c r="H1909">
        <v>-515.80000000000007</v>
      </c>
      <c r="I1909">
        <v>1340.6</v>
      </c>
      <c r="J1909">
        <v>1330.8999999999996</v>
      </c>
    </row>
    <row r="1910" spans="1:10" x14ac:dyDescent="0.35">
      <c r="A1910">
        <v>1894</v>
      </c>
      <c r="B1910" s="75">
        <v>90.003600000000006</v>
      </c>
      <c r="C1910" s="75">
        <v>98.6631</v>
      </c>
      <c r="D1910" s="75">
        <v>91.874600000000001</v>
      </c>
      <c r="E1910" s="75">
        <v>93.165700000000001</v>
      </c>
      <c r="F1910">
        <v>-1485</v>
      </c>
      <c r="G1910">
        <v>-679.8</v>
      </c>
      <c r="H1910">
        <v>1883</v>
      </c>
      <c r="I1910">
        <v>214.9</v>
      </c>
      <c r="J1910">
        <v>-66.900000000000176</v>
      </c>
    </row>
    <row r="1911" spans="1:10" x14ac:dyDescent="0.35">
      <c r="A1911">
        <v>1895</v>
      </c>
      <c r="B1911" s="75">
        <v>89.81</v>
      </c>
      <c r="C1911" s="75">
        <v>98.73</v>
      </c>
      <c r="D1911" s="75">
        <v>92.95</v>
      </c>
      <c r="E1911" s="75">
        <v>94.52</v>
      </c>
      <c r="F1911">
        <v>-856.68</v>
      </c>
      <c r="G1911">
        <v>-776.55000000000007</v>
      </c>
      <c r="H1911">
        <v>-263.79999999999995</v>
      </c>
      <c r="I1911">
        <v>-1136.3000000000002</v>
      </c>
      <c r="J1911">
        <v>-3033.33</v>
      </c>
    </row>
    <row r="1912" spans="1:10" x14ac:dyDescent="0.35">
      <c r="A1912">
        <v>1896</v>
      </c>
      <c r="B1912" s="75">
        <v>90.549000000000007</v>
      </c>
      <c r="C1912" s="75">
        <v>99.414000000000001</v>
      </c>
      <c r="D1912" s="75">
        <v>92.754800000000003</v>
      </c>
      <c r="E1912" s="75">
        <v>92.2761</v>
      </c>
      <c r="F1912">
        <v>-3284.8199999999997</v>
      </c>
      <c r="G1912">
        <v>-1806.1499999999999</v>
      </c>
      <c r="H1912">
        <v>122.6</v>
      </c>
      <c r="I1912">
        <v>1104.5</v>
      </c>
      <c r="J1912">
        <v>-3863.869999999999</v>
      </c>
    </row>
    <row r="1913" spans="1:10" x14ac:dyDescent="0.35">
      <c r="A1913">
        <v>1897</v>
      </c>
      <c r="B1913" s="75">
        <v>89.59</v>
      </c>
      <c r="C1913" s="75">
        <v>99.04</v>
      </c>
      <c r="D1913" s="75">
        <v>91.8</v>
      </c>
      <c r="E1913" s="75">
        <v>90.84</v>
      </c>
      <c r="F1913">
        <v>-126.71999999999998</v>
      </c>
      <c r="G1913">
        <v>-1245.6000000000001</v>
      </c>
      <c r="H1913">
        <v>2037.6</v>
      </c>
      <c r="I1913">
        <v>2543.1</v>
      </c>
      <c r="J1913">
        <v>3208.3799999999997</v>
      </c>
    </row>
    <row r="1914" spans="1:10" x14ac:dyDescent="0.35">
      <c r="A1914">
        <v>1898</v>
      </c>
      <c r="B1914" s="75">
        <v>89.246700000000004</v>
      </c>
      <c r="C1914" s="75">
        <v>98.905799999999999</v>
      </c>
      <c r="D1914" s="75">
        <v>92.464399999999998</v>
      </c>
      <c r="E1914" s="75">
        <v>93.490600000000001</v>
      </c>
      <c r="F1914">
        <v>1012.77</v>
      </c>
      <c r="G1914">
        <v>-1043.8499999999999</v>
      </c>
      <c r="H1914">
        <v>703.4</v>
      </c>
      <c r="I1914">
        <v>-110</v>
      </c>
      <c r="J1914">
        <v>562.32000000000005</v>
      </c>
    </row>
    <row r="1915" spans="1:10" x14ac:dyDescent="0.35">
      <c r="A1915">
        <v>1899</v>
      </c>
      <c r="B1915" s="75">
        <v>89.51</v>
      </c>
      <c r="C1915" s="75">
        <v>98.81</v>
      </c>
      <c r="D1915" s="75">
        <v>91.14</v>
      </c>
      <c r="E1915" s="75">
        <v>93.3</v>
      </c>
      <c r="F1915">
        <v>150.48000000000002</v>
      </c>
      <c r="G1915">
        <v>-898.35</v>
      </c>
      <c r="H1915">
        <v>3344.6</v>
      </c>
      <c r="I1915">
        <v>81</v>
      </c>
      <c r="J1915">
        <v>2677.73</v>
      </c>
    </row>
    <row r="1916" spans="1:10" x14ac:dyDescent="0.35">
      <c r="A1916">
        <v>1900</v>
      </c>
      <c r="B1916" s="75">
        <v>89.635999999999996</v>
      </c>
      <c r="C1916" s="75">
        <v>97.956900000000005</v>
      </c>
      <c r="D1916" s="75">
        <v>93.118399999999994</v>
      </c>
      <c r="E1916" s="75">
        <v>92.161299999999997</v>
      </c>
      <c r="F1916">
        <v>-271.92</v>
      </c>
      <c r="G1916">
        <v>379.5</v>
      </c>
      <c r="H1916">
        <v>-604.6</v>
      </c>
      <c r="I1916">
        <v>1219.3</v>
      </c>
      <c r="J1916">
        <v>722.28</v>
      </c>
    </row>
    <row r="1917" spans="1:10" x14ac:dyDescent="0.35">
      <c r="A1917">
        <v>1901</v>
      </c>
      <c r="B1917" s="75">
        <v>89.52</v>
      </c>
      <c r="C1917" s="75">
        <v>97.8</v>
      </c>
      <c r="D1917" s="75">
        <v>93.39</v>
      </c>
      <c r="E1917" s="75">
        <v>93.69</v>
      </c>
      <c r="F1917">
        <v>99.99</v>
      </c>
      <c r="G1917">
        <v>613.95000000000005</v>
      </c>
      <c r="H1917">
        <v>-1156.6000000000001</v>
      </c>
      <c r="I1917">
        <v>-306.39999999999998</v>
      </c>
      <c r="J1917">
        <v>-749.06000000000006</v>
      </c>
    </row>
    <row r="1918" spans="1:10" x14ac:dyDescent="0.35">
      <c r="A1918">
        <v>1902</v>
      </c>
      <c r="B1918" s="75">
        <v>88.86</v>
      </c>
      <c r="C1918" s="75">
        <v>98.720299999999995</v>
      </c>
      <c r="D1918" s="75">
        <v>93.947400000000002</v>
      </c>
      <c r="E1918" s="75">
        <v>90.972899999999996</v>
      </c>
      <c r="F1918">
        <v>2288.88</v>
      </c>
      <c r="G1918">
        <v>-765.59999999999991</v>
      </c>
      <c r="H1918">
        <v>-2262.6</v>
      </c>
      <c r="I1918">
        <v>2407.7000000000003</v>
      </c>
      <c r="J1918">
        <v>1668.3800000000006</v>
      </c>
    </row>
    <row r="1919" spans="1:10" x14ac:dyDescent="0.35">
      <c r="A1919">
        <v>1903</v>
      </c>
      <c r="B1919" s="75">
        <v>90.4</v>
      </c>
      <c r="C1919" s="75">
        <v>98.54</v>
      </c>
      <c r="D1919" s="75">
        <v>92.91</v>
      </c>
      <c r="E1919" s="75">
        <v>91.11</v>
      </c>
      <c r="F1919">
        <v>-2785.2</v>
      </c>
      <c r="G1919">
        <v>-495</v>
      </c>
      <c r="H1919">
        <v>-180</v>
      </c>
      <c r="I1919">
        <v>2272.6000000000004</v>
      </c>
      <c r="J1919">
        <v>-1187.5999999999995</v>
      </c>
    </row>
    <row r="1920" spans="1:10" x14ac:dyDescent="0.35">
      <c r="A1920">
        <v>1904</v>
      </c>
      <c r="B1920" s="75">
        <v>89.516800000000003</v>
      </c>
      <c r="C1920" s="75">
        <v>96.879099999999994</v>
      </c>
      <c r="D1920" s="75">
        <v>92.717100000000002</v>
      </c>
      <c r="E1920" s="75">
        <v>90.1828</v>
      </c>
      <c r="F1920">
        <v>121.44</v>
      </c>
      <c r="G1920">
        <v>1996.2</v>
      </c>
      <c r="H1920">
        <v>198</v>
      </c>
      <c r="I1920">
        <v>3197.8</v>
      </c>
      <c r="J1920">
        <v>5513.4400000000005</v>
      </c>
    </row>
    <row r="1921" spans="1:10" x14ac:dyDescent="0.35">
      <c r="A1921">
        <v>1905</v>
      </c>
      <c r="B1921" s="75">
        <v>90.17</v>
      </c>
      <c r="C1921" s="75">
        <v>98.26</v>
      </c>
      <c r="D1921" s="75">
        <v>91.72</v>
      </c>
      <c r="E1921" s="75">
        <v>91.02</v>
      </c>
      <c r="F1921">
        <v>-2041.0500000000002</v>
      </c>
      <c r="G1921">
        <v>-70.650000000000006</v>
      </c>
      <c r="H1921">
        <v>2183.8000000000002</v>
      </c>
      <c r="I1921">
        <v>2359.7999999999997</v>
      </c>
      <c r="J1921">
        <v>2431.8999999999996</v>
      </c>
    </row>
    <row r="1922" spans="1:10" x14ac:dyDescent="0.35">
      <c r="A1922">
        <v>1906</v>
      </c>
      <c r="B1922" s="75">
        <v>89.497699999999995</v>
      </c>
      <c r="C1922" s="75">
        <v>99.522000000000006</v>
      </c>
      <c r="D1922" s="75">
        <v>93.688900000000004</v>
      </c>
      <c r="E1922" s="75">
        <v>95.030500000000004</v>
      </c>
      <c r="F1922">
        <v>184.47</v>
      </c>
      <c r="G1922">
        <v>-1968.15</v>
      </c>
      <c r="H1922">
        <v>-1745.6000000000001</v>
      </c>
      <c r="I1922">
        <v>-1649.8999999999999</v>
      </c>
      <c r="J1922">
        <v>-5179.18</v>
      </c>
    </row>
    <row r="1923" spans="1:10" x14ac:dyDescent="0.35">
      <c r="A1923">
        <v>1907</v>
      </c>
      <c r="B1923" s="75">
        <v>90.08</v>
      </c>
      <c r="C1923" s="75">
        <v>97.84</v>
      </c>
      <c r="D1923" s="75">
        <v>92.95</v>
      </c>
      <c r="E1923" s="75">
        <v>94.62</v>
      </c>
      <c r="F1923">
        <v>-1736.46</v>
      </c>
      <c r="G1923">
        <v>561.29999999999995</v>
      </c>
      <c r="H1923">
        <v>-268.2</v>
      </c>
      <c r="I1923">
        <v>-1239.3000000000002</v>
      </c>
      <c r="J1923">
        <v>-2682.6600000000003</v>
      </c>
    </row>
    <row r="1924" spans="1:10" x14ac:dyDescent="0.35">
      <c r="A1924">
        <v>1908</v>
      </c>
      <c r="B1924" s="75">
        <v>89.660799999999995</v>
      </c>
      <c r="C1924" s="75">
        <v>98.137</v>
      </c>
      <c r="D1924" s="75">
        <v>93.1845</v>
      </c>
      <c r="E1924" s="75">
        <v>91.711299999999994</v>
      </c>
      <c r="F1924">
        <v>-353.76</v>
      </c>
      <c r="G1924">
        <v>109.35000000000001</v>
      </c>
      <c r="H1924">
        <v>-736.8</v>
      </c>
      <c r="I1924">
        <v>1669.3</v>
      </c>
      <c r="J1924">
        <v>688.09</v>
      </c>
    </row>
    <row r="1925" spans="1:10" x14ac:dyDescent="0.35">
      <c r="A1925">
        <v>1909</v>
      </c>
      <c r="B1925" s="75">
        <v>89.5</v>
      </c>
      <c r="C1925" s="75">
        <v>98.26</v>
      </c>
      <c r="D1925" s="75">
        <v>94.35</v>
      </c>
      <c r="E1925" s="75">
        <v>94.34</v>
      </c>
      <c r="F1925">
        <v>192.72</v>
      </c>
      <c r="G1925">
        <v>-68.400000000000006</v>
      </c>
      <c r="H1925">
        <v>-3062</v>
      </c>
      <c r="I1925">
        <v>-955.9</v>
      </c>
      <c r="J1925">
        <v>-3893.58</v>
      </c>
    </row>
    <row r="1926" spans="1:10" x14ac:dyDescent="0.35">
      <c r="A1926">
        <v>1910</v>
      </c>
      <c r="B1926" s="75">
        <v>90.228399999999993</v>
      </c>
      <c r="C1926" s="75">
        <v>99.174599999999998</v>
      </c>
      <c r="D1926" s="75">
        <v>93.109800000000007</v>
      </c>
      <c r="E1926" s="75">
        <v>93.733199999999997</v>
      </c>
      <c r="F1926">
        <v>-2226.8399999999997</v>
      </c>
      <c r="G1926">
        <v>-1447.05</v>
      </c>
      <c r="H1926">
        <v>-587.4</v>
      </c>
      <c r="I1926">
        <v>-352.6</v>
      </c>
      <c r="J1926">
        <v>-4613.8899999999994</v>
      </c>
    </row>
    <row r="1927" spans="1:10" x14ac:dyDescent="0.35">
      <c r="A1927">
        <v>1911</v>
      </c>
      <c r="B1927" s="75">
        <v>89.16</v>
      </c>
      <c r="C1927" s="75">
        <v>96.35</v>
      </c>
      <c r="D1927" s="75">
        <v>92.28</v>
      </c>
      <c r="E1927" s="75">
        <v>90.95</v>
      </c>
      <c r="F1927">
        <v>1283.3700000000001</v>
      </c>
      <c r="G1927">
        <v>2788.05</v>
      </c>
      <c r="H1927">
        <v>1065.6000000000001</v>
      </c>
      <c r="I1927">
        <v>2426.6</v>
      </c>
      <c r="J1927">
        <v>7563.6200000000008</v>
      </c>
    </row>
    <row r="1928" spans="1:10" x14ac:dyDescent="0.35">
      <c r="A1928">
        <v>1912</v>
      </c>
      <c r="B1928" s="75">
        <v>89.790899999999993</v>
      </c>
      <c r="C1928" s="75">
        <v>97.966300000000004</v>
      </c>
      <c r="D1928" s="75">
        <v>92.6494</v>
      </c>
      <c r="E1928" s="75">
        <v>90.099100000000007</v>
      </c>
      <c r="F1928">
        <v>-783.09</v>
      </c>
      <c r="G1928">
        <v>365.40000000000003</v>
      </c>
      <c r="H1928">
        <v>333.4</v>
      </c>
      <c r="I1928">
        <v>3281.5</v>
      </c>
      <c r="J1928">
        <v>3197.21</v>
      </c>
    </row>
    <row r="1929" spans="1:10" x14ac:dyDescent="0.35">
      <c r="A1929">
        <v>1913</v>
      </c>
      <c r="B1929" s="75">
        <v>89.13</v>
      </c>
      <c r="C1929" s="75">
        <v>98.84</v>
      </c>
      <c r="D1929" s="75">
        <v>93.01</v>
      </c>
      <c r="E1929" s="75">
        <v>93.16</v>
      </c>
      <c r="F1929">
        <v>1382.37</v>
      </c>
      <c r="G1929">
        <v>-948.15</v>
      </c>
      <c r="H1929">
        <v>-392.2</v>
      </c>
      <c r="I1929">
        <v>223</v>
      </c>
      <c r="J1929">
        <v>265.01999999999992</v>
      </c>
    </row>
    <row r="1930" spans="1:10" x14ac:dyDescent="0.35">
      <c r="A1930">
        <v>1914</v>
      </c>
      <c r="B1930" s="75">
        <v>90.794200000000004</v>
      </c>
      <c r="C1930" s="75">
        <v>96.328100000000006</v>
      </c>
      <c r="D1930" s="75">
        <v>91.819800000000001</v>
      </c>
      <c r="E1930" s="75">
        <v>94.457499999999996</v>
      </c>
      <c r="F1930">
        <v>-4093.9799999999996</v>
      </c>
      <c r="G1930">
        <v>2822.7</v>
      </c>
      <c r="H1930">
        <v>1992.6</v>
      </c>
      <c r="I1930">
        <v>-1076.8999999999999</v>
      </c>
      <c r="J1930">
        <v>-355.5799999999997</v>
      </c>
    </row>
    <row r="1931" spans="1:10" x14ac:dyDescent="0.35">
      <c r="A1931">
        <v>1915</v>
      </c>
      <c r="B1931" s="75">
        <v>90.11</v>
      </c>
      <c r="C1931" s="75">
        <v>98.88</v>
      </c>
      <c r="D1931" s="75">
        <v>94.01</v>
      </c>
      <c r="E1931" s="75">
        <v>96.52</v>
      </c>
      <c r="F1931">
        <v>-1841.4</v>
      </c>
      <c r="G1931">
        <v>-1006.1999999999999</v>
      </c>
      <c r="H1931">
        <v>-2397.2000000000003</v>
      </c>
      <c r="I1931">
        <v>-3135.2000000000003</v>
      </c>
      <c r="J1931">
        <v>-8380</v>
      </c>
    </row>
    <row r="1932" spans="1:10" x14ac:dyDescent="0.35">
      <c r="A1932">
        <v>1916</v>
      </c>
      <c r="B1932" s="75">
        <v>89.137500000000003</v>
      </c>
      <c r="C1932" s="75">
        <v>98.629400000000004</v>
      </c>
      <c r="D1932" s="75">
        <v>92.4953</v>
      </c>
      <c r="E1932" s="75">
        <v>93.606700000000004</v>
      </c>
      <c r="F1932">
        <v>1373.13</v>
      </c>
      <c r="G1932">
        <v>-629.25</v>
      </c>
      <c r="H1932">
        <v>641.59999999999991</v>
      </c>
      <c r="I1932">
        <v>-226.1</v>
      </c>
      <c r="J1932">
        <v>1159.3800000000001</v>
      </c>
    </row>
    <row r="1933" spans="1:10" x14ac:dyDescent="0.35">
      <c r="A1933">
        <v>1917</v>
      </c>
      <c r="B1933" s="75">
        <v>89.6</v>
      </c>
      <c r="C1933" s="75">
        <v>98.99</v>
      </c>
      <c r="D1933" s="75">
        <v>91.36</v>
      </c>
      <c r="E1933" s="75">
        <v>92.98</v>
      </c>
      <c r="F1933">
        <v>-142.56</v>
      </c>
      <c r="G1933">
        <v>-1175.25</v>
      </c>
      <c r="H1933">
        <v>2917.4</v>
      </c>
      <c r="I1933">
        <v>395.7</v>
      </c>
      <c r="J1933">
        <v>1995.2900000000002</v>
      </c>
    </row>
    <row r="1934" spans="1:10" x14ac:dyDescent="0.35">
      <c r="A1934">
        <v>1918</v>
      </c>
      <c r="B1934" s="75">
        <v>89.280299999999997</v>
      </c>
      <c r="C1934" s="75">
        <v>97.035300000000007</v>
      </c>
      <c r="D1934" s="75">
        <v>93.608000000000004</v>
      </c>
      <c r="E1934" s="75">
        <v>94.407899999999998</v>
      </c>
      <c r="F1934">
        <v>901.89</v>
      </c>
      <c r="G1934">
        <v>1761.9</v>
      </c>
      <c r="H1934">
        <v>-1583.8000000000002</v>
      </c>
      <c r="I1934">
        <v>-1027.3000000000002</v>
      </c>
      <c r="J1934">
        <v>52.6899999999996</v>
      </c>
    </row>
    <row r="1935" spans="1:10" x14ac:dyDescent="0.35">
      <c r="A1935">
        <v>1919</v>
      </c>
      <c r="B1935" s="75">
        <v>89.77</v>
      </c>
      <c r="C1935" s="75">
        <v>98.11</v>
      </c>
      <c r="D1935" s="75">
        <v>93.5</v>
      </c>
      <c r="E1935" s="75">
        <v>93.14</v>
      </c>
      <c r="F1935">
        <v>-727.65</v>
      </c>
      <c r="G1935">
        <v>143.85</v>
      </c>
      <c r="H1935">
        <v>-1363.3999999999999</v>
      </c>
      <c r="I1935">
        <v>236.4</v>
      </c>
      <c r="J1935">
        <v>-1710.7999999999997</v>
      </c>
    </row>
    <row r="1936" spans="1:10" x14ac:dyDescent="0.35">
      <c r="A1936">
        <v>1920</v>
      </c>
      <c r="B1936" s="75">
        <v>89.725099999999998</v>
      </c>
      <c r="C1936" s="75">
        <v>98.349800000000002</v>
      </c>
      <c r="D1936" s="75">
        <v>93.464799999999997</v>
      </c>
      <c r="E1936" s="75">
        <v>95.968500000000006</v>
      </c>
      <c r="F1936">
        <v>-565.95000000000005</v>
      </c>
      <c r="G1936">
        <v>-209.85</v>
      </c>
      <c r="H1936">
        <v>-1297.4000000000001</v>
      </c>
      <c r="I1936">
        <v>-2587.9</v>
      </c>
      <c r="J1936">
        <v>-4661.1000000000004</v>
      </c>
    </row>
    <row r="1937" spans="1:10" x14ac:dyDescent="0.35">
      <c r="A1937">
        <v>1921</v>
      </c>
      <c r="B1937" s="75">
        <v>89.21</v>
      </c>
      <c r="C1937" s="75">
        <v>98.24</v>
      </c>
      <c r="D1937" s="75">
        <v>92.89</v>
      </c>
      <c r="E1937" s="75">
        <v>94.28</v>
      </c>
      <c r="F1937">
        <v>1138.8300000000002</v>
      </c>
      <c r="G1937">
        <v>-50.25</v>
      </c>
      <c r="H1937">
        <v>-151.79999999999998</v>
      </c>
      <c r="I1937">
        <v>-898.9</v>
      </c>
      <c r="J1937">
        <v>37.880000000000223</v>
      </c>
    </row>
    <row r="1938" spans="1:10" x14ac:dyDescent="0.35">
      <c r="A1938">
        <v>1922</v>
      </c>
      <c r="B1938" s="75">
        <v>88.801900000000003</v>
      </c>
      <c r="C1938" s="75">
        <v>96.556399999999996</v>
      </c>
      <c r="D1938" s="75">
        <v>93.649100000000004</v>
      </c>
      <c r="E1938" s="75">
        <v>91.337599999999995</v>
      </c>
      <c r="F1938">
        <v>2480.61</v>
      </c>
      <c r="G1938">
        <v>2480.25</v>
      </c>
      <c r="H1938">
        <v>-1666</v>
      </c>
      <c r="I1938">
        <v>2043.0000000000002</v>
      </c>
      <c r="J1938">
        <v>5337.8600000000006</v>
      </c>
    </row>
    <row r="1939" spans="1:10" x14ac:dyDescent="0.35">
      <c r="A1939">
        <v>1923</v>
      </c>
      <c r="B1939" s="75">
        <v>88.73</v>
      </c>
      <c r="C1939" s="75">
        <v>97.73</v>
      </c>
      <c r="D1939" s="75">
        <v>93.63</v>
      </c>
      <c r="E1939" s="75">
        <v>94.46</v>
      </c>
      <c r="F1939">
        <v>2717.55</v>
      </c>
      <c r="G1939">
        <v>719.7</v>
      </c>
      <c r="H1939">
        <v>-1633.3999999999999</v>
      </c>
      <c r="I1939">
        <v>-1074.7</v>
      </c>
      <c r="J1939">
        <v>729.15000000000009</v>
      </c>
    </row>
    <row r="1940" spans="1:10" x14ac:dyDescent="0.35">
      <c r="A1940">
        <v>1924</v>
      </c>
      <c r="B1940" s="75">
        <v>90.745599999999996</v>
      </c>
      <c r="C1940" s="75">
        <v>98.010099999999994</v>
      </c>
      <c r="D1940" s="75">
        <v>92.525300000000001</v>
      </c>
      <c r="E1940" s="75">
        <v>95.233500000000006</v>
      </c>
      <c r="F1940">
        <v>-3933.6</v>
      </c>
      <c r="G1940">
        <v>299.7</v>
      </c>
      <c r="H1940">
        <v>581.6</v>
      </c>
      <c r="I1940">
        <v>-1852.9</v>
      </c>
      <c r="J1940">
        <v>-4905.2000000000007</v>
      </c>
    </row>
    <row r="1941" spans="1:10" x14ac:dyDescent="0.35">
      <c r="A1941">
        <v>1925</v>
      </c>
      <c r="B1941" s="75">
        <v>89.64</v>
      </c>
      <c r="C1941" s="75">
        <v>96.65</v>
      </c>
      <c r="D1941" s="75">
        <v>90.44</v>
      </c>
      <c r="E1941" s="75">
        <v>94.23</v>
      </c>
      <c r="F1941">
        <v>-268.95</v>
      </c>
      <c r="G1941">
        <v>2342.25</v>
      </c>
      <c r="H1941">
        <v>4760.2</v>
      </c>
      <c r="I1941">
        <v>-850.1</v>
      </c>
      <c r="J1941">
        <v>5983.4</v>
      </c>
    </row>
    <row r="1942" spans="1:10" x14ac:dyDescent="0.35">
      <c r="A1942">
        <v>1926</v>
      </c>
      <c r="B1942" s="75">
        <v>89.709699999999998</v>
      </c>
      <c r="C1942" s="75">
        <v>98.459000000000003</v>
      </c>
      <c r="D1942" s="75">
        <v>91.695899999999995</v>
      </c>
      <c r="E1942" s="75">
        <v>93.870800000000003</v>
      </c>
      <c r="F1942">
        <v>-515.13</v>
      </c>
      <c r="G1942">
        <v>-373.65</v>
      </c>
      <c r="H1942">
        <v>2240.4</v>
      </c>
      <c r="I1942">
        <v>-490.20000000000005</v>
      </c>
      <c r="J1942">
        <v>861.42000000000007</v>
      </c>
    </row>
    <row r="1943" spans="1:10" x14ac:dyDescent="0.35">
      <c r="A1943">
        <v>1927</v>
      </c>
      <c r="B1943" s="75">
        <v>89.62</v>
      </c>
      <c r="C1943" s="75">
        <v>97.72</v>
      </c>
      <c r="D1943" s="75">
        <v>93.64</v>
      </c>
      <c r="E1943" s="75">
        <v>94.32</v>
      </c>
      <c r="F1943">
        <v>-228.35999999999999</v>
      </c>
      <c r="G1943">
        <v>738.6</v>
      </c>
      <c r="H1943">
        <v>-1651.4</v>
      </c>
      <c r="I1943">
        <v>-943.6</v>
      </c>
      <c r="J1943">
        <v>-2084.7600000000002</v>
      </c>
    </row>
    <row r="1944" spans="1:10" x14ac:dyDescent="0.35">
      <c r="A1944">
        <v>1928</v>
      </c>
      <c r="B1944" s="75">
        <v>90.220500000000001</v>
      </c>
      <c r="C1944" s="75">
        <v>97.186000000000007</v>
      </c>
      <c r="D1944" s="75">
        <v>93.655000000000001</v>
      </c>
      <c r="E1944" s="75">
        <v>94.271500000000003</v>
      </c>
      <c r="F1944">
        <v>-2200.77</v>
      </c>
      <c r="G1944">
        <v>1535.8500000000001</v>
      </c>
      <c r="H1944">
        <v>-1677.8</v>
      </c>
      <c r="I1944">
        <v>-890.9</v>
      </c>
      <c r="J1944">
        <v>-3233.62</v>
      </c>
    </row>
    <row r="1945" spans="1:10" x14ac:dyDescent="0.35">
      <c r="A1945">
        <v>1929</v>
      </c>
      <c r="B1945" s="75">
        <v>89.42</v>
      </c>
      <c r="C1945" s="75">
        <v>99.25</v>
      </c>
      <c r="D1945" s="75">
        <v>92.79</v>
      </c>
      <c r="E1945" s="75">
        <v>91.8</v>
      </c>
      <c r="F1945">
        <v>427.35</v>
      </c>
      <c r="G1945">
        <v>-1552.9500000000003</v>
      </c>
      <c r="H1945">
        <v>57.4</v>
      </c>
      <c r="I1945">
        <v>1584.8999999999999</v>
      </c>
      <c r="J1945">
        <v>516.69999999999959</v>
      </c>
    </row>
    <row r="1946" spans="1:10" x14ac:dyDescent="0.35">
      <c r="A1946">
        <v>1930</v>
      </c>
      <c r="B1946" s="75">
        <v>89.866799999999998</v>
      </c>
      <c r="C1946" s="75">
        <v>97.877700000000004</v>
      </c>
      <c r="D1946" s="75">
        <v>91.4863</v>
      </c>
      <c r="E1946" s="75">
        <v>93.910600000000002</v>
      </c>
      <c r="F1946">
        <v>-1033.56</v>
      </c>
      <c r="G1946">
        <v>498.3</v>
      </c>
      <c r="H1946">
        <v>2659.6000000000004</v>
      </c>
      <c r="I1946">
        <v>-530</v>
      </c>
      <c r="J1946">
        <v>1594.3400000000001</v>
      </c>
    </row>
    <row r="1947" spans="1:10" x14ac:dyDescent="0.35">
      <c r="A1947">
        <v>1931</v>
      </c>
      <c r="B1947" s="75">
        <v>89.39</v>
      </c>
      <c r="C1947" s="75">
        <v>96.39</v>
      </c>
      <c r="D1947" s="75">
        <v>91.92</v>
      </c>
      <c r="E1947" s="75">
        <v>92.98</v>
      </c>
      <c r="F1947">
        <v>550.11</v>
      </c>
      <c r="G1947">
        <v>2727.75</v>
      </c>
      <c r="H1947">
        <v>1797.4</v>
      </c>
      <c r="I1947">
        <v>398.6</v>
      </c>
      <c r="J1947">
        <v>5473.8600000000006</v>
      </c>
    </row>
    <row r="1948" spans="1:10" x14ac:dyDescent="0.35">
      <c r="A1948">
        <v>1932</v>
      </c>
      <c r="B1948" s="75">
        <v>88.726299999999995</v>
      </c>
      <c r="C1948" s="75">
        <v>98.290400000000005</v>
      </c>
      <c r="D1948" s="75">
        <v>94.110100000000003</v>
      </c>
      <c r="E1948" s="75">
        <v>90.959800000000001</v>
      </c>
      <c r="F1948">
        <v>2730.09</v>
      </c>
      <c r="G1948">
        <v>-120.75</v>
      </c>
      <c r="H1948">
        <v>-2588</v>
      </c>
      <c r="I1948">
        <v>2420.7999999999997</v>
      </c>
      <c r="J1948">
        <v>2442.14</v>
      </c>
    </row>
    <row r="1949" spans="1:10" x14ac:dyDescent="0.35">
      <c r="A1949">
        <v>1933</v>
      </c>
      <c r="B1949" s="75">
        <v>89.74</v>
      </c>
      <c r="C1949" s="75">
        <v>97.37</v>
      </c>
      <c r="D1949" s="75">
        <v>93.11</v>
      </c>
      <c r="E1949" s="75">
        <v>95.67</v>
      </c>
      <c r="F1949">
        <v>-617.1</v>
      </c>
      <c r="G1949">
        <v>1261.5</v>
      </c>
      <c r="H1949">
        <v>-594.40000000000009</v>
      </c>
      <c r="I1949">
        <v>-2290.5</v>
      </c>
      <c r="J1949">
        <v>-2240.5</v>
      </c>
    </row>
    <row r="1950" spans="1:10" x14ac:dyDescent="0.35">
      <c r="A1950">
        <v>1934</v>
      </c>
      <c r="B1950" s="75">
        <v>90.166600000000003</v>
      </c>
      <c r="C1950" s="75">
        <v>97.359700000000004</v>
      </c>
      <c r="D1950" s="75">
        <v>94.022499999999994</v>
      </c>
      <c r="E1950" s="75">
        <v>92.318200000000004</v>
      </c>
      <c r="F1950">
        <v>-2022.8999999999999</v>
      </c>
      <c r="G1950">
        <v>1275.3</v>
      </c>
      <c r="H1950">
        <v>-2412.7999999999997</v>
      </c>
      <c r="I1950">
        <v>1062.4000000000001</v>
      </c>
      <c r="J1950">
        <v>-2097.9999999999995</v>
      </c>
    </row>
    <row r="1951" spans="1:10" x14ac:dyDescent="0.35">
      <c r="A1951">
        <v>1935</v>
      </c>
      <c r="B1951" s="75">
        <v>89.05</v>
      </c>
      <c r="C1951" s="75">
        <v>98.64</v>
      </c>
      <c r="D1951" s="75">
        <v>91.97</v>
      </c>
      <c r="E1951" s="75">
        <v>90.38</v>
      </c>
      <c r="F1951">
        <v>1657.26</v>
      </c>
      <c r="G1951">
        <v>-642</v>
      </c>
      <c r="H1951">
        <v>1686</v>
      </c>
      <c r="I1951">
        <v>2996.2</v>
      </c>
      <c r="J1951">
        <v>5697.46</v>
      </c>
    </row>
    <row r="1952" spans="1:10" x14ac:dyDescent="0.35">
      <c r="A1952">
        <v>1936</v>
      </c>
      <c r="B1952" s="75">
        <v>90.922300000000007</v>
      </c>
      <c r="C1952" s="75">
        <v>99.234899999999996</v>
      </c>
      <c r="D1952" s="75">
        <v>93.265699999999995</v>
      </c>
      <c r="E1952" s="75">
        <v>93.0886</v>
      </c>
      <c r="F1952">
        <v>-4516.71</v>
      </c>
      <c r="G1952">
        <v>-1537.4999999999998</v>
      </c>
      <c r="H1952">
        <v>-899.2</v>
      </c>
      <c r="I1952">
        <v>292</v>
      </c>
      <c r="J1952">
        <v>-6661.41</v>
      </c>
    </row>
    <row r="1953" spans="1:10" x14ac:dyDescent="0.35">
      <c r="A1953">
        <v>1937</v>
      </c>
      <c r="B1953" s="75">
        <v>89.49</v>
      </c>
      <c r="C1953" s="75">
        <v>97.8</v>
      </c>
      <c r="D1953" s="75">
        <v>94.12</v>
      </c>
      <c r="E1953" s="75">
        <v>93.89</v>
      </c>
      <c r="F1953">
        <v>196.35</v>
      </c>
      <c r="G1953">
        <v>611.4</v>
      </c>
      <c r="H1953">
        <v>-2601.6</v>
      </c>
      <c r="I1953">
        <v>-510.90000000000003</v>
      </c>
      <c r="J1953">
        <v>-2304.75</v>
      </c>
    </row>
    <row r="1954" spans="1:10" x14ac:dyDescent="0.35">
      <c r="A1954">
        <v>1938</v>
      </c>
      <c r="B1954" s="75">
        <v>89.697400000000002</v>
      </c>
      <c r="C1954" s="75">
        <v>98.172499999999999</v>
      </c>
      <c r="D1954" s="75">
        <v>92.797499999999999</v>
      </c>
      <c r="E1954" s="75">
        <v>93.5458</v>
      </c>
      <c r="F1954">
        <v>-474.54</v>
      </c>
      <c r="G1954">
        <v>56.1</v>
      </c>
      <c r="H1954">
        <v>37.199999999999996</v>
      </c>
      <c r="I1954">
        <v>-165.20000000000002</v>
      </c>
      <c r="J1954">
        <v>-546.44000000000005</v>
      </c>
    </row>
    <row r="1955" spans="1:10" x14ac:dyDescent="0.35">
      <c r="A1955">
        <v>1939</v>
      </c>
      <c r="B1955" s="75">
        <v>89.38</v>
      </c>
      <c r="C1955" s="75">
        <v>97.97</v>
      </c>
      <c r="D1955" s="75">
        <v>93.57</v>
      </c>
      <c r="E1955" s="75">
        <v>94.54</v>
      </c>
      <c r="F1955">
        <v>575.19000000000005</v>
      </c>
      <c r="G1955">
        <v>365.85</v>
      </c>
      <c r="H1955">
        <v>-1506.2</v>
      </c>
      <c r="I1955">
        <v>-1161.4000000000001</v>
      </c>
      <c r="J1955">
        <v>-1726.56</v>
      </c>
    </row>
    <row r="1956" spans="1:10" x14ac:dyDescent="0.35">
      <c r="A1956">
        <v>1940</v>
      </c>
      <c r="B1956" s="75">
        <v>88.773600000000002</v>
      </c>
      <c r="C1956" s="75">
        <v>99.007400000000004</v>
      </c>
      <c r="D1956" s="75">
        <v>92.122900000000001</v>
      </c>
      <c r="E1956" s="75">
        <v>93.585099999999997</v>
      </c>
      <c r="F1956">
        <v>2574</v>
      </c>
      <c r="G1956">
        <v>-1196.25</v>
      </c>
      <c r="H1956">
        <v>1386.4</v>
      </c>
      <c r="I1956">
        <v>-204.5</v>
      </c>
      <c r="J1956">
        <v>2559.65</v>
      </c>
    </row>
    <row r="1957" spans="1:10" x14ac:dyDescent="0.35">
      <c r="A1957">
        <v>1941</v>
      </c>
      <c r="B1957" s="75">
        <v>89.18</v>
      </c>
      <c r="C1957" s="75">
        <v>98.21</v>
      </c>
      <c r="D1957" s="75">
        <v>93.29</v>
      </c>
      <c r="E1957" s="75">
        <v>95.09</v>
      </c>
      <c r="F1957">
        <v>1222.32</v>
      </c>
      <c r="G1957">
        <v>6</v>
      </c>
      <c r="H1957">
        <v>-951.6</v>
      </c>
      <c r="I1957">
        <v>-1704.5</v>
      </c>
      <c r="J1957">
        <v>-1427.7800000000002</v>
      </c>
    </row>
    <row r="1958" spans="1:10" x14ac:dyDescent="0.35">
      <c r="A1958">
        <v>1942</v>
      </c>
      <c r="B1958" s="75">
        <v>89.643100000000004</v>
      </c>
      <c r="C1958" s="75">
        <v>98.584599999999995</v>
      </c>
      <c r="D1958" s="75">
        <v>94.338800000000006</v>
      </c>
      <c r="E1958" s="75">
        <v>93.709900000000005</v>
      </c>
      <c r="F1958">
        <v>-295.34999999999997</v>
      </c>
      <c r="G1958">
        <v>-562.04999999999995</v>
      </c>
      <c r="H1958">
        <v>-3045.4</v>
      </c>
      <c r="I1958">
        <v>-329.29999999999995</v>
      </c>
      <c r="J1958">
        <v>-4232.1000000000004</v>
      </c>
    </row>
    <row r="1959" spans="1:10" x14ac:dyDescent="0.35">
      <c r="A1959">
        <v>1943</v>
      </c>
      <c r="B1959" s="75">
        <v>87.95</v>
      </c>
      <c r="C1959" s="75">
        <v>98.8</v>
      </c>
      <c r="D1959" s="75">
        <v>92.48</v>
      </c>
      <c r="E1959" s="75">
        <v>95.25</v>
      </c>
      <c r="F1959">
        <v>5280.66</v>
      </c>
      <c r="G1959">
        <v>-885</v>
      </c>
      <c r="H1959">
        <v>670</v>
      </c>
      <c r="I1959">
        <v>-1872.3000000000002</v>
      </c>
      <c r="J1959">
        <v>3193.3599999999997</v>
      </c>
    </row>
    <row r="1960" spans="1:10" x14ac:dyDescent="0.35">
      <c r="A1960">
        <v>1944</v>
      </c>
      <c r="B1960" s="75">
        <v>89.967699999999994</v>
      </c>
      <c r="C1960" s="75">
        <v>98.5672</v>
      </c>
      <c r="D1960" s="75">
        <v>92.552599999999998</v>
      </c>
      <c r="E1960" s="75">
        <v>93.168000000000006</v>
      </c>
      <c r="F1960">
        <v>-1366.53</v>
      </c>
      <c r="G1960">
        <v>-535.95000000000005</v>
      </c>
      <c r="H1960">
        <v>527</v>
      </c>
      <c r="I1960">
        <v>212.60000000000002</v>
      </c>
      <c r="J1960">
        <v>-1162.8800000000001</v>
      </c>
    </row>
    <row r="1961" spans="1:10" x14ac:dyDescent="0.35">
      <c r="A1961">
        <v>1945</v>
      </c>
      <c r="B1961" s="75">
        <v>89.77</v>
      </c>
      <c r="C1961" s="75">
        <v>97.16</v>
      </c>
      <c r="D1961" s="75">
        <v>93.5</v>
      </c>
      <c r="E1961" s="75">
        <v>93.93</v>
      </c>
      <c r="F1961">
        <v>-698.93999999999994</v>
      </c>
      <c r="G1961">
        <v>1574.5500000000002</v>
      </c>
      <c r="H1961">
        <v>-1370.2</v>
      </c>
      <c r="I1961">
        <v>-545</v>
      </c>
      <c r="J1961">
        <v>-1039.5899999999997</v>
      </c>
    </row>
    <row r="1962" spans="1:10" x14ac:dyDescent="0.35">
      <c r="A1962">
        <v>1946</v>
      </c>
      <c r="B1962" s="75">
        <v>90.008200000000002</v>
      </c>
      <c r="C1962" s="75">
        <v>98.170699999999997</v>
      </c>
      <c r="D1962" s="75">
        <v>93.139700000000005</v>
      </c>
      <c r="E1962" s="75">
        <v>95.280199999999994</v>
      </c>
      <c r="F1962">
        <v>-1500.18</v>
      </c>
      <c r="G1962">
        <v>58.8</v>
      </c>
      <c r="H1962">
        <v>-647.20000000000005</v>
      </c>
      <c r="I1962">
        <v>-1899.6</v>
      </c>
      <c r="J1962">
        <v>-3988.18</v>
      </c>
    </row>
    <row r="1963" spans="1:10" x14ac:dyDescent="0.35">
      <c r="A1963">
        <v>1947</v>
      </c>
      <c r="B1963" s="75">
        <v>90.27</v>
      </c>
      <c r="C1963" s="75">
        <v>100.67</v>
      </c>
      <c r="D1963" s="75">
        <v>93.3</v>
      </c>
      <c r="E1963" s="75">
        <v>94.82</v>
      </c>
      <c r="F1963">
        <v>-2378.31</v>
      </c>
      <c r="G1963">
        <v>-3694.8</v>
      </c>
      <c r="H1963">
        <v>-975.6</v>
      </c>
      <c r="I1963">
        <v>-1438.9</v>
      </c>
      <c r="J1963">
        <v>-8487.61</v>
      </c>
    </row>
    <row r="1964" spans="1:10" x14ac:dyDescent="0.35">
      <c r="A1964">
        <v>1948</v>
      </c>
      <c r="B1964" s="75">
        <v>89.758099999999999</v>
      </c>
      <c r="C1964" s="75">
        <v>96.753399999999999</v>
      </c>
      <c r="D1964" s="75">
        <v>93.092399999999998</v>
      </c>
      <c r="E1964" s="75">
        <v>92.033699999999996</v>
      </c>
      <c r="F1964">
        <v>-674.84999999999991</v>
      </c>
      <c r="G1964">
        <v>2184.75</v>
      </c>
      <c r="H1964">
        <v>-552.6</v>
      </c>
      <c r="I1964">
        <v>1346.9</v>
      </c>
      <c r="J1964">
        <v>2304.2000000000003</v>
      </c>
    </row>
    <row r="1965" spans="1:10" x14ac:dyDescent="0.35">
      <c r="A1965">
        <v>1949</v>
      </c>
      <c r="B1965" s="75">
        <v>89.41</v>
      </c>
      <c r="C1965" s="75">
        <v>97.61</v>
      </c>
      <c r="D1965" s="75">
        <v>94.78</v>
      </c>
      <c r="E1965" s="75">
        <v>92.65</v>
      </c>
      <c r="F1965">
        <v>472.56</v>
      </c>
      <c r="G1965">
        <v>902.25</v>
      </c>
      <c r="H1965">
        <v>-3931.2</v>
      </c>
      <c r="I1965">
        <v>734.6</v>
      </c>
      <c r="J1965">
        <v>-1821.79</v>
      </c>
    </row>
    <row r="1966" spans="1:10" x14ac:dyDescent="0.35">
      <c r="A1966">
        <v>1950</v>
      </c>
      <c r="B1966" s="75">
        <v>91.077399999999997</v>
      </c>
      <c r="C1966" s="75">
        <v>98.116500000000002</v>
      </c>
      <c r="D1966" s="75">
        <v>92.326300000000003</v>
      </c>
      <c r="E1966" s="75">
        <v>92.631399999999999</v>
      </c>
      <c r="F1966">
        <v>-5028.54</v>
      </c>
      <c r="G1966">
        <v>140.1</v>
      </c>
      <c r="H1966">
        <v>979.6</v>
      </c>
      <c r="I1966">
        <v>749.19999999999993</v>
      </c>
      <c r="J1966">
        <v>-3159.64</v>
      </c>
    </row>
    <row r="1967" spans="1:10" x14ac:dyDescent="0.35">
      <c r="A1967">
        <v>1951</v>
      </c>
      <c r="B1967" s="75">
        <v>90.54</v>
      </c>
      <c r="C1967" s="75">
        <v>98.86</v>
      </c>
      <c r="D1967" s="75">
        <v>91.87</v>
      </c>
      <c r="E1967" s="75">
        <v>93.09</v>
      </c>
      <c r="F1967">
        <v>-3244.89</v>
      </c>
      <c r="G1967">
        <v>-971.7</v>
      </c>
      <c r="H1967">
        <v>1892.6000000000001</v>
      </c>
      <c r="I1967">
        <v>292.2</v>
      </c>
      <c r="J1967">
        <v>-2031.7899999999997</v>
      </c>
    </row>
    <row r="1968" spans="1:10" x14ac:dyDescent="0.35">
      <c r="A1968">
        <v>1952</v>
      </c>
      <c r="B1968" s="75">
        <v>89.969399999999993</v>
      </c>
      <c r="C1968" s="75">
        <v>99.165999999999997</v>
      </c>
      <c r="D1968" s="75">
        <v>93.465800000000002</v>
      </c>
      <c r="E1968" s="75">
        <v>91.787000000000006</v>
      </c>
      <c r="F1968">
        <v>-1372.14</v>
      </c>
      <c r="G1968">
        <v>-1434.1499999999999</v>
      </c>
      <c r="H1968">
        <v>-1299.4000000000001</v>
      </c>
      <c r="I1968">
        <v>1593.6</v>
      </c>
      <c r="J1968">
        <v>-2512.0900000000006</v>
      </c>
    </row>
    <row r="1969" spans="1:10" x14ac:dyDescent="0.35">
      <c r="A1969">
        <v>1953</v>
      </c>
      <c r="B1969" s="75">
        <v>90.28</v>
      </c>
      <c r="C1969" s="75">
        <v>98.67</v>
      </c>
      <c r="D1969" s="75">
        <v>93.59</v>
      </c>
      <c r="E1969" s="75">
        <v>98</v>
      </c>
      <c r="F1969">
        <v>-2397.1200000000003</v>
      </c>
      <c r="G1969">
        <v>-691.19999999999993</v>
      </c>
      <c r="H1969">
        <v>-1538</v>
      </c>
      <c r="I1969">
        <v>-4621.2</v>
      </c>
      <c r="J1969">
        <v>-9247.52</v>
      </c>
    </row>
    <row r="1970" spans="1:10" x14ac:dyDescent="0.35">
      <c r="A1970">
        <v>1954</v>
      </c>
      <c r="B1970" s="75">
        <v>89.706100000000006</v>
      </c>
      <c r="C1970" s="75">
        <v>99.561999999999998</v>
      </c>
      <c r="D1970" s="75">
        <v>91.967200000000005</v>
      </c>
      <c r="E1970" s="75">
        <v>91.519599999999997</v>
      </c>
      <c r="F1970">
        <v>-503.25</v>
      </c>
      <c r="G1970">
        <v>-2028.15</v>
      </c>
      <c r="H1970">
        <v>1697.8</v>
      </c>
      <c r="I1970">
        <v>1861</v>
      </c>
      <c r="J1970">
        <v>1027.3999999999999</v>
      </c>
    </row>
    <row r="1971" spans="1:10" x14ac:dyDescent="0.35">
      <c r="A1971">
        <v>1955</v>
      </c>
      <c r="B1971" s="75">
        <v>89.98</v>
      </c>
      <c r="C1971" s="75">
        <v>98.73</v>
      </c>
      <c r="D1971" s="75">
        <v>93.12</v>
      </c>
      <c r="E1971" s="75">
        <v>94.01</v>
      </c>
      <c r="F1971">
        <v>-1411.74</v>
      </c>
      <c r="G1971">
        <v>-778.35</v>
      </c>
      <c r="H1971">
        <v>-608.79999999999995</v>
      </c>
      <c r="I1971">
        <v>-631.5</v>
      </c>
      <c r="J1971">
        <v>-3430.3900000000003</v>
      </c>
    </row>
    <row r="1972" spans="1:10" x14ac:dyDescent="0.35">
      <c r="A1972">
        <v>1956</v>
      </c>
      <c r="B1972" s="75">
        <v>89.037199999999999</v>
      </c>
      <c r="C1972" s="75">
        <v>98.878799999999998</v>
      </c>
      <c r="D1972" s="75">
        <v>92.918499999999995</v>
      </c>
      <c r="E1972" s="75">
        <v>93.570499999999996</v>
      </c>
      <c r="F1972">
        <v>1704.12</v>
      </c>
      <c r="G1972">
        <v>-1003.35</v>
      </c>
      <c r="H1972">
        <v>-204.8</v>
      </c>
      <c r="I1972">
        <v>-189.9</v>
      </c>
      <c r="J1972">
        <v>306.06999999999982</v>
      </c>
    </row>
    <row r="1973" spans="1:10" x14ac:dyDescent="0.35">
      <c r="A1973">
        <v>1957</v>
      </c>
      <c r="B1973" s="75">
        <v>90.16</v>
      </c>
      <c r="C1973" s="75">
        <v>98.93</v>
      </c>
      <c r="D1973" s="75">
        <v>94.42</v>
      </c>
      <c r="E1973" s="75">
        <v>90.38</v>
      </c>
      <c r="F1973">
        <v>-1996.5</v>
      </c>
      <c r="G1973">
        <v>-1083.1499999999999</v>
      </c>
      <c r="H1973">
        <v>-3211</v>
      </c>
      <c r="I1973">
        <v>2996.1000000000004</v>
      </c>
      <c r="J1973">
        <v>-3294.5499999999993</v>
      </c>
    </row>
    <row r="1974" spans="1:10" x14ac:dyDescent="0.35">
      <c r="A1974">
        <v>1958</v>
      </c>
      <c r="B1974" s="75">
        <v>89.266800000000003</v>
      </c>
      <c r="C1974" s="75">
        <v>98.531199999999998</v>
      </c>
      <c r="D1974" s="75">
        <v>92.506699999999995</v>
      </c>
      <c r="E1974" s="75">
        <v>92.419300000000007</v>
      </c>
      <c r="F1974">
        <v>946.44</v>
      </c>
      <c r="G1974">
        <v>-481.95</v>
      </c>
      <c r="H1974">
        <v>618.80000000000007</v>
      </c>
      <c r="I1974">
        <v>961.30000000000007</v>
      </c>
      <c r="J1974">
        <v>2044.5900000000001</v>
      </c>
    </row>
    <row r="1975" spans="1:10" x14ac:dyDescent="0.35">
      <c r="A1975">
        <v>1959</v>
      </c>
      <c r="B1975" s="75">
        <v>89.71</v>
      </c>
      <c r="C1975" s="75">
        <v>96.33</v>
      </c>
      <c r="D1975" s="75">
        <v>92.43</v>
      </c>
      <c r="E1975" s="75">
        <v>94.64</v>
      </c>
      <c r="F1975">
        <v>-531.96</v>
      </c>
      <c r="G1975">
        <v>2814.9</v>
      </c>
      <c r="H1975">
        <v>775.4</v>
      </c>
      <c r="I1975">
        <v>-1260.5999999999999</v>
      </c>
      <c r="J1975">
        <v>1797.7400000000002</v>
      </c>
    </row>
    <row r="1976" spans="1:10" x14ac:dyDescent="0.35">
      <c r="A1976">
        <v>1960</v>
      </c>
      <c r="B1976" s="75">
        <v>89.792699999999996</v>
      </c>
      <c r="C1976" s="75">
        <v>99.095299999999995</v>
      </c>
      <c r="D1976" s="75">
        <v>93.7821</v>
      </c>
      <c r="E1976" s="75">
        <v>95.353099999999998</v>
      </c>
      <c r="F1976">
        <v>-789.03</v>
      </c>
      <c r="G1976">
        <v>-1328.1</v>
      </c>
      <c r="H1976">
        <v>-1932</v>
      </c>
      <c r="I1976">
        <v>-1972.5</v>
      </c>
      <c r="J1976">
        <v>-6021.63</v>
      </c>
    </row>
    <row r="1977" spans="1:10" x14ac:dyDescent="0.35">
      <c r="A1977">
        <v>1961</v>
      </c>
      <c r="B1977" s="75">
        <v>88.95</v>
      </c>
      <c r="C1977" s="75">
        <v>98.24</v>
      </c>
      <c r="D1977" s="75">
        <v>92.31</v>
      </c>
      <c r="E1977" s="75">
        <v>94.64</v>
      </c>
      <c r="F1977">
        <v>1994.5200000000002</v>
      </c>
      <c r="G1977">
        <v>-49.95</v>
      </c>
      <c r="H1977">
        <v>1004.4</v>
      </c>
      <c r="I1977">
        <v>-1263.6000000000001</v>
      </c>
      <c r="J1977">
        <v>1685.3700000000001</v>
      </c>
    </row>
    <row r="1978" spans="1:10" x14ac:dyDescent="0.35">
      <c r="A1978">
        <v>1962</v>
      </c>
      <c r="B1978" s="75">
        <v>89.787000000000006</v>
      </c>
      <c r="C1978" s="75">
        <v>97.824200000000005</v>
      </c>
      <c r="D1978" s="75">
        <v>92.522000000000006</v>
      </c>
      <c r="E1978" s="75">
        <v>93.627499999999998</v>
      </c>
      <c r="F1978">
        <v>-770.22</v>
      </c>
      <c r="G1978">
        <v>578.54999999999995</v>
      </c>
      <c r="H1978">
        <v>588.19999999999993</v>
      </c>
      <c r="I1978">
        <v>-246.9</v>
      </c>
      <c r="J1978">
        <v>149.62999999999985</v>
      </c>
    </row>
    <row r="1979" spans="1:10" x14ac:dyDescent="0.35">
      <c r="A1979">
        <v>1963</v>
      </c>
      <c r="B1979" s="75">
        <v>89.67</v>
      </c>
      <c r="C1979" s="75">
        <v>97.97</v>
      </c>
      <c r="D1979" s="75">
        <v>92.8</v>
      </c>
      <c r="E1979" s="75">
        <v>92.98</v>
      </c>
      <c r="F1979">
        <v>-367.62</v>
      </c>
      <c r="G1979">
        <v>362.40000000000003</v>
      </c>
      <c r="H1979">
        <v>35.799999999999997</v>
      </c>
      <c r="I1979">
        <v>400.9</v>
      </c>
      <c r="J1979">
        <v>431.48</v>
      </c>
    </row>
    <row r="1980" spans="1:10" x14ac:dyDescent="0.35">
      <c r="A1980">
        <v>1964</v>
      </c>
      <c r="B1980" s="75">
        <v>90.633799999999994</v>
      </c>
      <c r="C1980" s="75">
        <v>98.842600000000004</v>
      </c>
      <c r="D1980" s="75">
        <v>91.924499999999995</v>
      </c>
      <c r="E1980" s="75">
        <v>90.876400000000004</v>
      </c>
      <c r="F1980">
        <v>-3564.6600000000003</v>
      </c>
      <c r="G1980">
        <v>-949.05000000000007</v>
      </c>
      <c r="H1980">
        <v>1783.1999999999998</v>
      </c>
      <c r="I1980">
        <v>2504.1999999999998</v>
      </c>
      <c r="J1980">
        <v>-226.3100000000004</v>
      </c>
    </row>
    <row r="1981" spans="1:10" x14ac:dyDescent="0.35">
      <c r="A1981">
        <v>1965</v>
      </c>
      <c r="B1981" s="75">
        <v>89.1</v>
      </c>
      <c r="C1981" s="75">
        <v>97.36</v>
      </c>
      <c r="D1981" s="75">
        <v>92.33</v>
      </c>
      <c r="E1981" s="75">
        <v>92.88</v>
      </c>
      <c r="F1981">
        <v>1499.52</v>
      </c>
      <c r="G1981">
        <v>1274.7</v>
      </c>
      <c r="H1981">
        <v>971</v>
      </c>
      <c r="I1981">
        <v>497.8</v>
      </c>
      <c r="J1981">
        <v>4243.0200000000004</v>
      </c>
    </row>
    <row r="1982" spans="1:10" x14ac:dyDescent="0.35">
      <c r="A1982">
        <v>1966</v>
      </c>
      <c r="B1982" s="75">
        <v>90.365399999999994</v>
      </c>
      <c r="C1982" s="75">
        <v>97.6083</v>
      </c>
      <c r="D1982" s="75">
        <v>94.456900000000005</v>
      </c>
      <c r="E1982" s="75">
        <v>91.622299999999996</v>
      </c>
      <c r="F1982">
        <v>-2678.94</v>
      </c>
      <c r="G1982">
        <v>902.40000000000009</v>
      </c>
      <c r="H1982">
        <v>-3281.6</v>
      </c>
      <c r="I1982">
        <v>1758.3</v>
      </c>
      <c r="J1982">
        <v>-3299.8399999999992</v>
      </c>
    </row>
    <row r="1983" spans="1:10" x14ac:dyDescent="0.35">
      <c r="A1983">
        <v>1967</v>
      </c>
      <c r="B1983" s="75">
        <v>90.88</v>
      </c>
      <c r="C1983" s="75">
        <v>97.88</v>
      </c>
      <c r="D1983" s="75">
        <v>94.26</v>
      </c>
      <c r="E1983" s="75">
        <v>92.14</v>
      </c>
      <c r="F1983">
        <v>-4360.95</v>
      </c>
      <c r="G1983">
        <v>499.5</v>
      </c>
      <c r="H1983">
        <v>-2882.8</v>
      </c>
      <c r="I1983">
        <v>1241.1000000000001</v>
      </c>
      <c r="J1983">
        <v>-5503.15</v>
      </c>
    </row>
    <row r="1984" spans="1:10" x14ac:dyDescent="0.35">
      <c r="A1984">
        <v>1968</v>
      </c>
      <c r="B1984" s="75">
        <v>89.904799999999994</v>
      </c>
      <c r="C1984" s="75">
        <v>97.8232</v>
      </c>
      <c r="D1984" s="75">
        <v>92.905900000000003</v>
      </c>
      <c r="E1984" s="75">
        <v>94.014099999999999</v>
      </c>
      <c r="F1984">
        <v>-1158.96</v>
      </c>
      <c r="G1984">
        <v>580.04999999999995</v>
      </c>
      <c r="H1984">
        <v>-179.60000000000002</v>
      </c>
      <c r="I1984">
        <v>-633.5</v>
      </c>
      <c r="J1984">
        <v>-1392.0100000000002</v>
      </c>
    </row>
    <row r="1985" spans="1:10" x14ac:dyDescent="0.35">
      <c r="A1985">
        <v>1969</v>
      </c>
      <c r="B1985" s="75">
        <v>90.02</v>
      </c>
      <c r="C1985" s="75">
        <v>97.47</v>
      </c>
      <c r="D1985" s="75">
        <v>91.95</v>
      </c>
      <c r="E1985" s="75">
        <v>92.64</v>
      </c>
      <c r="F1985">
        <v>-1529.88</v>
      </c>
      <c r="G1985">
        <v>1103.8499999999999</v>
      </c>
      <c r="H1985">
        <v>1728</v>
      </c>
      <c r="I1985">
        <v>741.6</v>
      </c>
      <c r="J1985">
        <v>2043.5699999999997</v>
      </c>
    </row>
    <row r="1986" spans="1:10" x14ac:dyDescent="0.35">
      <c r="A1986">
        <v>1970</v>
      </c>
      <c r="B1986" s="75">
        <v>89.113200000000006</v>
      </c>
      <c r="C1986" s="75">
        <v>97.651700000000005</v>
      </c>
      <c r="D1986" s="75">
        <v>94.975700000000003</v>
      </c>
      <c r="E1986" s="75">
        <v>92.828500000000005</v>
      </c>
      <c r="F1986">
        <v>1453.32</v>
      </c>
      <c r="G1986">
        <v>837.30000000000007</v>
      </c>
      <c r="H1986">
        <v>-4319.2000000000007</v>
      </c>
      <c r="I1986">
        <v>552.1</v>
      </c>
      <c r="J1986">
        <v>-1476.4800000000009</v>
      </c>
    </row>
    <row r="1987" spans="1:10" x14ac:dyDescent="0.35">
      <c r="A1987">
        <v>1971</v>
      </c>
      <c r="B1987" s="75">
        <v>89.63</v>
      </c>
      <c r="C1987" s="75">
        <v>97.91</v>
      </c>
      <c r="D1987" s="75">
        <v>92.07</v>
      </c>
      <c r="E1987" s="75">
        <v>94.8</v>
      </c>
      <c r="F1987">
        <v>-252.11999999999998</v>
      </c>
      <c r="G1987">
        <v>449.85</v>
      </c>
      <c r="H1987">
        <v>1497.2</v>
      </c>
      <c r="I1987">
        <v>-1421.2</v>
      </c>
      <c r="J1987">
        <v>273.73</v>
      </c>
    </row>
    <row r="1988" spans="1:10" x14ac:dyDescent="0.35">
      <c r="A1988">
        <v>1972</v>
      </c>
      <c r="B1988" s="75">
        <v>89.288899999999998</v>
      </c>
      <c r="C1988" s="75">
        <v>96.989199999999997</v>
      </c>
      <c r="D1988" s="75">
        <v>91.539900000000003</v>
      </c>
      <c r="E1988" s="75">
        <v>94.340999999999994</v>
      </c>
      <c r="F1988">
        <v>873.51</v>
      </c>
      <c r="G1988">
        <v>1831.05</v>
      </c>
      <c r="H1988">
        <v>2552.4</v>
      </c>
      <c r="I1988">
        <v>-960.4</v>
      </c>
      <c r="J1988">
        <v>4296.5600000000004</v>
      </c>
    </row>
    <row r="1989" spans="1:10" x14ac:dyDescent="0.35">
      <c r="A1989">
        <v>1973</v>
      </c>
      <c r="B1989" s="75">
        <v>88.57</v>
      </c>
      <c r="C1989" s="75">
        <v>97.45</v>
      </c>
      <c r="D1989" s="75">
        <v>94.24</v>
      </c>
      <c r="E1989" s="75">
        <v>92.69</v>
      </c>
      <c r="F1989">
        <v>3229.71</v>
      </c>
      <c r="G1989">
        <v>1144.05</v>
      </c>
      <c r="H1989">
        <v>-2850.6</v>
      </c>
      <c r="I1989">
        <v>689.8</v>
      </c>
      <c r="J1989">
        <v>2212.96</v>
      </c>
    </row>
    <row r="1990" spans="1:10" x14ac:dyDescent="0.35">
      <c r="A1990">
        <v>1974</v>
      </c>
      <c r="B1990" s="75">
        <v>89.3459</v>
      </c>
      <c r="C1990" s="75">
        <v>98.370400000000004</v>
      </c>
      <c r="D1990" s="75">
        <v>94.291700000000006</v>
      </c>
      <c r="E1990" s="75">
        <v>93.118399999999994</v>
      </c>
      <c r="F1990">
        <v>685.41</v>
      </c>
      <c r="G1990">
        <v>-240.75</v>
      </c>
      <c r="H1990">
        <v>-2951.2</v>
      </c>
      <c r="I1990">
        <v>262.2</v>
      </c>
      <c r="J1990">
        <v>-2244.34</v>
      </c>
    </row>
    <row r="1991" spans="1:10" x14ac:dyDescent="0.35">
      <c r="A1991">
        <v>1975</v>
      </c>
      <c r="B1991" s="75">
        <v>88.9</v>
      </c>
      <c r="C1991" s="75">
        <v>97.6</v>
      </c>
      <c r="D1991" s="75">
        <v>93</v>
      </c>
      <c r="E1991" s="75">
        <v>94.54</v>
      </c>
      <c r="F1991">
        <v>2167.1099999999997</v>
      </c>
      <c r="G1991">
        <v>907.8</v>
      </c>
      <c r="H1991">
        <v>-370.8</v>
      </c>
      <c r="I1991">
        <v>-1160</v>
      </c>
      <c r="J1991">
        <v>1544.1099999999997</v>
      </c>
    </row>
    <row r="1992" spans="1:10" x14ac:dyDescent="0.35">
      <c r="A1992">
        <v>1976</v>
      </c>
      <c r="B1992" s="75">
        <v>88.571700000000007</v>
      </c>
      <c r="C1992" s="75">
        <v>96.889099999999999</v>
      </c>
      <c r="D1992" s="75">
        <v>92.655299999999997</v>
      </c>
      <c r="E1992" s="75">
        <v>92.123400000000004</v>
      </c>
      <c r="F1992">
        <v>3240.27</v>
      </c>
      <c r="G1992">
        <v>1981.2</v>
      </c>
      <c r="H1992">
        <v>321.60000000000002</v>
      </c>
      <c r="I1992">
        <v>1257.2</v>
      </c>
      <c r="J1992">
        <v>6800.27</v>
      </c>
    </row>
    <row r="1993" spans="1:10" x14ac:dyDescent="0.35">
      <c r="A1993">
        <v>1977</v>
      </c>
      <c r="B1993" s="75">
        <v>90.7</v>
      </c>
      <c r="C1993" s="75">
        <v>98.48</v>
      </c>
      <c r="D1993" s="75">
        <v>92.19</v>
      </c>
      <c r="E1993" s="75">
        <v>92.61</v>
      </c>
      <c r="F1993">
        <v>-3777.1800000000003</v>
      </c>
      <c r="G1993">
        <v>-411.45</v>
      </c>
      <c r="H1993">
        <v>1260</v>
      </c>
      <c r="I1993">
        <v>770.59999999999991</v>
      </c>
      <c r="J1993">
        <v>-2158.0300000000002</v>
      </c>
    </row>
    <row r="1994" spans="1:10" x14ac:dyDescent="0.35">
      <c r="A1994">
        <v>1978</v>
      </c>
      <c r="B1994" s="75">
        <v>89.481899999999996</v>
      </c>
      <c r="C1994" s="75">
        <v>98.413799999999995</v>
      </c>
      <c r="D1994" s="75">
        <v>93.284000000000006</v>
      </c>
      <c r="E1994" s="75">
        <v>92.572999999999993</v>
      </c>
      <c r="F1994">
        <v>236.61</v>
      </c>
      <c r="G1994">
        <v>-305.85000000000002</v>
      </c>
      <c r="H1994">
        <v>-935.8</v>
      </c>
      <c r="I1994">
        <v>807.6</v>
      </c>
      <c r="J1994">
        <v>-197.43999999999994</v>
      </c>
    </row>
    <row r="1995" spans="1:10" x14ac:dyDescent="0.35">
      <c r="A1995">
        <v>1979</v>
      </c>
      <c r="B1995" s="75">
        <v>89.84</v>
      </c>
      <c r="C1995" s="75">
        <v>98.54</v>
      </c>
      <c r="D1995" s="75">
        <v>93.15</v>
      </c>
      <c r="E1995" s="75">
        <v>93.64</v>
      </c>
      <c r="F1995">
        <v>-942.48</v>
      </c>
      <c r="G1995">
        <v>-495.3</v>
      </c>
      <c r="H1995">
        <v>-669.6</v>
      </c>
      <c r="I1995">
        <v>-261.2</v>
      </c>
      <c r="J1995">
        <v>-2368.58</v>
      </c>
    </row>
    <row r="1996" spans="1:10" x14ac:dyDescent="0.35">
      <c r="A1996">
        <v>1980</v>
      </c>
      <c r="B1996" s="75">
        <v>89.505600000000001</v>
      </c>
      <c r="C1996" s="75">
        <v>98.266300000000001</v>
      </c>
      <c r="D1996" s="75">
        <v>94.390699999999995</v>
      </c>
      <c r="E1996" s="75">
        <v>91.621799999999993</v>
      </c>
      <c r="F1996">
        <v>158.4</v>
      </c>
      <c r="G1996">
        <v>-84.6</v>
      </c>
      <c r="H1996">
        <v>-3149.2</v>
      </c>
      <c r="I1996">
        <v>1758.8</v>
      </c>
      <c r="J1996">
        <v>-1316.5999999999997</v>
      </c>
    </row>
    <row r="1997" spans="1:10" x14ac:dyDescent="0.35">
      <c r="A1997">
        <v>1981</v>
      </c>
      <c r="B1997" s="75">
        <v>90.41</v>
      </c>
      <c r="C1997" s="75">
        <v>98.88</v>
      </c>
      <c r="D1997" s="75">
        <v>93.73</v>
      </c>
      <c r="E1997" s="75">
        <v>93.21</v>
      </c>
      <c r="F1997">
        <v>-2820.84</v>
      </c>
      <c r="G1997">
        <v>-1003.1999999999999</v>
      </c>
      <c r="H1997">
        <v>-1829.3999999999999</v>
      </c>
      <c r="I1997">
        <v>166.2</v>
      </c>
      <c r="J1997">
        <v>-5487.24</v>
      </c>
    </row>
    <row r="1998" spans="1:10" x14ac:dyDescent="0.35">
      <c r="A1998">
        <v>1982</v>
      </c>
      <c r="B1998" s="75">
        <v>90.063999999999993</v>
      </c>
      <c r="C1998" s="75">
        <v>98.731899999999996</v>
      </c>
      <c r="D1998" s="75">
        <v>94.416300000000007</v>
      </c>
      <c r="E1998" s="75">
        <v>92.865399999999994</v>
      </c>
      <c r="F1998">
        <v>-1684.32</v>
      </c>
      <c r="G1998">
        <v>-783</v>
      </c>
      <c r="H1998">
        <v>-3200.4</v>
      </c>
      <c r="I1998">
        <v>515.20000000000005</v>
      </c>
      <c r="J1998">
        <v>-5152.5199999999995</v>
      </c>
    </row>
    <row r="1999" spans="1:10" x14ac:dyDescent="0.35">
      <c r="A1999">
        <v>1983</v>
      </c>
      <c r="B1999" s="75">
        <v>89.75</v>
      </c>
      <c r="C1999" s="75">
        <v>98.58</v>
      </c>
      <c r="D1999" s="75">
        <v>91.99</v>
      </c>
      <c r="E1999" s="75">
        <v>92.53</v>
      </c>
      <c r="F1999">
        <v>-656.04</v>
      </c>
      <c r="G1999">
        <v>-553.35</v>
      </c>
      <c r="H1999">
        <v>1643.2</v>
      </c>
      <c r="I1999">
        <v>848.8</v>
      </c>
      <c r="J1999">
        <v>1282.6100000000001</v>
      </c>
    </row>
    <row r="2000" spans="1:10" x14ac:dyDescent="0.35">
      <c r="A2000">
        <v>1984</v>
      </c>
      <c r="B2000" s="75">
        <v>89.965800000000002</v>
      </c>
      <c r="C2000" s="75">
        <v>99.074399999999997</v>
      </c>
      <c r="D2000" s="75">
        <v>93.593699999999998</v>
      </c>
      <c r="E2000" s="75">
        <v>93.543700000000001</v>
      </c>
      <c r="F2000">
        <v>-1360.26</v>
      </c>
      <c r="G2000">
        <v>-1296.75</v>
      </c>
      <c r="H2000">
        <v>-1555.1999999999998</v>
      </c>
      <c r="I2000">
        <v>-163.1</v>
      </c>
      <c r="J2000">
        <v>-4375.3100000000004</v>
      </c>
    </row>
    <row r="2001" spans="1:10" x14ac:dyDescent="0.35">
      <c r="A2001">
        <v>1985</v>
      </c>
      <c r="B2001" s="75">
        <v>89.1</v>
      </c>
      <c r="C2001" s="75">
        <v>98.57</v>
      </c>
      <c r="D2001" s="75">
        <v>93.84</v>
      </c>
      <c r="E2001" s="75">
        <v>93.07</v>
      </c>
      <c r="F2001">
        <v>1513.05</v>
      </c>
      <c r="G2001">
        <v>-535.65</v>
      </c>
      <c r="H2001">
        <v>-2047.0000000000002</v>
      </c>
      <c r="I2001">
        <v>313.2</v>
      </c>
      <c r="J2001">
        <v>-756.40000000000032</v>
      </c>
    </row>
    <row r="2002" spans="1:10" x14ac:dyDescent="0.35">
      <c r="A2002">
        <v>1986</v>
      </c>
      <c r="B2002" s="75">
        <v>90.184700000000007</v>
      </c>
      <c r="C2002" s="75">
        <v>97.789100000000005</v>
      </c>
      <c r="D2002" s="75">
        <v>93.514399999999995</v>
      </c>
      <c r="E2002" s="75">
        <v>93.748099999999994</v>
      </c>
      <c r="F2002">
        <v>-2082.63</v>
      </c>
      <c r="G2002">
        <v>631.20000000000005</v>
      </c>
      <c r="H2002">
        <v>-1396.6000000000001</v>
      </c>
      <c r="I2002">
        <v>-367.5</v>
      </c>
      <c r="J2002">
        <v>-3215.53</v>
      </c>
    </row>
    <row r="2003" spans="1:10" x14ac:dyDescent="0.35">
      <c r="A2003">
        <v>1987</v>
      </c>
      <c r="B2003" s="75">
        <v>89.45</v>
      </c>
      <c r="C2003" s="75">
        <v>99.23</v>
      </c>
      <c r="D2003" s="75">
        <v>92.67</v>
      </c>
      <c r="E2003" s="75">
        <v>92.88</v>
      </c>
      <c r="F2003">
        <v>333.96</v>
      </c>
      <c r="G2003">
        <v>-1525.95</v>
      </c>
      <c r="H2003">
        <v>283.39999999999998</v>
      </c>
      <c r="I2003">
        <v>498.59999999999997</v>
      </c>
      <c r="J2003">
        <v>-409.99000000000007</v>
      </c>
    </row>
    <row r="2004" spans="1:10" x14ac:dyDescent="0.35">
      <c r="A2004">
        <v>1988</v>
      </c>
      <c r="B2004" s="75">
        <v>88.499799999999993</v>
      </c>
      <c r="C2004" s="75">
        <v>97.231399999999994</v>
      </c>
      <c r="D2004" s="75">
        <v>93.979100000000003</v>
      </c>
      <c r="E2004" s="75">
        <v>94.631200000000007</v>
      </c>
      <c r="F2004">
        <v>3477.5400000000004</v>
      </c>
      <c r="G2004">
        <v>1467.75</v>
      </c>
      <c r="H2004">
        <v>-2326</v>
      </c>
      <c r="I2004">
        <v>-1250.5999999999999</v>
      </c>
      <c r="J2004">
        <v>1368.690000000001</v>
      </c>
    </row>
    <row r="2005" spans="1:10" x14ac:dyDescent="0.35">
      <c r="A2005">
        <v>1989</v>
      </c>
      <c r="B2005" s="75">
        <v>89.58</v>
      </c>
      <c r="C2005" s="75">
        <v>96.34</v>
      </c>
      <c r="D2005" s="75">
        <v>93</v>
      </c>
      <c r="E2005" s="75">
        <v>93.76</v>
      </c>
      <c r="F2005">
        <v>-90.09</v>
      </c>
      <c r="G2005">
        <v>2805.75</v>
      </c>
      <c r="H2005">
        <v>-366.4</v>
      </c>
      <c r="I2005">
        <v>-381.2</v>
      </c>
      <c r="J2005">
        <v>1968.0599999999997</v>
      </c>
    </row>
    <row r="2006" spans="1:10" x14ac:dyDescent="0.35">
      <c r="A2006">
        <v>1990</v>
      </c>
      <c r="B2006" s="75">
        <v>89.580100000000002</v>
      </c>
      <c r="C2006" s="75">
        <v>98.883899999999997</v>
      </c>
      <c r="D2006" s="75">
        <v>94.297499999999999</v>
      </c>
      <c r="E2006" s="75">
        <v>95.4756</v>
      </c>
      <c r="F2006">
        <v>-87.45</v>
      </c>
      <c r="G2006">
        <v>-1011.0000000000001</v>
      </c>
      <c r="H2006">
        <v>-2962.8</v>
      </c>
      <c r="I2006">
        <v>-2095</v>
      </c>
      <c r="J2006">
        <v>-6156.25</v>
      </c>
    </row>
    <row r="2007" spans="1:10" x14ac:dyDescent="0.35">
      <c r="A2007">
        <v>1991</v>
      </c>
      <c r="B2007" s="75">
        <v>89.08</v>
      </c>
      <c r="C2007" s="75">
        <v>99.24</v>
      </c>
      <c r="D2007" s="75">
        <v>94.5</v>
      </c>
      <c r="E2007" s="75">
        <v>91.9</v>
      </c>
      <c r="F2007">
        <v>1551.99</v>
      </c>
      <c r="G2007">
        <v>-1542.15</v>
      </c>
      <c r="H2007">
        <v>-3361.6000000000004</v>
      </c>
      <c r="I2007">
        <v>1476</v>
      </c>
      <c r="J2007">
        <v>-1875.7600000000002</v>
      </c>
    </row>
    <row r="2008" spans="1:10" x14ac:dyDescent="0.35">
      <c r="A2008">
        <v>1992</v>
      </c>
      <c r="B2008" s="75">
        <v>89.572900000000004</v>
      </c>
      <c r="C2008" s="75">
        <v>98.280100000000004</v>
      </c>
      <c r="D2008" s="75">
        <v>92.434299999999993</v>
      </c>
      <c r="E2008" s="75">
        <v>93.213899999999995</v>
      </c>
      <c r="F2008">
        <v>-63.690000000000005</v>
      </c>
      <c r="G2008">
        <v>-105.3</v>
      </c>
      <c r="H2008">
        <v>763.59999999999991</v>
      </c>
      <c r="I2008">
        <v>166.7</v>
      </c>
      <c r="J2008">
        <v>761.31</v>
      </c>
    </row>
    <row r="2009" spans="1:10" x14ac:dyDescent="0.35">
      <c r="A2009">
        <v>1993</v>
      </c>
      <c r="B2009" s="75">
        <v>90.91</v>
      </c>
      <c r="C2009" s="75">
        <v>97.73</v>
      </c>
      <c r="D2009" s="75">
        <v>94.44</v>
      </c>
      <c r="E2009" s="75">
        <v>96.26</v>
      </c>
      <c r="F2009">
        <v>-4487.0099999999993</v>
      </c>
      <c r="G2009">
        <v>713.7</v>
      </c>
      <c r="H2009">
        <v>-3240.6000000000004</v>
      </c>
      <c r="I2009">
        <v>-2883.3</v>
      </c>
      <c r="J2009">
        <v>-9897.2099999999991</v>
      </c>
    </row>
    <row r="2010" spans="1:10" x14ac:dyDescent="0.35">
      <c r="A2010">
        <v>1994</v>
      </c>
      <c r="B2010" s="75">
        <v>88.300700000000006</v>
      </c>
      <c r="C2010" s="75">
        <v>100.056</v>
      </c>
      <c r="D2010" s="75">
        <v>91.535200000000003</v>
      </c>
      <c r="E2010" s="75">
        <v>93.255700000000004</v>
      </c>
      <c r="F2010">
        <v>4134.57</v>
      </c>
      <c r="G2010">
        <v>-2769.15</v>
      </c>
      <c r="H2010">
        <v>2561.7999999999997</v>
      </c>
      <c r="I2010">
        <v>124.89999999999999</v>
      </c>
      <c r="J2010">
        <v>4052.1199999999994</v>
      </c>
    </row>
    <row r="2011" spans="1:10" x14ac:dyDescent="0.35">
      <c r="A2011">
        <v>1995</v>
      </c>
      <c r="B2011" s="75">
        <v>90.31</v>
      </c>
      <c r="C2011" s="75">
        <v>97.2</v>
      </c>
      <c r="D2011" s="75">
        <v>92.61</v>
      </c>
      <c r="E2011" s="75">
        <v>93.69</v>
      </c>
      <c r="F2011">
        <v>-2489.52</v>
      </c>
      <c r="G2011">
        <v>1516.95</v>
      </c>
      <c r="H2011">
        <v>415.8</v>
      </c>
      <c r="I2011">
        <v>-312.3</v>
      </c>
      <c r="J2011">
        <v>-869.06999999999994</v>
      </c>
    </row>
    <row r="2012" spans="1:10" x14ac:dyDescent="0.35">
      <c r="A2012">
        <v>1996</v>
      </c>
      <c r="B2012" s="75">
        <v>89.757900000000006</v>
      </c>
      <c r="C2012" s="75">
        <v>98.744399999999999</v>
      </c>
      <c r="D2012" s="75">
        <v>92.477699999999999</v>
      </c>
      <c r="E2012" s="75">
        <v>91.010300000000001</v>
      </c>
      <c r="F2012">
        <v>-674.19</v>
      </c>
      <c r="G2012">
        <v>-801.75</v>
      </c>
      <c r="H2012">
        <v>676.8</v>
      </c>
      <c r="I2012">
        <v>2370.2999999999997</v>
      </c>
      <c r="J2012">
        <v>1571.1599999999996</v>
      </c>
    </row>
    <row r="2013" spans="1:10" x14ac:dyDescent="0.35">
      <c r="A2013">
        <v>1997</v>
      </c>
      <c r="B2013" s="75">
        <v>88.95</v>
      </c>
      <c r="C2013" s="75">
        <v>98.03</v>
      </c>
      <c r="D2013" s="75">
        <v>92.67</v>
      </c>
      <c r="E2013" s="75">
        <v>92.7</v>
      </c>
      <c r="F2013">
        <v>1981.3200000000002</v>
      </c>
      <c r="G2013">
        <v>273.90000000000003</v>
      </c>
      <c r="H2013">
        <v>287.8</v>
      </c>
      <c r="I2013">
        <v>676.5</v>
      </c>
      <c r="J2013">
        <v>3219.5200000000004</v>
      </c>
    </row>
    <row r="2014" spans="1:10" x14ac:dyDescent="0.35">
      <c r="A2014">
        <v>1998</v>
      </c>
      <c r="B2014" s="75">
        <v>90.010999999999996</v>
      </c>
      <c r="C2014" s="75">
        <v>98.132999999999996</v>
      </c>
      <c r="D2014" s="75">
        <v>91.957700000000003</v>
      </c>
      <c r="E2014" s="75">
        <v>94.137699999999995</v>
      </c>
      <c r="F2014">
        <v>-1509.4199999999998</v>
      </c>
      <c r="G2014">
        <v>115.35</v>
      </c>
      <c r="H2014">
        <v>1716.8000000000002</v>
      </c>
      <c r="I2014">
        <v>-757.1</v>
      </c>
      <c r="J2014">
        <v>-434.36999999999978</v>
      </c>
    </row>
    <row r="2015" spans="1:10" x14ac:dyDescent="0.35">
      <c r="A2015">
        <v>1999</v>
      </c>
      <c r="B2015" s="75">
        <v>89.39</v>
      </c>
      <c r="C2015" s="75">
        <v>97.44</v>
      </c>
      <c r="D2015" s="75">
        <v>94.16</v>
      </c>
      <c r="E2015" s="75">
        <v>94.52</v>
      </c>
      <c r="F2015">
        <v>547.47</v>
      </c>
      <c r="G2015">
        <v>1151.3999999999999</v>
      </c>
      <c r="H2015">
        <v>-2696.8</v>
      </c>
      <c r="I2015">
        <v>-1141.8</v>
      </c>
      <c r="J2015">
        <v>-2139.7300000000005</v>
      </c>
    </row>
    <row r="2016" spans="1:10" x14ac:dyDescent="0.35">
      <c r="A2016">
        <v>2000</v>
      </c>
      <c r="B2016" s="75">
        <v>89.020200000000003</v>
      </c>
      <c r="C2016" s="75">
        <v>97.238799999999998</v>
      </c>
      <c r="D2016" s="75">
        <v>93.028400000000005</v>
      </c>
      <c r="E2016" s="75">
        <v>92.890299999999996</v>
      </c>
      <c r="F2016">
        <v>1760.22</v>
      </c>
      <c r="G2016">
        <v>1456.6499999999999</v>
      </c>
      <c r="H2016">
        <v>-424.59999999999997</v>
      </c>
      <c r="I2016">
        <v>490.3</v>
      </c>
      <c r="J2016">
        <v>3282.57</v>
      </c>
    </row>
    <row r="2017" spans="1:10" x14ac:dyDescent="0.35">
      <c r="A2017">
        <v>2001</v>
      </c>
      <c r="B2017" s="75">
        <v>89.65</v>
      </c>
      <c r="C2017" s="75">
        <v>98.26</v>
      </c>
      <c r="D2017" s="75">
        <v>93.45</v>
      </c>
      <c r="E2017" s="75">
        <v>95.55</v>
      </c>
      <c r="F2017">
        <v>-309.87</v>
      </c>
      <c r="G2017">
        <v>-76.650000000000006</v>
      </c>
      <c r="H2017">
        <v>-1264.8</v>
      </c>
      <c r="I2017">
        <v>-2164.8999999999996</v>
      </c>
      <c r="J2017">
        <v>-3816.2199999999993</v>
      </c>
    </row>
    <row r="2018" spans="1:10" x14ac:dyDescent="0.35">
      <c r="A2018">
        <v>2002</v>
      </c>
      <c r="B2018" s="75">
        <v>90.275199999999998</v>
      </c>
      <c r="C2018" s="75">
        <v>98.956900000000005</v>
      </c>
      <c r="D2018" s="75">
        <v>93.783600000000007</v>
      </c>
      <c r="E2018" s="75">
        <v>91.506100000000004</v>
      </c>
      <c r="F2018">
        <v>-2381.2800000000002</v>
      </c>
      <c r="G2018">
        <v>-1120.5</v>
      </c>
      <c r="H2018">
        <v>-1935</v>
      </c>
      <c r="I2018">
        <v>1874.5</v>
      </c>
      <c r="J2018">
        <v>-3562.2800000000007</v>
      </c>
    </row>
    <row r="2019" spans="1:10" x14ac:dyDescent="0.35">
      <c r="A2019">
        <v>2003</v>
      </c>
      <c r="B2019" s="75">
        <v>89.74</v>
      </c>
      <c r="C2019" s="75">
        <v>98.35</v>
      </c>
      <c r="D2019" s="75">
        <v>92.31</v>
      </c>
      <c r="E2019" s="75">
        <v>95</v>
      </c>
      <c r="F2019">
        <v>-616.11</v>
      </c>
      <c r="G2019">
        <v>-211.49999999999997</v>
      </c>
      <c r="H2019">
        <v>1012</v>
      </c>
      <c r="I2019">
        <v>-1620</v>
      </c>
      <c r="J2019">
        <v>-1435.6100000000001</v>
      </c>
    </row>
    <row r="2020" spans="1:10" x14ac:dyDescent="0.35">
      <c r="A2020">
        <v>2004</v>
      </c>
      <c r="B2020" s="75">
        <v>90.918999999999997</v>
      </c>
      <c r="C2020" s="75">
        <v>97.246899999999997</v>
      </c>
      <c r="D2020" s="75">
        <v>92.293199999999999</v>
      </c>
      <c r="E2020" s="75">
        <v>94.450400000000002</v>
      </c>
      <c r="F2020">
        <v>-4505.82</v>
      </c>
      <c r="G2020">
        <v>1444.5</v>
      </c>
      <c r="H2020">
        <v>1045.8</v>
      </c>
      <c r="I2020">
        <v>-1069.8000000000002</v>
      </c>
      <c r="J2020">
        <v>-3085.3199999999997</v>
      </c>
    </row>
    <row r="2021" spans="1:10" x14ac:dyDescent="0.35">
      <c r="A2021">
        <v>2005</v>
      </c>
      <c r="B2021" s="75">
        <v>89.51</v>
      </c>
      <c r="C2021" s="75">
        <v>98.85</v>
      </c>
      <c r="D2021" s="75">
        <v>93.61</v>
      </c>
      <c r="E2021" s="75">
        <v>94.82</v>
      </c>
      <c r="F2021">
        <v>127.71</v>
      </c>
      <c r="G2021">
        <v>-962.24999999999989</v>
      </c>
      <c r="H2021">
        <v>-1584.8</v>
      </c>
      <c r="I2021">
        <v>-1436.1999999999998</v>
      </c>
      <c r="J2021">
        <v>-3855.5399999999995</v>
      </c>
    </row>
    <row r="2022" spans="1:10" x14ac:dyDescent="0.35">
      <c r="A2022">
        <v>2006</v>
      </c>
      <c r="B2022" s="75">
        <v>89.0505</v>
      </c>
      <c r="C2022" s="75">
        <v>98.906099999999995</v>
      </c>
      <c r="D2022" s="75">
        <v>93.234999999999999</v>
      </c>
      <c r="E2022" s="75">
        <v>92.920900000000003</v>
      </c>
      <c r="F2022">
        <v>1660.23</v>
      </c>
      <c r="G2022">
        <v>-1044.3</v>
      </c>
      <c r="H2022">
        <v>-837.8</v>
      </c>
      <c r="I2022">
        <v>459.7</v>
      </c>
      <c r="J2022">
        <v>237.8300000000001</v>
      </c>
    </row>
    <row r="2023" spans="1:10" x14ac:dyDescent="0.35">
      <c r="A2023">
        <v>2007</v>
      </c>
      <c r="B2023" s="75">
        <v>89.44</v>
      </c>
      <c r="C2023" s="75">
        <v>98.82</v>
      </c>
      <c r="D2023" s="75">
        <v>93.01</v>
      </c>
      <c r="E2023" s="75">
        <v>94.63</v>
      </c>
      <c r="F2023">
        <v>361.02</v>
      </c>
      <c r="G2023">
        <v>-916.94999999999993</v>
      </c>
      <c r="H2023">
        <v>-394.6</v>
      </c>
      <c r="I2023">
        <v>-1247.8</v>
      </c>
      <c r="J2023">
        <v>-2198.33</v>
      </c>
    </row>
    <row r="2024" spans="1:10" x14ac:dyDescent="0.35">
      <c r="A2024">
        <v>2008</v>
      </c>
      <c r="B2024" s="75">
        <v>89.560900000000004</v>
      </c>
      <c r="C2024" s="75">
        <v>97.477099999999993</v>
      </c>
      <c r="D2024" s="75">
        <v>91.060199999999995</v>
      </c>
      <c r="E2024" s="75">
        <v>91.374200000000002</v>
      </c>
      <c r="F2024">
        <v>-24.09</v>
      </c>
      <c r="G2024">
        <v>1099.2</v>
      </c>
      <c r="H2024">
        <v>3511.8</v>
      </c>
      <c r="I2024">
        <v>2006.4</v>
      </c>
      <c r="J2024">
        <v>6593.3099999999995</v>
      </c>
    </row>
    <row r="2025" spans="1:10" x14ac:dyDescent="0.35">
      <c r="A2025">
        <v>2009</v>
      </c>
      <c r="B2025" s="75">
        <v>89.16</v>
      </c>
      <c r="C2025" s="75">
        <v>98.26</v>
      </c>
      <c r="D2025" s="75">
        <v>92.36</v>
      </c>
      <c r="E2025" s="75">
        <v>91.16</v>
      </c>
      <c r="F2025">
        <v>1301.19</v>
      </c>
      <c r="G2025">
        <v>-73.349999999999994</v>
      </c>
      <c r="H2025">
        <v>914.8</v>
      </c>
      <c r="I2025">
        <v>2219.9</v>
      </c>
      <c r="J2025">
        <v>4362.5400000000009</v>
      </c>
    </row>
    <row r="2026" spans="1:10" x14ac:dyDescent="0.35">
      <c r="A2026">
        <v>2010</v>
      </c>
      <c r="B2026" s="75">
        <v>89.650499999999994</v>
      </c>
      <c r="C2026" s="75">
        <v>98.286500000000004</v>
      </c>
      <c r="D2026" s="75">
        <v>92.476200000000006</v>
      </c>
      <c r="E2026" s="75">
        <v>97.383300000000006</v>
      </c>
      <c r="F2026">
        <v>-319.77</v>
      </c>
      <c r="G2026">
        <v>-114.9</v>
      </c>
      <c r="H2026">
        <v>679.8</v>
      </c>
      <c r="I2026">
        <v>-4002.7</v>
      </c>
      <c r="J2026">
        <v>-3757.5699999999997</v>
      </c>
    </row>
    <row r="2027" spans="1:10" x14ac:dyDescent="0.35">
      <c r="A2027">
        <v>2011</v>
      </c>
      <c r="B2027" s="75">
        <v>89.22</v>
      </c>
      <c r="C2027" s="75">
        <v>97.14</v>
      </c>
      <c r="D2027" s="75">
        <v>91.83</v>
      </c>
      <c r="E2027" s="75">
        <v>93.37</v>
      </c>
      <c r="F2027">
        <v>1103.52</v>
      </c>
      <c r="G2027">
        <v>1607.7</v>
      </c>
      <c r="H2027">
        <v>1976.2</v>
      </c>
      <c r="I2027">
        <v>12.1</v>
      </c>
      <c r="J2027">
        <v>4699.5200000000004</v>
      </c>
    </row>
    <row r="2028" spans="1:10" x14ac:dyDescent="0.35">
      <c r="A2028">
        <v>2012</v>
      </c>
      <c r="B2028" s="75">
        <v>89.143500000000003</v>
      </c>
      <c r="C2028" s="75">
        <v>99.3001</v>
      </c>
      <c r="D2028" s="75">
        <v>93.450800000000001</v>
      </c>
      <c r="E2028" s="75">
        <v>93.074399999999997</v>
      </c>
      <c r="F2028">
        <v>1353.3300000000002</v>
      </c>
      <c r="G2028">
        <v>-1635.3000000000002</v>
      </c>
      <c r="H2028">
        <v>-1269.4000000000001</v>
      </c>
      <c r="I2028">
        <v>306.20000000000005</v>
      </c>
      <c r="J2028">
        <v>-1245.17</v>
      </c>
    </row>
    <row r="2029" spans="1:10" x14ac:dyDescent="0.35">
      <c r="A2029">
        <v>2013</v>
      </c>
      <c r="B2029" s="75">
        <v>88.75</v>
      </c>
      <c r="C2029" s="75">
        <v>98.32</v>
      </c>
      <c r="D2029" s="75">
        <v>92.05</v>
      </c>
      <c r="E2029" s="75">
        <v>94.31</v>
      </c>
      <c r="F2029">
        <v>2667.06</v>
      </c>
      <c r="G2029">
        <v>-168</v>
      </c>
      <c r="H2029">
        <v>1536.2</v>
      </c>
      <c r="I2029">
        <v>-927.69999999999993</v>
      </c>
      <c r="J2029">
        <v>3107.5600000000004</v>
      </c>
    </row>
    <row r="2030" spans="1:10" x14ac:dyDescent="0.35">
      <c r="A2030">
        <v>2014</v>
      </c>
      <c r="B2030" s="75">
        <v>89.729699999999994</v>
      </c>
      <c r="C2030" s="75">
        <v>98.149500000000003</v>
      </c>
      <c r="D2030" s="75">
        <v>93.994600000000005</v>
      </c>
      <c r="E2030" s="75">
        <v>90.4345</v>
      </c>
      <c r="F2030">
        <v>-581.13</v>
      </c>
      <c r="G2030">
        <v>90.600000000000009</v>
      </c>
      <c r="H2030">
        <v>-2357</v>
      </c>
      <c r="I2030">
        <v>2946.1</v>
      </c>
      <c r="J2030">
        <v>98.570000000000164</v>
      </c>
    </row>
    <row r="2031" spans="1:10" x14ac:dyDescent="0.35">
      <c r="A2031">
        <v>2015</v>
      </c>
      <c r="B2031" s="75">
        <v>89.89</v>
      </c>
      <c r="C2031" s="75">
        <v>99.15</v>
      </c>
      <c r="D2031" s="75">
        <v>92.52</v>
      </c>
      <c r="E2031" s="75">
        <v>95.66</v>
      </c>
      <c r="F2031">
        <v>-1126.29</v>
      </c>
      <c r="G2031">
        <v>-1410.6</v>
      </c>
      <c r="H2031">
        <v>600.40000000000009</v>
      </c>
      <c r="I2031">
        <v>-2280.1999999999998</v>
      </c>
      <c r="J2031">
        <v>-4216.6899999999996</v>
      </c>
    </row>
    <row r="2032" spans="1:10" x14ac:dyDescent="0.35">
      <c r="A2032">
        <v>2016</v>
      </c>
      <c r="B2032" s="75">
        <v>89.607799999999997</v>
      </c>
      <c r="C2032" s="75">
        <v>98.583100000000002</v>
      </c>
      <c r="D2032" s="75">
        <v>92.681100000000001</v>
      </c>
      <c r="E2032" s="75">
        <v>94.812299999999993</v>
      </c>
      <c r="F2032">
        <v>-178.85999999999999</v>
      </c>
      <c r="G2032">
        <v>-559.79999999999995</v>
      </c>
      <c r="H2032">
        <v>270</v>
      </c>
      <c r="I2032">
        <v>-1431.7</v>
      </c>
      <c r="J2032">
        <v>-1900.3600000000001</v>
      </c>
    </row>
    <row r="2033" spans="1:10" x14ac:dyDescent="0.35">
      <c r="A2033">
        <v>2017</v>
      </c>
      <c r="B2033" s="75">
        <v>88.92</v>
      </c>
      <c r="C2033" s="75">
        <v>96.45</v>
      </c>
      <c r="D2033" s="75">
        <v>92.75</v>
      </c>
      <c r="E2033" s="75">
        <v>94.89</v>
      </c>
      <c r="F2033">
        <v>2095.17</v>
      </c>
      <c r="G2033">
        <v>2634.15</v>
      </c>
      <c r="H2033">
        <v>135.4</v>
      </c>
      <c r="I2033">
        <v>-1512.3999999999999</v>
      </c>
      <c r="J2033">
        <v>3352.3199999999997</v>
      </c>
    </row>
    <row r="2034" spans="1:10" x14ac:dyDescent="0.35">
      <c r="A2034">
        <v>2018</v>
      </c>
      <c r="B2034" s="75">
        <v>89.741</v>
      </c>
      <c r="C2034" s="75">
        <v>98.9833</v>
      </c>
      <c r="D2034" s="75">
        <v>90.855099999999993</v>
      </c>
      <c r="E2034" s="75">
        <v>92.853499999999997</v>
      </c>
      <c r="F2034">
        <v>-618.42000000000007</v>
      </c>
      <c r="G2034">
        <v>-1160.0999999999999</v>
      </c>
      <c r="H2034">
        <v>3922</v>
      </c>
      <c r="I2034">
        <v>527.1</v>
      </c>
      <c r="J2034">
        <v>2670.58</v>
      </c>
    </row>
    <row r="2035" spans="1:10" x14ac:dyDescent="0.35">
      <c r="A2035">
        <v>2019</v>
      </c>
      <c r="B2035" s="75">
        <v>90</v>
      </c>
      <c r="C2035" s="75">
        <v>98.44</v>
      </c>
      <c r="D2035" s="75">
        <v>92.44</v>
      </c>
      <c r="E2035" s="75">
        <v>95.45</v>
      </c>
      <c r="F2035">
        <v>-1459.26</v>
      </c>
      <c r="G2035">
        <v>-339.75</v>
      </c>
      <c r="H2035">
        <v>748.6</v>
      </c>
      <c r="I2035">
        <v>-2067.1</v>
      </c>
      <c r="J2035">
        <v>-3117.5099999999998</v>
      </c>
    </row>
    <row r="2036" spans="1:10" x14ac:dyDescent="0.35">
      <c r="A2036">
        <v>2020</v>
      </c>
      <c r="B2036" s="75">
        <v>89.6738</v>
      </c>
      <c r="C2036" s="75">
        <v>96.755300000000005</v>
      </c>
      <c r="D2036" s="75">
        <v>91.006299999999996</v>
      </c>
      <c r="E2036" s="75">
        <v>93.976299999999995</v>
      </c>
      <c r="F2036">
        <v>-396.66</v>
      </c>
      <c r="G2036">
        <v>2181.8999999999996</v>
      </c>
      <c r="H2036">
        <v>3619.6000000000004</v>
      </c>
      <c r="I2036">
        <v>-595.70000000000005</v>
      </c>
      <c r="J2036">
        <v>4809.1400000000003</v>
      </c>
    </row>
    <row r="2037" spans="1:10" x14ac:dyDescent="0.35">
      <c r="A2037">
        <v>2021</v>
      </c>
      <c r="B2037" s="75">
        <v>89.17</v>
      </c>
      <c r="C2037" s="75">
        <v>99.86</v>
      </c>
      <c r="D2037" s="75">
        <v>91.96</v>
      </c>
      <c r="E2037" s="75">
        <v>92.35</v>
      </c>
      <c r="F2037">
        <v>1250.3700000000001</v>
      </c>
      <c r="G2037">
        <v>-2473.9499999999998</v>
      </c>
      <c r="H2037">
        <v>1720.3999999999999</v>
      </c>
      <c r="I2037">
        <v>1032.5</v>
      </c>
      <c r="J2037">
        <v>1529.3200000000002</v>
      </c>
    </row>
    <row r="2038" spans="1:10" x14ac:dyDescent="0.35">
      <c r="A2038">
        <v>2022</v>
      </c>
      <c r="B2038" s="75">
        <v>89.221900000000005</v>
      </c>
      <c r="C2038" s="75">
        <v>97.571600000000004</v>
      </c>
      <c r="D2038" s="75">
        <v>91.134699999999995</v>
      </c>
      <c r="E2038" s="75">
        <v>94.4285</v>
      </c>
      <c r="F2038">
        <v>1094.6099999999999</v>
      </c>
      <c r="G2038">
        <v>957.44999999999993</v>
      </c>
      <c r="H2038">
        <v>3362.8</v>
      </c>
      <c r="I2038">
        <v>-1047.9000000000001</v>
      </c>
      <c r="J2038">
        <v>4366.9600000000009</v>
      </c>
    </row>
    <row r="2039" spans="1:10" x14ac:dyDescent="0.35">
      <c r="A2039">
        <v>2023</v>
      </c>
      <c r="B2039" s="75">
        <v>89.72</v>
      </c>
      <c r="C2039" s="75">
        <v>101.16</v>
      </c>
      <c r="D2039" s="75">
        <v>92.04</v>
      </c>
      <c r="E2039" s="75">
        <v>93.32</v>
      </c>
      <c r="F2039">
        <v>-561.99</v>
      </c>
      <c r="G2039">
        <v>-4424.0999999999995</v>
      </c>
      <c r="H2039">
        <v>1546.2</v>
      </c>
      <c r="I2039">
        <v>59.1</v>
      </c>
      <c r="J2039">
        <v>-3380.7899999999995</v>
      </c>
    </row>
    <row r="2040" spans="1:10" x14ac:dyDescent="0.35">
      <c r="A2040">
        <v>2024</v>
      </c>
      <c r="B2040" s="75">
        <v>89.224199999999996</v>
      </c>
      <c r="C2040" s="75">
        <v>96.319299999999998</v>
      </c>
      <c r="D2040" s="75">
        <v>92.527799999999999</v>
      </c>
      <c r="E2040" s="75">
        <v>92.058499999999995</v>
      </c>
      <c r="F2040">
        <v>1087.02</v>
      </c>
      <c r="G2040">
        <v>2835.9</v>
      </c>
      <c r="H2040">
        <v>576.6</v>
      </c>
      <c r="I2040">
        <v>1322.1000000000001</v>
      </c>
      <c r="J2040">
        <v>5821.6200000000008</v>
      </c>
    </row>
    <row r="2041" spans="1:10" x14ac:dyDescent="0.35">
      <c r="A2041">
        <v>2025</v>
      </c>
      <c r="B2041" s="75">
        <v>89.5</v>
      </c>
      <c r="C2041" s="75">
        <v>97.56</v>
      </c>
      <c r="D2041" s="75">
        <v>92.31</v>
      </c>
      <c r="E2041" s="75">
        <v>95</v>
      </c>
      <c r="F2041">
        <v>191.73</v>
      </c>
      <c r="G2041">
        <v>967.5</v>
      </c>
      <c r="H2041">
        <v>1014</v>
      </c>
      <c r="I2041">
        <v>-1614.4</v>
      </c>
      <c r="J2041">
        <v>558.82999999999993</v>
      </c>
    </row>
    <row r="2042" spans="1:10" x14ac:dyDescent="0.35">
      <c r="A2042">
        <v>2026</v>
      </c>
      <c r="B2042" s="75">
        <v>89.6751</v>
      </c>
      <c r="C2042" s="75">
        <v>98.883899999999997</v>
      </c>
      <c r="D2042" s="75">
        <v>93.210400000000007</v>
      </c>
      <c r="E2042" s="75">
        <v>95.092500000000001</v>
      </c>
      <c r="F2042">
        <v>-400.95</v>
      </c>
      <c r="G2042">
        <v>-1011.0000000000001</v>
      </c>
      <c r="H2042">
        <v>-788.6</v>
      </c>
      <c r="I2042">
        <v>-1711.9</v>
      </c>
      <c r="J2042">
        <v>-3912.4500000000003</v>
      </c>
    </row>
    <row r="2043" spans="1:10" x14ac:dyDescent="0.35">
      <c r="A2043">
        <v>2027</v>
      </c>
      <c r="B2043" s="75">
        <v>89.95</v>
      </c>
      <c r="C2043" s="75">
        <v>98.7</v>
      </c>
      <c r="D2043" s="75">
        <v>93.44</v>
      </c>
      <c r="E2043" s="75">
        <v>96.13</v>
      </c>
      <c r="F2043">
        <v>-1309.44</v>
      </c>
      <c r="G2043">
        <v>-729.15</v>
      </c>
      <c r="H2043">
        <v>-1249.2</v>
      </c>
      <c r="I2043">
        <v>-2754.3</v>
      </c>
      <c r="J2043">
        <v>-6042.09</v>
      </c>
    </row>
    <row r="2044" spans="1:10" x14ac:dyDescent="0.35">
      <c r="A2044">
        <v>2028</v>
      </c>
      <c r="B2044" s="75">
        <v>89.998400000000004</v>
      </c>
      <c r="C2044" s="75">
        <v>97.676900000000003</v>
      </c>
      <c r="D2044" s="75">
        <v>93.578699999999998</v>
      </c>
      <c r="E2044" s="75">
        <v>91.123400000000004</v>
      </c>
      <c r="F2044">
        <v>-1467.84</v>
      </c>
      <c r="G2044">
        <v>799.5</v>
      </c>
      <c r="H2044">
        <v>-1525.1999999999998</v>
      </c>
      <c r="I2044">
        <v>2257.2000000000003</v>
      </c>
      <c r="J2044">
        <v>63.660000000000309</v>
      </c>
    </row>
    <row r="2045" spans="1:10" x14ac:dyDescent="0.35">
      <c r="A2045">
        <v>2029</v>
      </c>
      <c r="B2045" s="75">
        <v>89.47</v>
      </c>
      <c r="C2045" s="75">
        <v>98.63</v>
      </c>
      <c r="D2045" s="75">
        <v>92.79</v>
      </c>
      <c r="E2045" s="75">
        <v>93.8</v>
      </c>
      <c r="F2045">
        <v>264.33000000000004</v>
      </c>
      <c r="G2045">
        <v>-633.30000000000007</v>
      </c>
      <c r="H2045">
        <v>58.2</v>
      </c>
      <c r="I2045">
        <v>-422.5</v>
      </c>
      <c r="J2045">
        <v>-733.27</v>
      </c>
    </row>
    <row r="2046" spans="1:10" x14ac:dyDescent="0.35">
      <c r="A2046">
        <v>2030</v>
      </c>
      <c r="B2046" s="75">
        <v>89.270899999999997</v>
      </c>
      <c r="C2046" s="75">
        <v>97.771299999999997</v>
      </c>
      <c r="D2046" s="75">
        <v>91.821899999999999</v>
      </c>
      <c r="E2046" s="75">
        <v>96.463499999999996</v>
      </c>
      <c r="F2046">
        <v>932.91</v>
      </c>
      <c r="G2046">
        <v>657.9</v>
      </c>
      <c r="H2046">
        <v>1988.3999999999999</v>
      </c>
      <c r="I2046">
        <v>-3082.9</v>
      </c>
      <c r="J2046">
        <v>496.30999999999995</v>
      </c>
    </row>
    <row r="2047" spans="1:10" x14ac:dyDescent="0.35">
      <c r="A2047">
        <v>2031</v>
      </c>
      <c r="B2047" s="75">
        <v>89.82</v>
      </c>
      <c r="C2047" s="75">
        <v>98.22</v>
      </c>
      <c r="D2047" s="75">
        <v>93.23</v>
      </c>
      <c r="E2047" s="75">
        <v>91.67</v>
      </c>
      <c r="F2047">
        <v>-865.58999999999992</v>
      </c>
      <c r="G2047">
        <v>-9.4499999999999993</v>
      </c>
      <c r="H2047">
        <v>-827.8</v>
      </c>
      <c r="I2047">
        <v>1705.7</v>
      </c>
      <c r="J2047">
        <v>2.8600000000001273</v>
      </c>
    </row>
    <row r="2048" spans="1:10" x14ac:dyDescent="0.35">
      <c r="A2048">
        <v>2032</v>
      </c>
      <c r="B2048" s="75">
        <v>89.075000000000003</v>
      </c>
      <c r="C2048" s="75">
        <v>96.775499999999994</v>
      </c>
      <c r="D2048" s="75">
        <v>92.901300000000006</v>
      </c>
      <c r="E2048" s="75">
        <v>93.080600000000004</v>
      </c>
      <c r="F2048">
        <v>1579.38</v>
      </c>
      <c r="G2048">
        <v>2151.6</v>
      </c>
      <c r="H2048">
        <v>-170.4</v>
      </c>
      <c r="I2048">
        <v>300</v>
      </c>
      <c r="J2048">
        <v>3860.58</v>
      </c>
    </row>
    <row r="2049" spans="1:10" x14ac:dyDescent="0.35">
      <c r="A2049">
        <v>2033</v>
      </c>
      <c r="B2049" s="75">
        <v>89.49</v>
      </c>
      <c r="C2049" s="75">
        <v>98.26</v>
      </c>
      <c r="D2049" s="75">
        <v>92.4</v>
      </c>
      <c r="E2049" s="75">
        <v>92.39</v>
      </c>
      <c r="F2049">
        <v>216.80999999999997</v>
      </c>
      <c r="G2049">
        <v>-77.100000000000009</v>
      </c>
      <c r="H2049">
        <v>831.8</v>
      </c>
      <c r="I2049">
        <v>991.80000000000007</v>
      </c>
      <c r="J2049">
        <v>1963.31</v>
      </c>
    </row>
    <row r="2050" spans="1:10" x14ac:dyDescent="0.35">
      <c r="A2050">
        <v>2034</v>
      </c>
      <c r="B2050" s="75">
        <v>90.471299999999999</v>
      </c>
      <c r="C2050" s="75">
        <v>98.638099999999994</v>
      </c>
      <c r="D2050" s="75">
        <v>94.194199999999995</v>
      </c>
      <c r="E2050" s="75">
        <v>91.861699999999999</v>
      </c>
      <c r="F2050">
        <v>-3028.41</v>
      </c>
      <c r="G2050">
        <v>-642.30000000000007</v>
      </c>
      <c r="H2050">
        <v>-2756.2000000000003</v>
      </c>
      <c r="I2050">
        <v>1518.8999999999999</v>
      </c>
      <c r="J2050">
        <v>-4908.01</v>
      </c>
    </row>
    <row r="2051" spans="1:10" x14ac:dyDescent="0.35">
      <c r="A2051">
        <v>2035</v>
      </c>
      <c r="B2051" s="75">
        <v>90</v>
      </c>
      <c r="C2051" s="75">
        <v>97.83</v>
      </c>
      <c r="D2051" s="75">
        <v>93.2</v>
      </c>
      <c r="E2051" s="75">
        <v>96.24</v>
      </c>
      <c r="F2051">
        <v>-1480.05</v>
      </c>
      <c r="G2051">
        <v>577.19999999999993</v>
      </c>
      <c r="H2051">
        <v>-763</v>
      </c>
      <c r="I2051">
        <v>-2860.1</v>
      </c>
      <c r="J2051">
        <v>-4525.95</v>
      </c>
    </row>
    <row r="2052" spans="1:10" x14ac:dyDescent="0.35">
      <c r="A2052">
        <v>2036</v>
      </c>
      <c r="B2052" s="75">
        <v>90.031499999999994</v>
      </c>
      <c r="C2052" s="75">
        <v>98.234099999999998</v>
      </c>
      <c r="D2052" s="75">
        <v>91.670299999999997</v>
      </c>
      <c r="E2052" s="75">
        <v>94.311400000000006</v>
      </c>
      <c r="F2052">
        <v>-1577.07</v>
      </c>
      <c r="G2052">
        <v>-36.299999999999997</v>
      </c>
      <c r="H2052">
        <v>2291.6</v>
      </c>
      <c r="I2052">
        <v>-930.8</v>
      </c>
      <c r="J2052">
        <v>-252.56999999999994</v>
      </c>
    </row>
    <row r="2053" spans="1:10" x14ac:dyDescent="0.35">
      <c r="A2053">
        <v>2037</v>
      </c>
      <c r="B2053" s="75">
        <v>89.51</v>
      </c>
      <c r="C2053" s="75">
        <v>97.62</v>
      </c>
      <c r="D2053" s="75">
        <v>92.74</v>
      </c>
      <c r="E2053" s="75">
        <v>92.42</v>
      </c>
      <c r="F2053">
        <v>133.97999999999999</v>
      </c>
      <c r="G2053">
        <v>880.95</v>
      </c>
      <c r="H2053">
        <v>155.20000000000002</v>
      </c>
      <c r="I2053">
        <v>958.4</v>
      </c>
      <c r="J2053">
        <v>2128.5300000000002</v>
      </c>
    </row>
    <row r="2054" spans="1:10" x14ac:dyDescent="0.35">
      <c r="A2054">
        <v>2038</v>
      </c>
      <c r="B2054" s="75">
        <v>89.739699999999999</v>
      </c>
      <c r="C2054" s="75">
        <v>98.195300000000003</v>
      </c>
      <c r="D2054" s="75">
        <v>93.157600000000002</v>
      </c>
      <c r="E2054" s="75">
        <v>93.772400000000005</v>
      </c>
      <c r="F2054">
        <v>-614.13</v>
      </c>
      <c r="G2054">
        <v>21.9</v>
      </c>
      <c r="H2054">
        <v>-683</v>
      </c>
      <c r="I2054">
        <v>-391.79999999999995</v>
      </c>
      <c r="J2054">
        <v>-1667.03</v>
      </c>
    </row>
    <row r="2055" spans="1:10" x14ac:dyDescent="0.35">
      <c r="A2055">
        <v>2039</v>
      </c>
      <c r="B2055" s="75">
        <v>89.41</v>
      </c>
      <c r="C2055" s="75">
        <v>98.53</v>
      </c>
      <c r="D2055" s="75">
        <v>93.45</v>
      </c>
      <c r="E2055" s="75">
        <v>93.12</v>
      </c>
      <c r="F2055">
        <v>466.94999999999993</v>
      </c>
      <c r="G2055">
        <v>-473.54999999999995</v>
      </c>
      <c r="H2055">
        <v>-1271.2</v>
      </c>
      <c r="I2055">
        <v>258.7</v>
      </c>
      <c r="J2055">
        <v>-1019.1000000000001</v>
      </c>
    </row>
    <row r="2056" spans="1:10" x14ac:dyDescent="0.35">
      <c r="A2056">
        <v>2040</v>
      </c>
      <c r="B2056" s="75">
        <v>89.392399999999995</v>
      </c>
      <c r="C2056" s="75">
        <v>98.505700000000004</v>
      </c>
      <c r="D2056" s="75">
        <v>92.587000000000003</v>
      </c>
      <c r="E2056" s="75">
        <v>93.591399999999993</v>
      </c>
      <c r="F2056">
        <v>531.96</v>
      </c>
      <c r="G2056">
        <v>-443.7</v>
      </c>
      <c r="H2056">
        <v>458.2</v>
      </c>
      <c r="I2056">
        <v>-210.79999999999998</v>
      </c>
      <c r="J2056">
        <v>335.66000000000008</v>
      </c>
    </row>
    <row r="2057" spans="1:10" x14ac:dyDescent="0.35">
      <c r="A2057">
        <v>2041</v>
      </c>
      <c r="B2057" s="75">
        <v>89.35</v>
      </c>
      <c r="C2057" s="75">
        <v>98.42</v>
      </c>
      <c r="D2057" s="75">
        <v>91.71</v>
      </c>
      <c r="E2057" s="75">
        <v>94.57</v>
      </c>
      <c r="F2057">
        <v>680.46</v>
      </c>
      <c r="G2057">
        <v>-315.45</v>
      </c>
      <c r="H2057">
        <v>2210.1999999999998</v>
      </c>
      <c r="I2057">
        <v>-1193.2</v>
      </c>
      <c r="J2057">
        <v>1382.01</v>
      </c>
    </row>
    <row r="2058" spans="1:10" x14ac:dyDescent="0.35">
      <c r="A2058">
        <v>2042</v>
      </c>
      <c r="B2058" s="75">
        <v>89.666499999999999</v>
      </c>
      <c r="C2058" s="75">
        <v>98.236699999999999</v>
      </c>
      <c r="D2058" s="75">
        <v>93.562299999999993</v>
      </c>
      <c r="E2058" s="75">
        <v>94.296899999999994</v>
      </c>
      <c r="F2058">
        <v>-372.57</v>
      </c>
      <c r="G2058">
        <v>-40.200000000000003</v>
      </c>
      <c r="H2058">
        <v>-1492.3999999999999</v>
      </c>
      <c r="I2058">
        <v>-916.3</v>
      </c>
      <c r="J2058">
        <v>-2821.47</v>
      </c>
    </row>
    <row r="2059" spans="1:10" x14ac:dyDescent="0.35">
      <c r="A2059">
        <v>2043</v>
      </c>
      <c r="B2059" s="75">
        <v>89.66</v>
      </c>
      <c r="C2059" s="75">
        <v>99.19</v>
      </c>
      <c r="D2059" s="75">
        <v>92.2</v>
      </c>
      <c r="E2059" s="75">
        <v>93.64</v>
      </c>
      <c r="F2059">
        <v>-365.31</v>
      </c>
      <c r="G2059">
        <v>-1469.85</v>
      </c>
      <c r="H2059">
        <v>1235.2</v>
      </c>
      <c r="I2059">
        <v>-258.7</v>
      </c>
      <c r="J2059">
        <v>-858.65999999999985</v>
      </c>
    </row>
    <row r="2060" spans="1:10" x14ac:dyDescent="0.35">
      <c r="A2060">
        <v>2044</v>
      </c>
      <c r="B2060" s="75">
        <v>89.692700000000002</v>
      </c>
      <c r="C2060" s="75">
        <v>98.856200000000001</v>
      </c>
      <c r="D2060" s="75">
        <v>90.712599999999995</v>
      </c>
      <c r="E2060" s="75">
        <v>91.498000000000005</v>
      </c>
      <c r="F2060">
        <v>-459.03000000000003</v>
      </c>
      <c r="G2060">
        <v>-969.44999999999993</v>
      </c>
      <c r="H2060">
        <v>4207</v>
      </c>
      <c r="I2060">
        <v>1882.6000000000001</v>
      </c>
      <c r="J2060">
        <v>4661.12</v>
      </c>
    </row>
    <row r="2061" spans="1:10" x14ac:dyDescent="0.35">
      <c r="A2061">
        <v>2045</v>
      </c>
      <c r="B2061" s="75">
        <v>89.42</v>
      </c>
      <c r="C2061" s="75">
        <v>99.17</v>
      </c>
      <c r="D2061" s="75">
        <v>93.09</v>
      </c>
      <c r="E2061" s="75">
        <v>93.89</v>
      </c>
      <c r="F2061">
        <v>445.83</v>
      </c>
      <c r="G2061">
        <v>-1447.2</v>
      </c>
      <c r="H2061">
        <v>-553.20000000000005</v>
      </c>
      <c r="I2061">
        <v>-511.2</v>
      </c>
      <c r="J2061">
        <v>-2065.77</v>
      </c>
    </row>
    <row r="2062" spans="1:10" x14ac:dyDescent="0.35">
      <c r="A2062">
        <v>2046</v>
      </c>
      <c r="B2062" s="75">
        <v>88.513300000000001</v>
      </c>
      <c r="C2062" s="75">
        <v>98.052199999999999</v>
      </c>
      <c r="D2062" s="75">
        <v>91.816699999999997</v>
      </c>
      <c r="E2062" s="75">
        <v>95.722499999999997</v>
      </c>
      <c r="F2062">
        <v>3432.99</v>
      </c>
      <c r="G2062">
        <v>236.55</v>
      </c>
      <c r="H2062">
        <v>1998.8</v>
      </c>
      <c r="I2062">
        <v>-2341.9</v>
      </c>
      <c r="J2062">
        <v>3326.44</v>
      </c>
    </row>
    <row r="2063" spans="1:10" x14ac:dyDescent="0.35">
      <c r="A2063">
        <v>2047</v>
      </c>
      <c r="B2063" s="75">
        <v>90.06</v>
      </c>
      <c r="C2063" s="75">
        <v>98.08</v>
      </c>
      <c r="D2063" s="75">
        <v>92.15</v>
      </c>
      <c r="E2063" s="75">
        <v>93.83</v>
      </c>
      <c r="F2063">
        <v>-1665.18</v>
      </c>
      <c r="G2063">
        <v>198</v>
      </c>
      <c r="H2063">
        <v>1328</v>
      </c>
      <c r="I2063">
        <v>-445.2</v>
      </c>
      <c r="J2063">
        <v>-584.38000000000011</v>
      </c>
    </row>
    <row r="2064" spans="1:10" x14ac:dyDescent="0.35">
      <c r="A2064">
        <v>2048</v>
      </c>
      <c r="B2064" s="75">
        <v>89.768500000000003</v>
      </c>
      <c r="C2064" s="75">
        <v>99.316599999999994</v>
      </c>
      <c r="D2064" s="75">
        <v>92.829599999999999</v>
      </c>
      <c r="E2064" s="75">
        <v>93.624600000000001</v>
      </c>
      <c r="F2064">
        <v>-709.17000000000007</v>
      </c>
      <c r="G2064">
        <v>-1660.05</v>
      </c>
      <c r="H2064">
        <v>-27</v>
      </c>
      <c r="I2064">
        <v>-244</v>
      </c>
      <c r="J2064">
        <v>-2640.2200000000003</v>
      </c>
    </row>
    <row r="2065" spans="1:10" x14ac:dyDescent="0.35">
      <c r="A2065">
        <v>2049</v>
      </c>
      <c r="B2065" s="75">
        <v>90.5</v>
      </c>
      <c r="C2065" s="75">
        <v>98.5</v>
      </c>
      <c r="D2065" s="75">
        <v>92.24</v>
      </c>
      <c r="E2065" s="75">
        <v>91.85</v>
      </c>
      <c r="F2065">
        <v>-3129.3900000000003</v>
      </c>
      <c r="G2065">
        <v>-428.40000000000003</v>
      </c>
      <c r="H2065">
        <v>1156.6000000000001</v>
      </c>
      <c r="I2065">
        <v>1525.8</v>
      </c>
      <c r="J2065">
        <v>-875.39000000000055</v>
      </c>
    </row>
    <row r="2066" spans="1:10" x14ac:dyDescent="0.35">
      <c r="A2066">
        <v>2050</v>
      </c>
      <c r="B2066" s="75">
        <v>90.446600000000004</v>
      </c>
      <c r="C2066" s="75">
        <v>97.296700000000001</v>
      </c>
      <c r="D2066" s="75">
        <v>92.536799999999999</v>
      </c>
      <c r="E2066" s="75">
        <v>94.912999999999997</v>
      </c>
      <c r="F2066">
        <v>-2946.9</v>
      </c>
      <c r="G2066">
        <v>1369.8</v>
      </c>
      <c r="H2066">
        <v>558.6</v>
      </c>
      <c r="I2066">
        <v>-1532.4</v>
      </c>
      <c r="J2066">
        <v>-2550.9</v>
      </c>
    </row>
    <row r="2067" spans="1:10" x14ac:dyDescent="0.35">
      <c r="A2067">
        <v>2051</v>
      </c>
      <c r="B2067" s="75">
        <v>89.63</v>
      </c>
      <c r="C2067" s="75">
        <v>99.41</v>
      </c>
      <c r="D2067" s="75">
        <v>92.04</v>
      </c>
      <c r="E2067" s="75">
        <v>93.51</v>
      </c>
      <c r="F2067">
        <v>-243.54000000000002</v>
      </c>
      <c r="G2067">
        <v>-1794</v>
      </c>
      <c r="H2067">
        <v>1543.8</v>
      </c>
      <c r="I2067">
        <v>-134</v>
      </c>
      <c r="J2067">
        <v>-627.74</v>
      </c>
    </row>
    <row r="2068" spans="1:10" x14ac:dyDescent="0.35">
      <c r="A2068">
        <v>2052</v>
      </c>
      <c r="B2068" s="75">
        <v>89.434299999999993</v>
      </c>
      <c r="C2068" s="75">
        <v>97.125399999999999</v>
      </c>
      <c r="D2068" s="75">
        <v>93.815799999999996</v>
      </c>
      <c r="E2068" s="75">
        <v>94.686700000000002</v>
      </c>
      <c r="F2068">
        <v>393.69</v>
      </c>
      <c r="G2068">
        <v>1626.75</v>
      </c>
      <c r="H2068">
        <v>-1999.4</v>
      </c>
      <c r="I2068">
        <v>-1306.1000000000001</v>
      </c>
      <c r="J2068">
        <v>-1285.0600000000002</v>
      </c>
    </row>
    <row r="2069" spans="1:10" x14ac:dyDescent="0.35">
      <c r="A2069">
        <v>2053</v>
      </c>
      <c r="B2069" s="75">
        <v>89.61</v>
      </c>
      <c r="C2069" s="75">
        <v>98.4</v>
      </c>
      <c r="D2069" s="75">
        <v>91.79</v>
      </c>
      <c r="E2069" s="75">
        <v>92.99</v>
      </c>
      <c r="F2069">
        <v>-199.32000000000002</v>
      </c>
      <c r="G2069">
        <v>-292.34999999999997</v>
      </c>
      <c r="H2069">
        <v>2054.6000000000004</v>
      </c>
      <c r="I2069">
        <v>391.2</v>
      </c>
      <c r="J2069">
        <v>1954.1300000000003</v>
      </c>
    </row>
    <row r="2070" spans="1:10" x14ac:dyDescent="0.35">
      <c r="A2070">
        <v>2054</v>
      </c>
      <c r="B2070" s="75">
        <v>89.623900000000006</v>
      </c>
      <c r="C2070" s="75">
        <v>97.763499999999993</v>
      </c>
      <c r="D2070" s="75">
        <v>92.492599999999996</v>
      </c>
      <c r="E2070" s="75">
        <v>94.694299999999998</v>
      </c>
      <c r="F2070">
        <v>-231.99</v>
      </c>
      <c r="G2070">
        <v>669.6</v>
      </c>
      <c r="H2070">
        <v>647</v>
      </c>
      <c r="I2070">
        <v>-1313.7</v>
      </c>
      <c r="J2070">
        <v>-229.08999999999992</v>
      </c>
    </row>
    <row r="2071" spans="1:10" x14ac:dyDescent="0.35">
      <c r="A2071">
        <v>2055</v>
      </c>
      <c r="B2071" s="75">
        <v>89.06</v>
      </c>
      <c r="C2071" s="75">
        <v>97.87</v>
      </c>
      <c r="D2071" s="75">
        <v>91.48</v>
      </c>
      <c r="E2071" s="75">
        <v>92.75</v>
      </c>
      <c r="F2071">
        <v>1630.2</v>
      </c>
      <c r="G2071">
        <v>512.85</v>
      </c>
      <c r="H2071">
        <v>2668.8</v>
      </c>
      <c r="I2071">
        <v>634</v>
      </c>
      <c r="J2071">
        <v>5445.85</v>
      </c>
    </row>
    <row r="2072" spans="1:10" x14ac:dyDescent="0.35">
      <c r="A2072">
        <v>2056</v>
      </c>
      <c r="B2072" s="75">
        <v>89.265900000000002</v>
      </c>
      <c r="C2072" s="75">
        <v>97.450199999999995</v>
      </c>
      <c r="D2072" s="75">
        <v>90.372500000000002</v>
      </c>
      <c r="E2072" s="75">
        <v>94.572699999999998</v>
      </c>
      <c r="F2072">
        <v>949.41000000000008</v>
      </c>
      <c r="G2072">
        <v>1139.55</v>
      </c>
      <c r="H2072">
        <v>4887.2</v>
      </c>
      <c r="I2072">
        <v>-1192.0999999999999</v>
      </c>
      <c r="J2072">
        <v>5784.0599999999995</v>
      </c>
    </row>
    <row r="2073" spans="1:10" x14ac:dyDescent="0.35">
      <c r="A2073">
        <v>2057</v>
      </c>
      <c r="B2073" s="75">
        <v>89.65</v>
      </c>
      <c r="C2073" s="75">
        <v>98.46</v>
      </c>
      <c r="D2073" s="75">
        <v>94.59</v>
      </c>
      <c r="E2073" s="75">
        <v>93.67</v>
      </c>
      <c r="F2073">
        <v>-311.85000000000002</v>
      </c>
      <c r="G2073">
        <v>-379.04999999999995</v>
      </c>
      <c r="H2073">
        <v>-3545.7999999999997</v>
      </c>
      <c r="I2073">
        <v>-290.2</v>
      </c>
      <c r="J2073">
        <v>-4526.8999999999996</v>
      </c>
    </row>
    <row r="2074" spans="1:10" x14ac:dyDescent="0.35">
      <c r="A2074">
        <v>2058</v>
      </c>
      <c r="B2074" s="75">
        <v>89.191999999999993</v>
      </c>
      <c r="C2074" s="75">
        <v>97.514399999999995</v>
      </c>
      <c r="D2074" s="75">
        <v>92.356399999999994</v>
      </c>
      <c r="E2074" s="75">
        <v>94.991900000000001</v>
      </c>
      <c r="F2074">
        <v>1193.28</v>
      </c>
      <c r="G2074">
        <v>1043.25</v>
      </c>
      <c r="H2074">
        <v>919.4</v>
      </c>
      <c r="I2074">
        <v>-1611.3</v>
      </c>
      <c r="J2074">
        <v>1544.6299999999999</v>
      </c>
    </row>
    <row r="2075" spans="1:10" x14ac:dyDescent="0.35">
      <c r="A2075">
        <v>2059</v>
      </c>
      <c r="B2075" s="75">
        <v>88.98</v>
      </c>
      <c r="C2075" s="75">
        <v>97.22</v>
      </c>
      <c r="D2075" s="75">
        <v>93</v>
      </c>
      <c r="E2075" s="75">
        <v>95.48</v>
      </c>
      <c r="F2075">
        <v>1878.69</v>
      </c>
      <c r="G2075">
        <v>1491.1499999999999</v>
      </c>
      <c r="H2075">
        <v>-366.8</v>
      </c>
      <c r="I2075">
        <v>-2094.9</v>
      </c>
      <c r="J2075">
        <v>908.13999999999987</v>
      </c>
    </row>
    <row r="2076" spans="1:10" x14ac:dyDescent="0.35">
      <c r="A2076">
        <v>2060</v>
      </c>
      <c r="B2076" s="75">
        <v>89.319500000000005</v>
      </c>
      <c r="C2076" s="75">
        <v>97.423599999999993</v>
      </c>
      <c r="D2076" s="75">
        <v>93.748699999999999</v>
      </c>
      <c r="E2076" s="75">
        <v>95.224900000000005</v>
      </c>
      <c r="F2076">
        <v>772.53</v>
      </c>
      <c r="G2076">
        <v>1179.45</v>
      </c>
      <c r="H2076">
        <v>-1865.2</v>
      </c>
      <c r="I2076">
        <v>-1844.3</v>
      </c>
      <c r="J2076">
        <v>-1757.52</v>
      </c>
    </row>
    <row r="2077" spans="1:10" x14ac:dyDescent="0.35">
      <c r="A2077">
        <v>2061</v>
      </c>
      <c r="B2077" s="75">
        <v>89.01</v>
      </c>
      <c r="C2077" s="75">
        <v>98.08</v>
      </c>
      <c r="D2077" s="75">
        <v>92.86</v>
      </c>
      <c r="E2077" s="75">
        <v>91.45</v>
      </c>
      <c r="F2077">
        <v>1784.31</v>
      </c>
      <c r="G2077">
        <v>200.85</v>
      </c>
      <c r="H2077">
        <v>-81.600000000000009</v>
      </c>
      <c r="I2077">
        <v>1934.3</v>
      </c>
      <c r="J2077">
        <v>3837.8599999999997</v>
      </c>
    </row>
    <row r="2078" spans="1:10" x14ac:dyDescent="0.35">
      <c r="A2078">
        <v>2062</v>
      </c>
      <c r="B2078" s="75">
        <v>89.6738</v>
      </c>
      <c r="C2078" s="75">
        <v>97.783500000000004</v>
      </c>
      <c r="D2078" s="75">
        <v>92.850899999999996</v>
      </c>
      <c r="E2078" s="75">
        <v>92.868200000000002</v>
      </c>
      <c r="F2078">
        <v>-396.66</v>
      </c>
      <c r="G2078">
        <v>639.6</v>
      </c>
      <c r="H2078">
        <v>-69.599999999999994</v>
      </c>
      <c r="I2078">
        <v>512.4</v>
      </c>
      <c r="J2078">
        <v>685.74</v>
      </c>
    </row>
    <row r="2079" spans="1:10" x14ac:dyDescent="0.35">
      <c r="A2079">
        <v>2063</v>
      </c>
      <c r="B2079" s="75">
        <v>90.26</v>
      </c>
      <c r="C2079" s="75">
        <v>97.52</v>
      </c>
      <c r="D2079" s="75">
        <v>92.77</v>
      </c>
      <c r="E2079" s="75">
        <v>93.94</v>
      </c>
      <c r="F2079">
        <v>-2330.46</v>
      </c>
      <c r="G2079">
        <v>1034.25</v>
      </c>
      <c r="H2079">
        <v>92</v>
      </c>
      <c r="I2079">
        <v>-560.1</v>
      </c>
      <c r="J2079">
        <v>-1764.31</v>
      </c>
    </row>
    <row r="2080" spans="1:10" x14ac:dyDescent="0.35">
      <c r="A2080">
        <v>2064</v>
      </c>
      <c r="B2080" s="75">
        <v>89.266199999999998</v>
      </c>
      <c r="C2080" s="75">
        <v>98.396100000000004</v>
      </c>
      <c r="D2080" s="75">
        <v>92.865399999999994</v>
      </c>
      <c r="E2080" s="75">
        <v>90.5595</v>
      </c>
      <c r="F2080">
        <v>948.42</v>
      </c>
      <c r="G2080">
        <v>-279.3</v>
      </c>
      <c r="H2080">
        <v>-98.6</v>
      </c>
      <c r="I2080">
        <v>2821.1</v>
      </c>
      <c r="J2080">
        <v>3391.62</v>
      </c>
    </row>
    <row r="2081" spans="1:10" x14ac:dyDescent="0.35">
      <c r="A2081">
        <v>2065</v>
      </c>
      <c r="B2081" s="75">
        <v>89.55</v>
      </c>
      <c r="C2081" s="75">
        <v>97.43</v>
      </c>
      <c r="D2081" s="75">
        <v>92.59</v>
      </c>
      <c r="E2081" s="75">
        <v>92.57</v>
      </c>
      <c r="F2081">
        <v>9.9</v>
      </c>
      <c r="G2081">
        <v>1167</v>
      </c>
      <c r="H2081">
        <v>448.2</v>
      </c>
      <c r="I2081">
        <v>814.5</v>
      </c>
      <c r="J2081">
        <v>2439.6000000000004</v>
      </c>
    </row>
    <row r="2082" spans="1:10" x14ac:dyDescent="0.35">
      <c r="A2082">
        <v>2066</v>
      </c>
      <c r="B2082" s="75">
        <v>88.811400000000006</v>
      </c>
      <c r="C2082" s="75">
        <v>98.96</v>
      </c>
      <c r="D2082" s="75">
        <v>92.819299999999998</v>
      </c>
      <c r="E2082" s="75">
        <v>90.263499999999993</v>
      </c>
      <c r="F2082">
        <v>2449.2599999999998</v>
      </c>
      <c r="G2082">
        <v>-1125.1500000000001</v>
      </c>
      <c r="H2082">
        <v>-6.4</v>
      </c>
      <c r="I2082">
        <v>3117.1000000000004</v>
      </c>
      <c r="J2082">
        <v>4434.8099999999995</v>
      </c>
    </row>
    <row r="2083" spans="1:10" x14ac:dyDescent="0.35">
      <c r="A2083">
        <v>2067</v>
      </c>
      <c r="B2083" s="75">
        <v>89.36</v>
      </c>
      <c r="C2083" s="75">
        <v>100.16</v>
      </c>
      <c r="D2083" s="75">
        <v>93.54</v>
      </c>
      <c r="E2083" s="75">
        <v>95.97</v>
      </c>
      <c r="F2083">
        <v>642.17999999999995</v>
      </c>
      <c r="G2083">
        <v>-2928.2999999999997</v>
      </c>
      <c r="H2083">
        <v>-1439</v>
      </c>
      <c r="I2083">
        <v>-2590.6</v>
      </c>
      <c r="J2083">
        <v>-6315.7199999999993</v>
      </c>
    </row>
    <row r="2084" spans="1:10" x14ac:dyDescent="0.35">
      <c r="A2084">
        <v>2068</v>
      </c>
      <c r="B2084" s="75">
        <v>89.600999999999999</v>
      </c>
      <c r="C2084" s="75">
        <v>98.0869</v>
      </c>
      <c r="D2084" s="75">
        <v>94.477500000000006</v>
      </c>
      <c r="E2084" s="75">
        <v>93.343199999999996</v>
      </c>
      <c r="F2084">
        <v>-156.41999999999999</v>
      </c>
      <c r="G2084">
        <v>184.5</v>
      </c>
      <c r="H2084">
        <v>-3322.8</v>
      </c>
      <c r="I2084">
        <v>37.400000000000006</v>
      </c>
      <c r="J2084">
        <v>-3257.32</v>
      </c>
    </row>
    <row r="2085" spans="1:10" x14ac:dyDescent="0.35">
      <c r="A2085">
        <v>2069</v>
      </c>
      <c r="B2085" s="75">
        <v>88.94</v>
      </c>
      <c r="C2085" s="75">
        <v>98.4</v>
      </c>
      <c r="D2085" s="75">
        <v>93.35</v>
      </c>
      <c r="E2085" s="75">
        <v>91.71</v>
      </c>
      <c r="F2085">
        <v>2030.4899999999998</v>
      </c>
      <c r="G2085">
        <v>-285.45</v>
      </c>
      <c r="H2085">
        <v>-1077.3999999999999</v>
      </c>
      <c r="I2085">
        <v>1672.4</v>
      </c>
      <c r="J2085">
        <v>2340.04</v>
      </c>
    </row>
    <row r="2086" spans="1:10" x14ac:dyDescent="0.35">
      <c r="A2086">
        <v>2070</v>
      </c>
      <c r="B2086" s="75">
        <v>88.921800000000005</v>
      </c>
      <c r="C2086" s="75">
        <v>98.192700000000002</v>
      </c>
      <c r="D2086" s="75">
        <v>93.5839</v>
      </c>
      <c r="E2086" s="75">
        <v>95.566400000000002</v>
      </c>
      <c r="F2086">
        <v>2084.94</v>
      </c>
      <c r="G2086">
        <v>25.8</v>
      </c>
      <c r="H2086">
        <v>-1535.6000000000001</v>
      </c>
      <c r="I2086">
        <v>-2185.8000000000002</v>
      </c>
      <c r="J2086">
        <v>-1610.66</v>
      </c>
    </row>
    <row r="2087" spans="1:10" x14ac:dyDescent="0.35">
      <c r="A2087">
        <v>2071</v>
      </c>
      <c r="B2087" s="75">
        <v>89.43</v>
      </c>
      <c r="C2087" s="75">
        <v>99.28</v>
      </c>
      <c r="D2087" s="75">
        <v>93.13</v>
      </c>
      <c r="E2087" s="75">
        <v>94.19</v>
      </c>
      <c r="F2087">
        <v>414.47999999999996</v>
      </c>
      <c r="G2087">
        <v>-1609.35</v>
      </c>
      <c r="H2087">
        <v>-636.4</v>
      </c>
      <c r="I2087">
        <v>-807.30000000000007</v>
      </c>
      <c r="J2087">
        <v>-2638.57</v>
      </c>
    </row>
    <row r="2088" spans="1:10" x14ac:dyDescent="0.35">
      <c r="A2088">
        <v>2072</v>
      </c>
      <c r="B2088" s="75">
        <v>89.610299999999995</v>
      </c>
      <c r="C2088" s="75">
        <v>98.4221</v>
      </c>
      <c r="D2088" s="75">
        <v>92.550600000000003</v>
      </c>
      <c r="E2088" s="75">
        <v>94.696100000000001</v>
      </c>
      <c r="F2088">
        <v>-187.11</v>
      </c>
      <c r="G2088">
        <v>-318.3</v>
      </c>
      <c r="H2088">
        <v>531</v>
      </c>
      <c r="I2088">
        <v>-1315.5</v>
      </c>
      <c r="J2088">
        <v>-1289.9100000000001</v>
      </c>
    </row>
    <row r="2089" spans="1:10" x14ac:dyDescent="0.35">
      <c r="A2089">
        <v>2073</v>
      </c>
      <c r="B2089" s="75">
        <v>89.15</v>
      </c>
      <c r="C2089" s="75">
        <v>98.87</v>
      </c>
      <c r="D2089" s="75">
        <v>90.74</v>
      </c>
      <c r="E2089" s="75">
        <v>92.82</v>
      </c>
      <c r="F2089">
        <v>1319.6699999999998</v>
      </c>
      <c r="G2089">
        <v>-982.8</v>
      </c>
      <c r="H2089">
        <v>4156.6000000000004</v>
      </c>
      <c r="I2089">
        <v>556.5</v>
      </c>
      <c r="J2089">
        <v>5049.97</v>
      </c>
    </row>
    <row r="2090" spans="1:10" x14ac:dyDescent="0.35">
      <c r="A2090">
        <v>2074</v>
      </c>
      <c r="B2090" s="75">
        <v>88.488299999999995</v>
      </c>
      <c r="C2090" s="75">
        <v>97.077699999999993</v>
      </c>
      <c r="D2090" s="75">
        <v>90.681700000000006</v>
      </c>
      <c r="E2090" s="75">
        <v>90.215599999999995</v>
      </c>
      <c r="F2090">
        <v>3515.49</v>
      </c>
      <c r="G2090">
        <v>1698.3000000000002</v>
      </c>
      <c r="H2090">
        <v>4268.7999999999993</v>
      </c>
      <c r="I2090">
        <v>3165</v>
      </c>
      <c r="J2090">
        <v>12647.59</v>
      </c>
    </row>
    <row r="2091" spans="1:10" x14ac:dyDescent="0.35">
      <c r="A2091">
        <v>2075</v>
      </c>
      <c r="B2091" s="75">
        <v>89.35</v>
      </c>
      <c r="C2091" s="75">
        <v>99</v>
      </c>
      <c r="D2091" s="75">
        <v>93.58</v>
      </c>
      <c r="E2091" s="75">
        <v>94.69</v>
      </c>
      <c r="F2091">
        <v>675.84</v>
      </c>
      <c r="G2091">
        <v>-1181.25</v>
      </c>
      <c r="H2091">
        <v>-1525.6000000000001</v>
      </c>
      <c r="I2091">
        <v>-1310.3</v>
      </c>
      <c r="J2091">
        <v>-3341.3100000000004</v>
      </c>
    </row>
    <row r="2092" spans="1:10" x14ac:dyDescent="0.35">
      <c r="A2092">
        <v>2076</v>
      </c>
      <c r="B2092" s="75">
        <v>89.575000000000003</v>
      </c>
      <c r="C2092" s="75">
        <v>99.347399999999993</v>
      </c>
      <c r="D2092" s="75">
        <v>93.373599999999996</v>
      </c>
      <c r="E2092" s="75">
        <v>92.879000000000005</v>
      </c>
      <c r="F2092">
        <v>-70.61999999999999</v>
      </c>
      <c r="G2092">
        <v>-1706.25</v>
      </c>
      <c r="H2092">
        <v>-1115</v>
      </c>
      <c r="I2092">
        <v>501.6</v>
      </c>
      <c r="J2092">
        <v>-2390.27</v>
      </c>
    </row>
    <row r="2093" spans="1:10" x14ac:dyDescent="0.35">
      <c r="A2093">
        <v>2077</v>
      </c>
      <c r="B2093" s="75">
        <v>89.94</v>
      </c>
      <c r="C2093" s="75">
        <v>98.81</v>
      </c>
      <c r="D2093" s="75">
        <v>92.84</v>
      </c>
      <c r="E2093" s="75">
        <v>93.53</v>
      </c>
      <c r="F2093">
        <v>-1284.6899999999998</v>
      </c>
      <c r="G2093">
        <v>-892.65</v>
      </c>
      <c r="H2093">
        <v>-46.4</v>
      </c>
      <c r="I2093">
        <v>-150.69999999999999</v>
      </c>
      <c r="J2093">
        <v>-2374.4399999999996</v>
      </c>
    </row>
    <row r="2094" spans="1:10" x14ac:dyDescent="0.35">
      <c r="A2094">
        <v>2078</v>
      </c>
      <c r="B2094" s="75">
        <v>89.898600000000002</v>
      </c>
      <c r="C2094" s="75">
        <v>97.073899999999995</v>
      </c>
      <c r="D2094" s="75">
        <v>91.933800000000005</v>
      </c>
      <c r="E2094" s="75">
        <v>95.528599999999997</v>
      </c>
      <c r="F2094">
        <v>-1138.5</v>
      </c>
      <c r="G2094">
        <v>1703.9999999999998</v>
      </c>
      <c r="H2094">
        <v>1764.6</v>
      </c>
      <c r="I2094">
        <v>-2148</v>
      </c>
      <c r="J2094">
        <v>182.09999999999945</v>
      </c>
    </row>
    <row r="2095" spans="1:10" x14ac:dyDescent="0.35">
      <c r="A2095">
        <v>2079</v>
      </c>
      <c r="B2095" s="75">
        <v>90.17</v>
      </c>
      <c r="C2095" s="75">
        <v>97.47</v>
      </c>
      <c r="D2095" s="75">
        <v>92.53</v>
      </c>
      <c r="E2095" s="75">
        <v>96.7</v>
      </c>
      <c r="F2095">
        <v>-2037.4199999999998</v>
      </c>
      <c r="G2095">
        <v>1114.5</v>
      </c>
      <c r="H2095">
        <v>573.6</v>
      </c>
      <c r="I2095">
        <v>-3319</v>
      </c>
      <c r="J2095">
        <v>-3668.3199999999997</v>
      </c>
    </row>
    <row r="2096" spans="1:10" x14ac:dyDescent="0.35">
      <c r="A2096">
        <v>2080</v>
      </c>
      <c r="B2096" s="75">
        <v>88.947000000000003</v>
      </c>
      <c r="C2096" s="75">
        <v>98.895499999999998</v>
      </c>
      <c r="D2096" s="75">
        <v>91.2958</v>
      </c>
      <c r="E2096" s="75">
        <v>92.682699999999997</v>
      </c>
      <c r="F2096">
        <v>2001.7800000000002</v>
      </c>
      <c r="G2096">
        <v>-1028.4000000000001</v>
      </c>
      <c r="H2096">
        <v>3040.6</v>
      </c>
      <c r="I2096">
        <v>697.9</v>
      </c>
      <c r="J2096">
        <v>4711.88</v>
      </c>
    </row>
    <row r="2097" spans="1:10" x14ac:dyDescent="0.35">
      <c r="A2097">
        <v>2081</v>
      </c>
      <c r="B2097" s="75">
        <v>89.95</v>
      </c>
      <c r="C2097" s="75">
        <v>97.74</v>
      </c>
      <c r="D2097" s="75">
        <v>92.42</v>
      </c>
      <c r="E2097" s="75">
        <v>92.12</v>
      </c>
      <c r="F2097">
        <v>-1311.4199999999998</v>
      </c>
      <c r="G2097">
        <v>699.44999999999993</v>
      </c>
      <c r="H2097">
        <v>798.4</v>
      </c>
      <c r="I2097">
        <v>1262.3</v>
      </c>
      <c r="J2097">
        <v>1448.73</v>
      </c>
    </row>
    <row r="2098" spans="1:10" x14ac:dyDescent="0.35">
      <c r="A2098">
        <v>2082</v>
      </c>
      <c r="B2098" s="75">
        <v>89.873099999999994</v>
      </c>
      <c r="C2098" s="75">
        <v>97.443799999999996</v>
      </c>
      <c r="D2098" s="75">
        <v>93.267600000000002</v>
      </c>
      <c r="E2098" s="75">
        <v>93.5381</v>
      </c>
      <c r="F2098">
        <v>-1054.3499999999999</v>
      </c>
      <c r="G2098">
        <v>1149.1500000000001</v>
      </c>
      <c r="H2098">
        <v>-903</v>
      </c>
      <c r="I2098">
        <v>-157.5</v>
      </c>
      <c r="J2098">
        <v>-965.69999999999982</v>
      </c>
    </row>
    <row r="2099" spans="1:10" x14ac:dyDescent="0.35">
      <c r="A2099">
        <v>2083</v>
      </c>
      <c r="B2099" s="75">
        <v>90.25</v>
      </c>
      <c r="C2099" s="75">
        <v>98.37</v>
      </c>
      <c r="D2099" s="75">
        <v>92.69</v>
      </c>
      <c r="E2099" s="75">
        <v>95.79</v>
      </c>
      <c r="F2099">
        <v>-2298.7800000000002</v>
      </c>
      <c r="G2099">
        <v>-236.39999999999998</v>
      </c>
      <c r="H2099">
        <v>248.20000000000002</v>
      </c>
      <c r="I2099">
        <v>-2406</v>
      </c>
      <c r="J2099">
        <v>-4692.9800000000005</v>
      </c>
    </row>
    <row r="2100" spans="1:10" x14ac:dyDescent="0.35">
      <c r="A2100">
        <v>2084</v>
      </c>
      <c r="B2100" s="75">
        <v>89.666200000000003</v>
      </c>
      <c r="C2100" s="75">
        <v>98.815399999999997</v>
      </c>
      <c r="D2100" s="75">
        <v>94.995699999999999</v>
      </c>
      <c r="E2100" s="75">
        <v>92.535200000000003</v>
      </c>
      <c r="F2100">
        <v>-371.58000000000004</v>
      </c>
      <c r="G2100">
        <v>-908.25000000000011</v>
      </c>
      <c r="H2100">
        <v>-4359.2000000000007</v>
      </c>
      <c r="I2100">
        <v>845.40000000000009</v>
      </c>
      <c r="J2100">
        <v>-4793.630000000001</v>
      </c>
    </row>
    <row r="2101" spans="1:10" x14ac:dyDescent="0.35">
      <c r="A2101">
        <v>2085</v>
      </c>
      <c r="B2101" s="75">
        <v>88.76</v>
      </c>
      <c r="C2101" s="75">
        <v>97.56</v>
      </c>
      <c r="D2101" s="75">
        <v>93.6</v>
      </c>
      <c r="E2101" s="75">
        <v>93.17</v>
      </c>
      <c r="F2101">
        <v>2624.16</v>
      </c>
      <c r="G2101">
        <v>967.94999999999993</v>
      </c>
      <c r="H2101">
        <v>-1563.8000000000002</v>
      </c>
      <c r="I2101">
        <v>209.7</v>
      </c>
      <c r="J2101">
        <v>2238.0099999999993</v>
      </c>
    </row>
    <row r="2102" spans="1:10" x14ac:dyDescent="0.35">
      <c r="A2102">
        <v>2086</v>
      </c>
      <c r="B2102" s="75">
        <v>89.433000000000007</v>
      </c>
      <c r="C2102" s="75">
        <v>100.1919</v>
      </c>
      <c r="D2102" s="75">
        <v>94.028000000000006</v>
      </c>
      <c r="E2102" s="75">
        <v>95.326400000000007</v>
      </c>
      <c r="F2102">
        <v>397.98</v>
      </c>
      <c r="G2102">
        <v>-2973</v>
      </c>
      <c r="H2102">
        <v>-2423.8000000000002</v>
      </c>
      <c r="I2102">
        <v>-1945.8</v>
      </c>
      <c r="J2102">
        <v>-6944.62</v>
      </c>
    </row>
    <row r="2103" spans="1:10" x14ac:dyDescent="0.35">
      <c r="A2103">
        <v>2087</v>
      </c>
      <c r="B2103" s="75">
        <v>89.46</v>
      </c>
      <c r="C2103" s="75">
        <v>98.91</v>
      </c>
      <c r="D2103" s="75">
        <v>93.37</v>
      </c>
      <c r="E2103" s="75">
        <v>93.99</v>
      </c>
      <c r="F2103">
        <v>309.21000000000004</v>
      </c>
      <c r="G2103">
        <v>-1055.25</v>
      </c>
      <c r="H2103">
        <v>-1107.8</v>
      </c>
      <c r="I2103">
        <v>-613.29999999999995</v>
      </c>
      <c r="J2103">
        <v>-2467.14</v>
      </c>
    </row>
    <row r="2104" spans="1:10" x14ac:dyDescent="0.35">
      <c r="A2104">
        <v>2088</v>
      </c>
      <c r="B2104" s="75">
        <v>89.706699999999998</v>
      </c>
      <c r="C2104" s="75">
        <v>97.37</v>
      </c>
      <c r="D2104" s="75">
        <v>91.573700000000002</v>
      </c>
      <c r="E2104" s="75">
        <v>92.658600000000007</v>
      </c>
      <c r="F2104">
        <v>-505.23</v>
      </c>
      <c r="G2104">
        <v>1259.8499999999999</v>
      </c>
      <c r="H2104">
        <v>2484.7999999999997</v>
      </c>
      <c r="I2104">
        <v>722</v>
      </c>
      <c r="J2104">
        <v>3961.4199999999996</v>
      </c>
    </row>
    <row r="2105" spans="1:10" x14ac:dyDescent="0.35">
      <c r="A2105">
        <v>2089</v>
      </c>
      <c r="B2105" s="75">
        <v>89.74</v>
      </c>
      <c r="C2105" s="75">
        <v>98.13</v>
      </c>
      <c r="D2105" s="75">
        <v>92.73</v>
      </c>
      <c r="E2105" s="75">
        <v>95.53</v>
      </c>
      <c r="F2105">
        <v>-629.64</v>
      </c>
      <c r="G2105">
        <v>121.35</v>
      </c>
      <c r="H2105">
        <v>173.2</v>
      </c>
      <c r="I2105">
        <v>-2149</v>
      </c>
      <c r="J2105">
        <v>-2484.09</v>
      </c>
    </row>
    <row r="2106" spans="1:10" x14ac:dyDescent="0.35">
      <c r="A2106">
        <v>2090</v>
      </c>
      <c r="B2106" s="75">
        <v>89.180800000000005</v>
      </c>
      <c r="C2106" s="75">
        <v>98.777500000000003</v>
      </c>
      <c r="D2106" s="75">
        <v>93.542500000000004</v>
      </c>
      <c r="E2106" s="75">
        <v>94.251900000000006</v>
      </c>
      <c r="F2106">
        <v>1230.24</v>
      </c>
      <c r="G2106">
        <v>-851.4</v>
      </c>
      <c r="H2106">
        <v>-1452.8000000000002</v>
      </c>
      <c r="I2106">
        <v>-871.3</v>
      </c>
      <c r="J2106">
        <v>-1945.26</v>
      </c>
    </row>
    <row r="2107" spans="1:10" x14ac:dyDescent="0.35">
      <c r="A2107">
        <v>2091</v>
      </c>
      <c r="B2107" s="75">
        <v>89.24</v>
      </c>
      <c r="C2107" s="75">
        <v>98.23</v>
      </c>
      <c r="D2107" s="75">
        <v>93.89</v>
      </c>
      <c r="E2107" s="75">
        <v>91.35</v>
      </c>
      <c r="F2107">
        <v>1033.8900000000001</v>
      </c>
      <c r="G2107">
        <v>-31.95</v>
      </c>
      <c r="H2107">
        <v>-2153.4</v>
      </c>
      <c r="I2107">
        <v>2025.7</v>
      </c>
      <c r="J2107">
        <v>874.24</v>
      </c>
    </row>
    <row r="2108" spans="1:10" x14ac:dyDescent="0.35">
      <c r="A2108">
        <v>2092</v>
      </c>
      <c r="B2108" s="75">
        <v>89.998699999999999</v>
      </c>
      <c r="C2108" s="75">
        <v>97.799000000000007</v>
      </c>
      <c r="D2108" s="75">
        <v>92.491600000000005</v>
      </c>
      <c r="E2108" s="75">
        <v>93.698499999999996</v>
      </c>
      <c r="F2108">
        <v>-1468.83</v>
      </c>
      <c r="G2108">
        <v>616.35</v>
      </c>
      <c r="H2108">
        <v>649</v>
      </c>
      <c r="I2108">
        <v>-317.90000000000003</v>
      </c>
      <c r="J2108">
        <v>-521.37999999999988</v>
      </c>
    </row>
    <row r="2109" spans="1:10" x14ac:dyDescent="0.35">
      <c r="A2109">
        <v>2093</v>
      </c>
      <c r="B2109" s="75">
        <v>90.26</v>
      </c>
      <c r="C2109" s="75">
        <v>96.56</v>
      </c>
      <c r="D2109" s="75">
        <v>92.77</v>
      </c>
      <c r="E2109" s="75">
        <v>92</v>
      </c>
      <c r="F2109">
        <v>-2343.33</v>
      </c>
      <c r="G2109">
        <v>2471.1</v>
      </c>
      <c r="H2109">
        <v>83</v>
      </c>
      <c r="I2109">
        <v>1381.8</v>
      </c>
      <c r="J2109">
        <v>1592.57</v>
      </c>
    </row>
    <row r="2110" spans="1:10" x14ac:dyDescent="0.35">
      <c r="A2110">
        <v>2094</v>
      </c>
      <c r="B2110" s="75">
        <v>89.78</v>
      </c>
      <c r="C2110" s="75">
        <v>99.868099999999998</v>
      </c>
      <c r="D2110" s="75">
        <v>92.064400000000006</v>
      </c>
      <c r="E2110" s="75">
        <v>92.405900000000003</v>
      </c>
      <c r="F2110">
        <v>-747.12</v>
      </c>
      <c r="G2110">
        <v>-2487.2999999999997</v>
      </c>
      <c r="H2110">
        <v>1503.4</v>
      </c>
      <c r="I2110">
        <v>974.7</v>
      </c>
      <c r="J2110">
        <v>-756.31999999999948</v>
      </c>
    </row>
    <row r="2111" spans="1:10" x14ac:dyDescent="0.35">
      <c r="A2111">
        <v>2095</v>
      </c>
      <c r="B2111" s="75">
        <v>88.48</v>
      </c>
      <c r="C2111" s="75">
        <v>97.94</v>
      </c>
      <c r="D2111" s="75">
        <v>93.58</v>
      </c>
      <c r="E2111" s="75">
        <v>93.7</v>
      </c>
      <c r="F2111">
        <v>3535.2899999999995</v>
      </c>
      <c r="G2111">
        <v>405</v>
      </c>
      <c r="H2111">
        <v>-1523.6000000000001</v>
      </c>
      <c r="I2111">
        <v>-322.7</v>
      </c>
      <c r="J2111">
        <v>2093.9899999999998</v>
      </c>
    </row>
    <row r="2112" spans="1:10" x14ac:dyDescent="0.35">
      <c r="A2112">
        <v>2096</v>
      </c>
      <c r="B2112" s="75">
        <v>89.113600000000005</v>
      </c>
      <c r="C2112" s="75">
        <v>98.670199999999994</v>
      </c>
      <c r="D2112" s="75">
        <v>93.134900000000002</v>
      </c>
      <c r="E2112" s="75">
        <v>94.225999999999999</v>
      </c>
      <c r="F2112">
        <v>1452</v>
      </c>
      <c r="G2112">
        <v>-690.44999999999993</v>
      </c>
      <c r="H2112">
        <v>-637.59999999999991</v>
      </c>
      <c r="I2112">
        <v>-845.40000000000009</v>
      </c>
      <c r="J2112">
        <v>-721.44999999999993</v>
      </c>
    </row>
    <row r="2113" spans="1:10" x14ac:dyDescent="0.35">
      <c r="A2113">
        <v>2097</v>
      </c>
      <c r="B2113" s="75">
        <v>88.51</v>
      </c>
      <c r="C2113" s="75">
        <v>97.71</v>
      </c>
      <c r="D2113" s="75">
        <v>92.13</v>
      </c>
      <c r="E2113" s="75">
        <v>94.22</v>
      </c>
      <c r="F2113">
        <v>3438.9300000000003</v>
      </c>
      <c r="G2113">
        <v>751.94999999999993</v>
      </c>
      <c r="H2113">
        <v>1370</v>
      </c>
      <c r="I2113">
        <v>-842.19999999999993</v>
      </c>
      <c r="J2113">
        <v>4718.68</v>
      </c>
    </row>
    <row r="2114" spans="1:10" x14ac:dyDescent="0.35">
      <c r="A2114">
        <v>2098</v>
      </c>
      <c r="B2114" s="75">
        <v>90.056700000000006</v>
      </c>
      <c r="C2114" s="75">
        <v>98.471599999999995</v>
      </c>
      <c r="D2114" s="75">
        <v>92.183300000000003</v>
      </c>
      <c r="E2114" s="75">
        <v>91.643299999999996</v>
      </c>
      <c r="F2114">
        <v>-1660.23</v>
      </c>
      <c r="G2114">
        <v>-392.54999999999995</v>
      </c>
      <c r="H2114">
        <v>1265.6000000000001</v>
      </c>
      <c r="I2114">
        <v>1737.3</v>
      </c>
      <c r="J2114">
        <v>950.12000000000035</v>
      </c>
    </row>
    <row r="2115" spans="1:10" x14ac:dyDescent="0.35">
      <c r="A2115">
        <v>2099</v>
      </c>
      <c r="B2115" s="75">
        <v>89.43</v>
      </c>
      <c r="C2115" s="75">
        <v>98.4</v>
      </c>
      <c r="D2115" s="75">
        <v>93.4</v>
      </c>
      <c r="E2115" s="75">
        <v>95.37</v>
      </c>
      <c r="F2115">
        <v>392.7</v>
      </c>
      <c r="G2115">
        <v>-284.55</v>
      </c>
      <c r="H2115">
        <v>-1164.1999999999998</v>
      </c>
      <c r="I2115">
        <v>-1989.1000000000001</v>
      </c>
      <c r="J2115">
        <v>-3045.1499999999996</v>
      </c>
    </row>
    <row r="2116" spans="1:10" x14ac:dyDescent="0.35">
      <c r="A2116">
        <v>2100</v>
      </c>
      <c r="B2116" s="75">
        <v>89.794499999999999</v>
      </c>
      <c r="C2116" s="75">
        <v>98.823400000000007</v>
      </c>
      <c r="D2116" s="75">
        <v>92.122</v>
      </c>
      <c r="E2116" s="75">
        <v>92.951700000000002</v>
      </c>
      <c r="F2116">
        <v>-794.97</v>
      </c>
      <c r="G2116">
        <v>-920.25000000000011</v>
      </c>
      <c r="H2116">
        <v>1388.2</v>
      </c>
      <c r="I2116">
        <v>428.9</v>
      </c>
      <c r="J2116">
        <v>101.87999999999977</v>
      </c>
    </row>
    <row r="2117" spans="1:10" x14ac:dyDescent="0.35">
      <c r="A2117">
        <v>2101</v>
      </c>
      <c r="B2117" s="75">
        <v>90.36</v>
      </c>
      <c r="C2117" s="75">
        <v>97.07</v>
      </c>
      <c r="D2117" s="75">
        <v>93.08</v>
      </c>
      <c r="E2117" s="75">
        <v>94.32</v>
      </c>
      <c r="F2117">
        <v>-2652.54</v>
      </c>
      <c r="G2117">
        <v>1705.3500000000001</v>
      </c>
      <c r="H2117">
        <v>-526.4</v>
      </c>
      <c r="I2117">
        <v>-935.4</v>
      </c>
      <c r="J2117">
        <v>-2408.9899999999998</v>
      </c>
    </row>
    <row r="2118" spans="1:10" x14ac:dyDescent="0.35">
      <c r="A2118">
        <v>2102</v>
      </c>
      <c r="B2118" s="75">
        <v>89.037999999999997</v>
      </c>
      <c r="C2118" s="75">
        <v>97.215500000000006</v>
      </c>
      <c r="D2118" s="75">
        <v>92.613</v>
      </c>
      <c r="E2118" s="75">
        <v>93.173299999999998</v>
      </c>
      <c r="F2118">
        <v>1701.4799999999998</v>
      </c>
      <c r="G2118">
        <v>1491.6</v>
      </c>
      <c r="H2118">
        <v>406.2</v>
      </c>
      <c r="I2118">
        <v>207.3</v>
      </c>
      <c r="J2118">
        <v>3806.58</v>
      </c>
    </row>
    <row r="2119" spans="1:10" x14ac:dyDescent="0.35">
      <c r="A2119">
        <v>2103</v>
      </c>
      <c r="B2119" s="75">
        <v>89.04</v>
      </c>
      <c r="C2119" s="75">
        <v>99.19</v>
      </c>
      <c r="D2119" s="75">
        <v>93.69</v>
      </c>
      <c r="E2119" s="75">
        <v>91.86</v>
      </c>
      <c r="F2119">
        <v>1686.3</v>
      </c>
      <c r="G2119">
        <v>-1468.8</v>
      </c>
      <c r="H2119">
        <v>-1745.4</v>
      </c>
      <c r="I2119">
        <v>1517.7</v>
      </c>
      <c r="J2119">
        <v>-10.200000000000045</v>
      </c>
    </row>
    <row r="2120" spans="1:10" x14ac:dyDescent="0.35">
      <c r="A2120">
        <v>2104</v>
      </c>
      <c r="B2120" s="75">
        <v>89.098399999999998</v>
      </c>
      <c r="C2120" s="75">
        <v>98.891599999999997</v>
      </c>
      <c r="D2120" s="75">
        <v>93.368099999999998</v>
      </c>
      <c r="E2120" s="75">
        <v>92.502200000000002</v>
      </c>
      <c r="F2120">
        <v>1502.16</v>
      </c>
      <c r="G2120">
        <v>-1022.55</v>
      </c>
      <c r="H2120">
        <v>-1104</v>
      </c>
      <c r="I2120">
        <v>878.4</v>
      </c>
      <c r="J2120">
        <v>254.0100000000001</v>
      </c>
    </row>
    <row r="2121" spans="1:10" x14ac:dyDescent="0.35">
      <c r="A2121">
        <v>2105</v>
      </c>
      <c r="B2121" s="75">
        <v>90.05</v>
      </c>
      <c r="C2121" s="75">
        <v>97.68</v>
      </c>
      <c r="D2121" s="75">
        <v>93.25</v>
      </c>
      <c r="E2121" s="75">
        <v>94.52</v>
      </c>
      <c r="F2121">
        <v>-1652.3100000000002</v>
      </c>
      <c r="G2121">
        <v>794.1</v>
      </c>
      <c r="H2121">
        <v>-860.6</v>
      </c>
      <c r="I2121">
        <v>-1139.2</v>
      </c>
      <c r="J2121">
        <v>-2858.01</v>
      </c>
    </row>
    <row r="2122" spans="1:10" x14ac:dyDescent="0.35">
      <c r="A2122">
        <v>2106</v>
      </c>
      <c r="B2122" s="75">
        <v>89.498599999999996</v>
      </c>
      <c r="C2122" s="75">
        <v>97.240399999999994</v>
      </c>
      <c r="D2122" s="75">
        <v>92.926199999999994</v>
      </c>
      <c r="E2122" s="75">
        <v>93.192300000000003</v>
      </c>
      <c r="F2122">
        <v>181.5</v>
      </c>
      <c r="G2122">
        <v>1454.25</v>
      </c>
      <c r="H2122">
        <v>-220.20000000000002</v>
      </c>
      <c r="I2122">
        <v>188.29999999999998</v>
      </c>
      <c r="J2122">
        <v>1603.85</v>
      </c>
    </row>
    <row r="2123" spans="1:10" x14ac:dyDescent="0.35">
      <c r="A2123">
        <v>2107</v>
      </c>
      <c r="B2123" s="75">
        <v>89.6</v>
      </c>
      <c r="C2123" s="75">
        <v>97.45</v>
      </c>
      <c r="D2123" s="75">
        <v>91.14</v>
      </c>
      <c r="E2123" s="75">
        <v>93.35</v>
      </c>
      <c r="F2123">
        <v>-140.91</v>
      </c>
      <c r="G2123">
        <v>1132.8</v>
      </c>
      <c r="H2123">
        <v>3351.7999999999997</v>
      </c>
      <c r="I2123">
        <v>29.1</v>
      </c>
      <c r="J2123">
        <v>4372.79</v>
      </c>
    </row>
    <row r="2124" spans="1:10" x14ac:dyDescent="0.35">
      <c r="A2124">
        <v>2108</v>
      </c>
      <c r="B2124" s="75">
        <v>89.404600000000002</v>
      </c>
      <c r="C2124" s="75">
        <v>97.609300000000005</v>
      </c>
      <c r="D2124" s="75">
        <v>90.772400000000005</v>
      </c>
      <c r="E2124" s="75">
        <v>96.021100000000004</v>
      </c>
      <c r="F2124">
        <v>491.7</v>
      </c>
      <c r="G2124">
        <v>900.90000000000009</v>
      </c>
      <c r="H2124">
        <v>4087.3999999999996</v>
      </c>
      <c r="I2124">
        <v>-2640.5</v>
      </c>
      <c r="J2124">
        <v>2839.5</v>
      </c>
    </row>
    <row r="2125" spans="1:10" x14ac:dyDescent="0.35">
      <c r="A2125">
        <v>2109</v>
      </c>
      <c r="B2125" s="75">
        <v>89.87</v>
      </c>
      <c r="C2125" s="75">
        <v>97.42</v>
      </c>
      <c r="D2125" s="75">
        <v>91.75</v>
      </c>
      <c r="E2125" s="75">
        <v>94.93</v>
      </c>
      <c r="F2125">
        <v>-1041.48</v>
      </c>
      <c r="G2125">
        <v>1187.8500000000001</v>
      </c>
      <c r="H2125">
        <v>2136.2000000000003</v>
      </c>
      <c r="I2125">
        <v>-1548.2</v>
      </c>
      <c r="J2125">
        <v>734.37000000000057</v>
      </c>
    </row>
    <row r="2126" spans="1:10" x14ac:dyDescent="0.35">
      <c r="A2126">
        <v>2110</v>
      </c>
      <c r="B2126" s="75">
        <v>89.453000000000003</v>
      </c>
      <c r="C2126" s="75">
        <v>96.866900000000001</v>
      </c>
      <c r="D2126" s="75">
        <v>92.750500000000002</v>
      </c>
      <c r="E2126" s="75">
        <v>95.452200000000005</v>
      </c>
      <c r="F2126">
        <v>331.97999999999996</v>
      </c>
      <c r="G2126">
        <v>2014.5</v>
      </c>
      <c r="H2126">
        <v>131.20000000000002</v>
      </c>
      <c r="I2126">
        <v>-2071.6</v>
      </c>
      <c r="J2126">
        <v>406.07999999999993</v>
      </c>
    </row>
    <row r="2127" spans="1:10" x14ac:dyDescent="0.35">
      <c r="A2127">
        <v>2111</v>
      </c>
      <c r="B2127" s="75">
        <v>89.89</v>
      </c>
      <c r="C2127" s="75">
        <v>98.77</v>
      </c>
      <c r="D2127" s="75">
        <v>92.74</v>
      </c>
      <c r="E2127" s="75">
        <v>93.19</v>
      </c>
      <c r="F2127">
        <v>-1110.45</v>
      </c>
      <c r="G2127">
        <v>-845.55</v>
      </c>
      <c r="H2127">
        <v>159.80000000000001</v>
      </c>
      <c r="I2127">
        <v>187.9</v>
      </c>
      <c r="J2127">
        <v>-1608.3</v>
      </c>
    </row>
    <row r="2128" spans="1:10" x14ac:dyDescent="0.35">
      <c r="A2128">
        <v>2112</v>
      </c>
      <c r="B2128" s="75">
        <v>89.527100000000004</v>
      </c>
      <c r="C2128" s="75">
        <v>98.040599999999998</v>
      </c>
      <c r="D2128" s="75">
        <v>91.903700000000001</v>
      </c>
      <c r="E2128" s="75">
        <v>94.262799999999999</v>
      </c>
      <c r="F2128">
        <v>87.45</v>
      </c>
      <c r="G2128">
        <v>253.95000000000002</v>
      </c>
      <c r="H2128">
        <v>1824.8</v>
      </c>
      <c r="I2128">
        <v>-882.19999999999993</v>
      </c>
      <c r="J2128">
        <v>1284</v>
      </c>
    </row>
    <row r="2129" spans="1:10" x14ac:dyDescent="0.35">
      <c r="A2129">
        <v>2113</v>
      </c>
      <c r="B2129" s="75">
        <v>89.72</v>
      </c>
      <c r="C2129" s="75">
        <v>98.8</v>
      </c>
      <c r="D2129" s="75">
        <v>93.66</v>
      </c>
      <c r="E2129" s="75">
        <v>93.88</v>
      </c>
      <c r="F2129">
        <v>-558.36</v>
      </c>
      <c r="G2129">
        <v>-883.65</v>
      </c>
      <c r="H2129">
        <v>-1688</v>
      </c>
      <c r="I2129">
        <v>-502.70000000000005</v>
      </c>
      <c r="J2129">
        <v>-3632.71</v>
      </c>
    </row>
    <row r="2130" spans="1:10" x14ac:dyDescent="0.35">
      <c r="A2130">
        <v>2114</v>
      </c>
      <c r="B2130" s="75">
        <v>90.027000000000001</v>
      </c>
      <c r="C2130" s="75">
        <v>97.439899999999994</v>
      </c>
      <c r="D2130" s="75">
        <v>92.618099999999998</v>
      </c>
      <c r="E2130" s="75">
        <v>93.555899999999994</v>
      </c>
      <c r="F2130">
        <v>-1562.22</v>
      </c>
      <c r="G2130">
        <v>1155</v>
      </c>
      <c r="H2130">
        <v>396</v>
      </c>
      <c r="I2130">
        <v>-175.3</v>
      </c>
      <c r="J2130">
        <v>-186.52000000000004</v>
      </c>
    </row>
    <row r="2131" spans="1:10" x14ac:dyDescent="0.35">
      <c r="A2131">
        <v>2115</v>
      </c>
      <c r="B2131" s="75">
        <v>89.62</v>
      </c>
      <c r="C2131" s="75">
        <v>98.6</v>
      </c>
      <c r="D2131" s="75">
        <v>92.14</v>
      </c>
      <c r="E2131" s="75">
        <v>93.94</v>
      </c>
      <c r="F2131">
        <v>-224.73</v>
      </c>
      <c r="G2131">
        <v>-580.94999999999993</v>
      </c>
      <c r="H2131">
        <v>1345</v>
      </c>
      <c r="I2131">
        <v>-560.30000000000007</v>
      </c>
      <c r="J2131">
        <v>-20.980000000000018</v>
      </c>
    </row>
    <row r="2132" spans="1:10" x14ac:dyDescent="0.35">
      <c r="A2132">
        <v>2116</v>
      </c>
      <c r="B2132" s="75">
        <v>89.280699999999996</v>
      </c>
      <c r="C2132" s="75">
        <v>97.7376</v>
      </c>
      <c r="D2132" s="75">
        <v>93.159599999999998</v>
      </c>
      <c r="E2132" s="75">
        <v>94.534000000000006</v>
      </c>
      <c r="F2132">
        <v>900.56999999999994</v>
      </c>
      <c r="G2132">
        <v>708.45</v>
      </c>
      <c r="H2132">
        <v>-687</v>
      </c>
      <c r="I2132">
        <v>-1153.4000000000001</v>
      </c>
      <c r="J2132">
        <v>-231.38000000000011</v>
      </c>
    </row>
    <row r="2133" spans="1:10" x14ac:dyDescent="0.35">
      <c r="A2133">
        <v>2117</v>
      </c>
      <c r="B2133" s="75">
        <v>90.48</v>
      </c>
      <c r="C2133" s="75">
        <v>98.29</v>
      </c>
      <c r="D2133" s="75">
        <v>93</v>
      </c>
      <c r="E2133" s="75">
        <v>92.82</v>
      </c>
      <c r="F2133">
        <v>-3059.76</v>
      </c>
      <c r="G2133">
        <v>-125.25000000000001</v>
      </c>
      <c r="H2133">
        <v>-374.40000000000003</v>
      </c>
      <c r="I2133">
        <v>561.5</v>
      </c>
      <c r="J2133">
        <v>-2997.9100000000003</v>
      </c>
    </row>
    <row r="2134" spans="1:10" x14ac:dyDescent="0.35">
      <c r="A2134">
        <v>2118</v>
      </c>
      <c r="B2134" s="75">
        <v>89.714299999999994</v>
      </c>
      <c r="C2134" s="75">
        <v>97.573499999999996</v>
      </c>
      <c r="D2134" s="75">
        <v>92.059799999999996</v>
      </c>
      <c r="E2134" s="75">
        <v>93.156000000000006</v>
      </c>
      <c r="F2134">
        <v>-530.31000000000006</v>
      </c>
      <c r="G2134">
        <v>954.59999999999991</v>
      </c>
      <c r="H2134">
        <v>1512.6</v>
      </c>
      <c r="I2134">
        <v>224.6</v>
      </c>
      <c r="J2134">
        <v>2161.4899999999998</v>
      </c>
    </row>
    <row r="2135" spans="1:10" x14ac:dyDescent="0.35">
      <c r="A2135">
        <v>2119</v>
      </c>
      <c r="B2135" s="75">
        <v>89.53</v>
      </c>
      <c r="C2135" s="75">
        <v>98.89</v>
      </c>
      <c r="D2135" s="75">
        <v>90.31</v>
      </c>
      <c r="E2135" s="75">
        <v>94.45</v>
      </c>
      <c r="F2135">
        <v>92.070000000000007</v>
      </c>
      <c r="G2135">
        <v>-1017.45</v>
      </c>
      <c r="H2135">
        <v>5004.4000000000005</v>
      </c>
      <c r="I2135">
        <v>-1067.8000000000002</v>
      </c>
      <c r="J2135">
        <v>3011.2200000000003</v>
      </c>
    </row>
    <row r="2136" spans="1:10" x14ac:dyDescent="0.35">
      <c r="A2136">
        <v>2120</v>
      </c>
      <c r="B2136" s="75">
        <v>88.819000000000003</v>
      </c>
      <c r="C2136" s="75">
        <v>98.073800000000006</v>
      </c>
      <c r="D2136" s="75">
        <v>92.707499999999996</v>
      </c>
      <c r="E2136" s="75">
        <v>90.895600000000002</v>
      </c>
      <c r="F2136">
        <v>2424.1800000000003</v>
      </c>
      <c r="G2136">
        <v>204.15</v>
      </c>
      <c r="H2136">
        <v>217.20000000000002</v>
      </c>
      <c r="I2136">
        <v>2485</v>
      </c>
      <c r="J2136">
        <v>5330.5300000000007</v>
      </c>
    </row>
    <row r="2137" spans="1:10" x14ac:dyDescent="0.35">
      <c r="A2137">
        <v>2121</v>
      </c>
      <c r="B2137" s="75">
        <v>89.47</v>
      </c>
      <c r="C2137" s="75">
        <v>97.75</v>
      </c>
      <c r="D2137" s="75">
        <v>93.01</v>
      </c>
      <c r="E2137" s="75">
        <v>89.97</v>
      </c>
      <c r="F2137">
        <v>269.94</v>
      </c>
      <c r="G2137">
        <v>694.5</v>
      </c>
      <c r="H2137">
        <v>-392.2</v>
      </c>
      <c r="I2137">
        <v>3415.2999999999997</v>
      </c>
      <c r="J2137">
        <v>3987.54</v>
      </c>
    </row>
    <row r="2138" spans="1:10" x14ac:dyDescent="0.35">
      <c r="A2138">
        <v>2122</v>
      </c>
      <c r="B2138" s="75">
        <v>90.426400000000001</v>
      </c>
      <c r="C2138" s="75">
        <v>97.288200000000003</v>
      </c>
      <c r="D2138" s="75">
        <v>93.211699999999993</v>
      </c>
      <c r="E2138" s="75">
        <v>95.581400000000002</v>
      </c>
      <c r="F2138">
        <v>-2880.2400000000002</v>
      </c>
      <c r="G2138">
        <v>1382.55</v>
      </c>
      <c r="H2138">
        <v>-791.2</v>
      </c>
      <c r="I2138">
        <v>-2200.8000000000002</v>
      </c>
      <c r="J2138">
        <v>-4489.6900000000005</v>
      </c>
    </row>
    <row r="2139" spans="1:10" x14ac:dyDescent="0.35">
      <c r="A2139">
        <v>2123</v>
      </c>
      <c r="B2139" s="75">
        <v>89.17</v>
      </c>
      <c r="C2139" s="75">
        <v>97.97</v>
      </c>
      <c r="D2139" s="75">
        <v>91.49</v>
      </c>
      <c r="E2139" s="75">
        <v>95.88</v>
      </c>
      <c r="F2139">
        <v>1269.51</v>
      </c>
      <c r="G2139">
        <v>357.75</v>
      </c>
      <c r="H2139">
        <v>2655.6000000000004</v>
      </c>
      <c r="I2139">
        <v>-2499.6999999999998</v>
      </c>
      <c r="J2139">
        <v>1783.1600000000008</v>
      </c>
    </row>
    <row r="2140" spans="1:10" x14ac:dyDescent="0.35">
      <c r="A2140">
        <v>2124</v>
      </c>
      <c r="B2140" s="75">
        <v>89.436000000000007</v>
      </c>
      <c r="C2140" s="75">
        <v>100.46769999999999</v>
      </c>
      <c r="D2140" s="75">
        <v>95.848200000000006</v>
      </c>
      <c r="E2140" s="75">
        <v>93.645799999999994</v>
      </c>
      <c r="F2140">
        <v>388.08</v>
      </c>
      <c r="G2140">
        <v>-3386.7</v>
      </c>
      <c r="H2140">
        <v>-6064.2</v>
      </c>
      <c r="I2140">
        <v>-265.2</v>
      </c>
      <c r="J2140">
        <v>-9328.02</v>
      </c>
    </row>
    <row r="2141" spans="1:10" x14ac:dyDescent="0.35">
      <c r="A2141">
        <v>2125</v>
      </c>
      <c r="B2141" s="75">
        <v>89.23</v>
      </c>
      <c r="C2141" s="75">
        <v>98.7</v>
      </c>
      <c r="D2141" s="75">
        <v>92.8</v>
      </c>
      <c r="E2141" s="75">
        <v>92.46</v>
      </c>
      <c r="F2141">
        <v>1066.8899999999999</v>
      </c>
      <c r="G2141">
        <v>-729.15</v>
      </c>
      <c r="H2141">
        <v>34.6</v>
      </c>
      <c r="I2141">
        <v>917.69999999999993</v>
      </c>
      <c r="J2141">
        <v>1290.04</v>
      </c>
    </row>
    <row r="2142" spans="1:10" x14ac:dyDescent="0.35">
      <c r="A2142">
        <v>2126</v>
      </c>
      <c r="B2142" s="75">
        <v>88.931200000000004</v>
      </c>
      <c r="C2142" s="75">
        <v>99.648200000000003</v>
      </c>
      <c r="D2142" s="75">
        <v>93.663899999999998</v>
      </c>
      <c r="E2142" s="75">
        <v>91.486400000000003</v>
      </c>
      <c r="F2142">
        <v>2053.92</v>
      </c>
      <c r="G2142">
        <v>-2157.4499999999998</v>
      </c>
      <c r="H2142">
        <v>-1695.6</v>
      </c>
      <c r="I2142">
        <v>1894.2</v>
      </c>
      <c r="J2142">
        <v>95.070000000000391</v>
      </c>
    </row>
    <row r="2143" spans="1:10" x14ac:dyDescent="0.35">
      <c r="A2143">
        <v>2127</v>
      </c>
      <c r="B2143" s="75">
        <v>89.58</v>
      </c>
      <c r="C2143" s="75">
        <v>98.73</v>
      </c>
      <c r="D2143" s="75">
        <v>93.51</v>
      </c>
      <c r="E2143" s="75">
        <v>92.89</v>
      </c>
      <c r="F2143">
        <v>-78.87</v>
      </c>
      <c r="G2143">
        <v>-786.75</v>
      </c>
      <c r="H2143">
        <v>-1393.6</v>
      </c>
      <c r="I2143">
        <v>495.59999999999997</v>
      </c>
      <c r="J2143">
        <v>-1763.62</v>
      </c>
    </row>
    <row r="2144" spans="1:10" x14ac:dyDescent="0.35">
      <c r="A2144">
        <v>2128</v>
      </c>
      <c r="B2144" s="75">
        <v>89.896699999999996</v>
      </c>
      <c r="C2144" s="75">
        <v>98.059299999999993</v>
      </c>
      <c r="D2144" s="75">
        <v>94.041200000000003</v>
      </c>
      <c r="E2144" s="75">
        <v>94.564700000000002</v>
      </c>
      <c r="F2144">
        <v>-1132.23</v>
      </c>
      <c r="G2144">
        <v>225.9</v>
      </c>
      <c r="H2144">
        <v>-2450.2000000000003</v>
      </c>
      <c r="I2144">
        <v>-1184.0999999999999</v>
      </c>
      <c r="J2144">
        <v>-4540.63</v>
      </c>
    </row>
    <row r="2145" spans="1:10" x14ac:dyDescent="0.35">
      <c r="A2145">
        <v>2129</v>
      </c>
      <c r="B2145" s="75">
        <v>89.74</v>
      </c>
      <c r="C2145" s="75">
        <v>98.71</v>
      </c>
      <c r="D2145" s="75">
        <v>92.5</v>
      </c>
      <c r="E2145" s="75">
        <v>93.47</v>
      </c>
      <c r="F2145">
        <v>-609.83999999999992</v>
      </c>
      <c r="G2145">
        <v>-745.5</v>
      </c>
      <c r="H2145">
        <v>624.80000000000007</v>
      </c>
      <c r="I2145">
        <v>-89.399999999999991</v>
      </c>
      <c r="J2145">
        <v>-819.93999999999983</v>
      </c>
    </row>
    <row r="2146" spans="1:10" x14ac:dyDescent="0.35">
      <c r="A2146">
        <v>2130</v>
      </c>
      <c r="B2146" s="75">
        <v>89.753799999999998</v>
      </c>
      <c r="C2146" s="75">
        <v>99.542599999999993</v>
      </c>
      <c r="D2146" s="75">
        <v>93.375799999999998</v>
      </c>
      <c r="E2146" s="75">
        <v>93.000100000000003</v>
      </c>
      <c r="F2146">
        <v>-660.66</v>
      </c>
      <c r="G2146">
        <v>-1999.05</v>
      </c>
      <c r="H2146">
        <v>-1119.3999999999999</v>
      </c>
      <c r="I2146">
        <v>380.5</v>
      </c>
      <c r="J2146">
        <v>-3398.6099999999997</v>
      </c>
    </row>
    <row r="2147" spans="1:10" x14ac:dyDescent="0.35">
      <c r="A2147">
        <v>2131</v>
      </c>
      <c r="B2147" s="75">
        <v>89.57</v>
      </c>
      <c r="C2147" s="75">
        <v>98.38</v>
      </c>
      <c r="D2147" s="75">
        <v>93.3</v>
      </c>
      <c r="E2147" s="75">
        <v>95.68</v>
      </c>
      <c r="F2147">
        <v>-46.86</v>
      </c>
      <c r="G2147">
        <v>-251.85</v>
      </c>
      <c r="H2147">
        <v>-967.40000000000009</v>
      </c>
      <c r="I2147">
        <v>-2297.8000000000002</v>
      </c>
      <c r="J2147">
        <v>-3563.9100000000003</v>
      </c>
    </row>
    <row r="2148" spans="1:10" x14ac:dyDescent="0.35">
      <c r="A2148">
        <v>2132</v>
      </c>
      <c r="B2148" s="75">
        <v>88.506399999999999</v>
      </c>
      <c r="C2148" s="75">
        <v>99.034599999999998</v>
      </c>
      <c r="D2148" s="75">
        <v>91.563400000000001</v>
      </c>
      <c r="E2148" s="75">
        <v>93.151700000000005</v>
      </c>
      <c r="F2148">
        <v>3455.7599999999998</v>
      </c>
      <c r="G2148">
        <v>-1237.05</v>
      </c>
      <c r="H2148">
        <v>2505.3999999999996</v>
      </c>
      <c r="I2148">
        <v>228.9</v>
      </c>
      <c r="J2148">
        <v>4953.0099999999993</v>
      </c>
    </row>
    <row r="2149" spans="1:10" x14ac:dyDescent="0.35">
      <c r="A2149">
        <v>2133</v>
      </c>
      <c r="B2149" s="75">
        <v>89.32</v>
      </c>
      <c r="C2149" s="75">
        <v>99.32</v>
      </c>
      <c r="D2149" s="75">
        <v>92.54</v>
      </c>
      <c r="E2149" s="75">
        <v>91.72</v>
      </c>
      <c r="F2149">
        <v>767.25</v>
      </c>
      <c r="G2149">
        <v>-1668.6000000000001</v>
      </c>
      <c r="H2149">
        <v>553.4</v>
      </c>
      <c r="I2149">
        <v>1665.4</v>
      </c>
      <c r="J2149">
        <v>1317.4499999999998</v>
      </c>
    </row>
    <row r="2150" spans="1:10" x14ac:dyDescent="0.35">
      <c r="A2150">
        <v>2134</v>
      </c>
      <c r="B2150" s="75">
        <v>89.721100000000007</v>
      </c>
      <c r="C2150" s="75">
        <v>97.383300000000006</v>
      </c>
      <c r="D2150" s="75">
        <v>91.753799999999998</v>
      </c>
      <c r="E2150" s="75">
        <v>93.220500000000001</v>
      </c>
      <c r="F2150">
        <v>-552.75</v>
      </c>
      <c r="G2150">
        <v>1239.9000000000001</v>
      </c>
      <c r="H2150">
        <v>2124.6</v>
      </c>
      <c r="I2150">
        <v>160.1</v>
      </c>
      <c r="J2150">
        <v>2971.85</v>
      </c>
    </row>
    <row r="2151" spans="1:10" x14ac:dyDescent="0.35">
      <c r="A2151">
        <v>2135</v>
      </c>
      <c r="B2151" s="75">
        <v>88.79</v>
      </c>
      <c r="C2151" s="75">
        <v>98.52</v>
      </c>
      <c r="D2151" s="75">
        <v>94.01</v>
      </c>
      <c r="E2151" s="75">
        <v>93.68</v>
      </c>
      <c r="F2151">
        <v>2533.4100000000003</v>
      </c>
      <c r="G2151">
        <v>-458.4</v>
      </c>
      <c r="H2151">
        <v>-2377.8000000000002</v>
      </c>
      <c r="I2151">
        <v>-299.20000000000005</v>
      </c>
      <c r="J2151">
        <v>-601.99</v>
      </c>
    </row>
    <row r="2152" spans="1:10" x14ac:dyDescent="0.35">
      <c r="A2152">
        <v>2136</v>
      </c>
      <c r="B2152" s="75">
        <v>89.255099999999999</v>
      </c>
      <c r="C2152" s="75">
        <v>97.975200000000001</v>
      </c>
      <c r="D2152" s="75">
        <v>94.337000000000003</v>
      </c>
      <c r="E2152" s="75">
        <v>94.657300000000006</v>
      </c>
      <c r="F2152">
        <v>985.05</v>
      </c>
      <c r="G2152">
        <v>352.05</v>
      </c>
      <c r="H2152">
        <v>-3041.7999999999997</v>
      </c>
      <c r="I2152">
        <v>-1276.7</v>
      </c>
      <c r="J2152">
        <v>-2981.3999999999996</v>
      </c>
    </row>
    <row r="2153" spans="1:10" x14ac:dyDescent="0.35">
      <c r="A2153">
        <v>2137</v>
      </c>
      <c r="B2153" s="75">
        <v>90.72</v>
      </c>
      <c r="C2153" s="75">
        <v>98.12</v>
      </c>
      <c r="D2153" s="75">
        <v>92.12</v>
      </c>
      <c r="E2153" s="75">
        <v>90.66</v>
      </c>
      <c r="F2153">
        <v>-3862.65</v>
      </c>
      <c r="G2153">
        <v>138.30000000000001</v>
      </c>
      <c r="H2153">
        <v>1397.6</v>
      </c>
      <c r="I2153">
        <v>2717.1</v>
      </c>
      <c r="J2153">
        <v>390.34999999999991</v>
      </c>
    </row>
    <row r="2154" spans="1:10" x14ac:dyDescent="0.35">
      <c r="A2154">
        <v>2138</v>
      </c>
      <c r="B2154" s="75">
        <v>90.119500000000002</v>
      </c>
      <c r="C2154" s="75">
        <v>99.067700000000002</v>
      </c>
      <c r="D2154" s="75">
        <v>93.577699999999993</v>
      </c>
      <c r="E2154" s="75">
        <v>90.823999999999998</v>
      </c>
      <c r="F2154">
        <v>-1867.4699999999998</v>
      </c>
      <c r="G2154">
        <v>-1286.7</v>
      </c>
      <c r="H2154">
        <v>-1523.2</v>
      </c>
      <c r="I2154">
        <v>2556.6</v>
      </c>
      <c r="J2154">
        <v>-2120.77</v>
      </c>
    </row>
    <row r="2155" spans="1:10" x14ac:dyDescent="0.35">
      <c r="A2155">
        <v>2139</v>
      </c>
      <c r="B2155" s="75">
        <v>89.91</v>
      </c>
      <c r="C2155" s="75">
        <v>97.38</v>
      </c>
      <c r="D2155" s="75">
        <v>92.32</v>
      </c>
      <c r="E2155" s="75">
        <v>93.49</v>
      </c>
      <c r="F2155">
        <v>-1171.17</v>
      </c>
      <c r="G2155">
        <v>1245.45</v>
      </c>
      <c r="H2155">
        <v>995.19999999999993</v>
      </c>
      <c r="I2155">
        <v>-106.30000000000001</v>
      </c>
      <c r="J2155">
        <v>963.18000000000006</v>
      </c>
    </row>
    <row r="2156" spans="1:10" x14ac:dyDescent="0.35">
      <c r="A2156">
        <v>2140</v>
      </c>
      <c r="B2156" s="75">
        <v>89.378</v>
      </c>
      <c r="C2156" s="75">
        <v>98.377099999999999</v>
      </c>
      <c r="D2156" s="75">
        <v>93.552800000000005</v>
      </c>
      <c r="E2156" s="75">
        <v>92.590699999999998</v>
      </c>
      <c r="F2156">
        <v>579.48</v>
      </c>
      <c r="G2156">
        <v>-250.79999999999998</v>
      </c>
      <c r="H2156">
        <v>-1473.4</v>
      </c>
      <c r="I2156">
        <v>789.90000000000009</v>
      </c>
      <c r="J2156">
        <v>-354.81999999999994</v>
      </c>
    </row>
    <row r="2157" spans="1:10" x14ac:dyDescent="0.35">
      <c r="A2157">
        <v>2141</v>
      </c>
      <c r="B2157" s="75">
        <v>89.05</v>
      </c>
      <c r="C2157" s="75">
        <v>98.78</v>
      </c>
      <c r="D2157" s="75">
        <v>91.4</v>
      </c>
      <c r="E2157" s="75">
        <v>93.61</v>
      </c>
      <c r="F2157">
        <v>1658.5800000000002</v>
      </c>
      <c r="G2157">
        <v>-848.4</v>
      </c>
      <c r="H2157">
        <v>2833.8</v>
      </c>
      <c r="I2157">
        <v>-230.5</v>
      </c>
      <c r="J2157">
        <v>3413.4800000000005</v>
      </c>
    </row>
    <row r="2158" spans="1:10" x14ac:dyDescent="0.35">
      <c r="A2158">
        <v>2142</v>
      </c>
      <c r="B2158" s="75">
        <v>89.813999999999993</v>
      </c>
      <c r="C2158" s="75">
        <v>95.761099999999999</v>
      </c>
      <c r="D2158" s="75">
        <v>94.193299999999994</v>
      </c>
      <c r="E2158" s="75">
        <v>94.309899999999999</v>
      </c>
      <c r="F2158">
        <v>-859.32</v>
      </c>
      <c r="G2158">
        <v>3673.2</v>
      </c>
      <c r="H2158">
        <v>-2754.4</v>
      </c>
      <c r="I2158">
        <v>-929.30000000000007</v>
      </c>
      <c r="J2158">
        <v>-869.8200000000005</v>
      </c>
    </row>
    <row r="2159" spans="1:10" x14ac:dyDescent="0.35">
      <c r="A2159">
        <v>2143</v>
      </c>
      <c r="B2159" s="75">
        <v>89.99</v>
      </c>
      <c r="C2159" s="75">
        <v>97.42</v>
      </c>
      <c r="D2159" s="75">
        <v>93.13</v>
      </c>
      <c r="E2159" s="75">
        <v>91.58</v>
      </c>
      <c r="F2159">
        <v>-1453.98</v>
      </c>
      <c r="G2159">
        <v>1183.5</v>
      </c>
      <c r="H2159">
        <v>-627.4</v>
      </c>
      <c r="I2159">
        <v>1800.6</v>
      </c>
      <c r="J2159">
        <v>902.71999999999991</v>
      </c>
    </row>
    <row r="2160" spans="1:10" x14ac:dyDescent="0.35">
      <c r="A2160">
        <v>2144</v>
      </c>
      <c r="B2160" s="75">
        <v>89.242699999999999</v>
      </c>
      <c r="C2160" s="75">
        <v>98.691999999999993</v>
      </c>
      <c r="D2160" s="75">
        <v>93.007400000000004</v>
      </c>
      <c r="E2160" s="75">
        <v>92.174700000000001</v>
      </c>
      <c r="F2160">
        <v>1025.97</v>
      </c>
      <c r="G2160">
        <v>-723.15</v>
      </c>
      <c r="H2160">
        <v>-382.6</v>
      </c>
      <c r="I2160">
        <v>1205.8999999999999</v>
      </c>
      <c r="J2160">
        <v>1126.1199999999999</v>
      </c>
    </row>
    <row r="2161" spans="1:10" x14ac:dyDescent="0.35">
      <c r="A2161">
        <v>2145</v>
      </c>
      <c r="B2161" s="75">
        <v>89.81</v>
      </c>
      <c r="C2161" s="75">
        <v>98.55</v>
      </c>
      <c r="D2161" s="75">
        <v>93.42</v>
      </c>
      <c r="E2161" s="75">
        <v>94.27</v>
      </c>
      <c r="F2161">
        <v>-830.28</v>
      </c>
      <c r="G2161">
        <v>-509.09999999999997</v>
      </c>
      <c r="H2161">
        <v>-1203.4000000000001</v>
      </c>
      <c r="I2161">
        <v>-885.1</v>
      </c>
      <c r="J2161">
        <v>-3427.8799999999997</v>
      </c>
    </row>
    <row r="2162" spans="1:10" x14ac:dyDescent="0.35">
      <c r="A2162">
        <v>2146</v>
      </c>
      <c r="B2162" s="75">
        <v>90.191299999999998</v>
      </c>
      <c r="C2162" s="75">
        <v>98.503500000000003</v>
      </c>
      <c r="D2162" s="75">
        <v>93.039299999999997</v>
      </c>
      <c r="E2162" s="75">
        <v>91.871099999999998</v>
      </c>
      <c r="F2162">
        <v>-2104.4100000000003</v>
      </c>
      <c r="G2162">
        <v>-440.40000000000003</v>
      </c>
      <c r="H2162">
        <v>-446.40000000000003</v>
      </c>
      <c r="I2162">
        <v>1509.5</v>
      </c>
      <c r="J2162">
        <v>-1481.7100000000005</v>
      </c>
    </row>
    <row r="2163" spans="1:10" x14ac:dyDescent="0.35">
      <c r="A2163">
        <v>2147</v>
      </c>
      <c r="B2163" s="75">
        <v>89.92</v>
      </c>
      <c r="C2163" s="75">
        <v>98.3</v>
      </c>
      <c r="D2163" s="75">
        <v>95.34</v>
      </c>
      <c r="E2163" s="75">
        <v>94.58</v>
      </c>
      <c r="F2163">
        <v>-1214.07</v>
      </c>
      <c r="G2163">
        <v>-139.5</v>
      </c>
      <c r="H2163">
        <v>-5056.2</v>
      </c>
      <c r="I2163">
        <v>-1202.5999999999999</v>
      </c>
      <c r="J2163">
        <v>-7612.369999999999</v>
      </c>
    </row>
    <row r="2164" spans="1:10" x14ac:dyDescent="0.35">
      <c r="A2164">
        <v>2148</v>
      </c>
      <c r="B2164" s="75">
        <v>89.712699999999998</v>
      </c>
      <c r="C2164" s="75">
        <v>97.554199999999994</v>
      </c>
      <c r="D2164" s="75">
        <v>91.671099999999996</v>
      </c>
      <c r="E2164" s="75">
        <v>93.342699999999994</v>
      </c>
      <c r="F2164">
        <v>-525.03</v>
      </c>
      <c r="G2164">
        <v>983.55</v>
      </c>
      <c r="H2164">
        <v>2290</v>
      </c>
      <c r="I2164">
        <v>37.900000000000006</v>
      </c>
      <c r="J2164">
        <v>2786.42</v>
      </c>
    </row>
    <row r="2165" spans="1:10" x14ac:dyDescent="0.35">
      <c r="A2165">
        <v>2149</v>
      </c>
      <c r="B2165" s="75">
        <v>89.88</v>
      </c>
      <c r="C2165" s="75">
        <v>97.66</v>
      </c>
      <c r="D2165" s="75">
        <v>92.2</v>
      </c>
      <c r="E2165" s="75">
        <v>92.67</v>
      </c>
      <c r="F2165">
        <v>-1092.6300000000001</v>
      </c>
      <c r="G2165">
        <v>819.6</v>
      </c>
      <c r="H2165">
        <v>1226.5999999999999</v>
      </c>
      <c r="I2165">
        <v>715.30000000000007</v>
      </c>
      <c r="J2165">
        <v>1668.87</v>
      </c>
    </row>
    <row r="2166" spans="1:10" x14ac:dyDescent="0.35">
      <c r="A2166">
        <v>2150</v>
      </c>
      <c r="B2166" s="75">
        <v>89.41</v>
      </c>
      <c r="C2166" s="75">
        <v>98.579300000000003</v>
      </c>
      <c r="D2166" s="75">
        <v>91.507099999999994</v>
      </c>
      <c r="E2166" s="75">
        <v>93.570400000000006</v>
      </c>
      <c r="F2166">
        <v>473.88</v>
      </c>
      <c r="G2166">
        <v>-554.1</v>
      </c>
      <c r="H2166">
        <v>2618</v>
      </c>
      <c r="I2166">
        <v>-189.79999999999998</v>
      </c>
      <c r="J2166">
        <v>2347.9799999999996</v>
      </c>
    </row>
    <row r="2167" spans="1:10" x14ac:dyDescent="0.35">
      <c r="A2167">
        <v>2151</v>
      </c>
      <c r="B2167" s="75">
        <v>89.8</v>
      </c>
      <c r="C2167" s="75">
        <v>97.48</v>
      </c>
      <c r="D2167" s="75">
        <v>92</v>
      </c>
      <c r="E2167" s="75">
        <v>93.41</v>
      </c>
      <c r="F2167">
        <v>-800.58</v>
      </c>
      <c r="G2167">
        <v>1099.6499999999999</v>
      </c>
      <c r="H2167">
        <v>1636.8</v>
      </c>
      <c r="I2167">
        <v>-28.1</v>
      </c>
      <c r="J2167">
        <v>1907.77</v>
      </c>
    </row>
    <row r="2168" spans="1:10" x14ac:dyDescent="0.35">
      <c r="A2168">
        <v>2152</v>
      </c>
      <c r="B2168" s="75">
        <v>89.930800000000005</v>
      </c>
      <c r="C2168" s="75">
        <v>98.185000000000002</v>
      </c>
      <c r="D2168" s="75">
        <v>95.181299999999993</v>
      </c>
      <c r="E2168" s="75">
        <v>89.563599999999994</v>
      </c>
      <c r="F2168">
        <v>-1244.76</v>
      </c>
      <c r="G2168">
        <v>37.349999999999994</v>
      </c>
      <c r="H2168">
        <v>-4730.4000000000005</v>
      </c>
      <c r="I2168">
        <v>3817</v>
      </c>
      <c r="J2168">
        <v>-2120.8100000000004</v>
      </c>
    </row>
    <row r="2169" spans="1:10" x14ac:dyDescent="0.35">
      <c r="A2169">
        <v>2153</v>
      </c>
      <c r="B2169" s="75">
        <v>89.89</v>
      </c>
      <c r="C2169" s="75">
        <v>98.19</v>
      </c>
      <c r="D2169" s="75">
        <v>90.29</v>
      </c>
      <c r="E2169" s="75">
        <v>97.48</v>
      </c>
      <c r="F2169">
        <v>-1100.22</v>
      </c>
      <c r="G2169">
        <v>33</v>
      </c>
      <c r="H2169">
        <v>5055.6000000000004</v>
      </c>
      <c r="I2169">
        <v>-4104</v>
      </c>
      <c r="J2169">
        <v>-115.61999999999989</v>
      </c>
    </row>
    <row r="2170" spans="1:10" x14ac:dyDescent="0.35">
      <c r="A2170">
        <v>2154</v>
      </c>
      <c r="B2170" s="75">
        <v>89.506500000000003</v>
      </c>
      <c r="C2170" s="75">
        <v>97.943299999999994</v>
      </c>
      <c r="D2170" s="75">
        <v>93.763199999999998</v>
      </c>
      <c r="E2170" s="75">
        <v>95.156099999999995</v>
      </c>
      <c r="F2170">
        <v>155.43</v>
      </c>
      <c r="G2170">
        <v>399.9</v>
      </c>
      <c r="H2170">
        <v>-1894.2</v>
      </c>
      <c r="I2170">
        <v>-1775.5</v>
      </c>
      <c r="J2170">
        <v>-3114.37</v>
      </c>
    </row>
    <row r="2171" spans="1:10" x14ac:dyDescent="0.35">
      <c r="A2171">
        <v>2155</v>
      </c>
      <c r="B2171" s="75">
        <v>89.91</v>
      </c>
      <c r="C2171" s="75">
        <v>98.34</v>
      </c>
      <c r="D2171" s="75">
        <v>92.06</v>
      </c>
      <c r="E2171" s="75">
        <v>93.42</v>
      </c>
      <c r="F2171">
        <v>-1177.44</v>
      </c>
      <c r="G2171">
        <v>-188.39999999999998</v>
      </c>
      <c r="H2171">
        <v>1510.6</v>
      </c>
      <c r="I2171">
        <v>-34.799999999999997</v>
      </c>
      <c r="J2171">
        <v>109.95999999999977</v>
      </c>
    </row>
    <row r="2172" spans="1:10" x14ac:dyDescent="0.35">
      <c r="A2172">
        <v>2156</v>
      </c>
      <c r="B2172" s="75">
        <v>90.225300000000004</v>
      </c>
      <c r="C2172" s="75">
        <v>99.318899999999999</v>
      </c>
      <c r="D2172" s="75">
        <v>93.558599999999998</v>
      </c>
      <c r="E2172" s="75">
        <v>91.654499999999999</v>
      </c>
      <c r="F2172">
        <v>-2216.6099999999997</v>
      </c>
      <c r="G2172">
        <v>-1663.5</v>
      </c>
      <c r="H2172">
        <v>-1485</v>
      </c>
      <c r="I2172">
        <v>1726.1</v>
      </c>
      <c r="J2172">
        <v>-3639.0099999999998</v>
      </c>
    </row>
    <row r="2173" spans="1:10" x14ac:dyDescent="0.35">
      <c r="A2173">
        <v>2157</v>
      </c>
      <c r="B2173" s="75">
        <v>89.05</v>
      </c>
      <c r="C2173" s="75">
        <v>97.22</v>
      </c>
      <c r="D2173" s="75">
        <v>92.52</v>
      </c>
      <c r="E2173" s="75">
        <v>94.12</v>
      </c>
      <c r="F2173">
        <v>1670.46</v>
      </c>
      <c r="G2173">
        <v>1488.9</v>
      </c>
      <c r="H2173">
        <v>595.6</v>
      </c>
      <c r="I2173">
        <v>-739.6</v>
      </c>
      <c r="J2173">
        <v>3015.36</v>
      </c>
    </row>
    <row r="2174" spans="1:10" x14ac:dyDescent="0.35">
      <c r="A2174">
        <v>2158</v>
      </c>
      <c r="B2174" s="75">
        <v>88.932100000000005</v>
      </c>
      <c r="C2174" s="75">
        <v>98.702299999999994</v>
      </c>
      <c r="D2174" s="75">
        <v>92.798100000000005</v>
      </c>
      <c r="E2174" s="75">
        <v>93.694199999999995</v>
      </c>
      <c r="F2174">
        <v>2050.9500000000003</v>
      </c>
      <c r="G2174">
        <v>-738.6</v>
      </c>
      <c r="H2174">
        <v>36</v>
      </c>
      <c r="I2174">
        <v>-313.59999999999997</v>
      </c>
      <c r="J2174">
        <v>1034.7500000000005</v>
      </c>
    </row>
    <row r="2175" spans="1:10" x14ac:dyDescent="0.35">
      <c r="A2175">
        <v>2159</v>
      </c>
      <c r="B2175" s="75">
        <v>89.3</v>
      </c>
      <c r="C2175" s="75">
        <v>98.2</v>
      </c>
      <c r="D2175" s="75">
        <v>91.39</v>
      </c>
      <c r="E2175" s="75">
        <v>93.19</v>
      </c>
      <c r="F2175">
        <v>848.1</v>
      </c>
      <c r="G2175">
        <v>15</v>
      </c>
      <c r="H2175">
        <v>2842.4</v>
      </c>
      <c r="I2175">
        <v>193.89999999999998</v>
      </c>
      <c r="J2175">
        <v>3899.4</v>
      </c>
    </row>
    <row r="2176" spans="1:10" x14ac:dyDescent="0.35">
      <c r="A2176">
        <v>2160</v>
      </c>
      <c r="B2176" s="75">
        <v>89.519499999999994</v>
      </c>
      <c r="C2176" s="75">
        <v>97.787400000000005</v>
      </c>
      <c r="D2176" s="75">
        <v>94.1464</v>
      </c>
      <c r="E2176" s="75">
        <v>92.901600000000002</v>
      </c>
      <c r="F2176">
        <v>112.53</v>
      </c>
      <c r="G2176">
        <v>633.75</v>
      </c>
      <c r="H2176">
        <v>-2660.6</v>
      </c>
      <c r="I2176">
        <v>479</v>
      </c>
      <c r="J2176">
        <v>-1435.32</v>
      </c>
    </row>
    <row r="2177" spans="1:10" x14ac:dyDescent="0.35">
      <c r="A2177">
        <v>2161</v>
      </c>
      <c r="B2177" s="75">
        <v>88.95</v>
      </c>
      <c r="C2177" s="75">
        <v>97.21</v>
      </c>
      <c r="D2177" s="75">
        <v>92.74</v>
      </c>
      <c r="E2177" s="75">
        <v>93.37</v>
      </c>
      <c r="F2177">
        <v>1987.92</v>
      </c>
      <c r="G2177">
        <v>1503.6</v>
      </c>
      <c r="H2177">
        <v>156.6</v>
      </c>
      <c r="I2177">
        <v>13.5</v>
      </c>
      <c r="J2177">
        <v>3661.62</v>
      </c>
    </row>
    <row r="2178" spans="1:10" x14ac:dyDescent="0.35">
      <c r="A2178">
        <v>2162</v>
      </c>
      <c r="B2178" s="75">
        <v>89.028300000000002</v>
      </c>
      <c r="C2178" s="75">
        <v>98.767799999999994</v>
      </c>
      <c r="D2178" s="75">
        <v>92.867199999999997</v>
      </c>
      <c r="E2178" s="75">
        <v>93.544899999999998</v>
      </c>
      <c r="F2178">
        <v>1733.49</v>
      </c>
      <c r="G2178">
        <v>-836.84999999999991</v>
      </c>
      <c r="H2178">
        <v>-102.2</v>
      </c>
      <c r="I2178">
        <v>-164.3</v>
      </c>
      <c r="J2178">
        <v>630.1400000000001</v>
      </c>
    </row>
    <row r="2179" spans="1:10" x14ac:dyDescent="0.35">
      <c r="A2179">
        <v>2163</v>
      </c>
      <c r="B2179" s="75">
        <v>89.3</v>
      </c>
      <c r="C2179" s="75">
        <v>99.44</v>
      </c>
      <c r="D2179" s="75">
        <v>94.7</v>
      </c>
      <c r="E2179" s="75">
        <v>94.69</v>
      </c>
      <c r="F2179">
        <v>838.8599999999999</v>
      </c>
      <c r="G2179">
        <v>-1848.6</v>
      </c>
      <c r="H2179">
        <v>-3766.6</v>
      </c>
      <c r="I2179">
        <v>-1306.7</v>
      </c>
      <c r="J2179">
        <v>-6083.04</v>
      </c>
    </row>
    <row r="2180" spans="1:10" x14ac:dyDescent="0.35">
      <c r="A2180">
        <v>2164</v>
      </c>
      <c r="B2180" s="75">
        <v>88.758099999999999</v>
      </c>
      <c r="C2180" s="75">
        <v>98.726600000000005</v>
      </c>
      <c r="D2180" s="75">
        <v>93.855800000000002</v>
      </c>
      <c r="E2180" s="75">
        <v>94.147199999999998</v>
      </c>
      <c r="F2180">
        <v>2625.15</v>
      </c>
      <c r="G2180">
        <v>-775.05000000000007</v>
      </c>
      <c r="H2180">
        <v>-2079.4</v>
      </c>
      <c r="I2180">
        <v>-766.59999999999991</v>
      </c>
      <c r="J2180">
        <v>-995.90000000000009</v>
      </c>
    </row>
    <row r="2181" spans="1:10" x14ac:dyDescent="0.35">
      <c r="A2181">
        <v>2165</v>
      </c>
      <c r="B2181" s="75">
        <v>88.42</v>
      </c>
      <c r="C2181" s="75">
        <v>99.85</v>
      </c>
      <c r="D2181" s="75">
        <v>94.27</v>
      </c>
      <c r="E2181" s="75">
        <v>92.13</v>
      </c>
      <c r="F2181">
        <v>3742.86</v>
      </c>
      <c r="G2181">
        <v>-2467.2000000000003</v>
      </c>
      <c r="H2181">
        <v>-2917.2</v>
      </c>
      <c r="I2181">
        <v>1247.5</v>
      </c>
      <c r="J2181">
        <v>-394.03999999999996</v>
      </c>
    </row>
    <row r="2182" spans="1:10" x14ac:dyDescent="0.35">
      <c r="A2182">
        <v>2166</v>
      </c>
      <c r="B2182" s="75">
        <v>89.604299999999995</v>
      </c>
      <c r="C2182" s="75">
        <v>98.484800000000007</v>
      </c>
      <c r="D2182" s="75">
        <v>92.704800000000006</v>
      </c>
      <c r="E2182" s="75">
        <v>95.677300000000002</v>
      </c>
      <c r="F2182">
        <v>-167.31</v>
      </c>
      <c r="G2182">
        <v>-412.34999999999997</v>
      </c>
      <c r="H2182">
        <v>222.6</v>
      </c>
      <c r="I2182">
        <v>-2296.6999999999998</v>
      </c>
      <c r="J2182">
        <v>-2653.7599999999998</v>
      </c>
    </row>
    <row r="2183" spans="1:10" x14ac:dyDescent="0.35">
      <c r="A2183">
        <v>2167</v>
      </c>
      <c r="B2183" s="75">
        <v>89.83</v>
      </c>
      <c r="C2183" s="75">
        <v>99.63</v>
      </c>
      <c r="D2183" s="75">
        <v>92.11</v>
      </c>
      <c r="E2183" s="75">
        <v>91.76</v>
      </c>
      <c r="F2183">
        <v>-920.04</v>
      </c>
      <c r="G2183">
        <v>-2135.1</v>
      </c>
      <c r="H2183">
        <v>1413.2</v>
      </c>
      <c r="I2183">
        <v>1617.2</v>
      </c>
      <c r="J2183">
        <v>-24.739999999999782</v>
      </c>
    </row>
    <row r="2184" spans="1:10" x14ac:dyDescent="0.35">
      <c r="A2184">
        <v>2168</v>
      </c>
      <c r="B2184" s="75">
        <v>89.283699999999996</v>
      </c>
      <c r="C2184" s="75">
        <v>96.551400000000001</v>
      </c>
      <c r="D2184" s="75">
        <v>92.546800000000005</v>
      </c>
      <c r="E2184" s="75">
        <v>92.302800000000005</v>
      </c>
      <c r="F2184">
        <v>890.67</v>
      </c>
      <c r="G2184">
        <v>2487.75</v>
      </c>
      <c r="H2184">
        <v>538.6</v>
      </c>
      <c r="I2184">
        <v>1077.8000000000002</v>
      </c>
      <c r="J2184">
        <v>4994.82</v>
      </c>
    </row>
    <row r="2185" spans="1:10" x14ac:dyDescent="0.35">
      <c r="A2185">
        <v>2169</v>
      </c>
      <c r="B2185" s="75">
        <v>89.67</v>
      </c>
      <c r="C2185" s="75">
        <v>97.25</v>
      </c>
      <c r="D2185" s="75">
        <v>91.59</v>
      </c>
      <c r="E2185" s="75">
        <v>91.18</v>
      </c>
      <c r="F2185">
        <v>-375.87</v>
      </c>
      <c r="G2185">
        <v>1436.25</v>
      </c>
      <c r="H2185">
        <v>2459</v>
      </c>
      <c r="I2185">
        <v>2203.6</v>
      </c>
      <c r="J2185">
        <v>5722.98</v>
      </c>
    </row>
    <row r="2186" spans="1:10" x14ac:dyDescent="0.35">
      <c r="A2186">
        <v>2170</v>
      </c>
      <c r="B2186" s="75">
        <v>89.135499999999993</v>
      </c>
      <c r="C2186" s="75">
        <v>98.657700000000006</v>
      </c>
      <c r="D2186" s="75">
        <v>92.994299999999996</v>
      </c>
      <c r="E2186" s="75">
        <v>93.926299999999998</v>
      </c>
      <c r="F2186">
        <v>1379.73</v>
      </c>
      <c r="G2186">
        <v>-671.69999999999993</v>
      </c>
      <c r="H2186">
        <v>-356.4</v>
      </c>
      <c r="I2186">
        <v>-545.69999999999993</v>
      </c>
      <c r="J2186">
        <v>-194.06999999999982</v>
      </c>
    </row>
    <row r="2187" spans="1:10" x14ac:dyDescent="0.35">
      <c r="A2187">
        <v>2171</v>
      </c>
      <c r="B2187" s="75">
        <v>91.08</v>
      </c>
      <c r="C2187" s="75">
        <v>98.71</v>
      </c>
      <c r="D2187" s="75">
        <v>92.55</v>
      </c>
      <c r="E2187" s="75">
        <v>90.33</v>
      </c>
      <c r="F2187">
        <v>-5032.5</v>
      </c>
      <c r="G2187">
        <v>-756.44999999999993</v>
      </c>
      <c r="H2187">
        <v>540.6</v>
      </c>
      <c r="I2187">
        <v>3054.3</v>
      </c>
      <c r="J2187">
        <v>-2194.0499999999993</v>
      </c>
    </row>
    <row r="2188" spans="1:10" x14ac:dyDescent="0.35">
      <c r="A2188">
        <v>2172</v>
      </c>
      <c r="B2188" s="75">
        <v>89.587299999999999</v>
      </c>
      <c r="C2188" s="75">
        <v>96.976399999999998</v>
      </c>
      <c r="D2188" s="75">
        <v>94.276600000000002</v>
      </c>
      <c r="E2188" s="75">
        <v>93.783000000000001</v>
      </c>
      <c r="F2188">
        <v>-111.21000000000001</v>
      </c>
      <c r="G2188">
        <v>1850.25</v>
      </c>
      <c r="H2188">
        <v>-2921</v>
      </c>
      <c r="I2188">
        <v>-402.4</v>
      </c>
      <c r="J2188">
        <v>-1584.3600000000001</v>
      </c>
    </row>
    <row r="2189" spans="1:10" x14ac:dyDescent="0.35">
      <c r="A2189">
        <v>2173</v>
      </c>
      <c r="B2189" s="75">
        <v>90.05</v>
      </c>
      <c r="C2189" s="75">
        <v>97.63</v>
      </c>
      <c r="D2189" s="75">
        <v>91.87</v>
      </c>
      <c r="E2189" s="75">
        <v>92.92</v>
      </c>
      <c r="F2189">
        <v>-1627.5600000000002</v>
      </c>
      <c r="G2189">
        <v>868.05</v>
      </c>
      <c r="H2189">
        <v>1889.8</v>
      </c>
      <c r="I2189">
        <v>456.8</v>
      </c>
      <c r="J2189">
        <v>1587.0899999999997</v>
      </c>
    </row>
    <row r="2190" spans="1:10" x14ac:dyDescent="0.35">
      <c r="A2190">
        <v>2174</v>
      </c>
      <c r="B2190" s="75">
        <v>89.398399999999995</v>
      </c>
      <c r="C2190" s="75">
        <v>98.455100000000002</v>
      </c>
      <c r="D2190" s="75">
        <v>91.875699999999995</v>
      </c>
      <c r="E2190" s="75">
        <v>88.989099999999993</v>
      </c>
      <c r="F2190">
        <v>512.16</v>
      </c>
      <c r="G2190">
        <v>-367.8</v>
      </c>
      <c r="H2190">
        <v>1880.8</v>
      </c>
      <c r="I2190">
        <v>4391.5</v>
      </c>
      <c r="J2190">
        <v>6416.66</v>
      </c>
    </row>
    <row r="2191" spans="1:10" x14ac:dyDescent="0.35">
      <c r="A2191">
        <v>2175</v>
      </c>
      <c r="B2191" s="75">
        <v>89.86</v>
      </c>
      <c r="C2191" s="75">
        <v>97.91</v>
      </c>
      <c r="D2191" s="75">
        <v>92.48</v>
      </c>
      <c r="E2191" s="75">
        <v>92.59</v>
      </c>
      <c r="F2191">
        <v>-1018.05</v>
      </c>
      <c r="G2191">
        <v>446.1</v>
      </c>
      <c r="H2191">
        <v>665.2</v>
      </c>
      <c r="I2191">
        <v>787.2</v>
      </c>
      <c r="J2191">
        <v>880.45000000000016</v>
      </c>
    </row>
    <row r="2192" spans="1:10" x14ac:dyDescent="0.35">
      <c r="A2192">
        <v>2176</v>
      </c>
      <c r="B2192" s="75">
        <v>90.011099999999999</v>
      </c>
      <c r="C2192" s="75">
        <v>98.509600000000006</v>
      </c>
      <c r="D2192" s="75">
        <v>94.264499999999998</v>
      </c>
      <c r="E2192" s="75">
        <v>94.069100000000006</v>
      </c>
      <c r="F2192">
        <v>-1509.75</v>
      </c>
      <c r="G2192">
        <v>-449.55</v>
      </c>
      <c r="H2192">
        <v>-2896.7999999999997</v>
      </c>
      <c r="I2192">
        <v>-688.5</v>
      </c>
      <c r="J2192">
        <v>-5544.5999999999995</v>
      </c>
    </row>
    <row r="2193" spans="1:10" x14ac:dyDescent="0.35">
      <c r="A2193">
        <v>2177</v>
      </c>
      <c r="B2193" s="75">
        <v>90.02</v>
      </c>
      <c r="C2193" s="75">
        <v>98.25</v>
      </c>
      <c r="D2193" s="75">
        <v>91.9</v>
      </c>
      <c r="E2193" s="75">
        <v>92.84</v>
      </c>
      <c r="F2193">
        <v>-1534.5</v>
      </c>
      <c r="G2193">
        <v>-60.45</v>
      </c>
      <c r="H2193">
        <v>1834.6</v>
      </c>
      <c r="I2193">
        <v>536.5</v>
      </c>
      <c r="J2193">
        <v>776.14999999999986</v>
      </c>
    </row>
    <row r="2194" spans="1:10" x14ac:dyDescent="0.35">
      <c r="A2194">
        <v>2178</v>
      </c>
      <c r="B2194" s="75">
        <v>89.097200000000001</v>
      </c>
      <c r="C2194" s="75">
        <v>100.18899999999999</v>
      </c>
      <c r="D2194" s="75">
        <v>93.127899999999997</v>
      </c>
      <c r="E2194" s="75">
        <v>92.847899999999996</v>
      </c>
      <c r="F2194">
        <v>1506.12</v>
      </c>
      <c r="G2194">
        <v>-2968.65</v>
      </c>
      <c r="H2194">
        <v>-623.6</v>
      </c>
      <c r="I2194">
        <v>532.69999999999993</v>
      </c>
      <c r="J2194">
        <v>-1553.4300000000003</v>
      </c>
    </row>
    <row r="2195" spans="1:10" x14ac:dyDescent="0.35">
      <c r="A2195">
        <v>2179</v>
      </c>
      <c r="B2195" s="75">
        <v>89.68</v>
      </c>
      <c r="C2195" s="75">
        <v>99.63</v>
      </c>
      <c r="D2195" s="75">
        <v>92.91</v>
      </c>
      <c r="E2195" s="75">
        <v>89.58</v>
      </c>
      <c r="F2195">
        <v>-429.66</v>
      </c>
      <c r="G2195">
        <v>-2129.4</v>
      </c>
      <c r="H2195">
        <v>-195</v>
      </c>
      <c r="I2195">
        <v>3801.4</v>
      </c>
      <c r="J2195">
        <v>1047.3400000000001</v>
      </c>
    </row>
    <row r="2196" spans="1:10" x14ac:dyDescent="0.35">
      <c r="A2196">
        <v>2180</v>
      </c>
      <c r="B2196" s="75">
        <v>89.544899999999998</v>
      </c>
      <c r="C2196" s="75">
        <v>98.356899999999996</v>
      </c>
      <c r="D2196" s="75">
        <v>91.818899999999999</v>
      </c>
      <c r="E2196" s="75">
        <v>96.488299999999995</v>
      </c>
      <c r="F2196">
        <v>28.709999999999997</v>
      </c>
      <c r="G2196">
        <v>-220.5</v>
      </c>
      <c r="H2196">
        <v>1994.3999999999999</v>
      </c>
      <c r="I2196">
        <v>-3107.7</v>
      </c>
      <c r="J2196">
        <v>-1305.0899999999999</v>
      </c>
    </row>
    <row r="2197" spans="1:10" x14ac:dyDescent="0.35">
      <c r="A2197">
        <v>2181</v>
      </c>
      <c r="B2197" s="75">
        <v>89.36</v>
      </c>
      <c r="C2197" s="75">
        <v>95.56</v>
      </c>
      <c r="D2197" s="75">
        <v>93.99</v>
      </c>
      <c r="E2197" s="75">
        <v>93.19</v>
      </c>
      <c r="F2197">
        <v>626.01</v>
      </c>
      <c r="G2197">
        <v>3975.15</v>
      </c>
      <c r="H2197">
        <v>-2357.6000000000004</v>
      </c>
      <c r="I2197">
        <v>186.5</v>
      </c>
      <c r="J2197">
        <v>2430.0599999999995</v>
      </c>
    </row>
    <row r="2198" spans="1:10" x14ac:dyDescent="0.35">
      <c r="A2198">
        <v>2182</v>
      </c>
      <c r="B2198" s="75">
        <v>89.624099999999999</v>
      </c>
      <c r="C2198" s="75">
        <v>96.509900000000002</v>
      </c>
      <c r="D2198" s="75">
        <v>94.402600000000007</v>
      </c>
      <c r="E2198" s="75">
        <v>95.856200000000001</v>
      </c>
      <c r="F2198">
        <v>-232.64999999999998</v>
      </c>
      <c r="G2198">
        <v>2550</v>
      </c>
      <c r="H2198">
        <v>-3173</v>
      </c>
      <c r="I2198">
        <v>-2475.6</v>
      </c>
      <c r="J2198">
        <v>-3331.25</v>
      </c>
    </row>
    <row r="2199" spans="1:10" x14ac:dyDescent="0.35">
      <c r="A2199">
        <v>2183</v>
      </c>
      <c r="B2199" s="75">
        <v>89.8</v>
      </c>
      <c r="C2199" s="75">
        <v>99.45</v>
      </c>
      <c r="D2199" s="75">
        <v>92.75</v>
      </c>
      <c r="E2199" s="75">
        <v>94.1</v>
      </c>
      <c r="F2199">
        <v>-821.7</v>
      </c>
      <c r="G2199">
        <v>-1861.1999999999998</v>
      </c>
      <c r="H2199">
        <v>123.8</v>
      </c>
      <c r="I2199">
        <v>-714.40000000000009</v>
      </c>
      <c r="J2199">
        <v>-3273.4999999999995</v>
      </c>
    </row>
    <row r="2200" spans="1:10" x14ac:dyDescent="0.35">
      <c r="A2200">
        <v>2184</v>
      </c>
      <c r="B2200" s="75">
        <v>90.268100000000004</v>
      </c>
      <c r="C2200" s="75">
        <v>98.867400000000004</v>
      </c>
      <c r="D2200" s="75">
        <v>91.844800000000006</v>
      </c>
      <c r="E2200" s="75">
        <v>95.328800000000001</v>
      </c>
      <c r="F2200">
        <v>-2357.85</v>
      </c>
      <c r="G2200">
        <v>-986.25</v>
      </c>
      <c r="H2200">
        <v>1942.6000000000001</v>
      </c>
      <c r="I2200">
        <v>-1948.1999999999998</v>
      </c>
      <c r="J2200">
        <v>-3349.7</v>
      </c>
    </row>
    <row r="2201" spans="1:10" x14ac:dyDescent="0.35">
      <c r="A2201">
        <v>2185</v>
      </c>
      <c r="B2201" s="75">
        <v>89.38</v>
      </c>
      <c r="C2201" s="75">
        <v>98.54</v>
      </c>
      <c r="D2201" s="75">
        <v>93.56</v>
      </c>
      <c r="E2201" s="75">
        <v>93.81</v>
      </c>
      <c r="F2201">
        <v>564.95999999999992</v>
      </c>
      <c r="G2201">
        <v>-500.25</v>
      </c>
      <c r="H2201">
        <v>-1488.6</v>
      </c>
      <c r="I2201">
        <v>-426.70000000000005</v>
      </c>
      <c r="J2201">
        <v>-1850.59</v>
      </c>
    </row>
    <row r="2202" spans="1:10" x14ac:dyDescent="0.35">
      <c r="A2202">
        <v>2186</v>
      </c>
      <c r="B2202" s="75">
        <v>89.366200000000006</v>
      </c>
      <c r="C2202" s="75">
        <v>98.988299999999995</v>
      </c>
      <c r="D2202" s="75">
        <v>91.828000000000003</v>
      </c>
      <c r="E2202" s="75">
        <v>92.215800000000002</v>
      </c>
      <c r="F2202">
        <v>618.42000000000007</v>
      </c>
      <c r="G2202">
        <v>-1167.5999999999999</v>
      </c>
      <c r="H2202">
        <v>1976.2</v>
      </c>
      <c r="I2202">
        <v>1164.8</v>
      </c>
      <c r="J2202">
        <v>2591.8200000000002</v>
      </c>
    </row>
    <row r="2203" spans="1:10" x14ac:dyDescent="0.35">
      <c r="A2203">
        <v>2187</v>
      </c>
      <c r="B2203" s="75">
        <v>89.58</v>
      </c>
      <c r="C2203" s="75">
        <v>98.05</v>
      </c>
      <c r="D2203" s="75">
        <v>93.95</v>
      </c>
      <c r="E2203" s="75">
        <v>93.18</v>
      </c>
      <c r="F2203">
        <v>-74.25</v>
      </c>
      <c r="G2203">
        <v>243.75</v>
      </c>
      <c r="H2203">
        <v>-2277.4</v>
      </c>
      <c r="I2203">
        <v>196.70000000000002</v>
      </c>
      <c r="J2203">
        <v>-1911.2</v>
      </c>
    </row>
    <row r="2204" spans="1:10" x14ac:dyDescent="0.35">
      <c r="A2204">
        <v>2188</v>
      </c>
      <c r="B2204" s="75">
        <v>90.327500000000001</v>
      </c>
      <c r="C2204" s="75">
        <v>97.840599999999995</v>
      </c>
      <c r="D2204" s="75">
        <v>95.2453</v>
      </c>
      <c r="E2204" s="75">
        <v>92.326499999999996</v>
      </c>
      <c r="F2204">
        <v>-2553.87</v>
      </c>
      <c r="G2204">
        <v>553.95000000000005</v>
      </c>
      <c r="H2204">
        <v>-4858.3999999999996</v>
      </c>
      <c r="I2204">
        <v>1054.1000000000001</v>
      </c>
      <c r="J2204">
        <v>-5804.2199999999993</v>
      </c>
    </row>
    <row r="2205" spans="1:10" x14ac:dyDescent="0.35">
      <c r="A2205">
        <v>2189</v>
      </c>
      <c r="B2205" s="75">
        <v>89.73</v>
      </c>
      <c r="C2205" s="75">
        <v>97.53</v>
      </c>
      <c r="D2205" s="75">
        <v>93.65</v>
      </c>
      <c r="E2205" s="75">
        <v>93.91</v>
      </c>
      <c r="F2205">
        <v>-569.58000000000004</v>
      </c>
      <c r="G2205">
        <v>1019.55</v>
      </c>
      <c r="H2205">
        <v>-1666.4</v>
      </c>
      <c r="I2205">
        <v>-528</v>
      </c>
      <c r="J2205">
        <v>-1744.4300000000003</v>
      </c>
    </row>
    <row r="2206" spans="1:10" x14ac:dyDescent="0.35">
      <c r="A2206">
        <v>2190</v>
      </c>
      <c r="B2206" s="75">
        <v>90.945800000000006</v>
      </c>
      <c r="C2206" s="75">
        <v>99.077600000000004</v>
      </c>
      <c r="D2206" s="75">
        <v>91.144300000000001</v>
      </c>
      <c r="E2206" s="75">
        <v>93.506299999999996</v>
      </c>
      <c r="F2206">
        <v>-4594.26</v>
      </c>
      <c r="G2206">
        <v>-1301.55</v>
      </c>
      <c r="H2206">
        <v>3343.6</v>
      </c>
      <c r="I2206">
        <v>-125.7</v>
      </c>
      <c r="J2206">
        <v>-2677.9100000000003</v>
      </c>
    </row>
    <row r="2207" spans="1:10" x14ac:dyDescent="0.35">
      <c r="A2207">
        <v>2191</v>
      </c>
      <c r="B2207" s="75">
        <v>90.43</v>
      </c>
      <c r="C2207" s="75">
        <v>97.94</v>
      </c>
      <c r="D2207" s="75">
        <v>93.04</v>
      </c>
      <c r="E2207" s="75">
        <v>93.98</v>
      </c>
      <c r="F2207">
        <v>-2877.6</v>
      </c>
      <c r="G2207">
        <v>406.2</v>
      </c>
      <c r="H2207">
        <v>-454.79999999999995</v>
      </c>
      <c r="I2207">
        <v>-594.40000000000009</v>
      </c>
      <c r="J2207">
        <v>-3520.6</v>
      </c>
    </row>
    <row r="2208" spans="1:10" x14ac:dyDescent="0.35">
      <c r="A2208">
        <v>2192</v>
      </c>
      <c r="B2208" s="75">
        <v>89.249799999999993</v>
      </c>
      <c r="C2208" s="75">
        <v>100.4773</v>
      </c>
      <c r="D2208" s="75">
        <v>95.060599999999994</v>
      </c>
      <c r="E2208" s="75">
        <v>91.994200000000006</v>
      </c>
      <c r="F2208">
        <v>1002.5400000000001</v>
      </c>
      <c r="G2208">
        <v>-3401.1</v>
      </c>
      <c r="H2208">
        <v>-4489</v>
      </c>
      <c r="I2208">
        <v>1386.4</v>
      </c>
      <c r="J2208">
        <v>-5501.16</v>
      </c>
    </row>
    <row r="2209" spans="1:10" x14ac:dyDescent="0.35">
      <c r="A2209">
        <v>2193</v>
      </c>
      <c r="B2209" s="75">
        <v>89.27</v>
      </c>
      <c r="C2209" s="75">
        <v>99.17</v>
      </c>
      <c r="D2209" s="75">
        <v>93.76</v>
      </c>
      <c r="E2209" s="75">
        <v>93.32</v>
      </c>
      <c r="F2209">
        <v>948.09</v>
      </c>
      <c r="G2209">
        <v>-1442.7</v>
      </c>
      <c r="H2209">
        <v>-1891.8</v>
      </c>
      <c r="I2209">
        <v>55.9</v>
      </c>
      <c r="J2209">
        <v>-2330.5099999999998</v>
      </c>
    </row>
    <row r="2210" spans="1:10" x14ac:dyDescent="0.35">
      <c r="A2210">
        <v>2194</v>
      </c>
      <c r="B2210" s="75">
        <v>89.060699999999997</v>
      </c>
      <c r="C2210" s="75">
        <v>97.795599999999993</v>
      </c>
      <c r="D2210" s="75">
        <v>91.955799999999996</v>
      </c>
      <c r="E2210" s="75">
        <v>93.745900000000006</v>
      </c>
      <c r="F2210">
        <v>1626.57</v>
      </c>
      <c r="G2210">
        <v>621.45000000000005</v>
      </c>
      <c r="H2210">
        <v>1720.6</v>
      </c>
      <c r="I2210">
        <v>-365.3</v>
      </c>
      <c r="J2210">
        <v>3603.3199999999997</v>
      </c>
    </row>
    <row r="2211" spans="1:10" x14ac:dyDescent="0.35">
      <c r="A2211">
        <v>2195</v>
      </c>
      <c r="B2211" s="75">
        <v>89.61</v>
      </c>
      <c r="C2211" s="75">
        <v>98.2</v>
      </c>
      <c r="D2211" s="75">
        <v>92.59</v>
      </c>
      <c r="E2211" s="75">
        <v>91.92</v>
      </c>
      <c r="F2211">
        <v>-195.36</v>
      </c>
      <c r="G2211">
        <v>8.6999999999999993</v>
      </c>
      <c r="H2211">
        <v>448.79999999999995</v>
      </c>
      <c r="I2211">
        <v>1457.6</v>
      </c>
      <c r="J2211">
        <v>1719.7399999999998</v>
      </c>
    </row>
    <row r="2212" spans="1:10" x14ac:dyDescent="0.35">
      <c r="A2212">
        <v>2196</v>
      </c>
      <c r="B2212" s="75">
        <v>89.833299999999994</v>
      </c>
      <c r="C2212" s="75">
        <v>97.2393</v>
      </c>
      <c r="D2212" s="75">
        <v>91.651700000000005</v>
      </c>
      <c r="E2212" s="75">
        <v>98.165899999999993</v>
      </c>
      <c r="F2212">
        <v>-923.01</v>
      </c>
      <c r="G2212">
        <v>1455.9</v>
      </c>
      <c r="H2212">
        <v>2328.8000000000002</v>
      </c>
      <c r="I2212">
        <v>-4785.3</v>
      </c>
      <c r="J2212">
        <v>-1923.6099999999997</v>
      </c>
    </row>
    <row r="2213" spans="1:10" x14ac:dyDescent="0.35">
      <c r="A2213">
        <v>2197</v>
      </c>
      <c r="B2213" s="75">
        <v>89.32</v>
      </c>
      <c r="C2213" s="75">
        <v>98.1</v>
      </c>
      <c r="D2213" s="75">
        <v>94.17</v>
      </c>
      <c r="E2213" s="75">
        <v>93.09</v>
      </c>
      <c r="F2213">
        <v>771.20999999999992</v>
      </c>
      <c r="G2213">
        <v>162.15</v>
      </c>
      <c r="H2213">
        <v>-2698.7999999999997</v>
      </c>
      <c r="I2213">
        <v>292.10000000000002</v>
      </c>
      <c r="J2213">
        <v>-1473.3399999999997</v>
      </c>
    </row>
    <row r="2214" spans="1:10" x14ac:dyDescent="0.35">
      <c r="A2214">
        <v>2198</v>
      </c>
      <c r="B2214" s="75">
        <v>89.829700000000003</v>
      </c>
      <c r="C2214" s="75">
        <v>98.848399999999998</v>
      </c>
      <c r="D2214" s="75">
        <v>92.611800000000002</v>
      </c>
      <c r="E2214" s="75">
        <v>92.726600000000005</v>
      </c>
      <c r="F2214">
        <v>-911.13</v>
      </c>
      <c r="G2214">
        <v>-957.74999999999989</v>
      </c>
      <c r="H2214">
        <v>408.6</v>
      </c>
      <c r="I2214">
        <v>654</v>
      </c>
      <c r="J2214">
        <v>-806.27999999999975</v>
      </c>
    </row>
    <row r="2215" spans="1:10" x14ac:dyDescent="0.35">
      <c r="A2215">
        <v>2199</v>
      </c>
      <c r="B2215" s="75">
        <v>90.82</v>
      </c>
      <c r="C2215" s="75">
        <v>96.22</v>
      </c>
      <c r="D2215" s="75">
        <v>93.94</v>
      </c>
      <c r="E2215" s="75">
        <v>93.46</v>
      </c>
      <c r="F2215">
        <v>-4180.7699999999995</v>
      </c>
      <c r="G2215">
        <v>2987.55</v>
      </c>
      <c r="H2215">
        <v>-2245.8000000000002</v>
      </c>
      <c r="I2215">
        <v>-76.8</v>
      </c>
      <c r="J2215">
        <v>-3515.8199999999997</v>
      </c>
    </row>
    <row r="2216" spans="1:10" x14ac:dyDescent="0.35">
      <c r="A2216">
        <v>2200</v>
      </c>
      <c r="B2216" s="75">
        <v>89.768000000000001</v>
      </c>
      <c r="C2216" s="75">
        <v>96.549700000000001</v>
      </c>
      <c r="D2216" s="75">
        <v>91.815700000000007</v>
      </c>
      <c r="E2216" s="75">
        <v>94.414199999999994</v>
      </c>
      <c r="F2216">
        <v>-707.52</v>
      </c>
      <c r="G2216">
        <v>2490.2999999999997</v>
      </c>
      <c r="H2216">
        <v>2000.8</v>
      </c>
      <c r="I2216">
        <v>-1033.6000000000001</v>
      </c>
      <c r="J2216">
        <v>2749.9799999999996</v>
      </c>
    </row>
    <row r="2217" spans="1:10" x14ac:dyDescent="0.35">
      <c r="A2217">
        <v>2201</v>
      </c>
      <c r="B2217" s="75">
        <v>89.76</v>
      </c>
      <c r="C2217" s="75">
        <v>99.61</v>
      </c>
      <c r="D2217" s="75">
        <v>93.22</v>
      </c>
      <c r="E2217" s="75">
        <v>92.68</v>
      </c>
      <c r="F2217">
        <v>-665.61</v>
      </c>
      <c r="G2217">
        <v>-2096.25</v>
      </c>
      <c r="H2217">
        <v>-816</v>
      </c>
      <c r="I2217">
        <v>698.6</v>
      </c>
      <c r="J2217">
        <v>-2879.26</v>
      </c>
    </row>
    <row r="2218" spans="1:10" x14ac:dyDescent="0.35">
      <c r="A2218">
        <v>2202</v>
      </c>
      <c r="B2218" s="75">
        <v>89.415899999999993</v>
      </c>
      <c r="C2218" s="75">
        <v>97.688199999999995</v>
      </c>
      <c r="D2218" s="75">
        <v>93.187399999999997</v>
      </c>
      <c r="E2218" s="75">
        <v>97.004400000000004</v>
      </c>
      <c r="F2218">
        <v>454.40999999999997</v>
      </c>
      <c r="G2218">
        <v>782.55000000000007</v>
      </c>
      <c r="H2218">
        <v>-742.6</v>
      </c>
      <c r="I2218">
        <v>-3623.8</v>
      </c>
      <c r="J2218">
        <v>-3129.44</v>
      </c>
    </row>
    <row r="2219" spans="1:10" x14ac:dyDescent="0.35">
      <c r="A2219">
        <v>2203</v>
      </c>
      <c r="B2219" s="75">
        <v>90.25</v>
      </c>
      <c r="C2219" s="75">
        <v>97.14</v>
      </c>
      <c r="D2219" s="75">
        <v>92.12</v>
      </c>
      <c r="E2219" s="75">
        <v>92.31</v>
      </c>
      <c r="F2219">
        <v>-2310.6600000000003</v>
      </c>
      <c r="G2219">
        <v>1609.5</v>
      </c>
      <c r="H2219">
        <v>1392.2</v>
      </c>
      <c r="I2219">
        <v>1075.3</v>
      </c>
      <c r="J2219">
        <v>1766.3399999999997</v>
      </c>
    </row>
    <row r="2220" spans="1:10" x14ac:dyDescent="0.35">
      <c r="A2220">
        <v>2204</v>
      </c>
      <c r="B2220" s="75">
        <v>89.893799999999999</v>
      </c>
      <c r="C2220" s="75">
        <v>97.364500000000007</v>
      </c>
      <c r="D2220" s="75">
        <v>93.101500000000001</v>
      </c>
      <c r="E2220" s="75">
        <v>93.789900000000003</v>
      </c>
      <c r="F2220">
        <v>-1122.6600000000001</v>
      </c>
      <c r="G2220">
        <v>1268.1000000000001</v>
      </c>
      <c r="H2220">
        <v>-570.79999999999995</v>
      </c>
      <c r="I2220">
        <v>-409.3</v>
      </c>
      <c r="J2220">
        <v>-834.65999999999985</v>
      </c>
    </row>
    <row r="2221" spans="1:10" x14ac:dyDescent="0.35">
      <c r="A2221">
        <v>2205</v>
      </c>
      <c r="B2221" s="75">
        <v>89.2</v>
      </c>
      <c r="C2221" s="75">
        <v>99.6</v>
      </c>
      <c r="D2221" s="75">
        <v>90.92</v>
      </c>
      <c r="E2221" s="75">
        <v>94.78</v>
      </c>
      <c r="F2221">
        <v>1155.6600000000001</v>
      </c>
      <c r="G2221">
        <v>-2089.5</v>
      </c>
      <c r="H2221">
        <v>3790.6</v>
      </c>
      <c r="I2221">
        <v>-1399.6</v>
      </c>
      <c r="J2221">
        <v>1457.1600000000003</v>
      </c>
    </row>
    <row r="2222" spans="1:10" x14ac:dyDescent="0.35">
      <c r="A2222">
        <v>2206</v>
      </c>
      <c r="B2222" s="75">
        <v>88.460099999999997</v>
      </c>
      <c r="C2222" s="75">
        <v>97.943600000000004</v>
      </c>
      <c r="D2222" s="75">
        <v>92.616699999999994</v>
      </c>
      <c r="E2222" s="75">
        <v>93.1892</v>
      </c>
      <c r="F2222">
        <v>3608.5499999999997</v>
      </c>
      <c r="G2222">
        <v>399.45</v>
      </c>
      <c r="H2222">
        <v>398.8</v>
      </c>
      <c r="I2222">
        <v>191.39999999999998</v>
      </c>
      <c r="J2222">
        <v>4598.1999999999989</v>
      </c>
    </row>
    <row r="2223" spans="1:10" x14ac:dyDescent="0.35">
      <c r="A2223">
        <v>2207</v>
      </c>
      <c r="B2223" s="75">
        <v>89.17</v>
      </c>
      <c r="C2223" s="75">
        <v>98.06</v>
      </c>
      <c r="D2223" s="75">
        <v>94.74</v>
      </c>
      <c r="E2223" s="75">
        <v>93.73</v>
      </c>
      <c r="F2223">
        <v>1272.81</v>
      </c>
      <c r="G2223">
        <v>219.9</v>
      </c>
      <c r="H2223">
        <v>-3838.2000000000003</v>
      </c>
      <c r="I2223">
        <v>-350.8</v>
      </c>
      <c r="J2223">
        <v>-2696.2900000000004</v>
      </c>
    </row>
    <row r="2224" spans="1:10" x14ac:dyDescent="0.35">
      <c r="A2224">
        <v>2208</v>
      </c>
      <c r="B2224" s="75">
        <v>90.5535</v>
      </c>
      <c r="C2224" s="75">
        <v>98.415300000000002</v>
      </c>
      <c r="D2224" s="75">
        <v>91.704099999999997</v>
      </c>
      <c r="E2224" s="75">
        <v>95.875399999999999</v>
      </c>
      <c r="F2224">
        <v>-3299.67</v>
      </c>
      <c r="G2224">
        <v>-308.10000000000002</v>
      </c>
      <c r="H2224">
        <v>2224</v>
      </c>
      <c r="I2224">
        <v>-2494.8000000000002</v>
      </c>
      <c r="J2224">
        <v>-3878.57</v>
      </c>
    </row>
    <row r="2225" spans="1:10" x14ac:dyDescent="0.35">
      <c r="A2225">
        <v>2209</v>
      </c>
      <c r="B2225" s="75">
        <v>91.03</v>
      </c>
      <c r="C2225" s="75">
        <v>99.31</v>
      </c>
      <c r="D2225" s="75">
        <v>94.17</v>
      </c>
      <c r="E2225" s="75">
        <v>93.96</v>
      </c>
      <c r="F2225">
        <v>-4886.6399999999994</v>
      </c>
      <c r="G2225">
        <v>-1654.05</v>
      </c>
      <c r="H2225">
        <v>-2716.4</v>
      </c>
      <c r="I2225">
        <v>-578.20000000000005</v>
      </c>
      <c r="J2225">
        <v>-9835.2900000000009</v>
      </c>
    </row>
    <row r="2226" spans="1:10" x14ac:dyDescent="0.35">
      <c r="A2226">
        <v>2210</v>
      </c>
      <c r="B2226" s="75">
        <v>89.467399999999998</v>
      </c>
      <c r="C2226" s="75">
        <v>98.560599999999994</v>
      </c>
      <c r="D2226" s="75">
        <v>92.620400000000004</v>
      </c>
      <c r="E2226" s="75">
        <v>95.662999999999997</v>
      </c>
      <c r="F2226">
        <v>284.45999999999998</v>
      </c>
      <c r="G2226">
        <v>-526.05000000000007</v>
      </c>
      <c r="H2226">
        <v>391.40000000000003</v>
      </c>
      <c r="I2226">
        <v>-2282.4</v>
      </c>
      <c r="J2226">
        <v>-2132.59</v>
      </c>
    </row>
    <row r="2227" spans="1:10" x14ac:dyDescent="0.35">
      <c r="A2227">
        <v>2211</v>
      </c>
      <c r="B2227" s="75">
        <v>88.6</v>
      </c>
      <c r="C2227" s="75">
        <v>97.13</v>
      </c>
      <c r="D2227" s="75">
        <v>94.88</v>
      </c>
      <c r="E2227" s="75">
        <v>90.46</v>
      </c>
      <c r="F2227">
        <v>3139.62</v>
      </c>
      <c r="G2227">
        <v>1626.45</v>
      </c>
      <c r="H2227">
        <v>-4132.2</v>
      </c>
      <c r="I2227">
        <v>2923</v>
      </c>
      <c r="J2227">
        <v>3556.87</v>
      </c>
    </row>
    <row r="2228" spans="1:10" x14ac:dyDescent="0.35">
      <c r="A2228">
        <v>2212</v>
      </c>
      <c r="B2228" s="75">
        <v>90.359700000000004</v>
      </c>
      <c r="C2228" s="75">
        <v>97.089399999999998</v>
      </c>
      <c r="D2228" s="75">
        <v>92.308300000000003</v>
      </c>
      <c r="E2228" s="75">
        <v>94.856700000000004</v>
      </c>
      <c r="F2228">
        <v>-2660.13</v>
      </c>
      <c r="G2228">
        <v>1680.75</v>
      </c>
      <c r="H2228">
        <v>1015.6</v>
      </c>
      <c r="I2228">
        <v>-1476.1</v>
      </c>
      <c r="J2228">
        <v>-1439.88</v>
      </c>
    </row>
    <row r="2229" spans="1:10" x14ac:dyDescent="0.35">
      <c r="A2229">
        <v>2213</v>
      </c>
      <c r="B2229" s="75">
        <v>90.25</v>
      </c>
      <c r="C2229" s="75">
        <v>97.14</v>
      </c>
      <c r="D2229" s="75">
        <v>90.95</v>
      </c>
      <c r="E2229" s="75">
        <v>93.85</v>
      </c>
      <c r="F2229">
        <v>-2295.15</v>
      </c>
      <c r="G2229">
        <v>1601.1</v>
      </c>
      <c r="H2229">
        <v>3739.2</v>
      </c>
      <c r="I2229">
        <v>-465.5</v>
      </c>
      <c r="J2229">
        <v>2579.6499999999996</v>
      </c>
    </row>
    <row r="2230" spans="1:10" x14ac:dyDescent="0.35">
      <c r="A2230">
        <v>2214</v>
      </c>
      <c r="B2230" s="75">
        <v>89.622100000000003</v>
      </c>
      <c r="C2230" s="75">
        <v>97.981399999999994</v>
      </c>
      <c r="D2230" s="75">
        <v>93.215800000000002</v>
      </c>
      <c r="E2230" s="75">
        <v>96.841999999999999</v>
      </c>
      <c r="F2230">
        <v>-226.05</v>
      </c>
      <c r="G2230">
        <v>342.75</v>
      </c>
      <c r="H2230">
        <v>-799.4</v>
      </c>
      <c r="I2230">
        <v>-3461.3999999999996</v>
      </c>
      <c r="J2230">
        <v>-4144.0999999999995</v>
      </c>
    </row>
    <row r="2231" spans="1:10" x14ac:dyDescent="0.35">
      <c r="A2231">
        <v>2215</v>
      </c>
      <c r="B2231" s="75">
        <v>89.08</v>
      </c>
      <c r="C2231" s="75">
        <v>98.51</v>
      </c>
      <c r="D2231" s="75">
        <v>92.66</v>
      </c>
      <c r="E2231" s="75">
        <v>92.77</v>
      </c>
      <c r="F2231">
        <v>1565.85</v>
      </c>
      <c r="G2231">
        <v>-445.95</v>
      </c>
      <c r="H2231">
        <v>304</v>
      </c>
      <c r="I2231">
        <v>607.70000000000005</v>
      </c>
      <c r="J2231">
        <v>2031.6</v>
      </c>
    </row>
    <row r="2232" spans="1:10" x14ac:dyDescent="0.35">
      <c r="A2232">
        <v>2216</v>
      </c>
      <c r="B2232" s="75">
        <v>90.0625</v>
      </c>
      <c r="C2232" s="75">
        <v>98.632199999999997</v>
      </c>
      <c r="D2232" s="75">
        <v>93.381900000000002</v>
      </c>
      <c r="E2232" s="75">
        <v>91.9315</v>
      </c>
      <c r="F2232">
        <v>-1679.3700000000001</v>
      </c>
      <c r="G2232">
        <v>-633.45000000000005</v>
      </c>
      <c r="H2232">
        <v>-1131.5999999999999</v>
      </c>
      <c r="I2232">
        <v>1449.1000000000001</v>
      </c>
      <c r="J2232">
        <v>-1995.32</v>
      </c>
    </row>
    <row r="2233" spans="1:10" x14ac:dyDescent="0.35">
      <c r="A2233">
        <v>2217</v>
      </c>
      <c r="B2233" s="75">
        <v>90</v>
      </c>
      <c r="C2233" s="75">
        <v>99.73</v>
      </c>
      <c r="D2233" s="75">
        <v>93.34</v>
      </c>
      <c r="E2233" s="75">
        <v>92.09</v>
      </c>
      <c r="F2233">
        <v>-1475.1000000000001</v>
      </c>
      <c r="G2233">
        <v>-2283.6</v>
      </c>
      <c r="H2233">
        <v>-1039.8</v>
      </c>
      <c r="I2233">
        <v>1294.1000000000001</v>
      </c>
      <c r="J2233">
        <v>-3504.3999999999996</v>
      </c>
    </row>
    <row r="2234" spans="1:10" x14ac:dyDescent="0.35">
      <c r="A2234">
        <v>2218</v>
      </c>
      <c r="B2234" s="75">
        <v>89.831100000000006</v>
      </c>
      <c r="C2234" s="75">
        <v>97.114900000000006</v>
      </c>
      <c r="D2234" s="75">
        <v>93.549300000000002</v>
      </c>
      <c r="E2234" s="75">
        <v>94.489599999999996</v>
      </c>
      <c r="F2234">
        <v>-915.75000000000011</v>
      </c>
      <c r="G2234">
        <v>1642.5</v>
      </c>
      <c r="H2234">
        <v>-1466.3999999999999</v>
      </c>
      <c r="I2234">
        <v>-1109</v>
      </c>
      <c r="J2234">
        <v>-1848.65</v>
      </c>
    </row>
    <row r="2235" spans="1:10" x14ac:dyDescent="0.35">
      <c r="A2235">
        <v>2219</v>
      </c>
      <c r="B2235" s="75">
        <v>89.96</v>
      </c>
      <c r="C2235" s="75">
        <v>97.83</v>
      </c>
      <c r="D2235" s="75">
        <v>92.86</v>
      </c>
      <c r="E2235" s="75">
        <v>94.75</v>
      </c>
      <c r="F2235">
        <v>-1344.75</v>
      </c>
      <c r="G2235">
        <v>567.29999999999995</v>
      </c>
      <c r="H2235">
        <v>-81.600000000000009</v>
      </c>
      <c r="I2235">
        <v>-1373.2</v>
      </c>
      <c r="J2235">
        <v>-2232.25</v>
      </c>
    </row>
    <row r="2236" spans="1:10" x14ac:dyDescent="0.35">
      <c r="A2236">
        <v>2220</v>
      </c>
      <c r="B2236" s="75">
        <v>88.823599999999999</v>
      </c>
      <c r="C2236" s="75">
        <v>97.924899999999994</v>
      </c>
      <c r="D2236" s="75">
        <v>92.732600000000005</v>
      </c>
      <c r="E2236" s="75">
        <v>92.948099999999997</v>
      </c>
      <c r="F2236">
        <v>2409</v>
      </c>
      <c r="G2236">
        <v>427.49999999999994</v>
      </c>
      <c r="H2236">
        <v>167</v>
      </c>
      <c r="I2236">
        <v>432.5</v>
      </c>
      <c r="J2236">
        <v>3436</v>
      </c>
    </row>
    <row r="2237" spans="1:10" x14ac:dyDescent="0.35">
      <c r="A2237">
        <v>2221</v>
      </c>
      <c r="B2237" s="75">
        <v>89.54</v>
      </c>
      <c r="C2237" s="75">
        <v>98.05</v>
      </c>
      <c r="D2237" s="75">
        <v>91.81</v>
      </c>
      <c r="E2237" s="75">
        <v>94.66</v>
      </c>
      <c r="F2237">
        <v>39.93</v>
      </c>
      <c r="G2237">
        <v>237</v>
      </c>
      <c r="H2237">
        <v>2017.3999999999999</v>
      </c>
      <c r="I2237">
        <v>-1281.0999999999999</v>
      </c>
      <c r="J2237">
        <v>1013.23</v>
      </c>
    </row>
    <row r="2238" spans="1:10" x14ac:dyDescent="0.35">
      <c r="A2238">
        <v>2222</v>
      </c>
      <c r="B2238" s="75">
        <v>89.075100000000006</v>
      </c>
      <c r="C2238" s="75">
        <v>99.726699999999994</v>
      </c>
      <c r="D2238" s="75">
        <v>93.686800000000005</v>
      </c>
      <c r="E2238" s="75">
        <v>91.904600000000002</v>
      </c>
      <c r="F2238">
        <v>1579.05</v>
      </c>
      <c r="G2238">
        <v>-2275.1999999999998</v>
      </c>
      <c r="H2238">
        <v>-1741.4</v>
      </c>
      <c r="I2238">
        <v>1476</v>
      </c>
      <c r="J2238">
        <v>-961.55000000000018</v>
      </c>
    </row>
    <row r="2239" spans="1:10" x14ac:dyDescent="0.35">
      <c r="A2239">
        <v>2223</v>
      </c>
      <c r="B2239" s="75">
        <v>90.64</v>
      </c>
      <c r="C2239" s="75">
        <v>99.05</v>
      </c>
      <c r="D2239" s="75">
        <v>92.84</v>
      </c>
      <c r="E2239" s="75">
        <v>93.47</v>
      </c>
      <c r="F2239">
        <v>-3586.11</v>
      </c>
      <c r="G2239">
        <v>-1255.95</v>
      </c>
      <c r="H2239">
        <v>-50.6</v>
      </c>
      <c r="I2239">
        <v>-89.6</v>
      </c>
      <c r="J2239">
        <v>-4982.2600000000011</v>
      </c>
    </row>
    <row r="2240" spans="1:10" x14ac:dyDescent="0.35">
      <c r="A2240">
        <v>2224</v>
      </c>
      <c r="B2240" s="75">
        <v>89.503</v>
      </c>
      <c r="C2240" s="75">
        <v>98.846699999999998</v>
      </c>
      <c r="D2240" s="75">
        <v>94.287599999999998</v>
      </c>
      <c r="E2240" s="75">
        <v>93.772300000000001</v>
      </c>
      <c r="F2240">
        <v>166.98</v>
      </c>
      <c r="G2240">
        <v>-955.2</v>
      </c>
      <c r="H2240">
        <v>-2943</v>
      </c>
      <c r="I2240">
        <v>-391.7</v>
      </c>
      <c r="J2240">
        <v>-4122.92</v>
      </c>
    </row>
    <row r="2241" spans="1:10" x14ac:dyDescent="0.35">
      <c r="A2241">
        <v>2225</v>
      </c>
      <c r="B2241" s="75">
        <v>91.32</v>
      </c>
      <c r="C2241" s="75">
        <v>95.72</v>
      </c>
      <c r="D2241" s="75">
        <v>93.01</v>
      </c>
      <c r="E2241" s="75">
        <v>91.1</v>
      </c>
      <c r="F2241">
        <v>-5838.6900000000005</v>
      </c>
      <c r="G2241">
        <v>3729.0000000000005</v>
      </c>
      <c r="H2241">
        <v>-393.6</v>
      </c>
      <c r="I2241">
        <v>2281.6999999999998</v>
      </c>
      <c r="J2241">
        <v>-221.59000000000015</v>
      </c>
    </row>
    <row r="2242" spans="1:10" x14ac:dyDescent="0.35">
      <c r="A2242">
        <v>2226</v>
      </c>
      <c r="B2242" s="75">
        <v>90.238200000000006</v>
      </c>
      <c r="C2242" s="75">
        <v>98.932400000000001</v>
      </c>
      <c r="D2242" s="75">
        <v>93.692499999999995</v>
      </c>
      <c r="E2242" s="75">
        <v>94.111699999999999</v>
      </c>
      <c r="F2242">
        <v>-2259.1799999999998</v>
      </c>
      <c r="G2242">
        <v>-1083.75</v>
      </c>
      <c r="H2242">
        <v>-1752.8</v>
      </c>
      <c r="I2242">
        <v>-731.1</v>
      </c>
      <c r="J2242">
        <v>-5826.83</v>
      </c>
    </row>
    <row r="2243" spans="1:10" x14ac:dyDescent="0.35">
      <c r="A2243">
        <v>2227</v>
      </c>
      <c r="B2243" s="75">
        <v>89.3</v>
      </c>
      <c r="C2243" s="75">
        <v>98.07</v>
      </c>
      <c r="D2243" s="75">
        <v>92.7</v>
      </c>
      <c r="E2243" s="75">
        <v>91.38</v>
      </c>
      <c r="F2243">
        <v>842.49000000000012</v>
      </c>
      <c r="G2243">
        <v>213.29999999999998</v>
      </c>
      <c r="H2243">
        <v>228.8</v>
      </c>
      <c r="I2243">
        <v>2004.6</v>
      </c>
      <c r="J2243">
        <v>3289.19</v>
      </c>
    </row>
    <row r="2244" spans="1:10" x14ac:dyDescent="0.35">
      <c r="A2244">
        <v>2228</v>
      </c>
      <c r="B2244" s="75">
        <v>89.8065</v>
      </c>
      <c r="C2244" s="75">
        <v>98.866900000000001</v>
      </c>
      <c r="D2244" s="75">
        <v>90.753100000000003</v>
      </c>
      <c r="E2244" s="75">
        <v>90.123500000000007</v>
      </c>
      <c r="F2244">
        <v>-834.57</v>
      </c>
      <c r="G2244">
        <v>-985.5</v>
      </c>
      <c r="H2244">
        <v>4126</v>
      </c>
      <c r="I2244">
        <v>3257.1</v>
      </c>
      <c r="J2244">
        <v>5563.03</v>
      </c>
    </row>
    <row r="2245" spans="1:10" x14ac:dyDescent="0.35">
      <c r="A2245">
        <v>2229</v>
      </c>
      <c r="B2245" s="75">
        <v>89.4</v>
      </c>
      <c r="C2245" s="75">
        <v>98.31</v>
      </c>
      <c r="D2245" s="75">
        <v>93.89</v>
      </c>
      <c r="E2245" s="75">
        <v>94.66</v>
      </c>
      <c r="F2245">
        <v>502.26</v>
      </c>
      <c r="G2245">
        <v>-147</v>
      </c>
      <c r="H2245">
        <v>-2147.6000000000004</v>
      </c>
      <c r="I2245">
        <v>-1275.5</v>
      </c>
      <c r="J2245">
        <v>-3067.84</v>
      </c>
    </row>
    <row r="2246" spans="1:10" x14ac:dyDescent="0.35">
      <c r="A2246">
        <v>2230</v>
      </c>
      <c r="B2246" s="75">
        <v>89.784300000000002</v>
      </c>
      <c r="C2246" s="75">
        <v>98.264499999999998</v>
      </c>
      <c r="D2246" s="75">
        <v>92.521600000000007</v>
      </c>
      <c r="E2246" s="75">
        <v>91.336399999999998</v>
      </c>
      <c r="F2246">
        <v>-761.31</v>
      </c>
      <c r="G2246">
        <v>-81.900000000000006</v>
      </c>
      <c r="H2246">
        <v>589</v>
      </c>
      <c r="I2246">
        <v>2044.2</v>
      </c>
      <c r="J2246">
        <v>1789.9900000000002</v>
      </c>
    </row>
    <row r="2247" spans="1:10" x14ac:dyDescent="0.35">
      <c r="A2247">
        <v>2231</v>
      </c>
      <c r="B2247" s="75">
        <v>88.95</v>
      </c>
      <c r="C2247" s="75">
        <v>98.13</v>
      </c>
      <c r="D2247" s="75">
        <v>91.56</v>
      </c>
      <c r="E2247" s="75">
        <v>92.11</v>
      </c>
      <c r="F2247">
        <v>1986.9299999999998</v>
      </c>
      <c r="G2247">
        <v>119.69999999999999</v>
      </c>
      <c r="H2247">
        <v>2509</v>
      </c>
      <c r="I2247">
        <v>1275.6000000000001</v>
      </c>
      <c r="J2247">
        <v>5891.23</v>
      </c>
    </row>
    <row r="2248" spans="1:10" x14ac:dyDescent="0.35">
      <c r="A2248">
        <v>2232</v>
      </c>
      <c r="B2248" s="75">
        <v>89.140500000000003</v>
      </c>
      <c r="C2248" s="75">
        <v>98.064300000000003</v>
      </c>
      <c r="D2248" s="75">
        <v>91.795400000000001</v>
      </c>
      <c r="E2248" s="75">
        <v>89.083600000000004</v>
      </c>
      <c r="F2248">
        <v>1363.23</v>
      </c>
      <c r="G2248">
        <v>218.4</v>
      </c>
      <c r="H2248">
        <v>2041.3999999999999</v>
      </c>
      <c r="I2248">
        <v>4297</v>
      </c>
      <c r="J2248">
        <v>7920.03</v>
      </c>
    </row>
    <row r="2249" spans="1:10" x14ac:dyDescent="0.35">
      <c r="A2249">
        <v>2233</v>
      </c>
      <c r="B2249" s="75">
        <v>90.28</v>
      </c>
      <c r="C2249" s="75">
        <v>97.14</v>
      </c>
      <c r="D2249" s="75">
        <v>94.4</v>
      </c>
      <c r="E2249" s="75">
        <v>94.37</v>
      </c>
      <c r="F2249">
        <v>-2395.7999999999997</v>
      </c>
      <c r="G2249">
        <v>1598.1</v>
      </c>
      <c r="H2249">
        <v>-3160.6</v>
      </c>
      <c r="I2249">
        <v>-986.9</v>
      </c>
      <c r="J2249">
        <v>-4945.2</v>
      </c>
    </row>
    <row r="2250" spans="1:10" x14ac:dyDescent="0.35">
      <c r="A2250">
        <v>2234</v>
      </c>
      <c r="B2250" s="75">
        <v>90.3001</v>
      </c>
      <c r="C2250" s="75">
        <v>97.971400000000003</v>
      </c>
      <c r="D2250" s="75">
        <v>93.422700000000006</v>
      </c>
      <c r="E2250" s="75">
        <v>92.199399999999997</v>
      </c>
      <c r="F2250">
        <v>-2463.4500000000003</v>
      </c>
      <c r="G2250">
        <v>357.75</v>
      </c>
      <c r="H2250">
        <v>-1213.2</v>
      </c>
      <c r="I2250">
        <v>1181.2</v>
      </c>
      <c r="J2250">
        <v>-2137.7000000000007</v>
      </c>
    </row>
    <row r="2251" spans="1:10" x14ac:dyDescent="0.35">
      <c r="A2251">
        <v>2235</v>
      </c>
      <c r="B2251" s="75">
        <v>89.99</v>
      </c>
      <c r="C2251" s="75">
        <v>99.85</v>
      </c>
      <c r="D2251" s="75">
        <v>93.92</v>
      </c>
      <c r="E2251" s="75">
        <v>92.71</v>
      </c>
      <c r="F2251">
        <v>-1447.05</v>
      </c>
      <c r="G2251">
        <v>-2458.35</v>
      </c>
      <c r="H2251">
        <v>-2216.4</v>
      </c>
      <c r="I2251">
        <v>672.8</v>
      </c>
      <c r="J2251">
        <v>-5448.9999999999991</v>
      </c>
    </row>
    <row r="2252" spans="1:10" x14ac:dyDescent="0.35">
      <c r="A2252">
        <v>2236</v>
      </c>
      <c r="B2252" s="75">
        <v>90.085899999999995</v>
      </c>
      <c r="C2252" s="75">
        <v>97.454899999999995</v>
      </c>
      <c r="D2252" s="75">
        <v>92.018799999999999</v>
      </c>
      <c r="E2252" s="75">
        <v>91.274699999999996</v>
      </c>
      <c r="F2252">
        <v>-1756.59</v>
      </c>
      <c r="G2252">
        <v>1132.5</v>
      </c>
      <c r="H2252">
        <v>1594.6</v>
      </c>
      <c r="I2252">
        <v>2105.9</v>
      </c>
      <c r="J2252">
        <v>3076.41</v>
      </c>
    </row>
    <row r="2253" spans="1:10" x14ac:dyDescent="0.35">
      <c r="A2253">
        <v>2237</v>
      </c>
      <c r="B2253" s="75">
        <v>89.99</v>
      </c>
      <c r="C2253" s="75">
        <v>97.44</v>
      </c>
      <c r="D2253" s="75">
        <v>91.98</v>
      </c>
      <c r="E2253" s="75">
        <v>93.65</v>
      </c>
      <c r="F2253">
        <v>-1452.33</v>
      </c>
      <c r="G2253">
        <v>1151.8500000000001</v>
      </c>
      <c r="H2253">
        <v>1670.6000000000001</v>
      </c>
      <c r="I2253">
        <v>-271.7</v>
      </c>
      <c r="J2253">
        <v>1098.4200000000003</v>
      </c>
    </row>
    <row r="2254" spans="1:10" x14ac:dyDescent="0.35">
      <c r="A2254">
        <v>2238</v>
      </c>
      <c r="B2254" s="75">
        <v>89.606499999999997</v>
      </c>
      <c r="C2254" s="75">
        <v>97.769900000000007</v>
      </c>
      <c r="D2254" s="75">
        <v>94.043599999999998</v>
      </c>
      <c r="E2254" s="75">
        <v>94.535300000000007</v>
      </c>
      <c r="F2254">
        <v>-174.57000000000002</v>
      </c>
      <c r="G2254">
        <v>660</v>
      </c>
      <c r="H2254">
        <v>-2455</v>
      </c>
      <c r="I2254">
        <v>-1154.7</v>
      </c>
      <c r="J2254">
        <v>-3124.2700000000004</v>
      </c>
    </row>
    <row r="2255" spans="1:10" x14ac:dyDescent="0.35">
      <c r="A2255">
        <v>2239</v>
      </c>
      <c r="B2255" s="75">
        <v>90.26</v>
      </c>
      <c r="C2255" s="75">
        <v>98.58</v>
      </c>
      <c r="D2255" s="75">
        <v>91.23</v>
      </c>
      <c r="E2255" s="75">
        <v>90.58</v>
      </c>
      <c r="F2255">
        <v>-2346.2999999999997</v>
      </c>
      <c r="G2255">
        <v>-547.95000000000005</v>
      </c>
      <c r="H2255">
        <v>3177.6</v>
      </c>
      <c r="I2255">
        <v>2795.9</v>
      </c>
      <c r="J2255">
        <v>3079.25</v>
      </c>
    </row>
    <row r="2256" spans="1:10" x14ac:dyDescent="0.35">
      <c r="A2256">
        <v>2240</v>
      </c>
      <c r="B2256" s="75">
        <v>89.030799999999999</v>
      </c>
      <c r="C2256" s="75">
        <v>98.154499999999999</v>
      </c>
      <c r="D2256" s="75">
        <v>93.314300000000003</v>
      </c>
      <c r="E2256" s="75">
        <v>90.462000000000003</v>
      </c>
      <c r="F2256">
        <v>1725.2400000000002</v>
      </c>
      <c r="G2256">
        <v>83.1</v>
      </c>
      <c r="H2256">
        <v>-996.4</v>
      </c>
      <c r="I2256">
        <v>2918.6</v>
      </c>
      <c r="J2256">
        <v>3730.54</v>
      </c>
    </row>
    <row r="2257" spans="1:10" x14ac:dyDescent="0.35">
      <c r="A2257">
        <v>2241</v>
      </c>
      <c r="B2257" s="75">
        <v>89.3</v>
      </c>
      <c r="C2257" s="75">
        <v>98.14</v>
      </c>
      <c r="D2257" s="75">
        <v>92.36</v>
      </c>
      <c r="E2257" s="75">
        <v>91.9</v>
      </c>
      <c r="F2257">
        <v>846.45</v>
      </c>
      <c r="G2257">
        <v>107.24999999999999</v>
      </c>
      <c r="H2257">
        <v>908</v>
      </c>
      <c r="I2257">
        <v>1479.7</v>
      </c>
      <c r="J2257">
        <v>3341.4</v>
      </c>
    </row>
    <row r="2258" spans="1:10" x14ac:dyDescent="0.35">
      <c r="A2258">
        <v>2242</v>
      </c>
      <c r="B2258" s="75">
        <v>90.017399999999995</v>
      </c>
      <c r="C2258" s="75">
        <v>99.375699999999995</v>
      </c>
      <c r="D2258" s="75">
        <v>93.517499999999998</v>
      </c>
      <c r="E2258" s="75">
        <v>94.959299999999999</v>
      </c>
      <c r="F2258">
        <v>-1530.54</v>
      </c>
      <c r="G2258">
        <v>-1748.6999999999998</v>
      </c>
      <c r="H2258">
        <v>-1402.8</v>
      </c>
      <c r="I2258">
        <v>-1578.7</v>
      </c>
      <c r="J2258">
        <v>-6260.74</v>
      </c>
    </row>
    <row r="2259" spans="1:10" x14ac:dyDescent="0.35">
      <c r="A2259">
        <v>2243</v>
      </c>
      <c r="B2259" s="75">
        <v>89.12</v>
      </c>
      <c r="C2259" s="75">
        <v>96.28</v>
      </c>
      <c r="D2259" s="75">
        <v>91.33</v>
      </c>
      <c r="E2259" s="75">
        <v>94.26</v>
      </c>
      <c r="F2259">
        <v>1415.3700000000001</v>
      </c>
      <c r="G2259">
        <v>2888.25</v>
      </c>
      <c r="H2259">
        <v>2965.3999999999996</v>
      </c>
      <c r="I2259">
        <v>-883.80000000000007</v>
      </c>
      <c r="J2259">
        <v>6385.2199999999993</v>
      </c>
    </row>
    <row r="2260" spans="1:10" x14ac:dyDescent="0.35">
      <c r="A2260">
        <v>2244</v>
      </c>
      <c r="B2260" s="75">
        <v>89.5745</v>
      </c>
      <c r="C2260" s="75">
        <v>95.861599999999996</v>
      </c>
      <c r="D2260" s="75">
        <v>92.262500000000003</v>
      </c>
      <c r="E2260" s="75">
        <v>94.273700000000005</v>
      </c>
      <c r="F2260">
        <v>-68.97</v>
      </c>
      <c r="G2260">
        <v>3522.4500000000003</v>
      </c>
      <c r="H2260">
        <v>1107.2</v>
      </c>
      <c r="I2260">
        <v>-893.1</v>
      </c>
      <c r="J2260">
        <v>3667.5800000000004</v>
      </c>
    </row>
    <row r="2261" spans="1:10" x14ac:dyDescent="0.35">
      <c r="A2261">
        <v>2245</v>
      </c>
      <c r="B2261" s="75">
        <v>89.72</v>
      </c>
      <c r="C2261" s="75">
        <v>97.88</v>
      </c>
      <c r="D2261" s="75">
        <v>94.58</v>
      </c>
      <c r="E2261" s="75">
        <v>91.58</v>
      </c>
      <c r="F2261">
        <v>-561.99</v>
      </c>
      <c r="G2261">
        <v>499.2</v>
      </c>
      <c r="H2261">
        <v>-3529.2</v>
      </c>
      <c r="I2261">
        <v>1803.1</v>
      </c>
      <c r="J2261">
        <v>-1788.8899999999999</v>
      </c>
    </row>
    <row r="2262" spans="1:10" x14ac:dyDescent="0.35">
      <c r="A2262">
        <v>2246</v>
      </c>
      <c r="B2262" s="75">
        <v>88.821899999999999</v>
      </c>
      <c r="C2262" s="75">
        <v>98.142300000000006</v>
      </c>
      <c r="D2262" s="75">
        <v>92.032499999999999</v>
      </c>
      <c r="E2262" s="75">
        <v>90.934399999999997</v>
      </c>
      <c r="F2262">
        <v>2414.61</v>
      </c>
      <c r="G2262">
        <v>101.39999999999999</v>
      </c>
      <c r="H2262">
        <v>1567.1999999999998</v>
      </c>
      <c r="I2262">
        <v>2446.2000000000003</v>
      </c>
      <c r="J2262">
        <v>6529.41</v>
      </c>
    </row>
    <row r="2263" spans="1:10" x14ac:dyDescent="0.35">
      <c r="A2263">
        <v>2247</v>
      </c>
      <c r="B2263" s="75">
        <v>89.61</v>
      </c>
      <c r="C2263" s="75">
        <v>97.98</v>
      </c>
      <c r="D2263" s="75">
        <v>92.7</v>
      </c>
      <c r="E2263" s="75">
        <v>93.37</v>
      </c>
      <c r="F2263">
        <v>-188.43</v>
      </c>
      <c r="G2263">
        <v>348.9</v>
      </c>
      <c r="H2263">
        <v>236.6</v>
      </c>
      <c r="I2263">
        <v>13.899999999999999</v>
      </c>
      <c r="J2263">
        <v>410.96999999999991</v>
      </c>
    </row>
    <row r="2264" spans="1:10" x14ac:dyDescent="0.35">
      <c r="A2264">
        <v>2248</v>
      </c>
      <c r="B2264" s="75">
        <v>89.784300000000002</v>
      </c>
      <c r="C2264" s="75">
        <v>99.240300000000005</v>
      </c>
      <c r="D2264" s="75">
        <v>92.773799999999994</v>
      </c>
      <c r="E2264" s="75">
        <v>91.874899999999997</v>
      </c>
      <c r="F2264">
        <v>-761.31</v>
      </c>
      <c r="G2264">
        <v>-1545.6</v>
      </c>
      <c r="H2264">
        <v>84.6</v>
      </c>
      <c r="I2264">
        <v>1505.7</v>
      </c>
      <c r="J2264">
        <v>-716.6099999999999</v>
      </c>
    </row>
    <row r="2265" spans="1:10" x14ac:dyDescent="0.35">
      <c r="A2265">
        <v>2249</v>
      </c>
      <c r="B2265" s="75">
        <v>89.95</v>
      </c>
      <c r="C2265" s="75">
        <v>97.56</v>
      </c>
      <c r="D2265" s="75">
        <v>93.89</v>
      </c>
      <c r="E2265" s="75">
        <v>93.04</v>
      </c>
      <c r="F2265">
        <v>-1296.9000000000001</v>
      </c>
      <c r="G2265">
        <v>972.3</v>
      </c>
      <c r="H2265">
        <v>-2148</v>
      </c>
      <c r="I2265">
        <v>336.1</v>
      </c>
      <c r="J2265">
        <v>-2136.5000000000005</v>
      </c>
    </row>
    <row r="2266" spans="1:10" x14ac:dyDescent="0.35">
      <c r="A2266">
        <v>2250</v>
      </c>
      <c r="B2266" s="75">
        <v>89.834000000000003</v>
      </c>
      <c r="C2266" s="75">
        <v>97.760599999999997</v>
      </c>
      <c r="D2266" s="75">
        <v>94.598200000000006</v>
      </c>
      <c r="E2266" s="75">
        <v>92.998400000000004</v>
      </c>
      <c r="F2266">
        <v>-925.31999999999994</v>
      </c>
      <c r="G2266">
        <v>673.94999999999993</v>
      </c>
      <c r="H2266">
        <v>-3564.2</v>
      </c>
      <c r="I2266">
        <v>382.2</v>
      </c>
      <c r="J2266">
        <v>-3433.37</v>
      </c>
    </row>
    <row r="2267" spans="1:10" x14ac:dyDescent="0.35">
      <c r="A2267">
        <v>2251</v>
      </c>
      <c r="B2267" s="75">
        <v>89.94</v>
      </c>
      <c r="C2267" s="75">
        <v>100.54</v>
      </c>
      <c r="D2267" s="75">
        <v>95.04</v>
      </c>
      <c r="E2267" s="75">
        <v>92.71</v>
      </c>
      <c r="F2267">
        <v>-1287.33</v>
      </c>
      <c r="G2267">
        <v>-3496.9500000000003</v>
      </c>
      <c r="H2267">
        <v>-4457.2000000000007</v>
      </c>
      <c r="I2267">
        <v>672.90000000000009</v>
      </c>
      <c r="J2267">
        <v>-8568.5800000000017</v>
      </c>
    </row>
    <row r="2268" spans="1:10" x14ac:dyDescent="0.35">
      <c r="A2268">
        <v>2252</v>
      </c>
      <c r="B2268" s="75">
        <v>89.367599999999996</v>
      </c>
      <c r="C2268" s="75">
        <v>99.275400000000005</v>
      </c>
      <c r="D2268" s="75">
        <v>93.813400000000001</v>
      </c>
      <c r="E2268" s="75">
        <v>93.580600000000004</v>
      </c>
      <c r="F2268">
        <v>613.79999999999995</v>
      </c>
      <c r="G2268">
        <v>-1598.2499999999998</v>
      </c>
      <c r="H2268">
        <v>-1994.6</v>
      </c>
      <c r="I2268">
        <v>-200</v>
      </c>
      <c r="J2268">
        <v>-3179.0499999999997</v>
      </c>
    </row>
    <row r="2269" spans="1:10" x14ac:dyDescent="0.35">
      <c r="A2269">
        <v>2253</v>
      </c>
      <c r="B2269" s="75">
        <v>89.34</v>
      </c>
      <c r="C2269" s="75">
        <v>97.57</v>
      </c>
      <c r="D2269" s="75">
        <v>91.84</v>
      </c>
      <c r="E2269" s="75">
        <v>94.65</v>
      </c>
      <c r="F2269">
        <v>718.07999999999993</v>
      </c>
      <c r="G2269">
        <v>952.5</v>
      </c>
      <c r="H2269">
        <v>1945.4</v>
      </c>
      <c r="I2269">
        <v>-1267.9000000000001</v>
      </c>
      <c r="J2269">
        <v>2348.08</v>
      </c>
    </row>
    <row r="2270" spans="1:10" x14ac:dyDescent="0.35">
      <c r="A2270">
        <v>2254</v>
      </c>
      <c r="B2270" s="75">
        <v>89.733199999999997</v>
      </c>
      <c r="C2270" s="75">
        <v>98.5608</v>
      </c>
      <c r="D2270" s="75">
        <v>92.515500000000003</v>
      </c>
      <c r="E2270" s="75">
        <v>91.482299999999995</v>
      </c>
      <c r="F2270">
        <v>-592.68000000000006</v>
      </c>
      <c r="G2270">
        <v>-526.35</v>
      </c>
      <c r="H2270">
        <v>601.19999999999993</v>
      </c>
      <c r="I2270">
        <v>1898.3000000000002</v>
      </c>
      <c r="J2270">
        <v>1380.4699999999998</v>
      </c>
    </row>
    <row r="2271" spans="1:10" x14ac:dyDescent="0.35">
      <c r="A2271">
        <v>2255</v>
      </c>
      <c r="B2271" s="75">
        <v>89.68</v>
      </c>
      <c r="C2271" s="75">
        <v>98.23</v>
      </c>
      <c r="D2271" s="75">
        <v>94.67</v>
      </c>
      <c r="E2271" s="75">
        <v>90.21</v>
      </c>
      <c r="F2271">
        <v>-422.40000000000003</v>
      </c>
      <c r="G2271">
        <v>-26.250000000000004</v>
      </c>
      <c r="H2271">
        <v>-3701.8</v>
      </c>
      <c r="I2271">
        <v>3170.1000000000004</v>
      </c>
      <c r="J2271">
        <v>-980.34999999999945</v>
      </c>
    </row>
    <row r="2272" spans="1:10" x14ac:dyDescent="0.35">
      <c r="A2272">
        <v>2256</v>
      </c>
      <c r="B2272" s="75">
        <v>89.998599999999996</v>
      </c>
      <c r="C2272" s="75">
        <v>97.270600000000002</v>
      </c>
      <c r="D2272" s="75">
        <v>92.489099999999993</v>
      </c>
      <c r="E2272" s="75">
        <v>93.717500000000001</v>
      </c>
      <c r="F2272">
        <v>-1468.5</v>
      </c>
      <c r="G2272">
        <v>1408.95</v>
      </c>
      <c r="H2272">
        <v>654</v>
      </c>
      <c r="I2272">
        <v>-336.9</v>
      </c>
      <c r="J2272">
        <v>257.55000000000007</v>
      </c>
    </row>
    <row r="2273" spans="1:10" x14ac:dyDescent="0.35">
      <c r="A2273">
        <v>2257</v>
      </c>
      <c r="B2273" s="75">
        <v>88.83</v>
      </c>
      <c r="C2273" s="75">
        <v>98.82</v>
      </c>
      <c r="D2273" s="75">
        <v>91.73</v>
      </c>
      <c r="E2273" s="75">
        <v>91.52</v>
      </c>
      <c r="F2273">
        <v>2382.6</v>
      </c>
      <c r="G2273">
        <v>-915.90000000000009</v>
      </c>
      <c r="H2273">
        <v>2179.6000000000004</v>
      </c>
      <c r="I2273">
        <v>1858.6000000000001</v>
      </c>
      <c r="J2273">
        <v>5504.9000000000005</v>
      </c>
    </row>
    <row r="2274" spans="1:10" x14ac:dyDescent="0.35">
      <c r="A2274">
        <v>2258</v>
      </c>
      <c r="B2274" s="75">
        <v>89.178200000000004</v>
      </c>
      <c r="C2274" s="75">
        <v>97.066100000000006</v>
      </c>
      <c r="D2274" s="75">
        <v>94.605099999999993</v>
      </c>
      <c r="E2274" s="75">
        <v>92.508799999999994</v>
      </c>
      <c r="F2274">
        <v>1238.82</v>
      </c>
      <c r="G2274">
        <v>1715.6999999999998</v>
      </c>
      <c r="H2274">
        <v>-3578</v>
      </c>
      <c r="I2274">
        <v>871.80000000000007</v>
      </c>
      <c r="J2274">
        <v>248.3199999999996</v>
      </c>
    </row>
    <row r="2275" spans="1:10" x14ac:dyDescent="0.35">
      <c r="A2275">
        <v>2259</v>
      </c>
      <c r="B2275" s="75">
        <v>89.71</v>
      </c>
      <c r="C2275" s="75">
        <v>98.35</v>
      </c>
      <c r="D2275" s="75">
        <v>93.25</v>
      </c>
      <c r="E2275" s="75">
        <v>94.04</v>
      </c>
      <c r="F2275">
        <v>-524.37</v>
      </c>
      <c r="G2275">
        <v>-208.79999999999998</v>
      </c>
      <c r="H2275">
        <v>-864.19999999999993</v>
      </c>
      <c r="I2275">
        <v>-662.3</v>
      </c>
      <c r="J2275">
        <v>-2259.67</v>
      </c>
    </row>
    <row r="2276" spans="1:10" x14ac:dyDescent="0.35">
      <c r="A2276">
        <v>2260</v>
      </c>
      <c r="B2276" s="75">
        <v>90.162999999999997</v>
      </c>
      <c r="C2276" s="75">
        <v>97.721900000000005</v>
      </c>
      <c r="D2276" s="75">
        <v>93.661900000000003</v>
      </c>
      <c r="E2276" s="75">
        <v>95.350800000000007</v>
      </c>
      <c r="F2276">
        <v>-2011.0200000000002</v>
      </c>
      <c r="G2276">
        <v>732</v>
      </c>
      <c r="H2276">
        <v>-1691.6</v>
      </c>
      <c r="I2276">
        <v>-1970.2</v>
      </c>
      <c r="J2276">
        <v>-4940.82</v>
      </c>
    </row>
    <row r="2277" spans="1:10" x14ac:dyDescent="0.35">
      <c r="A2277">
        <v>2261</v>
      </c>
      <c r="B2277" s="75">
        <v>89.57</v>
      </c>
      <c r="C2277" s="75">
        <v>97.74</v>
      </c>
      <c r="D2277" s="75">
        <v>93.15</v>
      </c>
      <c r="E2277" s="75">
        <v>95.14</v>
      </c>
      <c r="F2277">
        <v>-64.679999999999993</v>
      </c>
      <c r="G2277">
        <v>703.35</v>
      </c>
      <c r="H2277">
        <v>-659.2</v>
      </c>
      <c r="I2277">
        <v>-1762.8</v>
      </c>
      <c r="J2277">
        <v>-1783.33</v>
      </c>
    </row>
    <row r="2278" spans="1:10" x14ac:dyDescent="0.35">
      <c r="A2278">
        <v>2262</v>
      </c>
      <c r="B2278" s="75">
        <v>88.740899999999996</v>
      </c>
      <c r="C2278" s="75">
        <v>98.737099999999998</v>
      </c>
      <c r="D2278" s="75">
        <v>93.676900000000003</v>
      </c>
      <c r="E2278" s="75">
        <v>94.421499999999995</v>
      </c>
      <c r="F2278">
        <v>2681.91</v>
      </c>
      <c r="G2278">
        <v>-790.8</v>
      </c>
      <c r="H2278">
        <v>-1721.6</v>
      </c>
      <c r="I2278">
        <v>-1040.8999999999999</v>
      </c>
      <c r="J2278">
        <v>-871.38999999999987</v>
      </c>
    </row>
    <row r="2279" spans="1:10" x14ac:dyDescent="0.35">
      <c r="A2279">
        <v>2263</v>
      </c>
      <c r="B2279" s="75">
        <v>89.95</v>
      </c>
      <c r="C2279" s="75">
        <v>96.18</v>
      </c>
      <c r="D2279" s="75">
        <v>92.57</v>
      </c>
      <c r="E2279" s="75">
        <v>90.46</v>
      </c>
      <c r="F2279">
        <v>-1293.6000000000001</v>
      </c>
      <c r="G2279">
        <v>3043.3500000000004</v>
      </c>
      <c r="H2279">
        <v>499</v>
      </c>
      <c r="I2279">
        <v>2923.7000000000003</v>
      </c>
      <c r="J2279">
        <v>5172.4500000000007</v>
      </c>
    </row>
    <row r="2280" spans="1:10" x14ac:dyDescent="0.35">
      <c r="A2280">
        <v>2264</v>
      </c>
      <c r="B2280" s="75">
        <v>89.891499999999994</v>
      </c>
      <c r="C2280" s="75">
        <v>97.987700000000004</v>
      </c>
      <c r="D2280" s="75">
        <v>93.866500000000002</v>
      </c>
      <c r="E2280" s="75">
        <v>93.4863</v>
      </c>
      <c r="F2280">
        <v>-1115.07</v>
      </c>
      <c r="G2280">
        <v>333.3</v>
      </c>
      <c r="H2280">
        <v>-2100.8000000000002</v>
      </c>
      <c r="I2280">
        <v>-105.7</v>
      </c>
      <c r="J2280">
        <v>-2988.27</v>
      </c>
    </row>
    <row r="2281" spans="1:10" x14ac:dyDescent="0.35">
      <c r="A2281">
        <v>2265</v>
      </c>
      <c r="B2281" s="75">
        <v>89.44</v>
      </c>
      <c r="C2281" s="75">
        <v>99.47</v>
      </c>
      <c r="D2281" s="75">
        <v>94.81</v>
      </c>
      <c r="E2281" s="75">
        <v>95.47</v>
      </c>
      <c r="F2281">
        <v>360.03000000000003</v>
      </c>
      <c r="G2281">
        <v>-1887.45</v>
      </c>
      <c r="H2281">
        <v>-3981.6</v>
      </c>
      <c r="I2281">
        <v>-2093.4</v>
      </c>
      <c r="J2281">
        <v>-7602.42</v>
      </c>
    </row>
    <row r="2282" spans="1:10" x14ac:dyDescent="0.35">
      <c r="A2282">
        <v>2266</v>
      </c>
      <c r="B2282" s="75">
        <v>89.843500000000006</v>
      </c>
      <c r="C2282" s="75">
        <v>98.582400000000007</v>
      </c>
      <c r="D2282" s="75">
        <v>93.983900000000006</v>
      </c>
      <c r="E2282" s="75">
        <v>92.883499999999998</v>
      </c>
      <c r="F2282">
        <v>-956.67</v>
      </c>
      <c r="G2282">
        <v>-558.75</v>
      </c>
      <c r="H2282">
        <v>-2335.6</v>
      </c>
      <c r="I2282">
        <v>497.09999999999997</v>
      </c>
      <c r="J2282">
        <v>-3353.92</v>
      </c>
    </row>
    <row r="2283" spans="1:10" x14ac:dyDescent="0.35">
      <c r="A2283">
        <v>2267</v>
      </c>
      <c r="B2283" s="75">
        <v>89.59</v>
      </c>
      <c r="C2283" s="75">
        <v>98.48</v>
      </c>
      <c r="D2283" s="75">
        <v>91.36</v>
      </c>
      <c r="E2283" s="75">
        <v>93.37</v>
      </c>
      <c r="F2283">
        <v>-126.05999999999999</v>
      </c>
      <c r="G2283">
        <v>-398.7</v>
      </c>
      <c r="H2283">
        <v>2906</v>
      </c>
      <c r="I2283">
        <v>6.3</v>
      </c>
      <c r="J2283">
        <v>2387.54</v>
      </c>
    </row>
    <row r="2284" spans="1:10" x14ac:dyDescent="0.35">
      <c r="A2284">
        <v>2268</v>
      </c>
      <c r="B2284" s="75">
        <v>89.727000000000004</v>
      </c>
      <c r="C2284" s="75">
        <v>97.3583</v>
      </c>
      <c r="D2284" s="75">
        <v>91.249899999999997</v>
      </c>
      <c r="E2284" s="75">
        <v>95.011300000000006</v>
      </c>
      <c r="F2284">
        <v>-572.22</v>
      </c>
      <c r="G2284">
        <v>1277.4000000000001</v>
      </c>
      <c r="H2284">
        <v>3132.4</v>
      </c>
      <c r="I2284">
        <v>-1630.7</v>
      </c>
      <c r="J2284">
        <v>2206.88</v>
      </c>
    </row>
    <row r="2285" spans="1:10" x14ac:dyDescent="0.35">
      <c r="A2285">
        <v>2269</v>
      </c>
      <c r="B2285" s="75">
        <v>89.95</v>
      </c>
      <c r="C2285" s="75">
        <v>97.37</v>
      </c>
      <c r="D2285" s="75">
        <v>92.55</v>
      </c>
      <c r="E2285" s="75">
        <v>93.5</v>
      </c>
      <c r="F2285">
        <v>-1304.82</v>
      </c>
      <c r="G2285">
        <v>1265.4000000000001</v>
      </c>
      <c r="H2285">
        <v>529.20000000000005</v>
      </c>
      <c r="I2285">
        <v>-120.80000000000001</v>
      </c>
      <c r="J2285">
        <v>368.98000000000019</v>
      </c>
    </row>
    <row r="2286" spans="1:10" x14ac:dyDescent="0.35">
      <c r="A2286">
        <v>2270</v>
      </c>
      <c r="B2286" s="75">
        <v>90.026700000000005</v>
      </c>
      <c r="C2286" s="75">
        <v>97.538499999999999</v>
      </c>
      <c r="D2286" s="75">
        <v>93.094399999999993</v>
      </c>
      <c r="E2286" s="75">
        <v>90.510400000000004</v>
      </c>
      <c r="F2286">
        <v>-1561.23</v>
      </c>
      <c r="G2286">
        <v>1007.1</v>
      </c>
      <c r="H2286">
        <v>-556.6</v>
      </c>
      <c r="I2286">
        <v>2870.2000000000003</v>
      </c>
      <c r="J2286">
        <v>1759.4700000000003</v>
      </c>
    </row>
    <row r="2287" spans="1:10" x14ac:dyDescent="0.35">
      <c r="A2287">
        <v>2271</v>
      </c>
      <c r="B2287" s="75">
        <v>88.69</v>
      </c>
      <c r="C2287" s="75">
        <v>98.05</v>
      </c>
      <c r="D2287" s="75">
        <v>90.16</v>
      </c>
      <c r="E2287" s="75">
        <v>95.68</v>
      </c>
      <c r="F2287">
        <v>2855.8199999999997</v>
      </c>
      <c r="G2287">
        <v>245.1</v>
      </c>
      <c r="H2287">
        <v>5322</v>
      </c>
      <c r="I2287">
        <v>-2302.7000000000003</v>
      </c>
      <c r="J2287">
        <v>6120.2199999999993</v>
      </c>
    </row>
    <row r="2288" spans="1:10" x14ac:dyDescent="0.35">
      <c r="A2288">
        <v>2272</v>
      </c>
      <c r="B2288" s="75">
        <v>90.182100000000005</v>
      </c>
      <c r="C2288" s="75">
        <v>98.168599999999998</v>
      </c>
      <c r="D2288" s="75">
        <v>93.419700000000006</v>
      </c>
      <c r="E2288" s="75">
        <v>95.575900000000004</v>
      </c>
      <c r="F2288">
        <v>-2074.0499999999997</v>
      </c>
      <c r="G2288">
        <v>61.95</v>
      </c>
      <c r="H2288">
        <v>-1207.2</v>
      </c>
      <c r="I2288">
        <v>-2195.3000000000002</v>
      </c>
      <c r="J2288">
        <v>-5414.6</v>
      </c>
    </row>
    <row r="2289" spans="1:10" x14ac:dyDescent="0.35">
      <c r="A2289">
        <v>2273</v>
      </c>
      <c r="B2289" s="75">
        <v>89.52</v>
      </c>
      <c r="C2289" s="75">
        <v>97.97</v>
      </c>
      <c r="D2289" s="75">
        <v>92.44</v>
      </c>
      <c r="E2289" s="75">
        <v>95.1</v>
      </c>
      <c r="F2289">
        <v>122.1</v>
      </c>
      <c r="G2289">
        <v>359.70000000000005</v>
      </c>
      <c r="H2289">
        <v>745.4</v>
      </c>
      <c r="I2289">
        <v>-1715.8</v>
      </c>
      <c r="J2289">
        <v>-488.59999999999991</v>
      </c>
    </row>
    <row r="2290" spans="1:10" x14ac:dyDescent="0.35">
      <c r="A2290">
        <v>2274</v>
      </c>
      <c r="B2290" s="75">
        <v>89.074200000000005</v>
      </c>
      <c r="C2290" s="75">
        <v>97.179900000000004</v>
      </c>
      <c r="D2290" s="75">
        <v>93.170100000000005</v>
      </c>
      <c r="E2290" s="75">
        <v>92.088700000000003</v>
      </c>
      <c r="F2290">
        <v>1582.02</v>
      </c>
      <c r="G2290">
        <v>1545</v>
      </c>
      <c r="H2290">
        <v>-708</v>
      </c>
      <c r="I2290">
        <v>1291.9000000000001</v>
      </c>
      <c r="J2290">
        <v>3710.92</v>
      </c>
    </row>
    <row r="2291" spans="1:10" x14ac:dyDescent="0.35">
      <c r="A2291">
        <v>2275</v>
      </c>
      <c r="B2291" s="75">
        <v>89.45</v>
      </c>
      <c r="C2291" s="75">
        <v>99.26</v>
      </c>
      <c r="D2291" s="75">
        <v>92.17</v>
      </c>
      <c r="E2291" s="75">
        <v>91.79</v>
      </c>
      <c r="F2291">
        <v>351.45</v>
      </c>
      <c r="G2291">
        <v>-1572.45</v>
      </c>
      <c r="H2291">
        <v>1284.8</v>
      </c>
      <c r="I2291">
        <v>1593.6999999999998</v>
      </c>
      <c r="J2291">
        <v>1657.4999999999998</v>
      </c>
    </row>
    <row r="2292" spans="1:10" x14ac:dyDescent="0.35">
      <c r="A2292">
        <v>2276</v>
      </c>
      <c r="B2292" s="75">
        <v>90.215999999999994</v>
      </c>
      <c r="C2292" s="75">
        <v>98.812899999999999</v>
      </c>
      <c r="D2292" s="75">
        <v>92.372600000000006</v>
      </c>
      <c r="E2292" s="75">
        <v>93.270700000000005</v>
      </c>
      <c r="F2292">
        <v>-2185.92</v>
      </c>
      <c r="G2292">
        <v>-904.5</v>
      </c>
      <c r="H2292">
        <v>887</v>
      </c>
      <c r="I2292">
        <v>109.89999999999999</v>
      </c>
      <c r="J2292">
        <v>-2093.52</v>
      </c>
    </row>
    <row r="2293" spans="1:10" x14ac:dyDescent="0.35">
      <c r="A2293">
        <v>2277</v>
      </c>
      <c r="B2293" s="75">
        <v>90.2</v>
      </c>
      <c r="C2293" s="75">
        <v>99.31</v>
      </c>
      <c r="D2293" s="75">
        <v>93.44</v>
      </c>
      <c r="E2293" s="75">
        <v>94.12</v>
      </c>
      <c r="F2293">
        <v>-2135.1</v>
      </c>
      <c r="G2293">
        <v>-1657.05</v>
      </c>
      <c r="H2293">
        <v>-1248</v>
      </c>
      <c r="I2293">
        <v>-738.5</v>
      </c>
      <c r="J2293">
        <v>-5778.65</v>
      </c>
    </row>
    <row r="2294" spans="1:10" x14ac:dyDescent="0.35">
      <c r="A2294">
        <v>2278</v>
      </c>
      <c r="B2294" s="75">
        <v>89.875</v>
      </c>
      <c r="C2294" s="75">
        <v>97.528499999999994</v>
      </c>
      <c r="D2294" s="75">
        <v>90.939599999999999</v>
      </c>
      <c r="E2294" s="75">
        <v>91.297499999999999</v>
      </c>
      <c r="F2294">
        <v>-1060.6200000000001</v>
      </c>
      <c r="G2294">
        <v>1022.1</v>
      </c>
      <c r="H2294">
        <v>3753</v>
      </c>
      <c r="I2294">
        <v>2083.1</v>
      </c>
      <c r="J2294">
        <v>5797.58</v>
      </c>
    </row>
    <row r="2295" spans="1:10" x14ac:dyDescent="0.35">
      <c r="A2295">
        <v>2279</v>
      </c>
      <c r="B2295" s="75">
        <v>89.33</v>
      </c>
      <c r="C2295" s="75">
        <v>99.51</v>
      </c>
      <c r="D2295" s="75">
        <v>94.94</v>
      </c>
      <c r="E2295" s="75">
        <v>94.55</v>
      </c>
      <c r="F2295">
        <v>746.46</v>
      </c>
      <c r="G2295">
        <v>-1945.1999999999998</v>
      </c>
      <c r="H2295">
        <v>-4250.6000000000004</v>
      </c>
      <c r="I2295">
        <v>-1166</v>
      </c>
      <c r="J2295">
        <v>-6615.34</v>
      </c>
    </row>
    <row r="2296" spans="1:10" x14ac:dyDescent="0.35">
      <c r="A2296">
        <v>2280</v>
      </c>
      <c r="B2296" s="75">
        <v>90.5518</v>
      </c>
      <c r="C2296" s="75">
        <v>98.439899999999994</v>
      </c>
      <c r="D2296" s="75">
        <v>93.883700000000005</v>
      </c>
      <c r="E2296" s="75">
        <v>92.677700000000002</v>
      </c>
      <c r="F2296">
        <v>-3294.06</v>
      </c>
      <c r="G2296">
        <v>-345</v>
      </c>
      <c r="H2296">
        <v>-2135.2000000000003</v>
      </c>
      <c r="I2296">
        <v>702.9</v>
      </c>
      <c r="J2296">
        <v>-5071.3600000000006</v>
      </c>
    </row>
    <row r="2297" spans="1:10" x14ac:dyDescent="0.35">
      <c r="A2297">
        <v>2281</v>
      </c>
      <c r="B2297" s="75">
        <v>88.94</v>
      </c>
      <c r="C2297" s="75">
        <v>99.01</v>
      </c>
      <c r="D2297" s="75">
        <v>91.79</v>
      </c>
      <c r="E2297" s="75">
        <v>92.62</v>
      </c>
      <c r="F2297">
        <v>2038.74</v>
      </c>
      <c r="G2297">
        <v>-1199.25</v>
      </c>
      <c r="H2297">
        <v>2056.8000000000002</v>
      </c>
      <c r="I2297">
        <v>758.6</v>
      </c>
      <c r="J2297">
        <v>3654.89</v>
      </c>
    </row>
    <row r="2298" spans="1:10" x14ac:dyDescent="0.35">
      <c r="A2298">
        <v>2282</v>
      </c>
      <c r="B2298" s="75">
        <v>89.828100000000006</v>
      </c>
      <c r="C2298" s="75">
        <v>98.730400000000003</v>
      </c>
      <c r="D2298" s="75">
        <v>91.259699999999995</v>
      </c>
      <c r="E2298" s="75">
        <v>95.976500000000001</v>
      </c>
      <c r="F2298">
        <v>-905.85</v>
      </c>
      <c r="G2298">
        <v>-780.75</v>
      </c>
      <c r="H2298">
        <v>3112.8</v>
      </c>
      <c r="I2298">
        <v>-2595.9</v>
      </c>
      <c r="J2298">
        <v>-1169.6999999999998</v>
      </c>
    </row>
    <row r="2299" spans="1:10" x14ac:dyDescent="0.35">
      <c r="A2299">
        <v>2283</v>
      </c>
      <c r="B2299" s="75">
        <v>88.95</v>
      </c>
      <c r="C2299" s="75">
        <v>99.83</v>
      </c>
      <c r="D2299" s="75">
        <v>92.9</v>
      </c>
      <c r="E2299" s="75">
        <v>92.01</v>
      </c>
      <c r="F2299">
        <v>1990.8899999999999</v>
      </c>
      <c r="G2299">
        <v>-2437.5</v>
      </c>
      <c r="H2299">
        <v>-174</v>
      </c>
      <c r="I2299">
        <v>1367.2</v>
      </c>
      <c r="J2299">
        <v>746.58999999999992</v>
      </c>
    </row>
    <row r="2300" spans="1:10" x14ac:dyDescent="0.35">
      <c r="A2300">
        <v>2284</v>
      </c>
      <c r="B2300" s="75">
        <v>89.388900000000007</v>
      </c>
      <c r="C2300" s="75">
        <v>99.215800000000002</v>
      </c>
      <c r="D2300" s="75">
        <v>93.011399999999995</v>
      </c>
      <c r="E2300" s="75">
        <v>96.619600000000005</v>
      </c>
      <c r="F2300">
        <v>543.51</v>
      </c>
      <c r="G2300">
        <v>-1508.8500000000001</v>
      </c>
      <c r="H2300">
        <v>-390.6</v>
      </c>
      <c r="I2300">
        <v>-3239</v>
      </c>
      <c r="J2300">
        <v>-4594.9400000000005</v>
      </c>
    </row>
    <row r="2301" spans="1:10" x14ac:dyDescent="0.35">
      <c r="A2301">
        <v>2285</v>
      </c>
      <c r="B2301" s="75">
        <v>89.21</v>
      </c>
      <c r="C2301" s="75">
        <v>98.74</v>
      </c>
      <c r="D2301" s="75">
        <v>91.78</v>
      </c>
      <c r="E2301" s="75">
        <v>93.45</v>
      </c>
      <c r="F2301">
        <v>1147.0800000000002</v>
      </c>
      <c r="G2301">
        <v>-790.94999999999993</v>
      </c>
      <c r="H2301">
        <v>2072.8000000000002</v>
      </c>
      <c r="I2301">
        <v>-66.3</v>
      </c>
      <c r="J2301">
        <v>2362.63</v>
      </c>
    </row>
    <row r="2302" spans="1:10" x14ac:dyDescent="0.35">
      <c r="A2302">
        <v>2286</v>
      </c>
      <c r="B2302" s="75">
        <v>89.395200000000003</v>
      </c>
      <c r="C2302" s="75">
        <v>98.817300000000003</v>
      </c>
      <c r="D2302" s="75">
        <v>92.369100000000003</v>
      </c>
      <c r="E2302" s="75">
        <v>95.275099999999995</v>
      </c>
      <c r="F2302">
        <v>522.72</v>
      </c>
      <c r="G2302">
        <v>-911.1</v>
      </c>
      <c r="H2302">
        <v>894</v>
      </c>
      <c r="I2302">
        <v>-1894.5</v>
      </c>
      <c r="J2302">
        <v>-1388.88</v>
      </c>
    </row>
    <row r="2303" spans="1:10" x14ac:dyDescent="0.35">
      <c r="A2303">
        <v>2287</v>
      </c>
      <c r="B2303" s="75">
        <v>90.13</v>
      </c>
      <c r="C2303" s="75">
        <v>98.06</v>
      </c>
      <c r="D2303" s="75">
        <v>93.6</v>
      </c>
      <c r="E2303" s="75">
        <v>95.6</v>
      </c>
      <c r="F2303">
        <v>-1891.89</v>
      </c>
      <c r="G2303">
        <v>231.89999999999998</v>
      </c>
      <c r="H2303">
        <v>-1572</v>
      </c>
      <c r="I2303">
        <v>-2216.2999999999997</v>
      </c>
      <c r="J2303">
        <v>-5448.29</v>
      </c>
    </row>
    <row r="2304" spans="1:10" x14ac:dyDescent="0.35">
      <c r="A2304">
        <v>2288</v>
      </c>
      <c r="B2304" s="75">
        <v>90.405600000000007</v>
      </c>
      <c r="C2304" s="75">
        <v>96.543800000000005</v>
      </c>
      <c r="D2304" s="75">
        <v>92.390900000000002</v>
      </c>
      <c r="E2304" s="75">
        <v>95.0124</v>
      </c>
      <c r="F2304">
        <v>-2811.6</v>
      </c>
      <c r="G2304">
        <v>2499.15</v>
      </c>
      <c r="H2304">
        <v>850.40000000000009</v>
      </c>
      <c r="I2304">
        <v>-1631.8</v>
      </c>
      <c r="J2304">
        <v>-1093.8499999999997</v>
      </c>
    </row>
    <row r="2305" spans="1:10" x14ac:dyDescent="0.35">
      <c r="A2305">
        <v>2289</v>
      </c>
      <c r="B2305" s="75">
        <v>90.12</v>
      </c>
      <c r="C2305" s="75">
        <v>98.37</v>
      </c>
      <c r="D2305" s="75">
        <v>95.03</v>
      </c>
      <c r="E2305" s="75">
        <v>92.16</v>
      </c>
      <c r="F2305">
        <v>-1870.7699999999998</v>
      </c>
      <c r="G2305">
        <v>-241.2</v>
      </c>
      <c r="H2305">
        <v>-4427</v>
      </c>
      <c r="I2305">
        <v>1225.5999999999999</v>
      </c>
      <c r="J2305">
        <v>-5313.369999999999</v>
      </c>
    </row>
    <row r="2306" spans="1:10" x14ac:dyDescent="0.35">
      <c r="A2306">
        <v>2290</v>
      </c>
      <c r="B2306" s="75">
        <v>89.631299999999996</v>
      </c>
      <c r="C2306" s="75">
        <v>97.772900000000007</v>
      </c>
      <c r="D2306" s="75">
        <v>93.053700000000006</v>
      </c>
      <c r="E2306" s="75">
        <v>93.995500000000007</v>
      </c>
      <c r="F2306">
        <v>-256.41000000000003</v>
      </c>
      <c r="G2306">
        <v>655.5</v>
      </c>
      <c r="H2306">
        <v>-475.2</v>
      </c>
      <c r="I2306">
        <v>-614.9</v>
      </c>
      <c r="J2306">
        <v>-691.01</v>
      </c>
    </row>
    <row r="2307" spans="1:10" x14ac:dyDescent="0.35">
      <c r="A2307">
        <v>2291</v>
      </c>
      <c r="B2307" s="75">
        <v>89.53</v>
      </c>
      <c r="C2307" s="75">
        <v>98.78</v>
      </c>
      <c r="D2307" s="75">
        <v>93.32</v>
      </c>
      <c r="E2307" s="75">
        <v>94.24</v>
      </c>
      <c r="F2307">
        <v>94.05</v>
      </c>
      <c r="G2307">
        <v>-849.30000000000007</v>
      </c>
      <c r="H2307">
        <v>-1015.4000000000001</v>
      </c>
      <c r="I2307">
        <v>-855.6</v>
      </c>
      <c r="J2307">
        <v>-2626.25</v>
      </c>
    </row>
    <row r="2308" spans="1:10" x14ac:dyDescent="0.35">
      <c r="A2308">
        <v>2292</v>
      </c>
      <c r="B2308" s="75">
        <v>89.25</v>
      </c>
      <c r="C2308" s="75">
        <v>99.520600000000002</v>
      </c>
      <c r="D2308" s="75">
        <v>93.094200000000001</v>
      </c>
      <c r="E2308" s="75">
        <v>93.162300000000002</v>
      </c>
      <c r="F2308">
        <v>1001.8799999999999</v>
      </c>
      <c r="G2308">
        <v>-1966.05</v>
      </c>
      <c r="H2308">
        <v>-556.20000000000005</v>
      </c>
      <c r="I2308">
        <v>218.29999999999998</v>
      </c>
      <c r="J2308">
        <v>-1302.0700000000002</v>
      </c>
    </row>
    <row r="2309" spans="1:10" x14ac:dyDescent="0.35">
      <c r="A2309">
        <v>2293</v>
      </c>
      <c r="B2309" s="75">
        <v>89.65</v>
      </c>
      <c r="C2309" s="75">
        <v>98.31</v>
      </c>
      <c r="D2309" s="75">
        <v>93.67</v>
      </c>
      <c r="E2309" s="75">
        <v>92.71</v>
      </c>
      <c r="F2309">
        <v>-330.65999999999997</v>
      </c>
      <c r="G2309">
        <v>-146.4</v>
      </c>
      <c r="H2309">
        <v>-1711.8</v>
      </c>
      <c r="I2309">
        <v>670.2</v>
      </c>
      <c r="J2309">
        <v>-1518.6599999999996</v>
      </c>
    </row>
    <row r="2310" spans="1:10" x14ac:dyDescent="0.35">
      <c r="A2310">
        <v>2294</v>
      </c>
      <c r="B2310" s="75">
        <v>89.280900000000003</v>
      </c>
      <c r="C2310" s="75">
        <v>97.809200000000004</v>
      </c>
      <c r="D2310" s="75">
        <v>92.892200000000003</v>
      </c>
      <c r="E2310" s="75">
        <v>90.828599999999994</v>
      </c>
      <c r="F2310">
        <v>899.91</v>
      </c>
      <c r="G2310">
        <v>601.04999999999995</v>
      </c>
      <c r="H2310">
        <v>-152.19999999999999</v>
      </c>
      <c r="I2310">
        <v>2552</v>
      </c>
      <c r="J2310">
        <v>3900.76</v>
      </c>
    </row>
    <row r="2311" spans="1:10" x14ac:dyDescent="0.35">
      <c r="A2311">
        <v>2295</v>
      </c>
      <c r="B2311" s="75">
        <v>90.26</v>
      </c>
      <c r="C2311" s="75">
        <v>98.2</v>
      </c>
      <c r="D2311" s="75">
        <v>91.73</v>
      </c>
      <c r="E2311" s="75">
        <v>94.5</v>
      </c>
      <c r="F2311">
        <v>-2340.0299999999997</v>
      </c>
      <c r="G2311">
        <v>19.5</v>
      </c>
      <c r="H2311">
        <v>2172.2000000000003</v>
      </c>
      <c r="I2311">
        <v>-1115.3</v>
      </c>
      <c r="J2311">
        <v>-1263.6299999999994</v>
      </c>
    </row>
    <row r="2312" spans="1:10" x14ac:dyDescent="0.35">
      <c r="A2312">
        <v>2296</v>
      </c>
      <c r="B2312" s="75">
        <v>90.052800000000005</v>
      </c>
      <c r="C2312" s="75">
        <v>97.160499999999999</v>
      </c>
      <c r="D2312" s="75">
        <v>93.078400000000002</v>
      </c>
      <c r="E2312" s="75">
        <v>95.101399999999998</v>
      </c>
      <c r="F2312">
        <v>-1647.36</v>
      </c>
      <c r="G2312">
        <v>1574.1000000000001</v>
      </c>
      <c r="H2312">
        <v>-524.59999999999991</v>
      </c>
      <c r="I2312">
        <v>-1720.8000000000002</v>
      </c>
      <c r="J2312">
        <v>-2318.66</v>
      </c>
    </row>
    <row r="2313" spans="1:10" x14ac:dyDescent="0.35">
      <c r="A2313">
        <v>2297</v>
      </c>
      <c r="B2313" s="75">
        <v>89.49</v>
      </c>
      <c r="C2313" s="75">
        <v>98.49</v>
      </c>
      <c r="D2313" s="75">
        <v>93.77</v>
      </c>
      <c r="E2313" s="75">
        <v>92.78</v>
      </c>
      <c r="F2313">
        <v>205.59</v>
      </c>
      <c r="G2313">
        <v>-413.09999999999997</v>
      </c>
      <c r="H2313">
        <v>-1898.8</v>
      </c>
      <c r="I2313">
        <v>599.6</v>
      </c>
      <c r="J2313">
        <v>-1506.71</v>
      </c>
    </row>
    <row r="2314" spans="1:10" x14ac:dyDescent="0.35">
      <c r="A2314">
        <v>2298</v>
      </c>
      <c r="B2314" s="75">
        <v>90.292199999999994</v>
      </c>
      <c r="C2314" s="75">
        <v>99.261300000000006</v>
      </c>
      <c r="D2314" s="75">
        <v>92.769099999999995</v>
      </c>
      <c r="E2314" s="75">
        <v>94.051500000000004</v>
      </c>
      <c r="F2314">
        <v>-2437.38</v>
      </c>
      <c r="G2314">
        <v>-1577.1</v>
      </c>
      <c r="H2314">
        <v>94</v>
      </c>
      <c r="I2314">
        <v>-670.90000000000009</v>
      </c>
      <c r="J2314">
        <v>-4591.38</v>
      </c>
    </row>
    <row r="2315" spans="1:10" x14ac:dyDescent="0.35">
      <c r="A2315">
        <v>2299</v>
      </c>
      <c r="B2315" s="75">
        <v>89.07</v>
      </c>
      <c r="C2315" s="75">
        <v>98.52</v>
      </c>
      <c r="D2315" s="75">
        <v>92.47</v>
      </c>
      <c r="E2315" s="75">
        <v>95.15</v>
      </c>
      <c r="F2315">
        <v>1585.6499999999999</v>
      </c>
      <c r="G2315">
        <v>-470.70000000000005</v>
      </c>
      <c r="H2315">
        <v>688.4</v>
      </c>
      <c r="I2315">
        <v>-1767.3000000000002</v>
      </c>
      <c r="J2315">
        <v>36.049999999999727</v>
      </c>
    </row>
    <row r="2316" spans="1:10" x14ac:dyDescent="0.35">
      <c r="A2316">
        <v>2300</v>
      </c>
      <c r="B2316" s="75">
        <v>89.84</v>
      </c>
      <c r="C2316" s="75">
        <v>99.742599999999996</v>
      </c>
      <c r="D2316" s="75">
        <v>91.532399999999996</v>
      </c>
      <c r="E2316" s="75">
        <v>95.927700000000002</v>
      </c>
      <c r="F2316">
        <v>-945.12</v>
      </c>
      <c r="G2316">
        <v>-2299.0499999999997</v>
      </c>
      <c r="H2316">
        <v>2567.4</v>
      </c>
      <c r="I2316">
        <v>-2547.1</v>
      </c>
      <c r="J2316">
        <v>-3223.8699999999994</v>
      </c>
    </row>
    <row r="2317" spans="1:10" x14ac:dyDescent="0.35">
      <c r="A2317">
        <v>2301</v>
      </c>
      <c r="B2317" s="75">
        <v>89.08</v>
      </c>
      <c r="C2317" s="75">
        <v>98.06</v>
      </c>
      <c r="D2317" s="75">
        <v>93.68</v>
      </c>
      <c r="E2317" s="75">
        <v>94.06</v>
      </c>
      <c r="F2317">
        <v>1561.56</v>
      </c>
      <c r="G2317">
        <v>221.1</v>
      </c>
      <c r="H2317">
        <v>-1729</v>
      </c>
      <c r="I2317">
        <v>-678.69999999999993</v>
      </c>
      <c r="J2317">
        <v>-625.04000000000008</v>
      </c>
    </row>
    <row r="2318" spans="1:10" x14ac:dyDescent="0.35">
      <c r="A2318">
        <v>2302</v>
      </c>
      <c r="B2318" s="75">
        <v>90.047399999999996</v>
      </c>
      <c r="C2318" s="75">
        <v>98.793800000000005</v>
      </c>
      <c r="D2318" s="75">
        <v>92.6417</v>
      </c>
      <c r="E2318" s="75">
        <v>92.659099999999995</v>
      </c>
      <c r="F2318">
        <v>-1629.54</v>
      </c>
      <c r="G2318">
        <v>-875.84999999999991</v>
      </c>
      <c r="H2318">
        <v>348.8</v>
      </c>
      <c r="I2318">
        <v>721.5</v>
      </c>
      <c r="J2318">
        <v>-1435.0899999999997</v>
      </c>
    </row>
    <row r="2319" spans="1:10" x14ac:dyDescent="0.35">
      <c r="A2319">
        <v>2303</v>
      </c>
      <c r="B2319" s="75">
        <v>89.41</v>
      </c>
      <c r="C2319" s="75">
        <v>98.76</v>
      </c>
      <c r="D2319" s="75">
        <v>91.71</v>
      </c>
      <c r="E2319" s="75">
        <v>93.5</v>
      </c>
      <c r="F2319">
        <v>480.81</v>
      </c>
      <c r="G2319">
        <v>-818.4</v>
      </c>
      <c r="H2319">
        <v>2210.4</v>
      </c>
      <c r="I2319">
        <v>-116</v>
      </c>
      <c r="J2319">
        <v>1756.8100000000002</v>
      </c>
    </row>
    <row r="2320" spans="1:10" x14ac:dyDescent="0.35">
      <c r="A2320">
        <v>2304</v>
      </c>
      <c r="B2320" s="75">
        <v>89.718900000000005</v>
      </c>
      <c r="C2320" s="75">
        <v>96.783900000000003</v>
      </c>
      <c r="D2320" s="75">
        <v>93.081800000000001</v>
      </c>
      <c r="E2320" s="75">
        <v>94.474599999999995</v>
      </c>
      <c r="F2320">
        <v>-545.49</v>
      </c>
      <c r="G2320">
        <v>2139</v>
      </c>
      <c r="H2320">
        <v>-531.4</v>
      </c>
      <c r="I2320">
        <v>-1094</v>
      </c>
      <c r="J2320">
        <v>-31.889999999999873</v>
      </c>
    </row>
    <row r="2321" spans="1:10" x14ac:dyDescent="0.35">
      <c r="A2321">
        <v>2305</v>
      </c>
      <c r="B2321" s="75">
        <v>90.17</v>
      </c>
      <c r="C2321" s="75">
        <v>98.58</v>
      </c>
      <c r="D2321" s="75">
        <v>94.17</v>
      </c>
      <c r="E2321" s="75">
        <v>92.37</v>
      </c>
      <c r="F2321">
        <v>-2034.45</v>
      </c>
      <c r="G2321">
        <v>-559.5</v>
      </c>
      <c r="H2321">
        <v>-2697.8</v>
      </c>
      <c r="I2321">
        <v>1007.1000000000001</v>
      </c>
      <c r="J2321">
        <v>-4284.6499999999996</v>
      </c>
    </row>
    <row r="2322" spans="1:10" x14ac:dyDescent="0.35">
      <c r="A2322">
        <v>2306</v>
      </c>
      <c r="B2322" s="75">
        <v>89.208600000000004</v>
      </c>
      <c r="C2322" s="75">
        <v>98.658299999999997</v>
      </c>
      <c r="D2322" s="75">
        <v>91.8386</v>
      </c>
      <c r="E2322" s="75">
        <v>93.125799999999998</v>
      </c>
      <c r="F2322">
        <v>1138.5</v>
      </c>
      <c r="G2322">
        <v>-672.6</v>
      </c>
      <c r="H2322">
        <v>1955</v>
      </c>
      <c r="I2322">
        <v>254.80000000000004</v>
      </c>
      <c r="J2322">
        <v>2675.7000000000003</v>
      </c>
    </row>
    <row r="2323" spans="1:10" x14ac:dyDescent="0.35">
      <c r="A2323">
        <v>2307</v>
      </c>
      <c r="B2323" s="75">
        <v>89.71</v>
      </c>
      <c r="C2323" s="75">
        <v>100.01</v>
      </c>
      <c r="D2323" s="75">
        <v>94.82</v>
      </c>
      <c r="E2323" s="75">
        <v>91.61</v>
      </c>
      <c r="F2323">
        <v>-520.74</v>
      </c>
      <c r="G2323">
        <v>-2696.85</v>
      </c>
      <c r="H2323">
        <v>-4007.7999999999997</v>
      </c>
      <c r="I2323">
        <v>1771.2</v>
      </c>
      <c r="J2323">
        <v>-5454.19</v>
      </c>
    </row>
    <row r="2324" spans="1:10" x14ac:dyDescent="0.35">
      <c r="A2324">
        <v>2308</v>
      </c>
      <c r="B2324" s="75">
        <v>88.519599999999997</v>
      </c>
      <c r="C2324" s="75">
        <v>98.027100000000004</v>
      </c>
      <c r="D2324" s="75">
        <v>94.358800000000002</v>
      </c>
      <c r="E2324" s="75">
        <v>91.514600000000002</v>
      </c>
      <c r="F2324">
        <v>3412.2000000000003</v>
      </c>
      <c r="G2324">
        <v>274.2</v>
      </c>
      <c r="H2324">
        <v>-3085.4</v>
      </c>
      <c r="I2324">
        <v>1866</v>
      </c>
      <c r="J2324">
        <v>2467</v>
      </c>
    </row>
    <row r="2325" spans="1:10" x14ac:dyDescent="0.35">
      <c r="A2325">
        <v>2309</v>
      </c>
      <c r="B2325" s="75">
        <v>89.82</v>
      </c>
      <c r="C2325" s="75">
        <v>98.84</v>
      </c>
      <c r="D2325" s="75">
        <v>92.75</v>
      </c>
      <c r="E2325" s="75">
        <v>94.81</v>
      </c>
      <c r="F2325">
        <v>-871.2</v>
      </c>
      <c r="G2325">
        <v>-944.85</v>
      </c>
      <c r="H2325">
        <v>127.6</v>
      </c>
      <c r="I2325">
        <v>-1431.8</v>
      </c>
      <c r="J2325">
        <v>-3120.25</v>
      </c>
    </row>
    <row r="2326" spans="1:10" x14ac:dyDescent="0.35">
      <c r="A2326">
        <v>2310</v>
      </c>
      <c r="B2326" s="75">
        <v>89.975300000000004</v>
      </c>
      <c r="C2326" s="75">
        <v>97.724999999999994</v>
      </c>
      <c r="D2326" s="75">
        <v>93.026200000000003</v>
      </c>
      <c r="E2326" s="75">
        <v>93.1297</v>
      </c>
      <c r="F2326">
        <v>-1391.6100000000001</v>
      </c>
      <c r="G2326">
        <v>727.35</v>
      </c>
      <c r="H2326">
        <v>-420.20000000000005</v>
      </c>
      <c r="I2326">
        <v>250.9</v>
      </c>
      <c r="J2326">
        <v>-833.56000000000006</v>
      </c>
    </row>
    <row r="2327" spans="1:10" x14ac:dyDescent="0.35">
      <c r="A2327">
        <v>2311</v>
      </c>
      <c r="B2327" s="75">
        <v>90.37</v>
      </c>
      <c r="C2327" s="75">
        <v>98.87</v>
      </c>
      <c r="D2327" s="75">
        <v>92.3</v>
      </c>
      <c r="E2327" s="75">
        <v>93.35</v>
      </c>
      <c r="F2327">
        <v>-2695.11</v>
      </c>
      <c r="G2327">
        <v>-989.85</v>
      </c>
      <c r="H2327">
        <v>1033</v>
      </c>
      <c r="I2327">
        <v>25.7</v>
      </c>
      <c r="J2327">
        <v>-2626.26</v>
      </c>
    </row>
    <row r="2328" spans="1:10" x14ac:dyDescent="0.35">
      <c r="A2328">
        <v>2312</v>
      </c>
      <c r="B2328" s="75">
        <v>90.061000000000007</v>
      </c>
      <c r="C2328" s="75">
        <v>97.594999999999999</v>
      </c>
      <c r="D2328" s="75">
        <v>94.242500000000007</v>
      </c>
      <c r="E2328" s="75">
        <v>93.188299999999998</v>
      </c>
      <c r="F2328">
        <v>-1674.4199999999998</v>
      </c>
      <c r="G2328">
        <v>922.35</v>
      </c>
      <c r="H2328">
        <v>-2852.7999999999997</v>
      </c>
      <c r="I2328">
        <v>192.3</v>
      </c>
      <c r="J2328">
        <v>-3412.5699999999993</v>
      </c>
    </row>
    <row r="2329" spans="1:10" x14ac:dyDescent="0.35">
      <c r="A2329">
        <v>2313</v>
      </c>
      <c r="B2329" s="75">
        <v>90.49</v>
      </c>
      <c r="C2329" s="75">
        <v>98.91</v>
      </c>
      <c r="D2329" s="75">
        <v>91.28</v>
      </c>
      <c r="E2329" s="75">
        <v>93.77</v>
      </c>
      <c r="F2329">
        <v>-3100.68</v>
      </c>
      <c r="G2329">
        <v>-1043.55</v>
      </c>
      <c r="H2329">
        <v>3065.7999999999997</v>
      </c>
      <c r="I2329">
        <v>-384.90000000000003</v>
      </c>
      <c r="J2329">
        <v>-1463.33</v>
      </c>
    </row>
    <row r="2330" spans="1:10" x14ac:dyDescent="0.35">
      <c r="A2330">
        <v>2314</v>
      </c>
      <c r="B2330" s="75">
        <v>89.068200000000004</v>
      </c>
      <c r="C2330" s="75">
        <v>99.080699999999993</v>
      </c>
      <c r="D2330" s="75">
        <v>93.924999999999997</v>
      </c>
      <c r="E2330" s="75">
        <v>94.042500000000004</v>
      </c>
      <c r="F2330">
        <v>1601.82</v>
      </c>
      <c r="G2330">
        <v>-1306.2</v>
      </c>
      <c r="H2330">
        <v>-2217.8000000000002</v>
      </c>
      <c r="I2330">
        <v>-661.90000000000009</v>
      </c>
      <c r="J2330">
        <v>-2584.0800000000004</v>
      </c>
    </row>
    <row r="2331" spans="1:10" x14ac:dyDescent="0.35">
      <c r="A2331">
        <v>2315</v>
      </c>
      <c r="B2331" s="75">
        <v>89.81</v>
      </c>
      <c r="C2331" s="75">
        <v>98.06</v>
      </c>
      <c r="D2331" s="75">
        <v>93.17</v>
      </c>
      <c r="E2331" s="75">
        <v>92.78</v>
      </c>
      <c r="F2331">
        <v>-854.37000000000012</v>
      </c>
      <c r="G2331">
        <v>226.2</v>
      </c>
      <c r="H2331">
        <v>-713.19999999999993</v>
      </c>
      <c r="I2331">
        <v>602.6</v>
      </c>
      <c r="J2331">
        <v>-738.76999999999987</v>
      </c>
    </row>
    <row r="2332" spans="1:10" x14ac:dyDescent="0.35">
      <c r="A2332">
        <v>2316</v>
      </c>
      <c r="B2332" s="75">
        <v>88.033299999999997</v>
      </c>
      <c r="C2332" s="75">
        <v>97.654499999999999</v>
      </c>
      <c r="D2332" s="75">
        <v>94.361800000000002</v>
      </c>
      <c r="E2332" s="75">
        <v>93.339699999999993</v>
      </c>
      <c r="F2332">
        <v>5016.99</v>
      </c>
      <c r="G2332">
        <v>833.1</v>
      </c>
      <c r="H2332">
        <v>-3091.4</v>
      </c>
      <c r="I2332">
        <v>40.9</v>
      </c>
      <c r="J2332">
        <v>2799.59</v>
      </c>
    </row>
    <row r="2333" spans="1:10" x14ac:dyDescent="0.35">
      <c r="A2333">
        <v>2317</v>
      </c>
      <c r="B2333" s="75">
        <v>88.33</v>
      </c>
      <c r="C2333" s="75">
        <v>97.42</v>
      </c>
      <c r="D2333" s="75">
        <v>92.55</v>
      </c>
      <c r="E2333" s="75">
        <v>92.82</v>
      </c>
      <c r="F2333">
        <v>4048.7700000000004</v>
      </c>
      <c r="G2333">
        <v>1183.8</v>
      </c>
      <c r="H2333">
        <v>533.80000000000007</v>
      </c>
      <c r="I2333">
        <v>560</v>
      </c>
      <c r="J2333">
        <v>6326.3700000000008</v>
      </c>
    </row>
    <row r="2334" spans="1:10" x14ac:dyDescent="0.35">
      <c r="A2334">
        <v>2318</v>
      </c>
      <c r="B2334" s="75">
        <v>89.760999999999996</v>
      </c>
      <c r="C2334" s="75">
        <v>96.964100000000002</v>
      </c>
      <c r="D2334" s="75">
        <v>90.882000000000005</v>
      </c>
      <c r="E2334" s="75">
        <v>94.092699999999994</v>
      </c>
      <c r="F2334">
        <v>-684.42</v>
      </c>
      <c r="G2334">
        <v>1868.7</v>
      </c>
      <c r="H2334">
        <v>3868.2</v>
      </c>
      <c r="I2334">
        <v>-712.09999999999991</v>
      </c>
      <c r="J2334">
        <v>4340.3799999999992</v>
      </c>
    </row>
    <row r="2335" spans="1:10" x14ac:dyDescent="0.35">
      <c r="A2335">
        <v>2319</v>
      </c>
      <c r="B2335" s="75">
        <v>89.31</v>
      </c>
      <c r="C2335" s="75">
        <v>97.47</v>
      </c>
      <c r="D2335" s="75">
        <v>90.68</v>
      </c>
      <c r="E2335" s="75">
        <v>91.91</v>
      </c>
      <c r="F2335">
        <v>789.36</v>
      </c>
      <c r="G2335">
        <v>1112.4000000000001</v>
      </c>
      <c r="H2335">
        <v>4281.6000000000004</v>
      </c>
      <c r="I2335">
        <v>1465.7</v>
      </c>
      <c r="J2335">
        <v>7649.06</v>
      </c>
    </row>
    <row r="2336" spans="1:10" x14ac:dyDescent="0.35">
      <c r="A2336">
        <v>2320</v>
      </c>
      <c r="B2336" s="75">
        <v>90.017300000000006</v>
      </c>
      <c r="C2336" s="75">
        <v>97.734499999999997</v>
      </c>
      <c r="D2336" s="75">
        <v>91.147199999999998</v>
      </c>
      <c r="E2336" s="75">
        <v>92.229399999999998</v>
      </c>
      <c r="F2336">
        <v>-1530.21</v>
      </c>
      <c r="G2336">
        <v>713.1</v>
      </c>
      <c r="H2336">
        <v>3337.8</v>
      </c>
      <c r="I2336">
        <v>1151.2</v>
      </c>
      <c r="J2336">
        <v>3671.8900000000003</v>
      </c>
    </row>
    <row r="2337" spans="1:10" x14ac:dyDescent="0.35">
      <c r="A2337">
        <v>2321</v>
      </c>
      <c r="B2337" s="75">
        <v>90.02</v>
      </c>
      <c r="C2337" s="75">
        <v>98.33</v>
      </c>
      <c r="D2337" s="75">
        <v>95.27</v>
      </c>
      <c r="E2337" s="75">
        <v>94.23</v>
      </c>
      <c r="F2337">
        <v>-1540.11</v>
      </c>
      <c r="G2337">
        <v>-179.10000000000002</v>
      </c>
      <c r="H2337">
        <v>-4905</v>
      </c>
      <c r="I2337">
        <v>-849.7</v>
      </c>
      <c r="J2337">
        <v>-7473.91</v>
      </c>
    </row>
    <row r="2338" spans="1:10" x14ac:dyDescent="0.35">
      <c r="A2338">
        <v>2322</v>
      </c>
      <c r="B2338" s="75">
        <v>90.072599999999994</v>
      </c>
      <c r="C2338" s="75">
        <v>98.335700000000003</v>
      </c>
      <c r="D2338" s="75">
        <v>93.092600000000004</v>
      </c>
      <c r="E2338" s="75">
        <v>91.802800000000005</v>
      </c>
      <c r="F2338">
        <v>-1712.7</v>
      </c>
      <c r="G2338">
        <v>-188.7</v>
      </c>
      <c r="H2338">
        <v>-553</v>
      </c>
      <c r="I2338">
        <v>1577.8000000000002</v>
      </c>
      <c r="J2338">
        <v>-876.59999999999991</v>
      </c>
    </row>
    <row r="2339" spans="1:10" x14ac:dyDescent="0.35">
      <c r="A2339">
        <v>2323</v>
      </c>
      <c r="B2339" s="75">
        <v>90.39</v>
      </c>
      <c r="C2339" s="75">
        <v>97.88</v>
      </c>
      <c r="D2339" s="75">
        <v>91.38</v>
      </c>
      <c r="E2339" s="75">
        <v>93.88</v>
      </c>
      <c r="F2339">
        <v>-2766.3900000000003</v>
      </c>
      <c r="G2339">
        <v>495.75</v>
      </c>
      <c r="H2339">
        <v>2878.4</v>
      </c>
      <c r="I2339">
        <v>-499.2</v>
      </c>
      <c r="J2339">
        <v>108.55999999999977</v>
      </c>
    </row>
    <row r="2340" spans="1:10" x14ac:dyDescent="0.35">
      <c r="A2340">
        <v>2324</v>
      </c>
      <c r="B2340" s="75">
        <v>89.256500000000003</v>
      </c>
      <c r="C2340" s="75">
        <v>98.061899999999994</v>
      </c>
      <c r="D2340" s="75">
        <v>93.393500000000003</v>
      </c>
      <c r="E2340" s="75">
        <v>93.240200000000002</v>
      </c>
      <c r="F2340">
        <v>980.43</v>
      </c>
      <c r="G2340">
        <v>222</v>
      </c>
      <c r="H2340">
        <v>-1154.8</v>
      </c>
      <c r="I2340">
        <v>140.4</v>
      </c>
      <c r="J2340">
        <v>188.02999999999989</v>
      </c>
    </row>
    <row r="2341" spans="1:10" x14ac:dyDescent="0.35">
      <c r="A2341">
        <v>2325</v>
      </c>
      <c r="B2341" s="75">
        <v>89.63</v>
      </c>
      <c r="C2341" s="75">
        <v>97.2</v>
      </c>
      <c r="D2341" s="75">
        <v>92.2</v>
      </c>
      <c r="E2341" s="75">
        <v>95.18</v>
      </c>
      <c r="F2341">
        <v>-246.84000000000003</v>
      </c>
      <c r="G2341">
        <v>1520.8500000000001</v>
      </c>
      <c r="H2341">
        <v>1241.8</v>
      </c>
      <c r="I2341">
        <v>-1802.7</v>
      </c>
      <c r="J2341">
        <v>713.11000000000035</v>
      </c>
    </row>
    <row r="2342" spans="1:10" x14ac:dyDescent="0.35">
      <c r="A2342">
        <v>2326</v>
      </c>
      <c r="B2342" s="75">
        <v>88.993300000000005</v>
      </c>
      <c r="C2342" s="75">
        <v>98.961799999999997</v>
      </c>
      <c r="D2342" s="75">
        <v>92.009200000000007</v>
      </c>
      <c r="E2342" s="75">
        <v>93.277500000000003</v>
      </c>
      <c r="F2342">
        <v>1848.99</v>
      </c>
      <c r="G2342">
        <v>-1127.8499999999999</v>
      </c>
      <c r="H2342">
        <v>1613.8</v>
      </c>
      <c r="I2342">
        <v>103.1</v>
      </c>
      <c r="J2342">
        <v>2438.04</v>
      </c>
    </row>
    <row r="2343" spans="1:10" x14ac:dyDescent="0.35">
      <c r="A2343">
        <v>2327</v>
      </c>
      <c r="B2343" s="75">
        <v>90.27</v>
      </c>
      <c r="C2343" s="75">
        <v>99.02</v>
      </c>
      <c r="D2343" s="75">
        <v>91.92</v>
      </c>
      <c r="E2343" s="75">
        <v>94.15</v>
      </c>
      <c r="F2343">
        <v>-2363.1299999999997</v>
      </c>
      <c r="G2343">
        <v>-1209.8999999999999</v>
      </c>
      <c r="H2343">
        <v>1798.6</v>
      </c>
      <c r="I2343">
        <v>-772.3</v>
      </c>
      <c r="J2343">
        <v>-2546.7299999999996</v>
      </c>
    </row>
    <row r="2344" spans="1:10" x14ac:dyDescent="0.35">
      <c r="A2344">
        <v>2328</v>
      </c>
      <c r="B2344" s="75">
        <v>89.970299999999995</v>
      </c>
      <c r="C2344" s="75">
        <v>97.128100000000003</v>
      </c>
      <c r="D2344" s="75">
        <v>91.304299999999998</v>
      </c>
      <c r="E2344" s="75">
        <v>97.483699999999999</v>
      </c>
      <c r="F2344">
        <v>-1375.1100000000001</v>
      </c>
      <c r="G2344">
        <v>1622.7</v>
      </c>
      <c r="H2344">
        <v>3023.6</v>
      </c>
      <c r="I2344">
        <v>-4103.1000000000004</v>
      </c>
      <c r="J2344">
        <v>-831.91000000000076</v>
      </c>
    </row>
    <row r="2345" spans="1:10" x14ac:dyDescent="0.35">
      <c r="A2345">
        <v>2329</v>
      </c>
      <c r="B2345" s="75">
        <v>89.42</v>
      </c>
      <c r="C2345" s="75">
        <v>99.1</v>
      </c>
      <c r="D2345" s="75">
        <v>91.63</v>
      </c>
      <c r="E2345" s="75">
        <v>95.3</v>
      </c>
      <c r="F2345">
        <v>434.28</v>
      </c>
      <c r="G2345">
        <v>-1336.0500000000002</v>
      </c>
      <c r="H2345">
        <v>2379.7999999999997</v>
      </c>
      <c r="I2345">
        <v>-1918.6000000000001</v>
      </c>
      <c r="J2345">
        <v>-440.57000000000062</v>
      </c>
    </row>
    <row r="2346" spans="1:10" x14ac:dyDescent="0.35">
      <c r="A2346">
        <v>2330</v>
      </c>
      <c r="B2346" s="75">
        <v>88.639099999999999</v>
      </c>
      <c r="C2346" s="75">
        <v>97.070899999999995</v>
      </c>
      <c r="D2346" s="75">
        <v>92.627300000000005</v>
      </c>
      <c r="E2346" s="75">
        <v>92.007599999999996</v>
      </c>
      <c r="F2346">
        <v>3017.85</v>
      </c>
      <c r="G2346">
        <v>1708.5</v>
      </c>
      <c r="H2346">
        <v>377.59999999999997</v>
      </c>
      <c r="I2346">
        <v>1373</v>
      </c>
      <c r="J2346">
        <v>6476.9500000000007</v>
      </c>
    </row>
    <row r="2347" spans="1:10" x14ac:dyDescent="0.35">
      <c r="A2347">
        <v>2331</v>
      </c>
      <c r="B2347" s="75">
        <v>89.5</v>
      </c>
      <c r="C2347" s="75">
        <v>98.2</v>
      </c>
      <c r="D2347" s="75">
        <v>94.71</v>
      </c>
      <c r="E2347" s="75">
        <v>92.18</v>
      </c>
      <c r="F2347">
        <v>166.65</v>
      </c>
      <c r="G2347">
        <v>7.65</v>
      </c>
      <c r="H2347">
        <v>-3796.8</v>
      </c>
      <c r="I2347">
        <v>1203.5</v>
      </c>
      <c r="J2347">
        <v>-2419</v>
      </c>
    </row>
    <row r="2348" spans="1:10" x14ac:dyDescent="0.35">
      <c r="A2348">
        <v>2332</v>
      </c>
      <c r="B2348" s="75">
        <v>89.275000000000006</v>
      </c>
      <c r="C2348" s="75">
        <v>98.883499999999998</v>
      </c>
      <c r="D2348" s="75">
        <v>95.126499999999993</v>
      </c>
      <c r="E2348" s="75">
        <v>94.072699999999998</v>
      </c>
      <c r="F2348">
        <v>919.38</v>
      </c>
      <c r="G2348">
        <v>-1010.4</v>
      </c>
      <c r="H2348">
        <v>-4620.8</v>
      </c>
      <c r="I2348">
        <v>-692.1</v>
      </c>
      <c r="J2348">
        <v>-5403.92</v>
      </c>
    </row>
    <row r="2349" spans="1:10" x14ac:dyDescent="0.35">
      <c r="A2349">
        <v>2333</v>
      </c>
      <c r="B2349" s="75">
        <v>90.48</v>
      </c>
      <c r="C2349" s="75">
        <v>99.09</v>
      </c>
      <c r="D2349" s="75">
        <v>92.67</v>
      </c>
      <c r="E2349" s="75">
        <v>94.08</v>
      </c>
      <c r="F2349">
        <v>-3045.9</v>
      </c>
      <c r="G2349">
        <v>-1314.15</v>
      </c>
      <c r="H2349">
        <v>296</v>
      </c>
      <c r="I2349">
        <v>-694.6</v>
      </c>
      <c r="J2349">
        <v>-4758.6500000000005</v>
      </c>
    </row>
    <row r="2350" spans="1:10" x14ac:dyDescent="0.35">
      <c r="A2350">
        <v>2334</v>
      </c>
      <c r="B2350" s="75">
        <v>89.696700000000007</v>
      </c>
      <c r="C2350" s="75">
        <v>98.112399999999994</v>
      </c>
      <c r="D2350" s="75">
        <v>93.771100000000004</v>
      </c>
      <c r="E2350" s="75">
        <v>91.924199999999999</v>
      </c>
      <c r="F2350">
        <v>-472.23</v>
      </c>
      <c r="G2350">
        <v>146.25</v>
      </c>
      <c r="H2350">
        <v>-1910</v>
      </c>
      <c r="I2350">
        <v>1456.3999999999999</v>
      </c>
      <c r="J2350">
        <v>-779.58000000000015</v>
      </c>
    </row>
    <row r="2351" spans="1:10" x14ac:dyDescent="0.35">
      <c r="A2351">
        <v>2335</v>
      </c>
      <c r="B2351" s="75">
        <v>89.3</v>
      </c>
      <c r="C2351" s="75">
        <v>98.52</v>
      </c>
      <c r="D2351" s="75">
        <v>93.19</v>
      </c>
      <c r="E2351" s="75">
        <v>90.39</v>
      </c>
      <c r="F2351">
        <v>851.4</v>
      </c>
      <c r="G2351">
        <v>-460.5</v>
      </c>
      <c r="H2351">
        <v>-748.4</v>
      </c>
      <c r="I2351">
        <v>2988.2</v>
      </c>
      <c r="J2351">
        <v>2630.7</v>
      </c>
    </row>
    <row r="2352" spans="1:10" x14ac:dyDescent="0.35">
      <c r="A2352">
        <v>2336</v>
      </c>
      <c r="B2352" s="75">
        <v>89.7791</v>
      </c>
      <c r="C2352" s="75">
        <v>98.764799999999994</v>
      </c>
      <c r="D2352" s="75">
        <v>92.874700000000004</v>
      </c>
      <c r="E2352" s="75">
        <v>93.114800000000002</v>
      </c>
      <c r="F2352">
        <v>-744.15</v>
      </c>
      <c r="G2352">
        <v>-832.34999999999991</v>
      </c>
      <c r="H2352">
        <v>-117.2</v>
      </c>
      <c r="I2352">
        <v>265.79999999999995</v>
      </c>
      <c r="J2352">
        <v>-1427.9</v>
      </c>
    </row>
    <row r="2353" spans="1:10" x14ac:dyDescent="0.35">
      <c r="A2353">
        <v>2337</v>
      </c>
      <c r="B2353" s="75">
        <v>89.26</v>
      </c>
      <c r="C2353" s="75">
        <v>97.09</v>
      </c>
      <c r="D2353" s="75">
        <v>91.7</v>
      </c>
      <c r="E2353" s="75">
        <v>93.83</v>
      </c>
      <c r="F2353">
        <v>956.99999999999989</v>
      </c>
      <c r="G2353">
        <v>1680.45</v>
      </c>
      <c r="H2353">
        <v>2228.2000000000003</v>
      </c>
      <c r="I2353">
        <v>-449.90000000000003</v>
      </c>
      <c r="J2353">
        <v>4415.75</v>
      </c>
    </row>
    <row r="2354" spans="1:10" x14ac:dyDescent="0.35">
      <c r="A2354">
        <v>2338</v>
      </c>
      <c r="B2354" s="75">
        <v>89.016000000000005</v>
      </c>
      <c r="C2354" s="75">
        <v>99.826599999999999</v>
      </c>
      <c r="D2354" s="75">
        <v>91.997600000000006</v>
      </c>
      <c r="E2354" s="75">
        <v>93.782499999999999</v>
      </c>
      <c r="F2354">
        <v>1774.08</v>
      </c>
      <c r="G2354">
        <v>-2425.0500000000002</v>
      </c>
      <c r="H2354">
        <v>1637</v>
      </c>
      <c r="I2354">
        <v>-401.9</v>
      </c>
      <c r="J2354">
        <v>584.12999999999977</v>
      </c>
    </row>
    <row r="2355" spans="1:10" x14ac:dyDescent="0.35">
      <c r="A2355">
        <v>2339</v>
      </c>
      <c r="B2355" s="75">
        <v>90.42</v>
      </c>
      <c r="C2355" s="75">
        <v>97.83</v>
      </c>
      <c r="D2355" s="75">
        <v>95.52</v>
      </c>
      <c r="E2355" s="75">
        <v>91.33</v>
      </c>
      <c r="F2355">
        <v>-2863.08</v>
      </c>
      <c r="G2355">
        <v>571.35</v>
      </c>
      <c r="H2355">
        <v>-5409.6</v>
      </c>
      <c r="I2355">
        <v>2050.9</v>
      </c>
      <c r="J2355">
        <v>-5650.43</v>
      </c>
    </row>
    <row r="2356" spans="1:10" x14ac:dyDescent="0.35">
      <c r="A2356">
        <v>2340</v>
      </c>
      <c r="B2356" s="75">
        <v>89.488100000000003</v>
      </c>
      <c r="C2356" s="75">
        <v>98.760499999999993</v>
      </c>
      <c r="D2356" s="75">
        <v>94.9499</v>
      </c>
      <c r="E2356" s="75">
        <v>93.462299999999999</v>
      </c>
      <c r="F2356">
        <v>216.15</v>
      </c>
      <c r="G2356">
        <v>-825.9</v>
      </c>
      <c r="H2356">
        <v>-4267.5999999999995</v>
      </c>
      <c r="I2356">
        <v>-81.699999999999989</v>
      </c>
      <c r="J2356">
        <v>-4959.0499999999993</v>
      </c>
    </row>
    <row r="2357" spans="1:10" x14ac:dyDescent="0.35">
      <c r="A2357">
        <v>2341</v>
      </c>
      <c r="B2357" s="75">
        <v>88.63</v>
      </c>
      <c r="C2357" s="75">
        <v>98.31</v>
      </c>
      <c r="D2357" s="75">
        <v>93.79</v>
      </c>
      <c r="E2357" s="75">
        <v>93.04</v>
      </c>
      <c r="F2357">
        <v>3052.17</v>
      </c>
      <c r="G2357">
        <v>-156.45000000000002</v>
      </c>
      <c r="H2357">
        <v>-1955.8</v>
      </c>
      <c r="I2357">
        <v>337.9</v>
      </c>
      <c r="J2357">
        <v>1277.8200000000002</v>
      </c>
    </row>
    <row r="2358" spans="1:10" x14ac:dyDescent="0.35">
      <c r="A2358">
        <v>2342</v>
      </c>
      <c r="B2358" s="75">
        <v>90.973100000000002</v>
      </c>
      <c r="C2358" s="75">
        <v>97.639300000000006</v>
      </c>
      <c r="D2358" s="75">
        <v>92.177099999999996</v>
      </c>
      <c r="E2358" s="75">
        <v>93.620500000000007</v>
      </c>
      <c r="F2358">
        <v>-4684.3500000000004</v>
      </c>
      <c r="G2358">
        <v>855.9</v>
      </c>
      <c r="H2358">
        <v>1278</v>
      </c>
      <c r="I2358">
        <v>-239.9</v>
      </c>
      <c r="J2358">
        <v>-2790.3500000000004</v>
      </c>
    </row>
    <row r="2359" spans="1:10" x14ac:dyDescent="0.35">
      <c r="A2359">
        <v>2343</v>
      </c>
      <c r="B2359" s="75">
        <v>90.1</v>
      </c>
      <c r="C2359" s="75">
        <v>97.46</v>
      </c>
      <c r="D2359" s="75">
        <v>92.97</v>
      </c>
      <c r="E2359" s="75">
        <v>92.63</v>
      </c>
      <c r="F2359">
        <v>-1815.0000000000002</v>
      </c>
      <c r="G2359">
        <v>1131.75</v>
      </c>
      <c r="H2359">
        <v>-309.2</v>
      </c>
      <c r="I2359">
        <v>746.5</v>
      </c>
      <c r="J2359">
        <v>-245.95000000000027</v>
      </c>
    </row>
    <row r="2360" spans="1:10" x14ac:dyDescent="0.35">
      <c r="A2360">
        <v>2344</v>
      </c>
      <c r="B2360" s="75">
        <v>90.262</v>
      </c>
      <c r="C2360" s="75">
        <v>99.247200000000007</v>
      </c>
      <c r="D2360" s="75">
        <v>92.716399999999993</v>
      </c>
      <c r="E2360" s="75">
        <v>92.125900000000001</v>
      </c>
      <c r="F2360">
        <v>-2337.7200000000003</v>
      </c>
      <c r="G2360">
        <v>-1555.9500000000003</v>
      </c>
      <c r="H2360">
        <v>199.4</v>
      </c>
      <c r="I2360">
        <v>1254.6999999999998</v>
      </c>
      <c r="J2360">
        <v>-2439.5700000000006</v>
      </c>
    </row>
    <row r="2361" spans="1:10" x14ac:dyDescent="0.35">
      <c r="A2361">
        <v>2345</v>
      </c>
      <c r="B2361" s="75">
        <v>89.41</v>
      </c>
      <c r="C2361" s="75">
        <v>97.55</v>
      </c>
      <c r="D2361" s="75">
        <v>93.19</v>
      </c>
      <c r="E2361" s="75">
        <v>95.79</v>
      </c>
      <c r="F2361">
        <v>484.11</v>
      </c>
      <c r="G2361">
        <v>995.55</v>
      </c>
      <c r="H2361">
        <v>-753.4</v>
      </c>
      <c r="I2361">
        <v>-2413</v>
      </c>
      <c r="J2361">
        <v>-1686.7400000000002</v>
      </c>
    </row>
    <row r="2362" spans="1:10" x14ac:dyDescent="0.35">
      <c r="A2362">
        <v>2346</v>
      </c>
      <c r="B2362" s="75">
        <v>90.356800000000007</v>
      </c>
      <c r="C2362" s="75">
        <v>98.051199999999994</v>
      </c>
      <c r="D2362" s="75">
        <v>93.871399999999994</v>
      </c>
      <c r="E2362" s="75">
        <v>93.871499999999997</v>
      </c>
      <c r="F2362">
        <v>-2650.56</v>
      </c>
      <c r="G2362">
        <v>238.05</v>
      </c>
      <c r="H2362">
        <v>-2110.6</v>
      </c>
      <c r="I2362">
        <v>-490.9</v>
      </c>
      <c r="J2362">
        <v>-5014.0099999999993</v>
      </c>
    </row>
    <row r="2363" spans="1:10" x14ac:dyDescent="0.35">
      <c r="A2363">
        <v>2347</v>
      </c>
      <c r="B2363" s="75">
        <v>88.82</v>
      </c>
      <c r="C2363" s="75">
        <v>99.05</v>
      </c>
      <c r="D2363" s="75">
        <v>93.35</v>
      </c>
      <c r="E2363" s="75">
        <v>96.58</v>
      </c>
      <c r="F2363">
        <v>2426.8200000000002</v>
      </c>
      <c r="G2363">
        <v>-1257.3</v>
      </c>
      <c r="H2363">
        <v>-1065.8000000000002</v>
      </c>
      <c r="I2363">
        <v>-3199.8</v>
      </c>
      <c r="J2363">
        <v>-3096.08</v>
      </c>
    </row>
    <row r="2364" spans="1:10" x14ac:dyDescent="0.35">
      <c r="A2364">
        <v>2348</v>
      </c>
      <c r="B2364" s="75">
        <v>88.952200000000005</v>
      </c>
      <c r="C2364" s="75">
        <v>97.908600000000007</v>
      </c>
      <c r="D2364" s="75">
        <v>93.218599999999995</v>
      </c>
      <c r="E2364" s="75">
        <v>96.235200000000006</v>
      </c>
      <c r="F2364">
        <v>1984.6200000000001</v>
      </c>
      <c r="G2364">
        <v>451.95000000000005</v>
      </c>
      <c r="H2364">
        <v>-805</v>
      </c>
      <c r="I2364">
        <v>-2854.6</v>
      </c>
      <c r="J2364">
        <v>-1223.0299999999997</v>
      </c>
    </row>
    <row r="2365" spans="1:10" x14ac:dyDescent="0.35">
      <c r="A2365">
        <v>2349</v>
      </c>
      <c r="B2365" s="75">
        <v>89.3</v>
      </c>
      <c r="C2365" s="75">
        <v>97.91</v>
      </c>
      <c r="D2365" s="75">
        <v>92.43</v>
      </c>
      <c r="E2365" s="75">
        <v>90.89</v>
      </c>
      <c r="F2365">
        <v>837.54000000000008</v>
      </c>
      <c r="G2365">
        <v>456.45000000000005</v>
      </c>
      <c r="H2365">
        <v>770</v>
      </c>
      <c r="I2365">
        <v>2491.2000000000003</v>
      </c>
      <c r="J2365">
        <v>4555.1900000000005</v>
      </c>
    </row>
    <row r="2366" spans="1:10" x14ac:dyDescent="0.35">
      <c r="A2366">
        <v>2350</v>
      </c>
      <c r="B2366" s="75">
        <v>89.770899999999997</v>
      </c>
      <c r="C2366" s="75">
        <v>100.1686</v>
      </c>
      <c r="D2366" s="75">
        <v>94.217500000000001</v>
      </c>
      <c r="E2366" s="75">
        <v>93.748699999999999</v>
      </c>
      <c r="F2366">
        <v>-717.09</v>
      </c>
      <c r="G2366">
        <v>-2938.05</v>
      </c>
      <c r="H2366">
        <v>-2802.8</v>
      </c>
      <c r="I2366">
        <v>-368.09999999999997</v>
      </c>
      <c r="J2366">
        <v>-6826.0400000000009</v>
      </c>
    </row>
    <row r="2367" spans="1:10" x14ac:dyDescent="0.35">
      <c r="A2367">
        <v>2351</v>
      </c>
      <c r="B2367" s="75">
        <v>89.3</v>
      </c>
      <c r="C2367" s="75">
        <v>98.52</v>
      </c>
      <c r="D2367" s="75">
        <v>91.57</v>
      </c>
      <c r="E2367" s="75">
        <v>93.25</v>
      </c>
      <c r="F2367">
        <v>822.36</v>
      </c>
      <c r="G2367">
        <v>-472.20000000000005</v>
      </c>
      <c r="H2367">
        <v>2483.6</v>
      </c>
      <c r="I2367">
        <v>131.39999999999998</v>
      </c>
      <c r="J2367">
        <v>2965.16</v>
      </c>
    </row>
    <row r="2368" spans="1:10" x14ac:dyDescent="0.35">
      <c r="A2368">
        <v>2352</v>
      </c>
      <c r="B2368" s="75">
        <v>90.440200000000004</v>
      </c>
      <c r="C2368" s="75">
        <v>97.972899999999996</v>
      </c>
      <c r="D2368" s="75">
        <v>91.983599999999996</v>
      </c>
      <c r="E2368" s="75">
        <v>93.389499999999998</v>
      </c>
      <c r="F2368">
        <v>-2925.78</v>
      </c>
      <c r="G2368">
        <v>355.5</v>
      </c>
      <c r="H2368">
        <v>1665</v>
      </c>
      <c r="I2368">
        <v>-8.9</v>
      </c>
      <c r="J2368">
        <v>-914.18000000000018</v>
      </c>
    </row>
    <row r="2369" spans="1:10" x14ac:dyDescent="0.35">
      <c r="A2369">
        <v>2353</v>
      </c>
      <c r="B2369" s="75">
        <v>89.48</v>
      </c>
      <c r="C2369" s="75">
        <v>97.3</v>
      </c>
      <c r="D2369" s="75">
        <v>93.86</v>
      </c>
      <c r="E2369" s="75">
        <v>91.13</v>
      </c>
      <c r="F2369">
        <v>242.54999999999998</v>
      </c>
      <c r="G2369">
        <v>1372.3500000000001</v>
      </c>
      <c r="H2369">
        <v>-2093.4</v>
      </c>
      <c r="I2369">
        <v>2254.1000000000004</v>
      </c>
      <c r="J2369">
        <v>1775.6000000000004</v>
      </c>
    </row>
    <row r="2370" spans="1:10" x14ac:dyDescent="0.35">
      <c r="A2370">
        <v>2354</v>
      </c>
      <c r="B2370" s="75">
        <v>88.748500000000007</v>
      </c>
      <c r="C2370" s="75">
        <v>96.927099999999996</v>
      </c>
      <c r="D2370" s="75">
        <v>93.903999999999996</v>
      </c>
      <c r="E2370" s="75">
        <v>93.152299999999997</v>
      </c>
      <c r="F2370">
        <v>2656.83</v>
      </c>
      <c r="G2370">
        <v>1924.1999999999998</v>
      </c>
      <c r="H2370">
        <v>-2175.8000000000002</v>
      </c>
      <c r="I2370">
        <v>228.3</v>
      </c>
      <c r="J2370">
        <v>2633.5299999999997</v>
      </c>
    </row>
    <row r="2371" spans="1:10" x14ac:dyDescent="0.35">
      <c r="A2371">
        <v>2355</v>
      </c>
      <c r="B2371" s="75">
        <v>90.07</v>
      </c>
      <c r="C2371" s="75">
        <v>99.8</v>
      </c>
      <c r="D2371" s="75">
        <v>92.4</v>
      </c>
      <c r="E2371" s="75">
        <v>94.22</v>
      </c>
      <c r="F2371">
        <v>-1706.76</v>
      </c>
      <c r="G2371">
        <v>-2385.9</v>
      </c>
      <c r="H2371">
        <v>831.4</v>
      </c>
      <c r="I2371">
        <v>-837.09999999999991</v>
      </c>
      <c r="J2371">
        <v>-4098.3599999999997</v>
      </c>
    </row>
    <row r="2372" spans="1:10" x14ac:dyDescent="0.35">
      <c r="A2372">
        <v>2356</v>
      </c>
      <c r="B2372" s="75">
        <v>89.253200000000007</v>
      </c>
      <c r="C2372" s="75">
        <v>97.990700000000004</v>
      </c>
      <c r="D2372" s="75">
        <v>93.683300000000003</v>
      </c>
      <c r="E2372" s="75">
        <v>95.559700000000007</v>
      </c>
      <c r="F2372">
        <v>991.32</v>
      </c>
      <c r="G2372">
        <v>328.8</v>
      </c>
      <c r="H2372">
        <v>-1734.3999999999999</v>
      </c>
      <c r="I2372">
        <v>-2179.1</v>
      </c>
      <c r="J2372">
        <v>-2593.3799999999997</v>
      </c>
    </row>
    <row r="2373" spans="1:10" x14ac:dyDescent="0.35">
      <c r="A2373">
        <v>2357</v>
      </c>
      <c r="B2373" s="75">
        <v>90.51</v>
      </c>
      <c r="C2373" s="75">
        <v>96.57</v>
      </c>
      <c r="D2373" s="75">
        <v>91.12</v>
      </c>
      <c r="E2373" s="75">
        <v>94.18</v>
      </c>
      <c r="F2373">
        <v>-3145.56</v>
      </c>
      <c r="G2373">
        <v>2463.9</v>
      </c>
      <c r="H2373">
        <v>3386</v>
      </c>
      <c r="I2373">
        <v>-800.5</v>
      </c>
      <c r="J2373">
        <v>1903.8400000000001</v>
      </c>
    </row>
    <row r="2374" spans="1:10" x14ac:dyDescent="0.35">
      <c r="A2374">
        <v>2358</v>
      </c>
      <c r="B2374" s="75">
        <v>89.382800000000003</v>
      </c>
      <c r="C2374" s="75">
        <v>97.043599999999998</v>
      </c>
      <c r="D2374" s="75">
        <v>94.128900000000002</v>
      </c>
      <c r="E2374" s="75">
        <v>95.833600000000004</v>
      </c>
      <c r="F2374">
        <v>563.64</v>
      </c>
      <c r="G2374">
        <v>1749.4499999999998</v>
      </c>
      <c r="H2374">
        <v>-2625.6</v>
      </c>
      <c r="I2374">
        <v>-2453</v>
      </c>
      <c r="J2374">
        <v>-2765.51</v>
      </c>
    </row>
    <row r="2375" spans="1:10" x14ac:dyDescent="0.35">
      <c r="A2375">
        <v>2359</v>
      </c>
      <c r="B2375" s="75">
        <v>89.43</v>
      </c>
      <c r="C2375" s="75">
        <v>97.85</v>
      </c>
      <c r="D2375" s="75">
        <v>92.29</v>
      </c>
      <c r="E2375" s="75">
        <v>94.29</v>
      </c>
      <c r="F2375">
        <v>415.47</v>
      </c>
      <c r="G2375">
        <v>537.30000000000007</v>
      </c>
      <c r="H2375">
        <v>1042.5999999999999</v>
      </c>
      <c r="I2375">
        <v>-909.90000000000009</v>
      </c>
      <c r="J2375">
        <v>1085.4699999999998</v>
      </c>
    </row>
    <row r="2376" spans="1:10" x14ac:dyDescent="0.35">
      <c r="A2376">
        <v>2360</v>
      </c>
      <c r="B2376" s="75">
        <v>89.475200000000001</v>
      </c>
      <c r="C2376" s="75">
        <v>98.766999999999996</v>
      </c>
      <c r="D2376" s="75">
        <v>93.285899999999998</v>
      </c>
      <c r="E2376" s="75">
        <v>97.290400000000005</v>
      </c>
      <c r="F2376">
        <v>258.71999999999997</v>
      </c>
      <c r="G2376">
        <v>-835.65000000000009</v>
      </c>
      <c r="H2376">
        <v>-939.6</v>
      </c>
      <c r="I2376">
        <v>-3909.8</v>
      </c>
      <c r="J2376">
        <v>-5426.33</v>
      </c>
    </row>
    <row r="2377" spans="1:10" x14ac:dyDescent="0.35">
      <c r="A2377">
        <v>2361</v>
      </c>
      <c r="B2377" s="75">
        <v>89.09</v>
      </c>
      <c r="C2377" s="75">
        <v>98.25</v>
      </c>
      <c r="D2377" s="75">
        <v>92.35</v>
      </c>
      <c r="E2377" s="75">
        <v>92.77</v>
      </c>
      <c r="F2377">
        <v>1530.21</v>
      </c>
      <c r="G2377">
        <v>-64.8</v>
      </c>
      <c r="H2377">
        <v>931.8</v>
      </c>
      <c r="I2377">
        <v>610.19999999999993</v>
      </c>
      <c r="J2377">
        <v>3007.41</v>
      </c>
    </row>
    <row r="2378" spans="1:10" x14ac:dyDescent="0.35">
      <c r="A2378">
        <v>2362</v>
      </c>
      <c r="B2378" s="75">
        <v>89.713499999999996</v>
      </c>
      <c r="C2378" s="75">
        <v>98.201899999999995</v>
      </c>
      <c r="D2378" s="75">
        <v>92.828699999999998</v>
      </c>
      <c r="E2378" s="75">
        <v>95.879599999999996</v>
      </c>
      <c r="F2378">
        <v>-527.66999999999996</v>
      </c>
      <c r="G2378">
        <v>12</v>
      </c>
      <c r="H2378">
        <v>-25.2</v>
      </c>
      <c r="I2378">
        <v>-2499</v>
      </c>
      <c r="J2378">
        <v>-3039.87</v>
      </c>
    </row>
    <row r="2379" spans="1:10" x14ac:dyDescent="0.35">
      <c r="A2379">
        <v>2363</v>
      </c>
      <c r="B2379" s="75">
        <v>90.07</v>
      </c>
      <c r="C2379" s="75">
        <v>98.72</v>
      </c>
      <c r="D2379" s="75">
        <v>93.98</v>
      </c>
      <c r="E2379" s="75">
        <v>94.28</v>
      </c>
      <c r="F2379">
        <v>-1714.6799999999998</v>
      </c>
      <c r="G2379">
        <v>-762.15</v>
      </c>
      <c r="H2379">
        <v>-2321.8000000000002</v>
      </c>
      <c r="I2379">
        <v>-904</v>
      </c>
      <c r="J2379">
        <v>-5702.63</v>
      </c>
    </row>
    <row r="2380" spans="1:10" x14ac:dyDescent="0.35">
      <c r="A2380">
        <v>2364</v>
      </c>
      <c r="B2380" s="75">
        <v>90.004800000000003</v>
      </c>
      <c r="C2380" s="75">
        <v>98.113600000000005</v>
      </c>
      <c r="D2380" s="75">
        <v>92.6935</v>
      </c>
      <c r="E2380" s="75">
        <v>94.043599999999998</v>
      </c>
      <c r="F2380">
        <v>-1488.96</v>
      </c>
      <c r="G2380">
        <v>144.44999999999999</v>
      </c>
      <c r="H2380">
        <v>245.2</v>
      </c>
      <c r="I2380">
        <v>-663</v>
      </c>
      <c r="J2380">
        <v>-1762.31</v>
      </c>
    </row>
    <row r="2381" spans="1:10" x14ac:dyDescent="0.35">
      <c r="A2381">
        <v>2365</v>
      </c>
      <c r="B2381" s="75">
        <v>89.48</v>
      </c>
      <c r="C2381" s="75">
        <v>98.68</v>
      </c>
      <c r="D2381" s="75">
        <v>92.49</v>
      </c>
      <c r="E2381" s="75">
        <v>95.2</v>
      </c>
      <c r="F2381">
        <v>228.35999999999999</v>
      </c>
      <c r="G2381">
        <v>-702.3</v>
      </c>
      <c r="H2381">
        <v>652.20000000000005</v>
      </c>
      <c r="I2381">
        <v>-1821.1999999999998</v>
      </c>
      <c r="J2381">
        <v>-1642.9399999999996</v>
      </c>
    </row>
    <row r="2382" spans="1:10" x14ac:dyDescent="0.35">
      <c r="A2382">
        <v>2366</v>
      </c>
      <c r="B2382" s="75">
        <v>89.811599999999999</v>
      </c>
      <c r="C2382" s="75">
        <v>97.844999999999999</v>
      </c>
      <c r="D2382" s="75">
        <v>92.075299999999999</v>
      </c>
      <c r="E2382" s="75">
        <v>92.178100000000001</v>
      </c>
      <c r="F2382">
        <v>-851.4</v>
      </c>
      <c r="G2382">
        <v>547.35</v>
      </c>
      <c r="H2382">
        <v>1481.6000000000001</v>
      </c>
      <c r="I2382">
        <v>1202.5</v>
      </c>
      <c r="J2382">
        <v>2380.0500000000002</v>
      </c>
    </row>
    <row r="2383" spans="1:10" x14ac:dyDescent="0.35">
      <c r="A2383">
        <v>2367</v>
      </c>
      <c r="B2383" s="75">
        <v>89.81</v>
      </c>
      <c r="C2383" s="75">
        <v>98.31</v>
      </c>
      <c r="D2383" s="75">
        <v>91.69</v>
      </c>
      <c r="E2383" s="75">
        <v>91.19</v>
      </c>
      <c r="F2383">
        <v>-845.79</v>
      </c>
      <c r="G2383">
        <v>-149.1</v>
      </c>
      <c r="H2383">
        <v>2252.6000000000004</v>
      </c>
      <c r="I2383">
        <v>2193.9</v>
      </c>
      <c r="J2383">
        <v>3451.6100000000006</v>
      </c>
    </row>
    <row r="2384" spans="1:10" x14ac:dyDescent="0.35">
      <c r="A2384">
        <v>2368</v>
      </c>
      <c r="B2384" s="75">
        <v>89.533900000000003</v>
      </c>
      <c r="C2384" s="75">
        <v>98.526399999999995</v>
      </c>
      <c r="D2384" s="75">
        <v>92.183400000000006</v>
      </c>
      <c r="E2384" s="75">
        <v>93.690899999999999</v>
      </c>
      <c r="F2384">
        <v>65.009999999999991</v>
      </c>
      <c r="G2384">
        <v>-474.75</v>
      </c>
      <c r="H2384">
        <v>1265.4000000000001</v>
      </c>
      <c r="I2384">
        <v>-310.3</v>
      </c>
      <c r="J2384">
        <v>545.36000000000013</v>
      </c>
    </row>
    <row r="2385" spans="1:10" x14ac:dyDescent="0.35">
      <c r="A2385">
        <v>2369</v>
      </c>
      <c r="B2385" s="75">
        <v>89.88</v>
      </c>
      <c r="C2385" s="75">
        <v>98.96</v>
      </c>
      <c r="D2385" s="75">
        <v>92.42</v>
      </c>
      <c r="E2385" s="75">
        <v>91.55</v>
      </c>
      <c r="F2385">
        <v>-1075.1399999999999</v>
      </c>
      <c r="G2385">
        <v>-1125.1500000000001</v>
      </c>
      <c r="H2385">
        <v>796.4</v>
      </c>
      <c r="I2385">
        <v>1829.3</v>
      </c>
      <c r="J2385">
        <v>425.41000000000008</v>
      </c>
    </row>
    <row r="2386" spans="1:10" x14ac:dyDescent="0.35">
      <c r="A2386">
        <v>2370</v>
      </c>
      <c r="B2386" s="75">
        <v>88.506600000000006</v>
      </c>
      <c r="C2386" s="75">
        <v>98.933300000000003</v>
      </c>
      <c r="D2386" s="75">
        <v>93.9255</v>
      </c>
      <c r="E2386" s="75">
        <v>95.124399999999994</v>
      </c>
      <c r="F2386">
        <v>3455.1</v>
      </c>
      <c r="G2386">
        <v>-1085.1000000000001</v>
      </c>
      <c r="H2386">
        <v>-2218.7999999999997</v>
      </c>
      <c r="I2386">
        <v>-1743.8</v>
      </c>
      <c r="J2386">
        <v>-1592.5999999999997</v>
      </c>
    </row>
    <row r="2387" spans="1:10" x14ac:dyDescent="0.35">
      <c r="A2387">
        <v>2371</v>
      </c>
      <c r="B2387" s="75">
        <v>90.1</v>
      </c>
      <c r="C2387" s="75">
        <v>98.23</v>
      </c>
      <c r="D2387" s="75">
        <v>91.59</v>
      </c>
      <c r="E2387" s="75">
        <v>94.14</v>
      </c>
      <c r="F2387">
        <v>-1815.99</v>
      </c>
      <c r="G2387">
        <v>-22.650000000000002</v>
      </c>
      <c r="H2387">
        <v>2458.4</v>
      </c>
      <c r="I2387">
        <v>-758</v>
      </c>
      <c r="J2387">
        <v>-138.24</v>
      </c>
    </row>
    <row r="2388" spans="1:10" x14ac:dyDescent="0.35">
      <c r="A2388">
        <v>2372</v>
      </c>
      <c r="B2388" s="75">
        <v>89.445899999999995</v>
      </c>
      <c r="C2388" s="75">
        <v>98.547200000000004</v>
      </c>
      <c r="D2388" s="75">
        <v>91.385300000000001</v>
      </c>
      <c r="E2388" s="75">
        <v>94.440100000000001</v>
      </c>
      <c r="F2388">
        <v>355.41</v>
      </c>
      <c r="G2388">
        <v>-505.95</v>
      </c>
      <c r="H2388">
        <v>2861.6000000000004</v>
      </c>
      <c r="I2388">
        <v>-1059.5</v>
      </c>
      <c r="J2388">
        <v>1651.5600000000004</v>
      </c>
    </row>
    <row r="2389" spans="1:10" x14ac:dyDescent="0.35">
      <c r="A2389">
        <v>2373</v>
      </c>
      <c r="B2389" s="75">
        <v>90.23</v>
      </c>
      <c r="C2389" s="75">
        <v>98.73</v>
      </c>
      <c r="D2389" s="75">
        <v>92.62</v>
      </c>
      <c r="E2389" s="75">
        <v>90.33</v>
      </c>
      <c r="F2389">
        <v>-2248.29</v>
      </c>
      <c r="G2389">
        <v>-772.65</v>
      </c>
      <c r="H2389">
        <v>394.4</v>
      </c>
      <c r="I2389">
        <v>3050.5</v>
      </c>
      <c r="J2389">
        <v>423.96000000000004</v>
      </c>
    </row>
    <row r="2390" spans="1:10" x14ac:dyDescent="0.35">
      <c r="A2390">
        <v>2374</v>
      </c>
      <c r="B2390" s="75">
        <v>89.096299999999999</v>
      </c>
      <c r="C2390" s="75">
        <v>97.449399999999997</v>
      </c>
      <c r="D2390" s="75">
        <v>92.198999999999998</v>
      </c>
      <c r="E2390" s="75">
        <v>94.069900000000004</v>
      </c>
      <c r="F2390">
        <v>1509.09</v>
      </c>
      <c r="G2390">
        <v>1140.75</v>
      </c>
      <c r="H2390">
        <v>1234.2</v>
      </c>
      <c r="I2390">
        <v>-689.30000000000007</v>
      </c>
      <c r="J2390">
        <v>3194.74</v>
      </c>
    </row>
    <row r="2391" spans="1:10" x14ac:dyDescent="0.35">
      <c r="A2391">
        <v>2375</v>
      </c>
      <c r="B2391" s="75">
        <v>90.23</v>
      </c>
      <c r="C2391" s="75">
        <v>98.84</v>
      </c>
      <c r="D2391" s="75">
        <v>94.01</v>
      </c>
      <c r="E2391" s="75">
        <v>92.97</v>
      </c>
      <c r="F2391">
        <v>-2233.1099999999997</v>
      </c>
      <c r="G2391">
        <v>-944.55000000000007</v>
      </c>
      <c r="H2391">
        <v>-2385</v>
      </c>
      <c r="I2391">
        <v>410.9</v>
      </c>
      <c r="J2391">
        <v>-5151.76</v>
      </c>
    </row>
    <row r="2392" spans="1:10" x14ac:dyDescent="0.35">
      <c r="A2392">
        <v>2376</v>
      </c>
      <c r="B2392" s="75">
        <v>89.610699999999994</v>
      </c>
      <c r="C2392" s="75">
        <v>98.395300000000006</v>
      </c>
      <c r="D2392" s="75">
        <v>95.069000000000003</v>
      </c>
      <c r="E2392" s="75">
        <v>94.403800000000004</v>
      </c>
      <c r="F2392">
        <v>-188.43</v>
      </c>
      <c r="G2392">
        <v>-278.10000000000002</v>
      </c>
      <c r="H2392">
        <v>-4505.8</v>
      </c>
      <c r="I2392">
        <v>-1023.2000000000002</v>
      </c>
      <c r="J2392">
        <v>-5995.53</v>
      </c>
    </row>
    <row r="2393" spans="1:10" x14ac:dyDescent="0.35">
      <c r="A2393">
        <v>2377</v>
      </c>
      <c r="B2393" s="75">
        <v>89.18</v>
      </c>
      <c r="C2393" s="75">
        <v>99.06</v>
      </c>
      <c r="D2393" s="75">
        <v>93.13</v>
      </c>
      <c r="E2393" s="75">
        <v>93.03</v>
      </c>
      <c r="F2393">
        <v>1230.9000000000001</v>
      </c>
      <c r="G2393">
        <v>-1281.9000000000001</v>
      </c>
      <c r="H2393">
        <v>-633.80000000000007</v>
      </c>
      <c r="I2393">
        <v>354.5</v>
      </c>
      <c r="J2393">
        <v>-330.30000000000007</v>
      </c>
    </row>
    <row r="2394" spans="1:10" x14ac:dyDescent="0.35">
      <c r="A2394">
        <v>2378</v>
      </c>
      <c r="B2394" s="75">
        <v>90.216099999999997</v>
      </c>
      <c r="C2394" s="75">
        <v>98.685000000000002</v>
      </c>
      <c r="D2394" s="75">
        <v>92.306899999999999</v>
      </c>
      <c r="E2394" s="75">
        <v>92.818299999999994</v>
      </c>
      <c r="F2394">
        <v>-2186.25</v>
      </c>
      <c r="G2394">
        <v>-712.65</v>
      </c>
      <c r="H2394">
        <v>1018.4</v>
      </c>
      <c r="I2394">
        <v>562.30000000000007</v>
      </c>
      <c r="J2394">
        <v>-1318.1999999999998</v>
      </c>
    </row>
    <row r="2395" spans="1:10" x14ac:dyDescent="0.35">
      <c r="A2395">
        <v>2379</v>
      </c>
      <c r="B2395" s="75">
        <v>90.11</v>
      </c>
      <c r="C2395" s="75">
        <v>98.8</v>
      </c>
      <c r="D2395" s="75">
        <v>94.54</v>
      </c>
      <c r="E2395" s="75">
        <v>95.88</v>
      </c>
      <c r="F2395">
        <v>-1829.19</v>
      </c>
      <c r="G2395">
        <v>-891.15</v>
      </c>
      <c r="H2395">
        <v>-3448</v>
      </c>
      <c r="I2395">
        <v>-2494.6000000000004</v>
      </c>
      <c r="J2395">
        <v>-8662.94</v>
      </c>
    </row>
    <row r="2396" spans="1:10" x14ac:dyDescent="0.35">
      <c r="A2396">
        <v>2380</v>
      </c>
      <c r="B2396" s="75">
        <v>89.935900000000004</v>
      </c>
      <c r="C2396" s="75">
        <v>97.099900000000005</v>
      </c>
      <c r="D2396" s="75">
        <v>91.541399999999996</v>
      </c>
      <c r="E2396" s="75">
        <v>95.985900000000001</v>
      </c>
      <c r="F2396">
        <v>-1261.5899999999999</v>
      </c>
      <c r="G2396">
        <v>1665.0000000000002</v>
      </c>
      <c r="H2396">
        <v>2549.4</v>
      </c>
      <c r="I2396">
        <v>-2605.3000000000002</v>
      </c>
      <c r="J2396">
        <v>347.51000000000022</v>
      </c>
    </row>
    <row r="2397" spans="1:10" x14ac:dyDescent="0.35">
      <c r="A2397">
        <v>2381</v>
      </c>
      <c r="B2397" s="75">
        <v>89.45</v>
      </c>
      <c r="C2397" s="75">
        <v>97.96</v>
      </c>
      <c r="D2397" s="75">
        <v>91.14</v>
      </c>
      <c r="E2397" s="75">
        <v>94.33</v>
      </c>
      <c r="F2397">
        <v>357.71999999999997</v>
      </c>
      <c r="G2397">
        <v>369.6</v>
      </c>
      <c r="H2397">
        <v>3350</v>
      </c>
      <c r="I2397">
        <v>-950.9</v>
      </c>
      <c r="J2397">
        <v>3126.4199999999996</v>
      </c>
    </row>
    <row r="2398" spans="1:10" x14ac:dyDescent="0.35">
      <c r="A2398">
        <v>2382</v>
      </c>
      <c r="B2398" s="75">
        <v>89.361599999999996</v>
      </c>
      <c r="C2398" s="75">
        <v>99.683199999999999</v>
      </c>
      <c r="D2398" s="75">
        <v>91.925799999999995</v>
      </c>
      <c r="E2398" s="75">
        <v>92.403899999999993</v>
      </c>
      <c r="F2398">
        <v>633.6</v>
      </c>
      <c r="G2398">
        <v>-2209.9500000000003</v>
      </c>
      <c r="H2398">
        <v>1780.6</v>
      </c>
      <c r="I2398">
        <v>976.7</v>
      </c>
      <c r="J2398">
        <v>1180.9499999999996</v>
      </c>
    </row>
    <row r="2399" spans="1:10" x14ac:dyDescent="0.35">
      <c r="A2399">
        <v>2383</v>
      </c>
      <c r="B2399" s="75">
        <v>88.66</v>
      </c>
      <c r="C2399" s="75">
        <v>99.38</v>
      </c>
      <c r="D2399" s="75">
        <v>92.25</v>
      </c>
      <c r="E2399" s="75">
        <v>92.92</v>
      </c>
      <c r="F2399">
        <v>2936.67</v>
      </c>
      <c r="G2399">
        <v>-1760.6999999999998</v>
      </c>
      <c r="H2399">
        <v>1129.3999999999999</v>
      </c>
      <c r="I2399">
        <v>458.2</v>
      </c>
      <c r="J2399">
        <v>2763.5699999999997</v>
      </c>
    </row>
    <row r="2400" spans="1:10" x14ac:dyDescent="0.35">
      <c r="A2400">
        <v>2384</v>
      </c>
      <c r="B2400" s="75">
        <v>89.170400000000001</v>
      </c>
      <c r="C2400" s="75">
        <v>98.823099999999997</v>
      </c>
      <c r="D2400" s="75">
        <v>93.287999999999997</v>
      </c>
      <c r="E2400" s="75">
        <v>93.712299999999999</v>
      </c>
      <c r="F2400">
        <v>1264.56</v>
      </c>
      <c r="G2400">
        <v>-919.8</v>
      </c>
      <c r="H2400">
        <v>-943.8</v>
      </c>
      <c r="I2400">
        <v>-331.7</v>
      </c>
      <c r="J2400">
        <v>-930.74</v>
      </c>
    </row>
    <row r="2401" spans="1:10" x14ac:dyDescent="0.35">
      <c r="A2401">
        <v>2385</v>
      </c>
      <c r="B2401" s="75">
        <v>88.96</v>
      </c>
      <c r="C2401" s="75">
        <v>98.73</v>
      </c>
      <c r="D2401" s="75">
        <v>93.67</v>
      </c>
      <c r="E2401" s="75">
        <v>92.85</v>
      </c>
      <c r="F2401">
        <v>1960.53</v>
      </c>
      <c r="G2401">
        <v>-784.05000000000007</v>
      </c>
      <c r="H2401">
        <v>-1711.2</v>
      </c>
      <c r="I2401">
        <v>532.69999999999993</v>
      </c>
      <c r="J2401">
        <v>-2.0200000000000955</v>
      </c>
    </row>
    <row r="2402" spans="1:10" x14ac:dyDescent="0.35">
      <c r="A2402">
        <v>2386</v>
      </c>
      <c r="B2402" s="75">
        <v>89.262200000000007</v>
      </c>
      <c r="C2402" s="75">
        <v>98.682299999999998</v>
      </c>
      <c r="D2402" s="75">
        <v>93.788499999999999</v>
      </c>
      <c r="E2402" s="75">
        <v>95.055300000000003</v>
      </c>
      <c r="F2402">
        <v>961.62</v>
      </c>
      <c r="G2402">
        <v>-708.6</v>
      </c>
      <c r="H2402">
        <v>-1944.8000000000002</v>
      </c>
      <c r="I2402">
        <v>-1674.7</v>
      </c>
      <c r="J2402">
        <v>-3366.4800000000005</v>
      </c>
    </row>
    <row r="2403" spans="1:10" x14ac:dyDescent="0.35">
      <c r="A2403">
        <v>2387</v>
      </c>
      <c r="B2403" s="75">
        <v>89.1</v>
      </c>
      <c r="C2403" s="75">
        <v>98.01</v>
      </c>
      <c r="D2403" s="75">
        <v>92.98</v>
      </c>
      <c r="E2403" s="75">
        <v>93.46</v>
      </c>
      <c r="F2403">
        <v>1496.88</v>
      </c>
      <c r="G2403">
        <v>301.34999999999997</v>
      </c>
      <c r="H2403">
        <v>-336.2</v>
      </c>
      <c r="I2403">
        <v>-77.8</v>
      </c>
      <c r="J2403">
        <v>1384.23</v>
      </c>
    </row>
    <row r="2404" spans="1:10" x14ac:dyDescent="0.35">
      <c r="A2404">
        <v>2388</v>
      </c>
      <c r="B2404" s="75">
        <v>88.956599999999995</v>
      </c>
      <c r="C2404" s="75">
        <v>98.450500000000005</v>
      </c>
      <c r="D2404" s="75">
        <v>91.795400000000001</v>
      </c>
      <c r="E2404" s="75">
        <v>92.249600000000001</v>
      </c>
      <c r="F2404">
        <v>1970.1</v>
      </c>
      <c r="G2404">
        <v>-360.90000000000003</v>
      </c>
      <c r="H2404">
        <v>2041.3999999999999</v>
      </c>
      <c r="I2404">
        <v>1131</v>
      </c>
      <c r="J2404">
        <v>4781.5999999999995</v>
      </c>
    </row>
    <row r="2405" spans="1:10" x14ac:dyDescent="0.35">
      <c r="A2405">
        <v>2389</v>
      </c>
      <c r="B2405" s="75">
        <v>89.43</v>
      </c>
      <c r="C2405" s="75">
        <v>97.98</v>
      </c>
      <c r="D2405" s="75">
        <v>91.3</v>
      </c>
      <c r="E2405" s="75">
        <v>91.96</v>
      </c>
      <c r="F2405">
        <v>396.99</v>
      </c>
      <c r="G2405">
        <v>337.95</v>
      </c>
      <c r="H2405">
        <v>3035.2000000000003</v>
      </c>
      <c r="I2405">
        <v>1417.3</v>
      </c>
      <c r="J2405">
        <v>5187.4400000000005</v>
      </c>
    </row>
    <row r="2406" spans="1:10" x14ac:dyDescent="0.35">
      <c r="A2406">
        <v>2390</v>
      </c>
      <c r="B2406" s="75">
        <v>89.275899999999993</v>
      </c>
      <c r="C2406" s="75">
        <v>98.010099999999994</v>
      </c>
      <c r="D2406" s="75">
        <v>92.298000000000002</v>
      </c>
      <c r="E2406" s="75">
        <v>91.751400000000004</v>
      </c>
      <c r="F2406">
        <v>916.41</v>
      </c>
      <c r="G2406">
        <v>299.7</v>
      </c>
      <c r="H2406">
        <v>1036.2</v>
      </c>
      <c r="I2406">
        <v>1629.2</v>
      </c>
      <c r="J2406">
        <v>3881.51</v>
      </c>
    </row>
    <row r="2407" spans="1:10" x14ac:dyDescent="0.35">
      <c r="A2407">
        <v>2391</v>
      </c>
      <c r="B2407" s="75">
        <v>89.95</v>
      </c>
      <c r="C2407" s="75">
        <v>98.33</v>
      </c>
      <c r="D2407" s="75">
        <v>93.13</v>
      </c>
      <c r="E2407" s="75">
        <v>92.72</v>
      </c>
      <c r="F2407">
        <v>-1311.09</v>
      </c>
      <c r="G2407">
        <v>-174.75</v>
      </c>
      <c r="H2407">
        <v>-632.80000000000007</v>
      </c>
      <c r="I2407">
        <v>655.90000000000009</v>
      </c>
      <c r="J2407">
        <v>-1462.7399999999998</v>
      </c>
    </row>
    <row r="2408" spans="1:10" x14ac:dyDescent="0.35">
      <c r="A2408">
        <v>2392</v>
      </c>
      <c r="B2408" s="75">
        <v>90.352800000000002</v>
      </c>
      <c r="C2408" s="75">
        <v>98.152000000000001</v>
      </c>
      <c r="D2408" s="75">
        <v>94.231899999999996</v>
      </c>
      <c r="E2408" s="75">
        <v>92.136399999999995</v>
      </c>
      <c r="F2408">
        <v>-2637.36</v>
      </c>
      <c r="G2408">
        <v>86.85</v>
      </c>
      <c r="H2408">
        <v>-2831.6</v>
      </c>
      <c r="I2408">
        <v>1244.2</v>
      </c>
      <c r="J2408">
        <v>-4137.9100000000008</v>
      </c>
    </row>
    <row r="2409" spans="1:10" x14ac:dyDescent="0.35">
      <c r="A2409">
        <v>2393</v>
      </c>
      <c r="B2409" s="75">
        <v>89.4</v>
      </c>
      <c r="C2409" s="75">
        <v>96.91</v>
      </c>
      <c r="D2409" s="75">
        <v>92.47</v>
      </c>
      <c r="E2409" s="75">
        <v>91.43</v>
      </c>
      <c r="F2409">
        <v>495</v>
      </c>
      <c r="G2409">
        <v>1952.8500000000001</v>
      </c>
      <c r="H2409">
        <v>700.4</v>
      </c>
      <c r="I2409">
        <v>1946.7</v>
      </c>
      <c r="J2409">
        <v>5094.9500000000007</v>
      </c>
    </row>
    <row r="2410" spans="1:10" x14ac:dyDescent="0.35">
      <c r="A2410">
        <v>2394</v>
      </c>
      <c r="B2410" s="75">
        <v>90.695999999999998</v>
      </c>
      <c r="C2410" s="75">
        <v>97.240600000000001</v>
      </c>
      <c r="D2410" s="75">
        <v>91.250500000000002</v>
      </c>
      <c r="E2410" s="75">
        <v>96.290199999999999</v>
      </c>
      <c r="F2410">
        <v>-3769.92</v>
      </c>
      <c r="G2410">
        <v>1453.95</v>
      </c>
      <c r="H2410">
        <v>3131.2000000000003</v>
      </c>
      <c r="I2410">
        <v>-2909.6000000000004</v>
      </c>
      <c r="J2410">
        <v>-2094.3700000000003</v>
      </c>
    </row>
    <row r="2411" spans="1:10" x14ac:dyDescent="0.35">
      <c r="A2411">
        <v>2395</v>
      </c>
      <c r="B2411" s="75">
        <v>89.17</v>
      </c>
      <c r="C2411" s="75">
        <v>97.75</v>
      </c>
      <c r="D2411" s="75">
        <v>92.96</v>
      </c>
      <c r="E2411" s="75">
        <v>94.17</v>
      </c>
      <c r="F2411">
        <v>1253.67</v>
      </c>
      <c r="G2411">
        <v>692.4</v>
      </c>
      <c r="H2411">
        <v>-281.39999999999998</v>
      </c>
      <c r="I2411">
        <v>-791.90000000000009</v>
      </c>
      <c r="J2411">
        <v>872.77</v>
      </c>
    </row>
    <row r="2412" spans="1:10" x14ac:dyDescent="0.35">
      <c r="A2412">
        <v>2396</v>
      </c>
      <c r="B2412" s="75">
        <v>88.688299999999998</v>
      </c>
      <c r="C2412" s="75">
        <v>99.928700000000006</v>
      </c>
      <c r="D2412" s="75">
        <v>93.699700000000007</v>
      </c>
      <c r="E2412" s="75">
        <v>96.181299999999993</v>
      </c>
      <c r="F2412">
        <v>2855.49</v>
      </c>
      <c r="G2412">
        <v>-2578.2000000000003</v>
      </c>
      <c r="H2412">
        <v>-1767.2</v>
      </c>
      <c r="I2412">
        <v>-2800.7</v>
      </c>
      <c r="J2412">
        <v>-4290.6100000000006</v>
      </c>
    </row>
    <row r="2413" spans="1:10" x14ac:dyDescent="0.35">
      <c r="A2413">
        <v>2397</v>
      </c>
      <c r="B2413" s="75">
        <v>88.93</v>
      </c>
      <c r="C2413" s="75">
        <v>97.8</v>
      </c>
      <c r="D2413" s="75">
        <v>92.09</v>
      </c>
      <c r="E2413" s="75">
        <v>90.89</v>
      </c>
      <c r="F2413">
        <v>2059.86</v>
      </c>
      <c r="G2413">
        <v>613.20000000000005</v>
      </c>
      <c r="H2413">
        <v>1445</v>
      </c>
      <c r="I2413">
        <v>2495.1</v>
      </c>
      <c r="J2413">
        <v>6613.16</v>
      </c>
    </row>
    <row r="2414" spans="1:10" x14ac:dyDescent="0.35">
      <c r="A2414">
        <v>2398</v>
      </c>
      <c r="B2414" s="75">
        <v>89.222499999999997</v>
      </c>
      <c r="C2414" s="75">
        <v>99.768299999999996</v>
      </c>
      <c r="D2414" s="75">
        <v>93.341800000000006</v>
      </c>
      <c r="E2414" s="75">
        <v>95.209500000000006</v>
      </c>
      <c r="F2414">
        <v>1092.6300000000001</v>
      </c>
      <c r="G2414">
        <v>-2337.6</v>
      </c>
      <c r="H2414">
        <v>-1051.3999999999999</v>
      </c>
      <c r="I2414">
        <v>-1828.8999999999999</v>
      </c>
      <c r="J2414">
        <v>-4125.2699999999995</v>
      </c>
    </row>
    <row r="2415" spans="1:10" x14ac:dyDescent="0.35">
      <c r="A2415">
        <v>2399</v>
      </c>
      <c r="B2415" s="75">
        <v>88.99</v>
      </c>
      <c r="C2415" s="75">
        <v>97.65</v>
      </c>
      <c r="D2415" s="75">
        <v>92.94</v>
      </c>
      <c r="E2415" s="75">
        <v>92.61</v>
      </c>
      <c r="F2415">
        <v>1849.98</v>
      </c>
      <c r="G2415">
        <v>841.50000000000011</v>
      </c>
      <c r="H2415">
        <v>-255.80000000000004</v>
      </c>
      <c r="I2415">
        <v>773.9</v>
      </c>
      <c r="J2415">
        <v>3209.58</v>
      </c>
    </row>
    <row r="2416" spans="1:10" x14ac:dyDescent="0.35">
      <c r="A2416">
        <v>2400</v>
      </c>
      <c r="B2416" s="75">
        <v>89.286199999999994</v>
      </c>
      <c r="C2416" s="75">
        <v>98.355800000000002</v>
      </c>
      <c r="D2416" s="75">
        <v>90.756200000000007</v>
      </c>
      <c r="E2416" s="75">
        <v>91.999399999999994</v>
      </c>
      <c r="F2416">
        <v>882.42000000000007</v>
      </c>
      <c r="G2416">
        <v>-218.85</v>
      </c>
      <c r="H2416">
        <v>4119.7999999999993</v>
      </c>
      <c r="I2416">
        <v>1381.2</v>
      </c>
      <c r="J2416">
        <v>6164.5699999999988</v>
      </c>
    </row>
    <row r="2417" spans="1:10" x14ac:dyDescent="0.35">
      <c r="A2417">
        <v>2401</v>
      </c>
      <c r="B2417" s="75">
        <v>89.93</v>
      </c>
      <c r="C2417" s="75">
        <v>98.37</v>
      </c>
      <c r="D2417" s="75">
        <v>93.59</v>
      </c>
      <c r="E2417" s="75">
        <v>95.32</v>
      </c>
      <c r="F2417">
        <v>-1227.5999999999999</v>
      </c>
      <c r="G2417">
        <v>-240</v>
      </c>
      <c r="H2417">
        <v>-1538.4</v>
      </c>
      <c r="I2417">
        <v>-1943.7</v>
      </c>
      <c r="J2417">
        <v>-4949.7</v>
      </c>
    </row>
    <row r="2418" spans="1:10" x14ac:dyDescent="0.35">
      <c r="A2418">
        <v>2402</v>
      </c>
      <c r="B2418" s="75">
        <v>89.7209</v>
      </c>
      <c r="C2418" s="75">
        <v>99.072599999999994</v>
      </c>
      <c r="D2418" s="75">
        <v>91.165599999999998</v>
      </c>
      <c r="E2418" s="75">
        <v>95.488299999999995</v>
      </c>
      <c r="F2418">
        <v>-552.09</v>
      </c>
      <c r="G2418">
        <v>-1294.05</v>
      </c>
      <c r="H2418">
        <v>3301</v>
      </c>
      <c r="I2418">
        <v>-2107.6999999999998</v>
      </c>
      <c r="J2418">
        <v>-652.83999999999969</v>
      </c>
    </row>
    <row r="2419" spans="1:10" x14ac:dyDescent="0.35">
      <c r="A2419">
        <v>2403</v>
      </c>
      <c r="B2419" s="75">
        <v>89.53</v>
      </c>
      <c r="C2419" s="75">
        <v>98.15</v>
      </c>
      <c r="D2419" s="75">
        <v>92.62</v>
      </c>
      <c r="E2419" s="75">
        <v>92.85</v>
      </c>
      <c r="F2419">
        <v>84.48</v>
      </c>
      <c r="G2419">
        <v>94.35</v>
      </c>
      <c r="H2419">
        <v>390.79999999999995</v>
      </c>
      <c r="I2419">
        <v>529.90000000000009</v>
      </c>
      <c r="J2419">
        <v>1099.53</v>
      </c>
    </row>
    <row r="2420" spans="1:10" x14ac:dyDescent="0.35">
      <c r="A2420">
        <v>2404</v>
      </c>
      <c r="B2420" s="75">
        <v>89.183800000000005</v>
      </c>
      <c r="C2420" s="75">
        <v>97.047200000000004</v>
      </c>
      <c r="D2420" s="75">
        <v>91.127300000000005</v>
      </c>
      <c r="E2420" s="75">
        <v>92.848200000000006</v>
      </c>
      <c r="F2420">
        <v>1220.3400000000001</v>
      </c>
      <c r="G2420">
        <v>1744.0500000000002</v>
      </c>
      <c r="H2420">
        <v>3377.6000000000004</v>
      </c>
      <c r="I2420">
        <v>532.4</v>
      </c>
      <c r="J2420">
        <v>6874.39</v>
      </c>
    </row>
    <row r="2421" spans="1:10" x14ac:dyDescent="0.35">
      <c r="A2421">
        <v>2405</v>
      </c>
      <c r="B2421" s="75">
        <v>90.15</v>
      </c>
      <c r="C2421" s="75">
        <v>98.08</v>
      </c>
      <c r="D2421" s="75">
        <v>93.93</v>
      </c>
      <c r="E2421" s="75">
        <v>91.22</v>
      </c>
      <c r="F2421">
        <v>-1975.0500000000002</v>
      </c>
      <c r="G2421">
        <v>192.14999999999998</v>
      </c>
      <c r="H2421">
        <v>-2231.1999999999998</v>
      </c>
      <c r="I2421">
        <v>2162</v>
      </c>
      <c r="J2421">
        <v>-1852.1</v>
      </c>
    </row>
    <row r="2422" spans="1:10" x14ac:dyDescent="0.35">
      <c r="A2422">
        <v>2406</v>
      </c>
      <c r="B2422" s="75">
        <v>89.952200000000005</v>
      </c>
      <c r="C2422" s="75">
        <v>98.468999999999994</v>
      </c>
      <c r="D2422" s="75">
        <v>93.052000000000007</v>
      </c>
      <c r="E2422" s="75">
        <v>95.909700000000001</v>
      </c>
      <c r="F2422">
        <v>-1315.38</v>
      </c>
      <c r="G2422">
        <v>-388.65</v>
      </c>
      <c r="H2422">
        <v>-471.8</v>
      </c>
      <c r="I2422">
        <v>-2529.1</v>
      </c>
      <c r="J2422">
        <v>-4704.93</v>
      </c>
    </row>
    <row r="2423" spans="1:10" x14ac:dyDescent="0.35">
      <c r="A2423">
        <v>2407</v>
      </c>
      <c r="B2423" s="75">
        <v>89.64</v>
      </c>
      <c r="C2423" s="75">
        <v>96.59</v>
      </c>
      <c r="D2423" s="75">
        <v>93.33</v>
      </c>
      <c r="E2423" s="75">
        <v>93.85</v>
      </c>
      <c r="F2423">
        <v>-284.79000000000002</v>
      </c>
      <c r="G2423">
        <v>2427.15</v>
      </c>
      <c r="H2423">
        <v>-1031.4000000000001</v>
      </c>
      <c r="I2423">
        <v>-464.7</v>
      </c>
      <c r="J2423">
        <v>646.26</v>
      </c>
    </row>
    <row r="2424" spans="1:10" x14ac:dyDescent="0.35">
      <c r="A2424">
        <v>2408</v>
      </c>
      <c r="B2424" s="75">
        <v>89.715000000000003</v>
      </c>
      <c r="C2424" s="75">
        <v>99.162000000000006</v>
      </c>
      <c r="D2424" s="75">
        <v>92.295000000000002</v>
      </c>
      <c r="E2424" s="75">
        <v>94.897900000000007</v>
      </c>
      <c r="F2424">
        <v>-532.62</v>
      </c>
      <c r="G2424">
        <v>-1428.1499999999999</v>
      </c>
      <c r="H2424">
        <v>1042.2</v>
      </c>
      <c r="I2424">
        <v>-1517.3000000000002</v>
      </c>
      <c r="J2424">
        <v>-2435.87</v>
      </c>
    </row>
    <row r="2425" spans="1:10" x14ac:dyDescent="0.35">
      <c r="A2425">
        <v>2409</v>
      </c>
      <c r="B2425" s="75">
        <v>89.91</v>
      </c>
      <c r="C2425" s="75">
        <v>97.39</v>
      </c>
      <c r="D2425" s="75">
        <v>94.52</v>
      </c>
      <c r="E2425" s="75">
        <v>95.48</v>
      </c>
      <c r="F2425">
        <v>-1159.6199999999999</v>
      </c>
      <c r="G2425">
        <v>1227.9000000000001</v>
      </c>
      <c r="H2425">
        <v>-3403.6</v>
      </c>
      <c r="I2425">
        <v>-2100.2000000000003</v>
      </c>
      <c r="J2425">
        <v>-5435.52</v>
      </c>
    </row>
    <row r="2426" spans="1:10" x14ac:dyDescent="0.35">
      <c r="A2426">
        <v>2410</v>
      </c>
      <c r="B2426" s="75">
        <v>89.227199999999996</v>
      </c>
      <c r="C2426" s="75">
        <v>98.175600000000003</v>
      </c>
      <c r="D2426" s="75">
        <v>93.295199999999994</v>
      </c>
      <c r="E2426" s="75">
        <v>89.956199999999995</v>
      </c>
      <c r="F2426">
        <v>1077.1200000000001</v>
      </c>
      <c r="G2426">
        <v>51.449999999999996</v>
      </c>
      <c r="H2426">
        <v>-958.2</v>
      </c>
      <c r="I2426">
        <v>3424.4</v>
      </c>
      <c r="J2426">
        <v>3594.7700000000004</v>
      </c>
    </row>
    <row r="2427" spans="1:10" x14ac:dyDescent="0.35">
      <c r="A2427">
        <v>2411</v>
      </c>
      <c r="B2427" s="75">
        <v>89.58</v>
      </c>
      <c r="C2427" s="75">
        <v>97.57</v>
      </c>
      <c r="D2427" s="75">
        <v>92.45</v>
      </c>
      <c r="E2427" s="75">
        <v>92.4</v>
      </c>
      <c r="F2427">
        <v>-93.39</v>
      </c>
      <c r="G2427">
        <v>962.7</v>
      </c>
      <c r="H2427">
        <v>737.19999999999993</v>
      </c>
      <c r="I2427">
        <v>982.6</v>
      </c>
      <c r="J2427">
        <v>2589.11</v>
      </c>
    </row>
    <row r="2428" spans="1:10" x14ac:dyDescent="0.35">
      <c r="A2428">
        <v>2412</v>
      </c>
      <c r="B2428" s="75">
        <v>90.045699999999997</v>
      </c>
      <c r="C2428" s="75">
        <v>98.842500000000001</v>
      </c>
      <c r="D2428" s="75">
        <v>92.431600000000003</v>
      </c>
      <c r="E2428" s="75">
        <v>92.76</v>
      </c>
      <c r="F2428">
        <v>-1623.9299999999998</v>
      </c>
      <c r="G2428">
        <v>-948.90000000000009</v>
      </c>
      <c r="H2428">
        <v>769</v>
      </c>
      <c r="I2428">
        <v>620.6</v>
      </c>
      <c r="J2428">
        <v>-1183.23</v>
      </c>
    </row>
    <row r="2429" spans="1:10" x14ac:dyDescent="0.35">
      <c r="A2429">
        <v>2413</v>
      </c>
      <c r="B2429" s="75">
        <v>88.6</v>
      </c>
      <c r="C2429" s="75">
        <v>99.08</v>
      </c>
      <c r="D2429" s="75">
        <v>93.7</v>
      </c>
      <c r="E2429" s="75">
        <v>95</v>
      </c>
      <c r="F2429">
        <v>3146.2200000000003</v>
      </c>
      <c r="G2429">
        <v>-1311</v>
      </c>
      <c r="H2429">
        <v>-1773.6000000000001</v>
      </c>
      <c r="I2429">
        <v>-1617.3999999999999</v>
      </c>
      <c r="J2429">
        <v>-1555.7799999999997</v>
      </c>
    </row>
    <row r="2430" spans="1:10" x14ac:dyDescent="0.35">
      <c r="A2430">
        <v>2414</v>
      </c>
      <c r="B2430" s="75">
        <v>89.602099999999993</v>
      </c>
      <c r="C2430" s="75">
        <v>98.006399999999999</v>
      </c>
      <c r="D2430" s="75">
        <v>91.609899999999996</v>
      </c>
      <c r="E2430" s="75">
        <v>88.869500000000002</v>
      </c>
      <c r="F2430">
        <v>-160.05000000000001</v>
      </c>
      <c r="G2430">
        <v>305.25</v>
      </c>
      <c r="H2430">
        <v>2412.4</v>
      </c>
      <c r="I2430">
        <v>4511.0999999999995</v>
      </c>
      <c r="J2430">
        <v>7068.6999999999989</v>
      </c>
    </row>
    <row r="2431" spans="1:10" x14ac:dyDescent="0.35">
      <c r="A2431">
        <v>2415</v>
      </c>
      <c r="B2431" s="75">
        <v>89.32</v>
      </c>
      <c r="C2431" s="75">
        <v>98.3</v>
      </c>
      <c r="D2431" s="75">
        <v>91.79</v>
      </c>
      <c r="E2431" s="75">
        <v>93.91</v>
      </c>
      <c r="F2431">
        <v>781.44</v>
      </c>
      <c r="G2431">
        <v>-137.70000000000002</v>
      </c>
      <c r="H2431">
        <v>2061.4</v>
      </c>
      <c r="I2431">
        <v>-532.20000000000005</v>
      </c>
      <c r="J2431">
        <v>2172.9400000000005</v>
      </c>
    </row>
    <row r="2432" spans="1:10" x14ac:dyDescent="0.35">
      <c r="A2432">
        <v>2416</v>
      </c>
      <c r="B2432" s="75">
        <v>89.084800000000001</v>
      </c>
      <c r="C2432" s="75">
        <v>96.316000000000003</v>
      </c>
      <c r="D2432" s="75">
        <v>92.355900000000005</v>
      </c>
      <c r="E2432" s="75">
        <v>91.5154</v>
      </c>
      <c r="F2432">
        <v>1547.04</v>
      </c>
      <c r="G2432">
        <v>2840.85</v>
      </c>
      <c r="H2432">
        <v>920.4</v>
      </c>
      <c r="I2432">
        <v>1865.2</v>
      </c>
      <c r="J2432">
        <v>7173.4899999999989</v>
      </c>
    </row>
    <row r="2433" spans="1:10" x14ac:dyDescent="0.35">
      <c r="A2433">
        <v>2417</v>
      </c>
      <c r="B2433" s="75">
        <v>88.76</v>
      </c>
      <c r="C2433" s="75">
        <v>97.7</v>
      </c>
      <c r="D2433" s="75">
        <v>93.15</v>
      </c>
      <c r="E2433" s="75">
        <v>95.1</v>
      </c>
      <c r="F2433">
        <v>2618.88</v>
      </c>
      <c r="G2433">
        <v>769.05000000000007</v>
      </c>
      <c r="H2433">
        <v>-658.4</v>
      </c>
      <c r="I2433">
        <v>-1716.3999999999999</v>
      </c>
      <c r="J2433">
        <v>1013.1300000000003</v>
      </c>
    </row>
    <row r="2434" spans="1:10" x14ac:dyDescent="0.35">
      <c r="A2434">
        <v>2418</v>
      </c>
      <c r="B2434" s="75">
        <v>89.813599999999994</v>
      </c>
      <c r="C2434" s="75">
        <v>99.671000000000006</v>
      </c>
      <c r="D2434" s="75">
        <v>92.284999999999997</v>
      </c>
      <c r="E2434" s="75">
        <v>93.0154</v>
      </c>
      <c r="F2434">
        <v>-858</v>
      </c>
      <c r="G2434">
        <v>-2191.65</v>
      </c>
      <c r="H2434">
        <v>1062.2</v>
      </c>
      <c r="I2434">
        <v>365.20000000000005</v>
      </c>
      <c r="J2434">
        <v>-1622.25</v>
      </c>
    </row>
    <row r="2435" spans="1:10" x14ac:dyDescent="0.35">
      <c r="A2435">
        <v>2419</v>
      </c>
      <c r="B2435" s="75">
        <v>89.88</v>
      </c>
      <c r="C2435" s="75">
        <v>98.83</v>
      </c>
      <c r="D2435" s="75">
        <v>93</v>
      </c>
      <c r="E2435" s="75">
        <v>92.78</v>
      </c>
      <c r="F2435">
        <v>-1083.3899999999999</v>
      </c>
      <c r="G2435">
        <v>-936.90000000000009</v>
      </c>
      <c r="H2435">
        <v>-359</v>
      </c>
      <c r="I2435">
        <v>604</v>
      </c>
      <c r="J2435">
        <v>-1775.29</v>
      </c>
    </row>
    <row r="2436" spans="1:10" x14ac:dyDescent="0.35">
      <c r="A2436">
        <v>2420</v>
      </c>
      <c r="B2436" s="75">
        <v>90.453699999999998</v>
      </c>
      <c r="C2436" s="75">
        <v>97.855699999999999</v>
      </c>
      <c r="D2436" s="75">
        <v>92.051599999999993</v>
      </c>
      <c r="E2436" s="75">
        <v>92.567400000000006</v>
      </c>
      <c r="F2436">
        <v>-2970.33</v>
      </c>
      <c r="G2436">
        <v>531.30000000000007</v>
      </c>
      <c r="H2436">
        <v>1529</v>
      </c>
      <c r="I2436">
        <v>813.2</v>
      </c>
      <c r="J2436">
        <v>-96.8299999999997</v>
      </c>
    </row>
    <row r="2437" spans="1:10" x14ac:dyDescent="0.35">
      <c r="A2437">
        <v>2421</v>
      </c>
      <c r="B2437" s="75">
        <v>90</v>
      </c>
      <c r="C2437" s="75">
        <v>98.25</v>
      </c>
      <c r="D2437" s="75">
        <v>92.69</v>
      </c>
      <c r="E2437" s="75">
        <v>92.25</v>
      </c>
      <c r="F2437">
        <v>-1480.71</v>
      </c>
      <c r="G2437">
        <v>-55.8</v>
      </c>
      <c r="H2437">
        <v>259.60000000000002</v>
      </c>
      <c r="I2437">
        <v>1135.2</v>
      </c>
      <c r="J2437">
        <v>-141.70999999999981</v>
      </c>
    </row>
    <row r="2438" spans="1:10" x14ac:dyDescent="0.35">
      <c r="A2438">
        <v>2422</v>
      </c>
      <c r="B2438" s="75">
        <v>90.405699999999996</v>
      </c>
      <c r="C2438" s="75">
        <v>97.694299999999998</v>
      </c>
      <c r="D2438" s="75">
        <v>93.031400000000005</v>
      </c>
      <c r="E2438" s="75">
        <v>92.884200000000007</v>
      </c>
      <c r="F2438">
        <v>-2811.93</v>
      </c>
      <c r="G2438">
        <v>773.4</v>
      </c>
      <c r="H2438">
        <v>-430.59999999999997</v>
      </c>
      <c r="I2438">
        <v>496.40000000000003</v>
      </c>
      <c r="J2438">
        <v>-1972.7299999999996</v>
      </c>
    </row>
    <row r="2439" spans="1:10" x14ac:dyDescent="0.35">
      <c r="A2439">
        <v>2423</v>
      </c>
      <c r="B2439" s="75">
        <v>89.21</v>
      </c>
      <c r="C2439" s="75">
        <v>98.46</v>
      </c>
      <c r="D2439" s="75">
        <v>91.86</v>
      </c>
      <c r="E2439" s="75">
        <v>96.88</v>
      </c>
      <c r="F2439">
        <v>1134.8699999999999</v>
      </c>
      <c r="G2439">
        <v>-368.55</v>
      </c>
      <c r="H2439">
        <v>1909.4</v>
      </c>
      <c r="I2439">
        <v>-3503</v>
      </c>
      <c r="J2439">
        <v>-827.27999999999975</v>
      </c>
    </row>
    <row r="2440" spans="1:10" x14ac:dyDescent="0.35">
      <c r="A2440">
        <v>2424</v>
      </c>
      <c r="B2440" s="75">
        <v>90.079400000000007</v>
      </c>
      <c r="C2440" s="75">
        <v>96.541799999999995</v>
      </c>
      <c r="D2440" s="75">
        <v>91.497900000000001</v>
      </c>
      <c r="E2440" s="75">
        <v>96.641999999999996</v>
      </c>
      <c r="F2440">
        <v>-1735.14</v>
      </c>
      <c r="G2440">
        <v>2502.15</v>
      </c>
      <c r="H2440">
        <v>2636.4</v>
      </c>
      <c r="I2440">
        <v>-3261.4</v>
      </c>
      <c r="J2440">
        <v>142.00999999999976</v>
      </c>
    </row>
    <row r="2441" spans="1:10" x14ac:dyDescent="0.35">
      <c r="A2441">
        <v>2425</v>
      </c>
      <c r="B2441" s="75">
        <v>90.78</v>
      </c>
      <c r="C2441" s="75">
        <v>97.82</v>
      </c>
      <c r="D2441" s="75">
        <v>94.69</v>
      </c>
      <c r="E2441" s="75">
        <v>95.09</v>
      </c>
      <c r="F2441">
        <v>-4048.4399999999996</v>
      </c>
      <c r="G2441">
        <v>590.69999999999993</v>
      </c>
      <c r="H2441">
        <v>-3746.2</v>
      </c>
      <c r="I2441">
        <v>-1708.9</v>
      </c>
      <c r="J2441">
        <v>-8912.84</v>
      </c>
    </row>
    <row r="2442" spans="1:10" x14ac:dyDescent="0.35">
      <c r="A2442">
        <v>2426</v>
      </c>
      <c r="B2442" s="75">
        <v>89.176400000000001</v>
      </c>
      <c r="C2442" s="75">
        <v>100.0031</v>
      </c>
      <c r="D2442" s="75">
        <v>91.607600000000005</v>
      </c>
      <c r="E2442" s="75">
        <v>90.9191</v>
      </c>
      <c r="F2442">
        <v>1244.76</v>
      </c>
      <c r="G2442">
        <v>-2689.7999999999997</v>
      </c>
      <c r="H2442">
        <v>2417</v>
      </c>
      <c r="I2442">
        <v>2461.5</v>
      </c>
      <c r="J2442">
        <v>3433.46</v>
      </c>
    </row>
    <row r="2443" spans="1:10" x14ac:dyDescent="0.35">
      <c r="A2443">
        <v>2427</v>
      </c>
      <c r="B2443" s="75">
        <v>89.05</v>
      </c>
      <c r="C2443" s="75">
        <v>97.43</v>
      </c>
      <c r="D2443" s="75">
        <v>94.81</v>
      </c>
      <c r="E2443" s="75">
        <v>93.8</v>
      </c>
      <c r="F2443">
        <v>1674.09</v>
      </c>
      <c r="G2443">
        <v>1163.8500000000001</v>
      </c>
      <c r="H2443">
        <v>-3991.8</v>
      </c>
      <c r="I2443">
        <v>-423.4</v>
      </c>
      <c r="J2443">
        <v>-1577.2600000000002</v>
      </c>
    </row>
    <row r="2444" spans="1:10" x14ac:dyDescent="0.35">
      <c r="A2444">
        <v>2428</v>
      </c>
      <c r="B2444" s="75">
        <v>89.803299999999993</v>
      </c>
      <c r="C2444" s="75">
        <v>99.425600000000003</v>
      </c>
      <c r="D2444" s="75">
        <v>92.279600000000002</v>
      </c>
      <c r="E2444" s="75">
        <v>91.673900000000003</v>
      </c>
      <c r="F2444">
        <v>-824.01</v>
      </c>
      <c r="G2444">
        <v>-1823.55</v>
      </c>
      <c r="H2444">
        <v>1073</v>
      </c>
      <c r="I2444">
        <v>1706.7</v>
      </c>
      <c r="J2444">
        <v>132.1400000000001</v>
      </c>
    </row>
    <row r="2445" spans="1:10" x14ac:dyDescent="0.35">
      <c r="A2445">
        <v>2429</v>
      </c>
      <c r="B2445" s="75">
        <v>90.18</v>
      </c>
      <c r="C2445" s="75">
        <v>97.62</v>
      </c>
      <c r="D2445" s="75">
        <v>93.05</v>
      </c>
      <c r="E2445" s="75">
        <v>92.46</v>
      </c>
      <c r="F2445">
        <v>-2070.75</v>
      </c>
      <c r="G2445">
        <v>890.25</v>
      </c>
      <c r="H2445">
        <v>-464.6</v>
      </c>
      <c r="I2445">
        <v>921.1</v>
      </c>
      <c r="J2445">
        <v>-723.99999999999989</v>
      </c>
    </row>
    <row r="2446" spans="1:10" x14ac:dyDescent="0.35">
      <c r="A2446">
        <v>2430</v>
      </c>
      <c r="B2446" s="75">
        <v>89.8797</v>
      </c>
      <c r="C2446" s="75">
        <v>98.1554</v>
      </c>
      <c r="D2446" s="75">
        <v>91.734399999999994</v>
      </c>
      <c r="E2446" s="75">
        <v>92.738299999999995</v>
      </c>
      <c r="F2446">
        <v>-1076.1300000000001</v>
      </c>
      <c r="G2446">
        <v>81.75</v>
      </c>
      <c r="H2446">
        <v>2163.4</v>
      </c>
      <c r="I2446">
        <v>642.29999999999995</v>
      </c>
      <c r="J2446">
        <v>1811.32</v>
      </c>
    </row>
    <row r="2447" spans="1:10" x14ac:dyDescent="0.35">
      <c r="A2447">
        <v>2431</v>
      </c>
      <c r="B2447" s="75">
        <v>89.77</v>
      </c>
      <c r="C2447" s="75">
        <v>97.16</v>
      </c>
      <c r="D2447" s="75">
        <v>94.66</v>
      </c>
      <c r="E2447" s="75">
        <v>93.12</v>
      </c>
      <c r="F2447">
        <v>-712.47</v>
      </c>
      <c r="G2447">
        <v>1575.8999999999999</v>
      </c>
      <c r="H2447">
        <v>-3697.2</v>
      </c>
      <c r="I2447">
        <v>258</v>
      </c>
      <c r="J2447">
        <v>-2575.77</v>
      </c>
    </row>
    <row r="2448" spans="1:10" x14ac:dyDescent="0.35">
      <c r="A2448">
        <v>2432</v>
      </c>
      <c r="B2448" s="75">
        <v>88.998599999999996</v>
      </c>
      <c r="C2448" s="75">
        <v>98.508399999999995</v>
      </c>
      <c r="D2448" s="75">
        <v>93.391999999999996</v>
      </c>
      <c r="E2448" s="75">
        <v>93.197500000000005</v>
      </c>
      <c r="F2448">
        <v>1831.5000000000002</v>
      </c>
      <c r="G2448">
        <v>-447.75</v>
      </c>
      <c r="H2448">
        <v>-1151.8</v>
      </c>
      <c r="I2448">
        <v>183.10000000000002</v>
      </c>
      <c r="J2448">
        <v>415.0500000000003</v>
      </c>
    </row>
    <row r="2449" spans="1:10" x14ac:dyDescent="0.35">
      <c r="A2449">
        <v>2433</v>
      </c>
      <c r="B2449" s="75">
        <v>89.59</v>
      </c>
      <c r="C2449" s="75">
        <v>97.7</v>
      </c>
      <c r="D2449" s="75">
        <v>93.41</v>
      </c>
      <c r="E2449" s="75">
        <v>95.42</v>
      </c>
      <c r="F2449">
        <v>-127.38000000000001</v>
      </c>
      <c r="G2449">
        <v>767.24999999999989</v>
      </c>
      <c r="H2449">
        <v>-1194</v>
      </c>
      <c r="I2449">
        <v>-2042.8999999999999</v>
      </c>
      <c r="J2449">
        <v>-2597.0299999999997</v>
      </c>
    </row>
    <row r="2450" spans="1:10" x14ac:dyDescent="0.35">
      <c r="A2450">
        <v>2434</v>
      </c>
      <c r="B2450" s="75">
        <v>89.799800000000005</v>
      </c>
      <c r="C2450" s="75">
        <v>98.420400000000001</v>
      </c>
      <c r="D2450" s="75">
        <v>92.341899999999995</v>
      </c>
      <c r="E2450" s="75">
        <v>95.865899999999996</v>
      </c>
      <c r="F2450">
        <v>-812.46</v>
      </c>
      <c r="G2450">
        <v>-315.75</v>
      </c>
      <c r="H2450">
        <v>948.4</v>
      </c>
      <c r="I2450">
        <v>-2485.3000000000002</v>
      </c>
      <c r="J2450">
        <v>-2665.11</v>
      </c>
    </row>
    <row r="2451" spans="1:10" x14ac:dyDescent="0.35">
      <c r="A2451">
        <v>2435</v>
      </c>
      <c r="B2451" s="75">
        <v>89.27</v>
      </c>
      <c r="C2451" s="75">
        <v>98.4</v>
      </c>
      <c r="D2451" s="75">
        <v>92.42</v>
      </c>
      <c r="E2451" s="75">
        <v>95.28</v>
      </c>
      <c r="F2451">
        <v>933.89999999999986</v>
      </c>
      <c r="G2451">
        <v>-282.75</v>
      </c>
      <c r="H2451">
        <v>791.6</v>
      </c>
      <c r="I2451">
        <v>-1896.4</v>
      </c>
      <c r="J2451">
        <v>-453.65000000000009</v>
      </c>
    </row>
    <row r="2452" spans="1:10" x14ac:dyDescent="0.35">
      <c r="A2452">
        <v>2436</v>
      </c>
      <c r="B2452" s="75">
        <v>90.280299999999997</v>
      </c>
      <c r="C2452" s="75">
        <v>97.528599999999997</v>
      </c>
      <c r="D2452" s="75">
        <v>93.168499999999995</v>
      </c>
      <c r="E2452" s="75">
        <v>92.791399999999996</v>
      </c>
      <c r="F2452">
        <v>-2398.11</v>
      </c>
      <c r="G2452">
        <v>1021.95</v>
      </c>
      <c r="H2452">
        <v>-704.8</v>
      </c>
      <c r="I2452">
        <v>589.19999999999993</v>
      </c>
      <c r="J2452">
        <v>-1491.7600000000002</v>
      </c>
    </row>
    <row r="2453" spans="1:10" x14ac:dyDescent="0.35">
      <c r="A2453">
        <v>2437</v>
      </c>
      <c r="B2453" s="75">
        <v>89.75</v>
      </c>
      <c r="C2453" s="75">
        <v>97.98</v>
      </c>
      <c r="D2453" s="75">
        <v>93.09</v>
      </c>
      <c r="E2453" s="75">
        <v>92.54</v>
      </c>
      <c r="F2453">
        <v>-655.70999999999992</v>
      </c>
      <c r="G2453">
        <v>351.3</v>
      </c>
      <c r="H2453">
        <v>-557</v>
      </c>
      <c r="I2453">
        <v>844.9</v>
      </c>
      <c r="J2453">
        <v>-16.509999999999877</v>
      </c>
    </row>
    <row r="2454" spans="1:10" x14ac:dyDescent="0.35">
      <c r="A2454">
        <v>2438</v>
      </c>
      <c r="B2454" s="75">
        <v>90.316699999999997</v>
      </c>
      <c r="C2454" s="75">
        <v>97.837400000000002</v>
      </c>
      <c r="D2454" s="75">
        <v>93.342699999999994</v>
      </c>
      <c r="E2454" s="75">
        <v>94.046800000000005</v>
      </c>
      <c r="F2454">
        <v>-2518.23</v>
      </c>
      <c r="G2454">
        <v>558.75</v>
      </c>
      <c r="H2454">
        <v>-1053.1999999999998</v>
      </c>
      <c r="I2454">
        <v>-666.2</v>
      </c>
      <c r="J2454">
        <v>-3678.88</v>
      </c>
    </row>
    <row r="2455" spans="1:10" x14ac:dyDescent="0.35">
      <c r="A2455">
        <v>2439</v>
      </c>
      <c r="B2455" s="75">
        <v>89.6</v>
      </c>
      <c r="C2455" s="75">
        <v>99.4</v>
      </c>
      <c r="D2455" s="75">
        <v>91.44</v>
      </c>
      <c r="E2455" s="75">
        <v>94.89</v>
      </c>
      <c r="F2455">
        <v>-168.63</v>
      </c>
      <c r="G2455">
        <v>-1786.3500000000001</v>
      </c>
      <c r="H2455">
        <v>2742.4</v>
      </c>
      <c r="I2455">
        <v>-1513.8</v>
      </c>
      <c r="J2455">
        <v>-726.37999999999988</v>
      </c>
    </row>
    <row r="2456" spans="1:10" x14ac:dyDescent="0.35">
      <c r="A2456">
        <v>2440</v>
      </c>
      <c r="B2456" s="75">
        <v>89.773300000000006</v>
      </c>
      <c r="C2456" s="75">
        <v>98.654399999999995</v>
      </c>
      <c r="D2456" s="75">
        <v>93.723500000000001</v>
      </c>
      <c r="E2456" s="75">
        <v>91.441900000000004</v>
      </c>
      <c r="F2456">
        <v>-725.01</v>
      </c>
      <c r="G2456">
        <v>-666.75</v>
      </c>
      <c r="H2456">
        <v>-1814.8</v>
      </c>
      <c r="I2456">
        <v>1938.7</v>
      </c>
      <c r="J2456">
        <v>-1267.8599999999999</v>
      </c>
    </row>
    <row r="2457" spans="1:10" x14ac:dyDescent="0.35">
      <c r="A2457">
        <v>2441</v>
      </c>
      <c r="B2457" s="75">
        <v>89.24</v>
      </c>
      <c r="C2457" s="75">
        <v>97.21</v>
      </c>
      <c r="D2457" s="75">
        <v>91.94</v>
      </c>
      <c r="E2457" s="75">
        <v>91.72</v>
      </c>
      <c r="F2457">
        <v>1042.47</v>
      </c>
      <c r="G2457">
        <v>1494.3</v>
      </c>
      <c r="H2457">
        <v>1751.6000000000001</v>
      </c>
      <c r="I2457">
        <v>1664.1</v>
      </c>
      <c r="J2457">
        <v>5952.4699999999993</v>
      </c>
    </row>
    <row r="2458" spans="1:10" x14ac:dyDescent="0.35">
      <c r="A2458">
        <v>2442</v>
      </c>
      <c r="B2458" s="75">
        <v>89.229699999999994</v>
      </c>
      <c r="C2458" s="75">
        <v>96.870099999999994</v>
      </c>
      <c r="D2458" s="75">
        <v>91.626000000000005</v>
      </c>
      <c r="E2458" s="75">
        <v>95.994699999999995</v>
      </c>
      <c r="F2458">
        <v>1068.8700000000001</v>
      </c>
      <c r="G2458">
        <v>2009.7</v>
      </c>
      <c r="H2458">
        <v>2380.1999999999998</v>
      </c>
      <c r="I2458">
        <v>-2614.1</v>
      </c>
      <c r="J2458">
        <v>2844.6700000000005</v>
      </c>
    </row>
    <row r="2459" spans="1:10" x14ac:dyDescent="0.35">
      <c r="A2459">
        <v>2443</v>
      </c>
      <c r="B2459" s="75">
        <v>90.1</v>
      </c>
      <c r="C2459" s="75">
        <v>97.12</v>
      </c>
      <c r="D2459" s="75">
        <v>92.36</v>
      </c>
      <c r="E2459" s="75">
        <v>92</v>
      </c>
      <c r="F2459">
        <v>-1803.78</v>
      </c>
      <c r="G2459">
        <v>1636.35</v>
      </c>
      <c r="H2459">
        <v>913.8</v>
      </c>
      <c r="I2459">
        <v>1381.2</v>
      </c>
      <c r="J2459">
        <v>2127.5699999999997</v>
      </c>
    </row>
    <row r="2460" spans="1:10" x14ac:dyDescent="0.35">
      <c r="A2460">
        <v>2444</v>
      </c>
      <c r="B2460" s="75">
        <v>90.086100000000002</v>
      </c>
      <c r="C2460" s="75">
        <v>95.885000000000005</v>
      </c>
      <c r="D2460" s="75">
        <v>93.720200000000006</v>
      </c>
      <c r="E2460" s="75">
        <v>93.096500000000006</v>
      </c>
      <c r="F2460">
        <v>-1757.25</v>
      </c>
      <c r="G2460">
        <v>3487.35</v>
      </c>
      <c r="H2460">
        <v>-1808.2</v>
      </c>
      <c r="I2460">
        <v>284.10000000000002</v>
      </c>
      <c r="J2460">
        <v>205.99999999999989</v>
      </c>
    </row>
    <row r="2461" spans="1:10" x14ac:dyDescent="0.35">
      <c r="A2461">
        <v>2445</v>
      </c>
      <c r="B2461" s="75">
        <v>89.72</v>
      </c>
      <c r="C2461" s="75">
        <v>96.47</v>
      </c>
      <c r="D2461" s="75">
        <v>92.51</v>
      </c>
      <c r="E2461" s="75">
        <v>90.56</v>
      </c>
      <c r="F2461">
        <v>-559.02</v>
      </c>
      <c r="G2461">
        <v>2602.9500000000003</v>
      </c>
      <c r="H2461">
        <v>615.6</v>
      </c>
      <c r="I2461">
        <v>2816.3</v>
      </c>
      <c r="J2461">
        <v>5475.83</v>
      </c>
    </row>
    <row r="2462" spans="1:10" x14ac:dyDescent="0.35">
      <c r="A2462">
        <v>2446</v>
      </c>
      <c r="B2462" s="75">
        <v>90.125699999999995</v>
      </c>
      <c r="C2462" s="75">
        <v>97.526700000000005</v>
      </c>
      <c r="D2462" s="75">
        <v>93.266000000000005</v>
      </c>
      <c r="E2462" s="75">
        <v>91.947500000000005</v>
      </c>
      <c r="F2462">
        <v>-1887.93</v>
      </c>
      <c r="G2462">
        <v>1024.8</v>
      </c>
      <c r="H2462">
        <v>-899.80000000000007</v>
      </c>
      <c r="I2462">
        <v>1433.1000000000001</v>
      </c>
      <c r="J2462">
        <v>-329.83000000000015</v>
      </c>
    </row>
    <row r="2463" spans="1:10" x14ac:dyDescent="0.35">
      <c r="A2463">
        <v>2447</v>
      </c>
      <c r="B2463" s="75">
        <v>89.95</v>
      </c>
      <c r="C2463" s="75">
        <v>96.87</v>
      </c>
      <c r="D2463" s="75">
        <v>92.25</v>
      </c>
      <c r="E2463" s="75">
        <v>93.99</v>
      </c>
      <c r="F2463">
        <v>-1297.8899999999999</v>
      </c>
      <c r="G2463">
        <v>2006.2499999999998</v>
      </c>
      <c r="H2463">
        <v>1130.4000000000001</v>
      </c>
      <c r="I2463">
        <v>-609.19999999999993</v>
      </c>
      <c r="J2463">
        <v>1229.56</v>
      </c>
    </row>
    <row r="2464" spans="1:10" x14ac:dyDescent="0.35">
      <c r="A2464">
        <v>2448</v>
      </c>
      <c r="B2464" s="75">
        <v>90.031700000000001</v>
      </c>
      <c r="C2464" s="75">
        <v>98.889200000000002</v>
      </c>
      <c r="D2464" s="75">
        <v>92.298199999999994</v>
      </c>
      <c r="E2464" s="75">
        <v>94.533000000000001</v>
      </c>
      <c r="F2464">
        <v>-1577.73</v>
      </c>
      <c r="G2464">
        <v>-1018.95</v>
      </c>
      <c r="H2464">
        <v>1035.8</v>
      </c>
      <c r="I2464">
        <v>-1152.4000000000001</v>
      </c>
      <c r="J2464">
        <v>-2713.2800000000007</v>
      </c>
    </row>
    <row r="2465" spans="1:10" x14ac:dyDescent="0.35">
      <c r="A2465">
        <v>2449</v>
      </c>
      <c r="B2465" s="75">
        <v>90.06</v>
      </c>
      <c r="C2465" s="75">
        <v>98.62</v>
      </c>
      <c r="D2465" s="75">
        <v>93.68</v>
      </c>
      <c r="E2465" s="75">
        <v>93.29</v>
      </c>
      <c r="F2465">
        <v>-1680.36</v>
      </c>
      <c r="G2465">
        <v>-618.15</v>
      </c>
      <c r="H2465">
        <v>-1728.3999999999999</v>
      </c>
      <c r="I2465">
        <v>86.4</v>
      </c>
      <c r="J2465">
        <v>-3940.5099999999998</v>
      </c>
    </row>
    <row r="2466" spans="1:10" x14ac:dyDescent="0.35">
      <c r="A2466">
        <v>2450</v>
      </c>
      <c r="B2466" s="75">
        <v>90.300799999999995</v>
      </c>
      <c r="C2466" s="75">
        <v>98.307699999999997</v>
      </c>
      <c r="D2466" s="75">
        <v>92.653999999999996</v>
      </c>
      <c r="E2466" s="75">
        <v>94.593299999999999</v>
      </c>
      <c r="F2466">
        <v>-2465.7599999999998</v>
      </c>
      <c r="G2466">
        <v>-146.69999999999999</v>
      </c>
      <c r="H2466">
        <v>324.2</v>
      </c>
      <c r="I2466">
        <v>-1212.6999999999998</v>
      </c>
      <c r="J2466">
        <v>-3500.9599999999996</v>
      </c>
    </row>
    <row r="2467" spans="1:10" x14ac:dyDescent="0.35">
      <c r="A2467">
        <v>2451</v>
      </c>
      <c r="B2467" s="75">
        <v>89.43</v>
      </c>
      <c r="C2467" s="75">
        <v>96.77</v>
      </c>
      <c r="D2467" s="75">
        <v>92.28</v>
      </c>
      <c r="E2467" s="75">
        <v>96.13</v>
      </c>
      <c r="F2467">
        <v>415.8</v>
      </c>
      <c r="G2467">
        <v>2155.9499999999998</v>
      </c>
      <c r="H2467">
        <v>1080.5999999999999</v>
      </c>
      <c r="I2467">
        <v>-2751.6</v>
      </c>
      <c r="J2467">
        <v>900.75</v>
      </c>
    </row>
    <row r="2468" spans="1:10" x14ac:dyDescent="0.35">
      <c r="A2468">
        <v>2452</v>
      </c>
      <c r="B2468" s="75">
        <v>89.483800000000002</v>
      </c>
      <c r="C2468" s="75">
        <v>98.296499999999995</v>
      </c>
      <c r="D2468" s="75">
        <v>93.388999999999996</v>
      </c>
      <c r="E2468" s="75">
        <v>91.582800000000006</v>
      </c>
      <c r="F2468">
        <v>230.34</v>
      </c>
      <c r="G2468">
        <v>-129.9</v>
      </c>
      <c r="H2468">
        <v>-1145.8</v>
      </c>
      <c r="I2468">
        <v>1797.8</v>
      </c>
      <c r="J2468">
        <v>752.44</v>
      </c>
    </row>
    <row r="2469" spans="1:10" x14ac:dyDescent="0.35">
      <c r="A2469">
        <v>2453</v>
      </c>
      <c r="B2469" s="75">
        <v>89.57</v>
      </c>
      <c r="C2469" s="75">
        <v>98.21</v>
      </c>
      <c r="D2469" s="75">
        <v>93.83</v>
      </c>
      <c r="E2469" s="75">
        <v>92.86</v>
      </c>
      <c r="F2469">
        <v>-60.72</v>
      </c>
      <c r="G2469">
        <v>-3</v>
      </c>
      <c r="H2469">
        <v>-2031.2</v>
      </c>
      <c r="I2469">
        <v>520.29999999999995</v>
      </c>
      <c r="J2469">
        <v>-1574.6200000000001</v>
      </c>
    </row>
    <row r="2470" spans="1:10" x14ac:dyDescent="0.35">
      <c r="A2470">
        <v>2454</v>
      </c>
      <c r="B2470" s="75">
        <v>88.854900000000001</v>
      </c>
      <c r="C2470" s="75">
        <v>99.066500000000005</v>
      </c>
      <c r="D2470" s="75">
        <v>95.0261</v>
      </c>
      <c r="E2470" s="75">
        <v>96.196200000000005</v>
      </c>
      <c r="F2470">
        <v>2305.71</v>
      </c>
      <c r="G2470">
        <v>-1284.9000000000001</v>
      </c>
      <c r="H2470">
        <v>-4420</v>
      </c>
      <c r="I2470">
        <v>-2815.6</v>
      </c>
      <c r="J2470">
        <v>-6214.79</v>
      </c>
    </row>
    <row r="2471" spans="1:10" x14ac:dyDescent="0.35">
      <c r="A2471">
        <v>2455</v>
      </c>
      <c r="B2471" s="75">
        <v>89.38</v>
      </c>
      <c r="C2471" s="75">
        <v>98.03</v>
      </c>
      <c r="D2471" s="75">
        <v>93.11</v>
      </c>
      <c r="E2471" s="75">
        <v>95.57</v>
      </c>
      <c r="F2471">
        <v>575.52</v>
      </c>
      <c r="G2471">
        <v>275.40000000000003</v>
      </c>
      <c r="H2471">
        <v>-597.19999999999993</v>
      </c>
      <c r="I2471">
        <v>-2184.6999999999998</v>
      </c>
      <c r="J2471">
        <v>-1930.9799999999996</v>
      </c>
    </row>
    <row r="2472" spans="1:10" x14ac:dyDescent="0.35">
      <c r="A2472">
        <v>2456</v>
      </c>
      <c r="B2472" s="75">
        <v>89.261200000000002</v>
      </c>
      <c r="C2472" s="75">
        <v>97.061000000000007</v>
      </c>
      <c r="D2472" s="75">
        <v>94.124099999999999</v>
      </c>
      <c r="E2472" s="75">
        <v>94.835800000000006</v>
      </c>
      <c r="F2472">
        <v>964.92</v>
      </c>
      <c r="G2472">
        <v>1723.3500000000001</v>
      </c>
      <c r="H2472">
        <v>-2616</v>
      </c>
      <c r="I2472">
        <v>-1455.2</v>
      </c>
      <c r="J2472">
        <v>-1382.93</v>
      </c>
    </row>
    <row r="2473" spans="1:10" x14ac:dyDescent="0.35">
      <c r="A2473">
        <v>2457</v>
      </c>
      <c r="B2473" s="75">
        <v>89.59</v>
      </c>
      <c r="C2473" s="75">
        <v>97.03</v>
      </c>
      <c r="D2473" s="75">
        <v>93.42</v>
      </c>
      <c r="E2473" s="75">
        <v>92.84</v>
      </c>
      <c r="F2473">
        <v>-123.09</v>
      </c>
      <c r="G2473">
        <v>1767.7500000000002</v>
      </c>
      <c r="H2473">
        <v>-1198.1999999999998</v>
      </c>
      <c r="I2473">
        <v>537.6</v>
      </c>
      <c r="J2473">
        <v>984.06000000000051</v>
      </c>
    </row>
    <row r="2474" spans="1:10" x14ac:dyDescent="0.35">
      <c r="A2474">
        <v>2458</v>
      </c>
      <c r="B2474" s="75">
        <v>89.855199999999996</v>
      </c>
      <c r="C2474" s="75">
        <v>97.784199999999998</v>
      </c>
      <c r="D2474" s="75">
        <v>92.312100000000001</v>
      </c>
      <c r="E2474" s="75">
        <v>93.196299999999994</v>
      </c>
      <c r="F2474">
        <v>-995.28</v>
      </c>
      <c r="G2474">
        <v>638.55000000000007</v>
      </c>
      <c r="H2474">
        <v>1008</v>
      </c>
      <c r="I2474">
        <v>184.29999999999998</v>
      </c>
      <c r="J2474">
        <v>835.57</v>
      </c>
    </row>
    <row r="2475" spans="1:10" x14ac:dyDescent="0.35">
      <c r="A2475">
        <v>2459</v>
      </c>
      <c r="B2475" s="75">
        <v>88.81</v>
      </c>
      <c r="C2475" s="75">
        <v>98.54</v>
      </c>
      <c r="D2475" s="75">
        <v>93.54</v>
      </c>
      <c r="E2475" s="75">
        <v>94.69</v>
      </c>
      <c r="F2475">
        <v>2456.19</v>
      </c>
      <c r="G2475">
        <v>-494.25</v>
      </c>
      <c r="H2475">
        <v>-1438</v>
      </c>
      <c r="I2475">
        <v>-1308</v>
      </c>
      <c r="J2475">
        <v>-784.06</v>
      </c>
    </row>
    <row r="2476" spans="1:10" x14ac:dyDescent="0.35">
      <c r="A2476">
        <v>2460</v>
      </c>
      <c r="B2476" s="75">
        <v>89.984999999999999</v>
      </c>
      <c r="C2476" s="75">
        <v>98.564599999999999</v>
      </c>
      <c r="D2476" s="75">
        <v>93.921899999999994</v>
      </c>
      <c r="E2476" s="75">
        <v>91.825000000000003</v>
      </c>
      <c r="F2476">
        <v>-1423.6200000000001</v>
      </c>
      <c r="G2476">
        <v>-532.05000000000007</v>
      </c>
      <c r="H2476">
        <v>-2211.6</v>
      </c>
      <c r="I2476">
        <v>1555.6000000000001</v>
      </c>
      <c r="J2476">
        <v>-2611.67</v>
      </c>
    </row>
    <row r="2477" spans="1:10" x14ac:dyDescent="0.35">
      <c r="A2477">
        <v>2461</v>
      </c>
      <c r="B2477" s="75">
        <v>90.5</v>
      </c>
      <c r="C2477" s="75">
        <v>98.95</v>
      </c>
      <c r="D2477" s="75">
        <v>94.73</v>
      </c>
      <c r="E2477" s="75">
        <v>93.85</v>
      </c>
      <c r="F2477">
        <v>-3136.65</v>
      </c>
      <c r="G2477">
        <v>-1110.3</v>
      </c>
      <c r="H2477">
        <v>-3820.2</v>
      </c>
      <c r="I2477">
        <v>-465.3</v>
      </c>
      <c r="J2477">
        <v>-8532.4499999999989</v>
      </c>
    </row>
    <row r="2478" spans="1:10" x14ac:dyDescent="0.35">
      <c r="A2478">
        <v>2462</v>
      </c>
      <c r="B2478" s="75">
        <v>90.080200000000005</v>
      </c>
      <c r="C2478" s="75">
        <v>97.214500000000001</v>
      </c>
      <c r="D2478" s="75">
        <v>93.343299999999999</v>
      </c>
      <c r="E2478" s="75">
        <v>90.160499999999999</v>
      </c>
      <c r="F2478">
        <v>-1737.7799999999997</v>
      </c>
      <c r="G2478">
        <v>1493.1</v>
      </c>
      <c r="H2478">
        <v>-1054.4000000000001</v>
      </c>
      <c r="I2478">
        <v>3220.1</v>
      </c>
      <c r="J2478">
        <v>1921.02</v>
      </c>
    </row>
    <row r="2479" spans="1:10" x14ac:dyDescent="0.35">
      <c r="A2479">
        <v>2463</v>
      </c>
      <c r="B2479" s="75">
        <v>90.1</v>
      </c>
      <c r="C2479" s="75">
        <v>97.92</v>
      </c>
      <c r="D2479" s="75">
        <v>93.52</v>
      </c>
      <c r="E2479" s="75">
        <v>94.05</v>
      </c>
      <c r="F2479">
        <v>-1788.6000000000001</v>
      </c>
      <c r="G2479">
        <v>436.49999999999994</v>
      </c>
      <c r="H2479">
        <v>-1414.4</v>
      </c>
      <c r="I2479">
        <v>-669.1</v>
      </c>
      <c r="J2479">
        <v>-3435.6</v>
      </c>
    </row>
    <row r="2480" spans="1:10" x14ac:dyDescent="0.35">
      <c r="A2480">
        <v>2464</v>
      </c>
      <c r="B2480" s="75">
        <v>90.289199999999994</v>
      </c>
      <c r="C2480" s="75">
        <v>96.3583</v>
      </c>
      <c r="D2480" s="75">
        <v>92.809200000000004</v>
      </c>
      <c r="E2480" s="75">
        <v>92.160300000000007</v>
      </c>
      <c r="F2480">
        <v>-2427.48</v>
      </c>
      <c r="G2480">
        <v>2777.4</v>
      </c>
      <c r="H2480">
        <v>13.799999999999999</v>
      </c>
      <c r="I2480">
        <v>1220.3</v>
      </c>
      <c r="J2480">
        <v>1584.02</v>
      </c>
    </row>
    <row r="2481" spans="1:10" x14ac:dyDescent="0.35">
      <c r="A2481">
        <v>2465</v>
      </c>
      <c r="B2481" s="75">
        <v>89.73</v>
      </c>
      <c r="C2481" s="75">
        <v>97.25</v>
      </c>
      <c r="D2481" s="75">
        <v>92.65</v>
      </c>
      <c r="E2481" s="75">
        <v>94.12</v>
      </c>
      <c r="F2481">
        <v>-572.22</v>
      </c>
      <c r="G2481">
        <v>1443</v>
      </c>
      <c r="H2481">
        <v>339.4</v>
      </c>
      <c r="I2481">
        <v>-743.5</v>
      </c>
      <c r="J2481">
        <v>466.67999999999984</v>
      </c>
    </row>
    <row r="2482" spans="1:10" x14ac:dyDescent="0.35">
      <c r="A2482">
        <v>2466</v>
      </c>
      <c r="B2482" s="75">
        <v>89.775999999999996</v>
      </c>
      <c r="C2482" s="75">
        <v>97.636399999999995</v>
      </c>
      <c r="D2482" s="75">
        <v>93.868499999999997</v>
      </c>
      <c r="E2482" s="75">
        <v>95.258499999999998</v>
      </c>
      <c r="F2482">
        <v>-733.92</v>
      </c>
      <c r="G2482">
        <v>860.25</v>
      </c>
      <c r="H2482">
        <v>-2104.8000000000002</v>
      </c>
      <c r="I2482">
        <v>-1877.8999999999999</v>
      </c>
      <c r="J2482">
        <v>-3856.37</v>
      </c>
    </row>
    <row r="2483" spans="1:10" x14ac:dyDescent="0.35">
      <c r="A2483">
        <v>2467</v>
      </c>
      <c r="B2483" s="75">
        <v>89.75</v>
      </c>
      <c r="C2483" s="75">
        <v>97.39</v>
      </c>
      <c r="D2483" s="75">
        <v>92.67</v>
      </c>
      <c r="E2483" s="75">
        <v>95.15</v>
      </c>
      <c r="F2483">
        <v>-649.77</v>
      </c>
      <c r="G2483">
        <v>1226.55</v>
      </c>
      <c r="H2483">
        <v>292.39999999999998</v>
      </c>
      <c r="I2483">
        <v>-1767.5</v>
      </c>
      <c r="J2483">
        <v>-898.32</v>
      </c>
    </row>
    <row r="2484" spans="1:10" x14ac:dyDescent="0.35">
      <c r="A2484">
        <v>2468</v>
      </c>
      <c r="B2484" s="75">
        <v>88.441100000000006</v>
      </c>
      <c r="C2484" s="75">
        <v>98.64</v>
      </c>
      <c r="D2484" s="75">
        <v>92.022300000000001</v>
      </c>
      <c r="E2484" s="75">
        <v>95.748000000000005</v>
      </c>
      <c r="F2484">
        <v>3671.25</v>
      </c>
      <c r="G2484">
        <v>-645.15</v>
      </c>
      <c r="H2484">
        <v>1587.6</v>
      </c>
      <c r="I2484">
        <v>-2367.4</v>
      </c>
      <c r="J2484">
        <v>2246.2999999999997</v>
      </c>
    </row>
    <row r="2485" spans="1:10" x14ac:dyDescent="0.35">
      <c r="A2485">
        <v>2469</v>
      </c>
      <c r="B2485" s="75">
        <v>89.44</v>
      </c>
      <c r="C2485" s="75">
        <v>100.01</v>
      </c>
      <c r="D2485" s="75">
        <v>91.82</v>
      </c>
      <c r="E2485" s="75">
        <v>95.78</v>
      </c>
      <c r="F2485">
        <v>384.45000000000005</v>
      </c>
      <c r="G2485">
        <v>-2694.15</v>
      </c>
      <c r="H2485">
        <v>1997.2</v>
      </c>
      <c r="I2485">
        <v>-2395.9</v>
      </c>
      <c r="J2485">
        <v>-2708.3999999999996</v>
      </c>
    </row>
    <row r="2486" spans="1:10" x14ac:dyDescent="0.35">
      <c r="A2486">
        <v>2470</v>
      </c>
      <c r="B2486" s="75">
        <v>89.542000000000002</v>
      </c>
      <c r="C2486" s="75">
        <v>97.961500000000001</v>
      </c>
      <c r="D2486" s="75">
        <v>93.335700000000003</v>
      </c>
      <c r="E2486" s="75">
        <v>90.723500000000001</v>
      </c>
      <c r="F2486">
        <v>38.279999999999994</v>
      </c>
      <c r="G2486">
        <v>372.6</v>
      </c>
      <c r="H2486">
        <v>-1039.1999999999998</v>
      </c>
      <c r="I2486">
        <v>2657.1</v>
      </c>
      <c r="J2486">
        <v>2028.7800000000002</v>
      </c>
    </row>
    <row r="2487" spans="1:10" x14ac:dyDescent="0.35">
      <c r="A2487">
        <v>2471</v>
      </c>
      <c r="B2487" s="75">
        <v>89.35</v>
      </c>
      <c r="C2487" s="75">
        <v>97.79</v>
      </c>
      <c r="D2487" s="75">
        <v>92.29</v>
      </c>
      <c r="E2487" s="75">
        <v>93.53</v>
      </c>
      <c r="F2487">
        <v>680.13</v>
      </c>
      <c r="G2487">
        <v>633.75</v>
      </c>
      <c r="H2487">
        <v>1055.3999999999999</v>
      </c>
      <c r="I2487">
        <v>-153.4</v>
      </c>
      <c r="J2487">
        <v>2215.8799999999997</v>
      </c>
    </row>
    <row r="2488" spans="1:10" x14ac:dyDescent="0.35">
      <c r="A2488">
        <v>2472</v>
      </c>
      <c r="B2488" s="75">
        <v>89.073099999999997</v>
      </c>
      <c r="C2488" s="75">
        <v>98.399199999999993</v>
      </c>
      <c r="D2488" s="75">
        <v>93.4208</v>
      </c>
      <c r="E2488" s="75">
        <v>92.984899999999996</v>
      </c>
      <c r="F2488">
        <v>1585.6499999999999</v>
      </c>
      <c r="G2488">
        <v>-283.95</v>
      </c>
      <c r="H2488">
        <v>-1209.4000000000001</v>
      </c>
      <c r="I2488">
        <v>395.7</v>
      </c>
      <c r="J2488">
        <v>487.99999999999972</v>
      </c>
    </row>
    <row r="2489" spans="1:10" x14ac:dyDescent="0.35">
      <c r="A2489">
        <v>2473</v>
      </c>
      <c r="B2489" s="75">
        <v>89.18</v>
      </c>
      <c r="C2489" s="75">
        <v>98.27</v>
      </c>
      <c r="D2489" s="75">
        <v>91.65</v>
      </c>
      <c r="E2489" s="75">
        <v>94.88</v>
      </c>
      <c r="F2489">
        <v>1227.93</v>
      </c>
      <c r="G2489">
        <v>-89.7</v>
      </c>
      <c r="H2489">
        <v>2328.3999999999996</v>
      </c>
      <c r="I2489">
        <v>-1501.2</v>
      </c>
      <c r="J2489">
        <v>1965.4299999999996</v>
      </c>
    </row>
    <row r="2490" spans="1:10" x14ac:dyDescent="0.35">
      <c r="A2490">
        <v>2474</v>
      </c>
      <c r="B2490" s="75">
        <v>89.826800000000006</v>
      </c>
      <c r="C2490" s="75">
        <v>99.161100000000005</v>
      </c>
      <c r="D2490" s="75">
        <v>93.5184</v>
      </c>
      <c r="E2490" s="75">
        <v>93.111900000000006</v>
      </c>
      <c r="F2490">
        <v>-901.56</v>
      </c>
      <c r="G2490">
        <v>-1426.8000000000002</v>
      </c>
      <c r="H2490">
        <v>-1404.6000000000001</v>
      </c>
      <c r="I2490">
        <v>268.7</v>
      </c>
      <c r="J2490">
        <v>-3464.26</v>
      </c>
    </row>
    <row r="2491" spans="1:10" x14ac:dyDescent="0.35">
      <c r="A2491">
        <v>2475</v>
      </c>
      <c r="B2491" s="75">
        <v>89.49</v>
      </c>
      <c r="C2491" s="75">
        <v>97.95</v>
      </c>
      <c r="D2491" s="75">
        <v>94.69</v>
      </c>
      <c r="E2491" s="75">
        <v>95.37</v>
      </c>
      <c r="F2491">
        <v>197.34</v>
      </c>
      <c r="G2491">
        <v>395.4</v>
      </c>
      <c r="H2491">
        <v>-3738</v>
      </c>
      <c r="I2491">
        <v>-1988.8999999999999</v>
      </c>
      <c r="J2491">
        <v>-5134.16</v>
      </c>
    </row>
    <row r="2492" spans="1:10" x14ac:dyDescent="0.35">
      <c r="A2492">
        <v>2476</v>
      </c>
      <c r="B2492" s="75">
        <v>88.763599999999997</v>
      </c>
      <c r="C2492" s="75">
        <v>96.878399999999999</v>
      </c>
      <c r="D2492" s="75">
        <v>93.481300000000005</v>
      </c>
      <c r="E2492" s="75">
        <v>93.363299999999995</v>
      </c>
      <c r="F2492">
        <v>2607</v>
      </c>
      <c r="G2492">
        <v>1997.2499999999998</v>
      </c>
      <c r="H2492">
        <v>-1330.4</v>
      </c>
      <c r="I2492">
        <v>17.3</v>
      </c>
      <c r="J2492">
        <v>3291.15</v>
      </c>
    </row>
    <row r="2493" spans="1:10" x14ac:dyDescent="0.35">
      <c r="A2493">
        <v>2477</v>
      </c>
      <c r="B2493" s="75">
        <v>91.04</v>
      </c>
      <c r="C2493" s="75">
        <v>97.5</v>
      </c>
      <c r="D2493" s="75">
        <v>91.91</v>
      </c>
      <c r="E2493" s="75">
        <v>93</v>
      </c>
      <c r="F2493">
        <v>-4890.93</v>
      </c>
      <c r="G2493">
        <v>1058.1000000000001</v>
      </c>
      <c r="H2493">
        <v>1802.6</v>
      </c>
      <c r="I2493">
        <v>379.7</v>
      </c>
      <c r="J2493">
        <v>-1650.53</v>
      </c>
    </row>
    <row r="2494" spans="1:10" x14ac:dyDescent="0.35">
      <c r="A2494">
        <v>2478</v>
      </c>
      <c r="B2494" s="75">
        <v>90.3964</v>
      </c>
      <c r="C2494" s="75">
        <v>98.8232</v>
      </c>
      <c r="D2494" s="75">
        <v>93.231399999999994</v>
      </c>
      <c r="E2494" s="75">
        <v>93.525400000000005</v>
      </c>
      <c r="F2494">
        <v>-2781.24</v>
      </c>
      <c r="G2494">
        <v>-919.94999999999993</v>
      </c>
      <c r="H2494">
        <v>-830.6</v>
      </c>
      <c r="I2494">
        <v>-144.80000000000001</v>
      </c>
      <c r="J2494">
        <v>-4676.59</v>
      </c>
    </row>
    <row r="2495" spans="1:10" x14ac:dyDescent="0.35">
      <c r="A2495">
        <v>2479</v>
      </c>
      <c r="B2495" s="75">
        <v>88.85</v>
      </c>
      <c r="C2495" s="75">
        <v>98.06</v>
      </c>
      <c r="D2495" s="75">
        <v>93.9</v>
      </c>
      <c r="E2495" s="75">
        <v>93.94</v>
      </c>
      <c r="F2495">
        <v>2317.59</v>
      </c>
      <c r="G2495">
        <v>220.79999999999998</v>
      </c>
      <c r="H2495">
        <v>-2175.8000000000002</v>
      </c>
      <c r="I2495">
        <v>-558.6</v>
      </c>
      <c r="J2495">
        <v>-196.00999999999988</v>
      </c>
    </row>
    <row r="2496" spans="1:10" x14ac:dyDescent="0.35">
      <c r="A2496">
        <v>2480</v>
      </c>
      <c r="B2496" s="75">
        <v>89.533299999999997</v>
      </c>
      <c r="C2496" s="75">
        <v>97.999099999999999</v>
      </c>
      <c r="D2496" s="75">
        <v>93.457499999999996</v>
      </c>
      <c r="E2496" s="75">
        <v>93.849599999999995</v>
      </c>
      <c r="F2496">
        <v>66.989999999999995</v>
      </c>
      <c r="G2496">
        <v>316.2</v>
      </c>
      <c r="H2496">
        <v>-1282.8</v>
      </c>
      <c r="I2496">
        <v>-469</v>
      </c>
      <c r="J2496">
        <v>-1368.61</v>
      </c>
    </row>
    <row r="2497" spans="1:10" x14ac:dyDescent="0.35">
      <c r="A2497">
        <v>2481</v>
      </c>
      <c r="B2497" s="75">
        <v>89.28</v>
      </c>
      <c r="C2497" s="75">
        <v>99.68</v>
      </c>
      <c r="D2497" s="75">
        <v>92.37</v>
      </c>
      <c r="E2497" s="75">
        <v>95.12</v>
      </c>
      <c r="F2497">
        <v>905.85</v>
      </c>
      <c r="G2497">
        <v>-2212.0499999999997</v>
      </c>
      <c r="H2497">
        <v>888.80000000000007</v>
      </c>
      <c r="I2497">
        <v>-1734.9</v>
      </c>
      <c r="J2497">
        <v>-2152.2999999999997</v>
      </c>
    </row>
    <row r="2498" spans="1:10" x14ac:dyDescent="0.35">
      <c r="A2498">
        <v>2482</v>
      </c>
      <c r="B2498" s="75">
        <v>89.691800000000001</v>
      </c>
      <c r="C2498" s="75">
        <v>98.416700000000006</v>
      </c>
      <c r="D2498" s="75">
        <v>93.738</v>
      </c>
      <c r="E2498" s="75">
        <v>93.530199999999994</v>
      </c>
      <c r="F2498">
        <v>-456.05999999999995</v>
      </c>
      <c r="G2498">
        <v>-310.20000000000005</v>
      </c>
      <c r="H2498">
        <v>-1843.8000000000002</v>
      </c>
      <c r="I2498">
        <v>-149.60000000000002</v>
      </c>
      <c r="J2498">
        <v>-2759.6600000000003</v>
      </c>
    </row>
    <row r="2499" spans="1:10" x14ac:dyDescent="0.35">
      <c r="A2499">
        <v>2483</v>
      </c>
      <c r="B2499" s="75">
        <v>90.28</v>
      </c>
      <c r="C2499" s="75">
        <v>98.56</v>
      </c>
      <c r="D2499" s="75">
        <v>91.84</v>
      </c>
      <c r="E2499" s="75">
        <v>91.42</v>
      </c>
      <c r="F2499">
        <v>-2397.1200000000003</v>
      </c>
      <c r="G2499">
        <v>-532.35</v>
      </c>
      <c r="H2499">
        <v>1953.6</v>
      </c>
      <c r="I2499">
        <v>1963.9</v>
      </c>
      <c r="J2499">
        <v>988.02999999999975</v>
      </c>
    </row>
    <row r="2500" spans="1:10" x14ac:dyDescent="0.35">
      <c r="A2500">
        <v>2484</v>
      </c>
      <c r="B2500" s="75">
        <v>88.76</v>
      </c>
      <c r="C2500" s="75">
        <v>100.068</v>
      </c>
      <c r="D2500" s="75">
        <v>91.642099999999999</v>
      </c>
      <c r="E2500" s="75">
        <v>92.664599999999993</v>
      </c>
      <c r="F2500">
        <v>2618.88</v>
      </c>
      <c r="G2500">
        <v>-2787.15</v>
      </c>
      <c r="H2500">
        <v>2348</v>
      </c>
      <c r="I2500">
        <v>716</v>
      </c>
      <c r="J2500">
        <v>2895.73</v>
      </c>
    </row>
    <row r="2501" spans="1:10" x14ac:dyDescent="0.35">
      <c r="A2501">
        <v>2485</v>
      </c>
      <c r="B2501" s="75">
        <v>89.07</v>
      </c>
      <c r="C2501" s="75">
        <v>97.09</v>
      </c>
      <c r="D2501" s="75">
        <v>93.11</v>
      </c>
      <c r="E2501" s="75">
        <v>94.52</v>
      </c>
      <c r="F2501">
        <v>1582.02</v>
      </c>
      <c r="G2501">
        <v>1673.55</v>
      </c>
      <c r="H2501">
        <v>-581.4</v>
      </c>
      <c r="I2501">
        <v>-1136.4000000000001</v>
      </c>
      <c r="J2501">
        <v>1537.7699999999995</v>
      </c>
    </row>
    <row r="2502" spans="1:10" x14ac:dyDescent="0.35">
      <c r="A2502">
        <v>2486</v>
      </c>
      <c r="B2502" s="75">
        <v>88.704400000000007</v>
      </c>
      <c r="C2502" s="75">
        <v>98.657600000000002</v>
      </c>
      <c r="D2502" s="75">
        <v>94.040899999999993</v>
      </c>
      <c r="E2502" s="75">
        <v>93.844300000000004</v>
      </c>
      <c r="F2502">
        <v>2802.3599999999997</v>
      </c>
      <c r="G2502">
        <v>-671.55</v>
      </c>
      <c r="H2502">
        <v>-2449.6000000000004</v>
      </c>
      <c r="I2502">
        <v>-463.7</v>
      </c>
      <c r="J2502">
        <v>-782.49000000000092</v>
      </c>
    </row>
    <row r="2503" spans="1:10" x14ac:dyDescent="0.35">
      <c r="A2503">
        <v>2487</v>
      </c>
      <c r="B2503" s="75">
        <v>88.92</v>
      </c>
      <c r="C2503" s="75">
        <v>98.39</v>
      </c>
      <c r="D2503" s="75">
        <v>91.1</v>
      </c>
      <c r="E2503" s="75">
        <v>94.57</v>
      </c>
      <c r="F2503">
        <v>2085.27</v>
      </c>
      <c r="G2503">
        <v>-276.15000000000003</v>
      </c>
      <c r="H2503">
        <v>3442</v>
      </c>
      <c r="I2503">
        <v>-1193.8</v>
      </c>
      <c r="J2503">
        <v>4057.3199999999997</v>
      </c>
    </row>
    <row r="2504" spans="1:10" x14ac:dyDescent="0.35">
      <c r="A2504">
        <v>2488</v>
      </c>
      <c r="B2504" s="75">
        <v>88.971100000000007</v>
      </c>
      <c r="C2504" s="75">
        <v>98.762299999999996</v>
      </c>
      <c r="D2504" s="75">
        <v>93.288399999999996</v>
      </c>
      <c r="E2504" s="75">
        <v>94.531499999999994</v>
      </c>
      <c r="F2504">
        <v>1922.25</v>
      </c>
      <c r="G2504">
        <v>-828.6</v>
      </c>
      <c r="H2504">
        <v>-944.6</v>
      </c>
      <c r="I2504">
        <v>-1150.9000000000001</v>
      </c>
      <c r="J2504">
        <v>-1001.85</v>
      </c>
    </row>
    <row r="2505" spans="1:10" x14ac:dyDescent="0.35">
      <c r="A2505">
        <v>2489</v>
      </c>
      <c r="B2505" s="75">
        <v>89.69</v>
      </c>
      <c r="C2505" s="75">
        <v>98.9</v>
      </c>
      <c r="D2505" s="75">
        <v>92.07</v>
      </c>
      <c r="E2505" s="75">
        <v>93.2</v>
      </c>
      <c r="F2505">
        <v>-438.24</v>
      </c>
      <c r="G2505">
        <v>-1031.7</v>
      </c>
      <c r="H2505">
        <v>1488.3999999999999</v>
      </c>
      <c r="I2505">
        <v>181.10000000000002</v>
      </c>
      <c r="J2505">
        <v>199.55999999999983</v>
      </c>
    </row>
    <row r="2506" spans="1:10" x14ac:dyDescent="0.35">
      <c r="A2506">
        <v>2490</v>
      </c>
      <c r="B2506" s="75">
        <v>89.577799999999996</v>
      </c>
      <c r="C2506" s="75">
        <v>99.88</v>
      </c>
      <c r="D2506" s="75">
        <v>93.469200000000001</v>
      </c>
      <c r="E2506" s="75">
        <v>94.593800000000002</v>
      </c>
      <c r="F2506">
        <v>-79.86</v>
      </c>
      <c r="G2506">
        <v>-2505.15</v>
      </c>
      <c r="H2506">
        <v>-1306.2</v>
      </c>
      <c r="I2506">
        <v>-1213.2</v>
      </c>
      <c r="J2506">
        <v>-5104.41</v>
      </c>
    </row>
    <row r="2507" spans="1:10" x14ac:dyDescent="0.35">
      <c r="A2507">
        <v>2491</v>
      </c>
      <c r="B2507" s="75">
        <v>89.5</v>
      </c>
      <c r="C2507" s="75">
        <v>97.94</v>
      </c>
      <c r="D2507" s="75">
        <v>93.93</v>
      </c>
      <c r="E2507" s="75">
        <v>91.86</v>
      </c>
      <c r="F2507">
        <v>168.96</v>
      </c>
      <c r="G2507">
        <v>405.90000000000003</v>
      </c>
      <c r="H2507">
        <v>-2237.4</v>
      </c>
      <c r="I2507">
        <v>1517.7</v>
      </c>
      <c r="J2507">
        <v>-144.83999999999992</v>
      </c>
    </row>
    <row r="2508" spans="1:10" x14ac:dyDescent="0.35">
      <c r="A2508">
        <v>2492</v>
      </c>
      <c r="B2508" s="75">
        <v>89.437399999999997</v>
      </c>
      <c r="C2508" s="75">
        <v>97.594899999999996</v>
      </c>
      <c r="D2508" s="75">
        <v>91.987099999999998</v>
      </c>
      <c r="E2508" s="75">
        <v>93.869600000000005</v>
      </c>
      <c r="F2508">
        <v>383.46</v>
      </c>
      <c r="G2508">
        <v>922.5</v>
      </c>
      <c r="H2508">
        <v>1658</v>
      </c>
      <c r="I2508">
        <v>-489</v>
      </c>
      <c r="J2508">
        <v>2474.96</v>
      </c>
    </row>
    <row r="2509" spans="1:10" x14ac:dyDescent="0.35">
      <c r="A2509">
        <v>2493</v>
      </c>
      <c r="B2509" s="75">
        <v>90.17</v>
      </c>
      <c r="C2509" s="75">
        <v>97.93</v>
      </c>
      <c r="D2509" s="75">
        <v>91.68</v>
      </c>
      <c r="E2509" s="75">
        <v>94.43</v>
      </c>
      <c r="F2509">
        <v>-2033.1299999999999</v>
      </c>
      <c r="G2509">
        <v>416.55</v>
      </c>
      <c r="H2509">
        <v>2273</v>
      </c>
      <c r="I2509">
        <v>-1046.4000000000001</v>
      </c>
      <c r="J2509">
        <v>-389.98</v>
      </c>
    </row>
    <row r="2510" spans="1:10" x14ac:dyDescent="0.35">
      <c r="A2510">
        <v>2494</v>
      </c>
      <c r="B2510" s="75">
        <v>89.053700000000006</v>
      </c>
      <c r="C2510" s="75">
        <v>98.220100000000002</v>
      </c>
      <c r="D2510" s="75">
        <v>92.937700000000007</v>
      </c>
      <c r="E2510" s="75">
        <v>96.404600000000002</v>
      </c>
      <c r="F2510">
        <v>1649.67</v>
      </c>
      <c r="G2510">
        <v>-15.3</v>
      </c>
      <c r="H2510">
        <v>-243.2</v>
      </c>
      <c r="I2510">
        <v>-3024</v>
      </c>
      <c r="J2510">
        <v>-1632.83</v>
      </c>
    </row>
    <row r="2511" spans="1:10" x14ac:dyDescent="0.35">
      <c r="A2511">
        <v>2495</v>
      </c>
      <c r="B2511" s="75">
        <v>89.72</v>
      </c>
      <c r="C2511" s="75">
        <v>98.33</v>
      </c>
      <c r="D2511" s="75">
        <v>94.58</v>
      </c>
      <c r="E2511" s="75">
        <v>93.96</v>
      </c>
      <c r="F2511">
        <v>-556.38</v>
      </c>
      <c r="G2511">
        <v>-184.5</v>
      </c>
      <c r="H2511">
        <v>-3528.2</v>
      </c>
      <c r="I2511">
        <v>-582.9</v>
      </c>
      <c r="J2511">
        <v>-4851.9799999999996</v>
      </c>
    </row>
    <row r="2512" spans="1:10" x14ac:dyDescent="0.35">
      <c r="A2512">
        <v>2496</v>
      </c>
      <c r="B2512" s="75">
        <v>89.829099999999997</v>
      </c>
      <c r="C2512" s="75">
        <v>97.849000000000004</v>
      </c>
      <c r="D2512" s="75">
        <v>94.1828</v>
      </c>
      <c r="E2512" s="75">
        <v>92.742000000000004</v>
      </c>
      <c r="F2512">
        <v>-909.15000000000009</v>
      </c>
      <c r="G2512">
        <v>541.35</v>
      </c>
      <c r="H2512">
        <v>-2733.4</v>
      </c>
      <c r="I2512">
        <v>638.59999999999991</v>
      </c>
      <c r="J2512">
        <v>-2462.6000000000004</v>
      </c>
    </row>
    <row r="2513" spans="1:10" x14ac:dyDescent="0.35">
      <c r="A2513">
        <v>2497</v>
      </c>
      <c r="B2513" s="75">
        <v>88.62</v>
      </c>
      <c r="C2513" s="75">
        <v>97.85</v>
      </c>
      <c r="D2513" s="75">
        <v>93.74</v>
      </c>
      <c r="E2513" s="75">
        <v>94.87</v>
      </c>
      <c r="F2513">
        <v>3096.7200000000003</v>
      </c>
      <c r="G2513">
        <v>535.35</v>
      </c>
      <c r="H2513">
        <v>-1846</v>
      </c>
      <c r="I2513">
        <v>-1493.8</v>
      </c>
      <c r="J2513">
        <v>292.27000000000021</v>
      </c>
    </row>
    <row r="2514" spans="1:10" x14ac:dyDescent="0.35">
      <c r="A2514">
        <v>2498</v>
      </c>
      <c r="B2514" s="75">
        <v>89.369799999999998</v>
      </c>
      <c r="C2514" s="75">
        <v>98.564599999999999</v>
      </c>
      <c r="D2514" s="75">
        <v>91.155900000000003</v>
      </c>
      <c r="E2514" s="75">
        <v>94.081000000000003</v>
      </c>
      <c r="F2514">
        <v>606.54</v>
      </c>
      <c r="G2514">
        <v>-532.05000000000007</v>
      </c>
      <c r="H2514">
        <v>3320.3999999999996</v>
      </c>
      <c r="I2514">
        <v>-700.4</v>
      </c>
      <c r="J2514">
        <v>2694.4899999999993</v>
      </c>
    </row>
    <row r="2515" spans="1:10" x14ac:dyDescent="0.35">
      <c r="A2515">
        <v>2499</v>
      </c>
      <c r="B2515" s="75">
        <v>89.98</v>
      </c>
      <c r="C2515" s="75">
        <v>98.21</v>
      </c>
      <c r="D2515" s="75">
        <v>92.19</v>
      </c>
      <c r="E2515" s="75">
        <v>93.33</v>
      </c>
      <c r="F2515">
        <v>-1423.29</v>
      </c>
      <c r="G2515">
        <v>-3.75</v>
      </c>
      <c r="H2515">
        <v>1250.5999999999999</v>
      </c>
      <c r="I2515">
        <v>46.9</v>
      </c>
      <c r="J2515">
        <v>-129.54000000000005</v>
      </c>
    </row>
    <row r="2516" spans="1:10" x14ac:dyDescent="0.35">
      <c r="A2516">
        <v>2500</v>
      </c>
      <c r="B2516" s="75">
        <v>89.922399999999996</v>
      </c>
      <c r="C2516" s="75">
        <v>97.41</v>
      </c>
      <c r="D2516" s="75">
        <v>91.632000000000005</v>
      </c>
      <c r="E2516" s="75">
        <v>94.781000000000006</v>
      </c>
      <c r="F2516">
        <v>-1217.04</v>
      </c>
      <c r="G2516">
        <v>1199.8500000000001</v>
      </c>
      <c r="H2516">
        <v>2368.1999999999998</v>
      </c>
      <c r="I2516">
        <v>-1400.4</v>
      </c>
      <c r="J2516">
        <v>950.61000000000013</v>
      </c>
    </row>
    <row r="2517" spans="1:10" x14ac:dyDescent="0.35">
      <c r="A2517">
        <v>2501</v>
      </c>
      <c r="B2517" s="75">
        <v>88.86</v>
      </c>
      <c r="C2517" s="75">
        <v>97.72</v>
      </c>
      <c r="D2517" s="75">
        <v>93.98</v>
      </c>
      <c r="E2517" s="75">
        <v>94.21</v>
      </c>
      <c r="F2517">
        <v>2279.31</v>
      </c>
      <c r="G2517">
        <v>738.45</v>
      </c>
      <c r="H2517">
        <v>-2333.4</v>
      </c>
      <c r="I2517">
        <v>-830.8</v>
      </c>
      <c r="J2517">
        <v>-146.43999999999983</v>
      </c>
    </row>
    <row r="2518" spans="1:10" x14ac:dyDescent="0.35">
      <c r="A2518">
        <v>2502</v>
      </c>
      <c r="B2518" s="75">
        <v>90.307000000000002</v>
      </c>
      <c r="C2518" s="75">
        <v>97.861800000000002</v>
      </c>
      <c r="D2518" s="75">
        <v>93.405299999999997</v>
      </c>
      <c r="E2518" s="75">
        <v>93.556700000000006</v>
      </c>
      <c r="F2518">
        <v>-2486.2199999999998</v>
      </c>
      <c r="G2518">
        <v>522.15</v>
      </c>
      <c r="H2518">
        <v>-1178.3999999999999</v>
      </c>
      <c r="I2518">
        <v>-176.1</v>
      </c>
      <c r="J2518">
        <v>-3318.5699999999993</v>
      </c>
    </row>
    <row r="2519" spans="1:10" x14ac:dyDescent="0.35">
      <c r="A2519">
        <v>2503</v>
      </c>
      <c r="B2519" s="75">
        <v>89.82</v>
      </c>
      <c r="C2519" s="75">
        <v>98.69</v>
      </c>
      <c r="D2519" s="75">
        <v>92.52</v>
      </c>
      <c r="E2519" s="75">
        <v>92.28</v>
      </c>
      <c r="F2519">
        <v>-888.03</v>
      </c>
      <c r="G2519">
        <v>-715.5</v>
      </c>
      <c r="H2519">
        <v>595</v>
      </c>
      <c r="I2519">
        <v>1099.9000000000001</v>
      </c>
      <c r="J2519">
        <v>91.370000000000118</v>
      </c>
    </row>
    <row r="2520" spans="1:10" x14ac:dyDescent="0.35">
      <c r="A2520">
        <v>2504</v>
      </c>
      <c r="B2520" s="75">
        <v>89.656400000000005</v>
      </c>
      <c r="C2520" s="75">
        <v>99.011899999999997</v>
      </c>
      <c r="D2520" s="75">
        <v>94.456000000000003</v>
      </c>
      <c r="E2520" s="75">
        <v>93.117999999999995</v>
      </c>
      <c r="F2520">
        <v>-339.24</v>
      </c>
      <c r="G2520">
        <v>-1203</v>
      </c>
      <c r="H2520">
        <v>-3279.7999999999997</v>
      </c>
      <c r="I2520">
        <v>262.60000000000002</v>
      </c>
      <c r="J2520">
        <v>-4559.4399999999996</v>
      </c>
    </row>
    <row r="2521" spans="1:10" x14ac:dyDescent="0.35">
      <c r="A2521">
        <v>2505</v>
      </c>
      <c r="B2521" s="75">
        <v>90.54</v>
      </c>
      <c r="C2521" s="75">
        <v>99.22</v>
      </c>
      <c r="D2521" s="75">
        <v>93.07</v>
      </c>
      <c r="E2521" s="75">
        <v>92.83</v>
      </c>
      <c r="F2521">
        <v>-3269.31</v>
      </c>
      <c r="G2521">
        <v>-1519.1999999999998</v>
      </c>
      <c r="H2521">
        <v>-510</v>
      </c>
      <c r="I2521">
        <v>554.5</v>
      </c>
      <c r="J2521">
        <v>-4744.01</v>
      </c>
    </row>
    <row r="2522" spans="1:10" x14ac:dyDescent="0.35">
      <c r="A2522">
        <v>2506</v>
      </c>
      <c r="B2522" s="75">
        <v>89.694299999999998</v>
      </c>
      <c r="C2522" s="75">
        <v>99.010800000000003</v>
      </c>
      <c r="D2522" s="75">
        <v>93.132900000000006</v>
      </c>
      <c r="E2522" s="75">
        <v>93.5047</v>
      </c>
      <c r="F2522">
        <v>-464.30999999999995</v>
      </c>
      <c r="G2522">
        <v>-1201.3499999999999</v>
      </c>
      <c r="H2522">
        <v>-633.6</v>
      </c>
      <c r="I2522">
        <v>-124.10000000000001</v>
      </c>
      <c r="J2522">
        <v>-2423.3599999999997</v>
      </c>
    </row>
    <row r="2523" spans="1:10" x14ac:dyDescent="0.35">
      <c r="A2523">
        <v>2507</v>
      </c>
      <c r="B2523" s="75">
        <v>89.69</v>
      </c>
      <c r="C2523" s="75">
        <v>95.77</v>
      </c>
      <c r="D2523" s="75">
        <v>93.53</v>
      </c>
      <c r="E2523" s="75">
        <v>94.26</v>
      </c>
      <c r="F2523">
        <v>-463.98</v>
      </c>
      <c r="G2523">
        <v>3661.65</v>
      </c>
      <c r="H2523">
        <v>-1437.6</v>
      </c>
      <c r="I2523">
        <v>-882.7</v>
      </c>
      <c r="J2523">
        <v>877.37000000000012</v>
      </c>
    </row>
    <row r="2524" spans="1:10" x14ac:dyDescent="0.35">
      <c r="A2524">
        <v>2508</v>
      </c>
      <c r="B2524" s="75">
        <v>89.6768</v>
      </c>
      <c r="C2524" s="75">
        <v>97.827799999999996</v>
      </c>
      <c r="D2524" s="75">
        <v>90.933400000000006</v>
      </c>
      <c r="E2524" s="75">
        <v>93.412700000000001</v>
      </c>
      <c r="F2524">
        <v>-406.56</v>
      </c>
      <c r="G2524">
        <v>573.15</v>
      </c>
      <c r="H2524">
        <v>3765.4</v>
      </c>
      <c r="I2524">
        <v>-32.099999999999994</v>
      </c>
      <c r="J2524">
        <v>3899.8900000000003</v>
      </c>
    </row>
    <row r="2525" spans="1:10" x14ac:dyDescent="0.35">
      <c r="A2525">
        <v>2509</v>
      </c>
      <c r="B2525" s="75">
        <v>89.06</v>
      </c>
      <c r="C2525" s="75">
        <v>98.26</v>
      </c>
      <c r="D2525" s="75">
        <v>92.19</v>
      </c>
      <c r="E2525" s="75">
        <v>93.48</v>
      </c>
      <c r="F2525">
        <v>1629.21</v>
      </c>
      <c r="G2525">
        <v>-71.400000000000006</v>
      </c>
      <c r="H2525">
        <v>1243.8</v>
      </c>
      <c r="I2525">
        <v>-96.4</v>
      </c>
      <c r="J2525">
        <v>2705.2099999999996</v>
      </c>
    </row>
    <row r="2526" spans="1:10" x14ac:dyDescent="0.35">
      <c r="A2526">
        <v>2510</v>
      </c>
      <c r="B2526" s="75">
        <v>90.054500000000004</v>
      </c>
      <c r="C2526" s="75">
        <v>97.985699999999994</v>
      </c>
      <c r="D2526" s="75">
        <v>93.884500000000003</v>
      </c>
      <c r="E2526" s="75">
        <v>91.298500000000004</v>
      </c>
      <c r="F2526">
        <v>-1652.97</v>
      </c>
      <c r="G2526">
        <v>336.3</v>
      </c>
      <c r="H2526">
        <v>-2136.8000000000002</v>
      </c>
      <c r="I2526">
        <v>2082.1</v>
      </c>
      <c r="J2526">
        <v>-1371.3700000000003</v>
      </c>
    </row>
    <row r="2527" spans="1:10" x14ac:dyDescent="0.35">
      <c r="A2527">
        <v>2511</v>
      </c>
      <c r="B2527" s="75">
        <v>89.15</v>
      </c>
      <c r="C2527" s="75">
        <v>99.37</v>
      </c>
      <c r="D2527" s="75">
        <v>90.68</v>
      </c>
      <c r="E2527" s="75">
        <v>95.65</v>
      </c>
      <c r="F2527">
        <v>1339.1399999999999</v>
      </c>
      <c r="G2527">
        <v>-1740.1499999999999</v>
      </c>
      <c r="H2527">
        <v>4262.6000000000004</v>
      </c>
      <c r="I2527">
        <v>-2272.6000000000004</v>
      </c>
      <c r="J2527">
        <v>1588.9899999999998</v>
      </c>
    </row>
    <row r="2528" spans="1:10" x14ac:dyDescent="0.35">
      <c r="A2528">
        <v>2512</v>
      </c>
      <c r="B2528" s="75">
        <v>90.629800000000003</v>
      </c>
      <c r="C2528" s="75">
        <v>97.687700000000007</v>
      </c>
      <c r="D2528" s="75">
        <v>92.987399999999994</v>
      </c>
      <c r="E2528" s="75">
        <v>95.605000000000004</v>
      </c>
      <c r="F2528">
        <v>-3551.46</v>
      </c>
      <c r="G2528">
        <v>783.3</v>
      </c>
      <c r="H2528">
        <v>-342.6</v>
      </c>
      <c r="I2528">
        <v>-2224.4</v>
      </c>
      <c r="J2528">
        <v>-5335.16</v>
      </c>
    </row>
    <row r="2529" spans="1:10" x14ac:dyDescent="0.35">
      <c r="A2529">
        <v>2513</v>
      </c>
      <c r="B2529" s="75">
        <v>90.13</v>
      </c>
      <c r="C2529" s="75">
        <v>98.93</v>
      </c>
      <c r="D2529" s="75">
        <v>92.84</v>
      </c>
      <c r="E2529" s="75">
        <v>95.56</v>
      </c>
      <c r="F2529">
        <v>-1908.0600000000002</v>
      </c>
      <c r="G2529">
        <v>-1077.9000000000001</v>
      </c>
      <c r="H2529">
        <v>-42.4</v>
      </c>
      <c r="I2529">
        <v>-2179.1999999999998</v>
      </c>
      <c r="J2529">
        <v>-5207.5599999999995</v>
      </c>
    </row>
    <row r="2530" spans="1:10" x14ac:dyDescent="0.35">
      <c r="A2530">
        <v>2514</v>
      </c>
      <c r="B2530" s="75">
        <v>90.129099999999994</v>
      </c>
      <c r="C2530" s="75">
        <v>98.680800000000005</v>
      </c>
      <c r="D2530" s="75">
        <v>92.590100000000007</v>
      </c>
      <c r="E2530" s="75">
        <v>92.941699999999997</v>
      </c>
      <c r="F2530">
        <v>-1899.15</v>
      </c>
      <c r="G2530">
        <v>-706.35</v>
      </c>
      <c r="H2530">
        <v>452</v>
      </c>
      <c r="I2530">
        <v>438.90000000000003</v>
      </c>
      <c r="J2530">
        <v>-1714.6</v>
      </c>
    </row>
    <row r="2531" spans="1:10" x14ac:dyDescent="0.35">
      <c r="A2531">
        <v>2515</v>
      </c>
      <c r="B2531" s="75">
        <v>90.27</v>
      </c>
      <c r="C2531" s="75">
        <v>100.08</v>
      </c>
      <c r="D2531" s="75">
        <v>90.61</v>
      </c>
      <c r="E2531" s="75">
        <v>91.81</v>
      </c>
      <c r="F2531">
        <v>-2364.7800000000002</v>
      </c>
      <c r="G2531">
        <v>-2798.1</v>
      </c>
      <c r="H2531">
        <v>4412.6000000000004</v>
      </c>
      <c r="I2531">
        <v>1571.1</v>
      </c>
      <c r="J2531">
        <v>820.82000000000016</v>
      </c>
    </row>
    <row r="2532" spans="1:10" x14ac:dyDescent="0.35">
      <c r="A2532">
        <v>2516</v>
      </c>
      <c r="B2532" s="75">
        <v>89.7226</v>
      </c>
      <c r="C2532" s="75">
        <v>99.808999999999997</v>
      </c>
      <c r="D2532" s="75">
        <v>91.981999999999999</v>
      </c>
      <c r="E2532" s="75">
        <v>91.5124</v>
      </c>
      <c r="F2532">
        <v>-557.70000000000005</v>
      </c>
      <c r="G2532">
        <v>-2398.65</v>
      </c>
      <c r="H2532">
        <v>1668.1999999999998</v>
      </c>
      <c r="I2532">
        <v>1868.2</v>
      </c>
      <c r="J2532">
        <v>580.0499999999995</v>
      </c>
    </row>
    <row r="2533" spans="1:10" x14ac:dyDescent="0.35">
      <c r="A2533">
        <v>2517</v>
      </c>
      <c r="B2533" s="75">
        <v>89.72</v>
      </c>
      <c r="C2533" s="75">
        <v>97.84</v>
      </c>
      <c r="D2533" s="75">
        <v>93.18</v>
      </c>
      <c r="E2533" s="75">
        <v>94.55</v>
      </c>
      <c r="F2533">
        <v>-550.44000000000005</v>
      </c>
      <c r="G2533">
        <v>552.9</v>
      </c>
      <c r="H2533">
        <v>-730</v>
      </c>
      <c r="I2533">
        <v>-1169.7</v>
      </c>
      <c r="J2533">
        <v>-1897.2400000000002</v>
      </c>
    </row>
    <row r="2534" spans="1:10" x14ac:dyDescent="0.35">
      <c r="A2534">
        <v>2518</v>
      </c>
      <c r="B2534" s="75">
        <v>90.225800000000007</v>
      </c>
      <c r="C2534" s="75">
        <v>98.000100000000003</v>
      </c>
      <c r="D2534" s="75">
        <v>91.070099999999996</v>
      </c>
      <c r="E2534" s="75">
        <v>95.669899999999998</v>
      </c>
      <c r="F2534">
        <v>-2218.2600000000002</v>
      </c>
      <c r="G2534">
        <v>314.7</v>
      </c>
      <c r="H2534">
        <v>3492</v>
      </c>
      <c r="I2534">
        <v>-2289.2999999999997</v>
      </c>
      <c r="J2534">
        <v>-700.8599999999999</v>
      </c>
    </row>
    <row r="2535" spans="1:10" x14ac:dyDescent="0.35">
      <c r="A2535">
        <v>2519</v>
      </c>
      <c r="B2535" s="75">
        <v>89.76</v>
      </c>
      <c r="C2535" s="75">
        <v>98.37</v>
      </c>
      <c r="D2535" s="75">
        <v>93.71</v>
      </c>
      <c r="E2535" s="75">
        <v>93.21</v>
      </c>
      <c r="F2535">
        <v>-677.16</v>
      </c>
      <c r="G2535">
        <v>-246.6</v>
      </c>
      <c r="H2535">
        <v>-1794.4</v>
      </c>
      <c r="I2535">
        <v>169.8</v>
      </c>
      <c r="J2535">
        <v>-2548.3599999999997</v>
      </c>
    </row>
    <row r="2536" spans="1:10" x14ac:dyDescent="0.35">
      <c r="A2536">
        <v>2520</v>
      </c>
      <c r="B2536" s="75">
        <v>88.109099999999998</v>
      </c>
      <c r="C2536" s="75">
        <v>97.543800000000005</v>
      </c>
      <c r="D2536" s="75">
        <v>92.355900000000005</v>
      </c>
      <c r="E2536" s="75">
        <v>90.4011</v>
      </c>
      <c r="F2536">
        <v>4766.8499999999995</v>
      </c>
      <c r="G2536">
        <v>999.15000000000009</v>
      </c>
      <c r="H2536">
        <v>920.4</v>
      </c>
      <c r="I2536">
        <v>2979.5</v>
      </c>
      <c r="J2536">
        <v>9665.9</v>
      </c>
    </row>
    <row r="2537" spans="1:10" x14ac:dyDescent="0.35">
      <c r="A2537">
        <v>2521</v>
      </c>
      <c r="B2537" s="75">
        <v>89.88</v>
      </c>
      <c r="C2537" s="75">
        <v>101.21</v>
      </c>
      <c r="D2537" s="75">
        <v>92.69</v>
      </c>
      <c r="E2537" s="75">
        <v>94.24</v>
      </c>
      <c r="F2537">
        <v>-1085.04</v>
      </c>
      <c r="G2537">
        <v>-4500.6000000000004</v>
      </c>
      <c r="H2537">
        <v>249.79999999999998</v>
      </c>
      <c r="I2537">
        <v>-863</v>
      </c>
      <c r="J2537">
        <v>-6198.84</v>
      </c>
    </row>
    <row r="2538" spans="1:10" x14ac:dyDescent="0.35">
      <c r="A2538">
        <v>2522</v>
      </c>
      <c r="B2538" s="75">
        <v>89.367999999999995</v>
      </c>
      <c r="C2538" s="75">
        <v>97.626900000000006</v>
      </c>
      <c r="D2538" s="75">
        <v>94.902500000000003</v>
      </c>
      <c r="E2538" s="75">
        <v>89.968599999999995</v>
      </c>
      <c r="F2538">
        <v>612.4799999999999</v>
      </c>
      <c r="G2538">
        <v>874.5</v>
      </c>
      <c r="H2538">
        <v>-4172.7999999999993</v>
      </c>
      <c r="I2538">
        <v>3412</v>
      </c>
      <c r="J2538">
        <v>726.18000000000075</v>
      </c>
    </row>
    <row r="2539" spans="1:10" x14ac:dyDescent="0.35">
      <c r="A2539">
        <v>2523</v>
      </c>
      <c r="B2539" s="75">
        <v>89.87</v>
      </c>
      <c r="C2539" s="75">
        <v>99.6</v>
      </c>
      <c r="D2539" s="75">
        <v>93.41</v>
      </c>
      <c r="E2539" s="75">
        <v>92.32</v>
      </c>
      <c r="F2539">
        <v>-1056.99</v>
      </c>
      <c r="G2539">
        <v>-2092.0500000000002</v>
      </c>
      <c r="H2539">
        <v>-1183</v>
      </c>
      <c r="I2539">
        <v>1058.7</v>
      </c>
      <c r="J2539">
        <v>-3273.34</v>
      </c>
    </row>
    <row r="2540" spans="1:10" x14ac:dyDescent="0.35">
      <c r="A2540">
        <v>2524</v>
      </c>
      <c r="B2540" s="75">
        <v>90.330299999999994</v>
      </c>
      <c r="C2540" s="75">
        <v>98.416399999999996</v>
      </c>
      <c r="D2540" s="75">
        <v>93.839699999999993</v>
      </c>
      <c r="E2540" s="75">
        <v>92.4221</v>
      </c>
      <c r="F2540">
        <v>-2563.1099999999997</v>
      </c>
      <c r="G2540">
        <v>-309.75</v>
      </c>
      <c r="H2540">
        <v>-2047.2</v>
      </c>
      <c r="I2540">
        <v>958.5</v>
      </c>
      <c r="J2540">
        <v>-3961.5599999999995</v>
      </c>
    </row>
    <row r="2541" spans="1:10" x14ac:dyDescent="0.35">
      <c r="A2541">
        <v>2525</v>
      </c>
      <c r="B2541" s="75">
        <v>89.61</v>
      </c>
      <c r="C2541" s="75">
        <v>99.01</v>
      </c>
      <c r="D2541" s="75">
        <v>91.74</v>
      </c>
      <c r="E2541" s="75">
        <v>94.05</v>
      </c>
      <c r="F2541">
        <v>-186.12</v>
      </c>
      <c r="G2541">
        <v>-1196.6999999999998</v>
      </c>
      <c r="H2541">
        <v>2147.8000000000002</v>
      </c>
      <c r="I2541">
        <v>-673.8</v>
      </c>
      <c r="J2541">
        <v>91.180000000000518</v>
      </c>
    </row>
    <row r="2542" spans="1:10" x14ac:dyDescent="0.35">
      <c r="A2542">
        <v>2526</v>
      </c>
      <c r="B2542" s="75">
        <v>89.321100000000001</v>
      </c>
      <c r="C2542" s="75">
        <v>97.261300000000006</v>
      </c>
      <c r="D2542" s="75">
        <v>93.575699999999998</v>
      </c>
      <c r="E2542" s="75">
        <v>94.491399999999999</v>
      </c>
      <c r="F2542">
        <v>767.25</v>
      </c>
      <c r="G2542">
        <v>1422.9</v>
      </c>
      <c r="H2542">
        <v>-1519.2</v>
      </c>
      <c r="I2542">
        <v>-1110.8</v>
      </c>
      <c r="J2542">
        <v>-439.84999999999991</v>
      </c>
    </row>
    <row r="2543" spans="1:10" x14ac:dyDescent="0.35">
      <c r="A2543">
        <v>2527</v>
      </c>
      <c r="B2543" s="75">
        <v>89.15</v>
      </c>
      <c r="C2543" s="75">
        <v>100.23</v>
      </c>
      <c r="D2543" s="75">
        <v>94.45</v>
      </c>
      <c r="E2543" s="75">
        <v>93.59</v>
      </c>
      <c r="F2543">
        <v>1340.13</v>
      </c>
      <c r="G2543">
        <v>-3023.2499999999995</v>
      </c>
      <c r="H2543">
        <v>-3257.8</v>
      </c>
      <c r="I2543">
        <v>-208.2</v>
      </c>
      <c r="J2543">
        <v>-5149.12</v>
      </c>
    </row>
    <row r="2544" spans="1:10" x14ac:dyDescent="0.35">
      <c r="A2544">
        <v>2528</v>
      </c>
      <c r="B2544" s="75">
        <v>89.977199999999996</v>
      </c>
      <c r="C2544" s="75">
        <v>101.246</v>
      </c>
      <c r="D2544" s="75">
        <v>92.211699999999993</v>
      </c>
      <c r="E2544" s="75">
        <v>94.822299999999998</v>
      </c>
      <c r="F2544">
        <v>-1397.8799999999999</v>
      </c>
      <c r="G2544">
        <v>-4554.1499999999996</v>
      </c>
      <c r="H2544">
        <v>1208.8000000000002</v>
      </c>
      <c r="I2544">
        <v>-1441.7</v>
      </c>
      <c r="J2544">
        <v>-6184.9299999999994</v>
      </c>
    </row>
    <row r="2545" spans="1:10" x14ac:dyDescent="0.35">
      <c r="A2545">
        <v>2529</v>
      </c>
      <c r="B2545" s="75">
        <v>90.06</v>
      </c>
      <c r="C2545" s="75">
        <v>97.85</v>
      </c>
      <c r="D2545" s="75">
        <v>92.8</v>
      </c>
      <c r="E2545" s="75">
        <v>93.04</v>
      </c>
      <c r="F2545">
        <v>-1656.93</v>
      </c>
      <c r="G2545">
        <v>535.80000000000007</v>
      </c>
      <c r="H2545">
        <v>34.6</v>
      </c>
      <c r="I2545">
        <v>341.2</v>
      </c>
      <c r="J2545">
        <v>-745.33000000000015</v>
      </c>
    </row>
    <row r="2546" spans="1:10" x14ac:dyDescent="0.35">
      <c r="A2546">
        <v>2530</v>
      </c>
      <c r="B2546" s="75">
        <v>90.778800000000004</v>
      </c>
      <c r="C2546" s="75">
        <v>97.414000000000001</v>
      </c>
      <c r="D2546" s="75">
        <v>93.423699999999997</v>
      </c>
      <c r="E2546" s="75">
        <v>93.312200000000004</v>
      </c>
      <c r="F2546">
        <v>-4043.1600000000003</v>
      </c>
      <c r="G2546">
        <v>1193.8500000000001</v>
      </c>
      <c r="H2546">
        <v>-1215.2</v>
      </c>
      <c r="I2546">
        <v>68.400000000000006</v>
      </c>
      <c r="J2546">
        <v>-3996.11</v>
      </c>
    </row>
    <row r="2547" spans="1:10" x14ac:dyDescent="0.35">
      <c r="A2547">
        <v>2531</v>
      </c>
      <c r="B2547" s="75">
        <v>89.23</v>
      </c>
      <c r="C2547" s="75">
        <v>98.09</v>
      </c>
      <c r="D2547" s="75">
        <v>92.49</v>
      </c>
      <c r="E2547" s="75">
        <v>92.81</v>
      </c>
      <c r="F2547">
        <v>1074.48</v>
      </c>
      <c r="G2547">
        <v>181.8</v>
      </c>
      <c r="H2547">
        <v>657.80000000000007</v>
      </c>
      <c r="I2547">
        <v>571.30000000000007</v>
      </c>
      <c r="J2547">
        <v>2485.38</v>
      </c>
    </row>
    <row r="2548" spans="1:10" x14ac:dyDescent="0.35">
      <c r="A2548">
        <v>2532</v>
      </c>
      <c r="B2548" s="75">
        <v>89.981899999999996</v>
      </c>
      <c r="C2548" s="75">
        <v>97.310199999999995</v>
      </c>
      <c r="D2548" s="75">
        <v>93.815200000000004</v>
      </c>
      <c r="E2548" s="75">
        <v>94.817400000000006</v>
      </c>
      <c r="F2548">
        <v>-1413.39</v>
      </c>
      <c r="G2548">
        <v>1349.5500000000002</v>
      </c>
      <c r="H2548">
        <v>-1998.2</v>
      </c>
      <c r="I2548">
        <v>-1436.8000000000002</v>
      </c>
      <c r="J2548">
        <v>-3498.84</v>
      </c>
    </row>
    <row r="2549" spans="1:10" x14ac:dyDescent="0.35">
      <c r="A2549">
        <v>2533</v>
      </c>
      <c r="B2549" s="75">
        <v>89.92</v>
      </c>
      <c r="C2549" s="75">
        <v>98.68</v>
      </c>
      <c r="D2549" s="75">
        <v>92.22</v>
      </c>
      <c r="E2549" s="75">
        <v>95.04</v>
      </c>
      <c r="F2549">
        <v>-1199.22</v>
      </c>
      <c r="G2549">
        <v>-711.6</v>
      </c>
      <c r="H2549">
        <v>1202</v>
      </c>
      <c r="I2549">
        <v>-1655.3</v>
      </c>
      <c r="J2549">
        <v>-2364.12</v>
      </c>
    </row>
    <row r="2550" spans="1:10" x14ac:dyDescent="0.35">
      <c r="A2550">
        <v>2534</v>
      </c>
      <c r="B2550" s="75">
        <v>89.543800000000005</v>
      </c>
      <c r="C2550" s="75">
        <v>97.424899999999994</v>
      </c>
      <c r="D2550" s="75">
        <v>93.568600000000004</v>
      </c>
      <c r="E2550" s="75">
        <v>96.381</v>
      </c>
      <c r="F2550">
        <v>32.339999999999996</v>
      </c>
      <c r="G2550">
        <v>1177.5</v>
      </c>
      <c r="H2550">
        <v>-1505</v>
      </c>
      <c r="I2550">
        <v>-3000.4</v>
      </c>
      <c r="J2550">
        <v>-3295.5600000000004</v>
      </c>
    </row>
    <row r="2551" spans="1:10" x14ac:dyDescent="0.35">
      <c r="A2551">
        <v>2535</v>
      </c>
      <c r="B2551" s="75">
        <v>90.18</v>
      </c>
      <c r="C2551" s="75">
        <v>98.17</v>
      </c>
      <c r="D2551" s="75">
        <v>91.73</v>
      </c>
      <c r="E2551" s="75">
        <v>92.91</v>
      </c>
      <c r="F2551">
        <v>-2073.39</v>
      </c>
      <c r="G2551">
        <v>61.65</v>
      </c>
      <c r="H2551">
        <v>2168.8000000000002</v>
      </c>
      <c r="I2551">
        <v>468.9</v>
      </c>
      <c r="J2551">
        <v>625.96000000000038</v>
      </c>
    </row>
    <row r="2552" spans="1:10" x14ac:dyDescent="0.35">
      <c r="A2552">
        <v>2536</v>
      </c>
      <c r="B2552" s="75">
        <v>88.882499999999993</v>
      </c>
      <c r="C2552" s="75">
        <v>97.805899999999994</v>
      </c>
      <c r="D2552" s="75">
        <v>91.0779</v>
      </c>
      <c r="E2552" s="75">
        <v>92.700599999999994</v>
      </c>
      <c r="F2552">
        <v>2214.63</v>
      </c>
      <c r="G2552">
        <v>606</v>
      </c>
      <c r="H2552">
        <v>3476.4</v>
      </c>
      <c r="I2552">
        <v>680</v>
      </c>
      <c r="J2552">
        <v>6977.0300000000007</v>
      </c>
    </row>
    <row r="2553" spans="1:10" x14ac:dyDescent="0.35">
      <c r="A2553">
        <v>2537</v>
      </c>
      <c r="B2553" s="75">
        <v>89.74</v>
      </c>
      <c r="C2553" s="75">
        <v>98.63</v>
      </c>
      <c r="D2553" s="75">
        <v>91.57</v>
      </c>
      <c r="E2553" s="75">
        <v>92.4</v>
      </c>
      <c r="F2553">
        <v>-620.4</v>
      </c>
      <c r="G2553">
        <v>-636.45000000000005</v>
      </c>
      <c r="H2553">
        <v>2500.7999999999997</v>
      </c>
      <c r="I2553">
        <v>976.1</v>
      </c>
      <c r="J2553">
        <v>2220.0499999999997</v>
      </c>
    </row>
    <row r="2554" spans="1:10" x14ac:dyDescent="0.35">
      <c r="A2554">
        <v>2538</v>
      </c>
      <c r="B2554" s="75">
        <v>90.103099999999998</v>
      </c>
      <c r="C2554" s="75">
        <v>98.256699999999995</v>
      </c>
      <c r="D2554" s="75">
        <v>91.925899999999999</v>
      </c>
      <c r="E2554" s="75">
        <v>91.525300000000001</v>
      </c>
      <c r="F2554">
        <v>-1813.35</v>
      </c>
      <c r="G2554">
        <v>-70.2</v>
      </c>
      <c r="H2554">
        <v>1780.4</v>
      </c>
      <c r="I2554">
        <v>1855.3</v>
      </c>
      <c r="J2554">
        <v>1752.15</v>
      </c>
    </row>
    <row r="2555" spans="1:10" x14ac:dyDescent="0.35">
      <c r="A2555">
        <v>2539</v>
      </c>
      <c r="B2555" s="75">
        <v>89.34</v>
      </c>
      <c r="C2555" s="75">
        <v>98.49</v>
      </c>
      <c r="D2555" s="75">
        <v>91.43</v>
      </c>
      <c r="E2555" s="75">
        <v>91.73</v>
      </c>
      <c r="F2555">
        <v>699.27</v>
      </c>
      <c r="G2555">
        <v>-419.09999999999997</v>
      </c>
      <c r="H2555">
        <v>2779.6</v>
      </c>
      <c r="I2555">
        <v>1655.5</v>
      </c>
      <c r="J2555">
        <v>4715.2700000000004</v>
      </c>
    </row>
    <row r="2556" spans="1:10" x14ac:dyDescent="0.35">
      <c r="A2556">
        <v>2540</v>
      </c>
      <c r="B2556" s="75">
        <v>90.546700000000001</v>
      </c>
      <c r="C2556" s="75">
        <v>98.578599999999994</v>
      </c>
      <c r="D2556" s="75">
        <v>91.505499999999998</v>
      </c>
      <c r="E2556" s="75">
        <v>92.577799999999996</v>
      </c>
      <c r="F2556">
        <v>-3277.23</v>
      </c>
      <c r="G2556">
        <v>-553.05000000000007</v>
      </c>
      <c r="H2556">
        <v>2621.1999999999998</v>
      </c>
      <c r="I2556">
        <v>802.8</v>
      </c>
      <c r="J2556">
        <v>-406.28000000000043</v>
      </c>
    </row>
    <row r="2557" spans="1:10" x14ac:dyDescent="0.35">
      <c r="A2557">
        <v>2541</v>
      </c>
      <c r="B2557" s="75">
        <v>89.16</v>
      </c>
      <c r="C2557" s="75">
        <v>99.48</v>
      </c>
      <c r="D2557" s="75">
        <v>92.07</v>
      </c>
      <c r="E2557" s="75">
        <v>93.02</v>
      </c>
      <c r="F2557">
        <v>1284.6899999999998</v>
      </c>
      <c r="G2557">
        <v>-1899</v>
      </c>
      <c r="H2557">
        <v>1502.2</v>
      </c>
      <c r="I2557">
        <v>365.5</v>
      </c>
      <c r="J2557">
        <v>1253.3899999999999</v>
      </c>
    </row>
    <row r="2558" spans="1:10" x14ac:dyDescent="0.35">
      <c r="A2558">
        <v>2542</v>
      </c>
      <c r="B2558" s="75">
        <v>89.864699999999999</v>
      </c>
      <c r="C2558" s="75">
        <v>97.092799999999997</v>
      </c>
      <c r="D2558" s="75">
        <v>93.932000000000002</v>
      </c>
      <c r="E2558" s="75">
        <v>91.256799999999998</v>
      </c>
      <c r="F2558">
        <v>-1026.6299999999999</v>
      </c>
      <c r="G2558">
        <v>1675.6499999999999</v>
      </c>
      <c r="H2558">
        <v>-2231.7999999999997</v>
      </c>
      <c r="I2558">
        <v>2123.8000000000002</v>
      </c>
      <c r="J2558">
        <v>541.02000000000044</v>
      </c>
    </row>
    <row r="2559" spans="1:10" x14ac:dyDescent="0.35">
      <c r="A2559">
        <v>2543</v>
      </c>
      <c r="B2559" s="75">
        <v>89.77</v>
      </c>
      <c r="C2559" s="75">
        <v>98.48</v>
      </c>
      <c r="D2559" s="75">
        <v>92.12</v>
      </c>
      <c r="E2559" s="75">
        <v>93.41</v>
      </c>
      <c r="F2559">
        <v>-719.07</v>
      </c>
      <c r="G2559">
        <v>-401.7</v>
      </c>
      <c r="H2559">
        <v>1385</v>
      </c>
      <c r="I2559">
        <v>-25.3</v>
      </c>
      <c r="J2559">
        <v>238.93</v>
      </c>
    </row>
    <row r="2560" spans="1:10" x14ac:dyDescent="0.35">
      <c r="A2560">
        <v>2544</v>
      </c>
      <c r="B2560" s="75">
        <v>89.689099999999996</v>
      </c>
      <c r="C2560" s="75">
        <v>97.537400000000005</v>
      </c>
      <c r="D2560" s="75">
        <v>93.5852</v>
      </c>
      <c r="E2560" s="75">
        <v>91.808700000000002</v>
      </c>
      <c r="F2560">
        <v>-447.15000000000003</v>
      </c>
      <c r="G2560">
        <v>1008.75</v>
      </c>
      <c r="H2560">
        <v>-1538.2</v>
      </c>
      <c r="I2560">
        <v>1571.9</v>
      </c>
      <c r="J2560">
        <v>595.29999999999995</v>
      </c>
    </row>
    <row r="2561" spans="1:10" x14ac:dyDescent="0.35">
      <c r="A2561">
        <v>2545</v>
      </c>
      <c r="B2561" s="75">
        <v>90.46</v>
      </c>
      <c r="C2561" s="75">
        <v>99.23</v>
      </c>
      <c r="D2561" s="75">
        <v>94.91</v>
      </c>
      <c r="E2561" s="75">
        <v>94.74</v>
      </c>
      <c r="F2561">
        <v>-2988.48</v>
      </c>
      <c r="G2561">
        <v>-1528.95</v>
      </c>
      <c r="H2561">
        <v>-4187.4000000000005</v>
      </c>
      <c r="I2561">
        <v>-1363.6999999999998</v>
      </c>
      <c r="J2561">
        <v>-10068.530000000002</v>
      </c>
    </row>
    <row r="2562" spans="1:10" x14ac:dyDescent="0.35">
      <c r="A2562">
        <v>2546</v>
      </c>
      <c r="B2562" s="75">
        <v>89.3536</v>
      </c>
      <c r="C2562" s="75">
        <v>98.363900000000001</v>
      </c>
      <c r="D2562" s="75">
        <v>91.831000000000003</v>
      </c>
      <c r="E2562" s="75">
        <v>92.644499999999994</v>
      </c>
      <c r="F2562">
        <v>660</v>
      </c>
      <c r="G2562">
        <v>-231</v>
      </c>
      <c r="H2562">
        <v>1970.2</v>
      </c>
      <c r="I2562">
        <v>736.1</v>
      </c>
      <c r="J2562">
        <v>3135.2999999999997</v>
      </c>
    </row>
    <row r="2563" spans="1:10" x14ac:dyDescent="0.35">
      <c r="A2563">
        <v>2547</v>
      </c>
      <c r="B2563" s="75">
        <v>90.01</v>
      </c>
      <c r="C2563" s="75">
        <v>98.57</v>
      </c>
      <c r="D2563" s="75">
        <v>93.27</v>
      </c>
      <c r="E2563" s="75">
        <v>94.34</v>
      </c>
      <c r="F2563">
        <v>-1499.52</v>
      </c>
      <c r="G2563">
        <v>-533.55000000000007</v>
      </c>
      <c r="H2563">
        <v>-906.59999999999991</v>
      </c>
      <c r="I2563">
        <v>-954.8</v>
      </c>
      <c r="J2563">
        <v>-3894.4700000000003</v>
      </c>
    </row>
    <row r="2564" spans="1:10" x14ac:dyDescent="0.35">
      <c r="A2564">
        <v>2548</v>
      </c>
      <c r="B2564" s="75">
        <v>90.064899999999994</v>
      </c>
      <c r="C2564" s="75">
        <v>99.0702</v>
      </c>
      <c r="D2564" s="75">
        <v>93.729399999999998</v>
      </c>
      <c r="E2564" s="75">
        <v>95.261899999999997</v>
      </c>
      <c r="F2564">
        <v>-1687.29</v>
      </c>
      <c r="G2564">
        <v>-1290.4499999999998</v>
      </c>
      <c r="H2564">
        <v>-1826.6</v>
      </c>
      <c r="I2564">
        <v>-1881.3</v>
      </c>
      <c r="J2564">
        <v>-6685.64</v>
      </c>
    </row>
    <row r="2565" spans="1:10" x14ac:dyDescent="0.35">
      <c r="A2565">
        <v>2549</v>
      </c>
      <c r="B2565" s="75">
        <v>89.23</v>
      </c>
      <c r="C2565" s="75">
        <v>98.32</v>
      </c>
      <c r="D2565" s="75">
        <v>94.46</v>
      </c>
      <c r="E2565" s="75">
        <v>94.62</v>
      </c>
      <c r="F2565">
        <v>1054.68</v>
      </c>
      <c r="G2565">
        <v>-165.15</v>
      </c>
      <c r="H2565">
        <v>-3278.4</v>
      </c>
      <c r="I2565">
        <v>-1239.8</v>
      </c>
      <c r="J2565">
        <v>-3628.67</v>
      </c>
    </row>
    <row r="2566" spans="1:10" x14ac:dyDescent="0.35">
      <c r="A2566">
        <v>2550</v>
      </c>
      <c r="B2566" s="75">
        <v>88.772800000000004</v>
      </c>
      <c r="C2566" s="75">
        <v>98.255099999999999</v>
      </c>
      <c r="D2566" s="75">
        <v>94.755700000000004</v>
      </c>
      <c r="E2566" s="75">
        <v>92.767399999999995</v>
      </c>
      <c r="F2566">
        <v>2576.6400000000003</v>
      </c>
      <c r="G2566">
        <v>-67.8</v>
      </c>
      <c r="H2566">
        <v>-3879.2</v>
      </c>
      <c r="I2566">
        <v>613.19999999999993</v>
      </c>
      <c r="J2566">
        <v>-757.15999999999974</v>
      </c>
    </row>
    <row r="2567" spans="1:10" x14ac:dyDescent="0.35">
      <c r="A2567">
        <v>2551</v>
      </c>
      <c r="B2567" s="75">
        <v>89.1</v>
      </c>
      <c r="C2567" s="75">
        <v>99.95</v>
      </c>
      <c r="D2567" s="75">
        <v>93.25</v>
      </c>
      <c r="E2567" s="75">
        <v>90.01</v>
      </c>
      <c r="F2567">
        <v>1497.21</v>
      </c>
      <c r="G2567">
        <v>-2612.1</v>
      </c>
      <c r="H2567">
        <v>-872</v>
      </c>
      <c r="I2567">
        <v>3371</v>
      </c>
      <c r="J2567">
        <v>1384.1100000000001</v>
      </c>
    </row>
    <row r="2568" spans="1:10" x14ac:dyDescent="0.35">
      <c r="A2568">
        <v>2552</v>
      </c>
      <c r="B2568" s="75">
        <v>89.023600000000002</v>
      </c>
      <c r="C2568" s="75">
        <v>97.591300000000004</v>
      </c>
      <c r="D2568" s="75">
        <v>93.133300000000006</v>
      </c>
      <c r="E2568" s="75">
        <v>94.010999999999996</v>
      </c>
      <c r="F2568">
        <v>1749</v>
      </c>
      <c r="G2568">
        <v>927.90000000000009</v>
      </c>
      <c r="H2568">
        <v>-634.4</v>
      </c>
      <c r="I2568">
        <v>-630.4</v>
      </c>
      <c r="J2568">
        <v>1412.1</v>
      </c>
    </row>
    <row r="2569" spans="1:10" x14ac:dyDescent="0.35">
      <c r="A2569">
        <v>2553</v>
      </c>
      <c r="B2569" s="75">
        <v>89.73</v>
      </c>
      <c r="C2569" s="75">
        <v>97.59</v>
      </c>
      <c r="D2569" s="75">
        <v>92.87</v>
      </c>
      <c r="E2569" s="75">
        <v>94.98</v>
      </c>
      <c r="F2569">
        <v>-567.59999999999991</v>
      </c>
      <c r="G2569">
        <v>936.44999999999993</v>
      </c>
      <c r="H2569">
        <v>-111.19999999999999</v>
      </c>
      <c r="I2569">
        <v>-1597.6</v>
      </c>
      <c r="J2569">
        <v>-1339.9499999999998</v>
      </c>
    </row>
    <row r="2570" spans="1:10" x14ac:dyDescent="0.35">
      <c r="A2570">
        <v>2554</v>
      </c>
      <c r="B2570" s="75">
        <v>89.140600000000006</v>
      </c>
      <c r="C2570" s="75">
        <v>97.095799999999997</v>
      </c>
      <c r="D2570" s="75">
        <v>93.736099999999993</v>
      </c>
      <c r="E2570" s="75">
        <v>91.503900000000002</v>
      </c>
      <c r="F2570">
        <v>1362.8999999999999</v>
      </c>
      <c r="G2570">
        <v>1671.15</v>
      </c>
      <c r="H2570">
        <v>-1840</v>
      </c>
      <c r="I2570">
        <v>1876.7</v>
      </c>
      <c r="J2570">
        <v>3070.75</v>
      </c>
    </row>
    <row r="2571" spans="1:10" x14ac:dyDescent="0.35">
      <c r="A2571">
        <v>2555</v>
      </c>
      <c r="B2571" s="75">
        <v>89.7</v>
      </c>
      <c r="C2571" s="75">
        <v>98.75</v>
      </c>
      <c r="D2571" s="75">
        <v>93.88</v>
      </c>
      <c r="E2571" s="75">
        <v>91.6</v>
      </c>
      <c r="F2571">
        <v>-469.26</v>
      </c>
      <c r="G2571">
        <v>-817.35</v>
      </c>
      <c r="H2571">
        <v>-2123.6000000000004</v>
      </c>
      <c r="I2571">
        <v>1776.1</v>
      </c>
      <c r="J2571">
        <v>-1634.1100000000006</v>
      </c>
    </row>
    <row r="2572" spans="1:10" x14ac:dyDescent="0.35">
      <c r="A2572">
        <v>2556</v>
      </c>
      <c r="B2572" s="75">
        <v>89.616699999999994</v>
      </c>
      <c r="C2572" s="75">
        <v>99.3553</v>
      </c>
      <c r="D2572" s="75">
        <v>93.089500000000001</v>
      </c>
      <c r="E2572" s="75">
        <v>95.393000000000001</v>
      </c>
      <c r="F2572">
        <v>-208.23000000000002</v>
      </c>
      <c r="G2572">
        <v>-1718.1</v>
      </c>
      <c r="H2572">
        <v>-546.79999999999995</v>
      </c>
      <c r="I2572">
        <v>-2012.3999999999999</v>
      </c>
      <c r="J2572">
        <v>-4485.53</v>
      </c>
    </row>
    <row r="2573" spans="1:10" x14ac:dyDescent="0.35">
      <c r="A2573">
        <v>2557</v>
      </c>
      <c r="B2573" s="75">
        <v>90</v>
      </c>
      <c r="C2573" s="75">
        <v>98.99</v>
      </c>
      <c r="D2573" s="75">
        <v>93.34</v>
      </c>
      <c r="E2573" s="75">
        <v>94.4</v>
      </c>
      <c r="F2573">
        <v>-1472.46</v>
      </c>
      <c r="G2573">
        <v>-1166.55</v>
      </c>
      <c r="H2573">
        <v>-1038.2</v>
      </c>
      <c r="I2573">
        <v>-1016.2</v>
      </c>
      <c r="J2573">
        <v>-4693.41</v>
      </c>
    </row>
    <row r="2574" spans="1:10" x14ac:dyDescent="0.35">
      <c r="A2574">
        <v>2558</v>
      </c>
      <c r="B2574" s="75">
        <v>89.587999999999994</v>
      </c>
      <c r="C2574" s="75">
        <v>98.851500000000001</v>
      </c>
      <c r="D2574" s="75">
        <v>93.132400000000004</v>
      </c>
      <c r="E2574" s="75">
        <v>93.130499999999998</v>
      </c>
      <c r="F2574">
        <v>-113.52</v>
      </c>
      <c r="G2574">
        <v>-962.4</v>
      </c>
      <c r="H2574">
        <v>-632.6</v>
      </c>
      <c r="I2574">
        <v>250.1</v>
      </c>
      <c r="J2574">
        <v>-1458.42</v>
      </c>
    </row>
    <row r="2575" spans="1:10" x14ac:dyDescent="0.35">
      <c r="A2575">
        <v>2559</v>
      </c>
      <c r="B2575" s="75">
        <v>89.22</v>
      </c>
      <c r="C2575" s="75">
        <v>97.52</v>
      </c>
      <c r="D2575" s="75">
        <v>94.26</v>
      </c>
      <c r="E2575" s="75">
        <v>90.94</v>
      </c>
      <c r="F2575">
        <v>1086.6899999999998</v>
      </c>
      <c r="G2575">
        <v>1041.9000000000001</v>
      </c>
      <c r="H2575">
        <v>-2885.2000000000003</v>
      </c>
      <c r="I2575">
        <v>2445.1999999999998</v>
      </c>
      <c r="J2575">
        <v>1688.5899999999997</v>
      </c>
    </row>
    <row r="2576" spans="1:10" x14ac:dyDescent="0.35">
      <c r="A2576">
        <v>2560</v>
      </c>
      <c r="B2576" s="75">
        <v>90.253799999999998</v>
      </c>
      <c r="C2576" s="75">
        <v>98.808199999999999</v>
      </c>
      <c r="D2576" s="75">
        <v>92.9803</v>
      </c>
      <c r="E2576" s="75">
        <v>93.654499999999999</v>
      </c>
      <c r="F2576">
        <v>-2310.6600000000003</v>
      </c>
      <c r="G2576">
        <v>-897.45</v>
      </c>
      <c r="H2576">
        <v>-328.40000000000003</v>
      </c>
      <c r="I2576">
        <v>-273.89999999999998</v>
      </c>
      <c r="J2576">
        <v>-3810.4100000000008</v>
      </c>
    </row>
    <row r="2577" spans="1:10" x14ac:dyDescent="0.35">
      <c r="A2577">
        <v>2561</v>
      </c>
      <c r="B2577" s="75">
        <v>90.81</v>
      </c>
      <c r="C2577" s="75">
        <v>98.36</v>
      </c>
      <c r="D2577" s="75">
        <v>90.8</v>
      </c>
      <c r="E2577" s="75">
        <v>92.96</v>
      </c>
      <c r="F2577">
        <v>-4144.1400000000003</v>
      </c>
      <c r="G2577">
        <v>-229.8</v>
      </c>
      <c r="H2577">
        <v>4035.4</v>
      </c>
      <c r="I2577">
        <v>417.8</v>
      </c>
      <c r="J2577">
        <v>79.259999999999593</v>
      </c>
    </row>
    <row r="2578" spans="1:10" x14ac:dyDescent="0.35">
      <c r="A2578">
        <v>2562</v>
      </c>
      <c r="B2578" s="75">
        <v>88.661000000000001</v>
      </c>
      <c r="C2578" s="75">
        <v>98.563699999999997</v>
      </c>
      <c r="D2578" s="75">
        <v>94.189099999999996</v>
      </c>
      <c r="E2578" s="75">
        <v>93.718000000000004</v>
      </c>
      <c r="F2578">
        <v>2945.58</v>
      </c>
      <c r="G2578">
        <v>-530.70000000000005</v>
      </c>
      <c r="H2578">
        <v>-2746</v>
      </c>
      <c r="I2578">
        <v>-337.4</v>
      </c>
      <c r="J2578">
        <v>-668.51999999999987</v>
      </c>
    </row>
    <row r="2579" spans="1:10" x14ac:dyDescent="0.35">
      <c r="A2579">
        <v>2563</v>
      </c>
      <c r="B2579" s="75">
        <v>89.18</v>
      </c>
      <c r="C2579" s="75">
        <v>98.1</v>
      </c>
      <c r="D2579" s="75">
        <v>91.55</v>
      </c>
      <c r="E2579" s="75">
        <v>92.61</v>
      </c>
      <c r="F2579">
        <v>1233.54</v>
      </c>
      <c r="G2579">
        <v>159.30000000000001</v>
      </c>
      <c r="H2579">
        <v>2538.1999999999998</v>
      </c>
      <c r="I2579">
        <v>771</v>
      </c>
      <c r="J2579">
        <v>4702.04</v>
      </c>
    </row>
    <row r="2580" spans="1:10" x14ac:dyDescent="0.35">
      <c r="A2580">
        <v>2564</v>
      </c>
      <c r="B2580" s="75">
        <v>89.368099999999998</v>
      </c>
      <c r="C2580" s="75">
        <v>98.371899999999997</v>
      </c>
      <c r="D2580" s="75">
        <v>90.441199999999995</v>
      </c>
      <c r="E2580" s="75">
        <v>94.613600000000005</v>
      </c>
      <c r="F2580">
        <v>612.15</v>
      </c>
      <c r="G2580">
        <v>-243</v>
      </c>
      <c r="H2580">
        <v>4749.7999999999993</v>
      </c>
      <c r="I2580">
        <v>-1233</v>
      </c>
      <c r="J2580">
        <v>3885.9499999999989</v>
      </c>
    </row>
    <row r="2581" spans="1:10" x14ac:dyDescent="0.35">
      <c r="A2581">
        <v>2565</v>
      </c>
      <c r="B2581" s="75">
        <v>89.42</v>
      </c>
      <c r="C2581" s="75">
        <v>99.15</v>
      </c>
      <c r="D2581" s="75">
        <v>92.56</v>
      </c>
      <c r="E2581" s="75">
        <v>92.17</v>
      </c>
      <c r="F2581">
        <v>426.36</v>
      </c>
      <c r="G2581">
        <v>-1414.65</v>
      </c>
      <c r="H2581">
        <v>519.20000000000005</v>
      </c>
      <c r="I2581">
        <v>1212.2</v>
      </c>
      <c r="J2581">
        <v>743.11</v>
      </c>
    </row>
    <row r="2582" spans="1:10" x14ac:dyDescent="0.35">
      <c r="A2582">
        <v>2566</v>
      </c>
      <c r="B2582" s="75">
        <v>89.415899999999993</v>
      </c>
      <c r="C2582" s="75">
        <v>97.775599999999997</v>
      </c>
      <c r="D2582" s="75">
        <v>92.592799999999997</v>
      </c>
      <c r="E2582" s="75">
        <v>92.726799999999997</v>
      </c>
      <c r="F2582">
        <v>454.40999999999997</v>
      </c>
      <c r="G2582">
        <v>651.45000000000005</v>
      </c>
      <c r="H2582">
        <v>446.6</v>
      </c>
      <c r="I2582">
        <v>653.80000000000007</v>
      </c>
      <c r="J2582">
        <v>2206.2600000000002</v>
      </c>
    </row>
    <row r="2583" spans="1:10" x14ac:dyDescent="0.35">
      <c r="A2583">
        <v>2567</v>
      </c>
      <c r="B2583" s="75">
        <v>89.32</v>
      </c>
      <c r="C2583" s="75">
        <v>97.81</v>
      </c>
      <c r="D2583" s="75">
        <v>94.33</v>
      </c>
      <c r="E2583" s="75">
        <v>92.11</v>
      </c>
      <c r="F2583">
        <v>780.44999999999993</v>
      </c>
      <c r="G2583">
        <v>606.9</v>
      </c>
      <c r="H2583">
        <v>-3035.8</v>
      </c>
      <c r="I2583">
        <v>1266</v>
      </c>
      <c r="J2583">
        <v>-382.45000000000027</v>
      </c>
    </row>
    <row r="2584" spans="1:10" x14ac:dyDescent="0.35">
      <c r="A2584">
        <v>2568</v>
      </c>
      <c r="B2584" s="75">
        <v>89.139300000000006</v>
      </c>
      <c r="C2584" s="75">
        <v>97.756500000000003</v>
      </c>
      <c r="D2584" s="75">
        <v>93.206999999999994</v>
      </c>
      <c r="E2584" s="75">
        <v>91.735699999999994</v>
      </c>
      <c r="F2584">
        <v>1367.19</v>
      </c>
      <c r="G2584">
        <v>680.1</v>
      </c>
      <c r="H2584">
        <v>-781.80000000000007</v>
      </c>
      <c r="I2584">
        <v>1644.9</v>
      </c>
      <c r="J2584">
        <v>2910.39</v>
      </c>
    </row>
    <row r="2585" spans="1:10" x14ac:dyDescent="0.35">
      <c r="A2585">
        <v>2569</v>
      </c>
      <c r="B2585" s="75">
        <v>89.66</v>
      </c>
      <c r="C2585" s="75">
        <v>97.99</v>
      </c>
      <c r="D2585" s="75">
        <v>92.49</v>
      </c>
      <c r="E2585" s="75">
        <v>92.61</v>
      </c>
      <c r="F2585">
        <v>-354.75</v>
      </c>
      <c r="G2585">
        <v>323.10000000000002</v>
      </c>
      <c r="H2585">
        <v>651.20000000000005</v>
      </c>
      <c r="I2585">
        <v>765.9</v>
      </c>
      <c r="J2585">
        <v>1385.45</v>
      </c>
    </row>
    <row r="2586" spans="1:10" x14ac:dyDescent="0.35">
      <c r="A2586">
        <v>2570</v>
      </c>
      <c r="B2586" s="75">
        <v>88.786799999999999</v>
      </c>
      <c r="C2586" s="75">
        <v>97.408699999999996</v>
      </c>
      <c r="D2586" s="75">
        <v>92.710800000000006</v>
      </c>
      <c r="E2586" s="75">
        <v>95.222499999999997</v>
      </c>
      <c r="F2586">
        <v>2530.44</v>
      </c>
      <c r="G2586">
        <v>1201.8</v>
      </c>
      <c r="H2586">
        <v>210.60000000000002</v>
      </c>
      <c r="I2586">
        <v>-1841.9</v>
      </c>
      <c r="J2586">
        <v>2100.9399999999996</v>
      </c>
    </row>
    <row r="2587" spans="1:10" x14ac:dyDescent="0.35">
      <c r="A2587">
        <v>2571</v>
      </c>
      <c r="B2587" s="75">
        <v>89.38</v>
      </c>
      <c r="C2587" s="75">
        <v>97.61</v>
      </c>
      <c r="D2587" s="75">
        <v>92.42</v>
      </c>
      <c r="E2587" s="75">
        <v>93.44</v>
      </c>
      <c r="F2587">
        <v>562.98</v>
      </c>
      <c r="G2587">
        <v>894.45</v>
      </c>
      <c r="H2587">
        <v>790.4</v>
      </c>
      <c r="I2587">
        <v>-61.699999999999996</v>
      </c>
      <c r="J2587">
        <v>2186.13</v>
      </c>
    </row>
    <row r="2588" spans="1:10" x14ac:dyDescent="0.35">
      <c r="A2588">
        <v>2572</v>
      </c>
      <c r="B2588" s="75">
        <v>90.173699999999997</v>
      </c>
      <c r="C2588" s="75">
        <v>97.682199999999995</v>
      </c>
      <c r="D2588" s="75">
        <v>92.764899999999997</v>
      </c>
      <c r="E2588" s="75">
        <v>93.217600000000004</v>
      </c>
      <c r="F2588">
        <v>-2046.33</v>
      </c>
      <c r="G2588">
        <v>791.55</v>
      </c>
      <c r="H2588">
        <v>102.4</v>
      </c>
      <c r="I2588">
        <v>163</v>
      </c>
      <c r="J2588">
        <v>-989.37999999999988</v>
      </c>
    </row>
    <row r="2589" spans="1:10" x14ac:dyDescent="0.35">
      <c r="A2589">
        <v>2573</v>
      </c>
      <c r="B2589" s="75">
        <v>89.11</v>
      </c>
      <c r="C2589" s="75">
        <v>99.94</v>
      </c>
      <c r="D2589" s="75">
        <v>92.91</v>
      </c>
      <c r="E2589" s="75">
        <v>92.76</v>
      </c>
      <c r="F2589">
        <v>1462.89</v>
      </c>
      <c r="G2589">
        <v>-2596.9500000000003</v>
      </c>
      <c r="H2589">
        <v>-186</v>
      </c>
      <c r="I2589">
        <v>619.19999999999993</v>
      </c>
      <c r="J2589">
        <v>-700.86000000000024</v>
      </c>
    </row>
    <row r="2590" spans="1:10" x14ac:dyDescent="0.35">
      <c r="A2590">
        <v>2574</v>
      </c>
      <c r="B2590" s="75">
        <v>89.808899999999994</v>
      </c>
      <c r="C2590" s="75">
        <v>99.183599999999998</v>
      </c>
      <c r="D2590" s="75">
        <v>91.328599999999994</v>
      </c>
      <c r="E2590" s="75">
        <v>92.549700000000001</v>
      </c>
      <c r="F2590">
        <v>-842.49000000000012</v>
      </c>
      <c r="G2590">
        <v>-1460.55</v>
      </c>
      <c r="H2590">
        <v>2975</v>
      </c>
      <c r="I2590">
        <v>830.9</v>
      </c>
      <c r="J2590">
        <v>1502.8600000000001</v>
      </c>
    </row>
    <row r="2591" spans="1:10" x14ac:dyDescent="0.35">
      <c r="A2591">
        <v>2575</v>
      </c>
      <c r="B2591" s="75">
        <v>88.83</v>
      </c>
      <c r="C2591" s="75">
        <v>98.83</v>
      </c>
      <c r="D2591" s="75">
        <v>92.57</v>
      </c>
      <c r="E2591" s="75">
        <v>91.31</v>
      </c>
      <c r="F2591">
        <v>2403.39</v>
      </c>
      <c r="G2591">
        <v>-933.44999999999993</v>
      </c>
      <c r="H2591">
        <v>496.8</v>
      </c>
      <c r="I2591">
        <v>2068.5</v>
      </c>
      <c r="J2591">
        <v>4035.24</v>
      </c>
    </row>
    <row r="2592" spans="1:10" x14ac:dyDescent="0.35">
      <c r="A2592">
        <v>2576</v>
      </c>
      <c r="B2592" s="75">
        <v>90.875600000000006</v>
      </c>
      <c r="C2592" s="75">
        <v>96.202399999999997</v>
      </c>
      <c r="D2592" s="75">
        <v>94.734899999999996</v>
      </c>
      <c r="E2592" s="75">
        <v>93.250799999999998</v>
      </c>
      <c r="F2592">
        <v>-4362.6000000000004</v>
      </c>
      <c r="G2592">
        <v>3011.2499999999995</v>
      </c>
      <c r="H2592">
        <v>-3837.6</v>
      </c>
      <c r="I2592">
        <v>129.80000000000001</v>
      </c>
      <c r="J2592">
        <v>-5059.1500000000005</v>
      </c>
    </row>
    <row r="2593" spans="1:10" x14ac:dyDescent="0.35">
      <c r="A2593">
        <v>2577</v>
      </c>
      <c r="B2593" s="75">
        <v>89.56</v>
      </c>
      <c r="C2593" s="75">
        <v>97.05</v>
      </c>
      <c r="D2593" s="75">
        <v>92.47</v>
      </c>
      <c r="E2593" s="75">
        <v>92.57</v>
      </c>
      <c r="F2593">
        <v>-17.82</v>
      </c>
      <c r="G2593">
        <v>1741.0500000000002</v>
      </c>
      <c r="H2593">
        <v>685.8</v>
      </c>
      <c r="I2593">
        <v>812.69999999999993</v>
      </c>
      <c r="J2593">
        <v>3221.73</v>
      </c>
    </row>
    <row r="2594" spans="1:10" x14ac:dyDescent="0.35">
      <c r="A2594">
        <v>2578</v>
      </c>
      <c r="B2594" s="75">
        <v>89.320099999999996</v>
      </c>
      <c r="C2594" s="75">
        <v>97.608999999999995</v>
      </c>
      <c r="D2594" s="75">
        <v>91.605900000000005</v>
      </c>
      <c r="E2594" s="75">
        <v>92.378299999999996</v>
      </c>
      <c r="F2594">
        <v>770.55000000000007</v>
      </c>
      <c r="G2594">
        <v>901.35</v>
      </c>
      <c r="H2594">
        <v>2420.4</v>
      </c>
      <c r="I2594">
        <v>1002.3</v>
      </c>
      <c r="J2594">
        <v>5094.6000000000004</v>
      </c>
    </row>
    <row r="2595" spans="1:10" x14ac:dyDescent="0.35">
      <c r="A2595">
        <v>2579</v>
      </c>
      <c r="B2595" s="75">
        <v>89.63</v>
      </c>
      <c r="C2595" s="75">
        <v>97.32</v>
      </c>
      <c r="D2595" s="75">
        <v>92.15</v>
      </c>
      <c r="E2595" s="75">
        <v>93.94</v>
      </c>
      <c r="F2595">
        <v>-252.45</v>
      </c>
      <c r="G2595">
        <v>1332.6</v>
      </c>
      <c r="H2595">
        <v>1326</v>
      </c>
      <c r="I2595">
        <v>-563</v>
      </c>
      <c r="J2595">
        <v>1843.1499999999996</v>
      </c>
    </row>
    <row r="2596" spans="1:10" x14ac:dyDescent="0.35">
      <c r="A2596">
        <v>2580</v>
      </c>
      <c r="B2596" s="75">
        <v>89.724599999999995</v>
      </c>
      <c r="C2596" s="75">
        <v>98.277500000000003</v>
      </c>
      <c r="D2596" s="75">
        <v>92.717100000000002</v>
      </c>
      <c r="E2596" s="75">
        <v>95.201800000000006</v>
      </c>
      <c r="F2596">
        <v>-564.30000000000007</v>
      </c>
      <c r="G2596">
        <v>-101.39999999999999</v>
      </c>
      <c r="H2596">
        <v>198</v>
      </c>
      <c r="I2596">
        <v>-1821.1999999999998</v>
      </c>
      <c r="J2596">
        <v>-2288.8999999999996</v>
      </c>
    </row>
    <row r="2597" spans="1:10" x14ac:dyDescent="0.35">
      <c r="A2597">
        <v>2581</v>
      </c>
      <c r="B2597" s="75">
        <v>89.17</v>
      </c>
      <c r="C2597" s="75">
        <v>98.69</v>
      </c>
      <c r="D2597" s="75">
        <v>92.64</v>
      </c>
      <c r="E2597" s="75">
        <v>92.69</v>
      </c>
      <c r="F2597">
        <v>1274.46</v>
      </c>
      <c r="G2597">
        <v>-716.25</v>
      </c>
      <c r="H2597">
        <v>361.20000000000005</v>
      </c>
      <c r="I2597">
        <v>688.8</v>
      </c>
      <c r="J2597">
        <v>1608.21</v>
      </c>
    </row>
    <row r="2598" spans="1:10" x14ac:dyDescent="0.35">
      <c r="A2598">
        <v>2582</v>
      </c>
      <c r="B2598" s="75">
        <v>90.221699999999998</v>
      </c>
      <c r="C2598" s="75">
        <v>97.703699999999998</v>
      </c>
      <c r="D2598" s="75">
        <v>92.731200000000001</v>
      </c>
      <c r="E2598" s="75">
        <v>93.099800000000002</v>
      </c>
      <c r="F2598">
        <v>-2204.73</v>
      </c>
      <c r="G2598">
        <v>759.3</v>
      </c>
      <c r="H2598">
        <v>169.8</v>
      </c>
      <c r="I2598">
        <v>280.8</v>
      </c>
      <c r="J2598">
        <v>-994.83000000000015</v>
      </c>
    </row>
    <row r="2599" spans="1:10" x14ac:dyDescent="0.35">
      <c r="A2599">
        <v>2583</v>
      </c>
      <c r="B2599" s="75">
        <v>89.62</v>
      </c>
      <c r="C2599" s="75">
        <v>98.37</v>
      </c>
      <c r="D2599" s="75">
        <v>90.94</v>
      </c>
      <c r="E2599" s="75">
        <v>94.51</v>
      </c>
      <c r="F2599">
        <v>-231.66</v>
      </c>
      <c r="G2599">
        <v>-238.95</v>
      </c>
      <c r="H2599">
        <v>3756.2000000000003</v>
      </c>
      <c r="I2599">
        <v>-1133.6999999999998</v>
      </c>
      <c r="J2599">
        <v>2151.8900000000003</v>
      </c>
    </row>
    <row r="2600" spans="1:10" x14ac:dyDescent="0.35">
      <c r="A2600">
        <v>2584</v>
      </c>
      <c r="B2600" s="75">
        <v>88.829099999999997</v>
      </c>
      <c r="C2600" s="75">
        <v>99.758399999999995</v>
      </c>
      <c r="D2600" s="75">
        <v>92.295199999999994</v>
      </c>
      <c r="E2600" s="75">
        <v>92.086100000000002</v>
      </c>
      <c r="F2600">
        <v>2390.85</v>
      </c>
      <c r="G2600">
        <v>-2322.75</v>
      </c>
      <c r="H2600">
        <v>1041.8</v>
      </c>
      <c r="I2600">
        <v>1294.5</v>
      </c>
      <c r="J2600">
        <v>2404.3999999999996</v>
      </c>
    </row>
    <row r="2601" spans="1:10" x14ac:dyDescent="0.35">
      <c r="A2601">
        <v>2585</v>
      </c>
      <c r="B2601" s="75">
        <v>88.29</v>
      </c>
      <c r="C2601" s="75">
        <v>99.26</v>
      </c>
      <c r="D2601" s="75">
        <v>93.42</v>
      </c>
      <c r="E2601" s="75">
        <v>93.27</v>
      </c>
      <c r="F2601">
        <v>4177.1400000000003</v>
      </c>
      <c r="G2601">
        <v>-1575</v>
      </c>
      <c r="H2601">
        <v>-1207</v>
      </c>
      <c r="I2601">
        <v>107.80000000000001</v>
      </c>
      <c r="J2601">
        <v>1502.9400000000003</v>
      </c>
    </row>
    <row r="2602" spans="1:10" x14ac:dyDescent="0.35">
      <c r="A2602">
        <v>2586</v>
      </c>
      <c r="B2602" s="75">
        <v>89.956000000000003</v>
      </c>
      <c r="C2602" s="75">
        <v>98.754800000000003</v>
      </c>
      <c r="D2602" s="75">
        <v>93.519400000000005</v>
      </c>
      <c r="E2602" s="75">
        <v>94.414400000000001</v>
      </c>
      <c r="F2602">
        <v>-1327.9199999999998</v>
      </c>
      <c r="G2602">
        <v>-817.35</v>
      </c>
      <c r="H2602">
        <v>-1406.6000000000001</v>
      </c>
      <c r="I2602">
        <v>-1033.8</v>
      </c>
      <c r="J2602">
        <v>-4585.67</v>
      </c>
    </row>
    <row r="2603" spans="1:10" x14ac:dyDescent="0.35">
      <c r="A2603">
        <v>2587</v>
      </c>
      <c r="B2603" s="75">
        <v>89.66</v>
      </c>
      <c r="C2603" s="75">
        <v>98.51</v>
      </c>
      <c r="D2603" s="75">
        <v>91.02</v>
      </c>
      <c r="E2603" s="75">
        <v>93.28</v>
      </c>
      <c r="F2603">
        <v>-353.09999999999997</v>
      </c>
      <c r="G2603">
        <v>-447</v>
      </c>
      <c r="H2603">
        <v>3594.8</v>
      </c>
      <c r="I2603">
        <v>104.2</v>
      </c>
      <c r="J2603">
        <v>2898.9</v>
      </c>
    </row>
    <row r="2604" spans="1:10" x14ac:dyDescent="0.35">
      <c r="A2604">
        <v>2588</v>
      </c>
      <c r="B2604" s="75">
        <v>90.087299999999999</v>
      </c>
      <c r="C2604" s="75">
        <v>99.094899999999996</v>
      </c>
      <c r="D2604" s="75">
        <v>92.734899999999996</v>
      </c>
      <c r="E2604" s="75">
        <v>89.605199999999996</v>
      </c>
      <c r="F2604">
        <v>-1761.2099999999998</v>
      </c>
      <c r="G2604">
        <v>-1327.5</v>
      </c>
      <c r="H2604">
        <v>162.39999999999998</v>
      </c>
      <c r="I2604">
        <v>3775.4</v>
      </c>
      <c r="J2604">
        <v>849.09000000000015</v>
      </c>
    </row>
    <row r="2605" spans="1:10" x14ac:dyDescent="0.35">
      <c r="A2605">
        <v>2589</v>
      </c>
      <c r="B2605" s="75">
        <v>89.84</v>
      </c>
      <c r="C2605" s="75">
        <v>97.3</v>
      </c>
      <c r="D2605" s="75">
        <v>93.04</v>
      </c>
      <c r="E2605" s="75">
        <v>94.8</v>
      </c>
      <c r="F2605">
        <v>-947.09999999999991</v>
      </c>
      <c r="G2605">
        <v>1367.25</v>
      </c>
      <c r="H2605">
        <v>-455.6</v>
      </c>
      <c r="I2605">
        <v>-1415</v>
      </c>
      <c r="J2605">
        <v>-1450.4499999999998</v>
      </c>
    </row>
    <row r="2606" spans="1:10" x14ac:dyDescent="0.35">
      <c r="A2606">
        <v>2590</v>
      </c>
      <c r="B2606" s="75">
        <v>89.349000000000004</v>
      </c>
      <c r="C2606" s="75">
        <v>97.764799999999994</v>
      </c>
      <c r="D2606" s="75">
        <v>92.0214</v>
      </c>
      <c r="E2606" s="75">
        <v>91.256699999999995</v>
      </c>
      <c r="F2606">
        <v>675.18000000000006</v>
      </c>
      <c r="G2606">
        <v>667.65</v>
      </c>
      <c r="H2606">
        <v>1589.3999999999999</v>
      </c>
      <c r="I2606">
        <v>2123.9</v>
      </c>
      <c r="J2606">
        <v>5056.1299999999992</v>
      </c>
    </row>
    <row r="2607" spans="1:10" x14ac:dyDescent="0.35">
      <c r="A2607">
        <v>2591</v>
      </c>
      <c r="B2607" s="75">
        <v>88.99</v>
      </c>
      <c r="C2607" s="75">
        <v>98.89</v>
      </c>
      <c r="D2607" s="75">
        <v>93.42</v>
      </c>
      <c r="E2607" s="75">
        <v>93.98</v>
      </c>
      <c r="F2607">
        <v>1855.92</v>
      </c>
      <c r="G2607">
        <v>-1023.9</v>
      </c>
      <c r="H2607">
        <v>-1198.8000000000002</v>
      </c>
      <c r="I2607">
        <v>-595.40000000000009</v>
      </c>
      <c r="J2607">
        <v>-962.18000000000018</v>
      </c>
    </row>
    <row r="2608" spans="1:10" x14ac:dyDescent="0.35">
      <c r="A2608">
        <v>2592</v>
      </c>
      <c r="B2608" s="75">
        <v>89.461299999999994</v>
      </c>
      <c r="C2608" s="75">
        <v>98.411500000000004</v>
      </c>
      <c r="D2608" s="75">
        <v>92.241299999999995</v>
      </c>
      <c r="E2608" s="75">
        <v>94.1524</v>
      </c>
      <c r="F2608">
        <v>304.58999999999997</v>
      </c>
      <c r="G2608">
        <v>-302.39999999999998</v>
      </c>
      <c r="H2608">
        <v>1149.5999999999999</v>
      </c>
      <c r="I2608">
        <v>-771.80000000000007</v>
      </c>
      <c r="J2608">
        <v>379.9899999999999</v>
      </c>
    </row>
    <row r="2609" spans="1:10" x14ac:dyDescent="0.35">
      <c r="A2609">
        <v>2593</v>
      </c>
      <c r="B2609" s="75">
        <v>89.01</v>
      </c>
      <c r="C2609" s="75">
        <v>98.26</v>
      </c>
      <c r="D2609" s="75">
        <v>94.79</v>
      </c>
      <c r="E2609" s="75">
        <v>92.93</v>
      </c>
      <c r="F2609">
        <v>1810.05</v>
      </c>
      <c r="G2609">
        <v>-77.7</v>
      </c>
      <c r="H2609">
        <v>-3954.4</v>
      </c>
      <c r="I2609">
        <v>453.90000000000003</v>
      </c>
      <c r="J2609">
        <v>-1768.15</v>
      </c>
    </row>
    <row r="2610" spans="1:10" x14ac:dyDescent="0.35">
      <c r="A2610">
        <v>2594</v>
      </c>
      <c r="B2610" s="75">
        <v>89.8596</v>
      </c>
      <c r="C2610" s="75">
        <v>97.070099999999996</v>
      </c>
      <c r="D2610" s="75">
        <v>93.122299999999996</v>
      </c>
      <c r="E2610" s="75">
        <v>93.611099999999993</v>
      </c>
      <c r="F2610">
        <v>-1009.8</v>
      </c>
      <c r="G2610">
        <v>1709.6999999999998</v>
      </c>
      <c r="H2610">
        <v>-612.40000000000009</v>
      </c>
      <c r="I2610">
        <v>-230.5</v>
      </c>
      <c r="J2610">
        <v>-143.00000000000023</v>
      </c>
    </row>
    <row r="2611" spans="1:10" x14ac:dyDescent="0.35">
      <c r="A2611">
        <v>2595</v>
      </c>
      <c r="B2611" s="75">
        <v>89.67</v>
      </c>
      <c r="C2611" s="75">
        <v>98.75</v>
      </c>
      <c r="D2611" s="75">
        <v>93.16</v>
      </c>
      <c r="E2611" s="75">
        <v>91.94</v>
      </c>
      <c r="F2611">
        <v>-389.4</v>
      </c>
      <c r="G2611">
        <v>-809.4</v>
      </c>
      <c r="H2611">
        <v>-683.6</v>
      </c>
      <c r="I2611">
        <v>1445</v>
      </c>
      <c r="J2611">
        <v>-437.40000000000009</v>
      </c>
    </row>
    <row r="2612" spans="1:10" x14ac:dyDescent="0.35">
      <c r="A2612">
        <v>2596</v>
      </c>
      <c r="B2612" s="75">
        <v>88.983000000000004</v>
      </c>
      <c r="C2612" s="75">
        <v>97.489400000000003</v>
      </c>
      <c r="D2612" s="75">
        <v>91.1661</v>
      </c>
      <c r="E2612" s="75">
        <v>94.812600000000003</v>
      </c>
      <c r="F2612">
        <v>1882.98</v>
      </c>
      <c r="G2612">
        <v>1080.75</v>
      </c>
      <c r="H2612">
        <v>3300</v>
      </c>
      <c r="I2612">
        <v>-1432</v>
      </c>
      <c r="J2612">
        <v>4831.7299999999996</v>
      </c>
    </row>
    <row r="2613" spans="1:10" x14ac:dyDescent="0.35">
      <c r="A2613">
        <v>2597</v>
      </c>
      <c r="B2613" s="75">
        <v>88.98</v>
      </c>
      <c r="C2613" s="75">
        <v>98.76</v>
      </c>
      <c r="D2613" s="75">
        <v>94.55</v>
      </c>
      <c r="E2613" s="75">
        <v>91.47</v>
      </c>
      <c r="F2613">
        <v>1880.9999999999998</v>
      </c>
      <c r="G2613">
        <v>-829.19999999999993</v>
      </c>
      <c r="H2613">
        <v>-3472.7999999999997</v>
      </c>
      <c r="I2613">
        <v>1907.3</v>
      </c>
      <c r="J2613">
        <v>-513.70000000000005</v>
      </c>
    </row>
    <row r="2614" spans="1:10" x14ac:dyDescent="0.35">
      <c r="A2614">
        <v>2598</v>
      </c>
      <c r="B2614" s="75">
        <v>89.0411</v>
      </c>
      <c r="C2614" s="75">
        <v>99.181899999999999</v>
      </c>
      <c r="D2614" s="75">
        <v>93.876599999999996</v>
      </c>
      <c r="E2614" s="75">
        <v>92.962599999999995</v>
      </c>
      <c r="F2614">
        <v>1691.2499999999998</v>
      </c>
      <c r="G2614">
        <v>-1458</v>
      </c>
      <c r="H2614">
        <v>-2121</v>
      </c>
      <c r="I2614">
        <v>418</v>
      </c>
      <c r="J2614">
        <v>-1469.7500000000002</v>
      </c>
    </row>
    <row r="2615" spans="1:10" x14ac:dyDescent="0.35">
      <c r="A2615">
        <v>2599</v>
      </c>
      <c r="B2615" s="75">
        <v>90.49</v>
      </c>
      <c r="C2615" s="75">
        <v>97.12</v>
      </c>
      <c r="D2615" s="75">
        <v>94.72</v>
      </c>
      <c r="E2615" s="75">
        <v>95.03</v>
      </c>
      <c r="F2615">
        <v>-3077.25</v>
      </c>
      <c r="G2615">
        <v>1634.3999999999999</v>
      </c>
      <c r="H2615">
        <v>-3804</v>
      </c>
      <c r="I2615">
        <v>-1651.4</v>
      </c>
      <c r="J2615">
        <v>-6898.25</v>
      </c>
    </row>
    <row r="2616" spans="1:10" x14ac:dyDescent="0.35">
      <c r="A2616">
        <v>2600</v>
      </c>
      <c r="B2616" s="75">
        <v>89.496399999999994</v>
      </c>
      <c r="C2616" s="75">
        <v>98.646900000000002</v>
      </c>
      <c r="D2616" s="75">
        <v>92.196799999999996</v>
      </c>
      <c r="E2616" s="75">
        <v>93.990799999999993</v>
      </c>
      <c r="F2616">
        <v>188.76</v>
      </c>
      <c r="G2616">
        <v>-655.5</v>
      </c>
      <c r="H2616">
        <v>1238.5999999999999</v>
      </c>
      <c r="I2616">
        <v>-610.19999999999993</v>
      </c>
      <c r="J2616">
        <v>161.65999999999997</v>
      </c>
    </row>
    <row r="2617" spans="1:10" x14ac:dyDescent="0.35">
      <c r="A2617">
        <v>2601</v>
      </c>
      <c r="B2617" s="75">
        <v>89.16</v>
      </c>
      <c r="C2617" s="75">
        <v>98.83</v>
      </c>
      <c r="D2617" s="75">
        <v>93.71</v>
      </c>
      <c r="E2617" s="75">
        <v>93.95</v>
      </c>
      <c r="F2617">
        <v>1309.1099999999999</v>
      </c>
      <c r="G2617">
        <v>-926.25000000000011</v>
      </c>
      <c r="H2617">
        <v>-1794.8</v>
      </c>
      <c r="I2617">
        <v>-572.30000000000007</v>
      </c>
      <c r="J2617">
        <v>-1984.2400000000002</v>
      </c>
    </row>
    <row r="2618" spans="1:10" x14ac:dyDescent="0.35">
      <c r="A2618">
        <v>2602</v>
      </c>
      <c r="B2618" s="75">
        <v>89.666799999999995</v>
      </c>
      <c r="C2618" s="75">
        <v>98.2804</v>
      </c>
      <c r="D2618" s="75">
        <v>91.112399999999994</v>
      </c>
      <c r="E2618" s="75">
        <v>95.123199999999997</v>
      </c>
      <c r="F2618">
        <v>-373.56</v>
      </c>
      <c r="G2618">
        <v>-105.74999999999999</v>
      </c>
      <c r="H2618">
        <v>3407.4</v>
      </c>
      <c r="I2618">
        <v>-1742.6</v>
      </c>
      <c r="J2618">
        <v>1185.4900000000002</v>
      </c>
    </row>
    <row r="2619" spans="1:10" x14ac:dyDescent="0.35">
      <c r="A2619">
        <v>2603</v>
      </c>
      <c r="B2619" s="75">
        <v>89.8</v>
      </c>
      <c r="C2619" s="75">
        <v>98.89</v>
      </c>
      <c r="D2619" s="75">
        <v>90.23</v>
      </c>
      <c r="E2619" s="75">
        <v>89.67</v>
      </c>
      <c r="F2619">
        <v>-812.46</v>
      </c>
      <c r="G2619">
        <v>-1012.8000000000001</v>
      </c>
      <c r="H2619">
        <v>5163.5999999999995</v>
      </c>
      <c r="I2619">
        <v>3709.8</v>
      </c>
      <c r="J2619">
        <v>7048.1399999999994</v>
      </c>
    </row>
    <row r="2620" spans="1:10" x14ac:dyDescent="0.35">
      <c r="A2620">
        <v>2604</v>
      </c>
      <c r="B2620" s="75">
        <v>90.063199999999995</v>
      </c>
      <c r="C2620" s="75">
        <v>98.080799999999996</v>
      </c>
      <c r="D2620" s="75">
        <v>91.310900000000004</v>
      </c>
      <c r="E2620" s="75">
        <v>91.363100000000003</v>
      </c>
      <c r="F2620">
        <v>-1681.68</v>
      </c>
      <c r="G2620">
        <v>193.64999999999998</v>
      </c>
      <c r="H2620">
        <v>3010.4</v>
      </c>
      <c r="I2620">
        <v>2017.5</v>
      </c>
      <c r="J2620">
        <v>3539.87</v>
      </c>
    </row>
    <row r="2621" spans="1:10" x14ac:dyDescent="0.35">
      <c r="A2621">
        <v>2605</v>
      </c>
      <c r="B2621" s="75">
        <v>89.52</v>
      </c>
      <c r="C2621" s="75">
        <v>97.73</v>
      </c>
      <c r="D2621" s="75">
        <v>93.9</v>
      </c>
      <c r="E2621" s="75">
        <v>94.15</v>
      </c>
      <c r="F2621">
        <v>116.82000000000001</v>
      </c>
      <c r="G2621">
        <v>714.30000000000007</v>
      </c>
      <c r="H2621">
        <v>-2174.6</v>
      </c>
      <c r="I2621">
        <v>-769.1</v>
      </c>
      <c r="J2621">
        <v>-2112.58</v>
      </c>
    </row>
    <row r="2622" spans="1:10" x14ac:dyDescent="0.35">
      <c r="A2622">
        <v>2606</v>
      </c>
      <c r="B2622" s="75">
        <v>88.702500000000001</v>
      </c>
      <c r="C2622" s="75">
        <v>97.677199999999999</v>
      </c>
      <c r="D2622" s="75">
        <v>90.831100000000006</v>
      </c>
      <c r="E2622" s="75">
        <v>91.764499999999998</v>
      </c>
      <c r="F2622">
        <v>2808.63</v>
      </c>
      <c r="G2622">
        <v>799.05</v>
      </c>
      <c r="H2622">
        <v>3970</v>
      </c>
      <c r="I2622">
        <v>1616.1000000000001</v>
      </c>
      <c r="J2622">
        <v>9193.7800000000007</v>
      </c>
    </row>
    <row r="2623" spans="1:10" x14ac:dyDescent="0.35">
      <c r="A2623">
        <v>2607</v>
      </c>
      <c r="B2623" s="75">
        <v>89.16</v>
      </c>
      <c r="C2623" s="75">
        <v>97.44</v>
      </c>
      <c r="D2623" s="75">
        <v>92.23</v>
      </c>
      <c r="E2623" s="75">
        <v>94.58</v>
      </c>
      <c r="F2623">
        <v>1309.77</v>
      </c>
      <c r="G2623">
        <v>1149.45</v>
      </c>
      <c r="H2623">
        <v>1180.8000000000002</v>
      </c>
      <c r="I2623">
        <v>-1198.3999999999999</v>
      </c>
      <c r="J2623">
        <v>2441.6200000000008</v>
      </c>
    </row>
    <row r="2624" spans="1:10" x14ac:dyDescent="0.35">
      <c r="A2624">
        <v>2608</v>
      </c>
      <c r="B2624" s="75">
        <v>89.194100000000006</v>
      </c>
      <c r="C2624" s="75">
        <v>98.547700000000006</v>
      </c>
      <c r="D2624" s="75">
        <v>90.139099999999999</v>
      </c>
      <c r="E2624" s="75">
        <v>93.080299999999994</v>
      </c>
      <c r="F2624">
        <v>1186.3499999999999</v>
      </c>
      <c r="G2624">
        <v>-506.7</v>
      </c>
      <c r="H2624">
        <v>5354</v>
      </c>
      <c r="I2624">
        <v>300.3</v>
      </c>
      <c r="J2624">
        <v>6333.95</v>
      </c>
    </row>
    <row r="2625" spans="1:10" x14ac:dyDescent="0.35">
      <c r="A2625">
        <v>2609</v>
      </c>
      <c r="B2625" s="75">
        <v>89.66</v>
      </c>
      <c r="C2625" s="75">
        <v>97.01</v>
      </c>
      <c r="D2625" s="75">
        <v>93.6</v>
      </c>
      <c r="E2625" s="75">
        <v>93.63</v>
      </c>
      <c r="F2625">
        <v>-355.41</v>
      </c>
      <c r="G2625">
        <v>1795.95</v>
      </c>
      <c r="H2625">
        <v>-1573</v>
      </c>
      <c r="I2625">
        <v>-248.6</v>
      </c>
      <c r="J2625">
        <v>-381.06000000000006</v>
      </c>
    </row>
    <row r="2626" spans="1:10" x14ac:dyDescent="0.35">
      <c r="A2626">
        <v>2610</v>
      </c>
      <c r="B2626" s="75">
        <v>90.025800000000004</v>
      </c>
      <c r="C2626" s="75">
        <v>97.779200000000003</v>
      </c>
      <c r="D2626" s="75">
        <v>91.734200000000001</v>
      </c>
      <c r="E2626" s="75">
        <v>93.331299999999999</v>
      </c>
      <c r="F2626">
        <v>-1558.26</v>
      </c>
      <c r="G2626">
        <v>646.05000000000007</v>
      </c>
      <c r="H2626">
        <v>2163.8000000000002</v>
      </c>
      <c r="I2626">
        <v>49.3</v>
      </c>
      <c r="J2626">
        <v>1300.8900000000001</v>
      </c>
    </row>
    <row r="2627" spans="1:10" x14ac:dyDescent="0.35">
      <c r="A2627">
        <v>2611</v>
      </c>
      <c r="B2627" s="75">
        <v>89.51</v>
      </c>
      <c r="C2627" s="75">
        <v>99.24</v>
      </c>
      <c r="D2627" s="75">
        <v>91.39</v>
      </c>
      <c r="E2627" s="75">
        <v>93.51</v>
      </c>
      <c r="F2627">
        <v>159.39000000000001</v>
      </c>
      <c r="G2627">
        <v>-1542.45</v>
      </c>
      <c r="H2627">
        <v>2862.2000000000003</v>
      </c>
      <c r="I2627">
        <v>-129.80000000000001</v>
      </c>
      <c r="J2627">
        <v>1349.3400000000004</v>
      </c>
    </row>
    <row r="2628" spans="1:10" x14ac:dyDescent="0.35">
      <c r="A2628">
        <v>2612</v>
      </c>
      <c r="B2628" s="75">
        <v>90.149900000000002</v>
      </c>
      <c r="C2628" s="75">
        <v>98.6404</v>
      </c>
      <c r="D2628" s="75">
        <v>90.818100000000001</v>
      </c>
      <c r="E2628" s="75">
        <v>90.388599999999997</v>
      </c>
      <c r="F2628">
        <v>-1967.7900000000002</v>
      </c>
      <c r="G2628">
        <v>-645.75</v>
      </c>
      <c r="H2628">
        <v>3996</v>
      </c>
      <c r="I2628">
        <v>2992</v>
      </c>
      <c r="J2628">
        <v>4374.46</v>
      </c>
    </row>
    <row r="2629" spans="1:10" x14ac:dyDescent="0.35">
      <c r="A2629">
        <v>2613</v>
      </c>
      <c r="B2629" s="75">
        <v>89.17</v>
      </c>
      <c r="C2629" s="75">
        <v>97.96</v>
      </c>
      <c r="D2629" s="75">
        <v>92.34</v>
      </c>
      <c r="E2629" s="75">
        <v>92.44</v>
      </c>
      <c r="F2629">
        <v>1265.8799999999999</v>
      </c>
      <c r="G2629">
        <v>370.95</v>
      </c>
      <c r="H2629">
        <v>957.2</v>
      </c>
      <c r="I2629">
        <v>940</v>
      </c>
      <c r="J2629">
        <v>3534.0299999999997</v>
      </c>
    </row>
    <row r="2630" spans="1:10" x14ac:dyDescent="0.35">
      <c r="A2630">
        <v>2614</v>
      </c>
      <c r="B2630" s="75">
        <v>89.643799999999999</v>
      </c>
      <c r="C2630" s="75">
        <v>98.195700000000002</v>
      </c>
      <c r="D2630" s="75">
        <v>93.2667</v>
      </c>
      <c r="E2630" s="75">
        <v>94.132099999999994</v>
      </c>
      <c r="F2630">
        <v>-297.66000000000003</v>
      </c>
      <c r="G2630">
        <v>21.3</v>
      </c>
      <c r="H2630">
        <v>-901.2</v>
      </c>
      <c r="I2630">
        <v>-751.5</v>
      </c>
      <c r="J2630">
        <v>-1929.06</v>
      </c>
    </row>
    <row r="2631" spans="1:10" x14ac:dyDescent="0.35">
      <c r="A2631">
        <v>2615</v>
      </c>
      <c r="B2631" s="75">
        <v>89.04</v>
      </c>
      <c r="C2631" s="75">
        <v>98.7</v>
      </c>
      <c r="D2631" s="75">
        <v>93.19</v>
      </c>
      <c r="E2631" s="75">
        <v>92.26</v>
      </c>
      <c r="F2631">
        <v>1688.6100000000001</v>
      </c>
      <c r="G2631">
        <v>-740.7</v>
      </c>
      <c r="H2631">
        <v>-747.4</v>
      </c>
      <c r="I2631">
        <v>1117.5</v>
      </c>
      <c r="J2631">
        <v>1318.0100000000002</v>
      </c>
    </row>
    <row r="2632" spans="1:10" x14ac:dyDescent="0.35">
      <c r="A2632">
        <v>2616</v>
      </c>
      <c r="B2632" s="75">
        <v>88.739000000000004</v>
      </c>
      <c r="C2632" s="75">
        <v>99.747900000000001</v>
      </c>
      <c r="D2632" s="75">
        <v>91.7898</v>
      </c>
      <c r="E2632" s="75">
        <v>94.042900000000003</v>
      </c>
      <c r="F2632">
        <v>2688.18</v>
      </c>
      <c r="G2632">
        <v>-2307</v>
      </c>
      <c r="H2632">
        <v>2052.6</v>
      </c>
      <c r="I2632">
        <v>-662.3</v>
      </c>
      <c r="J2632">
        <v>1771.4799999999998</v>
      </c>
    </row>
    <row r="2633" spans="1:10" x14ac:dyDescent="0.35">
      <c r="A2633">
        <v>2617</v>
      </c>
      <c r="B2633" s="75">
        <v>89.18</v>
      </c>
      <c r="C2633" s="75">
        <v>98.75</v>
      </c>
      <c r="D2633" s="75">
        <v>92.6</v>
      </c>
      <c r="E2633" s="75">
        <v>95.12</v>
      </c>
      <c r="F2633">
        <v>1244.76</v>
      </c>
      <c r="G2633">
        <v>-805.05</v>
      </c>
      <c r="H2633">
        <v>436.2</v>
      </c>
      <c r="I2633">
        <v>-1744.3</v>
      </c>
      <c r="J2633">
        <v>-868.38999999999987</v>
      </c>
    </row>
    <row r="2634" spans="1:10" x14ac:dyDescent="0.35">
      <c r="A2634">
        <v>2618</v>
      </c>
      <c r="B2634" s="75">
        <v>88.93</v>
      </c>
      <c r="C2634" s="75">
        <v>98.165800000000004</v>
      </c>
      <c r="D2634" s="75">
        <v>91.825599999999994</v>
      </c>
      <c r="E2634" s="75">
        <v>89.921899999999994</v>
      </c>
      <c r="F2634">
        <v>2057.88</v>
      </c>
      <c r="G2634">
        <v>66.150000000000006</v>
      </c>
      <c r="H2634">
        <v>1981</v>
      </c>
      <c r="I2634">
        <v>3458.7</v>
      </c>
      <c r="J2634">
        <v>7563.7300000000005</v>
      </c>
    </row>
    <row r="2635" spans="1:10" x14ac:dyDescent="0.35">
      <c r="A2635">
        <v>2619</v>
      </c>
      <c r="B2635" s="75">
        <v>89.67</v>
      </c>
      <c r="C2635" s="75">
        <v>98.91</v>
      </c>
      <c r="D2635" s="75">
        <v>90.71</v>
      </c>
      <c r="E2635" s="75">
        <v>93.6</v>
      </c>
      <c r="F2635">
        <v>-392.37</v>
      </c>
      <c r="G2635">
        <v>-1044.3</v>
      </c>
      <c r="H2635">
        <v>4210</v>
      </c>
      <c r="I2635">
        <v>-219.29999999999998</v>
      </c>
      <c r="J2635">
        <v>2554.0299999999997</v>
      </c>
    </row>
    <row r="2636" spans="1:10" x14ac:dyDescent="0.35">
      <c r="A2636">
        <v>2620</v>
      </c>
      <c r="B2636" s="75">
        <v>89.355500000000006</v>
      </c>
      <c r="C2636" s="75">
        <v>98.830200000000005</v>
      </c>
      <c r="D2636" s="75">
        <v>90.386499999999998</v>
      </c>
      <c r="E2636" s="75">
        <v>92.182199999999995</v>
      </c>
      <c r="F2636">
        <v>653.73</v>
      </c>
      <c r="G2636">
        <v>-930.44999999999993</v>
      </c>
      <c r="H2636">
        <v>4859.2000000000007</v>
      </c>
      <c r="I2636">
        <v>1198.3999999999999</v>
      </c>
      <c r="J2636">
        <v>5780.88</v>
      </c>
    </row>
    <row r="2637" spans="1:10" x14ac:dyDescent="0.35">
      <c r="A2637">
        <v>2621</v>
      </c>
      <c r="B2637" s="75">
        <v>89.53</v>
      </c>
      <c r="C2637" s="75">
        <v>97.96</v>
      </c>
      <c r="D2637" s="75">
        <v>93.03</v>
      </c>
      <c r="E2637" s="75">
        <v>96.83</v>
      </c>
      <c r="F2637">
        <v>64.679999999999993</v>
      </c>
      <c r="G2637">
        <v>376.95000000000005</v>
      </c>
      <c r="H2637">
        <v>-426</v>
      </c>
      <c r="I2637">
        <v>-3454</v>
      </c>
      <c r="J2637">
        <v>-3438.37</v>
      </c>
    </row>
    <row r="2638" spans="1:10" x14ac:dyDescent="0.35">
      <c r="A2638">
        <v>2622</v>
      </c>
      <c r="B2638" s="75">
        <v>89.476600000000005</v>
      </c>
      <c r="C2638" s="75">
        <v>98.197800000000001</v>
      </c>
      <c r="D2638" s="75">
        <v>92.315100000000001</v>
      </c>
      <c r="E2638" s="75">
        <v>96.193100000000001</v>
      </c>
      <c r="F2638">
        <v>254.1</v>
      </c>
      <c r="G2638">
        <v>18.149999999999999</v>
      </c>
      <c r="H2638">
        <v>1002</v>
      </c>
      <c r="I2638">
        <v>-2812.5</v>
      </c>
      <c r="J2638">
        <v>-1538.25</v>
      </c>
    </row>
    <row r="2639" spans="1:10" x14ac:dyDescent="0.35">
      <c r="A2639">
        <v>2623</v>
      </c>
      <c r="B2639" s="75">
        <v>88.55</v>
      </c>
      <c r="C2639" s="75">
        <v>97.69</v>
      </c>
      <c r="D2639" s="75">
        <v>94.39</v>
      </c>
      <c r="E2639" s="75">
        <v>93.4</v>
      </c>
      <c r="F2639">
        <v>3296.37</v>
      </c>
      <c r="G2639">
        <v>772.65</v>
      </c>
      <c r="H2639">
        <v>-3144.6</v>
      </c>
      <c r="I2639">
        <v>-15.9</v>
      </c>
      <c r="J2639">
        <v>908.5200000000001</v>
      </c>
    </row>
    <row r="2640" spans="1:10" x14ac:dyDescent="0.35">
      <c r="A2640">
        <v>2624</v>
      </c>
      <c r="B2640" s="75">
        <v>89.409400000000005</v>
      </c>
      <c r="C2640" s="75">
        <v>97.881799999999998</v>
      </c>
      <c r="D2640" s="75">
        <v>93.053799999999995</v>
      </c>
      <c r="E2640" s="75">
        <v>91.588200000000001</v>
      </c>
      <c r="F2640">
        <v>475.85999999999996</v>
      </c>
      <c r="G2640">
        <v>492.15</v>
      </c>
      <c r="H2640">
        <v>-475.4</v>
      </c>
      <c r="I2640">
        <v>1792.4</v>
      </c>
      <c r="J2640">
        <v>2285.0100000000002</v>
      </c>
    </row>
    <row r="2641" spans="1:10" x14ac:dyDescent="0.35">
      <c r="A2641">
        <v>2625</v>
      </c>
      <c r="B2641" s="75">
        <v>89.27</v>
      </c>
      <c r="C2641" s="75">
        <v>99.29</v>
      </c>
      <c r="D2641" s="75">
        <v>93.62</v>
      </c>
      <c r="E2641" s="75">
        <v>91.44</v>
      </c>
      <c r="F2641">
        <v>937.19999999999993</v>
      </c>
      <c r="G2641">
        <v>-1626.3000000000002</v>
      </c>
      <c r="H2641">
        <v>-1598</v>
      </c>
      <c r="I2641">
        <v>1941.8</v>
      </c>
      <c r="J2641">
        <v>-345.30000000000041</v>
      </c>
    </row>
    <row r="2642" spans="1:10" x14ac:dyDescent="0.35">
      <c r="A2642">
        <v>2626</v>
      </c>
      <c r="B2642" s="75">
        <v>89.411900000000003</v>
      </c>
      <c r="C2642" s="75">
        <v>99.074399999999997</v>
      </c>
      <c r="D2642" s="75">
        <v>92.212400000000002</v>
      </c>
      <c r="E2642" s="75">
        <v>94.414699999999996</v>
      </c>
      <c r="F2642">
        <v>467.60999999999996</v>
      </c>
      <c r="G2642">
        <v>-1296.75</v>
      </c>
      <c r="H2642">
        <v>1207.4000000000001</v>
      </c>
      <c r="I2642">
        <v>-1034.0999999999999</v>
      </c>
      <c r="J2642">
        <v>-655.83999999999992</v>
      </c>
    </row>
    <row r="2643" spans="1:10" x14ac:dyDescent="0.35">
      <c r="A2643">
        <v>2627</v>
      </c>
      <c r="B2643" s="75">
        <v>90</v>
      </c>
      <c r="C2643" s="75">
        <v>100.79</v>
      </c>
      <c r="D2643" s="75">
        <v>92.8</v>
      </c>
      <c r="E2643" s="75">
        <v>91.96</v>
      </c>
      <c r="F2643">
        <v>-1459.92</v>
      </c>
      <c r="G2643">
        <v>-3874.2000000000003</v>
      </c>
      <c r="H2643">
        <v>26.8</v>
      </c>
      <c r="I2643">
        <v>1424.1</v>
      </c>
      <c r="J2643">
        <v>-3883.2200000000007</v>
      </c>
    </row>
    <row r="2644" spans="1:10" x14ac:dyDescent="0.35">
      <c r="A2644">
        <v>2628</v>
      </c>
      <c r="B2644" s="75">
        <v>89.5274</v>
      </c>
      <c r="C2644" s="75">
        <v>98.875200000000007</v>
      </c>
      <c r="D2644" s="75">
        <v>92.7607</v>
      </c>
      <c r="E2644" s="75">
        <v>93.886499999999998</v>
      </c>
      <c r="F2644">
        <v>86.460000000000008</v>
      </c>
      <c r="G2644">
        <v>-997.95</v>
      </c>
      <c r="H2644">
        <v>110.8</v>
      </c>
      <c r="I2644">
        <v>-505.90000000000003</v>
      </c>
      <c r="J2644">
        <v>-1306.5900000000001</v>
      </c>
    </row>
    <row r="2645" spans="1:10" x14ac:dyDescent="0.35">
      <c r="A2645">
        <v>2629</v>
      </c>
      <c r="B2645" s="75">
        <v>89.64</v>
      </c>
      <c r="C2645" s="75">
        <v>99.01</v>
      </c>
      <c r="D2645" s="75">
        <v>94.27</v>
      </c>
      <c r="E2645" s="75">
        <v>92.47</v>
      </c>
      <c r="F2645">
        <v>-289.41000000000003</v>
      </c>
      <c r="G2645">
        <v>-1194.75</v>
      </c>
      <c r="H2645">
        <v>-2914.8</v>
      </c>
      <c r="I2645">
        <v>909.1</v>
      </c>
      <c r="J2645">
        <v>-3489.86</v>
      </c>
    </row>
    <row r="2646" spans="1:10" x14ac:dyDescent="0.35">
      <c r="A2646">
        <v>2630</v>
      </c>
      <c r="B2646" s="75">
        <v>89.861800000000002</v>
      </c>
      <c r="C2646" s="75">
        <v>97.368499999999997</v>
      </c>
      <c r="D2646" s="75">
        <v>93.459599999999995</v>
      </c>
      <c r="E2646" s="75">
        <v>95.431600000000003</v>
      </c>
      <c r="F2646">
        <v>-1017.06</v>
      </c>
      <c r="G2646">
        <v>1262.1000000000001</v>
      </c>
      <c r="H2646">
        <v>-1287</v>
      </c>
      <c r="I2646">
        <v>-2051</v>
      </c>
      <c r="J2646">
        <v>-3092.96</v>
      </c>
    </row>
    <row r="2647" spans="1:10" x14ac:dyDescent="0.35">
      <c r="A2647">
        <v>2631</v>
      </c>
      <c r="B2647" s="75">
        <v>89.09</v>
      </c>
      <c r="C2647" s="75">
        <v>98.21</v>
      </c>
      <c r="D2647" s="75">
        <v>93.62</v>
      </c>
      <c r="E2647" s="75">
        <v>91.85</v>
      </c>
      <c r="F2647">
        <v>1541.1000000000001</v>
      </c>
      <c r="G2647">
        <v>-0.89999999999999991</v>
      </c>
      <c r="H2647">
        <v>-1603.6</v>
      </c>
      <c r="I2647">
        <v>1525.9</v>
      </c>
      <c r="J2647">
        <v>1462.5000000000002</v>
      </c>
    </row>
    <row r="2648" spans="1:10" x14ac:dyDescent="0.35">
      <c r="A2648">
        <v>2632</v>
      </c>
      <c r="B2648" s="75">
        <v>90.284300000000002</v>
      </c>
      <c r="C2648" s="75">
        <v>98.105099999999993</v>
      </c>
      <c r="D2648" s="75">
        <v>92.440899999999999</v>
      </c>
      <c r="E2648" s="75">
        <v>94.451599999999999</v>
      </c>
      <c r="F2648">
        <v>-2411.31</v>
      </c>
      <c r="G2648">
        <v>157.20000000000002</v>
      </c>
      <c r="H2648">
        <v>750.4</v>
      </c>
      <c r="I2648">
        <v>-1071</v>
      </c>
      <c r="J2648">
        <v>-2574.71</v>
      </c>
    </row>
    <row r="2649" spans="1:10" x14ac:dyDescent="0.35">
      <c r="A2649">
        <v>2633</v>
      </c>
      <c r="B2649" s="75">
        <v>90.28</v>
      </c>
      <c r="C2649" s="75">
        <v>98.25</v>
      </c>
      <c r="D2649" s="75">
        <v>93.6</v>
      </c>
      <c r="E2649" s="75">
        <v>96.83</v>
      </c>
      <c r="F2649">
        <v>-2401.08</v>
      </c>
      <c r="G2649">
        <v>-58.8</v>
      </c>
      <c r="H2649">
        <v>-1567.1999999999998</v>
      </c>
      <c r="I2649">
        <v>-3452</v>
      </c>
      <c r="J2649">
        <v>-7479.08</v>
      </c>
    </row>
    <row r="2650" spans="1:10" x14ac:dyDescent="0.35">
      <c r="A2650">
        <v>2634</v>
      </c>
      <c r="B2650" s="75">
        <v>90.210099999999997</v>
      </c>
      <c r="C2650" s="75">
        <v>98.225200000000001</v>
      </c>
      <c r="D2650" s="75">
        <v>93.8827</v>
      </c>
      <c r="E2650" s="75">
        <v>96.087699999999998</v>
      </c>
      <c r="F2650">
        <v>-2166.4499999999998</v>
      </c>
      <c r="G2650">
        <v>-22.95</v>
      </c>
      <c r="H2650">
        <v>-2133.1999999999998</v>
      </c>
      <c r="I2650">
        <v>-2707.1</v>
      </c>
      <c r="J2650">
        <v>-7029.6999999999989</v>
      </c>
    </row>
    <row r="2651" spans="1:10" x14ac:dyDescent="0.35">
      <c r="A2651">
        <v>2635</v>
      </c>
      <c r="B2651" s="75">
        <v>90.51</v>
      </c>
      <c r="C2651" s="75">
        <v>99.05</v>
      </c>
      <c r="D2651" s="75">
        <v>93.44</v>
      </c>
      <c r="E2651" s="75">
        <v>95.81</v>
      </c>
      <c r="F2651">
        <v>-3163.38</v>
      </c>
      <c r="G2651">
        <v>-1260.9000000000001</v>
      </c>
      <c r="H2651">
        <v>-1241.8</v>
      </c>
      <c r="I2651">
        <v>-2428.7000000000003</v>
      </c>
      <c r="J2651">
        <v>-8094.7800000000007</v>
      </c>
    </row>
    <row r="2652" spans="1:10" x14ac:dyDescent="0.35">
      <c r="A2652">
        <v>2636</v>
      </c>
      <c r="B2652" s="75">
        <v>89.348699999999994</v>
      </c>
      <c r="C2652" s="75">
        <v>100.3973</v>
      </c>
      <c r="D2652" s="75">
        <v>90.884200000000007</v>
      </c>
      <c r="E2652" s="75">
        <v>94.574100000000001</v>
      </c>
      <c r="F2652">
        <v>676.17</v>
      </c>
      <c r="G2652">
        <v>-3281.1</v>
      </c>
      <c r="H2652">
        <v>3863.7999999999997</v>
      </c>
      <c r="I2652">
        <v>-1193.5</v>
      </c>
      <c r="J2652">
        <v>65.369999999999891</v>
      </c>
    </row>
    <row r="2653" spans="1:10" x14ac:dyDescent="0.35">
      <c r="A2653">
        <v>2637</v>
      </c>
      <c r="B2653" s="75">
        <v>89.05</v>
      </c>
      <c r="C2653" s="75">
        <v>98.53</v>
      </c>
      <c r="D2653" s="75">
        <v>93.48</v>
      </c>
      <c r="E2653" s="75">
        <v>91.57</v>
      </c>
      <c r="F2653">
        <v>1674.09</v>
      </c>
      <c r="G2653">
        <v>-481.65</v>
      </c>
      <c r="H2653">
        <v>-1321.1999999999998</v>
      </c>
      <c r="I2653">
        <v>1813.5</v>
      </c>
      <c r="J2653">
        <v>1684.7400000000002</v>
      </c>
    </row>
    <row r="2654" spans="1:10" x14ac:dyDescent="0.35">
      <c r="A2654">
        <v>2638</v>
      </c>
      <c r="B2654" s="75">
        <v>89.186000000000007</v>
      </c>
      <c r="C2654" s="75">
        <v>97.6922</v>
      </c>
      <c r="D2654" s="75">
        <v>92.015600000000006</v>
      </c>
      <c r="E2654" s="75">
        <v>93.366</v>
      </c>
      <c r="F2654">
        <v>1213.08</v>
      </c>
      <c r="G2654">
        <v>776.55000000000007</v>
      </c>
      <c r="H2654">
        <v>1601</v>
      </c>
      <c r="I2654">
        <v>14.6</v>
      </c>
      <c r="J2654">
        <v>3605.23</v>
      </c>
    </row>
    <row r="2655" spans="1:10" x14ac:dyDescent="0.35">
      <c r="A2655">
        <v>2639</v>
      </c>
      <c r="B2655" s="75">
        <v>89.08</v>
      </c>
      <c r="C2655" s="75">
        <v>98.01</v>
      </c>
      <c r="D2655" s="75">
        <v>93.19</v>
      </c>
      <c r="E2655" s="75">
        <v>92.5</v>
      </c>
      <c r="F2655">
        <v>1577.3999999999999</v>
      </c>
      <c r="G2655">
        <v>301.95</v>
      </c>
      <c r="H2655">
        <v>-757.4</v>
      </c>
      <c r="I2655">
        <v>881.7</v>
      </c>
      <c r="J2655">
        <v>2003.6499999999999</v>
      </c>
    </row>
    <row r="2656" spans="1:10" x14ac:dyDescent="0.35">
      <c r="A2656">
        <v>2640</v>
      </c>
      <c r="B2656" s="75">
        <v>89.740899999999996</v>
      </c>
      <c r="C2656" s="75">
        <v>99.227800000000002</v>
      </c>
      <c r="D2656" s="75">
        <v>94.635199999999998</v>
      </c>
      <c r="E2656" s="75">
        <v>92.787199999999999</v>
      </c>
      <c r="F2656">
        <v>-618.09</v>
      </c>
      <c r="G2656">
        <v>-1526.8500000000001</v>
      </c>
      <c r="H2656">
        <v>-3638.2</v>
      </c>
      <c r="I2656">
        <v>593.40000000000009</v>
      </c>
      <c r="J2656">
        <v>-5189.74</v>
      </c>
    </row>
    <row r="2657" spans="1:10" x14ac:dyDescent="0.35">
      <c r="A2657">
        <v>2641</v>
      </c>
      <c r="B2657" s="75">
        <v>89.77</v>
      </c>
      <c r="C2657" s="75">
        <v>98.07</v>
      </c>
      <c r="D2657" s="75">
        <v>93.81</v>
      </c>
      <c r="E2657" s="75">
        <v>92.81</v>
      </c>
      <c r="F2657">
        <v>-729.96</v>
      </c>
      <c r="G2657">
        <v>212.54999999999998</v>
      </c>
      <c r="H2657">
        <v>-1986.8</v>
      </c>
      <c r="I2657">
        <v>567.4</v>
      </c>
      <c r="J2657">
        <v>-1936.81</v>
      </c>
    </row>
    <row r="2658" spans="1:10" x14ac:dyDescent="0.35">
      <c r="A2658">
        <v>2642</v>
      </c>
      <c r="B2658" s="75">
        <v>90.667900000000003</v>
      </c>
      <c r="C2658" s="75">
        <v>95.684899999999999</v>
      </c>
      <c r="D2658" s="75">
        <v>93.7911</v>
      </c>
      <c r="E2658" s="75">
        <v>93.235600000000005</v>
      </c>
      <c r="F2658">
        <v>-3677.19</v>
      </c>
      <c r="G2658">
        <v>3787.5</v>
      </c>
      <c r="H2658">
        <v>-1950</v>
      </c>
      <c r="I2658">
        <v>145</v>
      </c>
      <c r="J2658">
        <v>-1694.69</v>
      </c>
    </row>
    <row r="2659" spans="1:10" x14ac:dyDescent="0.35">
      <c r="A2659">
        <v>2643</v>
      </c>
      <c r="B2659" s="75">
        <v>89.4</v>
      </c>
      <c r="C2659" s="75">
        <v>99.87</v>
      </c>
      <c r="D2659" s="75">
        <v>90.94</v>
      </c>
      <c r="E2659" s="75">
        <v>95.87</v>
      </c>
      <c r="F2659">
        <v>501.27000000000004</v>
      </c>
      <c r="G2659">
        <v>-2491.65</v>
      </c>
      <c r="H2659">
        <v>3748</v>
      </c>
      <c r="I2659">
        <v>-2493.1999999999998</v>
      </c>
      <c r="J2659">
        <v>-735.57999999999993</v>
      </c>
    </row>
    <row r="2660" spans="1:10" x14ac:dyDescent="0.35">
      <c r="A2660">
        <v>2644</v>
      </c>
      <c r="B2660" s="75">
        <v>89.792100000000005</v>
      </c>
      <c r="C2660" s="75">
        <v>97.174800000000005</v>
      </c>
      <c r="D2660" s="75">
        <v>92.103399999999993</v>
      </c>
      <c r="E2660" s="75">
        <v>90.285600000000002</v>
      </c>
      <c r="F2660">
        <v>-787.05</v>
      </c>
      <c r="G2660">
        <v>1552.6499999999999</v>
      </c>
      <c r="H2660">
        <v>1425.4</v>
      </c>
      <c r="I2660">
        <v>3095</v>
      </c>
      <c r="J2660">
        <v>5286</v>
      </c>
    </row>
    <row r="2661" spans="1:10" x14ac:dyDescent="0.35">
      <c r="A2661">
        <v>2645</v>
      </c>
      <c r="B2661" s="75">
        <v>88.99</v>
      </c>
      <c r="C2661" s="75">
        <v>97.97</v>
      </c>
      <c r="D2661" s="75">
        <v>93.63</v>
      </c>
      <c r="E2661" s="75">
        <v>92.65</v>
      </c>
      <c r="F2661">
        <v>1862.19</v>
      </c>
      <c r="G2661">
        <v>357</v>
      </c>
      <c r="H2661">
        <v>-1620.6000000000001</v>
      </c>
      <c r="I2661">
        <v>731.40000000000009</v>
      </c>
      <c r="J2661">
        <v>1329.99</v>
      </c>
    </row>
    <row r="2662" spans="1:10" x14ac:dyDescent="0.35">
      <c r="A2662">
        <v>2646</v>
      </c>
      <c r="B2662" s="75">
        <v>90.201400000000007</v>
      </c>
      <c r="C2662" s="75">
        <v>99.194100000000006</v>
      </c>
      <c r="D2662" s="75">
        <v>91.977500000000006</v>
      </c>
      <c r="E2662" s="75">
        <v>90.735399999999998</v>
      </c>
      <c r="F2662">
        <v>-2137.7400000000002</v>
      </c>
      <c r="G2662">
        <v>-1476.3</v>
      </c>
      <c r="H2662">
        <v>1677.2</v>
      </c>
      <c r="I2662">
        <v>2645.2</v>
      </c>
      <c r="J2662">
        <v>708.3599999999999</v>
      </c>
    </row>
    <row r="2663" spans="1:10" x14ac:dyDescent="0.35">
      <c r="A2663">
        <v>2647</v>
      </c>
      <c r="B2663" s="75">
        <v>89.73</v>
      </c>
      <c r="C2663" s="75">
        <v>97.23</v>
      </c>
      <c r="D2663" s="75">
        <v>91.69</v>
      </c>
      <c r="E2663" s="75">
        <v>93.03</v>
      </c>
      <c r="F2663">
        <v>-589.04999999999995</v>
      </c>
      <c r="G2663">
        <v>1465.9499999999998</v>
      </c>
      <c r="H2663">
        <v>2253.2000000000003</v>
      </c>
      <c r="I2663">
        <v>350.1</v>
      </c>
      <c r="J2663">
        <v>3480.2000000000003</v>
      </c>
    </row>
    <row r="2664" spans="1:10" x14ac:dyDescent="0.35">
      <c r="A2664">
        <v>2648</v>
      </c>
      <c r="B2664" s="75">
        <v>89.454300000000003</v>
      </c>
      <c r="C2664" s="75">
        <v>99.424400000000006</v>
      </c>
      <c r="D2664" s="75">
        <v>94.0886</v>
      </c>
      <c r="E2664" s="75">
        <v>92.173199999999994</v>
      </c>
      <c r="F2664">
        <v>327.69</v>
      </c>
      <c r="G2664">
        <v>-1821.7499999999998</v>
      </c>
      <c r="H2664">
        <v>-2545</v>
      </c>
      <c r="I2664">
        <v>1207.4000000000001</v>
      </c>
      <c r="J2664">
        <v>-2831.6599999999994</v>
      </c>
    </row>
    <row r="2665" spans="1:10" x14ac:dyDescent="0.35">
      <c r="A2665">
        <v>2649</v>
      </c>
      <c r="B2665" s="75">
        <v>89.68</v>
      </c>
      <c r="C2665" s="75">
        <v>98.51</v>
      </c>
      <c r="D2665" s="75">
        <v>92.84</v>
      </c>
      <c r="E2665" s="75">
        <v>93.06</v>
      </c>
      <c r="F2665">
        <v>-429.99</v>
      </c>
      <c r="G2665">
        <v>-456.75</v>
      </c>
      <c r="H2665">
        <v>-49.4</v>
      </c>
      <c r="I2665">
        <v>319</v>
      </c>
      <c r="J2665">
        <v>-617.14</v>
      </c>
    </row>
    <row r="2666" spans="1:10" x14ac:dyDescent="0.35">
      <c r="A2666">
        <v>2650</v>
      </c>
      <c r="B2666" s="75">
        <v>89.813999999999993</v>
      </c>
      <c r="C2666" s="75">
        <v>98.5291</v>
      </c>
      <c r="D2666" s="75">
        <v>92.016800000000003</v>
      </c>
      <c r="E2666" s="75">
        <v>95.589799999999997</v>
      </c>
      <c r="F2666">
        <v>-859.32</v>
      </c>
      <c r="G2666">
        <v>-478.79999999999995</v>
      </c>
      <c r="H2666">
        <v>1598.6</v>
      </c>
      <c r="I2666">
        <v>-2209.2000000000003</v>
      </c>
      <c r="J2666">
        <v>-1948.7200000000003</v>
      </c>
    </row>
    <row r="2667" spans="1:10" x14ac:dyDescent="0.35">
      <c r="A2667">
        <v>2651</v>
      </c>
      <c r="B2667" s="75">
        <v>89.74</v>
      </c>
      <c r="C2667" s="75">
        <v>100.14</v>
      </c>
      <c r="D2667" s="75">
        <v>91.97</v>
      </c>
      <c r="E2667" s="75">
        <v>92.83</v>
      </c>
      <c r="F2667">
        <v>-611.49</v>
      </c>
      <c r="G2667">
        <v>-2893.8</v>
      </c>
      <c r="H2667">
        <v>1691.8</v>
      </c>
      <c r="I2667">
        <v>548.29999999999995</v>
      </c>
      <c r="J2667">
        <v>-1265.19</v>
      </c>
    </row>
    <row r="2668" spans="1:10" x14ac:dyDescent="0.35">
      <c r="A2668">
        <v>2652</v>
      </c>
      <c r="B2668" s="75">
        <v>88.947100000000006</v>
      </c>
      <c r="C2668" s="75">
        <v>97.581800000000001</v>
      </c>
      <c r="D2668" s="75">
        <v>93.251099999999994</v>
      </c>
      <c r="E2668" s="75">
        <v>93.492500000000007</v>
      </c>
      <c r="F2668">
        <v>2001.45</v>
      </c>
      <c r="G2668">
        <v>942.15</v>
      </c>
      <c r="H2668">
        <v>-870</v>
      </c>
      <c r="I2668">
        <v>-111.9</v>
      </c>
      <c r="J2668">
        <v>1961.6999999999998</v>
      </c>
    </row>
    <row r="2669" spans="1:10" x14ac:dyDescent="0.35">
      <c r="A2669">
        <v>2653</v>
      </c>
      <c r="B2669" s="75">
        <v>89.16</v>
      </c>
      <c r="C2669" s="75">
        <v>98.23</v>
      </c>
      <c r="D2669" s="75">
        <v>91.4</v>
      </c>
      <c r="E2669" s="75">
        <v>93.84</v>
      </c>
      <c r="F2669">
        <v>1307.46</v>
      </c>
      <c r="G2669">
        <v>-22.8</v>
      </c>
      <c r="H2669">
        <v>2825.2000000000003</v>
      </c>
      <c r="I2669">
        <v>-457.9</v>
      </c>
      <c r="J2669">
        <v>3651.9600000000005</v>
      </c>
    </row>
    <row r="2670" spans="1:10" x14ac:dyDescent="0.35">
      <c r="A2670">
        <v>2654</v>
      </c>
      <c r="B2670" s="75">
        <v>88.713700000000003</v>
      </c>
      <c r="C2670" s="75">
        <v>98.658299999999997</v>
      </c>
      <c r="D2670" s="75">
        <v>93.977400000000003</v>
      </c>
      <c r="E2670" s="75">
        <v>93.539299999999997</v>
      </c>
      <c r="F2670">
        <v>2771.67</v>
      </c>
      <c r="G2670">
        <v>-672.6</v>
      </c>
      <c r="H2670">
        <v>-2322.6</v>
      </c>
      <c r="I2670">
        <v>-158.70000000000002</v>
      </c>
      <c r="J2670">
        <v>-382.22999999999979</v>
      </c>
    </row>
    <row r="2671" spans="1:10" x14ac:dyDescent="0.35">
      <c r="A2671">
        <v>2655</v>
      </c>
      <c r="B2671" s="75">
        <v>89.98</v>
      </c>
      <c r="C2671" s="75">
        <v>97.61</v>
      </c>
      <c r="D2671" s="75">
        <v>94.21</v>
      </c>
      <c r="E2671" s="75">
        <v>94.27</v>
      </c>
      <c r="F2671">
        <v>-1394.58</v>
      </c>
      <c r="G2671">
        <v>897.3</v>
      </c>
      <c r="H2671">
        <v>-2789.4</v>
      </c>
      <c r="I2671">
        <v>-890.3</v>
      </c>
      <c r="J2671">
        <v>-4176.9800000000005</v>
      </c>
    </row>
    <row r="2672" spans="1:10" x14ac:dyDescent="0.35">
      <c r="A2672">
        <v>2656</v>
      </c>
      <c r="B2672" s="75">
        <v>89.013999999999996</v>
      </c>
      <c r="C2672" s="75">
        <v>97.745599999999996</v>
      </c>
      <c r="D2672" s="75">
        <v>92.977099999999993</v>
      </c>
      <c r="E2672" s="75">
        <v>91.553100000000001</v>
      </c>
      <c r="F2672">
        <v>1780.6799999999998</v>
      </c>
      <c r="G2672">
        <v>696.44999999999993</v>
      </c>
      <c r="H2672">
        <v>-322</v>
      </c>
      <c r="I2672">
        <v>1827.5</v>
      </c>
      <c r="J2672">
        <v>3982.6299999999997</v>
      </c>
    </row>
    <row r="2673" spans="1:10" x14ac:dyDescent="0.35">
      <c r="A2673">
        <v>2657</v>
      </c>
      <c r="B2673" s="75">
        <v>90.1</v>
      </c>
      <c r="C2673" s="75">
        <v>99.88</v>
      </c>
      <c r="D2673" s="75">
        <v>93</v>
      </c>
      <c r="E2673" s="75">
        <v>94.38</v>
      </c>
      <c r="F2673">
        <v>-1817.9699999999998</v>
      </c>
      <c r="G2673">
        <v>-2498.1</v>
      </c>
      <c r="H2673">
        <v>-365</v>
      </c>
      <c r="I2673">
        <v>-996.6</v>
      </c>
      <c r="J2673">
        <v>-5677.67</v>
      </c>
    </row>
    <row r="2674" spans="1:10" x14ac:dyDescent="0.35">
      <c r="A2674">
        <v>2658</v>
      </c>
      <c r="B2674" s="75">
        <v>90.098299999999995</v>
      </c>
      <c r="C2674" s="75">
        <v>98.811300000000003</v>
      </c>
      <c r="D2674" s="75">
        <v>92.260900000000007</v>
      </c>
      <c r="E2674" s="75">
        <v>94.5488</v>
      </c>
      <c r="F2674">
        <v>-1797.5099999999998</v>
      </c>
      <c r="G2674">
        <v>-902.1</v>
      </c>
      <c r="H2674">
        <v>1110.4000000000001</v>
      </c>
      <c r="I2674">
        <v>-1168.1999999999998</v>
      </c>
      <c r="J2674">
        <v>-2757.4099999999994</v>
      </c>
    </row>
    <row r="2675" spans="1:10" x14ac:dyDescent="0.35">
      <c r="A2675">
        <v>2659</v>
      </c>
      <c r="B2675" s="75">
        <v>89.82</v>
      </c>
      <c r="C2675" s="75">
        <v>98.6</v>
      </c>
      <c r="D2675" s="75">
        <v>92.52</v>
      </c>
      <c r="E2675" s="75">
        <v>92.73</v>
      </c>
      <c r="F2675">
        <v>-876.81</v>
      </c>
      <c r="G2675">
        <v>-584.54999999999995</v>
      </c>
      <c r="H2675">
        <v>589.6</v>
      </c>
      <c r="I2675">
        <v>653.69999999999993</v>
      </c>
      <c r="J2675">
        <v>-218.05999999999995</v>
      </c>
    </row>
    <row r="2676" spans="1:10" x14ac:dyDescent="0.35">
      <c r="A2676">
        <v>2660</v>
      </c>
      <c r="B2676" s="75">
        <v>90.879599999999996</v>
      </c>
      <c r="C2676" s="75">
        <v>98.350399999999993</v>
      </c>
      <c r="D2676" s="75">
        <v>93.333799999999997</v>
      </c>
      <c r="E2676" s="75">
        <v>92.977900000000005</v>
      </c>
      <c r="F2676">
        <v>-4375.8</v>
      </c>
      <c r="G2676">
        <v>-210.75000000000003</v>
      </c>
      <c r="H2676">
        <v>-1035.4000000000001</v>
      </c>
      <c r="I2676">
        <v>402.7</v>
      </c>
      <c r="J2676">
        <v>-5219.2500000000009</v>
      </c>
    </row>
    <row r="2677" spans="1:10" x14ac:dyDescent="0.35">
      <c r="A2677">
        <v>2661</v>
      </c>
      <c r="B2677" s="75">
        <v>89.51</v>
      </c>
      <c r="C2677" s="75">
        <v>98.1</v>
      </c>
      <c r="D2677" s="75">
        <v>93.6</v>
      </c>
      <c r="E2677" s="75">
        <v>93.95</v>
      </c>
      <c r="F2677">
        <v>154.44</v>
      </c>
      <c r="G2677">
        <v>158.4</v>
      </c>
      <c r="H2677">
        <v>-1560.4</v>
      </c>
      <c r="I2677">
        <v>-569</v>
      </c>
      <c r="J2677">
        <v>-1816.56</v>
      </c>
    </row>
    <row r="2678" spans="1:10" x14ac:dyDescent="0.35">
      <c r="A2678">
        <v>2662</v>
      </c>
      <c r="B2678" s="75">
        <v>89.065200000000004</v>
      </c>
      <c r="C2678" s="75">
        <v>99.887600000000006</v>
      </c>
      <c r="D2678" s="75">
        <v>91.536500000000004</v>
      </c>
      <c r="E2678" s="75">
        <v>95.662499999999994</v>
      </c>
      <c r="F2678">
        <v>1611.72</v>
      </c>
      <c r="G2678">
        <v>-2516.5499999999997</v>
      </c>
      <c r="H2678">
        <v>2559.2000000000003</v>
      </c>
      <c r="I2678">
        <v>-2281.8999999999996</v>
      </c>
      <c r="J2678">
        <v>-627.52999999999906</v>
      </c>
    </row>
    <row r="2679" spans="1:10" x14ac:dyDescent="0.35">
      <c r="A2679">
        <v>2663</v>
      </c>
      <c r="B2679" s="75">
        <v>89.5</v>
      </c>
      <c r="C2679" s="75">
        <v>98.92</v>
      </c>
      <c r="D2679" s="75">
        <v>90.79</v>
      </c>
      <c r="E2679" s="75">
        <v>93.55</v>
      </c>
      <c r="F2679">
        <v>170.61</v>
      </c>
      <c r="G2679">
        <v>-1064.4000000000001</v>
      </c>
      <c r="H2679">
        <v>4045.2000000000003</v>
      </c>
      <c r="I2679">
        <v>-173.1</v>
      </c>
      <c r="J2679">
        <v>2978.3100000000004</v>
      </c>
    </row>
    <row r="2680" spans="1:10" x14ac:dyDescent="0.35">
      <c r="A2680">
        <v>2664</v>
      </c>
      <c r="B2680" s="75">
        <v>89.887600000000006</v>
      </c>
      <c r="C2680" s="75">
        <v>97.827500000000001</v>
      </c>
      <c r="D2680" s="75">
        <v>93.099100000000007</v>
      </c>
      <c r="E2680" s="75">
        <v>95.721999999999994</v>
      </c>
      <c r="F2680">
        <v>-1102.2</v>
      </c>
      <c r="G2680">
        <v>573.6</v>
      </c>
      <c r="H2680">
        <v>-566</v>
      </c>
      <c r="I2680">
        <v>-2341.4</v>
      </c>
      <c r="J2680">
        <v>-3436</v>
      </c>
    </row>
    <row r="2681" spans="1:10" x14ac:dyDescent="0.35">
      <c r="A2681">
        <v>2665</v>
      </c>
      <c r="B2681" s="75">
        <v>88.71</v>
      </c>
      <c r="C2681" s="75">
        <v>97.31</v>
      </c>
      <c r="D2681" s="75">
        <v>92.02</v>
      </c>
      <c r="E2681" s="75">
        <v>94.3</v>
      </c>
      <c r="F2681">
        <v>2785.8599999999997</v>
      </c>
      <c r="G2681">
        <v>1348.3500000000001</v>
      </c>
      <c r="H2681">
        <v>1593.8000000000002</v>
      </c>
      <c r="I2681">
        <v>-914.6</v>
      </c>
      <c r="J2681">
        <v>4813.41</v>
      </c>
    </row>
    <row r="2682" spans="1:10" x14ac:dyDescent="0.35">
      <c r="A2682">
        <v>2666</v>
      </c>
      <c r="B2682" s="75">
        <v>89.742599999999996</v>
      </c>
      <c r="C2682" s="75">
        <v>98.117800000000003</v>
      </c>
      <c r="D2682" s="75">
        <v>94.309899999999999</v>
      </c>
      <c r="E2682" s="75">
        <v>91.196399999999997</v>
      </c>
      <c r="F2682">
        <v>-623.70000000000005</v>
      </c>
      <c r="G2682">
        <v>138.15</v>
      </c>
      <c r="H2682">
        <v>-2987.6</v>
      </c>
      <c r="I2682">
        <v>2184.2000000000003</v>
      </c>
      <c r="J2682">
        <v>-1288.9499999999998</v>
      </c>
    </row>
    <row r="2683" spans="1:10" x14ac:dyDescent="0.35">
      <c r="A2683">
        <v>2667</v>
      </c>
      <c r="B2683" s="75">
        <v>89.44</v>
      </c>
      <c r="C2683" s="75">
        <v>96.92</v>
      </c>
      <c r="D2683" s="75">
        <v>92.96</v>
      </c>
      <c r="E2683" s="75">
        <v>93.24</v>
      </c>
      <c r="F2683">
        <v>368.94</v>
      </c>
      <c r="G2683">
        <v>1936.05</v>
      </c>
      <c r="H2683">
        <v>-277.8</v>
      </c>
      <c r="I2683">
        <v>141.4</v>
      </c>
      <c r="J2683">
        <v>2168.5899999999997</v>
      </c>
    </row>
    <row r="2684" spans="1:10" x14ac:dyDescent="0.35">
      <c r="A2684">
        <v>2668</v>
      </c>
      <c r="B2684" s="75">
        <v>89.354200000000006</v>
      </c>
      <c r="C2684" s="75">
        <v>99.714399999999998</v>
      </c>
      <c r="D2684" s="75">
        <v>93.098799999999997</v>
      </c>
      <c r="E2684" s="75">
        <v>95.784099999999995</v>
      </c>
      <c r="F2684">
        <v>658.02</v>
      </c>
      <c r="G2684">
        <v>-2256.75</v>
      </c>
      <c r="H2684">
        <v>-565.4</v>
      </c>
      <c r="I2684">
        <v>-2403.5</v>
      </c>
      <c r="J2684">
        <v>-4567.63</v>
      </c>
    </row>
    <row r="2685" spans="1:10" x14ac:dyDescent="0.35">
      <c r="A2685">
        <v>2669</v>
      </c>
      <c r="B2685" s="75">
        <v>89.16</v>
      </c>
      <c r="C2685" s="75">
        <v>99.41</v>
      </c>
      <c r="D2685" s="75">
        <v>93.43</v>
      </c>
      <c r="E2685" s="75">
        <v>94.95</v>
      </c>
      <c r="F2685">
        <v>1289.97</v>
      </c>
      <c r="G2685">
        <v>-1799.25</v>
      </c>
      <c r="H2685">
        <v>-1232</v>
      </c>
      <c r="I2685">
        <v>-1571</v>
      </c>
      <c r="J2685">
        <v>-3312.2799999999997</v>
      </c>
    </row>
    <row r="2686" spans="1:10" x14ac:dyDescent="0.35">
      <c r="A2686">
        <v>2670</v>
      </c>
      <c r="B2686" s="75">
        <v>90.6785</v>
      </c>
      <c r="C2686" s="75">
        <v>97.611900000000006</v>
      </c>
      <c r="D2686" s="75">
        <v>93.301599999999993</v>
      </c>
      <c r="E2686" s="75">
        <v>93.435500000000005</v>
      </c>
      <c r="F2686">
        <v>-3712.17</v>
      </c>
      <c r="G2686">
        <v>897</v>
      </c>
      <c r="H2686">
        <v>-971</v>
      </c>
      <c r="I2686">
        <v>-54.9</v>
      </c>
      <c r="J2686">
        <v>-3841.07</v>
      </c>
    </row>
    <row r="2687" spans="1:10" x14ac:dyDescent="0.35">
      <c r="A2687">
        <v>2671</v>
      </c>
      <c r="B2687" s="75">
        <v>89.06</v>
      </c>
      <c r="C2687" s="75">
        <v>98.44</v>
      </c>
      <c r="D2687" s="75">
        <v>91.23</v>
      </c>
      <c r="E2687" s="75">
        <v>94.93</v>
      </c>
      <c r="F2687">
        <v>1640.76</v>
      </c>
      <c r="G2687">
        <v>-343.5</v>
      </c>
      <c r="H2687">
        <v>3166.7999999999997</v>
      </c>
      <c r="I2687">
        <v>-1547</v>
      </c>
      <c r="J2687">
        <v>2917.0599999999995</v>
      </c>
    </row>
    <row r="2688" spans="1:10" x14ac:dyDescent="0.35">
      <c r="A2688">
        <v>2672</v>
      </c>
      <c r="B2688" s="75">
        <v>90.091999999999999</v>
      </c>
      <c r="C2688" s="75">
        <v>98.049300000000002</v>
      </c>
      <c r="D2688" s="75">
        <v>95.749200000000002</v>
      </c>
      <c r="E2688" s="75">
        <v>93.197800000000001</v>
      </c>
      <c r="F2688">
        <v>-1776.72</v>
      </c>
      <c r="G2688">
        <v>240.89999999999998</v>
      </c>
      <c r="H2688">
        <v>-5866.2</v>
      </c>
      <c r="I2688">
        <v>182.79999999999998</v>
      </c>
      <c r="J2688">
        <v>-7219.22</v>
      </c>
    </row>
    <row r="2689" spans="1:10" x14ac:dyDescent="0.35">
      <c r="A2689">
        <v>2673</v>
      </c>
      <c r="B2689" s="75">
        <v>88.99</v>
      </c>
      <c r="C2689" s="75">
        <v>98.72</v>
      </c>
      <c r="D2689" s="75">
        <v>92.69</v>
      </c>
      <c r="E2689" s="75">
        <v>93.23</v>
      </c>
      <c r="F2689">
        <v>1848.99</v>
      </c>
      <c r="G2689">
        <v>-771.74999999999989</v>
      </c>
      <c r="H2689">
        <v>262.2</v>
      </c>
      <c r="I2689">
        <v>149.29999999999998</v>
      </c>
      <c r="J2689">
        <v>1488.7400000000002</v>
      </c>
    </row>
    <row r="2690" spans="1:10" x14ac:dyDescent="0.35">
      <c r="A2690">
        <v>2674</v>
      </c>
      <c r="B2690" s="75">
        <v>89.570700000000002</v>
      </c>
      <c r="C2690" s="75">
        <v>97.918400000000005</v>
      </c>
      <c r="D2690" s="75">
        <v>93.212199999999996</v>
      </c>
      <c r="E2690" s="75">
        <v>94.157899999999998</v>
      </c>
      <c r="F2690">
        <v>-56.43</v>
      </c>
      <c r="G2690">
        <v>437.25</v>
      </c>
      <c r="H2690">
        <v>-792.2</v>
      </c>
      <c r="I2690">
        <v>-777.3</v>
      </c>
      <c r="J2690">
        <v>-1188.68</v>
      </c>
    </row>
    <row r="2691" spans="1:10" x14ac:dyDescent="0.35">
      <c r="A2691">
        <v>2675</v>
      </c>
      <c r="B2691" s="75">
        <v>89.07</v>
      </c>
      <c r="C2691" s="75">
        <v>98.39</v>
      </c>
      <c r="D2691" s="75">
        <v>92.63</v>
      </c>
      <c r="E2691" s="75">
        <v>92.44</v>
      </c>
      <c r="F2691">
        <v>1598.19</v>
      </c>
      <c r="G2691">
        <v>-265.5</v>
      </c>
      <c r="H2691">
        <v>382.2</v>
      </c>
      <c r="I2691">
        <v>941.30000000000007</v>
      </c>
      <c r="J2691">
        <v>2656.19</v>
      </c>
    </row>
    <row r="2692" spans="1:10" x14ac:dyDescent="0.35">
      <c r="A2692">
        <v>2676</v>
      </c>
      <c r="B2692" s="75">
        <v>89.496899999999997</v>
      </c>
      <c r="C2692" s="75">
        <v>98.322599999999994</v>
      </c>
      <c r="D2692" s="75">
        <v>93.712800000000001</v>
      </c>
      <c r="E2692" s="75">
        <v>93.181799999999996</v>
      </c>
      <c r="F2692">
        <v>187.11</v>
      </c>
      <c r="G2692">
        <v>-169.04999999999998</v>
      </c>
      <c r="H2692">
        <v>-1793.4</v>
      </c>
      <c r="I2692">
        <v>198.8</v>
      </c>
      <c r="J2692">
        <v>-1576.5400000000002</v>
      </c>
    </row>
    <row r="2693" spans="1:10" x14ac:dyDescent="0.35">
      <c r="A2693">
        <v>2677</v>
      </c>
      <c r="B2693" s="75">
        <v>89.49</v>
      </c>
      <c r="C2693" s="75">
        <v>97.28</v>
      </c>
      <c r="D2693" s="75">
        <v>92.85</v>
      </c>
      <c r="E2693" s="75">
        <v>93.57</v>
      </c>
      <c r="F2693">
        <v>196.35</v>
      </c>
      <c r="G2693">
        <v>1389.3</v>
      </c>
      <c r="H2693">
        <v>-72.8</v>
      </c>
      <c r="I2693">
        <v>-186.9</v>
      </c>
      <c r="J2693">
        <v>1325.9499999999998</v>
      </c>
    </row>
    <row r="2694" spans="1:10" x14ac:dyDescent="0.35">
      <c r="A2694">
        <v>2678</v>
      </c>
      <c r="B2694" s="75">
        <v>89.862300000000005</v>
      </c>
      <c r="C2694" s="75">
        <v>98.807400000000001</v>
      </c>
      <c r="D2694" s="75">
        <v>95.521799999999999</v>
      </c>
      <c r="E2694" s="75">
        <v>90.4696</v>
      </c>
      <c r="F2694">
        <v>-1018.7099999999999</v>
      </c>
      <c r="G2694">
        <v>-896.25</v>
      </c>
      <c r="H2694">
        <v>-5411.4000000000005</v>
      </c>
      <c r="I2694">
        <v>2911</v>
      </c>
      <c r="J2694">
        <v>-4415.3600000000006</v>
      </c>
    </row>
    <row r="2695" spans="1:10" x14ac:dyDescent="0.35">
      <c r="A2695">
        <v>2679</v>
      </c>
      <c r="B2695" s="75">
        <v>89.86</v>
      </c>
      <c r="C2695" s="75">
        <v>98.22</v>
      </c>
      <c r="D2695" s="75">
        <v>93.38</v>
      </c>
      <c r="E2695" s="75">
        <v>93.66</v>
      </c>
      <c r="F2695">
        <v>-1001.55</v>
      </c>
      <c r="G2695">
        <v>-20.849999999999998</v>
      </c>
      <c r="H2695">
        <v>-1127.2</v>
      </c>
      <c r="I2695">
        <v>-282.2</v>
      </c>
      <c r="J2695">
        <v>-2431.7999999999997</v>
      </c>
    </row>
    <row r="2696" spans="1:10" x14ac:dyDescent="0.35">
      <c r="A2696">
        <v>2680</v>
      </c>
      <c r="B2696" s="75">
        <v>89.481099999999998</v>
      </c>
      <c r="C2696" s="75">
        <v>99.488500000000002</v>
      </c>
      <c r="D2696" s="75">
        <v>91.639099999999999</v>
      </c>
      <c r="E2696" s="75">
        <v>94.727900000000005</v>
      </c>
      <c r="F2696">
        <v>239.24999999999997</v>
      </c>
      <c r="G2696">
        <v>-1917.8999999999999</v>
      </c>
      <c r="H2696">
        <v>2354</v>
      </c>
      <c r="I2696">
        <v>-1347.3</v>
      </c>
      <c r="J2696">
        <v>-671.94999999999982</v>
      </c>
    </row>
    <row r="2697" spans="1:10" x14ac:dyDescent="0.35">
      <c r="A2697">
        <v>2681</v>
      </c>
      <c r="B2697" s="75">
        <v>89.98</v>
      </c>
      <c r="C2697" s="75">
        <v>97.09</v>
      </c>
      <c r="D2697" s="75">
        <v>94.08</v>
      </c>
      <c r="E2697" s="75">
        <v>91.08</v>
      </c>
      <c r="F2697">
        <v>-1420.65</v>
      </c>
      <c r="G2697">
        <v>1685.6999999999998</v>
      </c>
      <c r="H2697">
        <v>-2534.6000000000004</v>
      </c>
      <c r="I2697">
        <v>2299.1000000000004</v>
      </c>
      <c r="J2697">
        <v>29.549999999999727</v>
      </c>
    </row>
    <row r="2698" spans="1:10" x14ac:dyDescent="0.35">
      <c r="A2698">
        <v>2682</v>
      </c>
      <c r="B2698" s="75">
        <v>88.763499999999993</v>
      </c>
      <c r="C2698" s="75">
        <v>100.0658</v>
      </c>
      <c r="D2698" s="75">
        <v>93.057199999999995</v>
      </c>
      <c r="E2698" s="75">
        <v>94.663200000000003</v>
      </c>
      <c r="F2698">
        <v>2607.33</v>
      </c>
      <c r="G2698">
        <v>-2783.8500000000004</v>
      </c>
      <c r="H2698">
        <v>-482.20000000000005</v>
      </c>
      <c r="I2698">
        <v>-1282.5999999999999</v>
      </c>
      <c r="J2698">
        <v>-1941.3200000000004</v>
      </c>
    </row>
    <row r="2699" spans="1:10" x14ac:dyDescent="0.35">
      <c r="A2699">
        <v>2683</v>
      </c>
      <c r="B2699" s="75">
        <v>89.64</v>
      </c>
      <c r="C2699" s="75">
        <v>98.13</v>
      </c>
      <c r="D2699" s="75">
        <v>93.51</v>
      </c>
      <c r="E2699" s="75">
        <v>95.53</v>
      </c>
      <c r="F2699">
        <v>-301.29000000000002</v>
      </c>
      <c r="G2699">
        <v>123</v>
      </c>
      <c r="H2699">
        <v>-1395.6</v>
      </c>
      <c r="I2699">
        <v>-2148.1</v>
      </c>
      <c r="J2699">
        <v>-3721.99</v>
      </c>
    </row>
    <row r="2700" spans="1:10" x14ac:dyDescent="0.35">
      <c r="A2700">
        <v>2684</v>
      </c>
      <c r="B2700" s="75">
        <v>89.805700000000002</v>
      </c>
      <c r="C2700" s="75">
        <v>97.430199999999999</v>
      </c>
      <c r="D2700" s="75">
        <v>92.651799999999994</v>
      </c>
      <c r="E2700" s="75">
        <v>92.146799999999999</v>
      </c>
      <c r="F2700">
        <v>-831.93</v>
      </c>
      <c r="G2700">
        <v>1169.55</v>
      </c>
      <c r="H2700">
        <v>328.6</v>
      </c>
      <c r="I2700">
        <v>1233.8</v>
      </c>
      <c r="J2700">
        <v>1900.02</v>
      </c>
    </row>
    <row r="2701" spans="1:10" x14ac:dyDescent="0.35">
      <c r="A2701">
        <v>2685</v>
      </c>
      <c r="B2701" s="75">
        <v>90.03</v>
      </c>
      <c r="C2701" s="75">
        <v>99.61</v>
      </c>
      <c r="D2701" s="75">
        <v>93.5</v>
      </c>
      <c r="E2701" s="75">
        <v>97.66</v>
      </c>
      <c r="F2701">
        <v>-1562.88</v>
      </c>
      <c r="G2701">
        <v>-2098.35</v>
      </c>
      <c r="H2701">
        <v>-1363</v>
      </c>
      <c r="I2701">
        <v>-4277.5</v>
      </c>
      <c r="J2701">
        <v>-9301.73</v>
      </c>
    </row>
    <row r="2702" spans="1:10" x14ac:dyDescent="0.35">
      <c r="A2702">
        <v>2686</v>
      </c>
      <c r="B2702" s="75">
        <v>90.296599999999998</v>
      </c>
      <c r="C2702" s="75">
        <v>98.731800000000007</v>
      </c>
      <c r="D2702" s="75">
        <v>92.264300000000006</v>
      </c>
      <c r="E2702" s="75">
        <v>91.053799999999995</v>
      </c>
      <c r="F2702">
        <v>-2451.9</v>
      </c>
      <c r="G2702">
        <v>-782.85</v>
      </c>
      <c r="H2702">
        <v>1103.5999999999999</v>
      </c>
      <c r="I2702">
        <v>2326.8000000000002</v>
      </c>
      <c r="J2702">
        <v>195.65000000000009</v>
      </c>
    </row>
    <row r="2703" spans="1:10" x14ac:dyDescent="0.35">
      <c r="A2703">
        <v>2687</v>
      </c>
      <c r="B2703" s="75">
        <v>90.22</v>
      </c>
      <c r="C2703" s="75">
        <v>97.59</v>
      </c>
      <c r="D2703" s="75">
        <v>91.48</v>
      </c>
      <c r="E2703" s="75">
        <v>94.3</v>
      </c>
      <c r="F2703">
        <v>-2184.27</v>
      </c>
      <c r="G2703">
        <v>926.09999999999991</v>
      </c>
      <c r="H2703">
        <v>2680</v>
      </c>
      <c r="I2703">
        <v>-918</v>
      </c>
      <c r="J2703">
        <v>503.82999999999993</v>
      </c>
    </row>
    <row r="2704" spans="1:10" x14ac:dyDescent="0.35">
      <c r="A2704">
        <v>2688</v>
      </c>
      <c r="B2704" s="75">
        <v>89.6357</v>
      </c>
      <c r="C2704" s="75">
        <v>97.742400000000004</v>
      </c>
      <c r="D2704" s="75">
        <v>94.290599999999998</v>
      </c>
      <c r="E2704" s="75">
        <v>92.695700000000002</v>
      </c>
      <c r="F2704">
        <v>-270.93</v>
      </c>
      <c r="G2704">
        <v>701.25</v>
      </c>
      <c r="H2704">
        <v>-2949</v>
      </c>
      <c r="I2704">
        <v>684.9</v>
      </c>
      <c r="J2704">
        <v>-1833.7799999999997</v>
      </c>
    </row>
    <row r="2705" spans="1:10" x14ac:dyDescent="0.35">
      <c r="A2705">
        <v>2689</v>
      </c>
      <c r="B2705" s="75">
        <v>89.84</v>
      </c>
      <c r="C2705" s="75">
        <v>97.31</v>
      </c>
      <c r="D2705" s="75">
        <v>90.9</v>
      </c>
      <c r="E2705" s="75">
        <v>91.54</v>
      </c>
      <c r="F2705">
        <v>-958.65</v>
      </c>
      <c r="G2705">
        <v>1352.55</v>
      </c>
      <c r="H2705">
        <v>3832.2</v>
      </c>
      <c r="I2705">
        <v>1839.9</v>
      </c>
      <c r="J2705">
        <v>6066</v>
      </c>
    </row>
    <row r="2706" spans="1:10" x14ac:dyDescent="0.35">
      <c r="A2706">
        <v>2690</v>
      </c>
      <c r="B2706" s="75">
        <v>89.207999999999998</v>
      </c>
      <c r="C2706" s="75">
        <v>99.313100000000006</v>
      </c>
      <c r="D2706" s="75">
        <v>92.933400000000006</v>
      </c>
      <c r="E2706" s="75">
        <v>95.706999999999994</v>
      </c>
      <c r="F2706">
        <v>1140.48</v>
      </c>
      <c r="G2706">
        <v>-1654.8</v>
      </c>
      <c r="H2706">
        <v>-234.6</v>
      </c>
      <c r="I2706">
        <v>-2326.4</v>
      </c>
      <c r="J2706">
        <v>-3075.32</v>
      </c>
    </row>
    <row r="2707" spans="1:10" x14ac:dyDescent="0.35">
      <c r="A2707">
        <v>2691</v>
      </c>
      <c r="B2707" s="75">
        <v>88.48</v>
      </c>
      <c r="C2707" s="75">
        <v>98.39</v>
      </c>
      <c r="D2707" s="75">
        <v>93.79</v>
      </c>
      <c r="E2707" s="75">
        <v>93.89</v>
      </c>
      <c r="F2707">
        <v>3557.07</v>
      </c>
      <c r="G2707">
        <v>-271.5</v>
      </c>
      <c r="H2707">
        <v>-1946</v>
      </c>
      <c r="I2707">
        <v>-510.49999999999994</v>
      </c>
      <c r="J2707">
        <v>829.07000000000016</v>
      </c>
    </row>
    <row r="2708" spans="1:10" x14ac:dyDescent="0.35">
      <c r="A2708">
        <v>2692</v>
      </c>
      <c r="B2708" s="75">
        <v>89.262100000000004</v>
      </c>
      <c r="C2708" s="75">
        <v>98.141800000000003</v>
      </c>
      <c r="D2708" s="75">
        <v>92.112799999999993</v>
      </c>
      <c r="E2708" s="75">
        <v>92.577799999999996</v>
      </c>
      <c r="F2708">
        <v>961.94999999999993</v>
      </c>
      <c r="G2708">
        <v>102.14999999999999</v>
      </c>
      <c r="H2708">
        <v>1406.6000000000001</v>
      </c>
      <c r="I2708">
        <v>802.8</v>
      </c>
      <c r="J2708">
        <v>3273.5</v>
      </c>
    </row>
    <row r="2709" spans="1:10" x14ac:dyDescent="0.35">
      <c r="A2709">
        <v>2693</v>
      </c>
      <c r="B2709" s="75">
        <v>88.95</v>
      </c>
      <c r="C2709" s="75">
        <v>97.91</v>
      </c>
      <c r="D2709" s="75">
        <v>91.66</v>
      </c>
      <c r="E2709" s="75">
        <v>90.91</v>
      </c>
      <c r="F2709">
        <v>2001.45</v>
      </c>
      <c r="G2709">
        <v>446.1</v>
      </c>
      <c r="H2709">
        <v>2308</v>
      </c>
      <c r="I2709">
        <v>2469.3000000000002</v>
      </c>
      <c r="J2709">
        <v>7224.85</v>
      </c>
    </row>
    <row r="2710" spans="1:10" x14ac:dyDescent="0.35">
      <c r="A2710">
        <v>2694</v>
      </c>
      <c r="B2710" s="75">
        <v>90.029300000000006</v>
      </c>
      <c r="C2710" s="75">
        <v>97.604699999999994</v>
      </c>
      <c r="D2710" s="75">
        <v>90.853700000000003</v>
      </c>
      <c r="E2710" s="75">
        <v>93.494299999999996</v>
      </c>
      <c r="F2710">
        <v>-1569.81</v>
      </c>
      <c r="G2710">
        <v>907.8</v>
      </c>
      <c r="H2710">
        <v>3924.7999999999997</v>
      </c>
      <c r="I2710">
        <v>-113.69999999999999</v>
      </c>
      <c r="J2710">
        <v>3149.09</v>
      </c>
    </row>
    <row r="2711" spans="1:10" x14ac:dyDescent="0.35">
      <c r="A2711">
        <v>2695</v>
      </c>
      <c r="B2711" s="75">
        <v>88.96</v>
      </c>
      <c r="C2711" s="75">
        <v>97.59</v>
      </c>
      <c r="D2711" s="75">
        <v>93.35</v>
      </c>
      <c r="E2711" s="75">
        <v>95.6</v>
      </c>
      <c r="F2711">
        <v>1948.3200000000002</v>
      </c>
      <c r="G2711">
        <v>931.5</v>
      </c>
      <c r="H2711">
        <v>-1066</v>
      </c>
      <c r="I2711">
        <v>-2217.9</v>
      </c>
      <c r="J2711">
        <v>-404.07999999999993</v>
      </c>
    </row>
    <row r="2712" spans="1:10" x14ac:dyDescent="0.35">
      <c r="A2712">
        <v>2696</v>
      </c>
      <c r="B2712" s="75">
        <v>90.397900000000007</v>
      </c>
      <c r="C2712" s="75">
        <v>97.719200000000001</v>
      </c>
      <c r="D2712" s="75">
        <v>93.821799999999996</v>
      </c>
      <c r="E2712" s="75">
        <v>94.684899999999999</v>
      </c>
      <c r="F2712">
        <v>-2786.19</v>
      </c>
      <c r="G2712">
        <v>736.05000000000007</v>
      </c>
      <c r="H2712">
        <v>-2011.4</v>
      </c>
      <c r="I2712">
        <v>-1304.3</v>
      </c>
      <c r="J2712">
        <v>-5365.84</v>
      </c>
    </row>
    <row r="2713" spans="1:10" x14ac:dyDescent="0.35">
      <c r="A2713">
        <v>2697</v>
      </c>
      <c r="B2713" s="75">
        <v>89.14</v>
      </c>
      <c r="C2713" s="75">
        <v>98.1</v>
      </c>
      <c r="D2713" s="75">
        <v>93.06</v>
      </c>
      <c r="E2713" s="75">
        <v>94.19</v>
      </c>
      <c r="F2713">
        <v>1367.52</v>
      </c>
      <c r="G2713">
        <v>160.80000000000001</v>
      </c>
      <c r="H2713">
        <v>-495.59999999999997</v>
      </c>
      <c r="I2713">
        <v>-813.1</v>
      </c>
      <c r="J2713">
        <v>219.62</v>
      </c>
    </row>
    <row r="2714" spans="1:10" x14ac:dyDescent="0.35">
      <c r="A2714">
        <v>2698</v>
      </c>
      <c r="B2714" s="75">
        <v>90.474000000000004</v>
      </c>
      <c r="C2714" s="75">
        <v>98.719800000000006</v>
      </c>
      <c r="D2714" s="75">
        <v>93.158199999999994</v>
      </c>
      <c r="E2714" s="75">
        <v>93.936599999999999</v>
      </c>
      <c r="F2714">
        <v>-3037.32</v>
      </c>
      <c r="G2714">
        <v>-764.85</v>
      </c>
      <c r="H2714">
        <v>-684.2</v>
      </c>
      <c r="I2714">
        <v>-556</v>
      </c>
      <c r="J2714">
        <v>-5042.37</v>
      </c>
    </row>
    <row r="2715" spans="1:10" x14ac:dyDescent="0.35">
      <c r="A2715">
        <v>2699</v>
      </c>
      <c r="B2715" s="75">
        <v>89.26</v>
      </c>
      <c r="C2715" s="75">
        <v>97.31</v>
      </c>
      <c r="D2715" s="75">
        <v>93.78</v>
      </c>
      <c r="E2715" s="75">
        <v>93.68</v>
      </c>
      <c r="F2715">
        <v>978.12</v>
      </c>
      <c r="G2715">
        <v>1348.8</v>
      </c>
      <c r="H2715">
        <v>-1928.6000000000001</v>
      </c>
      <c r="I2715">
        <v>-299.20000000000005</v>
      </c>
      <c r="J2715">
        <v>99.119999999999891</v>
      </c>
    </row>
    <row r="2716" spans="1:10" x14ac:dyDescent="0.35">
      <c r="A2716">
        <v>2700</v>
      </c>
      <c r="B2716" s="75">
        <v>90.308300000000003</v>
      </c>
      <c r="C2716" s="75">
        <v>98.201800000000006</v>
      </c>
      <c r="D2716" s="75">
        <v>90.962500000000006</v>
      </c>
      <c r="E2716" s="75">
        <v>94.019099999999995</v>
      </c>
      <c r="F2716">
        <v>-2490.5100000000002</v>
      </c>
      <c r="G2716">
        <v>12.149999999999999</v>
      </c>
      <c r="H2716">
        <v>3707.2</v>
      </c>
      <c r="I2716">
        <v>-638.5</v>
      </c>
      <c r="J2716">
        <v>590.33999999999969</v>
      </c>
    </row>
    <row r="2717" spans="1:10" x14ac:dyDescent="0.35">
      <c r="A2717">
        <v>2701</v>
      </c>
      <c r="B2717" s="75">
        <v>90.26</v>
      </c>
      <c r="C2717" s="75">
        <v>98.64</v>
      </c>
      <c r="D2717" s="75">
        <v>93.68</v>
      </c>
      <c r="E2717" s="75">
        <v>92.56</v>
      </c>
      <c r="F2717">
        <v>-2335.7399999999998</v>
      </c>
      <c r="G2717">
        <v>-643.20000000000005</v>
      </c>
      <c r="H2717">
        <v>-1717.8</v>
      </c>
      <c r="I2717">
        <v>825.4</v>
      </c>
      <c r="J2717">
        <v>-3871.3399999999997</v>
      </c>
    </row>
    <row r="2718" spans="1:10" x14ac:dyDescent="0.35">
      <c r="A2718">
        <v>2702</v>
      </c>
      <c r="B2718" s="75">
        <v>90.428700000000006</v>
      </c>
      <c r="C2718" s="75">
        <v>99.725499999999997</v>
      </c>
      <c r="D2718" s="75">
        <v>92.080500000000001</v>
      </c>
      <c r="E2718" s="75">
        <v>92.946700000000007</v>
      </c>
      <c r="F2718">
        <v>-2887.83</v>
      </c>
      <c r="G2718">
        <v>-2273.4</v>
      </c>
      <c r="H2718">
        <v>1471.2</v>
      </c>
      <c r="I2718">
        <v>433.90000000000003</v>
      </c>
      <c r="J2718">
        <v>-3256.1299999999997</v>
      </c>
    </row>
    <row r="2719" spans="1:10" x14ac:dyDescent="0.35">
      <c r="A2719">
        <v>2703</v>
      </c>
      <c r="B2719" s="75">
        <v>90.88</v>
      </c>
      <c r="C2719" s="75">
        <v>97.22</v>
      </c>
      <c r="D2719" s="75">
        <v>91.73</v>
      </c>
      <c r="E2719" s="75">
        <v>92.06</v>
      </c>
      <c r="F2719">
        <v>-4373.49</v>
      </c>
      <c r="G2719">
        <v>1488.3</v>
      </c>
      <c r="H2719">
        <v>2176.8000000000002</v>
      </c>
      <c r="I2719">
        <v>1322.6</v>
      </c>
      <c r="J2719">
        <v>614.21000000000049</v>
      </c>
    </row>
    <row r="2720" spans="1:10" x14ac:dyDescent="0.35">
      <c r="A2720">
        <v>2704</v>
      </c>
      <c r="B2720" s="75">
        <v>88.931299999999993</v>
      </c>
      <c r="C2720" s="75">
        <v>96.322900000000004</v>
      </c>
      <c r="D2720" s="75">
        <v>92.264099999999999</v>
      </c>
      <c r="E2720" s="75">
        <v>92.120699999999999</v>
      </c>
      <c r="F2720">
        <v>2053.5899999999997</v>
      </c>
      <c r="G2720">
        <v>2830.5</v>
      </c>
      <c r="H2720">
        <v>1104</v>
      </c>
      <c r="I2720">
        <v>1259.9000000000001</v>
      </c>
      <c r="J2720">
        <v>7247.99</v>
      </c>
    </row>
    <row r="2721" spans="1:10" x14ac:dyDescent="0.35">
      <c r="A2721">
        <v>2705</v>
      </c>
      <c r="B2721" s="75">
        <v>90.08</v>
      </c>
      <c r="C2721" s="75">
        <v>99.03</v>
      </c>
      <c r="D2721" s="75">
        <v>92.92</v>
      </c>
      <c r="E2721" s="75">
        <v>95.68</v>
      </c>
      <c r="F2721">
        <v>-1736.79</v>
      </c>
      <c r="G2721">
        <v>-1224.3</v>
      </c>
      <c r="H2721">
        <v>-211</v>
      </c>
      <c r="I2721">
        <v>-2294.4</v>
      </c>
      <c r="J2721">
        <v>-5466.49</v>
      </c>
    </row>
    <row r="2722" spans="1:10" x14ac:dyDescent="0.35">
      <c r="A2722">
        <v>2706</v>
      </c>
      <c r="B2722" s="75">
        <v>88.960099999999997</v>
      </c>
      <c r="C2722" s="75">
        <v>96.531400000000005</v>
      </c>
      <c r="D2722" s="75">
        <v>94.6524</v>
      </c>
      <c r="E2722" s="75">
        <v>92.517700000000005</v>
      </c>
      <c r="F2722">
        <v>1958.5500000000002</v>
      </c>
      <c r="G2722">
        <v>2517.75</v>
      </c>
      <c r="H2722">
        <v>-3672.6</v>
      </c>
      <c r="I2722">
        <v>862.9</v>
      </c>
      <c r="J2722">
        <v>1666.6000000000004</v>
      </c>
    </row>
    <row r="2723" spans="1:10" x14ac:dyDescent="0.35">
      <c r="A2723">
        <v>2707</v>
      </c>
      <c r="B2723" s="75">
        <v>89.72</v>
      </c>
      <c r="C2723" s="75">
        <v>97.84</v>
      </c>
      <c r="D2723" s="75">
        <v>93.96</v>
      </c>
      <c r="E2723" s="75">
        <v>95.13</v>
      </c>
      <c r="F2723">
        <v>-541.86</v>
      </c>
      <c r="G2723">
        <v>549.6</v>
      </c>
      <c r="H2723">
        <v>-2291.1999999999998</v>
      </c>
      <c r="I2723">
        <v>-1747.5</v>
      </c>
      <c r="J2723">
        <v>-4030.96</v>
      </c>
    </row>
    <row r="2724" spans="1:10" x14ac:dyDescent="0.35">
      <c r="A2724">
        <v>2708</v>
      </c>
      <c r="B2724" s="75">
        <v>88.863699999999994</v>
      </c>
      <c r="C2724" s="75">
        <v>98.028199999999998</v>
      </c>
      <c r="D2724" s="75">
        <v>91.956900000000005</v>
      </c>
      <c r="E2724" s="75">
        <v>90.680400000000006</v>
      </c>
      <c r="F2724">
        <v>2276.67</v>
      </c>
      <c r="G2724">
        <v>272.55</v>
      </c>
      <c r="H2724">
        <v>1718.3999999999999</v>
      </c>
      <c r="I2724">
        <v>2700.2000000000003</v>
      </c>
      <c r="J2724">
        <v>6967.82</v>
      </c>
    </row>
    <row r="2725" spans="1:10" x14ac:dyDescent="0.35">
      <c r="A2725">
        <v>2709</v>
      </c>
      <c r="B2725" s="75">
        <v>88.98</v>
      </c>
      <c r="C2725" s="75">
        <v>98.67</v>
      </c>
      <c r="D2725" s="75">
        <v>93.98</v>
      </c>
      <c r="E2725" s="75">
        <v>94.37</v>
      </c>
      <c r="F2725">
        <v>1889.58</v>
      </c>
      <c r="G2725">
        <v>-695.55</v>
      </c>
      <c r="H2725">
        <v>-2321</v>
      </c>
      <c r="I2725">
        <v>-987.6</v>
      </c>
      <c r="J2725">
        <v>-2114.5700000000002</v>
      </c>
    </row>
    <row r="2726" spans="1:10" x14ac:dyDescent="0.35">
      <c r="A2726">
        <v>2710</v>
      </c>
      <c r="B2726" s="75">
        <v>89.362200000000001</v>
      </c>
      <c r="C2726" s="75">
        <v>99.144499999999994</v>
      </c>
      <c r="D2726" s="75">
        <v>91.394499999999994</v>
      </c>
      <c r="E2726" s="75">
        <v>91.957099999999997</v>
      </c>
      <c r="F2726">
        <v>631.62</v>
      </c>
      <c r="G2726">
        <v>-1401.9</v>
      </c>
      <c r="H2726">
        <v>2843.2</v>
      </c>
      <c r="I2726">
        <v>1423.5</v>
      </c>
      <c r="J2726">
        <v>3496.4199999999996</v>
      </c>
    </row>
    <row r="2727" spans="1:10" x14ac:dyDescent="0.35">
      <c r="A2727">
        <v>2711</v>
      </c>
      <c r="B2727" s="75">
        <v>88.77</v>
      </c>
      <c r="C2727" s="75">
        <v>97.9</v>
      </c>
      <c r="D2727" s="75">
        <v>91.76</v>
      </c>
      <c r="E2727" s="75">
        <v>92.6</v>
      </c>
      <c r="F2727">
        <v>2581.92</v>
      </c>
      <c r="G2727">
        <v>461.1</v>
      </c>
      <c r="H2727">
        <v>2104</v>
      </c>
      <c r="I2727">
        <v>778.1</v>
      </c>
      <c r="J2727">
        <v>5925.1200000000008</v>
      </c>
    </row>
    <row r="2728" spans="1:10" x14ac:dyDescent="0.35">
      <c r="A2728">
        <v>2712</v>
      </c>
      <c r="B2728" s="75">
        <v>90.432299999999998</v>
      </c>
      <c r="C2728" s="75">
        <v>98.518000000000001</v>
      </c>
      <c r="D2728" s="75">
        <v>91.4923</v>
      </c>
      <c r="E2728" s="75">
        <v>93.339600000000004</v>
      </c>
      <c r="F2728">
        <v>-2899.71</v>
      </c>
      <c r="G2728">
        <v>-462.15</v>
      </c>
      <c r="H2728">
        <v>2647.6000000000004</v>
      </c>
      <c r="I2728">
        <v>41</v>
      </c>
      <c r="J2728">
        <v>-673.25999999999976</v>
      </c>
    </row>
    <row r="2729" spans="1:10" x14ac:dyDescent="0.35">
      <c r="A2729">
        <v>2713</v>
      </c>
      <c r="B2729" s="75">
        <v>89.33</v>
      </c>
      <c r="C2729" s="75">
        <v>97.65</v>
      </c>
      <c r="D2729" s="75">
        <v>92.16</v>
      </c>
      <c r="E2729" s="75">
        <v>97.35</v>
      </c>
      <c r="F2729">
        <v>729.96</v>
      </c>
      <c r="G2729">
        <v>834.9</v>
      </c>
      <c r="H2729">
        <v>1306.2</v>
      </c>
      <c r="I2729">
        <v>-3972.2</v>
      </c>
      <c r="J2729">
        <v>-1101.1399999999994</v>
      </c>
    </row>
    <row r="2730" spans="1:10" x14ac:dyDescent="0.35">
      <c r="A2730">
        <v>2714</v>
      </c>
      <c r="B2730" s="75">
        <v>90.0154</v>
      </c>
      <c r="C2730" s="75">
        <v>98.797300000000007</v>
      </c>
      <c r="D2730" s="75">
        <v>94.157700000000006</v>
      </c>
      <c r="E2730" s="75">
        <v>94.471100000000007</v>
      </c>
      <c r="F2730">
        <v>-1523.94</v>
      </c>
      <c r="G2730">
        <v>-881.1</v>
      </c>
      <c r="H2730">
        <v>-2683.2</v>
      </c>
      <c r="I2730">
        <v>-1090.5</v>
      </c>
      <c r="J2730">
        <v>-6178.74</v>
      </c>
    </row>
    <row r="2731" spans="1:10" x14ac:dyDescent="0.35">
      <c r="A2731">
        <v>2715</v>
      </c>
      <c r="B2731" s="75">
        <v>89.66</v>
      </c>
      <c r="C2731" s="75">
        <v>97.94</v>
      </c>
      <c r="D2731" s="75">
        <v>93.57</v>
      </c>
      <c r="E2731" s="75">
        <v>94.99</v>
      </c>
      <c r="F2731">
        <v>-351.12</v>
      </c>
      <c r="G2731">
        <v>399.6</v>
      </c>
      <c r="H2731">
        <v>-1514.3999999999999</v>
      </c>
      <c r="I2731">
        <v>-1611.8</v>
      </c>
      <c r="J2731">
        <v>-3077.72</v>
      </c>
    </row>
    <row r="2732" spans="1:10" x14ac:dyDescent="0.35">
      <c r="A2732">
        <v>2716</v>
      </c>
      <c r="B2732" s="75">
        <v>89.650400000000005</v>
      </c>
      <c r="C2732" s="75">
        <v>98.298199999999994</v>
      </c>
      <c r="D2732" s="75">
        <v>94.834299999999999</v>
      </c>
      <c r="E2732" s="75">
        <v>94.401200000000003</v>
      </c>
      <c r="F2732">
        <v>-319.44</v>
      </c>
      <c r="G2732">
        <v>-132.45000000000002</v>
      </c>
      <c r="H2732">
        <v>-4036.4000000000005</v>
      </c>
      <c r="I2732">
        <v>-1020.5999999999999</v>
      </c>
      <c r="J2732">
        <v>-5508.8900000000012</v>
      </c>
    </row>
    <row r="2733" spans="1:10" x14ac:dyDescent="0.35">
      <c r="A2733">
        <v>2717</v>
      </c>
      <c r="B2733" s="75">
        <v>88.83</v>
      </c>
      <c r="C2733" s="75">
        <v>98.41</v>
      </c>
      <c r="D2733" s="75">
        <v>91.07</v>
      </c>
      <c r="E2733" s="75">
        <v>97.17</v>
      </c>
      <c r="F2733">
        <v>2401.7399999999998</v>
      </c>
      <c r="G2733">
        <v>-295.05</v>
      </c>
      <c r="H2733">
        <v>3495.4</v>
      </c>
      <c r="I2733">
        <v>-3789.2999999999997</v>
      </c>
      <c r="J2733">
        <v>1812.7900000000004</v>
      </c>
    </row>
    <row r="2734" spans="1:10" x14ac:dyDescent="0.35">
      <c r="A2734">
        <v>2718</v>
      </c>
      <c r="B2734" s="75">
        <v>90.065899999999999</v>
      </c>
      <c r="C2734" s="75">
        <v>98.536600000000007</v>
      </c>
      <c r="D2734" s="75">
        <v>92.747799999999998</v>
      </c>
      <c r="E2734" s="75">
        <v>93.940399999999997</v>
      </c>
      <c r="F2734">
        <v>-1690.59</v>
      </c>
      <c r="G2734">
        <v>-490.05</v>
      </c>
      <c r="H2734">
        <v>136.6</v>
      </c>
      <c r="I2734">
        <v>-559.79999999999995</v>
      </c>
      <c r="J2734">
        <v>-2603.84</v>
      </c>
    </row>
    <row r="2735" spans="1:10" x14ac:dyDescent="0.35">
      <c r="A2735">
        <v>2719</v>
      </c>
      <c r="B2735" s="75">
        <v>89.04</v>
      </c>
      <c r="C2735" s="75">
        <v>98.63</v>
      </c>
      <c r="D2735" s="75">
        <v>92.26</v>
      </c>
      <c r="E2735" s="75">
        <v>92.05</v>
      </c>
      <c r="F2735">
        <v>1682.3400000000001</v>
      </c>
      <c r="G2735">
        <v>-622.80000000000007</v>
      </c>
      <c r="H2735">
        <v>1117.3999999999999</v>
      </c>
      <c r="I2735">
        <v>1330.6</v>
      </c>
      <c r="J2735">
        <v>3507.5399999999995</v>
      </c>
    </row>
    <row r="2736" spans="1:10" x14ac:dyDescent="0.35">
      <c r="A2736">
        <v>2720</v>
      </c>
      <c r="B2736" s="75">
        <v>89.364699999999999</v>
      </c>
      <c r="C2736" s="75">
        <v>98.604699999999994</v>
      </c>
      <c r="D2736" s="75">
        <v>92.170100000000005</v>
      </c>
      <c r="E2736" s="75">
        <v>93.5047</v>
      </c>
      <c r="F2736">
        <v>623.37</v>
      </c>
      <c r="G2736">
        <v>-592.19999999999993</v>
      </c>
      <c r="H2736">
        <v>1292</v>
      </c>
      <c r="I2736">
        <v>-124.10000000000001</v>
      </c>
      <c r="J2736">
        <v>1199.0700000000002</v>
      </c>
    </row>
    <row r="2737" spans="1:10" x14ac:dyDescent="0.35">
      <c r="A2737">
        <v>2721</v>
      </c>
      <c r="B2737" s="75">
        <v>88.39</v>
      </c>
      <c r="C2737" s="75">
        <v>99.27</v>
      </c>
      <c r="D2737" s="75">
        <v>93.72</v>
      </c>
      <c r="E2737" s="75">
        <v>95.05</v>
      </c>
      <c r="F2737">
        <v>3845.16</v>
      </c>
      <c r="G2737">
        <v>-1583.8500000000001</v>
      </c>
      <c r="H2737">
        <v>-1807.1999999999998</v>
      </c>
      <c r="I2737">
        <v>-1673.5</v>
      </c>
      <c r="J2737">
        <v>-1219.3900000000003</v>
      </c>
    </row>
    <row r="2738" spans="1:10" x14ac:dyDescent="0.35">
      <c r="A2738">
        <v>2722</v>
      </c>
      <c r="B2738" s="75">
        <v>89.472099999999998</v>
      </c>
      <c r="C2738" s="75">
        <v>96.604200000000006</v>
      </c>
      <c r="D2738" s="75">
        <v>90.560199999999995</v>
      </c>
      <c r="E2738" s="75">
        <v>91.8035</v>
      </c>
      <c r="F2738">
        <v>268.95</v>
      </c>
      <c r="G2738">
        <v>2408.5499999999997</v>
      </c>
      <c r="H2738">
        <v>4511.8</v>
      </c>
      <c r="I2738">
        <v>1577.1</v>
      </c>
      <c r="J2738">
        <v>8766.4</v>
      </c>
    </row>
    <row r="2739" spans="1:10" x14ac:dyDescent="0.35">
      <c r="A2739">
        <v>2723</v>
      </c>
      <c r="B2739" s="75">
        <v>90.2</v>
      </c>
      <c r="C2739" s="75">
        <v>97.78</v>
      </c>
      <c r="D2739" s="75">
        <v>92.6</v>
      </c>
      <c r="E2739" s="75">
        <v>94.44</v>
      </c>
      <c r="F2739">
        <v>-2118.6</v>
      </c>
      <c r="G2739">
        <v>639.30000000000007</v>
      </c>
      <c r="H2739">
        <v>437.2</v>
      </c>
      <c r="I2739">
        <v>-1056.2</v>
      </c>
      <c r="J2739">
        <v>-2098.2999999999997</v>
      </c>
    </row>
    <row r="2740" spans="1:10" x14ac:dyDescent="0.35">
      <c r="A2740">
        <v>2724</v>
      </c>
      <c r="B2740" s="75">
        <v>89.501999999999995</v>
      </c>
      <c r="C2740" s="75">
        <v>98.030199999999994</v>
      </c>
      <c r="D2740" s="75">
        <v>93.788700000000006</v>
      </c>
      <c r="E2740" s="75">
        <v>96.293800000000005</v>
      </c>
      <c r="F2740">
        <v>170.28</v>
      </c>
      <c r="G2740">
        <v>269.55</v>
      </c>
      <c r="H2740">
        <v>-1945.2</v>
      </c>
      <c r="I2740">
        <v>-2913.2</v>
      </c>
      <c r="J2740">
        <v>-4418.57</v>
      </c>
    </row>
    <row r="2741" spans="1:10" x14ac:dyDescent="0.35">
      <c r="A2741">
        <v>2725</v>
      </c>
      <c r="B2741" s="75">
        <v>89.49</v>
      </c>
      <c r="C2741" s="75">
        <v>97.97</v>
      </c>
      <c r="D2741" s="75">
        <v>93.67</v>
      </c>
      <c r="E2741" s="75">
        <v>90.01</v>
      </c>
      <c r="F2741">
        <v>218.79</v>
      </c>
      <c r="G2741">
        <v>361.65000000000003</v>
      </c>
      <c r="H2741">
        <v>-1714.2</v>
      </c>
      <c r="I2741">
        <v>3374.5</v>
      </c>
      <c r="J2741">
        <v>2240.7399999999998</v>
      </c>
    </row>
    <row r="2742" spans="1:10" x14ac:dyDescent="0.35">
      <c r="A2742">
        <v>2726</v>
      </c>
      <c r="B2742" s="75">
        <v>89.561000000000007</v>
      </c>
      <c r="C2742" s="75">
        <v>98.637900000000002</v>
      </c>
      <c r="D2742" s="75">
        <v>91.776700000000005</v>
      </c>
      <c r="E2742" s="75">
        <v>94.555800000000005</v>
      </c>
      <c r="F2742">
        <v>-24.42</v>
      </c>
      <c r="G2742">
        <v>-642</v>
      </c>
      <c r="H2742">
        <v>2078.8000000000002</v>
      </c>
      <c r="I2742">
        <v>-1175.2</v>
      </c>
      <c r="J2742">
        <v>237.18000000000006</v>
      </c>
    </row>
    <row r="2743" spans="1:10" x14ac:dyDescent="0.35">
      <c r="A2743">
        <v>2727</v>
      </c>
      <c r="B2743" s="75">
        <v>90.33</v>
      </c>
      <c r="C2743" s="75">
        <v>98.14</v>
      </c>
      <c r="D2743" s="75">
        <v>91.18</v>
      </c>
      <c r="E2743" s="75">
        <v>91.5</v>
      </c>
      <c r="F2743">
        <v>-2569.0499999999997</v>
      </c>
      <c r="G2743">
        <v>106.2</v>
      </c>
      <c r="H2743">
        <v>3271.7999999999997</v>
      </c>
      <c r="I2743">
        <v>1878.3000000000002</v>
      </c>
      <c r="J2743">
        <v>2687.25</v>
      </c>
    </row>
    <row r="2744" spans="1:10" x14ac:dyDescent="0.35">
      <c r="A2744">
        <v>2728</v>
      </c>
      <c r="B2744" s="75">
        <v>89.8613</v>
      </c>
      <c r="C2744" s="75">
        <v>98.4833</v>
      </c>
      <c r="D2744" s="75">
        <v>92.587100000000007</v>
      </c>
      <c r="E2744" s="75">
        <v>93.854200000000006</v>
      </c>
      <c r="F2744">
        <v>-1015.41</v>
      </c>
      <c r="G2744">
        <v>-410.09999999999997</v>
      </c>
      <c r="H2744">
        <v>458</v>
      </c>
      <c r="I2744">
        <v>-473.6</v>
      </c>
      <c r="J2744">
        <v>-1441.1100000000001</v>
      </c>
    </row>
    <row r="2745" spans="1:10" x14ac:dyDescent="0.35">
      <c r="A2745">
        <v>2729</v>
      </c>
      <c r="B2745" s="75">
        <v>88.94</v>
      </c>
      <c r="C2745" s="75">
        <v>98.72</v>
      </c>
      <c r="D2745" s="75">
        <v>92.46</v>
      </c>
      <c r="E2745" s="75">
        <v>93.08</v>
      </c>
      <c r="F2745">
        <v>2016.3</v>
      </c>
      <c r="G2745">
        <v>-769.94999999999993</v>
      </c>
      <c r="H2745">
        <v>715.40000000000009</v>
      </c>
      <c r="I2745">
        <v>300.3</v>
      </c>
      <c r="J2745">
        <v>2262.0500000000002</v>
      </c>
    </row>
    <row r="2746" spans="1:10" x14ac:dyDescent="0.35">
      <c r="A2746">
        <v>2730</v>
      </c>
      <c r="B2746" s="75">
        <v>89.7834</v>
      </c>
      <c r="C2746" s="75">
        <v>97.083699999999993</v>
      </c>
      <c r="D2746" s="75">
        <v>93.200299999999999</v>
      </c>
      <c r="E2746" s="75">
        <v>87.765600000000006</v>
      </c>
      <c r="F2746">
        <v>-758.34</v>
      </c>
      <c r="G2746">
        <v>1689.3000000000002</v>
      </c>
      <c r="H2746">
        <v>-768.4</v>
      </c>
      <c r="I2746">
        <v>5615</v>
      </c>
      <c r="J2746">
        <v>5777.56</v>
      </c>
    </row>
    <row r="2747" spans="1:10" x14ac:dyDescent="0.35">
      <c r="A2747">
        <v>2731</v>
      </c>
      <c r="B2747" s="75">
        <v>90.54</v>
      </c>
      <c r="C2747" s="75">
        <v>97.17</v>
      </c>
      <c r="D2747" s="75">
        <v>92.37</v>
      </c>
      <c r="E2747" s="75">
        <v>94.43</v>
      </c>
      <c r="F2747">
        <v>-3258.42</v>
      </c>
      <c r="G2747">
        <v>1554.6</v>
      </c>
      <c r="H2747">
        <v>887</v>
      </c>
      <c r="I2747">
        <v>-1045.8</v>
      </c>
      <c r="J2747">
        <v>-1862.6200000000001</v>
      </c>
    </row>
    <row r="2748" spans="1:10" x14ac:dyDescent="0.35">
      <c r="A2748">
        <v>2732</v>
      </c>
      <c r="B2748" s="75">
        <v>89.407499999999999</v>
      </c>
      <c r="C2748" s="75">
        <v>96.766499999999994</v>
      </c>
      <c r="D2748" s="75">
        <v>91.303899999999999</v>
      </c>
      <c r="E2748" s="75">
        <v>92.407600000000002</v>
      </c>
      <c r="F2748">
        <v>482.13000000000005</v>
      </c>
      <c r="G2748">
        <v>2165.1</v>
      </c>
      <c r="H2748">
        <v>3024.4</v>
      </c>
      <c r="I2748">
        <v>973</v>
      </c>
      <c r="J2748">
        <v>6644.63</v>
      </c>
    </row>
    <row r="2749" spans="1:10" x14ac:dyDescent="0.35">
      <c r="A2749">
        <v>2733</v>
      </c>
      <c r="B2749" s="75">
        <v>89.11</v>
      </c>
      <c r="C2749" s="75">
        <v>99.46</v>
      </c>
      <c r="D2749" s="75">
        <v>92.25</v>
      </c>
      <c r="E2749" s="75">
        <v>93.03</v>
      </c>
      <c r="F2749">
        <v>1469.1599999999999</v>
      </c>
      <c r="G2749">
        <v>-1869.3</v>
      </c>
      <c r="H2749">
        <v>1128.8</v>
      </c>
      <c r="I2749">
        <v>348.3</v>
      </c>
      <c r="J2749">
        <v>1076.9599999999998</v>
      </c>
    </row>
    <row r="2750" spans="1:10" x14ac:dyDescent="0.35">
      <c r="A2750">
        <v>2734</v>
      </c>
      <c r="B2750" s="75">
        <v>90.044700000000006</v>
      </c>
      <c r="C2750" s="75">
        <v>98.113</v>
      </c>
      <c r="D2750" s="75">
        <v>93.106099999999998</v>
      </c>
      <c r="E2750" s="75">
        <v>93.363500000000002</v>
      </c>
      <c r="F2750">
        <v>-1620.6299999999999</v>
      </c>
      <c r="G2750">
        <v>145.35</v>
      </c>
      <c r="H2750">
        <v>-580</v>
      </c>
      <c r="I2750">
        <v>17.100000000000001</v>
      </c>
      <c r="J2750">
        <v>-2038.1799999999998</v>
      </c>
    </row>
    <row r="2751" spans="1:10" x14ac:dyDescent="0.35">
      <c r="A2751">
        <v>2735</v>
      </c>
      <c r="B2751" s="75">
        <v>89.28</v>
      </c>
      <c r="C2751" s="75">
        <v>98.24</v>
      </c>
      <c r="D2751" s="75">
        <v>92.18</v>
      </c>
      <c r="E2751" s="75">
        <v>95.16</v>
      </c>
      <c r="F2751">
        <v>896.61</v>
      </c>
      <c r="G2751">
        <v>-39.300000000000004</v>
      </c>
      <c r="H2751">
        <v>1279</v>
      </c>
      <c r="I2751">
        <v>-1776.3</v>
      </c>
      <c r="J2751">
        <v>360.01</v>
      </c>
    </row>
    <row r="2752" spans="1:10" x14ac:dyDescent="0.35">
      <c r="A2752">
        <v>2736</v>
      </c>
      <c r="B2752" s="75">
        <v>89.310100000000006</v>
      </c>
      <c r="C2752" s="75">
        <v>98.530299999999997</v>
      </c>
      <c r="D2752" s="75">
        <v>92.925600000000003</v>
      </c>
      <c r="E2752" s="75">
        <v>94.182400000000001</v>
      </c>
      <c r="F2752">
        <v>803.55</v>
      </c>
      <c r="G2752">
        <v>-480.6</v>
      </c>
      <c r="H2752">
        <v>-219</v>
      </c>
      <c r="I2752">
        <v>-801.8</v>
      </c>
      <c r="J2752">
        <v>-697.85</v>
      </c>
    </row>
    <row r="2753" spans="1:10" x14ac:dyDescent="0.35">
      <c r="A2753">
        <v>2737</v>
      </c>
      <c r="B2753" s="75">
        <v>89.83</v>
      </c>
      <c r="C2753" s="75">
        <v>98.03</v>
      </c>
      <c r="D2753" s="75">
        <v>92.47</v>
      </c>
      <c r="E2753" s="75">
        <v>93.26</v>
      </c>
      <c r="F2753">
        <v>-908.49</v>
      </c>
      <c r="G2753">
        <v>265.8</v>
      </c>
      <c r="H2753">
        <v>697.4</v>
      </c>
      <c r="I2753">
        <v>121.1</v>
      </c>
      <c r="J2753">
        <v>175.80999999999992</v>
      </c>
    </row>
    <row r="2754" spans="1:10" x14ac:dyDescent="0.35">
      <c r="A2754">
        <v>2738</v>
      </c>
      <c r="B2754" s="75">
        <v>89.668999999999997</v>
      </c>
      <c r="C2754" s="75">
        <v>99.628</v>
      </c>
      <c r="D2754" s="75">
        <v>92.3309</v>
      </c>
      <c r="E2754" s="75">
        <v>95.0471</v>
      </c>
      <c r="F2754">
        <v>-380.82</v>
      </c>
      <c r="G2754">
        <v>-2127.15</v>
      </c>
      <c r="H2754">
        <v>970.40000000000009</v>
      </c>
      <c r="I2754">
        <v>-1666.5</v>
      </c>
      <c r="J2754">
        <v>-3204.07</v>
      </c>
    </row>
    <row r="2755" spans="1:10" x14ac:dyDescent="0.35">
      <c r="A2755">
        <v>2739</v>
      </c>
      <c r="B2755" s="75">
        <v>89.78</v>
      </c>
      <c r="C2755" s="75">
        <v>97.01</v>
      </c>
      <c r="D2755" s="75">
        <v>92.53</v>
      </c>
      <c r="E2755" s="75">
        <v>93.73</v>
      </c>
      <c r="F2755">
        <v>-752.06999999999994</v>
      </c>
      <c r="G2755">
        <v>1799.85</v>
      </c>
      <c r="H2755">
        <v>565.20000000000005</v>
      </c>
      <c r="I2755">
        <v>-353</v>
      </c>
      <c r="J2755">
        <v>1259.98</v>
      </c>
    </row>
    <row r="2756" spans="1:10" x14ac:dyDescent="0.35">
      <c r="A2756">
        <v>2740</v>
      </c>
      <c r="B2756" s="75">
        <v>89.843100000000007</v>
      </c>
      <c r="C2756" s="75">
        <v>98.468100000000007</v>
      </c>
      <c r="D2756" s="75">
        <v>93.244</v>
      </c>
      <c r="E2756" s="75">
        <v>91.968000000000004</v>
      </c>
      <c r="F2756">
        <v>-955.34999999999991</v>
      </c>
      <c r="G2756">
        <v>-387.29999999999995</v>
      </c>
      <c r="H2756">
        <v>-855.8</v>
      </c>
      <c r="I2756">
        <v>1412.6000000000001</v>
      </c>
      <c r="J2756">
        <v>-785.84999999999968</v>
      </c>
    </row>
    <row r="2757" spans="1:10" x14ac:dyDescent="0.35">
      <c r="A2757">
        <v>2741</v>
      </c>
      <c r="B2757" s="75">
        <v>89.41</v>
      </c>
      <c r="C2757" s="75">
        <v>98.69</v>
      </c>
      <c r="D2757" s="75">
        <v>93.03</v>
      </c>
      <c r="E2757" s="75">
        <v>93.69</v>
      </c>
      <c r="F2757">
        <v>487.40999999999997</v>
      </c>
      <c r="G2757">
        <v>-723.75</v>
      </c>
      <c r="H2757">
        <v>-422.8</v>
      </c>
      <c r="I2757">
        <v>-314</v>
      </c>
      <c r="J2757">
        <v>-973.1400000000001</v>
      </c>
    </row>
    <row r="2758" spans="1:10" x14ac:dyDescent="0.35">
      <c r="A2758">
        <v>2742</v>
      </c>
      <c r="B2758" s="75">
        <v>89.712900000000005</v>
      </c>
      <c r="C2758" s="75">
        <v>97.773200000000003</v>
      </c>
      <c r="D2758" s="75">
        <v>92.818299999999994</v>
      </c>
      <c r="E2758" s="75">
        <v>96.140900000000002</v>
      </c>
      <c r="F2758">
        <v>-525.68999999999994</v>
      </c>
      <c r="G2758">
        <v>655.04999999999995</v>
      </c>
      <c r="H2758">
        <v>-4.4000000000000004</v>
      </c>
      <c r="I2758">
        <v>-2760.3</v>
      </c>
      <c r="J2758">
        <v>-2635.34</v>
      </c>
    </row>
    <row r="2759" spans="1:10" x14ac:dyDescent="0.35">
      <c r="A2759">
        <v>2743</v>
      </c>
      <c r="B2759" s="75">
        <v>89.51</v>
      </c>
      <c r="C2759" s="75">
        <v>98.01</v>
      </c>
      <c r="D2759" s="75">
        <v>92.34</v>
      </c>
      <c r="E2759" s="75">
        <v>95.14</v>
      </c>
      <c r="F2759">
        <v>131.66999999999999</v>
      </c>
      <c r="G2759">
        <v>300.89999999999998</v>
      </c>
      <c r="H2759">
        <v>946.2</v>
      </c>
      <c r="I2759">
        <v>-1756.5</v>
      </c>
      <c r="J2759">
        <v>-377.73</v>
      </c>
    </row>
    <row r="2760" spans="1:10" x14ac:dyDescent="0.35">
      <c r="A2760">
        <v>2744</v>
      </c>
      <c r="B2760" s="75">
        <v>89.200699999999998</v>
      </c>
      <c r="C2760" s="75">
        <v>98.657300000000006</v>
      </c>
      <c r="D2760" s="75">
        <v>93.282200000000003</v>
      </c>
      <c r="E2760" s="75">
        <v>95.016300000000001</v>
      </c>
      <c r="F2760">
        <v>1164.57</v>
      </c>
      <c r="G2760">
        <v>-671.1</v>
      </c>
      <c r="H2760">
        <v>-932.2</v>
      </c>
      <c r="I2760">
        <v>-1635.6999999999998</v>
      </c>
      <c r="J2760">
        <v>-2074.4299999999998</v>
      </c>
    </row>
    <row r="2761" spans="1:10" x14ac:dyDescent="0.35">
      <c r="A2761">
        <v>2745</v>
      </c>
      <c r="B2761" s="75">
        <v>89.06</v>
      </c>
      <c r="C2761" s="75">
        <v>99.96</v>
      </c>
      <c r="D2761" s="75">
        <v>92.09</v>
      </c>
      <c r="E2761" s="75">
        <v>96.05</v>
      </c>
      <c r="F2761">
        <v>1621.6200000000001</v>
      </c>
      <c r="G2761">
        <v>-2624.7</v>
      </c>
      <c r="H2761">
        <v>1445.2</v>
      </c>
      <c r="I2761">
        <v>-2667.7</v>
      </c>
      <c r="J2761">
        <v>-2225.5799999999995</v>
      </c>
    </row>
    <row r="2762" spans="1:10" x14ac:dyDescent="0.35">
      <c r="A2762">
        <v>2746</v>
      </c>
      <c r="B2762" s="75">
        <v>89.514700000000005</v>
      </c>
      <c r="C2762" s="75">
        <v>98.741900000000001</v>
      </c>
      <c r="D2762" s="75">
        <v>93.154799999999994</v>
      </c>
      <c r="E2762" s="75">
        <v>91.8279</v>
      </c>
      <c r="F2762">
        <v>128.37</v>
      </c>
      <c r="G2762">
        <v>-798</v>
      </c>
      <c r="H2762">
        <v>-677.4</v>
      </c>
      <c r="I2762">
        <v>1552.7</v>
      </c>
      <c r="J2762">
        <v>205.67000000000007</v>
      </c>
    </row>
    <row r="2763" spans="1:10" x14ac:dyDescent="0.35">
      <c r="A2763">
        <v>2747</v>
      </c>
      <c r="B2763" s="75">
        <v>88.81</v>
      </c>
      <c r="C2763" s="75">
        <v>98.22</v>
      </c>
      <c r="D2763" s="75">
        <v>93.23</v>
      </c>
      <c r="E2763" s="75">
        <v>96.12</v>
      </c>
      <c r="F2763">
        <v>2445.3000000000002</v>
      </c>
      <c r="G2763">
        <v>-16.2</v>
      </c>
      <c r="H2763">
        <v>-829.2</v>
      </c>
      <c r="I2763">
        <v>-2743</v>
      </c>
      <c r="J2763">
        <v>-1143.0999999999997</v>
      </c>
    </row>
    <row r="2764" spans="1:10" x14ac:dyDescent="0.35">
      <c r="A2764">
        <v>2748</v>
      </c>
      <c r="B2764" s="75">
        <v>89.502499999999998</v>
      </c>
      <c r="C2764" s="75">
        <v>99.077399999999997</v>
      </c>
      <c r="D2764" s="75">
        <v>94.4739</v>
      </c>
      <c r="E2764" s="75">
        <v>94.1768</v>
      </c>
      <c r="F2764">
        <v>168.63</v>
      </c>
      <c r="G2764">
        <v>-1301.25</v>
      </c>
      <c r="H2764">
        <v>-3315.6</v>
      </c>
      <c r="I2764">
        <v>-796.2</v>
      </c>
      <c r="J2764">
        <v>-5244.4199999999992</v>
      </c>
    </row>
    <row r="2765" spans="1:10" x14ac:dyDescent="0.35">
      <c r="A2765">
        <v>2749</v>
      </c>
      <c r="B2765" s="75">
        <v>89.53</v>
      </c>
      <c r="C2765" s="75">
        <v>98.73</v>
      </c>
      <c r="D2765" s="75">
        <v>92.08</v>
      </c>
      <c r="E2765" s="75">
        <v>90.55</v>
      </c>
      <c r="F2765">
        <v>83.16</v>
      </c>
      <c r="G2765">
        <v>-781.35</v>
      </c>
      <c r="H2765">
        <v>1462.6</v>
      </c>
      <c r="I2765">
        <v>2833.8999999999996</v>
      </c>
      <c r="J2765">
        <v>3598.3099999999995</v>
      </c>
    </row>
    <row r="2766" spans="1:10" x14ac:dyDescent="0.35">
      <c r="A2766">
        <v>2750</v>
      </c>
      <c r="B2766" s="75">
        <v>89.350800000000007</v>
      </c>
      <c r="C2766" s="75">
        <v>97.979799999999997</v>
      </c>
      <c r="D2766" s="75">
        <v>92.424499999999995</v>
      </c>
      <c r="E2766" s="75">
        <v>90.293000000000006</v>
      </c>
      <c r="F2766">
        <v>669.24</v>
      </c>
      <c r="G2766">
        <v>345.15</v>
      </c>
      <c r="H2766">
        <v>783.2</v>
      </c>
      <c r="I2766">
        <v>3087.6</v>
      </c>
      <c r="J2766">
        <v>4885.1900000000005</v>
      </c>
    </row>
    <row r="2767" spans="1:10" x14ac:dyDescent="0.35">
      <c r="A2767">
        <v>2751</v>
      </c>
      <c r="B2767" s="75">
        <v>90.06</v>
      </c>
      <c r="C2767" s="75">
        <v>97.84</v>
      </c>
      <c r="D2767" s="75">
        <v>91.85</v>
      </c>
      <c r="E2767" s="75">
        <v>94.73</v>
      </c>
      <c r="F2767">
        <v>-1662.8700000000001</v>
      </c>
      <c r="G2767">
        <v>553.65</v>
      </c>
      <c r="H2767">
        <v>1930.8000000000002</v>
      </c>
      <c r="I2767">
        <v>-1345</v>
      </c>
      <c r="J2767">
        <v>-523.42000000000007</v>
      </c>
    </row>
    <row r="2768" spans="1:10" x14ac:dyDescent="0.35">
      <c r="A2768">
        <v>2752</v>
      </c>
      <c r="B2768" s="75">
        <v>89.6815</v>
      </c>
      <c r="C2768" s="75">
        <v>97.306299999999993</v>
      </c>
      <c r="D2768" s="75">
        <v>94.796599999999998</v>
      </c>
      <c r="E2768" s="75">
        <v>95.439899999999994</v>
      </c>
      <c r="F2768">
        <v>-422.07000000000005</v>
      </c>
      <c r="G2768">
        <v>1355.3999999999999</v>
      </c>
      <c r="H2768">
        <v>-3961</v>
      </c>
      <c r="I2768">
        <v>-2059.2999999999997</v>
      </c>
      <c r="J2768">
        <v>-5086.9699999999993</v>
      </c>
    </row>
    <row r="2769" spans="1:10" x14ac:dyDescent="0.35">
      <c r="A2769">
        <v>2753</v>
      </c>
      <c r="B2769" s="75">
        <v>89.73</v>
      </c>
      <c r="C2769" s="75">
        <v>98.49</v>
      </c>
      <c r="D2769" s="75">
        <v>92.43</v>
      </c>
      <c r="E2769" s="75">
        <v>91.84</v>
      </c>
      <c r="F2769">
        <v>-576.51</v>
      </c>
      <c r="G2769">
        <v>-422.40000000000003</v>
      </c>
      <c r="H2769">
        <v>775.4</v>
      </c>
      <c r="I2769">
        <v>1545.1999999999998</v>
      </c>
      <c r="J2769">
        <v>1321.6899999999996</v>
      </c>
    </row>
    <row r="2770" spans="1:10" x14ac:dyDescent="0.35">
      <c r="A2770">
        <v>2754</v>
      </c>
      <c r="B2770" s="75">
        <v>89.527199999999993</v>
      </c>
      <c r="C2770" s="75">
        <v>100.9534</v>
      </c>
      <c r="D2770" s="75">
        <v>92.890500000000003</v>
      </c>
      <c r="E2770" s="75">
        <v>93.813900000000004</v>
      </c>
      <c r="F2770">
        <v>87.12</v>
      </c>
      <c r="G2770">
        <v>-4115.25</v>
      </c>
      <c r="H2770">
        <v>-148.79999999999998</v>
      </c>
      <c r="I2770">
        <v>-433.3</v>
      </c>
      <c r="J2770">
        <v>-4610.2300000000005</v>
      </c>
    </row>
    <row r="2771" spans="1:10" x14ac:dyDescent="0.35">
      <c r="A2771">
        <v>2755</v>
      </c>
      <c r="B2771" s="75">
        <v>89.43</v>
      </c>
      <c r="C2771" s="75">
        <v>99.15</v>
      </c>
      <c r="D2771" s="75">
        <v>92.53</v>
      </c>
      <c r="E2771" s="75">
        <v>93.15</v>
      </c>
      <c r="F2771">
        <v>410.52</v>
      </c>
      <c r="G2771">
        <v>-1410.75</v>
      </c>
      <c r="H2771">
        <v>569</v>
      </c>
      <c r="I2771">
        <v>228.3</v>
      </c>
      <c r="J2771">
        <v>-202.93</v>
      </c>
    </row>
    <row r="2772" spans="1:10" x14ac:dyDescent="0.35">
      <c r="A2772">
        <v>2756</v>
      </c>
      <c r="B2772" s="75">
        <v>89.546400000000006</v>
      </c>
      <c r="C2772" s="75">
        <v>99.813500000000005</v>
      </c>
      <c r="D2772" s="75">
        <v>92.598699999999994</v>
      </c>
      <c r="E2772" s="75">
        <v>91.6477</v>
      </c>
      <c r="F2772">
        <v>23.759999999999998</v>
      </c>
      <c r="G2772">
        <v>-2405.4</v>
      </c>
      <c r="H2772">
        <v>434.8</v>
      </c>
      <c r="I2772">
        <v>1732.9</v>
      </c>
      <c r="J2772">
        <v>-213.93999999999983</v>
      </c>
    </row>
    <row r="2773" spans="1:10" x14ac:dyDescent="0.35">
      <c r="A2773">
        <v>2757</v>
      </c>
      <c r="B2773" s="75">
        <v>89.03</v>
      </c>
      <c r="C2773" s="75">
        <v>97.57</v>
      </c>
      <c r="D2773" s="75">
        <v>92.11</v>
      </c>
      <c r="E2773" s="75">
        <v>92.49</v>
      </c>
      <c r="F2773">
        <v>1724.91</v>
      </c>
      <c r="G2773">
        <v>966.15</v>
      </c>
      <c r="H2773">
        <v>1418</v>
      </c>
      <c r="I2773">
        <v>888</v>
      </c>
      <c r="J2773">
        <v>4997.0599999999995</v>
      </c>
    </row>
    <row r="2774" spans="1:10" x14ac:dyDescent="0.35">
      <c r="A2774">
        <v>2758</v>
      </c>
      <c r="B2774" s="75">
        <v>89.857600000000005</v>
      </c>
      <c r="C2774" s="75">
        <v>97.715599999999995</v>
      </c>
      <c r="D2774" s="75">
        <v>91.5137</v>
      </c>
      <c r="E2774" s="75">
        <v>94.635599999999997</v>
      </c>
      <c r="F2774">
        <v>-1003.1999999999999</v>
      </c>
      <c r="G2774">
        <v>741.45</v>
      </c>
      <c r="H2774">
        <v>2604.8000000000002</v>
      </c>
      <c r="I2774">
        <v>-1255</v>
      </c>
      <c r="J2774">
        <v>1088.0500000000002</v>
      </c>
    </row>
    <row r="2775" spans="1:10" x14ac:dyDescent="0.35">
      <c r="A2775">
        <v>2759</v>
      </c>
      <c r="B2775" s="75">
        <v>90.13</v>
      </c>
      <c r="C2775" s="75">
        <v>97.93</v>
      </c>
      <c r="D2775" s="75">
        <v>94.41</v>
      </c>
      <c r="E2775" s="75">
        <v>97.09</v>
      </c>
      <c r="F2775">
        <v>-1909.38</v>
      </c>
      <c r="G2775">
        <v>415.8</v>
      </c>
      <c r="H2775">
        <v>-3191.3999999999996</v>
      </c>
      <c r="I2775">
        <v>-3706.9</v>
      </c>
      <c r="J2775">
        <v>-8391.8799999999992</v>
      </c>
    </row>
    <row r="2776" spans="1:10" x14ac:dyDescent="0.35">
      <c r="A2776">
        <v>2760</v>
      </c>
      <c r="B2776" s="75">
        <v>89.331900000000005</v>
      </c>
      <c r="C2776" s="75">
        <v>97.958200000000005</v>
      </c>
      <c r="D2776" s="75">
        <v>93.552899999999994</v>
      </c>
      <c r="E2776" s="75">
        <v>91.404600000000002</v>
      </c>
      <c r="F2776">
        <v>731.61</v>
      </c>
      <c r="G2776">
        <v>377.54999999999995</v>
      </c>
      <c r="H2776">
        <v>-1473.6</v>
      </c>
      <c r="I2776">
        <v>1976</v>
      </c>
      <c r="J2776">
        <v>1611.56</v>
      </c>
    </row>
    <row r="2777" spans="1:10" x14ac:dyDescent="0.35">
      <c r="A2777">
        <v>2761</v>
      </c>
      <c r="B2777" s="75">
        <v>89.16</v>
      </c>
      <c r="C2777" s="75">
        <v>98.72</v>
      </c>
      <c r="D2777" s="75">
        <v>93.48</v>
      </c>
      <c r="E2777" s="75">
        <v>90.56</v>
      </c>
      <c r="F2777">
        <v>1290.96</v>
      </c>
      <c r="G2777">
        <v>-764.24999999999989</v>
      </c>
      <c r="H2777">
        <v>-1334</v>
      </c>
      <c r="I2777">
        <v>2816</v>
      </c>
      <c r="J2777">
        <v>2008.71</v>
      </c>
    </row>
    <row r="2778" spans="1:10" x14ac:dyDescent="0.35">
      <c r="A2778">
        <v>2762</v>
      </c>
      <c r="B2778" s="75">
        <v>89.061599999999999</v>
      </c>
      <c r="C2778" s="75">
        <v>97.213899999999995</v>
      </c>
      <c r="D2778" s="75">
        <v>91.781099999999995</v>
      </c>
      <c r="E2778" s="75">
        <v>92.866900000000001</v>
      </c>
      <c r="F2778">
        <v>1623.6</v>
      </c>
      <c r="G2778">
        <v>1494</v>
      </c>
      <c r="H2778">
        <v>2070</v>
      </c>
      <c r="I2778">
        <v>513.70000000000005</v>
      </c>
      <c r="J2778">
        <v>5701.3</v>
      </c>
    </row>
    <row r="2779" spans="1:10" x14ac:dyDescent="0.35">
      <c r="A2779">
        <v>2763</v>
      </c>
      <c r="B2779" s="75">
        <v>88.9</v>
      </c>
      <c r="C2779" s="75">
        <v>98.75</v>
      </c>
      <c r="D2779" s="75">
        <v>94.35</v>
      </c>
      <c r="E2779" s="75">
        <v>91.8</v>
      </c>
      <c r="F2779">
        <v>2145.66</v>
      </c>
      <c r="G2779">
        <v>-813.75</v>
      </c>
      <c r="H2779">
        <v>-3072.2</v>
      </c>
      <c r="I2779">
        <v>1585.3999999999999</v>
      </c>
      <c r="J2779">
        <v>-154.8900000000001</v>
      </c>
    </row>
    <row r="2780" spans="1:10" x14ac:dyDescent="0.35">
      <c r="A2780">
        <v>2764</v>
      </c>
      <c r="B2780" s="75">
        <v>88.767600000000002</v>
      </c>
      <c r="C2780" s="75">
        <v>97.187700000000007</v>
      </c>
      <c r="D2780" s="75">
        <v>91.250799999999998</v>
      </c>
      <c r="E2780" s="75">
        <v>95.590699999999998</v>
      </c>
      <c r="F2780">
        <v>2593.8000000000002</v>
      </c>
      <c r="G2780">
        <v>1533.3</v>
      </c>
      <c r="H2780">
        <v>3130.6</v>
      </c>
      <c r="I2780">
        <v>-2210.1000000000004</v>
      </c>
      <c r="J2780">
        <v>5047.6000000000004</v>
      </c>
    </row>
    <row r="2781" spans="1:10" x14ac:dyDescent="0.35">
      <c r="A2781">
        <v>2765</v>
      </c>
      <c r="B2781" s="75">
        <v>89.53</v>
      </c>
      <c r="C2781" s="75">
        <v>97.56</v>
      </c>
      <c r="D2781" s="75">
        <v>93.99</v>
      </c>
      <c r="E2781" s="75">
        <v>93.65</v>
      </c>
      <c r="F2781">
        <v>73.59</v>
      </c>
      <c r="G2781">
        <v>976.2</v>
      </c>
      <c r="H2781">
        <v>-2356.6</v>
      </c>
      <c r="I2781">
        <v>-271.7</v>
      </c>
      <c r="J2781">
        <v>-1578.51</v>
      </c>
    </row>
    <row r="2782" spans="1:10" x14ac:dyDescent="0.35">
      <c r="A2782">
        <v>2766</v>
      </c>
      <c r="B2782" s="75">
        <v>89.763599999999997</v>
      </c>
      <c r="C2782" s="75">
        <v>98.242500000000007</v>
      </c>
      <c r="D2782" s="75">
        <v>93.570700000000002</v>
      </c>
      <c r="E2782" s="75">
        <v>93.6417</v>
      </c>
      <c r="F2782">
        <v>-693</v>
      </c>
      <c r="G2782">
        <v>-48.9</v>
      </c>
      <c r="H2782">
        <v>-1509.2</v>
      </c>
      <c r="I2782">
        <v>-261.10000000000002</v>
      </c>
      <c r="J2782">
        <v>-2512.1999999999998</v>
      </c>
    </row>
    <row r="2783" spans="1:10" x14ac:dyDescent="0.35">
      <c r="A2783">
        <v>2767</v>
      </c>
      <c r="B2783" s="75">
        <v>90.11</v>
      </c>
      <c r="C2783" s="75">
        <v>98.48</v>
      </c>
      <c r="D2783" s="75">
        <v>91.17</v>
      </c>
      <c r="E2783" s="75">
        <v>93.97</v>
      </c>
      <c r="F2783">
        <v>-1843.7099999999998</v>
      </c>
      <c r="G2783">
        <v>-407.09999999999997</v>
      </c>
      <c r="H2783">
        <v>3289</v>
      </c>
      <c r="I2783">
        <v>-593.30000000000007</v>
      </c>
      <c r="J2783">
        <v>444.89</v>
      </c>
    </row>
    <row r="2784" spans="1:10" x14ac:dyDescent="0.35">
      <c r="A2784">
        <v>2768</v>
      </c>
      <c r="B2784" s="75">
        <v>89.5655</v>
      </c>
      <c r="C2784" s="75">
        <v>98.724900000000005</v>
      </c>
      <c r="D2784" s="75">
        <v>91.71</v>
      </c>
      <c r="E2784" s="75">
        <v>92.561599999999999</v>
      </c>
      <c r="F2784">
        <v>-39.270000000000003</v>
      </c>
      <c r="G2784">
        <v>-772.5</v>
      </c>
      <c r="H2784">
        <v>2212.2000000000003</v>
      </c>
      <c r="I2784">
        <v>819</v>
      </c>
      <c r="J2784">
        <v>2219.4300000000003</v>
      </c>
    </row>
    <row r="2785" spans="1:10" x14ac:dyDescent="0.35">
      <c r="A2785">
        <v>2769</v>
      </c>
      <c r="B2785" s="75">
        <v>89.9</v>
      </c>
      <c r="C2785" s="75">
        <v>98.82</v>
      </c>
      <c r="D2785" s="75">
        <v>91.76</v>
      </c>
      <c r="E2785" s="75">
        <v>96.39</v>
      </c>
      <c r="F2785">
        <v>-1142.46</v>
      </c>
      <c r="G2785">
        <v>-916.35</v>
      </c>
      <c r="H2785">
        <v>2103.2000000000003</v>
      </c>
      <c r="I2785">
        <v>-3013.3999999999996</v>
      </c>
      <c r="J2785">
        <v>-2969.0099999999993</v>
      </c>
    </row>
    <row r="2786" spans="1:10" x14ac:dyDescent="0.35">
      <c r="A2786">
        <v>2770</v>
      </c>
      <c r="B2786" s="75">
        <v>89.278499999999994</v>
      </c>
      <c r="C2786" s="75">
        <v>98.495999999999995</v>
      </c>
      <c r="D2786" s="75">
        <v>95.297899999999998</v>
      </c>
      <c r="E2786" s="75">
        <v>94.593000000000004</v>
      </c>
      <c r="F2786">
        <v>907.83</v>
      </c>
      <c r="G2786">
        <v>-429.15000000000003</v>
      </c>
      <c r="H2786">
        <v>-4963.5999999999995</v>
      </c>
      <c r="I2786">
        <v>-1212.3999999999999</v>
      </c>
      <c r="J2786">
        <v>-5697.3199999999988</v>
      </c>
    </row>
    <row r="2787" spans="1:10" x14ac:dyDescent="0.35">
      <c r="A2787">
        <v>2771</v>
      </c>
      <c r="B2787" s="75">
        <v>89.38</v>
      </c>
      <c r="C2787" s="75">
        <v>98.6</v>
      </c>
      <c r="D2787" s="75">
        <v>92.95</v>
      </c>
      <c r="E2787" s="75">
        <v>89.78</v>
      </c>
      <c r="F2787">
        <v>582.78</v>
      </c>
      <c r="G2787">
        <v>-581.25</v>
      </c>
      <c r="H2787">
        <v>-268.8</v>
      </c>
      <c r="I2787">
        <v>3604.4</v>
      </c>
      <c r="J2787">
        <v>3337.13</v>
      </c>
    </row>
    <row r="2788" spans="1:10" x14ac:dyDescent="0.35">
      <c r="A2788">
        <v>2772</v>
      </c>
      <c r="B2788" s="75">
        <v>89.193600000000004</v>
      </c>
      <c r="C2788" s="75">
        <v>96.493399999999994</v>
      </c>
      <c r="D2788" s="75">
        <v>92.211600000000004</v>
      </c>
      <c r="E2788" s="75">
        <v>95.954999999999998</v>
      </c>
      <c r="F2788">
        <v>1188</v>
      </c>
      <c r="G2788">
        <v>2574.75</v>
      </c>
      <c r="H2788">
        <v>1209</v>
      </c>
      <c r="I2788">
        <v>-2574.3999999999996</v>
      </c>
      <c r="J2788">
        <v>2397.3500000000004</v>
      </c>
    </row>
    <row r="2789" spans="1:10" x14ac:dyDescent="0.35">
      <c r="A2789">
        <v>2773</v>
      </c>
      <c r="B2789" s="75">
        <v>90.19</v>
      </c>
      <c r="C2789" s="75">
        <v>98.27</v>
      </c>
      <c r="D2789" s="75">
        <v>93.52</v>
      </c>
      <c r="E2789" s="75">
        <v>93.99</v>
      </c>
      <c r="F2789">
        <v>-2102.1</v>
      </c>
      <c r="G2789">
        <v>-83.25</v>
      </c>
      <c r="H2789">
        <v>-1403.6</v>
      </c>
      <c r="I2789">
        <v>-604.79999999999995</v>
      </c>
      <c r="J2789">
        <v>-4193.75</v>
      </c>
    </row>
    <row r="2790" spans="1:10" x14ac:dyDescent="0.35">
      <c r="A2790">
        <v>2774</v>
      </c>
      <c r="B2790" s="75">
        <v>90.350899999999996</v>
      </c>
      <c r="C2790" s="75">
        <v>98.134699999999995</v>
      </c>
      <c r="D2790" s="75">
        <v>91.204899999999995</v>
      </c>
      <c r="E2790" s="75">
        <v>96.563699999999997</v>
      </c>
      <c r="F2790">
        <v>-2631.09</v>
      </c>
      <c r="G2790">
        <v>112.80000000000001</v>
      </c>
      <c r="H2790">
        <v>3222.4</v>
      </c>
      <c r="I2790">
        <v>-3183.1</v>
      </c>
      <c r="J2790">
        <v>-2478.9899999999998</v>
      </c>
    </row>
    <row r="2791" spans="1:10" x14ac:dyDescent="0.35">
      <c r="A2791">
        <v>2775</v>
      </c>
      <c r="B2791" s="75">
        <v>87.88</v>
      </c>
      <c r="C2791" s="75">
        <v>97.44</v>
      </c>
      <c r="D2791" s="75">
        <v>91.6</v>
      </c>
      <c r="E2791" s="75">
        <v>91.09</v>
      </c>
      <c r="F2791">
        <v>5514.63</v>
      </c>
      <c r="G2791">
        <v>1151.8500000000001</v>
      </c>
      <c r="H2791">
        <v>2432.6</v>
      </c>
      <c r="I2791">
        <v>2293.6</v>
      </c>
      <c r="J2791">
        <v>11392.68</v>
      </c>
    </row>
    <row r="2792" spans="1:10" x14ac:dyDescent="0.35">
      <c r="A2792">
        <v>2776</v>
      </c>
      <c r="B2792" s="75">
        <v>89.575000000000003</v>
      </c>
      <c r="C2792" s="75">
        <v>97.639300000000006</v>
      </c>
      <c r="D2792" s="75">
        <v>91.900199999999998</v>
      </c>
      <c r="E2792" s="75">
        <v>92.539000000000001</v>
      </c>
      <c r="F2792">
        <v>-70.61999999999999</v>
      </c>
      <c r="G2792">
        <v>855.9</v>
      </c>
      <c r="H2792">
        <v>1831.8000000000002</v>
      </c>
      <c r="I2792">
        <v>841.6</v>
      </c>
      <c r="J2792">
        <v>3458.68</v>
      </c>
    </row>
    <row r="2793" spans="1:10" x14ac:dyDescent="0.35">
      <c r="A2793">
        <v>2777</v>
      </c>
      <c r="B2793" s="75">
        <v>89.94</v>
      </c>
      <c r="C2793" s="75">
        <v>98.6</v>
      </c>
      <c r="D2793" s="75">
        <v>93.01</v>
      </c>
      <c r="E2793" s="75">
        <v>95.33</v>
      </c>
      <c r="F2793">
        <v>-1286.01</v>
      </c>
      <c r="G2793">
        <v>-581.25</v>
      </c>
      <c r="H2793">
        <v>-393.40000000000003</v>
      </c>
      <c r="I2793">
        <v>-1947.4</v>
      </c>
      <c r="J2793">
        <v>-4208.0599999999995</v>
      </c>
    </row>
    <row r="2794" spans="1:10" x14ac:dyDescent="0.35">
      <c r="A2794">
        <v>2778</v>
      </c>
      <c r="B2794" s="75">
        <v>90.123400000000004</v>
      </c>
      <c r="C2794" s="75">
        <v>98.488900000000001</v>
      </c>
      <c r="D2794" s="75">
        <v>93.062100000000001</v>
      </c>
      <c r="E2794" s="75">
        <v>89.277900000000002</v>
      </c>
      <c r="F2794">
        <v>-1880.34</v>
      </c>
      <c r="G2794">
        <v>-418.50000000000006</v>
      </c>
      <c r="H2794">
        <v>-492</v>
      </c>
      <c r="I2794">
        <v>4102.7</v>
      </c>
      <c r="J2794">
        <v>1311.8599999999997</v>
      </c>
    </row>
    <row r="2795" spans="1:10" x14ac:dyDescent="0.35">
      <c r="A2795">
        <v>2779</v>
      </c>
      <c r="B2795" s="75">
        <v>89.04</v>
      </c>
      <c r="C2795" s="75">
        <v>99.26</v>
      </c>
      <c r="D2795" s="75">
        <v>93.21</v>
      </c>
      <c r="E2795" s="75">
        <v>94.75</v>
      </c>
      <c r="F2795">
        <v>1705.44</v>
      </c>
      <c r="G2795">
        <v>-1576.9499999999998</v>
      </c>
      <c r="H2795">
        <v>-793</v>
      </c>
      <c r="I2795">
        <v>-1366.7</v>
      </c>
      <c r="J2795">
        <v>-2031.2099999999998</v>
      </c>
    </row>
    <row r="2796" spans="1:10" x14ac:dyDescent="0.35">
      <c r="A2796">
        <v>2780</v>
      </c>
      <c r="B2796" s="75">
        <v>89.734099999999998</v>
      </c>
      <c r="C2796" s="75">
        <v>98.794399999999996</v>
      </c>
      <c r="D2796" s="75">
        <v>92.954099999999997</v>
      </c>
      <c r="E2796" s="75">
        <v>89.937200000000004</v>
      </c>
      <c r="F2796">
        <v>-595.65</v>
      </c>
      <c r="G2796">
        <v>-876.75</v>
      </c>
      <c r="H2796">
        <v>-276</v>
      </c>
      <c r="I2796">
        <v>3443.4</v>
      </c>
      <c r="J2796">
        <v>1695</v>
      </c>
    </row>
    <row r="2797" spans="1:10" x14ac:dyDescent="0.35">
      <c r="A2797">
        <v>2781</v>
      </c>
      <c r="B2797" s="75">
        <v>89.14</v>
      </c>
      <c r="C2797" s="75">
        <v>97.75</v>
      </c>
      <c r="D2797" s="75">
        <v>92.83</v>
      </c>
      <c r="E2797" s="75">
        <v>94.43</v>
      </c>
      <c r="F2797">
        <v>1354.98</v>
      </c>
      <c r="G2797">
        <v>696.9</v>
      </c>
      <c r="H2797">
        <v>-30.599999999999998</v>
      </c>
      <c r="I2797">
        <v>-1054</v>
      </c>
      <c r="J2797">
        <v>967.2800000000002</v>
      </c>
    </row>
    <row r="2798" spans="1:10" x14ac:dyDescent="0.35">
      <c r="A2798">
        <v>2782</v>
      </c>
      <c r="B2798" s="75">
        <v>90.387600000000006</v>
      </c>
      <c r="C2798" s="75">
        <v>98.109499999999997</v>
      </c>
      <c r="D2798" s="75">
        <v>92.919700000000006</v>
      </c>
      <c r="E2798" s="75">
        <v>93.624200000000002</v>
      </c>
      <c r="F2798">
        <v>-2752.2</v>
      </c>
      <c r="G2798">
        <v>150.6</v>
      </c>
      <c r="H2798">
        <v>-207.2</v>
      </c>
      <c r="I2798">
        <v>-243.60000000000002</v>
      </c>
      <c r="J2798">
        <v>-3052.3999999999996</v>
      </c>
    </row>
    <row r="2799" spans="1:10" x14ac:dyDescent="0.35">
      <c r="A2799">
        <v>2783</v>
      </c>
      <c r="B2799" s="75">
        <v>90.72</v>
      </c>
      <c r="C2799" s="75">
        <v>98.62</v>
      </c>
      <c r="D2799" s="75">
        <v>93.83</v>
      </c>
      <c r="E2799" s="75">
        <v>92.64</v>
      </c>
      <c r="F2799">
        <v>-3836.9100000000003</v>
      </c>
      <c r="G2799">
        <v>-620.1</v>
      </c>
      <c r="H2799">
        <v>-2033.6</v>
      </c>
      <c r="I2799">
        <v>740.7</v>
      </c>
      <c r="J2799">
        <v>-5749.9100000000008</v>
      </c>
    </row>
    <row r="2800" spans="1:10" x14ac:dyDescent="0.35">
      <c r="A2800">
        <v>2784</v>
      </c>
      <c r="B2800" s="75">
        <v>89.177899999999994</v>
      </c>
      <c r="C2800" s="75">
        <v>97.580399999999997</v>
      </c>
      <c r="D2800" s="75">
        <v>92.768600000000006</v>
      </c>
      <c r="E2800" s="75">
        <v>93.859099999999998</v>
      </c>
      <c r="F2800">
        <v>1239.81</v>
      </c>
      <c r="G2800">
        <v>944.24999999999989</v>
      </c>
      <c r="H2800">
        <v>95</v>
      </c>
      <c r="I2800">
        <v>-478.5</v>
      </c>
      <c r="J2800">
        <v>1800.56</v>
      </c>
    </row>
    <row r="2801" spans="1:10" x14ac:dyDescent="0.35">
      <c r="A2801">
        <v>2785</v>
      </c>
      <c r="B2801" s="75">
        <v>89.83</v>
      </c>
      <c r="C2801" s="75">
        <v>97.6</v>
      </c>
      <c r="D2801" s="75">
        <v>91.68</v>
      </c>
      <c r="E2801" s="75">
        <v>95.51</v>
      </c>
      <c r="F2801">
        <v>-905.18999999999994</v>
      </c>
      <c r="G2801">
        <v>915.75000000000011</v>
      </c>
      <c r="H2801">
        <v>2264.2000000000003</v>
      </c>
      <c r="I2801">
        <v>-2134.1999999999998</v>
      </c>
      <c r="J2801">
        <v>140.5600000000004</v>
      </c>
    </row>
    <row r="2802" spans="1:10" x14ac:dyDescent="0.35">
      <c r="A2802">
        <v>2786</v>
      </c>
      <c r="B2802" s="75">
        <v>89.302400000000006</v>
      </c>
      <c r="C2802" s="75">
        <v>99.168000000000006</v>
      </c>
      <c r="D2802" s="75">
        <v>94.689499999999995</v>
      </c>
      <c r="E2802" s="75">
        <v>92.019400000000005</v>
      </c>
      <c r="F2802">
        <v>828.95999999999992</v>
      </c>
      <c r="G2802">
        <v>-1437.1499999999999</v>
      </c>
      <c r="H2802">
        <v>-3746.7999999999997</v>
      </c>
      <c r="I2802">
        <v>1361.2</v>
      </c>
      <c r="J2802">
        <v>-2993.79</v>
      </c>
    </row>
    <row r="2803" spans="1:10" x14ac:dyDescent="0.35">
      <c r="A2803">
        <v>2787</v>
      </c>
      <c r="B2803" s="75">
        <v>89.37</v>
      </c>
      <c r="C2803" s="75">
        <v>97.9</v>
      </c>
      <c r="D2803" s="75">
        <v>93.1</v>
      </c>
      <c r="E2803" s="75">
        <v>91.85</v>
      </c>
      <c r="F2803">
        <v>592.35</v>
      </c>
      <c r="G2803">
        <v>462</v>
      </c>
      <c r="H2803">
        <v>-577</v>
      </c>
      <c r="I2803">
        <v>1531.6000000000001</v>
      </c>
      <c r="J2803">
        <v>2008.95</v>
      </c>
    </row>
    <row r="2804" spans="1:10" x14ac:dyDescent="0.35">
      <c r="A2804">
        <v>2788</v>
      </c>
      <c r="B2804" s="75">
        <v>90.682900000000004</v>
      </c>
      <c r="C2804" s="75">
        <v>97.356700000000004</v>
      </c>
      <c r="D2804" s="75">
        <v>92.572699999999998</v>
      </c>
      <c r="E2804" s="75">
        <v>93.979500000000002</v>
      </c>
      <c r="F2804">
        <v>-3726.69</v>
      </c>
      <c r="G2804">
        <v>1279.8</v>
      </c>
      <c r="H2804">
        <v>486.8</v>
      </c>
      <c r="I2804">
        <v>-598.9</v>
      </c>
      <c r="J2804">
        <v>-2558.9900000000002</v>
      </c>
    </row>
    <row r="2805" spans="1:10" x14ac:dyDescent="0.35">
      <c r="A2805">
        <v>2789</v>
      </c>
      <c r="B2805" s="75">
        <v>89.38</v>
      </c>
      <c r="C2805" s="75">
        <v>98.08</v>
      </c>
      <c r="D2805" s="75">
        <v>92.12</v>
      </c>
      <c r="E2805" s="75">
        <v>92.56</v>
      </c>
      <c r="F2805">
        <v>569.91</v>
      </c>
      <c r="G2805">
        <v>201.6</v>
      </c>
      <c r="H2805">
        <v>1383</v>
      </c>
      <c r="I2805">
        <v>819.9</v>
      </c>
      <c r="J2805">
        <v>2974.4100000000003</v>
      </c>
    </row>
    <row r="2806" spans="1:10" x14ac:dyDescent="0.35">
      <c r="A2806">
        <v>2790</v>
      </c>
      <c r="B2806" s="75">
        <v>89.948400000000007</v>
      </c>
      <c r="C2806" s="75">
        <v>97.710700000000003</v>
      </c>
      <c r="D2806" s="75">
        <v>93.421199999999999</v>
      </c>
      <c r="E2806" s="75">
        <v>93.459299999999999</v>
      </c>
      <c r="F2806">
        <v>-1302.8399999999999</v>
      </c>
      <c r="G2806">
        <v>748.8</v>
      </c>
      <c r="H2806">
        <v>-1210.2</v>
      </c>
      <c r="I2806">
        <v>-78.7</v>
      </c>
      <c r="J2806">
        <v>-1842.94</v>
      </c>
    </row>
    <row r="2807" spans="1:10" x14ac:dyDescent="0.35">
      <c r="A2807">
        <v>2791</v>
      </c>
      <c r="B2807" s="75">
        <v>89.34</v>
      </c>
      <c r="C2807" s="75">
        <v>99.29</v>
      </c>
      <c r="D2807" s="75">
        <v>92.56</v>
      </c>
      <c r="E2807" s="75">
        <v>96.53</v>
      </c>
      <c r="F2807">
        <v>714.78</v>
      </c>
      <c r="G2807">
        <v>-1614</v>
      </c>
      <c r="H2807">
        <v>505.2</v>
      </c>
      <c r="I2807">
        <v>-3147.7</v>
      </c>
      <c r="J2807">
        <v>-3541.72</v>
      </c>
    </row>
    <row r="2808" spans="1:10" x14ac:dyDescent="0.35">
      <c r="A2808">
        <v>2792</v>
      </c>
      <c r="B2808" s="75">
        <v>89.584800000000001</v>
      </c>
      <c r="C2808" s="75">
        <v>98.197400000000002</v>
      </c>
      <c r="D2808" s="75">
        <v>93.480599999999995</v>
      </c>
      <c r="E2808" s="75">
        <v>92.960400000000007</v>
      </c>
      <c r="F2808">
        <v>-102.96</v>
      </c>
      <c r="G2808">
        <v>18.75</v>
      </c>
      <c r="H2808">
        <v>-1329</v>
      </c>
      <c r="I2808">
        <v>420.20000000000005</v>
      </c>
      <c r="J2808">
        <v>-993.01</v>
      </c>
    </row>
    <row r="2809" spans="1:10" x14ac:dyDescent="0.35">
      <c r="A2809">
        <v>2793</v>
      </c>
      <c r="B2809" s="75">
        <v>89.31</v>
      </c>
      <c r="C2809" s="75">
        <v>99.1</v>
      </c>
      <c r="D2809" s="75">
        <v>92.91</v>
      </c>
      <c r="E2809" s="75">
        <v>93.45</v>
      </c>
      <c r="F2809">
        <v>798.6</v>
      </c>
      <c r="G2809">
        <v>-1331.55</v>
      </c>
      <c r="H2809">
        <v>-186.79999999999998</v>
      </c>
      <c r="I2809">
        <v>-71.400000000000006</v>
      </c>
      <c r="J2809">
        <v>-791.14999999999986</v>
      </c>
    </row>
    <row r="2810" spans="1:10" x14ac:dyDescent="0.35">
      <c r="A2810">
        <v>2794</v>
      </c>
      <c r="B2810" s="75">
        <v>89.098799999999997</v>
      </c>
      <c r="C2810" s="75">
        <v>98.910799999999995</v>
      </c>
      <c r="D2810" s="75">
        <v>94.756600000000006</v>
      </c>
      <c r="E2810" s="75">
        <v>94.444699999999997</v>
      </c>
      <c r="F2810">
        <v>1500.84</v>
      </c>
      <c r="G2810">
        <v>-1051.3499999999999</v>
      </c>
      <c r="H2810">
        <v>-3881</v>
      </c>
      <c r="I2810">
        <v>-1064.1000000000001</v>
      </c>
      <c r="J2810">
        <v>-4495.6100000000006</v>
      </c>
    </row>
    <row r="2811" spans="1:10" x14ac:dyDescent="0.35">
      <c r="A2811">
        <v>2795</v>
      </c>
      <c r="B2811" s="75">
        <v>89.36</v>
      </c>
      <c r="C2811" s="75">
        <v>100.09</v>
      </c>
      <c r="D2811" s="75">
        <v>91.81</v>
      </c>
      <c r="E2811" s="75">
        <v>92.05</v>
      </c>
      <c r="F2811">
        <v>628.32000000000005</v>
      </c>
      <c r="G2811">
        <v>-2825.85</v>
      </c>
      <c r="H2811">
        <v>2009.1999999999998</v>
      </c>
      <c r="I2811">
        <v>1327.5</v>
      </c>
      <c r="J2811">
        <v>1139.17</v>
      </c>
    </row>
    <row r="2812" spans="1:10" x14ac:dyDescent="0.35">
      <c r="A2812">
        <v>2796</v>
      </c>
      <c r="B2812" s="75">
        <v>89.866799999999998</v>
      </c>
      <c r="C2812" s="75">
        <v>98.790499999999994</v>
      </c>
      <c r="D2812" s="75">
        <v>94.302400000000006</v>
      </c>
      <c r="E2812" s="75">
        <v>91.284099999999995</v>
      </c>
      <c r="F2812">
        <v>-1033.56</v>
      </c>
      <c r="G2812">
        <v>-870.9</v>
      </c>
      <c r="H2812">
        <v>-2972.6</v>
      </c>
      <c r="I2812">
        <v>2096.5</v>
      </c>
      <c r="J2812">
        <v>-2780.5599999999995</v>
      </c>
    </row>
    <row r="2813" spans="1:10" x14ac:dyDescent="0.35">
      <c r="A2813">
        <v>2797</v>
      </c>
      <c r="B2813" s="75">
        <v>89.77</v>
      </c>
      <c r="C2813" s="75">
        <v>99.9</v>
      </c>
      <c r="D2813" s="75">
        <v>94.07</v>
      </c>
      <c r="E2813" s="75">
        <v>92.72</v>
      </c>
      <c r="F2813">
        <v>-727.65</v>
      </c>
      <c r="G2813">
        <v>-2538.15</v>
      </c>
      <c r="H2813">
        <v>-2515.4</v>
      </c>
      <c r="I2813">
        <v>664.69999999999993</v>
      </c>
      <c r="J2813">
        <v>-5116.5000000000009</v>
      </c>
    </row>
    <row r="2814" spans="1:10" x14ac:dyDescent="0.35">
      <c r="A2814">
        <v>2798</v>
      </c>
      <c r="B2814" s="75">
        <v>90.130499999999998</v>
      </c>
      <c r="C2814" s="75">
        <v>99.038300000000007</v>
      </c>
      <c r="D2814" s="75">
        <v>93.660200000000003</v>
      </c>
      <c r="E2814" s="75">
        <v>92.518299999999996</v>
      </c>
      <c r="F2814">
        <v>-1903.77</v>
      </c>
      <c r="G2814">
        <v>-1242.6000000000001</v>
      </c>
      <c r="H2814">
        <v>-1688.1999999999998</v>
      </c>
      <c r="I2814">
        <v>862.3</v>
      </c>
      <c r="J2814">
        <v>-3972.2699999999995</v>
      </c>
    </row>
    <row r="2815" spans="1:10" x14ac:dyDescent="0.35">
      <c r="A2815">
        <v>2799</v>
      </c>
      <c r="B2815" s="75">
        <v>89.31</v>
      </c>
      <c r="C2815" s="75">
        <v>98.69</v>
      </c>
      <c r="D2815" s="75">
        <v>92.02</v>
      </c>
      <c r="E2815" s="75">
        <v>91.81</v>
      </c>
      <c r="F2815">
        <v>790.35</v>
      </c>
      <c r="G2815">
        <v>-714.6</v>
      </c>
      <c r="H2815">
        <v>1593.2</v>
      </c>
      <c r="I2815">
        <v>1567.5</v>
      </c>
      <c r="J2815">
        <v>3236.45</v>
      </c>
    </row>
    <row r="2816" spans="1:10" x14ac:dyDescent="0.35">
      <c r="A2816">
        <v>2800</v>
      </c>
      <c r="B2816" s="75">
        <v>89.444999999999993</v>
      </c>
      <c r="C2816" s="75">
        <v>98.091999999999999</v>
      </c>
      <c r="D2816" s="75">
        <v>93.274900000000002</v>
      </c>
      <c r="E2816" s="75">
        <v>93.711799999999997</v>
      </c>
      <c r="F2816">
        <v>358.38</v>
      </c>
      <c r="G2816">
        <v>176.85</v>
      </c>
      <c r="H2816">
        <v>-917.6</v>
      </c>
      <c r="I2816">
        <v>-331.2</v>
      </c>
      <c r="J2816">
        <v>-713.56999999999994</v>
      </c>
    </row>
    <row r="2817" spans="1:10" x14ac:dyDescent="0.35">
      <c r="A2817">
        <v>2801</v>
      </c>
      <c r="B2817" s="75">
        <v>90.45</v>
      </c>
      <c r="C2817" s="75">
        <v>100.82</v>
      </c>
      <c r="D2817" s="75">
        <v>94.4</v>
      </c>
      <c r="E2817" s="75">
        <v>95.34</v>
      </c>
      <c r="F2817">
        <v>-2942.2799999999997</v>
      </c>
      <c r="G2817">
        <v>-3914.2500000000005</v>
      </c>
      <c r="H2817">
        <v>-3164.2000000000003</v>
      </c>
      <c r="I2817">
        <v>-1955</v>
      </c>
      <c r="J2817">
        <v>-11975.730000000001</v>
      </c>
    </row>
    <row r="2818" spans="1:10" x14ac:dyDescent="0.35">
      <c r="A2818">
        <v>2802</v>
      </c>
      <c r="B2818" s="75">
        <v>90.260300000000001</v>
      </c>
      <c r="C2818" s="75">
        <v>97.477199999999996</v>
      </c>
      <c r="D2818" s="75">
        <v>93.256699999999995</v>
      </c>
      <c r="E2818" s="75">
        <v>94.768000000000001</v>
      </c>
      <c r="F2818">
        <v>-2332.11</v>
      </c>
      <c r="G2818">
        <v>1099.05</v>
      </c>
      <c r="H2818">
        <v>-881.19999999999993</v>
      </c>
      <c r="I2818">
        <v>-1387.3999999999999</v>
      </c>
      <c r="J2818">
        <v>-3501.66</v>
      </c>
    </row>
    <row r="2819" spans="1:10" x14ac:dyDescent="0.35">
      <c r="A2819">
        <v>2803</v>
      </c>
      <c r="B2819" s="75">
        <v>89.18</v>
      </c>
      <c r="C2819" s="75">
        <v>97.74</v>
      </c>
      <c r="D2819" s="75">
        <v>93.32</v>
      </c>
      <c r="E2819" s="75">
        <v>93.36</v>
      </c>
      <c r="F2819">
        <v>1232.8799999999999</v>
      </c>
      <c r="G2819">
        <v>710.55000000000007</v>
      </c>
      <c r="H2819">
        <v>-1015.6</v>
      </c>
      <c r="I2819">
        <v>21</v>
      </c>
      <c r="J2819">
        <v>948.82999999999981</v>
      </c>
    </row>
    <row r="2820" spans="1:10" x14ac:dyDescent="0.35">
      <c r="A2820">
        <v>2804</v>
      </c>
      <c r="B2820" s="75">
        <v>89.982600000000005</v>
      </c>
      <c r="C2820" s="75">
        <v>98.178899999999999</v>
      </c>
      <c r="D2820" s="75">
        <v>93.286199999999994</v>
      </c>
      <c r="E2820" s="75">
        <v>92.737799999999993</v>
      </c>
      <c r="F2820">
        <v>-1415.7</v>
      </c>
      <c r="G2820">
        <v>46.5</v>
      </c>
      <c r="H2820">
        <v>-940.2</v>
      </c>
      <c r="I2820">
        <v>642.80000000000007</v>
      </c>
      <c r="J2820">
        <v>-1666.6</v>
      </c>
    </row>
    <row r="2821" spans="1:10" x14ac:dyDescent="0.35">
      <c r="A2821">
        <v>2805</v>
      </c>
      <c r="B2821" s="75">
        <v>90.61</v>
      </c>
      <c r="C2821" s="75">
        <v>99.57</v>
      </c>
      <c r="D2821" s="75">
        <v>92.8</v>
      </c>
      <c r="E2821" s="75">
        <v>96.05</v>
      </c>
      <c r="F2821">
        <v>-3472.26</v>
      </c>
      <c r="G2821">
        <v>-2041.35</v>
      </c>
      <c r="H2821">
        <v>22.599999999999998</v>
      </c>
      <c r="I2821">
        <v>-2666.3</v>
      </c>
      <c r="J2821">
        <v>-8157.31</v>
      </c>
    </row>
    <row r="2822" spans="1:10" x14ac:dyDescent="0.35">
      <c r="A2822">
        <v>2806</v>
      </c>
      <c r="B2822" s="75">
        <v>89.861900000000006</v>
      </c>
      <c r="C2822" s="75">
        <v>99.423000000000002</v>
      </c>
      <c r="D2822" s="75">
        <v>92.391099999999994</v>
      </c>
      <c r="E2822" s="75">
        <v>94.955399999999997</v>
      </c>
      <c r="F2822">
        <v>-1017.3900000000001</v>
      </c>
      <c r="G2822">
        <v>-1819.65</v>
      </c>
      <c r="H2822">
        <v>850</v>
      </c>
      <c r="I2822">
        <v>-1574.8</v>
      </c>
      <c r="J2822">
        <v>-3561.84</v>
      </c>
    </row>
    <row r="2823" spans="1:10" x14ac:dyDescent="0.35">
      <c r="A2823">
        <v>2807</v>
      </c>
      <c r="B2823" s="75">
        <v>89.55</v>
      </c>
      <c r="C2823" s="75">
        <v>98.2</v>
      </c>
      <c r="D2823" s="75">
        <v>93.01</v>
      </c>
      <c r="E2823" s="75">
        <v>92.86</v>
      </c>
      <c r="F2823">
        <v>13.86</v>
      </c>
      <c r="G2823">
        <v>20.100000000000001</v>
      </c>
      <c r="H2823">
        <v>-385</v>
      </c>
      <c r="I2823">
        <v>517.20000000000005</v>
      </c>
      <c r="J2823">
        <v>166.16000000000003</v>
      </c>
    </row>
    <row r="2824" spans="1:10" x14ac:dyDescent="0.35">
      <c r="A2824">
        <v>2808</v>
      </c>
      <c r="B2824" s="75">
        <v>90.934399999999997</v>
      </c>
      <c r="C2824" s="75">
        <v>97.932900000000004</v>
      </c>
      <c r="D2824" s="75">
        <v>92.438400000000001</v>
      </c>
      <c r="E2824" s="75">
        <v>94.075699999999998</v>
      </c>
      <c r="F2824">
        <v>-4556.6400000000003</v>
      </c>
      <c r="G2824">
        <v>415.50000000000006</v>
      </c>
      <c r="H2824">
        <v>755.4</v>
      </c>
      <c r="I2824">
        <v>-695.1</v>
      </c>
      <c r="J2824">
        <v>-4080.84</v>
      </c>
    </row>
    <row r="2825" spans="1:10" x14ac:dyDescent="0.35">
      <c r="A2825">
        <v>2809</v>
      </c>
      <c r="B2825" s="75">
        <v>90.03</v>
      </c>
      <c r="C2825" s="75">
        <v>97.74</v>
      </c>
      <c r="D2825" s="75">
        <v>93.08</v>
      </c>
      <c r="E2825" s="75">
        <v>89.08</v>
      </c>
      <c r="F2825">
        <v>-1578.39</v>
      </c>
      <c r="G2825">
        <v>709.95</v>
      </c>
      <c r="H2825">
        <v>-537.6</v>
      </c>
      <c r="I2825">
        <v>4303.8</v>
      </c>
      <c r="J2825">
        <v>2897.76</v>
      </c>
    </row>
    <row r="2826" spans="1:10" x14ac:dyDescent="0.35">
      <c r="A2826">
        <v>2810</v>
      </c>
      <c r="B2826" s="75">
        <v>89.650400000000005</v>
      </c>
      <c r="C2826" s="75">
        <v>99.401399999999995</v>
      </c>
      <c r="D2826" s="75">
        <v>94.100200000000001</v>
      </c>
      <c r="E2826" s="75">
        <v>92.327699999999993</v>
      </c>
      <c r="F2826">
        <v>-319.44</v>
      </c>
      <c r="G2826">
        <v>-1787.25</v>
      </c>
      <c r="H2826">
        <v>-2568.1999999999998</v>
      </c>
      <c r="I2826">
        <v>1052.8999999999999</v>
      </c>
      <c r="J2826">
        <v>-3621.99</v>
      </c>
    </row>
    <row r="2827" spans="1:10" x14ac:dyDescent="0.35">
      <c r="A2827">
        <v>2811</v>
      </c>
      <c r="B2827" s="75">
        <v>90.35</v>
      </c>
      <c r="C2827" s="75">
        <v>98.54</v>
      </c>
      <c r="D2827" s="75">
        <v>92.57</v>
      </c>
      <c r="E2827" s="75">
        <v>92.32</v>
      </c>
      <c r="F2827">
        <v>-2637.03</v>
      </c>
      <c r="G2827">
        <v>-488.1</v>
      </c>
      <c r="H2827">
        <v>492</v>
      </c>
      <c r="I2827">
        <v>1065.0999999999999</v>
      </c>
      <c r="J2827">
        <v>-1568.0300000000002</v>
      </c>
    </row>
    <row r="2828" spans="1:10" x14ac:dyDescent="0.35">
      <c r="A2828">
        <v>2812</v>
      </c>
      <c r="B2828" s="75">
        <v>89.449799999999996</v>
      </c>
      <c r="C2828" s="75">
        <v>98.218999999999994</v>
      </c>
      <c r="D2828" s="75">
        <v>92.081199999999995</v>
      </c>
      <c r="E2828" s="75">
        <v>94.113600000000005</v>
      </c>
      <c r="F2828">
        <v>342.54</v>
      </c>
      <c r="G2828">
        <v>-13.65</v>
      </c>
      <c r="H2828">
        <v>1469.8</v>
      </c>
      <c r="I2828">
        <v>-733</v>
      </c>
      <c r="J2828">
        <v>1065.69</v>
      </c>
    </row>
    <row r="2829" spans="1:10" x14ac:dyDescent="0.35">
      <c r="A2829">
        <v>2813</v>
      </c>
      <c r="B2829" s="75">
        <v>88.5</v>
      </c>
      <c r="C2829" s="75">
        <v>97.94</v>
      </c>
      <c r="D2829" s="75">
        <v>94.26</v>
      </c>
      <c r="E2829" s="75">
        <v>91.05</v>
      </c>
      <c r="F2829">
        <v>3484.4700000000003</v>
      </c>
      <c r="G2829">
        <v>399</v>
      </c>
      <c r="H2829">
        <v>-2896</v>
      </c>
      <c r="I2829">
        <v>2334.4</v>
      </c>
      <c r="J2829">
        <v>3321.8700000000003</v>
      </c>
    </row>
    <row r="2830" spans="1:10" x14ac:dyDescent="0.35">
      <c r="A2830">
        <v>2814</v>
      </c>
      <c r="B2830" s="75">
        <v>89.124300000000005</v>
      </c>
      <c r="C2830" s="75">
        <v>98.654200000000003</v>
      </c>
      <c r="D2830" s="75">
        <v>95.074100000000001</v>
      </c>
      <c r="E2830" s="75">
        <v>93.457400000000007</v>
      </c>
      <c r="F2830">
        <v>1416.69</v>
      </c>
      <c r="G2830">
        <v>-666.44999999999993</v>
      </c>
      <c r="H2830">
        <v>-4516</v>
      </c>
      <c r="I2830">
        <v>-76.8</v>
      </c>
      <c r="J2830">
        <v>-3842.56</v>
      </c>
    </row>
    <row r="2831" spans="1:10" x14ac:dyDescent="0.35">
      <c r="A2831">
        <v>2815</v>
      </c>
      <c r="B2831" s="75">
        <v>89.71</v>
      </c>
      <c r="C2831" s="75">
        <v>99.07</v>
      </c>
      <c r="D2831" s="75">
        <v>93.79</v>
      </c>
      <c r="E2831" s="75">
        <v>94.2</v>
      </c>
      <c r="F2831">
        <v>-524.37</v>
      </c>
      <c r="G2831">
        <v>-1291.8</v>
      </c>
      <c r="H2831">
        <v>-1939.2</v>
      </c>
      <c r="I2831">
        <v>-823.4</v>
      </c>
      <c r="J2831">
        <v>-4578.7699999999995</v>
      </c>
    </row>
    <row r="2832" spans="1:10" x14ac:dyDescent="0.35">
      <c r="A2832">
        <v>2816</v>
      </c>
      <c r="B2832" s="75">
        <v>89.391999999999996</v>
      </c>
      <c r="C2832" s="75">
        <v>98.703800000000001</v>
      </c>
      <c r="D2832" s="75">
        <v>93.850099999999998</v>
      </c>
      <c r="E2832" s="75">
        <v>91.469700000000003</v>
      </c>
      <c r="F2832">
        <v>533.28</v>
      </c>
      <c r="G2832">
        <v>-740.85</v>
      </c>
      <c r="H2832">
        <v>-2068</v>
      </c>
      <c r="I2832">
        <v>1910.9</v>
      </c>
      <c r="J2832">
        <v>-364.67000000000007</v>
      </c>
    </row>
    <row r="2833" spans="1:10" x14ac:dyDescent="0.35">
      <c r="A2833">
        <v>2817</v>
      </c>
      <c r="B2833" s="75">
        <v>89.8</v>
      </c>
      <c r="C2833" s="75">
        <v>98.85</v>
      </c>
      <c r="D2833" s="75">
        <v>94.41</v>
      </c>
      <c r="E2833" s="75">
        <v>94.3</v>
      </c>
      <c r="F2833">
        <v>-823.35</v>
      </c>
      <c r="G2833">
        <v>-954</v>
      </c>
      <c r="H2833">
        <v>-3187</v>
      </c>
      <c r="I2833">
        <v>-919.8</v>
      </c>
      <c r="J2833">
        <v>-5884.1500000000005</v>
      </c>
    </row>
    <row r="2834" spans="1:10" x14ac:dyDescent="0.35">
      <c r="A2834">
        <v>2818</v>
      </c>
      <c r="B2834" s="75">
        <v>89.723799999999997</v>
      </c>
      <c r="C2834" s="75">
        <v>98.126000000000005</v>
      </c>
      <c r="D2834" s="75">
        <v>94.532700000000006</v>
      </c>
      <c r="E2834" s="75">
        <v>93.342699999999994</v>
      </c>
      <c r="F2834">
        <v>-561.66</v>
      </c>
      <c r="G2834">
        <v>125.85000000000001</v>
      </c>
      <c r="H2834">
        <v>-3433.2</v>
      </c>
      <c r="I2834">
        <v>37.900000000000006</v>
      </c>
      <c r="J2834">
        <v>-3831.1099999999997</v>
      </c>
    </row>
    <row r="2835" spans="1:10" x14ac:dyDescent="0.35">
      <c r="A2835">
        <v>2819</v>
      </c>
      <c r="B2835" s="75">
        <v>89.69</v>
      </c>
      <c r="C2835" s="75">
        <v>98.62</v>
      </c>
      <c r="D2835" s="75">
        <v>94.22</v>
      </c>
      <c r="E2835" s="75">
        <v>93.12</v>
      </c>
      <c r="F2835">
        <v>-461.01</v>
      </c>
      <c r="G2835">
        <v>-619.05000000000007</v>
      </c>
      <c r="H2835">
        <v>-2812.8</v>
      </c>
      <c r="I2835">
        <v>256.7</v>
      </c>
      <c r="J2835">
        <v>-3636.1600000000003</v>
      </c>
    </row>
    <row r="2836" spans="1:10" x14ac:dyDescent="0.35">
      <c r="A2836">
        <v>2820</v>
      </c>
      <c r="B2836" s="75">
        <v>90.106899999999996</v>
      </c>
      <c r="C2836" s="75">
        <v>98.906999999999996</v>
      </c>
      <c r="D2836" s="75">
        <v>93.462199999999996</v>
      </c>
      <c r="E2836" s="75">
        <v>93.678100000000001</v>
      </c>
      <c r="F2836">
        <v>-1825.89</v>
      </c>
      <c r="G2836">
        <v>-1045.6500000000001</v>
      </c>
      <c r="H2836">
        <v>-1292.2</v>
      </c>
      <c r="I2836">
        <v>-297.5</v>
      </c>
      <c r="J2836">
        <v>-4461.24</v>
      </c>
    </row>
    <row r="2837" spans="1:10" x14ac:dyDescent="0.35">
      <c r="A2837">
        <v>2821</v>
      </c>
      <c r="B2837" s="75">
        <v>89.11</v>
      </c>
      <c r="C2837" s="75">
        <v>99.32</v>
      </c>
      <c r="D2837" s="75">
        <v>92.19</v>
      </c>
      <c r="E2837" s="75">
        <v>94.28</v>
      </c>
      <c r="F2837">
        <v>1472.46</v>
      </c>
      <c r="G2837">
        <v>-1657.6499999999999</v>
      </c>
      <c r="H2837">
        <v>1245.8</v>
      </c>
      <c r="I2837">
        <v>-900.80000000000007</v>
      </c>
      <c r="J2837">
        <v>159.81000000000006</v>
      </c>
    </row>
    <row r="2838" spans="1:10" x14ac:dyDescent="0.35">
      <c r="A2838">
        <v>2822</v>
      </c>
      <c r="B2838" s="75">
        <v>89.450699999999998</v>
      </c>
      <c r="C2838" s="75">
        <v>97.625399999999999</v>
      </c>
      <c r="D2838" s="75">
        <v>94.194199999999995</v>
      </c>
      <c r="E2838" s="75">
        <v>94.591399999999993</v>
      </c>
      <c r="F2838">
        <v>339.57</v>
      </c>
      <c r="G2838">
        <v>876.75</v>
      </c>
      <c r="H2838">
        <v>-2756.2000000000003</v>
      </c>
      <c r="I2838">
        <v>-1210.8000000000002</v>
      </c>
      <c r="J2838">
        <v>-2750.6800000000003</v>
      </c>
    </row>
    <row r="2839" spans="1:10" x14ac:dyDescent="0.35">
      <c r="A2839">
        <v>2823</v>
      </c>
      <c r="B2839" s="75">
        <v>89.38</v>
      </c>
      <c r="C2839" s="75">
        <v>100.68</v>
      </c>
      <c r="D2839" s="75">
        <v>94.58</v>
      </c>
      <c r="E2839" s="75">
        <v>93.64</v>
      </c>
      <c r="F2839">
        <v>576.84</v>
      </c>
      <c r="G2839">
        <v>-3708.2999999999997</v>
      </c>
      <c r="H2839">
        <v>-3526.4</v>
      </c>
      <c r="I2839">
        <v>-256.29999999999995</v>
      </c>
      <c r="J2839">
        <v>-6914.16</v>
      </c>
    </row>
    <row r="2840" spans="1:10" x14ac:dyDescent="0.35">
      <c r="A2840">
        <v>2824</v>
      </c>
      <c r="B2840" s="75">
        <v>90.064599999999999</v>
      </c>
      <c r="C2840" s="75">
        <v>97.929299999999998</v>
      </c>
      <c r="D2840" s="75">
        <v>90.035899999999998</v>
      </c>
      <c r="E2840" s="75">
        <v>93.786500000000004</v>
      </c>
      <c r="F2840">
        <v>-1686.3</v>
      </c>
      <c r="G2840">
        <v>420.90000000000003</v>
      </c>
      <c r="H2840">
        <v>5560.4</v>
      </c>
      <c r="I2840">
        <v>-405.9</v>
      </c>
      <c r="J2840">
        <v>3889.1</v>
      </c>
    </row>
    <row r="2841" spans="1:10" x14ac:dyDescent="0.35">
      <c r="A2841">
        <v>2825</v>
      </c>
      <c r="B2841" s="75">
        <v>89.24</v>
      </c>
      <c r="C2841" s="75">
        <v>97.99</v>
      </c>
      <c r="D2841" s="75">
        <v>91.62</v>
      </c>
      <c r="E2841" s="75">
        <v>92.21</v>
      </c>
      <c r="F2841">
        <v>1031.58</v>
      </c>
      <c r="G2841">
        <v>336.3</v>
      </c>
      <c r="H2841">
        <v>2396.7999999999997</v>
      </c>
      <c r="I2841">
        <v>1168</v>
      </c>
      <c r="J2841">
        <v>4932.6799999999994</v>
      </c>
    </row>
    <row r="2842" spans="1:10" x14ac:dyDescent="0.35">
      <c r="A2842">
        <v>2826</v>
      </c>
      <c r="B2842" s="75">
        <v>90.422700000000006</v>
      </c>
      <c r="C2842" s="75">
        <v>98.337900000000005</v>
      </c>
      <c r="D2842" s="75">
        <v>93.522400000000005</v>
      </c>
      <c r="E2842" s="75">
        <v>91.248500000000007</v>
      </c>
      <c r="F2842">
        <v>-2868.0299999999997</v>
      </c>
      <c r="G2842">
        <v>-192</v>
      </c>
      <c r="H2842">
        <v>-1412.6000000000001</v>
      </c>
      <c r="I2842">
        <v>2132.1</v>
      </c>
      <c r="J2842">
        <v>-2340.5300000000002</v>
      </c>
    </row>
    <row r="2843" spans="1:10" x14ac:dyDescent="0.35">
      <c r="A2843">
        <v>2827</v>
      </c>
      <c r="B2843" s="75">
        <v>89.74</v>
      </c>
      <c r="C2843" s="75">
        <v>97.93</v>
      </c>
      <c r="D2843" s="75">
        <v>93.49</v>
      </c>
      <c r="E2843" s="75">
        <v>94.31</v>
      </c>
      <c r="F2843">
        <v>-619.07999999999993</v>
      </c>
      <c r="G2843">
        <v>415.05</v>
      </c>
      <c r="H2843">
        <v>-1353.3999999999999</v>
      </c>
      <c r="I2843">
        <v>-928.69999999999993</v>
      </c>
      <c r="J2843">
        <v>-2486.1299999999997</v>
      </c>
    </row>
    <row r="2844" spans="1:10" x14ac:dyDescent="0.35">
      <c r="A2844">
        <v>2828</v>
      </c>
      <c r="B2844" s="75">
        <v>89.849100000000007</v>
      </c>
      <c r="C2844" s="75">
        <v>98.658100000000005</v>
      </c>
      <c r="D2844" s="75">
        <v>94.305700000000002</v>
      </c>
      <c r="E2844" s="75">
        <v>91.620400000000004</v>
      </c>
      <c r="F2844">
        <v>-975.15</v>
      </c>
      <c r="G2844">
        <v>-672.3</v>
      </c>
      <c r="H2844">
        <v>-2979.2000000000003</v>
      </c>
      <c r="I2844">
        <v>1760.2</v>
      </c>
      <c r="J2844">
        <v>-2866.45</v>
      </c>
    </row>
    <row r="2845" spans="1:10" x14ac:dyDescent="0.35">
      <c r="A2845">
        <v>2829</v>
      </c>
      <c r="B2845" s="75">
        <v>89.05</v>
      </c>
      <c r="C2845" s="75">
        <v>99.27</v>
      </c>
      <c r="D2845" s="75">
        <v>92.77</v>
      </c>
      <c r="E2845" s="75">
        <v>91.48</v>
      </c>
      <c r="F2845">
        <v>1660.8899999999999</v>
      </c>
      <c r="G2845">
        <v>-1583.2500000000002</v>
      </c>
      <c r="H2845">
        <v>88.8</v>
      </c>
      <c r="I2845">
        <v>1903.4</v>
      </c>
      <c r="J2845">
        <v>2069.8399999999997</v>
      </c>
    </row>
    <row r="2846" spans="1:10" x14ac:dyDescent="0.35">
      <c r="A2846">
        <v>2830</v>
      </c>
      <c r="B2846" s="75">
        <v>90.444000000000003</v>
      </c>
      <c r="C2846" s="75">
        <v>97.972399999999993</v>
      </c>
      <c r="D2846" s="75">
        <v>91.709599999999995</v>
      </c>
      <c r="E2846" s="75">
        <v>95.324200000000005</v>
      </c>
      <c r="F2846">
        <v>-2938.3199999999997</v>
      </c>
      <c r="G2846">
        <v>356.25</v>
      </c>
      <c r="H2846">
        <v>2213</v>
      </c>
      <c r="I2846">
        <v>-1943.6</v>
      </c>
      <c r="J2846">
        <v>-2312.6699999999996</v>
      </c>
    </row>
    <row r="2847" spans="1:10" x14ac:dyDescent="0.35">
      <c r="A2847">
        <v>2831</v>
      </c>
      <c r="B2847" s="75">
        <v>90.05</v>
      </c>
      <c r="C2847" s="75">
        <v>99.71</v>
      </c>
      <c r="D2847" s="75">
        <v>91.68</v>
      </c>
      <c r="E2847" s="75">
        <v>93.17</v>
      </c>
      <c r="F2847">
        <v>-1652.64</v>
      </c>
      <c r="G2847">
        <v>-2251.0499999999997</v>
      </c>
      <c r="H2847">
        <v>2266.1999999999998</v>
      </c>
      <c r="I2847">
        <v>209.9</v>
      </c>
      <c r="J2847">
        <v>-1427.5899999999997</v>
      </c>
    </row>
    <row r="2848" spans="1:10" x14ac:dyDescent="0.35">
      <c r="A2848">
        <v>2832</v>
      </c>
      <c r="B2848" s="75">
        <v>89.289500000000004</v>
      </c>
      <c r="C2848" s="75">
        <v>98.940799999999996</v>
      </c>
      <c r="D2848" s="75">
        <v>92.691999999999993</v>
      </c>
      <c r="E2848" s="75">
        <v>93.433999999999997</v>
      </c>
      <c r="F2848">
        <v>871.53</v>
      </c>
      <c r="G2848">
        <v>-1096.3499999999999</v>
      </c>
      <c r="H2848">
        <v>248.20000000000002</v>
      </c>
      <c r="I2848">
        <v>-53.400000000000006</v>
      </c>
      <c r="J2848">
        <v>-30.019999999999925</v>
      </c>
    </row>
    <row r="2849" spans="1:10" x14ac:dyDescent="0.35">
      <c r="A2849">
        <v>2833</v>
      </c>
      <c r="B2849" s="75">
        <v>89.04</v>
      </c>
      <c r="C2849" s="75">
        <v>98.09</v>
      </c>
      <c r="D2849" s="75">
        <v>90.97</v>
      </c>
      <c r="E2849" s="75">
        <v>94.24</v>
      </c>
      <c r="F2849">
        <v>1706.1000000000001</v>
      </c>
      <c r="G2849">
        <v>176.70000000000002</v>
      </c>
      <c r="H2849">
        <v>3686.4</v>
      </c>
      <c r="I2849">
        <v>-857</v>
      </c>
      <c r="J2849">
        <v>4712.2000000000007</v>
      </c>
    </row>
    <row r="2850" spans="1:10" x14ac:dyDescent="0.35">
      <c r="A2850">
        <v>2834</v>
      </c>
      <c r="B2850" s="75">
        <v>89.489900000000006</v>
      </c>
      <c r="C2850" s="75">
        <v>97.003699999999995</v>
      </c>
      <c r="D2850" s="75">
        <v>91.648600000000002</v>
      </c>
      <c r="E2850" s="75">
        <v>94.736699999999999</v>
      </c>
      <c r="F2850">
        <v>210.21</v>
      </c>
      <c r="G2850">
        <v>1809.3</v>
      </c>
      <c r="H2850">
        <v>2335</v>
      </c>
      <c r="I2850">
        <v>-1356.1000000000001</v>
      </c>
      <c r="J2850">
        <v>2998.41</v>
      </c>
    </row>
    <row r="2851" spans="1:10" x14ac:dyDescent="0.35">
      <c r="A2851">
        <v>2835</v>
      </c>
      <c r="B2851" s="75">
        <v>89.21</v>
      </c>
      <c r="C2851" s="75">
        <v>98.24</v>
      </c>
      <c r="D2851" s="75">
        <v>91.9</v>
      </c>
      <c r="E2851" s="75">
        <v>93.56</v>
      </c>
      <c r="F2851">
        <v>1130.25</v>
      </c>
      <c r="G2851">
        <v>-40.200000000000003</v>
      </c>
      <c r="H2851">
        <v>1822.8</v>
      </c>
      <c r="I2851">
        <v>-184.2</v>
      </c>
      <c r="J2851">
        <v>2728.65</v>
      </c>
    </row>
    <row r="2852" spans="1:10" x14ac:dyDescent="0.35">
      <c r="A2852">
        <v>2836</v>
      </c>
      <c r="B2852" s="75">
        <v>90.666300000000007</v>
      </c>
      <c r="C2852" s="75">
        <v>96.486599999999996</v>
      </c>
      <c r="D2852" s="75">
        <v>93.1922</v>
      </c>
      <c r="E2852" s="75">
        <v>93.044399999999996</v>
      </c>
      <c r="F2852">
        <v>-3671.91</v>
      </c>
      <c r="G2852">
        <v>2584.9500000000003</v>
      </c>
      <c r="H2852">
        <v>-752.19999999999993</v>
      </c>
      <c r="I2852">
        <v>336.2</v>
      </c>
      <c r="J2852">
        <v>-1502.9599999999994</v>
      </c>
    </row>
    <row r="2853" spans="1:10" x14ac:dyDescent="0.35">
      <c r="A2853">
        <v>2837</v>
      </c>
      <c r="B2853" s="75">
        <v>89.26</v>
      </c>
      <c r="C2853" s="75">
        <v>98.29</v>
      </c>
      <c r="D2853" s="75">
        <v>93.45</v>
      </c>
      <c r="E2853" s="75">
        <v>95.65</v>
      </c>
      <c r="F2853">
        <v>973.82999999999993</v>
      </c>
      <c r="G2853">
        <v>-114</v>
      </c>
      <c r="H2853">
        <v>-1277.1999999999998</v>
      </c>
      <c r="I2853">
        <v>-2267</v>
      </c>
      <c r="J2853">
        <v>-2684.37</v>
      </c>
    </row>
    <row r="2854" spans="1:10" x14ac:dyDescent="0.35">
      <c r="A2854">
        <v>2838</v>
      </c>
      <c r="B2854" s="75">
        <v>89.894499999999994</v>
      </c>
      <c r="C2854" s="75">
        <v>100.07689999999999</v>
      </c>
      <c r="D2854" s="75">
        <v>92.805099999999996</v>
      </c>
      <c r="E2854" s="75">
        <v>95.069500000000005</v>
      </c>
      <c r="F2854">
        <v>-1124.97</v>
      </c>
      <c r="G2854">
        <v>-2800.5</v>
      </c>
      <c r="H2854">
        <v>22</v>
      </c>
      <c r="I2854">
        <v>-1688.9</v>
      </c>
      <c r="J2854">
        <v>-5592.3700000000008</v>
      </c>
    </row>
    <row r="2855" spans="1:10" x14ac:dyDescent="0.35">
      <c r="A2855">
        <v>2839</v>
      </c>
      <c r="B2855" s="75">
        <v>89.48</v>
      </c>
      <c r="C2855" s="75">
        <v>98.57</v>
      </c>
      <c r="D2855" s="75">
        <v>92.06</v>
      </c>
      <c r="E2855" s="75">
        <v>95.93</v>
      </c>
      <c r="F2855">
        <v>238.59</v>
      </c>
      <c r="G2855">
        <v>-538.95000000000005</v>
      </c>
      <c r="H2855">
        <v>1512</v>
      </c>
      <c r="I2855">
        <v>-2550.6999999999998</v>
      </c>
      <c r="J2855">
        <v>-1339.06</v>
      </c>
    </row>
    <row r="2856" spans="1:10" x14ac:dyDescent="0.35">
      <c r="A2856">
        <v>2840</v>
      </c>
      <c r="B2856" s="75">
        <v>89.586299999999994</v>
      </c>
      <c r="C2856" s="75">
        <v>99.575000000000003</v>
      </c>
      <c r="D2856" s="75">
        <v>92.834500000000006</v>
      </c>
      <c r="E2856" s="75">
        <v>94.643500000000003</v>
      </c>
      <c r="F2856">
        <v>-107.91</v>
      </c>
      <c r="G2856">
        <v>-2047.6499999999999</v>
      </c>
      <c r="H2856">
        <v>-36.799999999999997</v>
      </c>
      <c r="I2856">
        <v>-1262.8999999999999</v>
      </c>
      <c r="J2856">
        <v>-3455.26</v>
      </c>
    </row>
    <row r="2857" spans="1:10" x14ac:dyDescent="0.35">
      <c r="A2857">
        <v>2841</v>
      </c>
      <c r="B2857" s="75">
        <v>89.96</v>
      </c>
      <c r="C2857" s="75">
        <v>97.91</v>
      </c>
      <c r="D2857" s="75">
        <v>92.08</v>
      </c>
      <c r="E2857" s="75">
        <v>94.49</v>
      </c>
      <c r="F2857">
        <v>-1346.73</v>
      </c>
      <c r="G2857">
        <v>454.05</v>
      </c>
      <c r="H2857">
        <v>1463.4</v>
      </c>
      <c r="I2857">
        <v>-1110.3</v>
      </c>
      <c r="J2857">
        <v>-539.57999999999993</v>
      </c>
    </row>
    <row r="2858" spans="1:10" x14ac:dyDescent="0.35">
      <c r="A2858">
        <v>2842</v>
      </c>
      <c r="B2858" s="75">
        <v>89.3078</v>
      </c>
      <c r="C2858" s="75">
        <v>98.263900000000007</v>
      </c>
      <c r="D2858" s="75">
        <v>93.138900000000007</v>
      </c>
      <c r="E2858" s="75">
        <v>92.114099999999993</v>
      </c>
      <c r="F2858">
        <v>811.14</v>
      </c>
      <c r="G2858">
        <v>-81</v>
      </c>
      <c r="H2858">
        <v>-645.59999999999991</v>
      </c>
      <c r="I2858">
        <v>1266.5</v>
      </c>
      <c r="J2858">
        <v>1351.04</v>
      </c>
    </row>
    <row r="2859" spans="1:10" x14ac:dyDescent="0.35">
      <c r="A2859">
        <v>2843</v>
      </c>
      <c r="B2859" s="75">
        <v>90.27</v>
      </c>
      <c r="C2859" s="75">
        <v>98.77</v>
      </c>
      <c r="D2859" s="75">
        <v>93.27</v>
      </c>
      <c r="E2859" s="75">
        <v>94.2</v>
      </c>
      <c r="F2859">
        <v>-2363.46</v>
      </c>
      <c r="G2859">
        <v>-834.45</v>
      </c>
      <c r="H2859">
        <v>-915.6</v>
      </c>
      <c r="I2859">
        <v>-815.4</v>
      </c>
      <c r="J2859">
        <v>-4928.91</v>
      </c>
    </row>
    <row r="2860" spans="1:10" x14ac:dyDescent="0.35">
      <c r="A2860">
        <v>2844</v>
      </c>
      <c r="B2860" s="75">
        <v>89.959199999999996</v>
      </c>
      <c r="C2860" s="75">
        <v>98.178799999999995</v>
      </c>
      <c r="D2860" s="75">
        <v>94.474199999999996</v>
      </c>
      <c r="E2860" s="75">
        <v>92.802599999999998</v>
      </c>
      <c r="F2860">
        <v>-1338.48</v>
      </c>
      <c r="G2860">
        <v>46.65</v>
      </c>
      <c r="H2860">
        <v>-3316.2</v>
      </c>
      <c r="I2860">
        <v>578</v>
      </c>
      <c r="J2860">
        <v>-4030.0299999999997</v>
      </c>
    </row>
    <row r="2861" spans="1:10" x14ac:dyDescent="0.35">
      <c r="A2861">
        <v>2845</v>
      </c>
      <c r="B2861" s="75">
        <v>89.32</v>
      </c>
      <c r="C2861" s="75">
        <v>97.88</v>
      </c>
      <c r="D2861" s="75">
        <v>92.98</v>
      </c>
      <c r="E2861" s="75">
        <v>92.63</v>
      </c>
      <c r="F2861">
        <v>776.49</v>
      </c>
      <c r="G2861">
        <v>492</v>
      </c>
      <c r="H2861">
        <v>-320.60000000000002</v>
      </c>
      <c r="I2861">
        <v>747.80000000000007</v>
      </c>
      <c r="J2861">
        <v>1695.69</v>
      </c>
    </row>
    <row r="2862" spans="1:10" x14ac:dyDescent="0.35">
      <c r="A2862">
        <v>2846</v>
      </c>
      <c r="B2862" s="75">
        <v>88.9405</v>
      </c>
      <c r="C2862" s="75">
        <v>97.828699999999998</v>
      </c>
      <c r="D2862" s="75">
        <v>93.657499999999999</v>
      </c>
      <c r="E2862" s="75">
        <v>95.209800000000001</v>
      </c>
      <c r="F2862">
        <v>2023.23</v>
      </c>
      <c r="G2862">
        <v>571.79999999999995</v>
      </c>
      <c r="H2862">
        <v>-1682.8000000000002</v>
      </c>
      <c r="I2862">
        <v>-1829.2</v>
      </c>
      <c r="J2862">
        <v>-916.97000000000048</v>
      </c>
    </row>
    <row r="2863" spans="1:10" x14ac:dyDescent="0.35">
      <c r="A2863">
        <v>2847</v>
      </c>
      <c r="B2863" s="75">
        <v>89.66</v>
      </c>
      <c r="C2863" s="75">
        <v>99.52</v>
      </c>
      <c r="D2863" s="75">
        <v>92.56</v>
      </c>
      <c r="E2863" s="75">
        <v>95.25</v>
      </c>
      <c r="F2863">
        <v>-361.02</v>
      </c>
      <c r="G2863">
        <v>-1959.45</v>
      </c>
      <c r="H2863">
        <v>521.59999999999991</v>
      </c>
      <c r="I2863">
        <v>-1865.8999999999999</v>
      </c>
      <c r="J2863">
        <v>-3664.7700000000004</v>
      </c>
    </row>
    <row r="2864" spans="1:10" x14ac:dyDescent="0.35">
      <c r="A2864">
        <v>2848</v>
      </c>
      <c r="B2864" s="75">
        <v>90.364500000000007</v>
      </c>
      <c r="C2864" s="75">
        <v>98.062899999999999</v>
      </c>
      <c r="D2864" s="75">
        <v>93.796700000000001</v>
      </c>
      <c r="E2864" s="75">
        <v>91.112099999999998</v>
      </c>
      <c r="F2864">
        <v>-2675.97</v>
      </c>
      <c r="G2864">
        <v>220.5</v>
      </c>
      <c r="H2864">
        <v>-1961.2</v>
      </c>
      <c r="I2864">
        <v>2268.5</v>
      </c>
      <c r="J2864">
        <v>-2148.17</v>
      </c>
    </row>
    <row r="2865" spans="1:10" x14ac:dyDescent="0.35">
      <c r="A2865">
        <v>2849</v>
      </c>
      <c r="B2865" s="75">
        <v>89.27</v>
      </c>
      <c r="C2865" s="75">
        <v>98.89</v>
      </c>
      <c r="D2865" s="75">
        <v>91.78</v>
      </c>
      <c r="E2865" s="75">
        <v>92.12</v>
      </c>
      <c r="F2865">
        <v>936.87</v>
      </c>
      <c r="G2865">
        <v>-1025.25</v>
      </c>
      <c r="H2865">
        <v>2078.3999999999996</v>
      </c>
      <c r="I2865">
        <v>1263.0999999999999</v>
      </c>
      <c r="J2865">
        <v>3253.1199999999994</v>
      </c>
    </row>
    <row r="2866" spans="1:10" x14ac:dyDescent="0.35">
      <c r="A2866">
        <v>2850</v>
      </c>
      <c r="B2866" s="75">
        <v>89.827200000000005</v>
      </c>
      <c r="C2866" s="75">
        <v>97.390100000000004</v>
      </c>
      <c r="D2866" s="75">
        <v>91.516999999999996</v>
      </c>
      <c r="E2866" s="75">
        <v>93.600999999999999</v>
      </c>
      <c r="F2866">
        <v>-902.88</v>
      </c>
      <c r="G2866">
        <v>1229.7</v>
      </c>
      <c r="H2866">
        <v>2598.1999999999998</v>
      </c>
      <c r="I2866">
        <v>-220.4</v>
      </c>
      <c r="J2866">
        <v>2704.62</v>
      </c>
    </row>
    <row r="2867" spans="1:10" x14ac:dyDescent="0.35">
      <c r="A2867">
        <v>2851</v>
      </c>
      <c r="B2867" s="75">
        <v>88.75</v>
      </c>
      <c r="C2867" s="75">
        <v>97.39</v>
      </c>
      <c r="D2867" s="75">
        <v>92.81</v>
      </c>
      <c r="E2867" s="75">
        <v>91.52</v>
      </c>
      <c r="F2867">
        <v>2665.74</v>
      </c>
      <c r="G2867">
        <v>1230</v>
      </c>
      <c r="H2867">
        <v>17.399999999999999</v>
      </c>
      <c r="I2867">
        <v>1858.5</v>
      </c>
      <c r="J2867">
        <v>5771.6399999999994</v>
      </c>
    </row>
    <row r="2868" spans="1:10" x14ac:dyDescent="0.35">
      <c r="A2868">
        <v>2852</v>
      </c>
      <c r="B2868" s="75">
        <v>90.304599999999994</v>
      </c>
      <c r="C2868" s="75">
        <v>97.221000000000004</v>
      </c>
      <c r="D2868" s="75">
        <v>93.306700000000006</v>
      </c>
      <c r="E2868" s="75">
        <v>92.165800000000004</v>
      </c>
      <c r="F2868">
        <v>-2478.3000000000002</v>
      </c>
      <c r="G2868">
        <v>1483.35</v>
      </c>
      <c r="H2868">
        <v>-981.19999999999993</v>
      </c>
      <c r="I2868">
        <v>1214.8000000000002</v>
      </c>
      <c r="J2868">
        <v>-761.34999999999991</v>
      </c>
    </row>
    <row r="2869" spans="1:10" x14ac:dyDescent="0.35">
      <c r="A2869">
        <v>2853</v>
      </c>
      <c r="B2869" s="75">
        <v>88.94</v>
      </c>
      <c r="C2869" s="75">
        <v>96.8</v>
      </c>
      <c r="D2869" s="75">
        <v>92.65</v>
      </c>
      <c r="E2869" s="75">
        <v>93.06</v>
      </c>
      <c r="F2869">
        <v>2026.53</v>
      </c>
      <c r="G2869">
        <v>2107.5</v>
      </c>
      <c r="H2869">
        <v>323.79999999999995</v>
      </c>
      <c r="I2869">
        <v>324.10000000000002</v>
      </c>
      <c r="J2869">
        <v>4781.93</v>
      </c>
    </row>
    <row r="2870" spans="1:10" x14ac:dyDescent="0.35">
      <c r="A2870">
        <v>2854</v>
      </c>
      <c r="B2870" s="75">
        <v>90.619299999999996</v>
      </c>
      <c r="C2870" s="75">
        <v>97.956699999999998</v>
      </c>
      <c r="D2870" s="75">
        <v>91.305999999999997</v>
      </c>
      <c r="E2870" s="75">
        <v>93.159300000000002</v>
      </c>
      <c r="F2870">
        <v>-3516.8100000000004</v>
      </c>
      <c r="G2870">
        <v>379.79999999999995</v>
      </c>
      <c r="H2870">
        <v>3020.2</v>
      </c>
      <c r="I2870">
        <v>221.29999999999998</v>
      </c>
      <c r="J2870">
        <v>104.48999999999958</v>
      </c>
    </row>
    <row r="2871" spans="1:10" x14ac:dyDescent="0.35">
      <c r="A2871">
        <v>2855</v>
      </c>
      <c r="B2871" s="75">
        <v>89.86</v>
      </c>
      <c r="C2871" s="75">
        <v>98.96</v>
      </c>
      <c r="D2871" s="75">
        <v>94.89</v>
      </c>
      <c r="E2871" s="75">
        <v>94.91</v>
      </c>
      <c r="F2871">
        <v>-1007.1600000000001</v>
      </c>
      <c r="G2871">
        <v>-1131.9000000000001</v>
      </c>
      <c r="H2871">
        <v>-4152</v>
      </c>
      <c r="I2871">
        <v>-1525.1</v>
      </c>
      <c r="J2871">
        <v>-7816.16</v>
      </c>
    </row>
    <row r="2872" spans="1:10" x14ac:dyDescent="0.35">
      <c r="A2872">
        <v>2856</v>
      </c>
      <c r="B2872" s="75">
        <v>89.393799999999999</v>
      </c>
      <c r="C2872" s="75">
        <v>98.892099999999999</v>
      </c>
      <c r="D2872" s="75">
        <v>94.999300000000005</v>
      </c>
      <c r="E2872" s="75">
        <v>93.640299999999996</v>
      </c>
      <c r="F2872">
        <v>527.34</v>
      </c>
      <c r="G2872">
        <v>-1023.3000000000001</v>
      </c>
      <c r="H2872">
        <v>-4366.3999999999996</v>
      </c>
      <c r="I2872">
        <v>-259.7</v>
      </c>
      <c r="J2872">
        <v>-5122.0599999999995</v>
      </c>
    </row>
    <row r="2873" spans="1:10" x14ac:dyDescent="0.35">
      <c r="A2873">
        <v>2857</v>
      </c>
      <c r="B2873" s="75">
        <v>89.39</v>
      </c>
      <c r="C2873" s="75">
        <v>97.46</v>
      </c>
      <c r="D2873" s="75">
        <v>93.63</v>
      </c>
      <c r="E2873" s="75">
        <v>89.64</v>
      </c>
      <c r="F2873">
        <v>526.35</v>
      </c>
      <c r="G2873">
        <v>1118.8499999999999</v>
      </c>
      <c r="H2873">
        <v>-1622.2</v>
      </c>
      <c r="I2873">
        <v>3738.3</v>
      </c>
      <c r="J2873">
        <v>3761.3</v>
      </c>
    </row>
    <row r="2874" spans="1:10" x14ac:dyDescent="0.35">
      <c r="A2874">
        <v>2858</v>
      </c>
      <c r="B2874" s="75">
        <v>89.828299999999999</v>
      </c>
      <c r="C2874" s="75">
        <v>96.9268</v>
      </c>
      <c r="D2874" s="75">
        <v>93.828900000000004</v>
      </c>
      <c r="E2874" s="75">
        <v>91.39</v>
      </c>
      <c r="F2874">
        <v>-906.51</v>
      </c>
      <c r="G2874">
        <v>1924.6499999999999</v>
      </c>
      <c r="H2874">
        <v>-2025.6</v>
      </c>
      <c r="I2874">
        <v>1990.6</v>
      </c>
      <c r="J2874">
        <v>983.13999999999987</v>
      </c>
    </row>
    <row r="2875" spans="1:10" x14ac:dyDescent="0.35">
      <c r="A2875">
        <v>2859</v>
      </c>
      <c r="B2875" s="75">
        <v>89.73</v>
      </c>
      <c r="C2875" s="75">
        <v>98.72</v>
      </c>
      <c r="D2875" s="75">
        <v>90.86</v>
      </c>
      <c r="E2875" s="75">
        <v>94.91</v>
      </c>
      <c r="F2875">
        <v>-573.87</v>
      </c>
      <c r="G2875">
        <v>-760.05000000000007</v>
      </c>
      <c r="H2875">
        <v>3919</v>
      </c>
      <c r="I2875">
        <v>-1529.5</v>
      </c>
      <c r="J2875">
        <v>1055.58</v>
      </c>
    </row>
    <row r="2876" spans="1:10" x14ac:dyDescent="0.35">
      <c r="A2876">
        <v>2860</v>
      </c>
      <c r="B2876" s="75">
        <v>89.674099999999996</v>
      </c>
      <c r="C2876" s="75">
        <v>96.976399999999998</v>
      </c>
      <c r="D2876" s="75">
        <v>94.370699999999999</v>
      </c>
      <c r="E2876" s="75">
        <v>91.903999999999996</v>
      </c>
      <c r="F2876">
        <v>-397.65</v>
      </c>
      <c r="G2876">
        <v>1850.25</v>
      </c>
      <c r="H2876">
        <v>-3109.2</v>
      </c>
      <c r="I2876">
        <v>1476.6</v>
      </c>
      <c r="J2876">
        <v>-180</v>
      </c>
    </row>
    <row r="2877" spans="1:10" x14ac:dyDescent="0.35">
      <c r="A2877">
        <v>2861</v>
      </c>
      <c r="B2877" s="75">
        <v>90.07</v>
      </c>
      <c r="C2877" s="75">
        <v>97.66</v>
      </c>
      <c r="D2877" s="75">
        <v>92.65</v>
      </c>
      <c r="E2877" s="75">
        <v>91.41</v>
      </c>
      <c r="F2877">
        <v>-1689.6000000000001</v>
      </c>
      <c r="G2877">
        <v>832.19999999999993</v>
      </c>
      <c r="H2877">
        <v>329.2</v>
      </c>
      <c r="I2877">
        <v>1966.8000000000002</v>
      </c>
      <c r="J2877">
        <v>1438.6</v>
      </c>
    </row>
    <row r="2878" spans="1:10" x14ac:dyDescent="0.35">
      <c r="A2878">
        <v>2862</v>
      </c>
      <c r="B2878" s="75">
        <v>89.631900000000002</v>
      </c>
      <c r="C2878" s="75">
        <v>98.513800000000003</v>
      </c>
      <c r="D2878" s="75">
        <v>93.549700000000001</v>
      </c>
      <c r="E2878" s="75">
        <v>91.919600000000003</v>
      </c>
      <c r="F2878">
        <v>-258.39</v>
      </c>
      <c r="G2878">
        <v>-455.85</v>
      </c>
      <c r="H2878">
        <v>-1467.2</v>
      </c>
      <c r="I2878">
        <v>1461</v>
      </c>
      <c r="J2878">
        <v>-720.44</v>
      </c>
    </row>
    <row r="2879" spans="1:10" x14ac:dyDescent="0.35">
      <c r="A2879">
        <v>2863</v>
      </c>
      <c r="B2879" s="75">
        <v>89.43</v>
      </c>
      <c r="C2879" s="75">
        <v>98.46</v>
      </c>
      <c r="D2879" s="75">
        <v>92.4</v>
      </c>
      <c r="E2879" s="75">
        <v>90.52</v>
      </c>
      <c r="F2879">
        <v>418.11</v>
      </c>
      <c r="G2879">
        <v>-379.95000000000005</v>
      </c>
      <c r="H2879">
        <v>839.40000000000009</v>
      </c>
      <c r="I2879">
        <v>2859.6</v>
      </c>
      <c r="J2879">
        <v>3737.16</v>
      </c>
    </row>
    <row r="2880" spans="1:10" x14ac:dyDescent="0.35">
      <c r="A2880">
        <v>2864</v>
      </c>
      <c r="B2880" s="75">
        <v>89.581100000000006</v>
      </c>
      <c r="C2880" s="75">
        <v>98.4285</v>
      </c>
      <c r="D2880" s="75">
        <v>93.185000000000002</v>
      </c>
      <c r="E2880" s="75">
        <v>94.428600000000003</v>
      </c>
      <c r="F2880">
        <v>-90.75</v>
      </c>
      <c r="G2880">
        <v>-327.9</v>
      </c>
      <c r="H2880">
        <v>-737.8</v>
      </c>
      <c r="I2880">
        <v>-1048</v>
      </c>
      <c r="J2880">
        <v>-2204.4499999999998</v>
      </c>
    </row>
    <row r="2881" spans="1:10" x14ac:dyDescent="0.35">
      <c r="A2881">
        <v>2865</v>
      </c>
      <c r="B2881" s="75">
        <v>90.21</v>
      </c>
      <c r="C2881" s="75">
        <v>99</v>
      </c>
      <c r="D2881" s="75">
        <v>92.9</v>
      </c>
      <c r="E2881" s="75">
        <v>95.56</v>
      </c>
      <c r="F2881">
        <v>-2156.2199999999998</v>
      </c>
      <c r="G2881">
        <v>-1186.1999999999998</v>
      </c>
      <c r="H2881">
        <v>-175</v>
      </c>
      <c r="I2881">
        <v>-2178.5</v>
      </c>
      <c r="J2881">
        <v>-5695.92</v>
      </c>
    </row>
    <row r="2882" spans="1:10" x14ac:dyDescent="0.35">
      <c r="A2882">
        <v>2866</v>
      </c>
      <c r="B2882" s="75">
        <v>89.278800000000004</v>
      </c>
      <c r="C2882" s="75">
        <v>99.624099999999999</v>
      </c>
      <c r="D2882" s="75">
        <v>92.069299999999998</v>
      </c>
      <c r="E2882" s="75">
        <v>93.898099999999999</v>
      </c>
      <c r="F2882">
        <v>906.83999999999992</v>
      </c>
      <c r="G2882">
        <v>-2121.2999999999997</v>
      </c>
      <c r="H2882">
        <v>1493.6000000000001</v>
      </c>
      <c r="I2882">
        <v>-517.5</v>
      </c>
      <c r="J2882">
        <v>-238.35999999999967</v>
      </c>
    </row>
    <row r="2883" spans="1:10" x14ac:dyDescent="0.35">
      <c r="A2883">
        <v>2867</v>
      </c>
      <c r="B2883" s="75">
        <v>89.45</v>
      </c>
      <c r="C2883" s="75">
        <v>97.5</v>
      </c>
      <c r="D2883" s="75">
        <v>93.05</v>
      </c>
      <c r="E2883" s="75">
        <v>92.87</v>
      </c>
      <c r="F2883">
        <v>336.27000000000004</v>
      </c>
      <c r="G2883">
        <v>1063.95</v>
      </c>
      <c r="H2883">
        <v>-475.6</v>
      </c>
      <c r="I2883">
        <v>513.80000000000007</v>
      </c>
      <c r="J2883">
        <v>1438.42</v>
      </c>
    </row>
    <row r="2884" spans="1:10" x14ac:dyDescent="0.35">
      <c r="A2884">
        <v>2868</v>
      </c>
      <c r="B2884" s="75">
        <v>89.6143</v>
      </c>
      <c r="C2884" s="75">
        <v>98.397400000000005</v>
      </c>
      <c r="D2884" s="75">
        <v>92.245400000000004</v>
      </c>
      <c r="E2884" s="75">
        <v>92.724900000000005</v>
      </c>
      <c r="F2884">
        <v>-200.31</v>
      </c>
      <c r="G2884">
        <v>-281.25</v>
      </c>
      <c r="H2884">
        <v>1141.3999999999999</v>
      </c>
      <c r="I2884">
        <v>655.69999999999993</v>
      </c>
      <c r="J2884">
        <v>1315.54</v>
      </c>
    </row>
    <row r="2885" spans="1:10" x14ac:dyDescent="0.35">
      <c r="A2885">
        <v>2869</v>
      </c>
      <c r="B2885" s="75">
        <v>89.22</v>
      </c>
      <c r="C2885" s="75">
        <v>97.79</v>
      </c>
      <c r="D2885" s="75">
        <v>94.54</v>
      </c>
      <c r="E2885" s="75">
        <v>90.83</v>
      </c>
      <c r="F2885">
        <v>1111.1099999999999</v>
      </c>
      <c r="G2885">
        <v>625.95000000000005</v>
      </c>
      <c r="H2885">
        <v>-3441.3999999999996</v>
      </c>
      <c r="I2885">
        <v>2548.1</v>
      </c>
      <c r="J2885">
        <v>843.76000000000022</v>
      </c>
    </row>
    <row r="2886" spans="1:10" x14ac:dyDescent="0.35">
      <c r="A2886">
        <v>2870</v>
      </c>
      <c r="B2886" s="75">
        <v>89.712100000000007</v>
      </c>
      <c r="C2886" s="75">
        <v>98.500299999999996</v>
      </c>
      <c r="D2886" s="75">
        <v>90.626199999999997</v>
      </c>
      <c r="E2886" s="75">
        <v>92.488399999999999</v>
      </c>
      <c r="F2886">
        <v>-523.04999999999995</v>
      </c>
      <c r="G2886">
        <v>-435.59999999999997</v>
      </c>
      <c r="H2886">
        <v>4379.8</v>
      </c>
      <c r="I2886">
        <v>892.2</v>
      </c>
      <c r="J2886">
        <v>4313.3500000000004</v>
      </c>
    </row>
    <row r="2887" spans="1:10" x14ac:dyDescent="0.35">
      <c r="A2887">
        <v>2871</v>
      </c>
      <c r="B2887" s="75">
        <v>89.61</v>
      </c>
      <c r="C2887" s="75">
        <v>97.86</v>
      </c>
      <c r="D2887" s="75">
        <v>92.85</v>
      </c>
      <c r="E2887" s="75">
        <v>93.89</v>
      </c>
      <c r="F2887">
        <v>-188.76</v>
      </c>
      <c r="G2887">
        <v>517.65</v>
      </c>
      <c r="H2887">
        <v>-74.800000000000011</v>
      </c>
      <c r="I2887">
        <v>-512.70000000000005</v>
      </c>
      <c r="J2887">
        <v>-258.61000000000007</v>
      </c>
    </row>
    <row r="2888" spans="1:10" x14ac:dyDescent="0.35">
      <c r="A2888">
        <v>2872</v>
      </c>
      <c r="B2888" s="75">
        <v>89.535700000000006</v>
      </c>
      <c r="C2888" s="75">
        <v>97.857600000000005</v>
      </c>
      <c r="D2888" s="75">
        <v>93.079499999999996</v>
      </c>
      <c r="E2888" s="75">
        <v>95.209400000000002</v>
      </c>
      <c r="F2888">
        <v>59.07</v>
      </c>
      <c r="G2888">
        <v>528.45000000000005</v>
      </c>
      <c r="H2888">
        <v>-526.80000000000007</v>
      </c>
      <c r="I2888">
        <v>-1828.8</v>
      </c>
      <c r="J2888">
        <v>-1768.08</v>
      </c>
    </row>
    <row r="2889" spans="1:10" x14ac:dyDescent="0.35">
      <c r="A2889">
        <v>2873</v>
      </c>
      <c r="B2889" s="75">
        <v>89.26</v>
      </c>
      <c r="C2889" s="75">
        <v>98.11</v>
      </c>
      <c r="D2889" s="75">
        <v>90.97</v>
      </c>
      <c r="E2889" s="75">
        <v>90.07</v>
      </c>
      <c r="F2889">
        <v>956.67</v>
      </c>
      <c r="G2889">
        <v>142.80000000000001</v>
      </c>
      <c r="H2889">
        <v>3699.2</v>
      </c>
      <c r="I2889">
        <v>3312</v>
      </c>
      <c r="J2889">
        <v>8110.67</v>
      </c>
    </row>
    <row r="2890" spans="1:10" x14ac:dyDescent="0.35">
      <c r="A2890">
        <v>2874</v>
      </c>
      <c r="B2890" s="75">
        <v>89.458399999999997</v>
      </c>
      <c r="C2890" s="75">
        <v>98.350200000000001</v>
      </c>
      <c r="D2890" s="75">
        <v>91.3523</v>
      </c>
      <c r="E2890" s="75">
        <v>92.2393</v>
      </c>
      <c r="F2890">
        <v>314.16000000000003</v>
      </c>
      <c r="G2890">
        <v>-210.45000000000002</v>
      </c>
      <c r="H2890">
        <v>2927.6</v>
      </c>
      <c r="I2890">
        <v>1141.3</v>
      </c>
      <c r="J2890">
        <v>4172.6099999999997</v>
      </c>
    </row>
    <row r="2891" spans="1:10" x14ac:dyDescent="0.35">
      <c r="A2891">
        <v>2875</v>
      </c>
      <c r="B2891" s="75">
        <v>89.97</v>
      </c>
      <c r="C2891" s="75">
        <v>98.75</v>
      </c>
      <c r="D2891" s="75">
        <v>91.76</v>
      </c>
      <c r="E2891" s="75">
        <v>92.9</v>
      </c>
      <c r="F2891">
        <v>-1381.05</v>
      </c>
      <c r="G2891">
        <v>-804.30000000000007</v>
      </c>
      <c r="H2891">
        <v>2114.3999999999996</v>
      </c>
      <c r="I2891">
        <v>479.5</v>
      </c>
      <c r="J2891">
        <v>408.54999999999973</v>
      </c>
    </row>
    <row r="2892" spans="1:10" x14ac:dyDescent="0.35">
      <c r="A2892">
        <v>2876</v>
      </c>
      <c r="B2892" s="75">
        <v>88.756699999999995</v>
      </c>
      <c r="C2892" s="75">
        <v>98.665700000000001</v>
      </c>
      <c r="D2892" s="75">
        <v>91.741699999999994</v>
      </c>
      <c r="E2892" s="75">
        <v>97.299800000000005</v>
      </c>
      <c r="F2892">
        <v>2629.77</v>
      </c>
      <c r="G2892">
        <v>-683.69999999999993</v>
      </c>
      <c r="H2892">
        <v>2148.8000000000002</v>
      </c>
      <c r="I2892">
        <v>-3919.2</v>
      </c>
      <c r="J2892">
        <v>175.67000000000053</v>
      </c>
    </row>
    <row r="2893" spans="1:10" x14ac:dyDescent="0.35">
      <c r="A2893">
        <v>2877</v>
      </c>
      <c r="B2893" s="75">
        <v>90.8</v>
      </c>
      <c r="C2893" s="75">
        <v>97.74</v>
      </c>
      <c r="D2893" s="75">
        <v>94.66</v>
      </c>
      <c r="E2893" s="75">
        <v>93.78</v>
      </c>
      <c r="F2893">
        <v>-4111.8</v>
      </c>
      <c r="G2893">
        <v>700.2</v>
      </c>
      <c r="H2893">
        <v>-3682.4</v>
      </c>
      <c r="I2893">
        <v>-398.7</v>
      </c>
      <c r="J2893">
        <v>-7492.7</v>
      </c>
    </row>
    <row r="2894" spans="1:10" x14ac:dyDescent="0.35">
      <c r="A2894">
        <v>2878</v>
      </c>
      <c r="B2894" s="75">
        <v>89.44</v>
      </c>
      <c r="C2894" s="75">
        <v>97.535399999999996</v>
      </c>
      <c r="D2894" s="75">
        <v>90.727500000000006</v>
      </c>
      <c r="E2894" s="75">
        <v>90.4011</v>
      </c>
      <c r="F2894">
        <v>374.88</v>
      </c>
      <c r="G2894">
        <v>1011.75</v>
      </c>
      <c r="H2894">
        <v>4177.2</v>
      </c>
      <c r="I2894">
        <v>2979.5</v>
      </c>
      <c r="J2894">
        <v>8543.33</v>
      </c>
    </row>
    <row r="2895" spans="1:10" x14ac:dyDescent="0.35">
      <c r="A2895">
        <v>2879</v>
      </c>
      <c r="B2895" s="75">
        <v>89.31</v>
      </c>
      <c r="C2895" s="75">
        <v>99.91</v>
      </c>
      <c r="D2895" s="75">
        <v>94.25</v>
      </c>
      <c r="E2895" s="75">
        <v>95.52</v>
      </c>
      <c r="F2895">
        <v>792.33</v>
      </c>
      <c r="G2895">
        <v>-2551.8000000000002</v>
      </c>
      <c r="H2895">
        <v>-2858.2000000000003</v>
      </c>
      <c r="I2895">
        <v>-2140.2000000000003</v>
      </c>
      <c r="J2895">
        <v>-6757.8700000000008</v>
      </c>
    </row>
    <row r="2896" spans="1:10" x14ac:dyDescent="0.35">
      <c r="A2896">
        <v>2880</v>
      </c>
      <c r="B2896" s="75">
        <v>89.031400000000005</v>
      </c>
      <c r="C2896" s="75">
        <v>98.714100000000002</v>
      </c>
      <c r="D2896" s="75">
        <v>93.150300000000001</v>
      </c>
      <c r="E2896" s="75">
        <v>94.764300000000006</v>
      </c>
      <c r="F2896">
        <v>1723.26</v>
      </c>
      <c r="G2896">
        <v>-756.3</v>
      </c>
      <c r="H2896">
        <v>-668.4</v>
      </c>
      <c r="I2896">
        <v>-1383.6999999999998</v>
      </c>
      <c r="J2896">
        <v>-1085.1399999999999</v>
      </c>
    </row>
    <row r="2897" spans="1:10" x14ac:dyDescent="0.35">
      <c r="A2897">
        <v>2881</v>
      </c>
      <c r="B2897" s="75">
        <v>89.22</v>
      </c>
      <c r="C2897" s="75">
        <v>98.39</v>
      </c>
      <c r="D2897" s="75">
        <v>90.53</v>
      </c>
      <c r="E2897" s="75">
        <v>94.67</v>
      </c>
      <c r="F2897">
        <v>1105.5</v>
      </c>
      <c r="G2897">
        <v>-266.85000000000002</v>
      </c>
      <c r="H2897">
        <v>4579.2</v>
      </c>
      <c r="I2897">
        <v>-1291.7</v>
      </c>
      <c r="J2897">
        <v>4126.1499999999996</v>
      </c>
    </row>
    <row r="2898" spans="1:10" x14ac:dyDescent="0.35">
      <c r="A2898">
        <v>2882</v>
      </c>
      <c r="B2898" s="75">
        <v>89.403199999999998</v>
      </c>
      <c r="C2898" s="75">
        <v>97.836299999999994</v>
      </c>
      <c r="D2898" s="75">
        <v>89.390799999999999</v>
      </c>
      <c r="E2898" s="75">
        <v>95.825599999999994</v>
      </c>
      <c r="F2898">
        <v>496.32</v>
      </c>
      <c r="G2898">
        <v>560.4</v>
      </c>
      <c r="H2898">
        <v>6850.6</v>
      </c>
      <c r="I2898">
        <v>-2445</v>
      </c>
      <c r="J2898">
        <v>5462.3200000000006</v>
      </c>
    </row>
    <row r="2899" spans="1:10" x14ac:dyDescent="0.35">
      <c r="A2899">
        <v>2883</v>
      </c>
      <c r="B2899" s="75">
        <v>89.96</v>
      </c>
      <c r="C2899" s="75">
        <v>98.43</v>
      </c>
      <c r="D2899" s="75">
        <v>90.94</v>
      </c>
      <c r="E2899" s="75">
        <v>95.32</v>
      </c>
      <c r="F2899">
        <v>-1325.61</v>
      </c>
      <c r="G2899">
        <v>-323.25</v>
      </c>
      <c r="H2899">
        <v>3745.8</v>
      </c>
      <c r="I2899">
        <v>-1940.3999999999999</v>
      </c>
      <c r="J2899">
        <v>156.54000000000065</v>
      </c>
    </row>
    <row r="2900" spans="1:10" x14ac:dyDescent="0.35">
      <c r="A2900">
        <v>2884</v>
      </c>
      <c r="B2900" s="75">
        <v>88.839699999999993</v>
      </c>
      <c r="C2900" s="75">
        <v>98.434100000000001</v>
      </c>
      <c r="D2900" s="75">
        <v>92.725099999999998</v>
      </c>
      <c r="E2900" s="75">
        <v>94.473600000000005</v>
      </c>
      <c r="F2900">
        <v>2355.87</v>
      </c>
      <c r="G2900">
        <v>-336.3</v>
      </c>
      <c r="H2900">
        <v>182</v>
      </c>
      <c r="I2900">
        <v>-1093</v>
      </c>
      <c r="J2900">
        <v>1108.5699999999997</v>
      </c>
    </row>
    <row r="2901" spans="1:10" x14ac:dyDescent="0.35">
      <c r="A2901">
        <v>2885</v>
      </c>
      <c r="B2901" s="75">
        <v>89.73</v>
      </c>
      <c r="C2901" s="75">
        <v>99.02</v>
      </c>
      <c r="D2901" s="75">
        <v>93.9</v>
      </c>
      <c r="E2901" s="75">
        <v>94.48</v>
      </c>
      <c r="F2901">
        <v>-570.57000000000005</v>
      </c>
      <c r="G2901">
        <v>-1221.3</v>
      </c>
      <c r="H2901">
        <v>-2162.1999999999998</v>
      </c>
      <c r="I2901">
        <v>-1100.8</v>
      </c>
      <c r="J2901">
        <v>-5054.87</v>
      </c>
    </row>
    <row r="2902" spans="1:10" x14ac:dyDescent="0.35">
      <c r="A2902">
        <v>2886</v>
      </c>
      <c r="B2902" s="75">
        <v>89.5946</v>
      </c>
      <c r="C2902" s="75">
        <v>97.090900000000005</v>
      </c>
      <c r="D2902" s="75">
        <v>91.993200000000002</v>
      </c>
      <c r="E2902" s="75">
        <v>94.520099999999999</v>
      </c>
      <c r="F2902">
        <v>-135.30000000000001</v>
      </c>
      <c r="G2902">
        <v>1678.5</v>
      </c>
      <c r="H2902">
        <v>1645.8</v>
      </c>
      <c r="I2902">
        <v>-1139.5</v>
      </c>
      <c r="J2902">
        <v>2049.5</v>
      </c>
    </row>
    <row r="2903" spans="1:10" x14ac:dyDescent="0.35">
      <c r="A2903">
        <v>2887</v>
      </c>
      <c r="B2903" s="75">
        <v>89.67</v>
      </c>
      <c r="C2903" s="75">
        <v>99.52</v>
      </c>
      <c r="D2903" s="75">
        <v>92.6</v>
      </c>
      <c r="E2903" s="75">
        <v>95.51</v>
      </c>
      <c r="F2903">
        <v>-367.62</v>
      </c>
      <c r="G2903">
        <v>-1960.35</v>
      </c>
      <c r="H2903">
        <v>423.4</v>
      </c>
      <c r="I2903">
        <v>-2124.6</v>
      </c>
      <c r="J2903">
        <v>-4029.1699999999996</v>
      </c>
    </row>
    <row r="2904" spans="1:10" x14ac:dyDescent="0.35">
      <c r="A2904">
        <v>2888</v>
      </c>
      <c r="B2904" s="75">
        <v>89.142700000000005</v>
      </c>
      <c r="C2904" s="75">
        <v>97.733000000000004</v>
      </c>
      <c r="D2904" s="75">
        <v>89.835300000000004</v>
      </c>
      <c r="E2904" s="75">
        <v>94.484399999999994</v>
      </c>
      <c r="F2904">
        <v>1355.97</v>
      </c>
      <c r="G2904">
        <v>715.35</v>
      </c>
      <c r="H2904">
        <v>5961.5999999999995</v>
      </c>
      <c r="I2904">
        <v>-1103.8</v>
      </c>
      <c r="J2904">
        <v>6929.12</v>
      </c>
    </row>
    <row r="2905" spans="1:10" x14ac:dyDescent="0.35">
      <c r="A2905">
        <v>2889</v>
      </c>
      <c r="B2905" s="75">
        <v>89.32</v>
      </c>
      <c r="C2905" s="75">
        <v>97.48</v>
      </c>
      <c r="D2905" s="75">
        <v>93.02</v>
      </c>
      <c r="E2905" s="75">
        <v>93.53</v>
      </c>
      <c r="F2905">
        <v>777.48</v>
      </c>
      <c r="G2905">
        <v>1089.9000000000001</v>
      </c>
      <c r="H2905">
        <v>-411</v>
      </c>
      <c r="I2905">
        <v>-145.9</v>
      </c>
      <c r="J2905">
        <v>1310.48</v>
      </c>
    </row>
    <row r="2906" spans="1:10" x14ac:dyDescent="0.35">
      <c r="A2906">
        <v>2890</v>
      </c>
      <c r="B2906" s="75">
        <v>89.412000000000006</v>
      </c>
      <c r="C2906" s="75">
        <v>98.290800000000004</v>
      </c>
      <c r="D2906" s="75">
        <v>93.224199999999996</v>
      </c>
      <c r="E2906" s="75">
        <v>91.32</v>
      </c>
      <c r="F2906">
        <v>467.28000000000003</v>
      </c>
      <c r="G2906">
        <v>-121.35</v>
      </c>
      <c r="H2906">
        <v>-816.2</v>
      </c>
      <c r="I2906">
        <v>2060.6</v>
      </c>
      <c r="J2906">
        <v>1590.33</v>
      </c>
    </row>
    <row r="2907" spans="1:10" x14ac:dyDescent="0.35">
      <c r="A2907">
        <v>2891</v>
      </c>
      <c r="B2907" s="75">
        <v>89.81</v>
      </c>
      <c r="C2907" s="75">
        <v>96.82</v>
      </c>
      <c r="D2907" s="75">
        <v>95.37</v>
      </c>
      <c r="E2907" s="75">
        <v>93.99</v>
      </c>
      <c r="F2907">
        <v>-847.1099999999999</v>
      </c>
      <c r="G2907">
        <v>2088</v>
      </c>
      <c r="H2907">
        <v>-5115</v>
      </c>
      <c r="I2907">
        <v>-605.9</v>
      </c>
      <c r="J2907">
        <v>-4480.0099999999993</v>
      </c>
    </row>
    <row r="2908" spans="1:10" x14ac:dyDescent="0.35">
      <c r="A2908">
        <v>2892</v>
      </c>
      <c r="B2908" s="75">
        <v>89.8994</v>
      </c>
      <c r="C2908" s="75">
        <v>99.356800000000007</v>
      </c>
      <c r="D2908" s="75">
        <v>93.241699999999994</v>
      </c>
      <c r="E2908" s="75">
        <v>92.582999999999998</v>
      </c>
      <c r="F2908">
        <v>-1141.1400000000001</v>
      </c>
      <c r="G2908">
        <v>-1720.3500000000001</v>
      </c>
      <c r="H2908">
        <v>-851.19999999999993</v>
      </c>
      <c r="I2908">
        <v>797.6</v>
      </c>
      <c r="J2908">
        <v>-2915.09</v>
      </c>
    </row>
    <row r="2909" spans="1:10" x14ac:dyDescent="0.35">
      <c r="A2909">
        <v>2893</v>
      </c>
      <c r="B2909" s="75">
        <v>89.47</v>
      </c>
      <c r="C2909" s="75">
        <v>98.47</v>
      </c>
      <c r="D2909" s="75">
        <v>95.12</v>
      </c>
      <c r="E2909" s="75">
        <v>92.65</v>
      </c>
      <c r="F2909">
        <v>275.55</v>
      </c>
      <c r="G2909">
        <v>-389.25</v>
      </c>
      <c r="H2909">
        <v>-4605</v>
      </c>
      <c r="I2909">
        <v>726.5</v>
      </c>
      <c r="J2909">
        <v>-3992.2</v>
      </c>
    </row>
    <row r="2910" spans="1:10" x14ac:dyDescent="0.35">
      <c r="A2910">
        <v>2894</v>
      </c>
      <c r="B2910" s="75">
        <v>89.595299999999995</v>
      </c>
      <c r="C2910" s="75">
        <v>97.719300000000004</v>
      </c>
      <c r="D2910" s="75">
        <v>93.896600000000007</v>
      </c>
      <c r="E2910" s="75">
        <v>92.867800000000003</v>
      </c>
      <c r="F2910">
        <v>-137.61000000000001</v>
      </c>
      <c r="G2910">
        <v>735.9</v>
      </c>
      <c r="H2910">
        <v>-2161</v>
      </c>
      <c r="I2910">
        <v>512.80000000000007</v>
      </c>
      <c r="J2910">
        <v>-1049.9099999999999</v>
      </c>
    </row>
    <row r="2911" spans="1:10" x14ac:dyDescent="0.35">
      <c r="A2911">
        <v>2895</v>
      </c>
      <c r="B2911" s="75">
        <v>90.47</v>
      </c>
      <c r="C2911" s="75">
        <v>97.15</v>
      </c>
      <c r="D2911" s="75">
        <v>92.41</v>
      </c>
      <c r="E2911" s="75">
        <v>94.98</v>
      </c>
      <c r="F2911">
        <v>-3009.9300000000003</v>
      </c>
      <c r="G2911">
        <v>1582.8</v>
      </c>
      <c r="H2911">
        <v>805</v>
      </c>
      <c r="I2911">
        <v>-1603.6</v>
      </c>
      <c r="J2911">
        <v>-2225.7300000000005</v>
      </c>
    </row>
    <row r="2912" spans="1:10" x14ac:dyDescent="0.35">
      <c r="A2912">
        <v>2896</v>
      </c>
      <c r="B2912" s="75">
        <v>89.125900000000001</v>
      </c>
      <c r="C2912" s="75">
        <v>97.576599999999999</v>
      </c>
      <c r="D2912" s="75">
        <v>92.472800000000007</v>
      </c>
      <c r="E2912" s="75">
        <v>91.315799999999996</v>
      </c>
      <c r="F2912">
        <v>1411.41</v>
      </c>
      <c r="G2912">
        <v>949.94999999999993</v>
      </c>
      <c r="H2912">
        <v>686.6</v>
      </c>
      <c r="I2912">
        <v>2064.8000000000002</v>
      </c>
      <c r="J2912">
        <v>5112.76</v>
      </c>
    </row>
    <row r="2913" spans="1:10" x14ac:dyDescent="0.35">
      <c r="A2913">
        <v>2897</v>
      </c>
      <c r="B2913" s="75">
        <v>90.59</v>
      </c>
      <c r="C2913" s="75">
        <v>100.64</v>
      </c>
      <c r="D2913" s="75">
        <v>92.51</v>
      </c>
      <c r="E2913" s="75">
        <v>89.49</v>
      </c>
      <c r="F2913">
        <v>-3404.61</v>
      </c>
      <c r="G2913">
        <v>-3641.7</v>
      </c>
      <c r="H2913">
        <v>612.6</v>
      </c>
      <c r="I2913">
        <v>3891.4</v>
      </c>
      <c r="J2913">
        <v>-2542.309999999999</v>
      </c>
    </row>
    <row r="2914" spans="1:10" x14ac:dyDescent="0.35">
      <c r="A2914">
        <v>2898</v>
      </c>
      <c r="B2914" s="75">
        <v>90.084900000000005</v>
      </c>
      <c r="C2914" s="75">
        <v>99.252899999999997</v>
      </c>
      <c r="D2914" s="75">
        <v>93.730800000000002</v>
      </c>
      <c r="E2914" s="75">
        <v>93.533799999999999</v>
      </c>
      <c r="F2914">
        <v>-1753.29</v>
      </c>
      <c r="G2914">
        <v>-1564.5</v>
      </c>
      <c r="H2914">
        <v>-1829.3999999999999</v>
      </c>
      <c r="I2914">
        <v>-153.19999999999999</v>
      </c>
      <c r="J2914">
        <v>-5300.3899999999994</v>
      </c>
    </row>
    <row r="2915" spans="1:10" x14ac:dyDescent="0.35">
      <c r="A2915">
        <v>2899</v>
      </c>
      <c r="B2915" s="75">
        <v>89.87</v>
      </c>
      <c r="C2915" s="75">
        <v>98.11</v>
      </c>
      <c r="D2915" s="75">
        <v>93.83</v>
      </c>
      <c r="E2915" s="75">
        <v>92.83</v>
      </c>
      <c r="F2915">
        <v>-1053.3599999999999</v>
      </c>
      <c r="G2915">
        <v>152.55000000000001</v>
      </c>
      <c r="H2915">
        <v>-2021.1999999999998</v>
      </c>
      <c r="I2915">
        <v>551</v>
      </c>
      <c r="J2915">
        <v>-2371.0099999999998</v>
      </c>
    </row>
    <row r="2916" spans="1:10" x14ac:dyDescent="0.35">
      <c r="A2916">
        <v>2900</v>
      </c>
      <c r="B2916" s="75">
        <v>89.455399999999997</v>
      </c>
      <c r="C2916" s="75">
        <v>96.493200000000002</v>
      </c>
      <c r="D2916" s="75">
        <v>94.996799999999993</v>
      </c>
      <c r="E2916" s="75">
        <v>96.153499999999994</v>
      </c>
      <c r="F2916">
        <v>324.06</v>
      </c>
      <c r="G2916">
        <v>2575.0499999999997</v>
      </c>
      <c r="H2916">
        <v>-4361.3999999999996</v>
      </c>
      <c r="I2916">
        <v>-2772.9</v>
      </c>
      <c r="J2916">
        <v>-4235.1900000000005</v>
      </c>
    </row>
    <row r="2917" spans="1:10" x14ac:dyDescent="0.35">
      <c r="A2917">
        <v>2901</v>
      </c>
      <c r="B2917" s="75">
        <v>88.72</v>
      </c>
      <c r="C2917" s="75">
        <v>99.73</v>
      </c>
      <c r="D2917" s="75">
        <v>91.7</v>
      </c>
      <c r="E2917" s="75">
        <v>92.91</v>
      </c>
      <c r="F2917">
        <v>2762.1</v>
      </c>
      <c r="G2917">
        <v>-2285.5500000000002</v>
      </c>
      <c r="H2917">
        <v>2236.8000000000002</v>
      </c>
      <c r="I2917">
        <v>472.9</v>
      </c>
      <c r="J2917">
        <v>3186.25</v>
      </c>
    </row>
    <row r="2918" spans="1:10" x14ac:dyDescent="0.35">
      <c r="A2918">
        <v>2902</v>
      </c>
      <c r="B2918" s="75">
        <v>89.446899999999999</v>
      </c>
      <c r="C2918" s="75">
        <v>97.621399999999994</v>
      </c>
      <c r="D2918" s="75">
        <v>91.778700000000001</v>
      </c>
      <c r="E2918" s="75">
        <v>89.745999999999995</v>
      </c>
      <c r="F2918">
        <v>352.11</v>
      </c>
      <c r="G2918">
        <v>882.75</v>
      </c>
      <c r="H2918">
        <v>2074.8000000000002</v>
      </c>
      <c r="I2918">
        <v>3634.6</v>
      </c>
      <c r="J2918">
        <v>6944.26</v>
      </c>
    </row>
    <row r="2919" spans="1:10" x14ac:dyDescent="0.35">
      <c r="A2919">
        <v>2903</v>
      </c>
      <c r="B2919" s="75">
        <v>89.08</v>
      </c>
      <c r="C2919" s="75">
        <v>97.34</v>
      </c>
      <c r="D2919" s="75">
        <v>92.27</v>
      </c>
      <c r="E2919" s="75">
        <v>93.18</v>
      </c>
      <c r="F2919">
        <v>1575.42</v>
      </c>
      <c r="G2919">
        <v>1302.3</v>
      </c>
      <c r="H2919">
        <v>1097.2</v>
      </c>
      <c r="I2919">
        <v>202.7</v>
      </c>
      <c r="J2919">
        <v>4177.62</v>
      </c>
    </row>
    <row r="2920" spans="1:10" x14ac:dyDescent="0.35">
      <c r="A2920">
        <v>2904</v>
      </c>
      <c r="B2920" s="75">
        <v>88.9</v>
      </c>
      <c r="C2920" s="75">
        <v>98.352500000000006</v>
      </c>
      <c r="D2920" s="75">
        <v>92.408699999999996</v>
      </c>
      <c r="E2920" s="75">
        <v>94.0792</v>
      </c>
      <c r="F2920">
        <v>2156.8799999999997</v>
      </c>
      <c r="G2920">
        <v>-213.9</v>
      </c>
      <c r="H2920">
        <v>814.8</v>
      </c>
      <c r="I2920">
        <v>-698.6</v>
      </c>
      <c r="J2920">
        <v>2059.1799999999998</v>
      </c>
    </row>
    <row r="2921" spans="1:10" x14ac:dyDescent="0.35">
      <c r="A2921">
        <v>2905</v>
      </c>
      <c r="B2921" s="75">
        <v>89.8</v>
      </c>
      <c r="C2921" s="75">
        <v>98.44</v>
      </c>
      <c r="D2921" s="75">
        <v>92.44</v>
      </c>
      <c r="E2921" s="75">
        <v>93.03</v>
      </c>
      <c r="F2921">
        <v>-798.27</v>
      </c>
      <c r="G2921">
        <v>-347.55</v>
      </c>
      <c r="H2921">
        <v>742.80000000000007</v>
      </c>
      <c r="I2921">
        <v>345.8</v>
      </c>
      <c r="J2921">
        <v>-57.219999999999857</v>
      </c>
    </row>
    <row r="2922" spans="1:10" x14ac:dyDescent="0.35">
      <c r="A2922">
        <v>2906</v>
      </c>
      <c r="B2922" s="75">
        <v>88.997</v>
      </c>
      <c r="C2922" s="75">
        <v>98.055400000000006</v>
      </c>
      <c r="D2922" s="75">
        <v>92.929400000000001</v>
      </c>
      <c r="E2922" s="75">
        <v>93.683099999999996</v>
      </c>
      <c r="F2922">
        <v>1836.78</v>
      </c>
      <c r="G2922">
        <v>231.75</v>
      </c>
      <c r="H2922">
        <v>-226.6</v>
      </c>
      <c r="I2922">
        <v>-302.5</v>
      </c>
      <c r="J2922">
        <v>1539.4299999999998</v>
      </c>
    </row>
    <row r="2923" spans="1:10" x14ac:dyDescent="0.35">
      <c r="A2923">
        <v>2907</v>
      </c>
      <c r="B2923" s="75">
        <v>89.7</v>
      </c>
      <c r="C2923" s="75">
        <v>97.24</v>
      </c>
      <c r="D2923" s="75">
        <v>94.17</v>
      </c>
      <c r="E2923" s="75">
        <v>90.07</v>
      </c>
      <c r="F2923">
        <v>-470.24999999999994</v>
      </c>
      <c r="G2923">
        <v>1461</v>
      </c>
      <c r="H2923">
        <v>-2711.6</v>
      </c>
      <c r="I2923">
        <v>3309.8</v>
      </c>
      <c r="J2923">
        <v>1588.9500000000003</v>
      </c>
    </row>
    <row r="2924" spans="1:10" x14ac:dyDescent="0.35">
      <c r="A2924">
        <v>2908</v>
      </c>
      <c r="B2924" s="75">
        <v>90.094899999999996</v>
      </c>
      <c r="C2924" s="75">
        <v>98.8506</v>
      </c>
      <c r="D2924" s="75">
        <v>92.613299999999995</v>
      </c>
      <c r="E2924" s="75">
        <v>91.364099999999993</v>
      </c>
      <c r="F2924">
        <v>-1786.29</v>
      </c>
      <c r="G2924">
        <v>-961.05000000000007</v>
      </c>
      <c r="H2924">
        <v>405.6</v>
      </c>
      <c r="I2924">
        <v>2016.5000000000002</v>
      </c>
      <c r="J2924">
        <v>-325.24</v>
      </c>
    </row>
    <row r="2925" spans="1:10" x14ac:dyDescent="0.35">
      <c r="A2925">
        <v>2909</v>
      </c>
      <c r="B2925" s="75">
        <v>89.31</v>
      </c>
      <c r="C2925" s="75">
        <v>97.6</v>
      </c>
      <c r="D2925" s="75">
        <v>92.49</v>
      </c>
      <c r="E2925" s="75">
        <v>95.12</v>
      </c>
      <c r="F2925">
        <v>818.7299999999999</v>
      </c>
      <c r="G2925">
        <v>912.44999999999993</v>
      </c>
      <c r="H2925">
        <v>654</v>
      </c>
      <c r="I2925">
        <v>-1735.6000000000001</v>
      </c>
      <c r="J2925">
        <v>649.5799999999997</v>
      </c>
    </row>
    <row r="2926" spans="1:10" x14ac:dyDescent="0.35">
      <c r="A2926">
        <v>2910</v>
      </c>
      <c r="B2926" s="75">
        <v>87.729100000000003</v>
      </c>
      <c r="C2926" s="75">
        <v>96.598299999999995</v>
      </c>
      <c r="D2926" s="75">
        <v>93.534400000000005</v>
      </c>
      <c r="E2926" s="75">
        <v>95.283000000000001</v>
      </c>
      <c r="F2926">
        <v>6020.85</v>
      </c>
      <c r="G2926">
        <v>2417.4</v>
      </c>
      <c r="H2926">
        <v>-1436.6000000000001</v>
      </c>
      <c r="I2926">
        <v>-1902.4</v>
      </c>
      <c r="J2926">
        <v>5099.25</v>
      </c>
    </row>
    <row r="2927" spans="1:10" x14ac:dyDescent="0.35">
      <c r="A2927">
        <v>2911</v>
      </c>
      <c r="B2927" s="75">
        <v>89.37</v>
      </c>
      <c r="C2927" s="75">
        <v>98.96</v>
      </c>
      <c r="D2927" s="75">
        <v>93.14</v>
      </c>
      <c r="E2927" s="75">
        <v>94.02</v>
      </c>
      <c r="F2927">
        <v>596.30999999999995</v>
      </c>
      <c r="G2927">
        <v>-1132.5</v>
      </c>
      <c r="H2927">
        <v>-647.59999999999991</v>
      </c>
      <c r="I2927">
        <v>-637.1</v>
      </c>
      <c r="J2927">
        <v>-1820.8899999999999</v>
      </c>
    </row>
    <row r="2928" spans="1:10" x14ac:dyDescent="0.35">
      <c r="A2928">
        <v>2912</v>
      </c>
      <c r="B2928" s="75">
        <v>89.048599999999993</v>
      </c>
      <c r="C2928" s="75">
        <v>96.645899999999997</v>
      </c>
      <c r="D2928" s="75">
        <v>92.496099999999998</v>
      </c>
      <c r="E2928" s="75">
        <v>93.602000000000004</v>
      </c>
      <c r="F2928">
        <v>1666.5</v>
      </c>
      <c r="G2928">
        <v>2346</v>
      </c>
      <c r="H2928">
        <v>640</v>
      </c>
      <c r="I2928">
        <v>-221.4</v>
      </c>
      <c r="J2928">
        <v>4431.1000000000004</v>
      </c>
    </row>
    <row r="2929" spans="1:10" x14ac:dyDescent="0.35">
      <c r="A2929">
        <v>2913</v>
      </c>
      <c r="B2929" s="75">
        <v>88.9</v>
      </c>
      <c r="C2929" s="75">
        <v>97.25</v>
      </c>
      <c r="D2929" s="75">
        <v>93.69</v>
      </c>
      <c r="E2929" s="75">
        <v>93.93</v>
      </c>
      <c r="F2929">
        <v>2145.9899999999998</v>
      </c>
      <c r="G2929">
        <v>1444.8</v>
      </c>
      <c r="H2929">
        <v>-1749.4</v>
      </c>
      <c r="I2929">
        <v>-549.29999999999995</v>
      </c>
      <c r="J2929">
        <v>1292.0899999999999</v>
      </c>
    </row>
    <row r="2930" spans="1:10" x14ac:dyDescent="0.35">
      <c r="A2930">
        <v>2914</v>
      </c>
      <c r="B2930" s="75">
        <v>90.143500000000003</v>
      </c>
      <c r="C2930" s="75">
        <v>97.730599999999995</v>
      </c>
      <c r="D2930" s="75">
        <v>92.631200000000007</v>
      </c>
      <c r="E2930" s="75">
        <v>92.726699999999994</v>
      </c>
      <c r="F2930">
        <v>-1946.6699999999998</v>
      </c>
      <c r="G2930">
        <v>718.95</v>
      </c>
      <c r="H2930">
        <v>369.8</v>
      </c>
      <c r="I2930">
        <v>653.90000000000009</v>
      </c>
      <c r="J2930">
        <v>-204.01999999999975</v>
      </c>
    </row>
    <row r="2931" spans="1:10" x14ac:dyDescent="0.35">
      <c r="A2931">
        <v>2915</v>
      </c>
      <c r="B2931" s="75">
        <v>89.22</v>
      </c>
      <c r="C2931" s="75">
        <v>97.68</v>
      </c>
      <c r="D2931" s="75">
        <v>93.09</v>
      </c>
      <c r="E2931" s="75">
        <v>94.32</v>
      </c>
      <c r="F2931">
        <v>1098.24</v>
      </c>
      <c r="G2931">
        <v>795.6</v>
      </c>
      <c r="H2931">
        <v>-543.79999999999995</v>
      </c>
      <c r="I2931">
        <v>-943.8</v>
      </c>
      <c r="J2931">
        <v>406.24000000000024</v>
      </c>
    </row>
    <row r="2932" spans="1:10" x14ac:dyDescent="0.35">
      <c r="A2932">
        <v>2916</v>
      </c>
      <c r="B2932" s="75">
        <v>89.477699999999999</v>
      </c>
      <c r="C2932" s="75">
        <v>97.171700000000001</v>
      </c>
      <c r="D2932" s="75">
        <v>92.334000000000003</v>
      </c>
      <c r="E2932" s="75">
        <v>92.643299999999996</v>
      </c>
      <c r="F2932">
        <v>250.46999999999997</v>
      </c>
      <c r="G2932">
        <v>1557.3</v>
      </c>
      <c r="H2932">
        <v>964.19999999999993</v>
      </c>
      <c r="I2932">
        <v>737.3</v>
      </c>
      <c r="J2932">
        <v>3509.2699999999995</v>
      </c>
    </row>
    <row r="2933" spans="1:10" x14ac:dyDescent="0.35">
      <c r="A2933">
        <v>2917</v>
      </c>
      <c r="B2933" s="75">
        <v>89.91</v>
      </c>
      <c r="C2933" s="75">
        <v>99.13</v>
      </c>
      <c r="D2933" s="75">
        <v>93.75</v>
      </c>
      <c r="E2933" s="75">
        <v>94.99</v>
      </c>
      <c r="F2933">
        <v>-1187.01</v>
      </c>
      <c r="G2933">
        <v>-1373.3999999999999</v>
      </c>
      <c r="H2933">
        <v>-1868.4</v>
      </c>
      <c r="I2933">
        <v>-1613.5</v>
      </c>
      <c r="J2933">
        <v>-6042.3099999999995</v>
      </c>
    </row>
    <row r="2934" spans="1:10" x14ac:dyDescent="0.35">
      <c r="A2934">
        <v>2918</v>
      </c>
      <c r="B2934" s="75">
        <v>88.793899999999994</v>
      </c>
      <c r="C2934" s="75">
        <v>99.039199999999994</v>
      </c>
      <c r="D2934" s="75">
        <v>93.385900000000007</v>
      </c>
      <c r="E2934" s="75">
        <v>93.574200000000005</v>
      </c>
      <c r="F2934">
        <v>2507.0100000000002</v>
      </c>
      <c r="G2934">
        <v>-1243.95</v>
      </c>
      <c r="H2934">
        <v>-1139.5999999999999</v>
      </c>
      <c r="I2934">
        <v>-193.6</v>
      </c>
      <c r="J2934">
        <v>-70.139999999999731</v>
      </c>
    </row>
    <row r="2935" spans="1:10" x14ac:dyDescent="0.35">
      <c r="A2935">
        <v>2919</v>
      </c>
      <c r="B2935" s="75">
        <v>88.85</v>
      </c>
      <c r="C2935" s="75">
        <v>99.46</v>
      </c>
      <c r="D2935" s="75">
        <v>93.67</v>
      </c>
      <c r="E2935" s="75">
        <v>95.13</v>
      </c>
      <c r="F2935">
        <v>2330.79</v>
      </c>
      <c r="G2935">
        <v>-1871.85</v>
      </c>
      <c r="H2935">
        <v>-1717.6</v>
      </c>
      <c r="I2935">
        <v>-1753.6000000000001</v>
      </c>
      <c r="J2935">
        <v>-3012.26</v>
      </c>
    </row>
    <row r="2936" spans="1:10" x14ac:dyDescent="0.35">
      <c r="A2936">
        <v>2920</v>
      </c>
      <c r="B2936" s="75">
        <v>89.677400000000006</v>
      </c>
      <c r="C2936" s="75">
        <v>98.0184</v>
      </c>
      <c r="D2936" s="75">
        <v>94.810900000000004</v>
      </c>
      <c r="E2936" s="75">
        <v>91.234899999999996</v>
      </c>
      <c r="F2936">
        <v>-408.53999999999996</v>
      </c>
      <c r="G2936">
        <v>287.25</v>
      </c>
      <c r="H2936">
        <v>-3989.6</v>
      </c>
      <c r="I2936">
        <v>2145.7000000000003</v>
      </c>
      <c r="J2936">
        <v>-1965.1899999999991</v>
      </c>
    </row>
    <row r="2937" spans="1:10" x14ac:dyDescent="0.35">
      <c r="A2937">
        <v>2921</v>
      </c>
      <c r="B2937" s="75">
        <v>89.72</v>
      </c>
      <c r="C2937" s="75">
        <v>98.21</v>
      </c>
      <c r="D2937" s="75">
        <v>91.63</v>
      </c>
      <c r="E2937" s="75">
        <v>94.25</v>
      </c>
      <c r="F2937">
        <v>-560.66999999999996</v>
      </c>
      <c r="G2937">
        <v>1.7999999999999998</v>
      </c>
      <c r="H2937">
        <v>2371.1999999999998</v>
      </c>
      <c r="I2937">
        <v>-868.19999999999993</v>
      </c>
      <c r="J2937">
        <v>944.13</v>
      </c>
    </row>
    <row r="2938" spans="1:10" x14ac:dyDescent="0.35">
      <c r="A2938">
        <v>2922</v>
      </c>
      <c r="B2938" s="75">
        <v>89.052199999999999</v>
      </c>
      <c r="C2938" s="75">
        <v>97.604399999999998</v>
      </c>
      <c r="D2938" s="75">
        <v>94.998400000000004</v>
      </c>
      <c r="E2938" s="75">
        <v>93.358000000000004</v>
      </c>
      <c r="F2938">
        <v>1654.62</v>
      </c>
      <c r="G2938">
        <v>908.25000000000011</v>
      </c>
      <c r="H2938">
        <v>-4364.6000000000004</v>
      </c>
      <c r="I2938">
        <v>22.599999999999998</v>
      </c>
      <c r="J2938">
        <v>-1779.1300000000006</v>
      </c>
    </row>
    <row r="2939" spans="1:10" x14ac:dyDescent="0.35">
      <c r="A2939">
        <v>2923</v>
      </c>
      <c r="B2939" s="75">
        <v>89.44</v>
      </c>
      <c r="C2939" s="75">
        <v>98.38</v>
      </c>
      <c r="D2939" s="75">
        <v>92.97</v>
      </c>
      <c r="E2939" s="75">
        <v>93.62</v>
      </c>
      <c r="F2939">
        <v>372.24</v>
      </c>
      <c r="G2939">
        <v>-251.54999999999998</v>
      </c>
      <c r="H2939">
        <v>-303.39999999999998</v>
      </c>
      <c r="I2939">
        <v>-238.5</v>
      </c>
      <c r="J2939">
        <v>-421.20999999999992</v>
      </c>
    </row>
    <row r="2940" spans="1:10" x14ac:dyDescent="0.35">
      <c r="A2940">
        <v>2924</v>
      </c>
      <c r="B2940" s="75">
        <v>89.712400000000002</v>
      </c>
      <c r="C2940" s="75">
        <v>98.488399999999999</v>
      </c>
      <c r="D2940" s="75">
        <v>92.934200000000004</v>
      </c>
      <c r="E2940" s="75">
        <v>91.028199999999998</v>
      </c>
      <c r="F2940">
        <v>-524.04</v>
      </c>
      <c r="G2940">
        <v>-417.75000000000006</v>
      </c>
      <c r="H2940">
        <v>-236.2</v>
      </c>
      <c r="I2940">
        <v>2352.3999999999996</v>
      </c>
      <c r="J2940">
        <v>1174.4099999999996</v>
      </c>
    </row>
    <row r="2941" spans="1:10" x14ac:dyDescent="0.35">
      <c r="A2941">
        <v>2925</v>
      </c>
      <c r="B2941" s="75">
        <v>90.96</v>
      </c>
      <c r="C2941" s="75">
        <v>97.77</v>
      </c>
      <c r="D2941" s="75">
        <v>92.14</v>
      </c>
      <c r="E2941" s="75">
        <v>92.78</v>
      </c>
      <c r="F2941">
        <v>-4630.8900000000003</v>
      </c>
      <c r="G2941">
        <v>664.65</v>
      </c>
      <c r="H2941">
        <v>1352.4</v>
      </c>
      <c r="I2941">
        <v>605.40000000000009</v>
      </c>
      <c r="J2941">
        <v>-2008.44</v>
      </c>
    </row>
    <row r="2942" spans="1:10" x14ac:dyDescent="0.35">
      <c r="A2942">
        <v>2926</v>
      </c>
      <c r="B2942" s="75">
        <v>90.285700000000006</v>
      </c>
      <c r="C2942" s="75">
        <v>99.096199999999996</v>
      </c>
      <c r="D2942" s="75">
        <v>94.465199999999996</v>
      </c>
      <c r="E2942" s="75">
        <v>92.512500000000003</v>
      </c>
      <c r="F2942">
        <v>-2415.9299999999998</v>
      </c>
      <c r="G2942">
        <v>-1329.45</v>
      </c>
      <c r="H2942">
        <v>-3298.2</v>
      </c>
      <c r="I2942">
        <v>868.1</v>
      </c>
      <c r="J2942">
        <v>-6175.48</v>
      </c>
    </row>
    <row r="2943" spans="1:10" x14ac:dyDescent="0.35">
      <c r="A2943">
        <v>2927</v>
      </c>
      <c r="B2943" s="75">
        <v>89.22</v>
      </c>
      <c r="C2943" s="75">
        <v>99.33</v>
      </c>
      <c r="D2943" s="75">
        <v>92.39</v>
      </c>
      <c r="E2943" s="75">
        <v>93.56</v>
      </c>
      <c r="F2943">
        <v>1092.96</v>
      </c>
      <c r="G2943">
        <v>-1686.75</v>
      </c>
      <c r="H2943">
        <v>843.40000000000009</v>
      </c>
      <c r="I2943">
        <v>-182.4</v>
      </c>
      <c r="J2943">
        <v>67.210000000000122</v>
      </c>
    </row>
    <row r="2944" spans="1:10" x14ac:dyDescent="0.35">
      <c r="A2944">
        <v>2928</v>
      </c>
      <c r="B2944" s="75">
        <v>88.927899999999994</v>
      </c>
      <c r="C2944" s="75">
        <v>98.521799999999999</v>
      </c>
      <c r="D2944" s="75">
        <v>91.9666</v>
      </c>
      <c r="E2944" s="75">
        <v>95.444199999999995</v>
      </c>
      <c r="F2944">
        <v>2064.81</v>
      </c>
      <c r="G2944">
        <v>-467.85</v>
      </c>
      <c r="H2944">
        <v>1699</v>
      </c>
      <c r="I2944">
        <v>-2063.6</v>
      </c>
      <c r="J2944">
        <v>1232.3600000000001</v>
      </c>
    </row>
    <row r="2945" spans="1:10" x14ac:dyDescent="0.35">
      <c r="A2945">
        <v>2929</v>
      </c>
      <c r="B2945" s="75">
        <v>89.65</v>
      </c>
      <c r="C2945" s="75">
        <v>98.95</v>
      </c>
      <c r="D2945" s="75">
        <v>94.44</v>
      </c>
      <c r="E2945" s="75">
        <v>93.34</v>
      </c>
      <c r="F2945">
        <v>-308.21999999999997</v>
      </c>
      <c r="G2945">
        <v>-1113.1499999999999</v>
      </c>
      <c r="H2945">
        <v>-3251.7999999999997</v>
      </c>
      <c r="I2945">
        <v>38</v>
      </c>
      <c r="J2945">
        <v>-4635.17</v>
      </c>
    </row>
    <row r="2946" spans="1:10" x14ac:dyDescent="0.35">
      <c r="A2946">
        <v>2930</v>
      </c>
      <c r="B2946" s="75">
        <v>88.2239</v>
      </c>
      <c r="C2946" s="75">
        <v>99.822999999999993</v>
      </c>
      <c r="D2946" s="75">
        <v>93.357200000000006</v>
      </c>
      <c r="E2946" s="75">
        <v>93.599100000000007</v>
      </c>
      <c r="F2946">
        <v>4388.01</v>
      </c>
      <c r="G2946">
        <v>-2419.65</v>
      </c>
      <c r="H2946">
        <v>-1082.2</v>
      </c>
      <c r="I2946">
        <v>-218.5</v>
      </c>
      <c r="J2946">
        <v>667.66000000000008</v>
      </c>
    </row>
    <row r="2947" spans="1:10" x14ac:dyDescent="0.35">
      <c r="A2947">
        <v>2931</v>
      </c>
      <c r="B2947" s="75">
        <v>89.31</v>
      </c>
      <c r="C2947" s="75">
        <v>96.68</v>
      </c>
      <c r="D2947" s="75">
        <v>91.44</v>
      </c>
      <c r="E2947" s="75">
        <v>93.51</v>
      </c>
      <c r="F2947">
        <v>809.49</v>
      </c>
      <c r="G2947">
        <v>2302.0499999999997</v>
      </c>
      <c r="H2947">
        <v>2759</v>
      </c>
      <c r="I2947">
        <v>-130.20000000000002</v>
      </c>
      <c r="J2947">
        <v>5740.34</v>
      </c>
    </row>
    <row r="2948" spans="1:10" x14ac:dyDescent="0.35">
      <c r="A2948">
        <v>2932</v>
      </c>
      <c r="B2948" s="75">
        <v>88.905000000000001</v>
      </c>
      <c r="C2948" s="75">
        <v>97.568799999999996</v>
      </c>
      <c r="D2948" s="75">
        <v>90.970799999999997</v>
      </c>
      <c r="E2948" s="75">
        <v>92.152900000000002</v>
      </c>
      <c r="F2948">
        <v>2140.3799999999997</v>
      </c>
      <c r="G2948">
        <v>961.65</v>
      </c>
      <c r="H2948">
        <v>3690.6</v>
      </c>
      <c r="I2948">
        <v>1227.7</v>
      </c>
      <c r="J2948">
        <v>8020.329999999999</v>
      </c>
    </row>
    <row r="2949" spans="1:10" x14ac:dyDescent="0.35">
      <c r="A2949">
        <v>2933</v>
      </c>
      <c r="B2949" s="75">
        <v>90.7</v>
      </c>
      <c r="C2949" s="75">
        <v>100.1</v>
      </c>
      <c r="D2949" s="75">
        <v>91.94</v>
      </c>
      <c r="E2949" s="75">
        <v>94.61</v>
      </c>
      <c r="F2949">
        <v>-3778.5</v>
      </c>
      <c r="G2949">
        <v>-2829.9</v>
      </c>
      <c r="H2949">
        <v>1746.8</v>
      </c>
      <c r="I2949">
        <v>-1228.3999999999999</v>
      </c>
      <c r="J2949">
        <v>-6089.9999999999991</v>
      </c>
    </row>
    <row r="2950" spans="1:10" x14ac:dyDescent="0.35">
      <c r="A2950">
        <v>2934</v>
      </c>
      <c r="B2950" s="75">
        <v>88.674899999999994</v>
      </c>
      <c r="C2950" s="75">
        <v>98.849699999999999</v>
      </c>
      <c r="D2950" s="75">
        <v>92.462400000000002</v>
      </c>
      <c r="E2950" s="75">
        <v>92.563800000000001</v>
      </c>
      <c r="F2950">
        <v>2899.71</v>
      </c>
      <c r="G2950">
        <v>-959.7</v>
      </c>
      <c r="H2950">
        <v>707.4</v>
      </c>
      <c r="I2950">
        <v>816.8</v>
      </c>
      <c r="J2950">
        <v>3464.21</v>
      </c>
    </row>
    <row r="2951" spans="1:10" x14ac:dyDescent="0.35">
      <c r="A2951">
        <v>2935</v>
      </c>
      <c r="B2951" s="75">
        <v>89.37</v>
      </c>
      <c r="C2951" s="75">
        <v>97.98</v>
      </c>
      <c r="D2951" s="75">
        <v>94.49</v>
      </c>
      <c r="E2951" s="75">
        <v>94.86</v>
      </c>
      <c r="F2951">
        <v>610.5</v>
      </c>
      <c r="G2951">
        <v>342.59999999999997</v>
      </c>
      <c r="H2951">
        <v>-3346.6</v>
      </c>
      <c r="I2951">
        <v>-1476.5</v>
      </c>
      <c r="J2951">
        <v>-3870</v>
      </c>
    </row>
    <row r="2952" spans="1:10" x14ac:dyDescent="0.35">
      <c r="A2952">
        <v>2936</v>
      </c>
      <c r="B2952" s="75">
        <v>89.442899999999995</v>
      </c>
      <c r="C2952" s="75">
        <v>98.853800000000007</v>
      </c>
      <c r="D2952" s="75">
        <v>93.428899999999999</v>
      </c>
      <c r="E2952" s="75">
        <v>92.432500000000005</v>
      </c>
      <c r="F2952">
        <v>365.31</v>
      </c>
      <c r="G2952">
        <v>-965.85</v>
      </c>
      <c r="H2952">
        <v>-1225.5999999999999</v>
      </c>
      <c r="I2952">
        <v>948.1</v>
      </c>
      <c r="J2952">
        <v>-878.03999999999985</v>
      </c>
    </row>
    <row r="2953" spans="1:10" x14ac:dyDescent="0.35">
      <c r="A2953">
        <v>2937</v>
      </c>
      <c r="B2953" s="75">
        <v>88.75</v>
      </c>
      <c r="C2953" s="75">
        <v>97.06</v>
      </c>
      <c r="D2953" s="75">
        <v>93.41</v>
      </c>
      <c r="E2953" s="75">
        <v>93.87</v>
      </c>
      <c r="F2953">
        <v>2657.1600000000003</v>
      </c>
      <c r="G2953">
        <v>1731.45</v>
      </c>
      <c r="H2953">
        <v>-1184</v>
      </c>
      <c r="I2953">
        <v>-485.4</v>
      </c>
      <c r="J2953">
        <v>2719.2100000000005</v>
      </c>
    </row>
    <row r="2954" spans="1:10" x14ac:dyDescent="0.35">
      <c r="A2954">
        <v>2938</v>
      </c>
      <c r="B2954" s="75">
        <v>90.231899999999996</v>
      </c>
      <c r="C2954" s="75">
        <v>97.414000000000001</v>
      </c>
      <c r="D2954" s="75">
        <v>92.119100000000003</v>
      </c>
      <c r="E2954" s="75">
        <v>94.986199999999997</v>
      </c>
      <c r="F2954">
        <v>-2238.39</v>
      </c>
      <c r="G2954">
        <v>1193.8500000000001</v>
      </c>
      <c r="H2954">
        <v>1394</v>
      </c>
      <c r="I2954">
        <v>-1605.6</v>
      </c>
      <c r="J2954">
        <v>-1256.1399999999996</v>
      </c>
    </row>
    <row r="2955" spans="1:10" x14ac:dyDescent="0.35">
      <c r="A2955">
        <v>2939</v>
      </c>
      <c r="B2955" s="75">
        <v>89.25</v>
      </c>
      <c r="C2955" s="75">
        <v>99.36</v>
      </c>
      <c r="D2955" s="75">
        <v>92.7</v>
      </c>
      <c r="E2955" s="75">
        <v>94.77</v>
      </c>
      <c r="F2955">
        <v>997.59</v>
      </c>
      <c r="G2955">
        <v>-1732.5</v>
      </c>
      <c r="H2955">
        <v>241.2</v>
      </c>
      <c r="I2955">
        <v>-1392.3000000000002</v>
      </c>
      <c r="J2955">
        <v>-1886.0100000000002</v>
      </c>
    </row>
    <row r="2956" spans="1:10" x14ac:dyDescent="0.35">
      <c r="A2956">
        <v>2940</v>
      </c>
      <c r="B2956" s="75">
        <v>90.447900000000004</v>
      </c>
      <c r="C2956" s="75">
        <v>97.718999999999994</v>
      </c>
      <c r="D2956" s="75">
        <v>94.386499999999998</v>
      </c>
      <c r="E2956" s="75">
        <v>92.001999999999995</v>
      </c>
      <c r="F2956">
        <v>-2951.19</v>
      </c>
      <c r="G2956">
        <v>736.35</v>
      </c>
      <c r="H2956">
        <v>-3140.8</v>
      </c>
      <c r="I2956">
        <v>1378.6000000000001</v>
      </c>
      <c r="J2956">
        <v>-3977.04</v>
      </c>
    </row>
    <row r="2957" spans="1:10" x14ac:dyDescent="0.35">
      <c r="A2957">
        <v>2941</v>
      </c>
      <c r="B2957" s="75">
        <v>89.89</v>
      </c>
      <c r="C2957" s="75">
        <v>99.6</v>
      </c>
      <c r="D2957" s="75">
        <v>93.34</v>
      </c>
      <c r="E2957" s="75">
        <v>93.02</v>
      </c>
      <c r="F2957">
        <v>-1108.47</v>
      </c>
      <c r="G2957">
        <v>-2078.4</v>
      </c>
      <c r="H2957">
        <v>-1054.5999999999999</v>
      </c>
      <c r="I2957">
        <v>356.9</v>
      </c>
      <c r="J2957">
        <v>-3884.5699999999993</v>
      </c>
    </row>
    <row r="2958" spans="1:10" x14ac:dyDescent="0.35">
      <c r="A2958">
        <v>2942</v>
      </c>
      <c r="B2958" s="75">
        <v>90.613</v>
      </c>
      <c r="C2958" s="75">
        <v>98.538700000000006</v>
      </c>
      <c r="D2958" s="75">
        <v>92.662300000000002</v>
      </c>
      <c r="E2958" s="75">
        <v>92.374300000000005</v>
      </c>
      <c r="F2958">
        <v>-3496.0199999999995</v>
      </c>
      <c r="G2958">
        <v>-493.2</v>
      </c>
      <c r="H2958">
        <v>307.59999999999997</v>
      </c>
      <c r="I2958">
        <v>1006.3</v>
      </c>
      <c r="J2958">
        <v>-2675.3199999999997</v>
      </c>
    </row>
    <row r="2959" spans="1:10" x14ac:dyDescent="0.35">
      <c r="A2959">
        <v>2943</v>
      </c>
      <c r="B2959" s="75">
        <v>89.76</v>
      </c>
      <c r="C2959" s="75">
        <v>98.76</v>
      </c>
      <c r="D2959" s="75">
        <v>92.54</v>
      </c>
      <c r="E2959" s="75">
        <v>93.42</v>
      </c>
      <c r="F2959">
        <v>-687.06</v>
      </c>
      <c r="G2959">
        <v>-819.30000000000007</v>
      </c>
      <c r="H2959">
        <v>555.4</v>
      </c>
      <c r="I2959">
        <v>-34.9</v>
      </c>
      <c r="J2959">
        <v>-985.86000000000013</v>
      </c>
    </row>
    <row r="2960" spans="1:10" x14ac:dyDescent="0.35">
      <c r="A2960">
        <v>2944</v>
      </c>
      <c r="B2960" s="75">
        <v>89.115200000000002</v>
      </c>
      <c r="C2960" s="75">
        <v>97.272599999999997</v>
      </c>
      <c r="D2960" s="75">
        <v>94.5578</v>
      </c>
      <c r="E2960" s="75">
        <v>96.202600000000004</v>
      </c>
      <c r="F2960">
        <v>1446.72</v>
      </c>
      <c r="G2960">
        <v>1405.95</v>
      </c>
      <c r="H2960">
        <v>-3483.4</v>
      </c>
      <c r="I2960">
        <v>-2822</v>
      </c>
      <c r="J2960">
        <v>-3452.73</v>
      </c>
    </row>
    <row r="2961" spans="1:10" x14ac:dyDescent="0.35">
      <c r="A2961">
        <v>2945</v>
      </c>
      <c r="B2961" s="75">
        <v>89.3</v>
      </c>
      <c r="C2961" s="75">
        <v>99.28</v>
      </c>
      <c r="D2961" s="75">
        <v>92.62</v>
      </c>
      <c r="E2961" s="75">
        <v>93.37</v>
      </c>
      <c r="F2961">
        <v>843.81</v>
      </c>
      <c r="G2961">
        <v>-1605.75</v>
      </c>
      <c r="H2961">
        <v>388</v>
      </c>
      <c r="I2961">
        <v>9.1</v>
      </c>
      <c r="J2961">
        <v>-364.84000000000003</v>
      </c>
    </row>
    <row r="2962" spans="1:10" x14ac:dyDescent="0.35">
      <c r="A2962">
        <v>2946</v>
      </c>
      <c r="B2962" s="75">
        <v>89.253699999999995</v>
      </c>
      <c r="C2962" s="75">
        <v>98.147400000000005</v>
      </c>
      <c r="D2962" s="75">
        <v>93.431200000000004</v>
      </c>
      <c r="E2962" s="75">
        <v>93.717299999999994</v>
      </c>
      <c r="F2962">
        <v>989.67</v>
      </c>
      <c r="G2962">
        <v>93.75</v>
      </c>
      <c r="H2962">
        <v>-1230.2</v>
      </c>
      <c r="I2962">
        <v>-336.7</v>
      </c>
      <c r="J2962">
        <v>-483.47999999999996</v>
      </c>
    </row>
    <row r="2963" spans="1:10" x14ac:dyDescent="0.35">
      <c r="A2963">
        <v>2947</v>
      </c>
      <c r="B2963" s="75">
        <v>88.86</v>
      </c>
      <c r="C2963" s="75">
        <v>97.77</v>
      </c>
      <c r="D2963" s="75">
        <v>93.23</v>
      </c>
      <c r="E2963" s="75">
        <v>96.92</v>
      </c>
      <c r="F2963">
        <v>2290.5300000000002</v>
      </c>
      <c r="G2963">
        <v>655.35</v>
      </c>
      <c r="H2963">
        <v>-820.8</v>
      </c>
      <c r="I2963">
        <v>-3543.7</v>
      </c>
      <c r="J2963">
        <v>-1418.62</v>
      </c>
    </row>
    <row r="2964" spans="1:10" x14ac:dyDescent="0.35">
      <c r="A2964">
        <v>2948</v>
      </c>
      <c r="B2964" s="75">
        <v>89.060599999999994</v>
      </c>
      <c r="C2964" s="75">
        <v>99.885199999999998</v>
      </c>
      <c r="D2964" s="75">
        <v>93.922300000000007</v>
      </c>
      <c r="E2964" s="75">
        <v>94.291899999999998</v>
      </c>
      <c r="F2964">
        <v>1626.9</v>
      </c>
      <c r="G2964">
        <v>-2512.9499999999998</v>
      </c>
      <c r="H2964">
        <v>-2212.4</v>
      </c>
      <c r="I2964">
        <v>-911.3</v>
      </c>
      <c r="J2964">
        <v>-4009.75</v>
      </c>
    </row>
    <row r="2965" spans="1:10" x14ac:dyDescent="0.35">
      <c r="A2965">
        <v>2949</v>
      </c>
      <c r="B2965" s="75">
        <v>89.93</v>
      </c>
      <c r="C2965" s="75">
        <v>97.67</v>
      </c>
      <c r="D2965" s="75">
        <v>92.3</v>
      </c>
      <c r="E2965" s="75">
        <v>92.4</v>
      </c>
      <c r="F2965">
        <v>-1232.8799999999999</v>
      </c>
      <c r="G2965">
        <v>804</v>
      </c>
      <c r="H2965">
        <v>1028</v>
      </c>
      <c r="I2965">
        <v>981.19999999999993</v>
      </c>
      <c r="J2965">
        <v>1580.3200000000002</v>
      </c>
    </row>
    <row r="2966" spans="1:10" x14ac:dyDescent="0.35">
      <c r="A2966">
        <v>2950</v>
      </c>
      <c r="B2966" s="75">
        <v>89.698499999999996</v>
      </c>
      <c r="C2966" s="75">
        <v>97.536100000000005</v>
      </c>
      <c r="D2966" s="75">
        <v>92.453100000000006</v>
      </c>
      <c r="E2966" s="75">
        <v>93.159800000000004</v>
      </c>
      <c r="F2966">
        <v>-478.17</v>
      </c>
      <c r="G2966">
        <v>1010.6999999999999</v>
      </c>
      <c r="H2966">
        <v>726</v>
      </c>
      <c r="I2966">
        <v>220.79999999999998</v>
      </c>
      <c r="J2966">
        <v>1479.33</v>
      </c>
    </row>
    <row r="2967" spans="1:10" x14ac:dyDescent="0.35">
      <c r="A2967">
        <v>2951</v>
      </c>
      <c r="B2967" s="75">
        <v>89.48</v>
      </c>
      <c r="C2967" s="75">
        <v>98.26</v>
      </c>
      <c r="D2967" s="75">
        <v>94.01</v>
      </c>
      <c r="E2967" s="75">
        <v>95.08</v>
      </c>
      <c r="F2967">
        <v>253.43999999999997</v>
      </c>
      <c r="G2967">
        <v>-69.45</v>
      </c>
      <c r="H2967">
        <v>-2385</v>
      </c>
      <c r="I2967">
        <v>-1698.1999999999998</v>
      </c>
      <c r="J2967">
        <v>-3899.21</v>
      </c>
    </row>
    <row r="2968" spans="1:10" x14ac:dyDescent="0.35">
      <c r="A2968">
        <v>2952</v>
      </c>
      <c r="B2968" s="75">
        <v>89.555599999999998</v>
      </c>
      <c r="C2968" s="75">
        <v>98.040300000000002</v>
      </c>
      <c r="D2968" s="75">
        <v>92.986000000000004</v>
      </c>
      <c r="E2968" s="75">
        <v>92.139600000000002</v>
      </c>
      <c r="F2968">
        <v>-6.6000000000000005</v>
      </c>
      <c r="G2968">
        <v>254.4</v>
      </c>
      <c r="H2968">
        <v>-339.8</v>
      </c>
      <c r="I2968">
        <v>1241</v>
      </c>
      <c r="J2968">
        <v>1149</v>
      </c>
    </row>
    <row r="2969" spans="1:10" x14ac:dyDescent="0.35">
      <c r="A2969">
        <v>2953</v>
      </c>
      <c r="B2969" s="75">
        <v>89.51</v>
      </c>
      <c r="C2969" s="75">
        <v>98.52</v>
      </c>
      <c r="D2969" s="75">
        <v>91.79</v>
      </c>
      <c r="E2969" s="75">
        <v>94.43</v>
      </c>
      <c r="F2969">
        <v>160.05000000000001</v>
      </c>
      <c r="G2969">
        <v>-460.5</v>
      </c>
      <c r="H2969">
        <v>2051.6</v>
      </c>
      <c r="I2969">
        <v>-1053.7</v>
      </c>
      <c r="J2969">
        <v>697.44999999999982</v>
      </c>
    </row>
    <row r="2970" spans="1:10" x14ac:dyDescent="0.35">
      <c r="A2970">
        <v>2954</v>
      </c>
      <c r="B2970" s="75">
        <v>88.963700000000003</v>
      </c>
      <c r="C2970" s="75">
        <v>98.703000000000003</v>
      </c>
      <c r="D2970" s="75">
        <v>94.058700000000002</v>
      </c>
      <c r="E2970" s="75">
        <v>93.726600000000005</v>
      </c>
      <c r="F2970">
        <v>1946.6699999999998</v>
      </c>
      <c r="G2970">
        <v>-739.65</v>
      </c>
      <c r="H2970">
        <v>-2485.1999999999998</v>
      </c>
      <c r="I2970">
        <v>-346</v>
      </c>
      <c r="J2970">
        <v>-1624.1799999999998</v>
      </c>
    </row>
    <row r="2971" spans="1:10" x14ac:dyDescent="0.35">
      <c r="A2971">
        <v>2955</v>
      </c>
      <c r="B2971" s="75">
        <v>90.2</v>
      </c>
      <c r="C2971" s="75">
        <v>98.77</v>
      </c>
      <c r="D2971" s="75">
        <v>92.05</v>
      </c>
      <c r="E2971" s="75">
        <v>92.58</v>
      </c>
      <c r="F2971">
        <v>-2117.94</v>
      </c>
      <c r="G2971">
        <v>-840.6</v>
      </c>
      <c r="H2971">
        <v>1531.6000000000001</v>
      </c>
      <c r="I2971">
        <v>803.5</v>
      </c>
      <c r="J2971">
        <v>-623.43999999999983</v>
      </c>
    </row>
    <row r="2972" spans="1:10" x14ac:dyDescent="0.35">
      <c r="A2972">
        <v>2956</v>
      </c>
      <c r="B2972" s="75">
        <v>88.709500000000006</v>
      </c>
      <c r="C2972" s="75">
        <v>99.202299999999994</v>
      </c>
      <c r="D2972" s="75">
        <v>91.976299999999995</v>
      </c>
      <c r="E2972" s="75">
        <v>92.001199999999997</v>
      </c>
      <c r="F2972">
        <v>2785.5299999999997</v>
      </c>
      <c r="G2972">
        <v>-1488.6</v>
      </c>
      <c r="H2972">
        <v>1679.6</v>
      </c>
      <c r="I2972">
        <v>1379.3999999999999</v>
      </c>
      <c r="J2972">
        <v>4355.9299999999994</v>
      </c>
    </row>
    <row r="2973" spans="1:10" x14ac:dyDescent="0.35">
      <c r="A2973">
        <v>2957</v>
      </c>
      <c r="B2973" s="75">
        <v>90.04</v>
      </c>
      <c r="C2973" s="75">
        <v>98.11</v>
      </c>
      <c r="D2973" s="75">
        <v>92.01</v>
      </c>
      <c r="E2973" s="75">
        <v>97.57</v>
      </c>
      <c r="F2973">
        <v>-1601.16</v>
      </c>
      <c r="G2973">
        <v>153.30000000000001</v>
      </c>
      <c r="H2973">
        <v>1612.8</v>
      </c>
      <c r="I2973">
        <v>-4186.8</v>
      </c>
      <c r="J2973">
        <v>-4021.8600000000006</v>
      </c>
    </row>
    <row r="2974" spans="1:10" x14ac:dyDescent="0.35">
      <c r="A2974">
        <v>2958</v>
      </c>
      <c r="B2974" s="75">
        <v>89.667900000000003</v>
      </c>
      <c r="C2974" s="75">
        <v>98.661000000000001</v>
      </c>
      <c r="D2974" s="75">
        <v>94.345100000000002</v>
      </c>
      <c r="E2974" s="75">
        <v>94.437200000000004</v>
      </c>
      <c r="F2974">
        <v>-377.19</v>
      </c>
      <c r="G2974">
        <v>-676.65</v>
      </c>
      <c r="H2974">
        <v>-3058</v>
      </c>
      <c r="I2974">
        <v>-1056.5999999999999</v>
      </c>
      <c r="J2974">
        <v>-5168.4400000000005</v>
      </c>
    </row>
    <row r="2975" spans="1:10" x14ac:dyDescent="0.35">
      <c r="A2975">
        <v>2959</v>
      </c>
      <c r="B2975" s="75">
        <v>89.49</v>
      </c>
      <c r="C2975" s="75">
        <v>99.29</v>
      </c>
      <c r="D2975" s="75">
        <v>94.01</v>
      </c>
      <c r="E2975" s="75">
        <v>93.91</v>
      </c>
      <c r="F2975">
        <v>219.45000000000002</v>
      </c>
      <c r="G2975">
        <v>-1622.5500000000002</v>
      </c>
      <c r="H2975">
        <v>-2388.1999999999998</v>
      </c>
      <c r="I2975">
        <v>-527.29999999999995</v>
      </c>
      <c r="J2975">
        <v>-4318.6000000000004</v>
      </c>
    </row>
    <row r="2976" spans="1:10" x14ac:dyDescent="0.35">
      <c r="A2976">
        <v>2960</v>
      </c>
      <c r="B2976" s="75">
        <v>90.070700000000002</v>
      </c>
      <c r="C2976" s="75">
        <v>98.185400000000001</v>
      </c>
      <c r="D2976" s="75">
        <v>93.876999999999995</v>
      </c>
      <c r="E2976" s="75">
        <v>94.048400000000001</v>
      </c>
      <c r="F2976">
        <v>-1706.43</v>
      </c>
      <c r="G2976">
        <v>36.75</v>
      </c>
      <c r="H2976">
        <v>-2121.7999999999997</v>
      </c>
      <c r="I2976">
        <v>-667.8</v>
      </c>
      <c r="J2976">
        <v>-4459.28</v>
      </c>
    </row>
    <row r="2977" spans="1:10" x14ac:dyDescent="0.35">
      <c r="A2977">
        <v>2961</v>
      </c>
      <c r="B2977" s="75">
        <v>89.61</v>
      </c>
      <c r="C2977" s="75">
        <v>97.37</v>
      </c>
      <c r="D2977" s="75">
        <v>92.65</v>
      </c>
      <c r="E2977" s="75">
        <v>92.86</v>
      </c>
      <c r="F2977">
        <v>-183.15</v>
      </c>
      <c r="G2977">
        <v>1265.8499999999999</v>
      </c>
      <c r="H2977">
        <v>338.6</v>
      </c>
      <c r="I2977">
        <v>520</v>
      </c>
      <c r="J2977">
        <v>1941.2999999999997</v>
      </c>
    </row>
    <row r="2978" spans="1:10" x14ac:dyDescent="0.35">
      <c r="A2978">
        <v>2962</v>
      </c>
      <c r="B2978" s="75">
        <v>89.080399999999997</v>
      </c>
      <c r="C2978" s="75">
        <v>100.30459999999999</v>
      </c>
      <c r="D2978" s="75">
        <v>90.033500000000004</v>
      </c>
      <c r="E2978" s="75">
        <v>94.841300000000004</v>
      </c>
      <c r="F2978">
        <v>1561.56</v>
      </c>
      <c r="G2978">
        <v>-3142.05</v>
      </c>
      <c r="H2978">
        <v>5565.2</v>
      </c>
      <c r="I2978">
        <v>-1460.7</v>
      </c>
      <c r="J2978">
        <v>2524.0099999999993</v>
      </c>
    </row>
    <row r="2979" spans="1:10" x14ac:dyDescent="0.35">
      <c r="A2979">
        <v>2963</v>
      </c>
      <c r="B2979" s="75">
        <v>89.83</v>
      </c>
      <c r="C2979" s="75">
        <v>99.5</v>
      </c>
      <c r="D2979" s="75">
        <v>93.14</v>
      </c>
      <c r="E2979" s="75">
        <v>96.91</v>
      </c>
      <c r="F2979">
        <v>-909.15000000000009</v>
      </c>
      <c r="G2979">
        <v>-1940.8500000000001</v>
      </c>
      <c r="H2979">
        <v>-655.59999999999991</v>
      </c>
      <c r="I2979">
        <v>-3527.5</v>
      </c>
      <c r="J2979">
        <v>-7033.1</v>
      </c>
    </row>
    <row r="2980" spans="1:10" x14ac:dyDescent="0.35">
      <c r="A2980">
        <v>2964</v>
      </c>
      <c r="B2980" s="75">
        <v>88.650700000000001</v>
      </c>
      <c r="C2980" s="75">
        <v>98.226699999999994</v>
      </c>
      <c r="D2980" s="75">
        <v>94.191400000000002</v>
      </c>
      <c r="E2980" s="75">
        <v>95.942700000000002</v>
      </c>
      <c r="F2980">
        <v>2979.57</v>
      </c>
      <c r="G2980">
        <v>-25.2</v>
      </c>
      <c r="H2980">
        <v>-2750.6</v>
      </c>
      <c r="I2980">
        <v>-2562.1</v>
      </c>
      <c r="J2980">
        <v>-2358.3299999999995</v>
      </c>
    </row>
    <row r="2981" spans="1:10" x14ac:dyDescent="0.35">
      <c r="A2981">
        <v>2965</v>
      </c>
      <c r="B2981" s="75">
        <v>90.15</v>
      </c>
      <c r="C2981" s="75">
        <v>99.32</v>
      </c>
      <c r="D2981" s="75">
        <v>93.42</v>
      </c>
      <c r="E2981" s="75">
        <v>93.01</v>
      </c>
      <c r="F2981">
        <v>-1981.98</v>
      </c>
      <c r="G2981">
        <v>-1661.55</v>
      </c>
      <c r="H2981">
        <v>-1198.3999999999999</v>
      </c>
      <c r="I2981">
        <v>366.59999999999997</v>
      </c>
      <c r="J2981">
        <v>-4475.329999999999</v>
      </c>
    </row>
    <row r="2982" spans="1:10" x14ac:dyDescent="0.35">
      <c r="A2982">
        <v>2966</v>
      </c>
      <c r="B2982" s="75">
        <v>88.4499</v>
      </c>
      <c r="C2982" s="75">
        <v>98.638499999999993</v>
      </c>
      <c r="D2982" s="75">
        <v>92.783600000000007</v>
      </c>
      <c r="E2982" s="75">
        <v>94.000100000000003</v>
      </c>
      <c r="F2982">
        <v>3642.2099999999996</v>
      </c>
      <c r="G2982">
        <v>-642.9</v>
      </c>
      <c r="H2982">
        <v>65</v>
      </c>
      <c r="I2982">
        <v>-619.5</v>
      </c>
      <c r="J2982">
        <v>2444.8099999999995</v>
      </c>
    </row>
    <row r="2983" spans="1:10" x14ac:dyDescent="0.35">
      <c r="A2983">
        <v>2967</v>
      </c>
      <c r="B2983" s="75">
        <v>90.24</v>
      </c>
      <c r="C2983" s="75">
        <v>97.78</v>
      </c>
      <c r="D2983" s="75">
        <v>93.49</v>
      </c>
      <c r="E2983" s="75">
        <v>91.84</v>
      </c>
      <c r="F2983">
        <v>-2274.69</v>
      </c>
      <c r="G2983">
        <v>647.54999999999995</v>
      </c>
      <c r="H2983">
        <v>-1346.6</v>
      </c>
      <c r="I2983">
        <v>1537.4</v>
      </c>
      <c r="J2983">
        <v>-1436.3399999999997</v>
      </c>
    </row>
    <row r="2984" spans="1:10" x14ac:dyDescent="0.35">
      <c r="A2984">
        <v>2968</v>
      </c>
      <c r="B2984" s="75">
        <v>90.707400000000007</v>
      </c>
      <c r="C2984" s="75">
        <v>97.402299999999997</v>
      </c>
      <c r="D2984" s="75">
        <v>93.646100000000004</v>
      </c>
      <c r="E2984" s="75">
        <v>93.224400000000003</v>
      </c>
      <c r="F2984">
        <v>-3807.54</v>
      </c>
      <c r="G2984">
        <v>1211.3999999999999</v>
      </c>
      <c r="H2984">
        <v>-1660</v>
      </c>
      <c r="I2984">
        <v>156.20000000000002</v>
      </c>
      <c r="J2984">
        <v>-4099.9400000000005</v>
      </c>
    </row>
    <row r="2985" spans="1:10" x14ac:dyDescent="0.35">
      <c r="A2985">
        <v>2969</v>
      </c>
      <c r="B2985" s="75">
        <v>90.3</v>
      </c>
      <c r="C2985" s="75">
        <v>97</v>
      </c>
      <c r="D2985" s="75">
        <v>92.12</v>
      </c>
      <c r="E2985" s="75">
        <v>93.1</v>
      </c>
      <c r="F2985">
        <v>-2465.4299999999998</v>
      </c>
      <c r="G2985">
        <v>1812</v>
      </c>
      <c r="H2985">
        <v>1396</v>
      </c>
      <c r="I2985">
        <v>276.89999999999998</v>
      </c>
      <c r="J2985">
        <v>1019.4700000000001</v>
      </c>
    </row>
    <row r="2986" spans="1:10" x14ac:dyDescent="0.35">
      <c r="A2986">
        <v>2970</v>
      </c>
      <c r="B2986" s="75">
        <v>90.326999999999998</v>
      </c>
      <c r="C2986" s="75">
        <v>98.991900000000001</v>
      </c>
      <c r="D2986" s="75">
        <v>92.910399999999996</v>
      </c>
      <c r="E2986" s="75">
        <v>91.352800000000002</v>
      </c>
      <c r="F2986">
        <v>-2552.2199999999998</v>
      </c>
      <c r="G2986">
        <v>-1173</v>
      </c>
      <c r="H2986">
        <v>-188.6</v>
      </c>
      <c r="I2986">
        <v>2027.8</v>
      </c>
      <c r="J2986">
        <v>-1886.0199999999998</v>
      </c>
    </row>
    <row r="2987" spans="1:10" x14ac:dyDescent="0.35">
      <c r="A2987">
        <v>2971</v>
      </c>
      <c r="B2987" s="75">
        <v>89.93</v>
      </c>
      <c r="C2987" s="75">
        <v>97.63</v>
      </c>
      <c r="D2987" s="75">
        <v>92</v>
      </c>
      <c r="E2987" s="75">
        <v>93.61</v>
      </c>
      <c r="F2987">
        <v>-1257.96</v>
      </c>
      <c r="G2987">
        <v>864.9</v>
      </c>
      <c r="H2987">
        <v>1633.2</v>
      </c>
      <c r="I2987">
        <v>-231.2</v>
      </c>
      <c r="J2987">
        <v>1008.9399999999998</v>
      </c>
    </row>
    <row r="2988" spans="1:10" x14ac:dyDescent="0.35">
      <c r="A2988">
        <v>2972</v>
      </c>
      <c r="B2988" s="75">
        <v>89.944400000000002</v>
      </c>
      <c r="C2988" s="75">
        <v>97.179299999999998</v>
      </c>
      <c r="D2988" s="75">
        <v>92.536600000000007</v>
      </c>
      <c r="E2988" s="75">
        <v>93.677700000000002</v>
      </c>
      <c r="F2988">
        <v>-1289.6399999999999</v>
      </c>
      <c r="G2988">
        <v>1545.8999999999999</v>
      </c>
      <c r="H2988">
        <v>559</v>
      </c>
      <c r="I2988">
        <v>-297.09999999999997</v>
      </c>
      <c r="J2988">
        <v>518.16000000000008</v>
      </c>
    </row>
    <row r="2989" spans="1:10" x14ac:dyDescent="0.35">
      <c r="A2989">
        <v>2973</v>
      </c>
      <c r="B2989" s="75">
        <v>89.35</v>
      </c>
      <c r="C2989" s="75">
        <v>100.43</v>
      </c>
      <c r="D2989" s="75">
        <v>94.42</v>
      </c>
      <c r="E2989" s="75">
        <v>93.16</v>
      </c>
      <c r="F2989">
        <v>680.13</v>
      </c>
      <c r="G2989">
        <v>-3325.95</v>
      </c>
      <c r="H2989">
        <v>-3215.2</v>
      </c>
      <c r="I2989">
        <v>222.6</v>
      </c>
      <c r="J2989">
        <v>-5638.4199999999992</v>
      </c>
    </row>
    <row r="2990" spans="1:10" x14ac:dyDescent="0.35">
      <c r="A2990">
        <v>2974</v>
      </c>
      <c r="B2990" s="75">
        <v>88.848600000000005</v>
      </c>
      <c r="C2990" s="75">
        <v>97.709100000000007</v>
      </c>
      <c r="D2990" s="75">
        <v>92.215500000000006</v>
      </c>
      <c r="E2990" s="75">
        <v>91.620900000000006</v>
      </c>
      <c r="F2990">
        <v>2326.5</v>
      </c>
      <c r="G2990">
        <v>751.2</v>
      </c>
      <c r="H2990">
        <v>1201.2</v>
      </c>
      <c r="I2990">
        <v>1759.7</v>
      </c>
      <c r="J2990">
        <v>6038.5999999999995</v>
      </c>
    </row>
    <row r="2991" spans="1:10" x14ac:dyDescent="0.35">
      <c r="A2991">
        <v>2975</v>
      </c>
      <c r="B2991" s="75">
        <v>89.39</v>
      </c>
      <c r="C2991" s="75">
        <v>97.09</v>
      </c>
      <c r="D2991" s="75">
        <v>93.51</v>
      </c>
      <c r="E2991" s="75">
        <v>93.59</v>
      </c>
      <c r="F2991">
        <v>553.74</v>
      </c>
      <c r="G2991">
        <v>1673.55</v>
      </c>
      <c r="H2991">
        <v>-1378</v>
      </c>
      <c r="I2991">
        <v>-209.2</v>
      </c>
      <c r="J2991">
        <v>640.08999999999992</v>
      </c>
    </row>
    <row r="2992" spans="1:10" x14ac:dyDescent="0.35">
      <c r="A2992">
        <v>2976</v>
      </c>
      <c r="B2992" s="75">
        <v>89.521299999999997</v>
      </c>
      <c r="C2992" s="75">
        <v>97.442800000000005</v>
      </c>
      <c r="D2992" s="75">
        <v>92.160700000000006</v>
      </c>
      <c r="E2992" s="75">
        <v>95.777699999999996</v>
      </c>
      <c r="F2992">
        <v>106.59</v>
      </c>
      <c r="G2992">
        <v>1150.6500000000001</v>
      </c>
      <c r="H2992">
        <v>1310.8</v>
      </c>
      <c r="I2992">
        <v>-2397.1</v>
      </c>
      <c r="J2992">
        <v>170.94000000000005</v>
      </c>
    </row>
    <row r="2993" spans="1:10" x14ac:dyDescent="0.35">
      <c r="A2993">
        <v>2977</v>
      </c>
      <c r="B2993" s="75">
        <v>90.13</v>
      </c>
      <c r="C2993" s="75">
        <v>98.49</v>
      </c>
      <c r="D2993" s="75">
        <v>92.12</v>
      </c>
      <c r="E2993" s="75">
        <v>93.09</v>
      </c>
      <c r="F2993">
        <v>-1886.28</v>
      </c>
      <c r="G2993">
        <v>-420.00000000000006</v>
      </c>
      <c r="H2993">
        <v>1396.2</v>
      </c>
      <c r="I2993">
        <v>285.7</v>
      </c>
      <c r="J2993">
        <v>-624.38000000000011</v>
      </c>
    </row>
    <row r="2994" spans="1:10" x14ac:dyDescent="0.35">
      <c r="A2994">
        <v>2978</v>
      </c>
      <c r="B2994" s="75">
        <v>89.910300000000007</v>
      </c>
      <c r="C2994" s="75">
        <v>97.327600000000004</v>
      </c>
      <c r="D2994" s="75">
        <v>92.736999999999995</v>
      </c>
      <c r="E2994" s="75">
        <v>98.657600000000002</v>
      </c>
      <c r="F2994">
        <v>-1177.1100000000001</v>
      </c>
      <c r="G2994">
        <v>1323.45</v>
      </c>
      <c r="H2994">
        <v>158.20000000000002</v>
      </c>
      <c r="I2994">
        <v>-5277</v>
      </c>
      <c r="J2994">
        <v>-4972.46</v>
      </c>
    </row>
    <row r="2995" spans="1:10" x14ac:dyDescent="0.35">
      <c r="A2995">
        <v>2979</v>
      </c>
      <c r="B2995" s="75">
        <v>90.39</v>
      </c>
      <c r="C2995" s="75">
        <v>98.38</v>
      </c>
      <c r="D2995" s="75">
        <v>92.1</v>
      </c>
      <c r="E2995" s="75">
        <v>89.53</v>
      </c>
      <c r="F2995">
        <v>-2750.2200000000003</v>
      </c>
      <c r="G2995">
        <v>-256.5</v>
      </c>
      <c r="H2995">
        <v>1425.4</v>
      </c>
      <c r="I2995">
        <v>3849.9</v>
      </c>
      <c r="J2995">
        <v>2268.58</v>
      </c>
    </row>
    <row r="2996" spans="1:10" x14ac:dyDescent="0.35">
      <c r="A2996">
        <v>2980</v>
      </c>
      <c r="B2996" s="75">
        <v>89.636600000000001</v>
      </c>
      <c r="C2996" s="75">
        <v>98.294600000000003</v>
      </c>
      <c r="D2996" s="75">
        <v>89.921899999999994</v>
      </c>
      <c r="E2996" s="75">
        <v>91.532300000000006</v>
      </c>
      <c r="F2996">
        <v>-273.90000000000003</v>
      </c>
      <c r="G2996">
        <v>-127.05</v>
      </c>
      <c r="H2996">
        <v>5788.4000000000005</v>
      </c>
      <c r="I2996">
        <v>1848.3</v>
      </c>
      <c r="J2996">
        <v>7235.7500000000009</v>
      </c>
    </row>
    <row r="2997" spans="1:10" x14ac:dyDescent="0.35">
      <c r="A2997">
        <v>2981</v>
      </c>
      <c r="B2997" s="75">
        <v>90.18</v>
      </c>
      <c r="C2997" s="75">
        <v>97.98</v>
      </c>
      <c r="D2997" s="75">
        <v>92.76</v>
      </c>
      <c r="E2997" s="75">
        <v>96.92</v>
      </c>
      <c r="F2997">
        <v>-2059.86</v>
      </c>
      <c r="G2997">
        <v>342.59999999999997</v>
      </c>
      <c r="H2997">
        <v>121.80000000000001</v>
      </c>
      <c r="I2997">
        <v>-3537.7000000000003</v>
      </c>
      <c r="J2997">
        <v>-5133.1600000000008</v>
      </c>
    </row>
    <row r="2998" spans="1:10" x14ac:dyDescent="0.35">
      <c r="A2998">
        <v>2982</v>
      </c>
      <c r="B2998" s="75">
        <v>89.581400000000002</v>
      </c>
      <c r="C2998" s="75">
        <v>97.442300000000003</v>
      </c>
      <c r="D2998" s="75">
        <v>92.274299999999997</v>
      </c>
      <c r="E2998" s="75">
        <v>93.181600000000003</v>
      </c>
      <c r="F2998">
        <v>-91.74</v>
      </c>
      <c r="G2998">
        <v>1151.3999999999999</v>
      </c>
      <c r="H2998">
        <v>1083.5999999999999</v>
      </c>
      <c r="I2998">
        <v>199</v>
      </c>
      <c r="J2998">
        <v>2342.2599999999998</v>
      </c>
    </row>
    <row r="2999" spans="1:10" x14ac:dyDescent="0.35">
      <c r="A2999">
        <v>2983</v>
      </c>
      <c r="B2999" s="75">
        <v>89.18</v>
      </c>
      <c r="C2999" s="75">
        <v>98.67</v>
      </c>
      <c r="D2999" s="75">
        <v>92.88</v>
      </c>
      <c r="E2999" s="75">
        <v>92.88</v>
      </c>
      <c r="F2999">
        <v>1225.29</v>
      </c>
      <c r="G2999">
        <v>-689.69999999999993</v>
      </c>
      <c r="H2999">
        <v>-134.6</v>
      </c>
      <c r="I2999">
        <v>497.40000000000003</v>
      </c>
      <c r="J2999">
        <v>898.3900000000001</v>
      </c>
    </row>
    <row r="3000" spans="1:10" x14ac:dyDescent="0.35">
      <c r="A3000">
        <v>2984</v>
      </c>
      <c r="B3000" s="75">
        <v>89.569599999999994</v>
      </c>
      <c r="C3000" s="75">
        <v>96.766099999999994</v>
      </c>
      <c r="D3000" s="75">
        <v>91.494</v>
      </c>
      <c r="E3000" s="75">
        <v>90.152500000000003</v>
      </c>
      <c r="F3000">
        <v>-52.800000000000004</v>
      </c>
      <c r="G3000">
        <v>2165.6999999999998</v>
      </c>
      <c r="H3000">
        <v>2644.2000000000003</v>
      </c>
      <c r="I3000">
        <v>3228.1</v>
      </c>
      <c r="J3000">
        <v>7985.2000000000007</v>
      </c>
    </row>
    <row r="3001" spans="1:10" x14ac:dyDescent="0.35">
      <c r="A3001">
        <v>2985</v>
      </c>
      <c r="B3001" s="75">
        <v>89.65</v>
      </c>
      <c r="C3001" s="75">
        <v>97.16</v>
      </c>
      <c r="D3001" s="75">
        <v>94.94</v>
      </c>
      <c r="E3001" s="75">
        <v>93.12</v>
      </c>
      <c r="F3001">
        <v>-325.05</v>
      </c>
      <c r="G3001">
        <v>1582.2</v>
      </c>
      <c r="H3001">
        <v>-4252.6000000000004</v>
      </c>
      <c r="I3001">
        <v>263.10000000000002</v>
      </c>
      <c r="J3001">
        <v>-2732.3500000000004</v>
      </c>
    </row>
    <row r="3002" spans="1:10" x14ac:dyDescent="0.35">
      <c r="A3002">
        <v>2986</v>
      </c>
      <c r="B3002" s="75">
        <v>89.756</v>
      </c>
      <c r="C3002" s="75">
        <v>97.740200000000002</v>
      </c>
      <c r="D3002" s="75">
        <v>93.830299999999994</v>
      </c>
      <c r="E3002" s="75">
        <v>91.8934</v>
      </c>
      <c r="F3002">
        <v>-667.92</v>
      </c>
      <c r="G3002">
        <v>704.55</v>
      </c>
      <c r="H3002">
        <v>-2028.4</v>
      </c>
      <c r="I3002">
        <v>1487.2</v>
      </c>
      <c r="J3002">
        <v>-504.56999999999994</v>
      </c>
    </row>
    <row r="3003" spans="1:10" x14ac:dyDescent="0.35">
      <c r="A3003">
        <v>2987</v>
      </c>
      <c r="B3003" s="75">
        <v>89.46</v>
      </c>
      <c r="C3003" s="75">
        <v>97.16</v>
      </c>
      <c r="D3003" s="75">
        <v>92.15</v>
      </c>
      <c r="E3003" s="75">
        <v>91.1</v>
      </c>
      <c r="F3003">
        <v>319.44</v>
      </c>
      <c r="G3003">
        <v>1579.8</v>
      </c>
      <c r="H3003">
        <v>1337</v>
      </c>
      <c r="I3003">
        <v>2278.4</v>
      </c>
      <c r="J3003">
        <v>5514.6399999999994</v>
      </c>
    </row>
    <row r="3004" spans="1:10" x14ac:dyDescent="0.35">
      <c r="A3004">
        <v>2988</v>
      </c>
      <c r="B3004" s="75">
        <v>89.562299999999993</v>
      </c>
      <c r="C3004" s="75">
        <v>98.935599999999994</v>
      </c>
      <c r="D3004" s="75">
        <v>91.373800000000003</v>
      </c>
      <c r="E3004" s="75">
        <v>92.167400000000001</v>
      </c>
      <c r="F3004">
        <v>-28.709999999999997</v>
      </c>
      <c r="G3004">
        <v>-1088.55</v>
      </c>
      <c r="H3004">
        <v>2884.6</v>
      </c>
      <c r="I3004">
        <v>1213.2</v>
      </c>
      <c r="J3004">
        <v>2980.54</v>
      </c>
    </row>
    <row r="3005" spans="1:10" x14ac:dyDescent="0.35">
      <c r="A3005">
        <v>2989</v>
      </c>
      <c r="B3005" s="75">
        <v>89.42</v>
      </c>
      <c r="C3005" s="75">
        <v>98.94</v>
      </c>
      <c r="D3005" s="75">
        <v>90.65</v>
      </c>
      <c r="E3005" s="75">
        <v>95.28</v>
      </c>
      <c r="F3005">
        <v>455.40000000000003</v>
      </c>
      <c r="G3005">
        <v>-1099.8</v>
      </c>
      <c r="H3005">
        <v>4339.2</v>
      </c>
      <c r="I3005">
        <v>-1901.4</v>
      </c>
      <c r="J3005">
        <v>1793.4</v>
      </c>
    </row>
    <row r="3006" spans="1:10" x14ac:dyDescent="0.35">
      <c r="A3006">
        <v>2990</v>
      </c>
      <c r="B3006" s="75">
        <v>89.395200000000003</v>
      </c>
      <c r="C3006" s="75">
        <v>98.319199999999995</v>
      </c>
      <c r="D3006" s="75">
        <v>94.569199999999995</v>
      </c>
      <c r="E3006" s="75">
        <v>93.920100000000005</v>
      </c>
      <c r="F3006">
        <v>522.72</v>
      </c>
      <c r="G3006">
        <v>-163.95</v>
      </c>
      <c r="H3006">
        <v>-3506.2000000000003</v>
      </c>
      <c r="I3006">
        <v>-539.5</v>
      </c>
      <c r="J3006">
        <v>-3686.9300000000003</v>
      </c>
    </row>
    <row r="3007" spans="1:10" x14ac:dyDescent="0.35">
      <c r="A3007">
        <v>2991</v>
      </c>
      <c r="B3007" s="75">
        <v>89.32</v>
      </c>
      <c r="C3007" s="75">
        <v>99.11</v>
      </c>
      <c r="D3007" s="75">
        <v>91.02</v>
      </c>
      <c r="E3007" s="75">
        <v>94.48</v>
      </c>
      <c r="F3007">
        <v>780.78</v>
      </c>
      <c r="G3007">
        <v>-1345.0500000000002</v>
      </c>
      <c r="H3007">
        <v>3583.8</v>
      </c>
      <c r="I3007">
        <v>-1094.8</v>
      </c>
      <c r="J3007">
        <v>1924.7299999999998</v>
      </c>
    </row>
    <row r="3008" spans="1:10" x14ac:dyDescent="0.35">
      <c r="A3008">
        <v>2992</v>
      </c>
      <c r="B3008" s="75">
        <v>90.439700000000002</v>
      </c>
      <c r="C3008" s="75">
        <v>98.106200000000001</v>
      </c>
      <c r="D3008" s="75">
        <v>93.192800000000005</v>
      </c>
      <c r="E3008" s="75">
        <v>94.181600000000003</v>
      </c>
      <c r="F3008">
        <v>-2924.13</v>
      </c>
      <c r="G3008">
        <v>155.55000000000001</v>
      </c>
      <c r="H3008">
        <v>-753.4</v>
      </c>
      <c r="I3008">
        <v>-801</v>
      </c>
      <c r="J3008">
        <v>-4322.9799999999996</v>
      </c>
    </row>
    <row r="3009" spans="1:10" x14ac:dyDescent="0.35">
      <c r="A3009">
        <v>2993</v>
      </c>
      <c r="B3009" s="75">
        <v>90.11</v>
      </c>
      <c r="C3009" s="75">
        <v>98.38</v>
      </c>
      <c r="D3009" s="75">
        <v>93.78</v>
      </c>
      <c r="E3009" s="75">
        <v>93.74</v>
      </c>
      <c r="F3009">
        <v>-1833.81</v>
      </c>
      <c r="G3009">
        <v>-257.10000000000002</v>
      </c>
      <c r="H3009">
        <v>-1925.2</v>
      </c>
      <c r="I3009">
        <v>-360.59999999999997</v>
      </c>
      <c r="J3009">
        <v>-4376.71</v>
      </c>
    </row>
    <row r="3010" spans="1:10" x14ac:dyDescent="0.35">
      <c r="A3010">
        <v>2994</v>
      </c>
      <c r="B3010" s="75">
        <v>88.888000000000005</v>
      </c>
      <c r="C3010" s="75">
        <v>100.2436</v>
      </c>
      <c r="D3010" s="75">
        <v>94.3934</v>
      </c>
      <c r="E3010" s="75">
        <v>95.616900000000001</v>
      </c>
      <c r="F3010">
        <v>2196.48</v>
      </c>
      <c r="G3010">
        <v>-3050.55</v>
      </c>
      <c r="H3010">
        <v>-3154.6</v>
      </c>
      <c r="I3010">
        <v>-2236.3000000000002</v>
      </c>
      <c r="J3010">
        <v>-6244.97</v>
      </c>
    </row>
    <row r="3011" spans="1:10" x14ac:dyDescent="0.35">
      <c r="A3011">
        <v>2995</v>
      </c>
      <c r="B3011" s="75">
        <v>89.58</v>
      </c>
      <c r="C3011" s="75">
        <v>99.28</v>
      </c>
      <c r="D3011" s="75">
        <v>93.4</v>
      </c>
      <c r="E3011" s="75">
        <v>92.86</v>
      </c>
      <c r="F3011">
        <v>-83.82</v>
      </c>
      <c r="G3011">
        <v>-1604.5500000000002</v>
      </c>
      <c r="H3011">
        <v>-1167</v>
      </c>
      <c r="I3011">
        <v>523</v>
      </c>
      <c r="J3011">
        <v>-2332.37</v>
      </c>
    </row>
    <row r="3012" spans="1:10" x14ac:dyDescent="0.35">
      <c r="A3012">
        <v>2996</v>
      </c>
      <c r="B3012" s="75">
        <v>89.769900000000007</v>
      </c>
      <c r="C3012" s="75">
        <v>98.623400000000004</v>
      </c>
      <c r="D3012" s="75">
        <v>92.614099999999993</v>
      </c>
      <c r="E3012" s="75">
        <v>94.401799999999994</v>
      </c>
      <c r="F3012">
        <v>-713.79</v>
      </c>
      <c r="G3012">
        <v>-620.25</v>
      </c>
      <c r="H3012">
        <v>404</v>
      </c>
      <c r="I3012">
        <v>-1021.2000000000002</v>
      </c>
      <c r="J3012">
        <v>-1951.2400000000002</v>
      </c>
    </row>
    <row r="3013" spans="1:10" x14ac:dyDescent="0.35">
      <c r="A3013">
        <v>2997</v>
      </c>
      <c r="B3013" s="75">
        <v>88.88</v>
      </c>
      <c r="C3013" s="75">
        <v>98.48</v>
      </c>
      <c r="D3013" s="75">
        <v>93.11</v>
      </c>
      <c r="E3013" s="75">
        <v>92.57</v>
      </c>
      <c r="F3013">
        <v>2231.13</v>
      </c>
      <c r="G3013">
        <v>-397.8</v>
      </c>
      <c r="H3013">
        <v>-583</v>
      </c>
      <c r="I3013">
        <v>806.8</v>
      </c>
      <c r="J3013">
        <v>2057.13</v>
      </c>
    </row>
    <row r="3014" spans="1:10" x14ac:dyDescent="0.35">
      <c r="A3014">
        <v>2998</v>
      </c>
      <c r="B3014" s="75">
        <v>89.028300000000002</v>
      </c>
      <c r="C3014" s="75">
        <v>99.927700000000002</v>
      </c>
      <c r="D3014" s="75">
        <v>93.099199999999996</v>
      </c>
      <c r="E3014" s="75">
        <v>94.410799999999995</v>
      </c>
      <c r="F3014">
        <v>1733.49</v>
      </c>
      <c r="G3014">
        <v>-2576.6999999999998</v>
      </c>
      <c r="H3014">
        <v>-566.20000000000005</v>
      </c>
      <c r="I3014">
        <v>-1030.2</v>
      </c>
      <c r="J3014">
        <v>-2439.6099999999997</v>
      </c>
    </row>
    <row r="3015" spans="1:10" x14ac:dyDescent="0.35">
      <c r="A3015">
        <v>2999</v>
      </c>
      <c r="B3015" s="75">
        <v>89.77</v>
      </c>
      <c r="C3015" s="75">
        <v>100.44</v>
      </c>
      <c r="D3015" s="75">
        <v>90.72</v>
      </c>
      <c r="E3015" s="75">
        <v>92.48</v>
      </c>
      <c r="F3015">
        <v>-708.18000000000006</v>
      </c>
      <c r="G3015">
        <v>-3346.05</v>
      </c>
      <c r="H3015">
        <v>4197.3999999999996</v>
      </c>
      <c r="I3015">
        <v>896.3</v>
      </c>
      <c r="J3015">
        <v>1039.4699999999991</v>
      </c>
    </row>
    <row r="3016" spans="1:10" x14ac:dyDescent="0.35">
      <c r="A3016">
        <v>3000</v>
      </c>
      <c r="B3016" s="75">
        <v>89.458500000000001</v>
      </c>
      <c r="C3016" s="75">
        <v>99.037700000000001</v>
      </c>
      <c r="D3016" s="75">
        <v>94.315200000000004</v>
      </c>
      <c r="E3016" s="75">
        <v>90.826400000000007</v>
      </c>
      <c r="F3016">
        <v>313.83000000000004</v>
      </c>
      <c r="G3016">
        <v>-1241.7</v>
      </c>
      <c r="H3016">
        <v>-2998.2000000000003</v>
      </c>
      <c r="I3016">
        <v>2554.1999999999998</v>
      </c>
      <c r="J3016">
        <v>-1371.8700000000003</v>
      </c>
    </row>
    <row r="3017" spans="1:10" x14ac:dyDescent="0.35">
      <c r="A3017">
        <v>3001</v>
      </c>
      <c r="B3017" s="75">
        <v>89.62</v>
      </c>
      <c r="C3017" s="75">
        <v>99.24</v>
      </c>
      <c r="D3017" s="75">
        <v>93.24</v>
      </c>
      <c r="E3017" s="75">
        <v>93.41</v>
      </c>
      <c r="F3017">
        <v>-231.99</v>
      </c>
      <c r="G3017">
        <v>-1548</v>
      </c>
      <c r="H3017">
        <v>-850.19999999999993</v>
      </c>
      <c r="I3017">
        <v>-30.599999999999998</v>
      </c>
      <c r="J3017">
        <v>-2660.79</v>
      </c>
    </row>
    <row r="3018" spans="1:10" x14ac:dyDescent="0.35">
      <c r="A3018">
        <v>3002</v>
      </c>
      <c r="B3018" s="75">
        <v>89.407499999999999</v>
      </c>
      <c r="C3018" s="75">
        <v>98.970100000000002</v>
      </c>
      <c r="D3018" s="75">
        <v>93.891800000000003</v>
      </c>
      <c r="E3018" s="75">
        <v>92.435699999999997</v>
      </c>
      <c r="F3018">
        <v>482.13000000000005</v>
      </c>
      <c r="G3018">
        <v>-1140.3</v>
      </c>
      <c r="H3018">
        <v>-2151.4</v>
      </c>
      <c r="I3018">
        <v>944.9</v>
      </c>
      <c r="J3018">
        <v>-1864.6699999999996</v>
      </c>
    </row>
    <row r="3019" spans="1:10" x14ac:dyDescent="0.35">
      <c r="A3019">
        <v>3003</v>
      </c>
      <c r="B3019" s="75">
        <v>89.42</v>
      </c>
      <c r="C3019" s="75">
        <v>96.62</v>
      </c>
      <c r="D3019" s="75">
        <v>94.53</v>
      </c>
      <c r="E3019" s="75">
        <v>90.79</v>
      </c>
      <c r="F3019">
        <v>437.91</v>
      </c>
      <c r="G3019">
        <v>2380.5</v>
      </c>
      <c r="H3019">
        <v>-3436.4</v>
      </c>
      <c r="I3019">
        <v>2591.6999999999998</v>
      </c>
      <c r="J3019">
        <v>1973.7099999999996</v>
      </c>
    </row>
    <row r="3020" spans="1:10" x14ac:dyDescent="0.35">
      <c r="A3020">
        <v>3004</v>
      </c>
      <c r="B3020" s="75">
        <v>89.074200000000005</v>
      </c>
      <c r="C3020" s="75">
        <v>95.330799999999996</v>
      </c>
      <c r="D3020" s="75">
        <v>91.092200000000005</v>
      </c>
      <c r="E3020" s="75">
        <v>94.155799999999999</v>
      </c>
      <c r="F3020">
        <v>1582.02</v>
      </c>
      <c r="G3020">
        <v>4318.6500000000005</v>
      </c>
      <c r="H3020">
        <v>3447.8</v>
      </c>
      <c r="I3020">
        <v>-775.2</v>
      </c>
      <c r="J3020">
        <v>8573.27</v>
      </c>
    </row>
    <row r="3021" spans="1:10" x14ac:dyDescent="0.35">
      <c r="A3021">
        <v>3005</v>
      </c>
      <c r="B3021" s="75">
        <v>88.98</v>
      </c>
      <c r="C3021" s="75">
        <v>98.3</v>
      </c>
      <c r="D3021" s="75">
        <v>92.49</v>
      </c>
      <c r="E3021" s="75">
        <v>91.35</v>
      </c>
      <c r="F3021">
        <v>1892.55</v>
      </c>
      <c r="G3021">
        <v>-140.69999999999999</v>
      </c>
      <c r="H3021">
        <v>660.2</v>
      </c>
      <c r="I3021">
        <v>2027.6999999999998</v>
      </c>
      <c r="J3021">
        <v>4439.75</v>
      </c>
    </row>
    <row r="3022" spans="1:10" x14ac:dyDescent="0.35">
      <c r="A3022">
        <v>3006</v>
      </c>
      <c r="B3022" s="75">
        <v>89.633099999999999</v>
      </c>
      <c r="C3022" s="75">
        <v>96.776700000000005</v>
      </c>
      <c r="D3022" s="75">
        <v>92.479100000000003</v>
      </c>
      <c r="E3022" s="75">
        <v>93.196200000000005</v>
      </c>
      <c r="F3022">
        <v>-262.35000000000002</v>
      </c>
      <c r="G3022">
        <v>2149.8000000000002</v>
      </c>
      <c r="H3022">
        <v>674</v>
      </c>
      <c r="I3022">
        <v>184.4</v>
      </c>
      <c r="J3022">
        <v>2745.8500000000004</v>
      </c>
    </row>
    <row r="3023" spans="1:10" x14ac:dyDescent="0.35">
      <c r="A3023">
        <v>3007</v>
      </c>
      <c r="B3023" s="75">
        <v>89.07</v>
      </c>
      <c r="C3023" s="75">
        <v>97.93</v>
      </c>
      <c r="D3023" s="75">
        <v>94.08</v>
      </c>
      <c r="E3023" s="75">
        <v>91.44</v>
      </c>
      <c r="F3023">
        <v>1609.74</v>
      </c>
      <c r="G3023">
        <v>417.75000000000006</v>
      </c>
      <c r="H3023">
        <v>-2523.8000000000002</v>
      </c>
      <c r="I3023">
        <v>1944.3999999999999</v>
      </c>
      <c r="J3023">
        <v>1448.0899999999997</v>
      </c>
    </row>
    <row r="3024" spans="1:10" x14ac:dyDescent="0.35">
      <c r="A3024">
        <v>3008</v>
      </c>
      <c r="B3024" s="75">
        <v>89.702299999999994</v>
      </c>
      <c r="C3024" s="75">
        <v>97.652000000000001</v>
      </c>
      <c r="D3024" s="75">
        <v>94.152900000000002</v>
      </c>
      <c r="E3024" s="75">
        <v>92.900999999999996</v>
      </c>
      <c r="F3024">
        <v>-490.71</v>
      </c>
      <c r="G3024">
        <v>836.84999999999991</v>
      </c>
      <c r="H3024">
        <v>-2673.6</v>
      </c>
      <c r="I3024">
        <v>479.6</v>
      </c>
      <c r="J3024">
        <v>-1847.8600000000001</v>
      </c>
    </row>
    <row r="3025" spans="1:10" x14ac:dyDescent="0.35">
      <c r="A3025">
        <v>3009</v>
      </c>
      <c r="B3025" s="75">
        <v>88.29</v>
      </c>
      <c r="C3025" s="75">
        <v>98.32</v>
      </c>
      <c r="D3025" s="75">
        <v>92.55</v>
      </c>
      <c r="E3025" s="75">
        <v>91.23</v>
      </c>
      <c r="F3025">
        <v>4185.72</v>
      </c>
      <c r="G3025">
        <v>-161.4</v>
      </c>
      <c r="H3025">
        <v>539.20000000000005</v>
      </c>
      <c r="I3025">
        <v>2146.7000000000003</v>
      </c>
      <c r="J3025">
        <v>6710.2200000000012</v>
      </c>
    </row>
    <row r="3026" spans="1:10" x14ac:dyDescent="0.35">
      <c r="A3026">
        <v>3010</v>
      </c>
      <c r="B3026" s="75">
        <v>89.406300000000002</v>
      </c>
      <c r="C3026" s="75">
        <v>97.959400000000002</v>
      </c>
      <c r="D3026" s="75">
        <v>93.234499999999997</v>
      </c>
      <c r="E3026" s="75">
        <v>92.545599999999993</v>
      </c>
      <c r="F3026">
        <v>486.09</v>
      </c>
      <c r="G3026">
        <v>375.75</v>
      </c>
      <c r="H3026">
        <v>-836.8</v>
      </c>
      <c r="I3026">
        <v>835</v>
      </c>
      <c r="J3026">
        <v>860.04</v>
      </c>
    </row>
    <row r="3027" spans="1:10" x14ac:dyDescent="0.35">
      <c r="A3027">
        <v>3011</v>
      </c>
      <c r="B3027" s="75">
        <v>89.75</v>
      </c>
      <c r="C3027" s="75">
        <v>99.15</v>
      </c>
      <c r="D3027" s="75">
        <v>92.39</v>
      </c>
      <c r="E3027" s="75">
        <v>90.78</v>
      </c>
      <c r="F3027">
        <v>-638.88</v>
      </c>
      <c r="G3027">
        <v>-1406.7</v>
      </c>
      <c r="H3027">
        <v>843.40000000000009</v>
      </c>
      <c r="I3027">
        <v>2600</v>
      </c>
      <c r="J3027">
        <v>1397.8200000000002</v>
      </c>
    </row>
    <row r="3028" spans="1:10" x14ac:dyDescent="0.35">
      <c r="A3028">
        <v>3012</v>
      </c>
      <c r="B3028" s="75">
        <v>89.168499999999995</v>
      </c>
      <c r="C3028" s="75">
        <v>97.806200000000004</v>
      </c>
      <c r="D3028" s="75">
        <v>93.362099999999998</v>
      </c>
      <c r="E3028" s="75">
        <v>93.144499999999994</v>
      </c>
      <c r="F3028">
        <v>1270.83</v>
      </c>
      <c r="G3028">
        <v>605.54999999999995</v>
      </c>
      <c r="H3028">
        <v>-1092</v>
      </c>
      <c r="I3028">
        <v>236.1</v>
      </c>
      <c r="J3028">
        <v>1020.4799999999999</v>
      </c>
    </row>
    <row r="3029" spans="1:10" x14ac:dyDescent="0.35">
      <c r="A3029">
        <v>3013</v>
      </c>
      <c r="B3029" s="75">
        <v>90.29</v>
      </c>
      <c r="C3029" s="75">
        <v>97.27</v>
      </c>
      <c r="D3029" s="75">
        <v>92.69</v>
      </c>
      <c r="E3029" s="75">
        <v>92.03</v>
      </c>
      <c r="F3029">
        <v>-2429.46</v>
      </c>
      <c r="G3029">
        <v>1403.1</v>
      </c>
      <c r="H3029">
        <v>247.20000000000002</v>
      </c>
      <c r="I3029">
        <v>1345.8000000000002</v>
      </c>
      <c r="J3029">
        <v>566.6400000000001</v>
      </c>
    </row>
    <row r="3030" spans="1:10" x14ac:dyDescent="0.35">
      <c r="A3030">
        <v>3014</v>
      </c>
      <c r="B3030" s="75">
        <v>89.299199999999999</v>
      </c>
      <c r="C3030" s="75">
        <v>97.844499999999996</v>
      </c>
      <c r="D3030" s="75">
        <v>91.964299999999994</v>
      </c>
      <c r="E3030" s="75">
        <v>91.772300000000001</v>
      </c>
      <c r="F3030">
        <v>839.5200000000001</v>
      </c>
      <c r="G3030">
        <v>548.1</v>
      </c>
      <c r="H3030">
        <v>1703.6</v>
      </c>
      <c r="I3030">
        <v>1608.3</v>
      </c>
      <c r="J3030">
        <v>4699.5200000000004</v>
      </c>
    </row>
    <row r="3031" spans="1:10" x14ac:dyDescent="0.35">
      <c r="A3031">
        <v>3015</v>
      </c>
      <c r="B3031" s="75">
        <v>89.89</v>
      </c>
      <c r="C3031" s="75">
        <v>97.41</v>
      </c>
      <c r="D3031" s="75">
        <v>93.3</v>
      </c>
      <c r="E3031" s="75">
        <v>94.86</v>
      </c>
      <c r="F3031">
        <v>-1125.6300000000001</v>
      </c>
      <c r="G3031">
        <v>1205.55</v>
      </c>
      <c r="H3031">
        <v>-970.8</v>
      </c>
      <c r="I3031">
        <v>-1480.9</v>
      </c>
      <c r="J3031">
        <v>-2371.7800000000002</v>
      </c>
    </row>
    <row r="3032" spans="1:10" x14ac:dyDescent="0.35">
      <c r="A3032">
        <v>3016</v>
      </c>
      <c r="B3032" s="75">
        <v>89.349100000000007</v>
      </c>
      <c r="C3032" s="75">
        <v>97.125600000000006</v>
      </c>
      <c r="D3032" s="75">
        <v>92.657600000000002</v>
      </c>
      <c r="E3032" s="75">
        <v>91.9953</v>
      </c>
      <c r="F3032">
        <v>674.84999999999991</v>
      </c>
      <c r="G3032">
        <v>1626.45</v>
      </c>
      <c r="H3032">
        <v>317</v>
      </c>
      <c r="I3032">
        <v>1385.3</v>
      </c>
      <c r="J3032">
        <v>4003.6000000000004</v>
      </c>
    </row>
    <row r="3033" spans="1:10" x14ac:dyDescent="0.35">
      <c r="A3033">
        <v>3017</v>
      </c>
      <c r="B3033" s="75">
        <v>90.26</v>
      </c>
      <c r="C3033" s="75">
        <v>98.17</v>
      </c>
      <c r="D3033" s="75">
        <v>93.01</v>
      </c>
      <c r="E3033" s="75">
        <v>93.71</v>
      </c>
      <c r="F3033">
        <v>-2347.29</v>
      </c>
      <c r="G3033">
        <v>64.349999999999994</v>
      </c>
      <c r="H3033">
        <v>-386.2</v>
      </c>
      <c r="I3033">
        <v>-330.6</v>
      </c>
      <c r="J3033">
        <v>-2999.74</v>
      </c>
    </row>
    <row r="3034" spans="1:10" x14ac:dyDescent="0.35">
      <c r="A3034">
        <v>3018</v>
      </c>
      <c r="B3034" s="75">
        <v>89.462999999999994</v>
      </c>
      <c r="C3034" s="75">
        <v>97.580799999999996</v>
      </c>
      <c r="D3034" s="75">
        <v>93.5411</v>
      </c>
      <c r="E3034" s="75">
        <v>92.147900000000007</v>
      </c>
      <c r="F3034">
        <v>298.98</v>
      </c>
      <c r="G3034">
        <v>943.65</v>
      </c>
      <c r="H3034">
        <v>-1450</v>
      </c>
      <c r="I3034">
        <v>1232.6999999999998</v>
      </c>
      <c r="J3034">
        <v>1025.33</v>
      </c>
    </row>
    <row r="3035" spans="1:10" x14ac:dyDescent="0.35">
      <c r="A3035">
        <v>3019</v>
      </c>
      <c r="B3035" s="75">
        <v>88.58</v>
      </c>
      <c r="C3035" s="75">
        <v>99.75</v>
      </c>
      <c r="D3035" s="75">
        <v>92.86</v>
      </c>
      <c r="E3035" s="75">
        <v>93.28</v>
      </c>
      <c r="F3035">
        <v>3206.94</v>
      </c>
      <c r="G3035">
        <v>-2317.5</v>
      </c>
      <c r="H3035">
        <v>-83.2</v>
      </c>
      <c r="I3035">
        <v>99.3</v>
      </c>
      <c r="J3035">
        <v>905.54</v>
      </c>
    </row>
    <row r="3036" spans="1:10" x14ac:dyDescent="0.35">
      <c r="A3036">
        <v>3020</v>
      </c>
      <c r="B3036" s="75">
        <v>89.615200000000002</v>
      </c>
      <c r="C3036" s="75">
        <v>97.620999999999995</v>
      </c>
      <c r="D3036" s="75">
        <v>93.120599999999996</v>
      </c>
      <c r="E3036" s="75">
        <v>93.394800000000004</v>
      </c>
      <c r="F3036">
        <v>-203.28</v>
      </c>
      <c r="G3036">
        <v>883.35</v>
      </c>
      <c r="H3036">
        <v>-609</v>
      </c>
      <c r="I3036">
        <v>-14.200000000000001</v>
      </c>
      <c r="J3036">
        <v>56.870000000000047</v>
      </c>
    </row>
    <row r="3037" spans="1:10" x14ac:dyDescent="0.35">
      <c r="A3037">
        <v>3021</v>
      </c>
      <c r="B3037" s="75">
        <v>89.85</v>
      </c>
      <c r="C3037" s="75">
        <v>97.77</v>
      </c>
      <c r="D3037" s="75">
        <v>93.19</v>
      </c>
      <c r="E3037" s="75">
        <v>96.9</v>
      </c>
      <c r="F3037">
        <v>-993.96</v>
      </c>
      <c r="G3037">
        <v>663.3</v>
      </c>
      <c r="H3037">
        <v>-738.6</v>
      </c>
      <c r="I3037">
        <v>-3522.2000000000003</v>
      </c>
      <c r="J3037">
        <v>-4591.4600000000009</v>
      </c>
    </row>
    <row r="3038" spans="1:10" x14ac:dyDescent="0.35">
      <c r="A3038">
        <v>3022</v>
      </c>
      <c r="B3038" s="75">
        <v>90.127700000000004</v>
      </c>
      <c r="C3038" s="75">
        <v>95.648399999999995</v>
      </c>
      <c r="D3038" s="75">
        <v>91.516400000000004</v>
      </c>
      <c r="E3038" s="75">
        <v>92.104900000000001</v>
      </c>
      <c r="F3038">
        <v>-1894.5300000000002</v>
      </c>
      <c r="G3038">
        <v>3842.25</v>
      </c>
      <c r="H3038">
        <v>2599.4</v>
      </c>
      <c r="I3038">
        <v>1275.7</v>
      </c>
      <c r="J3038">
        <v>5822.82</v>
      </c>
    </row>
    <row r="3039" spans="1:10" x14ac:dyDescent="0.35">
      <c r="A3039">
        <v>3023</v>
      </c>
      <c r="B3039" s="75">
        <v>89.61</v>
      </c>
      <c r="C3039" s="75">
        <v>98.05</v>
      </c>
      <c r="D3039" s="75">
        <v>92.6</v>
      </c>
      <c r="E3039" s="75">
        <v>91.2</v>
      </c>
      <c r="F3039">
        <v>-192.72</v>
      </c>
      <c r="G3039">
        <v>235.64999999999998</v>
      </c>
      <c r="H3039">
        <v>425.59999999999997</v>
      </c>
      <c r="I3039">
        <v>2180.6999999999998</v>
      </c>
      <c r="J3039">
        <v>2649.2299999999996</v>
      </c>
    </row>
    <row r="3040" spans="1:10" x14ac:dyDescent="0.35">
      <c r="A3040">
        <v>3024</v>
      </c>
      <c r="B3040" s="75">
        <v>90.4495</v>
      </c>
      <c r="C3040" s="75">
        <v>98.245900000000006</v>
      </c>
      <c r="D3040" s="75">
        <v>94.444599999999994</v>
      </c>
      <c r="E3040" s="75">
        <v>90.984700000000004</v>
      </c>
      <c r="F3040">
        <v>-2956.4700000000003</v>
      </c>
      <c r="G3040">
        <v>-53.999999999999993</v>
      </c>
      <c r="H3040">
        <v>-3257</v>
      </c>
      <c r="I3040">
        <v>2395.9</v>
      </c>
      <c r="J3040">
        <v>-3871.57</v>
      </c>
    </row>
    <row r="3041" spans="1:10" x14ac:dyDescent="0.35">
      <c r="A3041">
        <v>3025</v>
      </c>
      <c r="B3041" s="75">
        <v>89.94</v>
      </c>
      <c r="C3041" s="75">
        <v>98.21</v>
      </c>
      <c r="D3041" s="75">
        <v>94</v>
      </c>
      <c r="E3041" s="75">
        <v>94.37</v>
      </c>
      <c r="F3041">
        <v>-1282.3800000000001</v>
      </c>
      <c r="G3041">
        <v>-4.95</v>
      </c>
      <c r="H3041">
        <v>-2368</v>
      </c>
      <c r="I3041">
        <v>-986.6</v>
      </c>
      <c r="J3041">
        <v>-4641.93</v>
      </c>
    </row>
    <row r="3042" spans="1:10" x14ac:dyDescent="0.35">
      <c r="A3042">
        <v>3026</v>
      </c>
      <c r="B3042" s="75">
        <v>88.901200000000003</v>
      </c>
      <c r="C3042" s="75">
        <v>97.492999999999995</v>
      </c>
      <c r="D3042" s="75">
        <v>93.813100000000006</v>
      </c>
      <c r="E3042" s="75">
        <v>92.272199999999998</v>
      </c>
      <c r="F3042">
        <v>2152.92</v>
      </c>
      <c r="G3042">
        <v>1075.3499999999999</v>
      </c>
      <c r="H3042">
        <v>-1994</v>
      </c>
      <c r="I3042">
        <v>1108.4000000000001</v>
      </c>
      <c r="J3042">
        <v>2342.67</v>
      </c>
    </row>
    <row r="3043" spans="1:10" x14ac:dyDescent="0.35">
      <c r="A3043">
        <v>3027</v>
      </c>
      <c r="B3043" s="75">
        <v>90.07</v>
      </c>
      <c r="C3043" s="75">
        <v>98.55</v>
      </c>
      <c r="D3043" s="75">
        <v>92.98</v>
      </c>
      <c r="E3043" s="75">
        <v>91.92</v>
      </c>
      <c r="F3043">
        <v>-1718.97</v>
      </c>
      <c r="G3043">
        <v>-509.25000000000006</v>
      </c>
      <c r="H3043">
        <v>-319.2</v>
      </c>
      <c r="I3043">
        <v>1459</v>
      </c>
      <c r="J3043">
        <v>-1088.42</v>
      </c>
    </row>
    <row r="3044" spans="1:10" x14ac:dyDescent="0.35">
      <c r="A3044">
        <v>3028</v>
      </c>
      <c r="B3044" s="75">
        <v>90.176299999999998</v>
      </c>
      <c r="C3044" s="75">
        <v>96.432900000000004</v>
      </c>
      <c r="D3044" s="75">
        <v>92.591999999999999</v>
      </c>
      <c r="E3044" s="75">
        <v>93.455500000000001</v>
      </c>
      <c r="F3044">
        <v>-2054.9100000000003</v>
      </c>
      <c r="G3044">
        <v>2665.5</v>
      </c>
      <c r="H3044">
        <v>448.2</v>
      </c>
      <c r="I3044">
        <v>-74.899999999999991</v>
      </c>
      <c r="J3044">
        <v>983.88999999999976</v>
      </c>
    </row>
    <row r="3045" spans="1:10" x14ac:dyDescent="0.35">
      <c r="A3045">
        <v>3029</v>
      </c>
      <c r="B3045" s="75">
        <v>88.91</v>
      </c>
      <c r="C3045" s="75">
        <v>99.36</v>
      </c>
      <c r="D3045" s="75">
        <v>92.67</v>
      </c>
      <c r="E3045" s="75">
        <v>93.44</v>
      </c>
      <c r="F3045">
        <v>2125.5300000000002</v>
      </c>
      <c r="G3045">
        <v>-1723.3500000000001</v>
      </c>
      <c r="H3045">
        <v>292.2</v>
      </c>
      <c r="I3045">
        <v>-63.9</v>
      </c>
      <c r="J3045">
        <v>630.48000000000013</v>
      </c>
    </row>
    <row r="3046" spans="1:10" x14ac:dyDescent="0.35">
      <c r="A3046">
        <v>3030</v>
      </c>
      <c r="B3046" s="75">
        <v>89.497299999999996</v>
      </c>
      <c r="C3046" s="75">
        <v>96.927000000000007</v>
      </c>
      <c r="D3046" s="75">
        <v>93.606099999999998</v>
      </c>
      <c r="E3046" s="75">
        <v>93.502099999999999</v>
      </c>
      <c r="F3046">
        <v>185.79000000000002</v>
      </c>
      <c r="G3046">
        <v>1924.35</v>
      </c>
      <c r="H3046">
        <v>-1580</v>
      </c>
      <c r="I3046">
        <v>-121.5</v>
      </c>
      <c r="J3046">
        <v>408.63999999999987</v>
      </c>
    </row>
    <row r="3047" spans="1:10" x14ac:dyDescent="0.35">
      <c r="A3047">
        <v>3031</v>
      </c>
      <c r="B3047" s="75">
        <v>89.4</v>
      </c>
      <c r="C3047" s="75">
        <v>99.41</v>
      </c>
      <c r="D3047" s="75">
        <v>92.16</v>
      </c>
      <c r="E3047" s="75">
        <v>95.08</v>
      </c>
      <c r="F3047">
        <v>497.97</v>
      </c>
      <c r="G3047">
        <v>-1794.6</v>
      </c>
      <c r="H3047">
        <v>1315.1999999999998</v>
      </c>
      <c r="I3047">
        <v>-1704.2</v>
      </c>
      <c r="J3047">
        <v>-1685.63</v>
      </c>
    </row>
    <row r="3048" spans="1:10" x14ac:dyDescent="0.35">
      <c r="A3048">
        <v>3032</v>
      </c>
      <c r="B3048" s="75">
        <v>90.042299999999997</v>
      </c>
      <c r="C3048" s="75">
        <v>98.352599999999995</v>
      </c>
      <c r="D3048" s="75">
        <v>93.599599999999995</v>
      </c>
      <c r="E3048" s="75">
        <v>92.956800000000001</v>
      </c>
      <c r="F3048">
        <v>-1612.71</v>
      </c>
      <c r="G3048">
        <v>-214.04999999999998</v>
      </c>
      <c r="H3048">
        <v>-1567</v>
      </c>
      <c r="I3048">
        <v>423.8</v>
      </c>
      <c r="J3048">
        <v>-2969.96</v>
      </c>
    </row>
    <row r="3049" spans="1:10" x14ac:dyDescent="0.35">
      <c r="A3049">
        <v>3033</v>
      </c>
      <c r="B3049" s="75">
        <v>89.75</v>
      </c>
      <c r="C3049" s="75">
        <v>96.45</v>
      </c>
      <c r="D3049" s="75">
        <v>92.78</v>
      </c>
      <c r="E3049" s="75">
        <v>96.09</v>
      </c>
      <c r="F3049">
        <v>-637.89</v>
      </c>
      <c r="G3049">
        <v>2636.25</v>
      </c>
      <c r="H3049">
        <v>77.8</v>
      </c>
      <c r="I3049">
        <v>-2706.5</v>
      </c>
      <c r="J3049">
        <v>-630.33999999999969</v>
      </c>
    </row>
    <row r="3050" spans="1:10" x14ac:dyDescent="0.35">
      <c r="A3050">
        <v>3034</v>
      </c>
      <c r="B3050" s="75">
        <v>89.742599999999996</v>
      </c>
      <c r="C3050" s="75">
        <v>99.186800000000005</v>
      </c>
      <c r="D3050" s="75">
        <v>91.723699999999994</v>
      </c>
      <c r="E3050" s="75">
        <v>94.346400000000003</v>
      </c>
      <c r="F3050">
        <v>-623.70000000000005</v>
      </c>
      <c r="G3050">
        <v>-1465.35</v>
      </c>
      <c r="H3050">
        <v>2184.8000000000002</v>
      </c>
      <c r="I3050">
        <v>-965.8</v>
      </c>
      <c r="J3050">
        <v>-870.05</v>
      </c>
    </row>
    <row r="3051" spans="1:10" x14ac:dyDescent="0.35">
      <c r="A3051">
        <v>3035</v>
      </c>
      <c r="B3051" s="75">
        <v>90.04</v>
      </c>
      <c r="C3051" s="75">
        <v>98.51</v>
      </c>
      <c r="D3051" s="75">
        <v>93.09</v>
      </c>
      <c r="E3051" s="75">
        <v>93.8</v>
      </c>
      <c r="F3051">
        <v>-1593.8999999999999</v>
      </c>
      <c r="G3051">
        <v>-443.7</v>
      </c>
      <c r="H3051">
        <v>-548.79999999999995</v>
      </c>
      <c r="I3051">
        <v>-423.5</v>
      </c>
      <c r="J3051">
        <v>-3009.8999999999996</v>
      </c>
    </row>
    <row r="3052" spans="1:10" x14ac:dyDescent="0.35">
      <c r="A3052">
        <v>3036</v>
      </c>
      <c r="B3052" s="75">
        <v>89.759500000000003</v>
      </c>
      <c r="C3052" s="75">
        <v>98.215400000000002</v>
      </c>
      <c r="D3052" s="75">
        <v>94.773600000000002</v>
      </c>
      <c r="E3052" s="75">
        <v>92.703599999999994</v>
      </c>
      <c r="F3052">
        <v>-679.47</v>
      </c>
      <c r="G3052">
        <v>-8.25</v>
      </c>
      <c r="H3052">
        <v>-3915</v>
      </c>
      <c r="I3052">
        <v>677</v>
      </c>
      <c r="J3052">
        <v>-3925.7200000000003</v>
      </c>
    </row>
    <row r="3053" spans="1:10" x14ac:dyDescent="0.35">
      <c r="A3053">
        <v>3037</v>
      </c>
      <c r="B3053" s="75">
        <v>89.94</v>
      </c>
      <c r="C3053" s="75">
        <v>98.07</v>
      </c>
      <c r="D3053" s="75">
        <v>92.62</v>
      </c>
      <c r="E3053" s="75">
        <v>92.18</v>
      </c>
      <c r="F3053">
        <v>-1277.43</v>
      </c>
      <c r="G3053">
        <v>207.29999999999998</v>
      </c>
      <c r="H3053">
        <v>387.40000000000003</v>
      </c>
      <c r="I3053">
        <v>1197.7</v>
      </c>
      <c r="J3053">
        <v>514.97</v>
      </c>
    </row>
    <row r="3054" spans="1:10" x14ac:dyDescent="0.35">
      <c r="A3054">
        <v>3038</v>
      </c>
      <c r="B3054" s="75">
        <v>89.159400000000005</v>
      </c>
      <c r="C3054" s="75">
        <v>97.715999999999994</v>
      </c>
      <c r="D3054" s="75">
        <v>94.007800000000003</v>
      </c>
      <c r="E3054" s="75">
        <v>95.194400000000002</v>
      </c>
      <c r="F3054">
        <v>1300.8599999999999</v>
      </c>
      <c r="G3054">
        <v>740.85</v>
      </c>
      <c r="H3054">
        <v>-2383.4</v>
      </c>
      <c r="I3054">
        <v>-1813.8000000000002</v>
      </c>
      <c r="J3054">
        <v>-2155.4900000000002</v>
      </c>
    </row>
    <row r="3055" spans="1:10" x14ac:dyDescent="0.35">
      <c r="A3055">
        <v>3039</v>
      </c>
      <c r="B3055" s="75">
        <v>89.93</v>
      </c>
      <c r="C3055" s="75">
        <v>98.21</v>
      </c>
      <c r="D3055" s="75">
        <v>91.35</v>
      </c>
      <c r="E3055" s="75">
        <v>92.89</v>
      </c>
      <c r="F3055">
        <v>-1247.73</v>
      </c>
      <c r="G3055">
        <v>1.3499999999999999</v>
      </c>
      <c r="H3055">
        <v>2925.8</v>
      </c>
      <c r="I3055">
        <v>494</v>
      </c>
      <c r="J3055">
        <v>2173.42</v>
      </c>
    </row>
    <row r="3056" spans="1:10" x14ac:dyDescent="0.35">
      <c r="A3056">
        <v>3040</v>
      </c>
      <c r="B3056" s="75">
        <v>89.775300000000001</v>
      </c>
      <c r="C3056" s="75">
        <v>98.238699999999994</v>
      </c>
      <c r="D3056" s="75">
        <v>91.669399999999996</v>
      </c>
      <c r="E3056" s="75">
        <v>92.094099999999997</v>
      </c>
      <c r="F3056">
        <v>-731.61</v>
      </c>
      <c r="G3056">
        <v>-43.199999999999996</v>
      </c>
      <c r="H3056">
        <v>2293.4</v>
      </c>
      <c r="I3056">
        <v>1286.5</v>
      </c>
      <c r="J3056">
        <v>2805.09</v>
      </c>
    </row>
    <row r="3057" spans="1:10" x14ac:dyDescent="0.35">
      <c r="A3057">
        <v>3041</v>
      </c>
      <c r="B3057" s="75">
        <v>89.54</v>
      </c>
      <c r="C3057" s="75">
        <v>98.01</v>
      </c>
      <c r="D3057" s="75">
        <v>92.13</v>
      </c>
      <c r="E3057" s="75">
        <v>95.61</v>
      </c>
      <c r="F3057">
        <v>41.58</v>
      </c>
      <c r="G3057">
        <v>303.3</v>
      </c>
      <c r="H3057">
        <v>1374.4</v>
      </c>
      <c r="I3057">
        <v>-2230.1000000000004</v>
      </c>
      <c r="J3057">
        <v>-510.82000000000016</v>
      </c>
    </row>
    <row r="3058" spans="1:10" x14ac:dyDescent="0.35">
      <c r="A3058">
        <v>3042</v>
      </c>
      <c r="B3058" s="75">
        <v>89.210300000000004</v>
      </c>
      <c r="C3058" s="75">
        <v>96.371700000000004</v>
      </c>
      <c r="D3058" s="75">
        <v>92.207999999999998</v>
      </c>
      <c r="E3058" s="75">
        <v>92.965800000000002</v>
      </c>
      <c r="F3058">
        <v>1132.8899999999999</v>
      </c>
      <c r="G3058">
        <v>2757.3</v>
      </c>
      <c r="H3058">
        <v>1216.2</v>
      </c>
      <c r="I3058">
        <v>414.8</v>
      </c>
      <c r="J3058">
        <v>5521.1900000000005</v>
      </c>
    </row>
    <row r="3059" spans="1:10" x14ac:dyDescent="0.35">
      <c r="A3059">
        <v>3043</v>
      </c>
      <c r="B3059" s="75">
        <v>89.62</v>
      </c>
      <c r="C3059" s="75">
        <v>99.42</v>
      </c>
      <c r="D3059" s="75">
        <v>93.05</v>
      </c>
      <c r="E3059" s="75">
        <v>95.2</v>
      </c>
      <c r="F3059">
        <v>-225.72</v>
      </c>
      <c r="G3059">
        <v>-1812.6</v>
      </c>
      <c r="H3059">
        <v>-460.2</v>
      </c>
      <c r="I3059">
        <v>-1817.3999999999999</v>
      </c>
      <c r="J3059">
        <v>-4315.92</v>
      </c>
    </row>
    <row r="3060" spans="1:10" x14ac:dyDescent="0.35">
      <c r="A3060">
        <v>3044</v>
      </c>
      <c r="B3060" s="75">
        <v>89.597099999999998</v>
      </c>
      <c r="C3060" s="75">
        <v>98.166200000000003</v>
      </c>
      <c r="D3060" s="75">
        <v>93.880099999999999</v>
      </c>
      <c r="E3060" s="75">
        <v>92.228700000000003</v>
      </c>
      <c r="F3060">
        <v>-143.54999999999998</v>
      </c>
      <c r="G3060">
        <v>65.55</v>
      </c>
      <c r="H3060">
        <v>-2128</v>
      </c>
      <c r="I3060">
        <v>1151.8999999999999</v>
      </c>
      <c r="J3060">
        <v>-1054.1000000000001</v>
      </c>
    </row>
    <row r="3061" spans="1:10" x14ac:dyDescent="0.35">
      <c r="A3061">
        <v>3045</v>
      </c>
      <c r="B3061" s="75">
        <v>90.19</v>
      </c>
      <c r="C3061" s="75">
        <v>96.14</v>
      </c>
      <c r="D3061" s="75">
        <v>94.25</v>
      </c>
      <c r="E3061" s="75">
        <v>93.65</v>
      </c>
      <c r="F3061">
        <v>-2109.69</v>
      </c>
      <c r="G3061">
        <v>3111.9000000000005</v>
      </c>
      <c r="H3061">
        <v>-2863.4</v>
      </c>
      <c r="I3061">
        <v>-266.29999999999995</v>
      </c>
      <c r="J3061">
        <v>-2127.4899999999998</v>
      </c>
    </row>
    <row r="3062" spans="1:10" x14ac:dyDescent="0.35">
      <c r="A3062">
        <v>3046</v>
      </c>
      <c r="B3062" s="75">
        <v>90.405299999999997</v>
      </c>
      <c r="C3062" s="75">
        <v>97.939400000000006</v>
      </c>
      <c r="D3062" s="75">
        <v>91.612799999999993</v>
      </c>
      <c r="E3062" s="75">
        <v>91.905199999999994</v>
      </c>
      <c r="F3062">
        <v>-2810.61</v>
      </c>
      <c r="G3062">
        <v>405.75</v>
      </c>
      <c r="H3062">
        <v>2406.6</v>
      </c>
      <c r="I3062">
        <v>1475.4</v>
      </c>
      <c r="J3062">
        <v>1477.1399999999999</v>
      </c>
    </row>
    <row r="3063" spans="1:10" x14ac:dyDescent="0.35">
      <c r="A3063">
        <v>3047</v>
      </c>
      <c r="B3063" s="75">
        <v>89.72</v>
      </c>
      <c r="C3063" s="75">
        <v>99</v>
      </c>
      <c r="D3063" s="75">
        <v>94.81</v>
      </c>
      <c r="E3063" s="75">
        <v>94.64</v>
      </c>
      <c r="F3063">
        <v>-532.62</v>
      </c>
      <c r="G3063">
        <v>-1190.0999999999999</v>
      </c>
      <c r="H3063">
        <v>-3986.4</v>
      </c>
      <c r="I3063">
        <v>-1256</v>
      </c>
      <c r="J3063">
        <v>-6965.12</v>
      </c>
    </row>
    <row r="3064" spans="1:10" x14ac:dyDescent="0.35">
      <c r="A3064">
        <v>3048</v>
      </c>
      <c r="B3064" s="75">
        <v>90.490099999999998</v>
      </c>
      <c r="C3064" s="75">
        <v>97.104699999999994</v>
      </c>
      <c r="D3064" s="75">
        <v>93.7744</v>
      </c>
      <c r="E3064" s="75">
        <v>92.277699999999996</v>
      </c>
      <c r="F3064">
        <v>-3090.45</v>
      </c>
      <c r="G3064">
        <v>1657.8</v>
      </c>
      <c r="H3064">
        <v>-1916.6000000000001</v>
      </c>
      <c r="I3064">
        <v>1102.9000000000001</v>
      </c>
      <c r="J3064">
        <v>-2246.35</v>
      </c>
    </row>
    <row r="3065" spans="1:10" x14ac:dyDescent="0.35">
      <c r="A3065">
        <v>3049</v>
      </c>
      <c r="B3065" s="75">
        <v>90.01</v>
      </c>
      <c r="C3065" s="75">
        <v>97.13</v>
      </c>
      <c r="D3065" s="75">
        <v>92.41</v>
      </c>
      <c r="E3065" s="75">
        <v>95.29</v>
      </c>
      <c r="F3065">
        <v>-1517.6699999999998</v>
      </c>
      <c r="G3065">
        <v>1624.05</v>
      </c>
      <c r="H3065">
        <v>803.8</v>
      </c>
      <c r="I3065">
        <v>-1908.1999999999998</v>
      </c>
      <c r="J3065">
        <v>-998.01999999999975</v>
      </c>
    </row>
    <row r="3066" spans="1:10" x14ac:dyDescent="0.35">
      <c r="A3066">
        <v>3050</v>
      </c>
      <c r="B3066" s="75">
        <v>88.865700000000004</v>
      </c>
      <c r="C3066" s="75">
        <v>98.916200000000003</v>
      </c>
      <c r="D3066" s="75">
        <v>92.551400000000001</v>
      </c>
      <c r="E3066" s="75">
        <v>93.7303</v>
      </c>
      <c r="F3066">
        <v>2270.0699999999997</v>
      </c>
      <c r="G3066">
        <v>-1059.45</v>
      </c>
      <c r="H3066">
        <v>529.4</v>
      </c>
      <c r="I3066">
        <v>-349.7</v>
      </c>
      <c r="J3066">
        <v>1390.3199999999995</v>
      </c>
    </row>
    <row r="3067" spans="1:10" x14ac:dyDescent="0.35">
      <c r="A3067">
        <v>3051</v>
      </c>
      <c r="B3067" s="75">
        <v>89.64</v>
      </c>
      <c r="C3067" s="75">
        <v>98.34</v>
      </c>
      <c r="D3067" s="75">
        <v>91.28</v>
      </c>
      <c r="E3067" s="75">
        <v>91.64</v>
      </c>
      <c r="F3067">
        <v>-288.09000000000003</v>
      </c>
      <c r="G3067">
        <v>-200.1</v>
      </c>
      <c r="H3067">
        <v>3067.4</v>
      </c>
      <c r="I3067">
        <v>1738.3</v>
      </c>
      <c r="J3067">
        <v>4317.51</v>
      </c>
    </row>
    <row r="3068" spans="1:10" x14ac:dyDescent="0.35">
      <c r="A3068">
        <v>3052</v>
      </c>
      <c r="B3068" s="75">
        <v>88.803100000000001</v>
      </c>
      <c r="C3068" s="75">
        <v>97.490700000000004</v>
      </c>
      <c r="D3068" s="75">
        <v>93.866500000000002</v>
      </c>
      <c r="E3068" s="75">
        <v>92.552999999999997</v>
      </c>
      <c r="F3068">
        <v>2476.6499999999996</v>
      </c>
      <c r="G3068">
        <v>1078.8</v>
      </c>
      <c r="H3068">
        <v>-2100.8000000000002</v>
      </c>
      <c r="I3068">
        <v>827.6</v>
      </c>
      <c r="J3068">
        <v>2282.2499999999995</v>
      </c>
    </row>
    <row r="3069" spans="1:10" x14ac:dyDescent="0.35">
      <c r="A3069">
        <v>3053</v>
      </c>
      <c r="B3069" s="75">
        <v>90.16</v>
      </c>
      <c r="C3069" s="75">
        <v>98.08</v>
      </c>
      <c r="D3069" s="75">
        <v>93.19</v>
      </c>
      <c r="E3069" s="75">
        <v>94.85</v>
      </c>
      <c r="F3069">
        <v>-2011.68</v>
      </c>
      <c r="G3069">
        <v>195.75</v>
      </c>
      <c r="H3069">
        <v>-751.80000000000007</v>
      </c>
      <c r="I3069">
        <v>-1472.6999999999998</v>
      </c>
      <c r="J3069">
        <v>-4040.43</v>
      </c>
    </row>
    <row r="3070" spans="1:10" x14ac:dyDescent="0.35">
      <c r="A3070">
        <v>3054</v>
      </c>
      <c r="B3070" s="75">
        <v>89.365600000000001</v>
      </c>
      <c r="C3070" s="75">
        <v>97.396600000000007</v>
      </c>
      <c r="D3070" s="75">
        <v>91.399199999999993</v>
      </c>
      <c r="E3070" s="75">
        <v>93.626400000000004</v>
      </c>
      <c r="F3070">
        <v>620.4</v>
      </c>
      <c r="G3070">
        <v>1219.95</v>
      </c>
      <c r="H3070">
        <v>2833.8</v>
      </c>
      <c r="I3070">
        <v>-245.79999999999998</v>
      </c>
      <c r="J3070">
        <v>4428.3499999999995</v>
      </c>
    </row>
    <row r="3071" spans="1:10" x14ac:dyDescent="0.35">
      <c r="A3071">
        <v>3055</v>
      </c>
      <c r="B3071" s="75">
        <v>89.44</v>
      </c>
      <c r="C3071" s="75">
        <v>98.67</v>
      </c>
      <c r="D3071" s="75">
        <v>93.4</v>
      </c>
      <c r="E3071" s="75">
        <v>92.98</v>
      </c>
      <c r="F3071">
        <v>373.89</v>
      </c>
      <c r="G3071">
        <v>-696.15</v>
      </c>
      <c r="H3071">
        <v>-1177</v>
      </c>
      <c r="I3071">
        <v>400.7</v>
      </c>
      <c r="J3071">
        <v>-1098.56</v>
      </c>
    </row>
    <row r="3072" spans="1:10" x14ac:dyDescent="0.35">
      <c r="A3072">
        <v>3056</v>
      </c>
      <c r="B3072" s="75">
        <v>89.368200000000002</v>
      </c>
      <c r="C3072" s="75">
        <v>98.883700000000005</v>
      </c>
      <c r="D3072" s="75">
        <v>93.081999999999994</v>
      </c>
      <c r="E3072" s="75">
        <v>96.163899999999998</v>
      </c>
      <c r="F3072">
        <v>611.82000000000005</v>
      </c>
      <c r="G3072">
        <v>-1010.6999999999999</v>
      </c>
      <c r="H3072">
        <v>-531.80000000000007</v>
      </c>
      <c r="I3072">
        <v>-2783.3</v>
      </c>
      <c r="J3072">
        <v>-3713.98</v>
      </c>
    </row>
    <row r="3073" spans="1:10" x14ac:dyDescent="0.35">
      <c r="A3073">
        <v>3057</v>
      </c>
      <c r="B3073" s="75">
        <v>88.79</v>
      </c>
      <c r="C3073" s="75">
        <v>97.02</v>
      </c>
      <c r="D3073" s="75">
        <v>92.49</v>
      </c>
      <c r="E3073" s="75">
        <v>94.41</v>
      </c>
      <c r="F3073">
        <v>2520.21</v>
      </c>
      <c r="G3073">
        <v>1782.4499999999998</v>
      </c>
      <c r="H3073">
        <v>661.2</v>
      </c>
      <c r="I3073">
        <v>-1027.0999999999999</v>
      </c>
      <c r="J3073">
        <v>3936.7599999999998</v>
      </c>
    </row>
    <row r="3074" spans="1:10" x14ac:dyDescent="0.35">
      <c r="A3074">
        <v>3058</v>
      </c>
      <c r="B3074" s="75">
        <v>89.812700000000007</v>
      </c>
      <c r="C3074" s="75">
        <v>97.4589</v>
      </c>
      <c r="D3074" s="75">
        <v>93.364999999999995</v>
      </c>
      <c r="E3074" s="75">
        <v>93.332499999999996</v>
      </c>
      <c r="F3074">
        <v>-855.03</v>
      </c>
      <c r="G3074">
        <v>1126.5</v>
      </c>
      <c r="H3074">
        <v>-1097.8000000000002</v>
      </c>
      <c r="I3074">
        <v>48.099999999999994</v>
      </c>
      <c r="J3074">
        <v>-778.23000000000013</v>
      </c>
    </row>
    <row r="3075" spans="1:10" x14ac:dyDescent="0.35">
      <c r="A3075">
        <v>3059</v>
      </c>
      <c r="B3075" s="75">
        <v>89.58</v>
      </c>
      <c r="C3075" s="75">
        <v>98.4</v>
      </c>
      <c r="D3075" s="75">
        <v>93.93</v>
      </c>
      <c r="E3075" s="75">
        <v>91.51</v>
      </c>
      <c r="F3075">
        <v>-81.510000000000005</v>
      </c>
      <c r="G3075">
        <v>-284.7</v>
      </c>
      <c r="H3075">
        <v>-2225.2000000000003</v>
      </c>
      <c r="I3075">
        <v>1870.4</v>
      </c>
      <c r="J3075">
        <v>-721.01000000000022</v>
      </c>
    </row>
    <row r="3076" spans="1:10" x14ac:dyDescent="0.35">
      <c r="A3076">
        <v>3060</v>
      </c>
      <c r="B3076" s="75">
        <v>89.597800000000007</v>
      </c>
      <c r="C3076" s="75">
        <v>98.585800000000006</v>
      </c>
      <c r="D3076" s="75">
        <v>91.922399999999996</v>
      </c>
      <c r="E3076" s="75">
        <v>91.667900000000003</v>
      </c>
      <c r="F3076">
        <v>-145.86000000000001</v>
      </c>
      <c r="G3076">
        <v>-563.85</v>
      </c>
      <c r="H3076">
        <v>1787.4</v>
      </c>
      <c r="I3076">
        <v>1712.6999999999998</v>
      </c>
      <c r="J3076">
        <v>2790.39</v>
      </c>
    </row>
    <row r="3077" spans="1:10" x14ac:dyDescent="0.35">
      <c r="A3077">
        <v>3061</v>
      </c>
      <c r="B3077" s="75">
        <v>89.93</v>
      </c>
      <c r="C3077" s="75">
        <v>98.52</v>
      </c>
      <c r="D3077" s="75">
        <v>93.08</v>
      </c>
      <c r="E3077" s="75">
        <v>93.87</v>
      </c>
      <c r="F3077">
        <v>-1235.52</v>
      </c>
      <c r="G3077">
        <v>-459</v>
      </c>
      <c r="H3077">
        <v>-535.80000000000007</v>
      </c>
      <c r="I3077">
        <v>-487.9</v>
      </c>
      <c r="J3077">
        <v>-2718.2200000000003</v>
      </c>
    </row>
    <row r="3078" spans="1:10" x14ac:dyDescent="0.35">
      <c r="A3078">
        <v>3062</v>
      </c>
      <c r="B3078" s="75">
        <v>89.140600000000006</v>
      </c>
      <c r="C3078" s="75">
        <v>99.612399999999994</v>
      </c>
      <c r="D3078" s="75">
        <v>91.099900000000005</v>
      </c>
      <c r="E3078" s="75">
        <v>94.840599999999995</v>
      </c>
      <c r="F3078">
        <v>1362.8999999999999</v>
      </c>
      <c r="G3078">
        <v>-2103.75</v>
      </c>
      <c r="H3078">
        <v>3432.4</v>
      </c>
      <c r="I3078">
        <v>-1460</v>
      </c>
      <c r="J3078">
        <v>1231.5500000000002</v>
      </c>
    </row>
    <row r="3079" spans="1:10" x14ac:dyDescent="0.35">
      <c r="A3079">
        <v>3063</v>
      </c>
      <c r="B3079" s="75">
        <v>90.28</v>
      </c>
      <c r="C3079" s="75">
        <v>98.67</v>
      </c>
      <c r="D3079" s="75">
        <v>91.85</v>
      </c>
      <c r="E3079" s="75">
        <v>94.01</v>
      </c>
      <c r="F3079">
        <v>-2410.65</v>
      </c>
      <c r="G3079">
        <v>-695.25</v>
      </c>
      <c r="H3079">
        <v>1934.8000000000002</v>
      </c>
      <c r="I3079">
        <v>-629.4</v>
      </c>
      <c r="J3079">
        <v>-1800.5</v>
      </c>
    </row>
    <row r="3080" spans="1:10" x14ac:dyDescent="0.35">
      <c r="A3080">
        <v>3064</v>
      </c>
      <c r="B3080" s="75">
        <v>89.378900000000002</v>
      </c>
      <c r="C3080" s="75">
        <v>98.465800000000002</v>
      </c>
      <c r="D3080" s="75">
        <v>92.332700000000003</v>
      </c>
      <c r="E3080" s="75">
        <v>92.452299999999994</v>
      </c>
      <c r="F3080">
        <v>576.51</v>
      </c>
      <c r="G3080">
        <v>-383.85</v>
      </c>
      <c r="H3080">
        <v>966.8</v>
      </c>
      <c r="I3080">
        <v>928.30000000000007</v>
      </c>
      <c r="J3080">
        <v>2087.7600000000002</v>
      </c>
    </row>
    <row r="3081" spans="1:10" x14ac:dyDescent="0.35">
      <c r="A3081">
        <v>3065</v>
      </c>
      <c r="B3081" s="75">
        <v>90.17</v>
      </c>
      <c r="C3081" s="75">
        <v>98.61</v>
      </c>
      <c r="D3081" s="75">
        <v>94.92</v>
      </c>
      <c r="E3081" s="75">
        <v>87.96</v>
      </c>
      <c r="F3081">
        <v>-2049.96</v>
      </c>
      <c r="G3081">
        <v>-596.84999999999991</v>
      </c>
      <c r="H3081">
        <v>-4209.2</v>
      </c>
      <c r="I3081">
        <v>5419.3</v>
      </c>
      <c r="J3081">
        <v>-1436.71</v>
      </c>
    </row>
    <row r="3082" spans="1:10" x14ac:dyDescent="0.35">
      <c r="A3082">
        <v>3066</v>
      </c>
      <c r="B3082" s="75">
        <v>89.400700000000001</v>
      </c>
      <c r="C3082" s="75">
        <v>98.950199999999995</v>
      </c>
      <c r="D3082" s="75">
        <v>91.358599999999996</v>
      </c>
      <c r="E3082" s="75">
        <v>96.238900000000001</v>
      </c>
      <c r="F3082">
        <v>504.57000000000005</v>
      </c>
      <c r="G3082">
        <v>-1110.45</v>
      </c>
      <c r="H3082">
        <v>2915</v>
      </c>
      <c r="I3082">
        <v>-2858.2999999999997</v>
      </c>
      <c r="J3082">
        <v>-549.17999999999984</v>
      </c>
    </row>
    <row r="3083" spans="1:10" x14ac:dyDescent="0.35">
      <c r="A3083">
        <v>3067</v>
      </c>
      <c r="B3083" s="75">
        <v>89.65</v>
      </c>
      <c r="C3083" s="75">
        <v>97.92</v>
      </c>
      <c r="D3083" s="75">
        <v>92.49</v>
      </c>
      <c r="E3083" s="75">
        <v>93.07</v>
      </c>
      <c r="F3083">
        <v>-329.34</v>
      </c>
      <c r="G3083">
        <v>431.84999999999997</v>
      </c>
      <c r="H3083">
        <v>644.59999999999991</v>
      </c>
      <c r="I3083">
        <v>307</v>
      </c>
      <c r="J3083">
        <v>1054.1099999999999</v>
      </c>
    </row>
    <row r="3084" spans="1:10" x14ac:dyDescent="0.35">
      <c r="A3084">
        <v>3068</v>
      </c>
      <c r="B3084" s="75">
        <v>90.149799999999999</v>
      </c>
      <c r="C3084" s="75">
        <v>98.054199999999994</v>
      </c>
      <c r="D3084" s="75">
        <v>92.092299999999994</v>
      </c>
      <c r="E3084" s="75">
        <v>95.072800000000001</v>
      </c>
      <c r="F3084">
        <v>-1967.4599999999998</v>
      </c>
      <c r="G3084">
        <v>233.55</v>
      </c>
      <c r="H3084">
        <v>1447.6</v>
      </c>
      <c r="I3084">
        <v>-1692.1999999999998</v>
      </c>
      <c r="J3084">
        <v>-1978.5099999999998</v>
      </c>
    </row>
    <row r="3085" spans="1:10" x14ac:dyDescent="0.35">
      <c r="A3085">
        <v>3069</v>
      </c>
      <c r="B3085" s="75">
        <v>90.18</v>
      </c>
      <c r="C3085" s="75">
        <v>99.03</v>
      </c>
      <c r="D3085" s="75">
        <v>93.52</v>
      </c>
      <c r="E3085" s="75">
        <v>91.13</v>
      </c>
      <c r="F3085">
        <v>-2053.5899999999997</v>
      </c>
      <c r="G3085">
        <v>-1226.25</v>
      </c>
      <c r="H3085">
        <v>-1402.8</v>
      </c>
      <c r="I3085">
        <v>2250.6</v>
      </c>
      <c r="J3085">
        <v>-2432.0399999999995</v>
      </c>
    </row>
    <row r="3086" spans="1:10" x14ac:dyDescent="0.35">
      <c r="A3086">
        <v>3070</v>
      </c>
      <c r="B3086" s="75">
        <v>89.932500000000005</v>
      </c>
      <c r="C3086" s="75">
        <v>98.604799999999997</v>
      </c>
      <c r="D3086" s="75">
        <v>94.578299999999999</v>
      </c>
      <c r="E3086" s="75">
        <v>93.463300000000004</v>
      </c>
      <c r="F3086">
        <v>-1250.3700000000001</v>
      </c>
      <c r="G3086">
        <v>-592.34999999999991</v>
      </c>
      <c r="H3086">
        <v>-3524.4</v>
      </c>
      <c r="I3086">
        <v>-82.699999999999989</v>
      </c>
      <c r="J3086">
        <v>-5449.82</v>
      </c>
    </row>
    <row r="3087" spans="1:10" x14ac:dyDescent="0.35">
      <c r="A3087">
        <v>3071</v>
      </c>
      <c r="B3087" s="75">
        <v>90.04</v>
      </c>
      <c r="C3087" s="75">
        <v>99.04</v>
      </c>
      <c r="D3087" s="75">
        <v>93.35</v>
      </c>
      <c r="E3087" s="75">
        <v>94.13</v>
      </c>
      <c r="F3087">
        <v>-1592.25</v>
      </c>
      <c r="G3087">
        <v>-1243.3499999999999</v>
      </c>
      <c r="H3087">
        <v>-1075.8000000000002</v>
      </c>
      <c r="I3087">
        <v>-749.7</v>
      </c>
      <c r="J3087">
        <v>-4661.1000000000004</v>
      </c>
    </row>
    <row r="3088" spans="1:10" x14ac:dyDescent="0.35">
      <c r="A3088">
        <v>3072</v>
      </c>
      <c r="B3088" s="75">
        <v>89.3399</v>
      </c>
      <c r="C3088" s="75">
        <v>96.9756</v>
      </c>
      <c r="D3088" s="75">
        <v>91.960300000000004</v>
      </c>
      <c r="E3088" s="75">
        <v>96.277799999999999</v>
      </c>
      <c r="F3088">
        <v>705.21</v>
      </c>
      <c r="G3088">
        <v>1851.4499999999998</v>
      </c>
      <c r="H3088">
        <v>1711.6</v>
      </c>
      <c r="I3088">
        <v>-2897.2000000000003</v>
      </c>
      <c r="J3088">
        <v>1371.06</v>
      </c>
    </row>
    <row r="3089" spans="1:10" x14ac:dyDescent="0.35">
      <c r="A3089">
        <v>3073</v>
      </c>
      <c r="B3089" s="75">
        <v>88.27</v>
      </c>
      <c r="C3089" s="75">
        <v>97.23</v>
      </c>
      <c r="D3089" s="75">
        <v>94.22</v>
      </c>
      <c r="E3089" s="75">
        <v>93.34</v>
      </c>
      <c r="F3089">
        <v>4237.53</v>
      </c>
      <c r="G3089">
        <v>1475.7</v>
      </c>
      <c r="H3089">
        <v>-2805.8</v>
      </c>
      <c r="I3089">
        <v>37</v>
      </c>
      <c r="J3089">
        <v>2944.4299999999994</v>
      </c>
    </row>
    <row r="3090" spans="1:10" x14ac:dyDescent="0.35">
      <c r="A3090">
        <v>3074</v>
      </c>
      <c r="B3090" s="75">
        <v>89.724000000000004</v>
      </c>
      <c r="C3090" s="75">
        <v>98.786600000000007</v>
      </c>
      <c r="D3090" s="75">
        <v>93.360699999999994</v>
      </c>
      <c r="E3090" s="75">
        <v>95.190299999999993</v>
      </c>
      <c r="F3090">
        <v>-562.31999999999994</v>
      </c>
      <c r="G3090">
        <v>-865.05</v>
      </c>
      <c r="H3090">
        <v>-1089.2</v>
      </c>
      <c r="I3090">
        <v>-1809.7</v>
      </c>
      <c r="J3090">
        <v>-4326.2699999999995</v>
      </c>
    </row>
    <row r="3091" spans="1:10" x14ac:dyDescent="0.35">
      <c r="A3091">
        <v>3075</v>
      </c>
      <c r="B3091" s="75">
        <v>89.51</v>
      </c>
      <c r="C3091" s="75">
        <v>98.21</v>
      </c>
      <c r="D3091" s="75">
        <v>92.36</v>
      </c>
      <c r="E3091" s="75">
        <v>93.75</v>
      </c>
      <c r="F3091">
        <v>132.32999999999998</v>
      </c>
      <c r="G3091">
        <v>1.5</v>
      </c>
      <c r="H3091">
        <v>914</v>
      </c>
      <c r="I3091">
        <v>-364.9</v>
      </c>
      <c r="J3091">
        <v>682.93</v>
      </c>
    </row>
    <row r="3092" spans="1:10" x14ac:dyDescent="0.35">
      <c r="A3092">
        <v>3076</v>
      </c>
      <c r="B3092" s="75">
        <v>89.400700000000001</v>
      </c>
      <c r="C3092" s="75">
        <v>99.576400000000007</v>
      </c>
      <c r="D3092" s="75">
        <v>94.966099999999997</v>
      </c>
      <c r="E3092" s="75">
        <v>90.397800000000004</v>
      </c>
      <c r="F3092">
        <v>504.57000000000005</v>
      </c>
      <c r="G3092">
        <v>-2049.75</v>
      </c>
      <c r="H3092">
        <v>-4300</v>
      </c>
      <c r="I3092">
        <v>2982.8</v>
      </c>
      <c r="J3092">
        <v>-2862.38</v>
      </c>
    </row>
    <row r="3093" spans="1:10" x14ac:dyDescent="0.35">
      <c r="A3093">
        <v>3077</v>
      </c>
      <c r="B3093" s="75">
        <v>89.85</v>
      </c>
      <c r="C3093" s="75">
        <v>99.19</v>
      </c>
      <c r="D3093" s="75">
        <v>91.33</v>
      </c>
      <c r="E3093" s="75">
        <v>92.77</v>
      </c>
      <c r="F3093">
        <v>-963.59999999999991</v>
      </c>
      <c r="G3093">
        <v>-1465.35</v>
      </c>
      <c r="H3093">
        <v>2963.6</v>
      </c>
      <c r="I3093">
        <v>610.70000000000005</v>
      </c>
      <c r="J3093">
        <v>1145.3500000000001</v>
      </c>
    </row>
    <row r="3094" spans="1:10" x14ac:dyDescent="0.35">
      <c r="A3094">
        <v>3078</v>
      </c>
      <c r="B3094" s="75">
        <v>89.444100000000006</v>
      </c>
      <c r="C3094" s="75">
        <v>97.138800000000003</v>
      </c>
      <c r="D3094" s="75">
        <v>92.976900000000001</v>
      </c>
      <c r="E3094" s="75">
        <v>92.212299999999999</v>
      </c>
      <c r="F3094">
        <v>361.35</v>
      </c>
      <c r="G3094">
        <v>1606.6499999999999</v>
      </c>
      <c r="H3094">
        <v>-321.60000000000002</v>
      </c>
      <c r="I3094">
        <v>1168.3</v>
      </c>
      <c r="J3094">
        <v>2814.7</v>
      </c>
    </row>
    <row r="3095" spans="1:10" x14ac:dyDescent="0.35">
      <c r="A3095">
        <v>3079</v>
      </c>
      <c r="B3095" s="75">
        <v>90.39</v>
      </c>
      <c r="C3095" s="75">
        <v>99.17</v>
      </c>
      <c r="D3095" s="75">
        <v>92.5</v>
      </c>
      <c r="E3095" s="75">
        <v>93.28</v>
      </c>
      <c r="F3095">
        <v>-2775.96</v>
      </c>
      <c r="G3095">
        <v>-1442.55</v>
      </c>
      <c r="H3095">
        <v>630.4</v>
      </c>
      <c r="I3095">
        <v>95.699999999999989</v>
      </c>
      <c r="J3095">
        <v>-3492.4100000000003</v>
      </c>
    </row>
    <row r="3096" spans="1:10" x14ac:dyDescent="0.35">
      <c r="A3096">
        <v>3080</v>
      </c>
      <c r="B3096" s="75">
        <v>89.859300000000005</v>
      </c>
      <c r="C3096" s="75">
        <v>97.617999999999995</v>
      </c>
      <c r="D3096" s="75">
        <v>91.220799999999997</v>
      </c>
      <c r="E3096" s="75">
        <v>94.860699999999994</v>
      </c>
      <c r="F3096">
        <v>-1008.8100000000001</v>
      </c>
      <c r="G3096">
        <v>887.85</v>
      </c>
      <c r="H3096">
        <v>3190.6</v>
      </c>
      <c r="I3096">
        <v>-1480.1</v>
      </c>
      <c r="J3096">
        <v>1589.54</v>
      </c>
    </row>
    <row r="3097" spans="1:10" x14ac:dyDescent="0.35">
      <c r="A3097">
        <v>3081</v>
      </c>
      <c r="B3097" s="75">
        <v>89.38</v>
      </c>
      <c r="C3097" s="75">
        <v>97.44</v>
      </c>
      <c r="D3097" s="75">
        <v>93.83</v>
      </c>
      <c r="E3097" s="75">
        <v>93.81</v>
      </c>
      <c r="F3097">
        <v>564.63</v>
      </c>
      <c r="G3097">
        <v>1158</v>
      </c>
      <c r="H3097">
        <v>-2019.2</v>
      </c>
      <c r="I3097">
        <v>-424.59999999999997</v>
      </c>
      <c r="J3097">
        <v>-721.16999999999985</v>
      </c>
    </row>
    <row r="3098" spans="1:10" x14ac:dyDescent="0.35">
      <c r="A3098">
        <v>3082</v>
      </c>
      <c r="B3098" s="75">
        <v>89.497900000000001</v>
      </c>
      <c r="C3098" s="75">
        <v>98.695599999999999</v>
      </c>
      <c r="D3098" s="75">
        <v>92.799899999999994</v>
      </c>
      <c r="E3098" s="75">
        <v>95.6066</v>
      </c>
      <c r="F3098">
        <v>183.81</v>
      </c>
      <c r="G3098">
        <v>-728.55000000000007</v>
      </c>
      <c r="H3098">
        <v>32.4</v>
      </c>
      <c r="I3098">
        <v>-2226</v>
      </c>
      <c r="J3098">
        <v>-2738.34</v>
      </c>
    </row>
    <row r="3099" spans="1:10" x14ac:dyDescent="0.35">
      <c r="A3099">
        <v>3083</v>
      </c>
      <c r="B3099" s="75">
        <v>88.92</v>
      </c>
      <c r="C3099" s="75">
        <v>99.27</v>
      </c>
      <c r="D3099" s="75">
        <v>93.38</v>
      </c>
      <c r="E3099" s="75">
        <v>92.88</v>
      </c>
      <c r="F3099">
        <v>2100.4499999999998</v>
      </c>
      <c r="G3099">
        <v>-1584</v>
      </c>
      <c r="H3099">
        <v>-1134.8</v>
      </c>
      <c r="I3099">
        <v>503.4</v>
      </c>
      <c r="J3099">
        <v>-114.95000000000016</v>
      </c>
    </row>
    <row r="3100" spans="1:10" x14ac:dyDescent="0.35">
      <c r="A3100">
        <v>3084</v>
      </c>
      <c r="B3100" s="75">
        <v>90.454899999999995</v>
      </c>
      <c r="C3100" s="75">
        <v>97.8523</v>
      </c>
      <c r="D3100" s="75">
        <v>93.683000000000007</v>
      </c>
      <c r="E3100" s="75">
        <v>91.036000000000001</v>
      </c>
      <c r="F3100">
        <v>-2974.29</v>
      </c>
      <c r="G3100">
        <v>536.4</v>
      </c>
      <c r="H3100">
        <v>-1733.8</v>
      </c>
      <c r="I3100">
        <v>2344.6</v>
      </c>
      <c r="J3100">
        <v>-1827.0899999999997</v>
      </c>
    </row>
    <row r="3101" spans="1:10" x14ac:dyDescent="0.35">
      <c r="A3101">
        <v>3085</v>
      </c>
      <c r="B3101" s="75">
        <v>89.72</v>
      </c>
      <c r="C3101" s="75">
        <v>98.03</v>
      </c>
      <c r="D3101" s="75">
        <v>92.5</v>
      </c>
      <c r="E3101" s="75">
        <v>90.78</v>
      </c>
      <c r="F3101">
        <v>-551.42999999999995</v>
      </c>
      <c r="G3101">
        <v>262.5</v>
      </c>
      <c r="H3101">
        <v>626.4</v>
      </c>
      <c r="I3101">
        <v>2605.6</v>
      </c>
      <c r="J3101">
        <v>2943.0699999999997</v>
      </c>
    </row>
    <row r="3102" spans="1:10" x14ac:dyDescent="0.35">
      <c r="A3102">
        <v>3086</v>
      </c>
      <c r="B3102" s="75">
        <v>89.992099999999994</v>
      </c>
      <c r="C3102" s="75">
        <v>99.4131</v>
      </c>
      <c r="D3102" s="75">
        <v>92.182599999999994</v>
      </c>
      <c r="E3102" s="75">
        <v>92.347800000000007</v>
      </c>
      <c r="F3102">
        <v>-1447.05</v>
      </c>
      <c r="G3102">
        <v>-1804.8000000000002</v>
      </c>
      <c r="H3102">
        <v>1267</v>
      </c>
      <c r="I3102">
        <v>1032.8</v>
      </c>
      <c r="J3102">
        <v>-952.05000000000041</v>
      </c>
    </row>
    <row r="3103" spans="1:10" x14ac:dyDescent="0.35">
      <c r="A3103">
        <v>3087</v>
      </c>
      <c r="B3103" s="75">
        <v>90.4</v>
      </c>
      <c r="C3103" s="75">
        <v>98.1</v>
      </c>
      <c r="D3103" s="75">
        <v>92.77</v>
      </c>
      <c r="E3103" s="75">
        <v>90.77</v>
      </c>
      <c r="F3103">
        <v>-2790.81</v>
      </c>
      <c r="G3103">
        <v>172.04999999999998</v>
      </c>
      <c r="H3103">
        <v>85.4</v>
      </c>
      <c r="I3103">
        <v>2609.4</v>
      </c>
      <c r="J3103">
        <v>76.040000000000418</v>
      </c>
    </row>
    <row r="3104" spans="1:10" x14ac:dyDescent="0.35">
      <c r="A3104">
        <v>3088</v>
      </c>
      <c r="B3104" s="75">
        <v>89.894099999999995</v>
      </c>
      <c r="C3104" s="75">
        <v>98.355900000000005</v>
      </c>
      <c r="D3104" s="75">
        <v>93.013000000000005</v>
      </c>
      <c r="E3104" s="75">
        <v>92.345799999999997</v>
      </c>
      <c r="F3104">
        <v>-1123.6500000000001</v>
      </c>
      <c r="G3104">
        <v>-219</v>
      </c>
      <c r="H3104">
        <v>-393.8</v>
      </c>
      <c r="I3104">
        <v>1034.8</v>
      </c>
      <c r="J3104">
        <v>-701.65000000000009</v>
      </c>
    </row>
    <row r="3105" spans="1:10" x14ac:dyDescent="0.35">
      <c r="A3105">
        <v>3089</v>
      </c>
      <c r="B3105" s="75">
        <v>88.99</v>
      </c>
      <c r="C3105" s="75">
        <v>96.83</v>
      </c>
      <c r="D3105" s="75">
        <v>91.65</v>
      </c>
      <c r="E3105" s="75">
        <v>91.64</v>
      </c>
      <c r="F3105">
        <v>1863.51</v>
      </c>
      <c r="G3105">
        <v>2072.1</v>
      </c>
      <c r="H3105">
        <v>2326.6</v>
      </c>
      <c r="I3105">
        <v>1742.8</v>
      </c>
      <c r="J3105">
        <v>8005.0099999999993</v>
      </c>
    </row>
    <row r="3106" spans="1:10" x14ac:dyDescent="0.35">
      <c r="A3106">
        <v>3090</v>
      </c>
      <c r="B3106" s="75">
        <v>89.472300000000004</v>
      </c>
      <c r="C3106" s="75">
        <v>97.472200000000001</v>
      </c>
      <c r="D3106" s="75">
        <v>90.090999999999994</v>
      </c>
      <c r="E3106" s="75">
        <v>94.986599999999996</v>
      </c>
      <c r="F3106">
        <v>268.28999999999996</v>
      </c>
      <c r="G3106">
        <v>1106.55</v>
      </c>
      <c r="H3106">
        <v>5450.2</v>
      </c>
      <c r="I3106">
        <v>-1606</v>
      </c>
      <c r="J3106">
        <v>5219.04</v>
      </c>
    </row>
    <row r="3107" spans="1:10" x14ac:dyDescent="0.35">
      <c r="A3107">
        <v>3091</v>
      </c>
      <c r="B3107" s="75">
        <v>89.66</v>
      </c>
      <c r="C3107" s="75">
        <v>97.86</v>
      </c>
      <c r="D3107" s="75">
        <v>93.07</v>
      </c>
      <c r="E3107" s="75">
        <v>93.1</v>
      </c>
      <c r="F3107">
        <v>-340.56</v>
      </c>
      <c r="G3107">
        <v>525.90000000000009</v>
      </c>
      <c r="H3107">
        <v>-511.60000000000008</v>
      </c>
      <c r="I3107">
        <v>280.39999999999998</v>
      </c>
      <c r="J3107">
        <v>-45.860000000000014</v>
      </c>
    </row>
    <row r="3108" spans="1:10" x14ac:dyDescent="0.35">
      <c r="A3108">
        <v>3092</v>
      </c>
      <c r="B3108" s="75">
        <v>90.112300000000005</v>
      </c>
      <c r="C3108" s="75">
        <v>99.077600000000004</v>
      </c>
      <c r="D3108" s="75">
        <v>93.403400000000005</v>
      </c>
      <c r="E3108" s="75">
        <v>91.003500000000003</v>
      </c>
      <c r="F3108">
        <v>-1843.7099999999998</v>
      </c>
      <c r="G3108">
        <v>-1301.55</v>
      </c>
      <c r="H3108">
        <v>-1174.6000000000001</v>
      </c>
      <c r="I3108">
        <v>2377.1</v>
      </c>
      <c r="J3108">
        <v>-1942.7599999999998</v>
      </c>
    </row>
    <row r="3109" spans="1:10" x14ac:dyDescent="0.35">
      <c r="A3109">
        <v>3093</v>
      </c>
      <c r="B3109" s="75">
        <v>89.99</v>
      </c>
      <c r="C3109" s="75">
        <v>97.46</v>
      </c>
      <c r="D3109" s="75">
        <v>93.7</v>
      </c>
      <c r="E3109" s="75">
        <v>92.04</v>
      </c>
      <c r="F3109">
        <v>-1454.64</v>
      </c>
      <c r="G3109">
        <v>1126.8</v>
      </c>
      <c r="H3109">
        <v>-1763.2</v>
      </c>
      <c r="I3109">
        <v>1343</v>
      </c>
      <c r="J3109">
        <v>-748.04</v>
      </c>
    </row>
    <row r="3110" spans="1:10" x14ac:dyDescent="0.35">
      <c r="A3110">
        <v>3094</v>
      </c>
      <c r="B3110" s="75">
        <v>89.192499999999995</v>
      </c>
      <c r="C3110" s="75">
        <v>97.6952</v>
      </c>
      <c r="D3110" s="75">
        <v>91.358900000000006</v>
      </c>
      <c r="E3110" s="75">
        <v>92.563800000000001</v>
      </c>
      <c r="F3110">
        <v>1191.6299999999999</v>
      </c>
      <c r="G3110">
        <v>772.05000000000007</v>
      </c>
      <c r="H3110">
        <v>2914.4</v>
      </c>
      <c r="I3110">
        <v>816.8</v>
      </c>
      <c r="J3110">
        <v>5694.88</v>
      </c>
    </row>
    <row r="3111" spans="1:10" x14ac:dyDescent="0.35">
      <c r="A3111">
        <v>3095</v>
      </c>
      <c r="B3111" s="75">
        <v>89.14</v>
      </c>
      <c r="C3111" s="75">
        <v>98.37</v>
      </c>
      <c r="D3111" s="75">
        <v>92.61</v>
      </c>
      <c r="E3111" s="75">
        <v>96.27</v>
      </c>
      <c r="F3111">
        <v>1361.25</v>
      </c>
      <c r="G3111">
        <v>-243.14999999999998</v>
      </c>
      <c r="H3111">
        <v>404</v>
      </c>
      <c r="I3111">
        <v>-2892.3999999999996</v>
      </c>
      <c r="J3111">
        <v>-1370.2999999999997</v>
      </c>
    </row>
    <row r="3112" spans="1:10" x14ac:dyDescent="0.35">
      <c r="A3112">
        <v>3096</v>
      </c>
      <c r="B3112" s="75">
        <v>90.290199999999999</v>
      </c>
      <c r="C3112" s="75">
        <v>97.280500000000004</v>
      </c>
      <c r="D3112" s="75">
        <v>92.794399999999996</v>
      </c>
      <c r="E3112" s="75">
        <v>90.166499999999999</v>
      </c>
      <c r="F3112">
        <v>-2430.7800000000002</v>
      </c>
      <c r="G3112">
        <v>1394.1</v>
      </c>
      <c r="H3112">
        <v>43.4</v>
      </c>
      <c r="I3112">
        <v>3214.1000000000004</v>
      </c>
      <c r="J3112">
        <v>2220.8200000000002</v>
      </c>
    </row>
    <row r="3113" spans="1:10" x14ac:dyDescent="0.35">
      <c r="A3113">
        <v>3097</v>
      </c>
      <c r="B3113" s="75">
        <v>90.79</v>
      </c>
      <c r="C3113" s="75">
        <v>98.81</v>
      </c>
      <c r="D3113" s="75">
        <v>91.67</v>
      </c>
      <c r="E3113" s="75">
        <v>92.4</v>
      </c>
      <c r="F3113">
        <v>-4082.4300000000003</v>
      </c>
      <c r="G3113">
        <v>-900.75</v>
      </c>
      <c r="H3113">
        <v>2293.8000000000002</v>
      </c>
      <c r="I3113">
        <v>976.8</v>
      </c>
      <c r="J3113">
        <v>-1712.5800000000002</v>
      </c>
    </row>
    <row r="3114" spans="1:10" x14ac:dyDescent="0.35">
      <c r="A3114">
        <v>3098</v>
      </c>
      <c r="B3114" s="75">
        <v>89.872699999999995</v>
      </c>
      <c r="C3114" s="75">
        <v>98.8733</v>
      </c>
      <c r="D3114" s="75">
        <v>93.167400000000001</v>
      </c>
      <c r="E3114" s="75">
        <v>92.137100000000004</v>
      </c>
      <c r="F3114">
        <v>-1053.03</v>
      </c>
      <c r="G3114">
        <v>-995.1</v>
      </c>
      <c r="H3114">
        <v>-702.6</v>
      </c>
      <c r="I3114">
        <v>1243.5</v>
      </c>
      <c r="J3114">
        <v>-1507.23</v>
      </c>
    </row>
    <row r="3115" spans="1:10" x14ac:dyDescent="0.35">
      <c r="A3115">
        <v>3099</v>
      </c>
      <c r="B3115" s="75">
        <v>89.58</v>
      </c>
      <c r="C3115" s="75">
        <v>97.28</v>
      </c>
      <c r="D3115" s="75">
        <v>93</v>
      </c>
      <c r="E3115" s="75">
        <v>93.61</v>
      </c>
      <c r="F3115">
        <v>-97.02</v>
      </c>
      <c r="G3115">
        <v>1398.8999999999999</v>
      </c>
      <c r="H3115">
        <v>-367.59999999999997</v>
      </c>
      <c r="I3115">
        <v>-232.3</v>
      </c>
      <c r="J3115">
        <v>701.98</v>
      </c>
    </row>
    <row r="3116" spans="1:10" x14ac:dyDescent="0.35">
      <c r="A3116">
        <v>3100</v>
      </c>
      <c r="B3116" s="75">
        <v>89.810199999999995</v>
      </c>
      <c r="C3116" s="75">
        <v>97.823499999999996</v>
      </c>
      <c r="D3116" s="75">
        <v>94.576400000000007</v>
      </c>
      <c r="E3116" s="75">
        <v>93.227000000000004</v>
      </c>
      <c r="F3116">
        <v>-846.78</v>
      </c>
      <c r="G3116">
        <v>579.6</v>
      </c>
      <c r="H3116">
        <v>-3520.6</v>
      </c>
      <c r="I3116">
        <v>153.6</v>
      </c>
      <c r="J3116">
        <v>-3634.18</v>
      </c>
    </row>
    <row r="3117" spans="1:10" x14ac:dyDescent="0.35">
      <c r="A3117">
        <v>3101</v>
      </c>
      <c r="B3117" s="75">
        <v>89.52</v>
      </c>
      <c r="C3117" s="75">
        <v>98.75</v>
      </c>
      <c r="D3117" s="75">
        <v>92.42</v>
      </c>
      <c r="E3117" s="75">
        <v>93.46</v>
      </c>
      <c r="F3117">
        <v>124.41</v>
      </c>
      <c r="G3117">
        <v>-811.80000000000007</v>
      </c>
      <c r="H3117">
        <v>799.8</v>
      </c>
      <c r="I3117">
        <v>-81</v>
      </c>
      <c r="J3117">
        <v>31.409999999999854</v>
      </c>
    </row>
    <row r="3118" spans="1:10" x14ac:dyDescent="0.35">
      <c r="A3118">
        <v>3102</v>
      </c>
      <c r="B3118" s="75">
        <v>89.618200000000002</v>
      </c>
      <c r="C3118" s="75">
        <v>98.911500000000004</v>
      </c>
      <c r="D3118" s="75">
        <v>92.381500000000003</v>
      </c>
      <c r="E3118" s="75">
        <v>96.339100000000002</v>
      </c>
      <c r="F3118">
        <v>-213.18</v>
      </c>
      <c r="G3118">
        <v>-1052.4000000000001</v>
      </c>
      <c r="H3118">
        <v>869.19999999999993</v>
      </c>
      <c r="I3118">
        <v>-2958.5</v>
      </c>
      <c r="J3118">
        <v>-3354.88</v>
      </c>
    </row>
    <row r="3119" spans="1:10" x14ac:dyDescent="0.35">
      <c r="A3119">
        <v>3103</v>
      </c>
      <c r="B3119" s="75">
        <v>88.79</v>
      </c>
      <c r="C3119" s="75">
        <v>99.18</v>
      </c>
      <c r="D3119" s="75">
        <v>92.5</v>
      </c>
      <c r="E3119" s="75">
        <v>91.5</v>
      </c>
      <c r="F3119">
        <v>2504.37</v>
      </c>
      <c r="G3119">
        <v>-1452</v>
      </c>
      <c r="H3119">
        <v>637</v>
      </c>
      <c r="I3119">
        <v>1878.7</v>
      </c>
      <c r="J3119">
        <v>3568.0699999999997</v>
      </c>
    </row>
    <row r="3120" spans="1:10" x14ac:dyDescent="0.35">
      <c r="A3120">
        <v>3104</v>
      </c>
      <c r="B3120" s="75">
        <v>89.517300000000006</v>
      </c>
      <c r="C3120" s="75">
        <v>98.212500000000006</v>
      </c>
      <c r="D3120" s="75">
        <v>93.653499999999994</v>
      </c>
      <c r="E3120" s="75">
        <v>91.025099999999995</v>
      </c>
      <c r="F3120">
        <v>119.78999999999999</v>
      </c>
      <c r="G3120">
        <v>-3.9</v>
      </c>
      <c r="H3120">
        <v>-1674.8</v>
      </c>
      <c r="I3120">
        <v>2355.5</v>
      </c>
      <c r="J3120">
        <v>796.59000000000015</v>
      </c>
    </row>
    <row r="3121" spans="1:10" x14ac:dyDescent="0.35">
      <c r="A3121">
        <v>3105</v>
      </c>
      <c r="B3121" s="75">
        <v>88.87</v>
      </c>
      <c r="C3121" s="75">
        <v>97.49</v>
      </c>
      <c r="D3121" s="75">
        <v>91.81</v>
      </c>
      <c r="E3121" s="75">
        <v>93.99</v>
      </c>
      <c r="F3121">
        <v>2261.8200000000002</v>
      </c>
      <c r="G3121">
        <v>1082.55</v>
      </c>
      <c r="H3121">
        <v>2003</v>
      </c>
      <c r="I3121">
        <v>-613.1</v>
      </c>
      <c r="J3121">
        <v>4734.2699999999995</v>
      </c>
    </row>
    <row r="3122" spans="1:10" x14ac:dyDescent="0.35">
      <c r="A3122">
        <v>3106</v>
      </c>
      <c r="B3122" s="75">
        <v>89.243600000000001</v>
      </c>
      <c r="C3122" s="75">
        <v>97.178899999999999</v>
      </c>
      <c r="D3122" s="75">
        <v>93.102699999999999</v>
      </c>
      <c r="E3122" s="75">
        <v>96.076300000000003</v>
      </c>
      <c r="F3122">
        <v>1023</v>
      </c>
      <c r="G3122">
        <v>1546.4999999999998</v>
      </c>
      <c r="H3122">
        <v>-573.20000000000005</v>
      </c>
      <c r="I3122">
        <v>-2695.7</v>
      </c>
      <c r="J3122">
        <v>-699.39999999999986</v>
      </c>
    </row>
    <row r="3123" spans="1:10" x14ac:dyDescent="0.35">
      <c r="A3123">
        <v>3107</v>
      </c>
      <c r="B3123" s="75">
        <v>90.16</v>
      </c>
      <c r="C3123" s="75">
        <v>98.31</v>
      </c>
      <c r="D3123" s="75">
        <v>92.63</v>
      </c>
      <c r="E3123" s="75">
        <v>95.47</v>
      </c>
      <c r="F3123">
        <v>-1991.2200000000003</v>
      </c>
      <c r="G3123">
        <v>-151.35</v>
      </c>
      <c r="H3123">
        <v>363.20000000000005</v>
      </c>
      <c r="I3123">
        <v>-2092.4</v>
      </c>
      <c r="J3123">
        <v>-3871.7700000000004</v>
      </c>
    </row>
    <row r="3124" spans="1:10" x14ac:dyDescent="0.35">
      <c r="A3124">
        <v>3108</v>
      </c>
      <c r="B3124" s="75">
        <v>88.647199999999998</v>
      </c>
      <c r="C3124" s="75">
        <v>97.881</v>
      </c>
      <c r="D3124" s="75">
        <v>92.697500000000005</v>
      </c>
      <c r="E3124" s="75">
        <v>95.691999999999993</v>
      </c>
      <c r="F3124">
        <v>2991.12</v>
      </c>
      <c r="G3124">
        <v>493.35</v>
      </c>
      <c r="H3124">
        <v>237.2</v>
      </c>
      <c r="I3124">
        <v>-2311.4</v>
      </c>
      <c r="J3124">
        <v>1410.2699999999995</v>
      </c>
    </row>
    <row r="3125" spans="1:10" x14ac:dyDescent="0.35">
      <c r="A3125">
        <v>3109</v>
      </c>
      <c r="B3125" s="75">
        <v>88.87</v>
      </c>
      <c r="C3125" s="75">
        <v>98.34</v>
      </c>
      <c r="D3125" s="75">
        <v>92.93</v>
      </c>
      <c r="E3125" s="75">
        <v>91.98</v>
      </c>
      <c r="F3125">
        <v>2268.75</v>
      </c>
      <c r="G3125">
        <v>-200.25</v>
      </c>
      <c r="H3125">
        <v>-227.39999999999998</v>
      </c>
      <c r="I3125">
        <v>1400.6000000000001</v>
      </c>
      <c r="J3125">
        <v>3241.7</v>
      </c>
    </row>
    <row r="3126" spans="1:10" x14ac:dyDescent="0.35">
      <c r="A3126">
        <v>3110</v>
      </c>
      <c r="B3126" s="75">
        <v>89.517300000000006</v>
      </c>
      <c r="C3126" s="75">
        <v>98.161299999999997</v>
      </c>
      <c r="D3126" s="75">
        <v>92.763000000000005</v>
      </c>
      <c r="E3126" s="75">
        <v>92.142600000000002</v>
      </c>
      <c r="F3126">
        <v>119.78999999999999</v>
      </c>
      <c r="G3126">
        <v>72.899999999999991</v>
      </c>
      <c r="H3126">
        <v>106.2</v>
      </c>
      <c r="I3126">
        <v>1238</v>
      </c>
      <c r="J3126">
        <v>1536.8899999999999</v>
      </c>
    </row>
    <row r="3127" spans="1:10" x14ac:dyDescent="0.35">
      <c r="A3127">
        <v>3111</v>
      </c>
      <c r="B3127" s="75">
        <v>90.57</v>
      </c>
      <c r="C3127" s="75">
        <v>97.99</v>
      </c>
      <c r="D3127" s="75">
        <v>91.9</v>
      </c>
      <c r="E3127" s="75">
        <v>92.66</v>
      </c>
      <c r="F3127">
        <v>-3356.43</v>
      </c>
      <c r="G3127">
        <v>331.35</v>
      </c>
      <c r="H3127">
        <v>1834.8</v>
      </c>
      <c r="I3127">
        <v>721.7</v>
      </c>
      <c r="J3127">
        <v>-468.57999999999993</v>
      </c>
    </row>
    <row r="3128" spans="1:10" x14ac:dyDescent="0.35">
      <c r="A3128">
        <v>3112</v>
      </c>
      <c r="B3128" s="75">
        <v>88.787800000000004</v>
      </c>
      <c r="C3128" s="75">
        <v>98.5976</v>
      </c>
      <c r="D3128" s="75">
        <v>93.6571</v>
      </c>
      <c r="E3128" s="75">
        <v>93.071600000000004</v>
      </c>
      <c r="F3128">
        <v>2527.1400000000003</v>
      </c>
      <c r="G3128">
        <v>-581.54999999999995</v>
      </c>
      <c r="H3128">
        <v>-1682</v>
      </c>
      <c r="I3128">
        <v>309</v>
      </c>
      <c r="J3128">
        <v>572.59000000000037</v>
      </c>
    </row>
    <row r="3129" spans="1:10" x14ac:dyDescent="0.35">
      <c r="A3129">
        <v>3113</v>
      </c>
      <c r="B3129" s="75">
        <v>89.97</v>
      </c>
      <c r="C3129" s="75">
        <v>97.79</v>
      </c>
      <c r="D3129" s="75">
        <v>93.38</v>
      </c>
      <c r="E3129" s="75">
        <v>94.05</v>
      </c>
      <c r="F3129">
        <v>-1366.8600000000001</v>
      </c>
      <c r="G3129">
        <v>625.95000000000005</v>
      </c>
      <c r="H3129">
        <v>-1118</v>
      </c>
      <c r="I3129">
        <v>-673.3</v>
      </c>
      <c r="J3129">
        <v>-2532.21</v>
      </c>
    </row>
    <row r="3130" spans="1:10" x14ac:dyDescent="0.35">
      <c r="A3130">
        <v>3114</v>
      </c>
      <c r="B3130" s="75">
        <v>89.480400000000003</v>
      </c>
      <c r="C3130" s="75">
        <v>98.184299999999993</v>
      </c>
      <c r="D3130" s="75">
        <v>93.783199999999994</v>
      </c>
      <c r="E3130" s="75">
        <v>94.385599999999997</v>
      </c>
      <c r="F3130">
        <v>241.56</v>
      </c>
      <c r="G3130">
        <v>38.4</v>
      </c>
      <c r="H3130">
        <v>-1934.1999999999998</v>
      </c>
      <c r="I3130">
        <v>-1004.9999999999999</v>
      </c>
      <c r="J3130">
        <v>-2659.24</v>
      </c>
    </row>
    <row r="3131" spans="1:10" x14ac:dyDescent="0.35">
      <c r="A3131">
        <v>3115</v>
      </c>
      <c r="B3131" s="75">
        <v>89.22</v>
      </c>
      <c r="C3131" s="75">
        <v>96.76</v>
      </c>
      <c r="D3131" s="75">
        <v>92.85</v>
      </c>
      <c r="E3131" s="75">
        <v>96.34</v>
      </c>
      <c r="F3131">
        <v>1109.79</v>
      </c>
      <c r="G3131">
        <v>2180.6999999999998</v>
      </c>
      <c r="H3131">
        <v>-75.2</v>
      </c>
      <c r="I3131">
        <v>-2958.1</v>
      </c>
      <c r="J3131">
        <v>257.19000000000005</v>
      </c>
    </row>
    <row r="3132" spans="1:10" x14ac:dyDescent="0.35">
      <c r="A3132">
        <v>3116</v>
      </c>
      <c r="B3132" s="75">
        <v>90.437299999999993</v>
      </c>
      <c r="C3132" s="75">
        <v>98.445099999999996</v>
      </c>
      <c r="D3132" s="75">
        <v>92.869299999999996</v>
      </c>
      <c r="E3132" s="75">
        <v>93.301900000000003</v>
      </c>
      <c r="F3132">
        <v>-2916.21</v>
      </c>
      <c r="G3132">
        <v>-352.8</v>
      </c>
      <c r="H3132">
        <v>-106.39999999999999</v>
      </c>
      <c r="I3132">
        <v>78.7</v>
      </c>
      <c r="J3132">
        <v>-3296.7100000000005</v>
      </c>
    </row>
    <row r="3133" spans="1:10" x14ac:dyDescent="0.35">
      <c r="A3133">
        <v>3117</v>
      </c>
      <c r="B3133" s="75">
        <v>89.64</v>
      </c>
      <c r="C3133" s="75">
        <v>97.87</v>
      </c>
      <c r="D3133" s="75">
        <v>92.72</v>
      </c>
      <c r="E3133" s="75">
        <v>94.37</v>
      </c>
      <c r="F3133">
        <v>-300.96000000000004</v>
      </c>
      <c r="G3133">
        <v>512.85</v>
      </c>
      <c r="H3133">
        <v>182.4</v>
      </c>
      <c r="I3133">
        <v>-990.4</v>
      </c>
      <c r="J3133">
        <v>-596.11</v>
      </c>
    </row>
    <row r="3134" spans="1:10" x14ac:dyDescent="0.35">
      <c r="A3134">
        <v>3118</v>
      </c>
      <c r="B3134" s="75">
        <v>90.688699999999997</v>
      </c>
      <c r="C3134" s="75">
        <v>97.077600000000004</v>
      </c>
      <c r="D3134" s="75">
        <v>91.658199999999994</v>
      </c>
      <c r="E3134" s="75">
        <v>92.012900000000002</v>
      </c>
      <c r="F3134">
        <v>-3745.83</v>
      </c>
      <c r="G3134">
        <v>1698.45</v>
      </c>
      <c r="H3134">
        <v>2315.7999999999997</v>
      </c>
      <c r="I3134">
        <v>1367.6999999999998</v>
      </c>
      <c r="J3134">
        <v>1636.1199999999997</v>
      </c>
    </row>
    <row r="3135" spans="1:10" x14ac:dyDescent="0.35">
      <c r="A3135">
        <v>3119</v>
      </c>
      <c r="B3135" s="75">
        <v>90.17</v>
      </c>
      <c r="C3135" s="75">
        <v>98.44</v>
      </c>
      <c r="D3135" s="75">
        <v>92.62</v>
      </c>
      <c r="E3135" s="75">
        <v>96.28</v>
      </c>
      <c r="F3135">
        <v>-2034.12</v>
      </c>
      <c r="G3135">
        <v>-340.8</v>
      </c>
      <c r="H3135">
        <v>399.2</v>
      </c>
      <c r="I3135">
        <v>-2894.7</v>
      </c>
      <c r="J3135">
        <v>-4870.42</v>
      </c>
    </row>
    <row r="3136" spans="1:10" x14ac:dyDescent="0.35">
      <c r="A3136">
        <v>3120</v>
      </c>
      <c r="B3136" s="75">
        <v>89.532799999999995</v>
      </c>
      <c r="C3136" s="75">
        <v>98.032399999999996</v>
      </c>
      <c r="D3136" s="75">
        <v>92.308099999999996</v>
      </c>
      <c r="E3136" s="75">
        <v>93.797499999999999</v>
      </c>
      <c r="F3136">
        <v>68.64</v>
      </c>
      <c r="G3136">
        <v>266.25</v>
      </c>
      <c r="H3136">
        <v>1016</v>
      </c>
      <c r="I3136">
        <v>-416.9</v>
      </c>
      <c r="J3136">
        <v>933.9899999999999</v>
      </c>
    </row>
    <row r="3137" spans="1:10" x14ac:dyDescent="0.35">
      <c r="A3137">
        <v>3121</v>
      </c>
      <c r="B3137" s="75">
        <v>89.93</v>
      </c>
      <c r="C3137" s="75">
        <v>97.84</v>
      </c>
      <c r="D3137" s="75">
        <v>94</v>
      </c>
      <c r="E3137" s="75">
        <v>94.4</v>
      </c>
      <c r="F3137">
        <v>-1228.92</v>
      </c>
      <c r="G3137">
        <v>562.04999999999995</v>
      </c>
      <c r="H3137">
        <v>-2377.2000000000003</v>
      </c>
      <c r="I3137">
        <v>-1021.9</v>
      </c>
      <c r="J3137">
        <v>-4065.9700000000007</v>
      </c>
    </row>
    <row r="3138" spans="1:10" x14ac:dyDescent="0.35">
      <c r="A3138">
        <v>3122</v>
      </c>
      <c r="B3138" s="75">
        <v>88.962299999999999</v>
      </c>
      <c r="C3138" s="75">
        <v>98.304699999999997</v>
      </c>
      <c r="D3138" s="75">
        <v>91.732299999999995</v>
      </c>
      <c r="E3138" s="75">
        <v>92.033900000000003</v>
      </c>
      <c r="F3138">
        <v>1951.2900000000002</v>
      </c>
      <c r="G3138">
        <v>-142.19999999999999</v>
      </c>
      <c r="H3138">
        <v>2167.6000000000004</v>
      </c>
      <c r="I3138">
        <v>1346.7</v>
      </c>
      <c r="J3138">
        <v>5323.39</v>
      </c>
    </row>
    <row r="3139" spans="1:10" x14ac:dyDescent="0.35">
      <c r="A3139">
        <v>3123</v>
      </c>
      <c r="B3139" s="75">
        <v>89.22</v>
      </c>
      <c r="C3139" s="75">
        <v>98.41</v>
      </c>
      <c r="D3139" s="75">
        <v>92.89</v>
      </c>
      <c r="E3139" s="75">
        <v>94.75</v>
      </c>
      <c r="F3139">
        <v>1089.33</v>
      </c>
      <c r="G3139">
        <v>-298.2</v>
      </c>
      <c r="H3139">
        <v>-149.4</v>
      </c>
      <c r="I3139">
        <v>-1368.8</v>
      </c>
      <c r="J3139">
        <v>-727.07</v>
      </c>
    </row>
    <row r="3140" spans="1:10" x14ac:dyDescent="0.35">
      <c r="A3140">
        <v>3124</v>
      </c>
      <c r="B3140" s="75">
        <v>89.578900000000004</v>
      </c>
      <c r="C3140" s="75">
        <v>98.9255</v>
      </c>
      <c r="D3140" s="75">
        <v>92.716700000000003</v>
      </c>
      <c r="E3140" s="75">
        <v>91.825900000000004</v>
      </c>
      <c r="F3140">
        <v>-83.49</v>
      </c>
      <c r="G3140">
        <v>-1073.4000000000001</v>
      </c>
      <c r="H3140">
        <v>198.8</v>
      </c>
      <c r="I3140">
        <v>1554.7</v>
      </c>
      <c r="J3140">
        <v>596.6099999999999</v>
      </c>
    </row>
    <row r="3141" spans="1:10" x14ac:dyDescent="0.35">
      <c r="A3141">
        <v>3125</v>
      </c>
      <c r="B3141" s="75">
        <v>90.16</v>
      </c>
      <c r="C3141" s="75">
        <v>98.18</v>
      </c>
      <c r="D3141" s="75">
        <v>92.91</v>
      </c>
      <c r="E3141" s="75">
        <v>92.74</v>
      </c>
      <c r="F3141">
        <v>-1993.2</v>
      </c>
      <c r="G3141">
        <v>47.849999999999994</v>
      </c>
      <c r="H3141">
        <v>-178.2</v>
      </c>
      <c r="I3141">
        <v>637.59999999999991</v>
      </c>
      <c r="J3141">
        <v>-1485.9500000000003</v>
      </c>
    </row>
    <row r="3142" spans="1:10" x14ac:dyDescent="0.35">
      <c r="A3142">
        <v>3126</v>
      </c>
      <c r="B3142" s="75">
        <v>89.026399999999995</v>
      </c>
      <c r="C3142" s="75">
        <v>98.9345</v>
      </c>
      <c r="D3142" s="75">
        <v>92.078500000000005</v>
      </c>
      <c r="E3142" s="75">
        <v>92.317899999999995</v>
      </c>
      <c r="F3142">
        <v>1739.76</v>
      </c>
      <c r="G3142">
        <v>-1086.9000000000001</v>
      </c>
      <c r="H3142">
        <v>1475.2</v>
      </c>
      <c r="I3142">
        <v>1062.7</v>
      </c>
      <c r="J3142">
        <v>3190.76</v>
      </c>
    </row>
    <row r="3143" spans="1:10" x14ac:dyDescent="0.35">
      <c r="A3143">
        <v>3127</v>
      </c>
      <c r="B3143" s="75">
        <v>90.2</v>
      </c>
      <c r="C3143" s="75">
        <v>97.59</v>
      </c>
      <c r="D3143" s="75">
        <v>94</v>
      </c>
      <c r="E3143" s="75">
        <v>91.66</v>
      </c>
      <c r="F3143">
        <v>-2141.37</v>
      </c>
      <c r="G3143">
        <v>935.25000000000011</v>
      </c>
      <c r="H3143">
        <v>-2358.4</v>
      </c>
      <c r="I3143">
        <v>1722.6</v>
      </c>
      <c r="J3143">
        <v>-1841.92</v>
      </c>
    </row>
    <row r="3144" spans="1:10" x14ac:dyDescent="0.35">
      <c r="A3144">
        <v>3128</v>
      </c>
      <c r="B3144" s="75">
        <v>89.645200000000003</v>
      </c>
      <c r="C3144" s="75">
        <v>97.573099999999997</v>
      </c>
      <c r="D3144" s="75">
        <v>90.319699999999997</v>
      </c>
      <c r="E3144" s="75">
        <v>92.542500000000004</v>
      </c>
      <c r="F3144">
        <v>-302.28000000000003</v>
      </c>
      <c r="G3144">
        <v>955.2</v>
      </c>
      <c r="H3144">
        <v>4992.8</v>
      </c>
      <c r="I3144">
        <v>838.09999999999991</v>
      </c>
      <c r="J3144">
        <v>6483.82</v>
      </c>
    </row>
    <row r="3145" spans="1:10" x14ac:dyDescent="0.35">
      <c r="A3145">
        <v>3129</v>
      </c>
      <c r="B3145" s="75">
        <v>90.29</v>
      </c>
      <c r="C3145" s="75">
        <v>99.36</v>
      </c>
      <c r="D3145" s="75">
        <v>93.29</v>
      </c>
      <c r="E3145" s="75">
        <v>91.21</v>
      </c>
      <c r="F3145">
        <v>-2426.16</v>
      </c>
      <c r="G3145">
        <v>-1720.8</v>
      </c>
      <c r="H3145">
        <v>-952.8</v>
      </c>
      <c r="I3145">
        <v>2169.7000000000003</v>
      </c>
      <c r="J3145">
        <v>-2930.06</v>
      </c>
    </row>
    <row r="3146" spans="1:10" x14ac:dyDescent="0.35">
      <c r="A3146">
        <v>3130</v>
      </c>
      <c r="B3146" s="75">
        <v>90.787999999999997</v>
      </c>
      <c r="C3146" s="75">
        <v>98.853700000000003</v>
      </c>
      <c r="D3146" s="75">
        <v>94.441100000000006</v>
      </c>
      <c r="E3146" s="75">
        <v>93.570899999999995</v>
      </c>
      <c r="F3146">
        <v>-4073.52</v>
      </c>
      <c r="G3146">
        <v>-965.7</v>
      </c>
      <c r="H3146">
        <v>-3250</v>
      </c>
      <c r="I3146">
        <v>-190.29999999999998</v>
      </c>
      <c r="J3146">
        <v>-8479.52</v>
      </c>
    </row>
    <row r="3147" spans="1:10" x14ac:dyDescent="0.35">
      <c r="A3147">
        <v>3131</v>
      </c>
      <c r="B3147" s="75">
        <v>89.95</v>
      </c>
      <c r="C3147" s="75">
        <v>99.48</v>
      </c>
      <c r="D3147" s="75">
        <v>93.99</v>
      </c>
      <c r="E3147" s="75">
        <v>92.47</v>
      </c>
      <c r="F3147">
        <v>-1323.3000000000002</v>
      </c>
      <c r="G3147">
        <v>-1904.5500000000002</v>
      </c>
      <c r="H3147">
        <v>-2339.7999999999997</v>
      </c>
      <c r="I3147">
        <v>909.5</v>
      </c>
      <c r="J3147">
        <v>-4658.1499999999996</v>
      </c>
    </row>
    <row r="3148" spans="1:10" x14ac:dyDescent="0.35">
      <c r="A3148">
        <v>3132</v>
      </c>
      <c r="B3148" s="75">
        <v>90.181200000000004</v>
      </c>
      <c r="C3148" s="75">
        <v>97.734700000000004</v>
      </c>
      <c r="D3148" s="75">
        <v>92.470299999999995</v>
      </c>
      <c r="E3148" s="75">
        <v>92.731999999999999</v>
      </c>
      <c r="F3148">
        <v>-2071.08</v>
      </c>
      <c r="G3148">
        <v>712.80000000000007</v>
      </c>
      <c r="H3148">
        <v>691.6</v>
      </c>
      <c r="I3148">
        <v>648.59999999999991</v>
      </c>
      <c r="J3148">
        <v>-18.079999999999814</v>
      </c>
    </row>
    <row r="3149" spans="1:10" x14ac:dyDescent="0.35">
      <c r="A3149">
        <v>3133</v>
      </c>
      <c r="B3149" s="75">
        <v>89.67</v>
      </c>
      <c r="C3149" s="75">
        <v>98.39</v>
      </c>
      <c r="D3149" s="75">
        <v>94.24</v>
      </c>
      <c r="E3149" s="75">
        <v>94.18</v>
      </c>
      <c r="F3149">
        <v>-377.19</v>
      </c>
      <c r="G3149">
        <v>-269.25</v>
      </c>
      <c r="H3149">
        <v>-2843</v>
      </c>
      <c r="I3149">
        <v>-794.90000000000009</v>
      </c>
      <c r="J3149">
        <v>-4284.34</v>
      </c>
    </row>
    <row r="3150" spans="1:10" x14ac:dyDescent="0.35">
      <c r="A3150">
        <v>3134</v>
      </c>
      <c r="B3150" s="75">
        <v>90.559299999999993</v>
      </c>
      <c r="C3150" s="75">
        <v>98.905199999999994</v>
      </c>
      <c r="D3150" s="75">
        <v>91.607699999999994</v>
      </c>
      <c r="E3150" s="75">
        <v>92.741699999999994</v>
      </c>
      <c r="F3150">
        <v>-3318.81</v>
      </c>
      <c r="G3150">
        <v>-1042.95</v>
      </c>
      <c r="H3150">
        <v>2416.7999999999997</v>
      </c>
      <c r="I3150">
        <v>638.9</v>
      </c>
      <c r="J3150">
        <v>-1306.0600000000004</v>
      </c>
    </row>
    <row r="3151" spans="1:10" x14ac:dyDescent="0.35">
      <c r="A3151">
        <v>3135</v>
      </c>
      <c r="B3151" s="75">
        <v>89.48</v>
      </c>
      <c r="C3151" s="75">
        <v>96.86</v>
      </c>
      <c r="D3151" s="75">
        <v>92.14</v>
      </c>
      <c r="E3151" s="75">
        <v>92.16</v>
      </c>
      <c r="F3151">
        <v>251.79000000000002</v>
      </c>
      <c r="G3151">
        <v>2025.3000000000002</v>
      </c>
      <c r="H3151">
        <v>1361</v>
      </c>
      <c r="I3151">
        <v>1217.9000000000001</v>
      </c>
      <c r="J3151">
        <v>4855.99</v>
      </c>
    </row>
    <row r="3152" spans="1:10" x14ac:dyDescent="0.35">
      <c r="A3152">
        <v>3136</v>
      </c>
      <c r="B3152" s="75">
        <v>89.674000000000007</v>
      </c>
      <c r="C3152" s="75">
        <v>97.623999999999995</v>
      </c>
      <c r="D3152" s="75">
        <v>92.158100000000005</v>
      </c>
      <c r="E3152" s="75">
        <v>93.336600000000004</v>
      </c>
      <c r="F3152">
        <v>-397.32</v>
      </c>
      <c r="G3152">
        <v>878.84999999999991</v>
      </c>
      <c r="H3152">
        <v>1316</v>
      </c>
      <c r="I3152">
        <v>44</v>
      </c>
      <c r="J3152">
        <v>1841.53</v>
      </c>
    </row>
    <row r="3153" spans="1:10" x14ac:dyDescent="0.35">
      <c r="A3153">
        <v>3137</v>
      </c>
      <c r="B3153" s="75">
        <v>89.62</v>
      </c>
      <c r="C3153" s="75">
        <v>98.91</v>
      </c>
      <c r="D3153" s="75">
        <v>92.16</v>
      </c>
      <c r="E3153" s="75">
        <v>92.83</v>
      </c>
      <c r="F3153">
        <v>-220.10999999999999</v>
      </c>
      <c r="G3153">
        <v>-1057.2</v>
      </c>
      <c r="H3153">
        <v>1311.1999999999998</v>
      </c>
      <c r="I3153">
        <v>554.5</v>
      </c>
      <c r="J3153">
        <v>588.38999999999987</v>
      </c>
    </row>
    <row r="3154" spans="1:10" x14ac:dyDescent="0.35">
      <c r="A3154">
        <v>3138</v>
      </c>
      <c r="B3154" s="75">
        <v>89.391599999999997</v>
      </c>
      <c r="C3154" s="75">
        <v>99.729600000000005</v>
      </c>
      <c r="D3154" s="75">
        <v>92.1096</v>
      </c>
      <c r="E3154" s="75">
        <v>92.834599999999995</v>
      </c>
      <c r="F3154">
        <v>534.6</v>
      </c>
      <c r="G3154">
        <v>-2279.5500000000002</v>
      </c>
      <c r="H3154">
        <v>1413</v>
      </c>
      <c r="I3154">
        <v>546</v>
      </c>
      <c r="J3154">
        <v>214.04999999999973</v>
      </c>
    </row>
    <row r="3155" spans="1:10" x14ac:dyDescent="0.35">
      <c r="A3155">
        <v>3139</v>
      </c>
      <c r="B3155" s="75">
        <v>88.66</v>
      </c>
      <c r="C3155" s="75">
        <v>97.73</v>
      </c>
      <c r="D3155" s="75">
        <v>93.14</v>
      </c>
      <c r="E3155" s="75">
        <v>97.04</v>
      </c>
      <c r="F3155">
        <v>2949.87</v>
      </c>
      <c r="G3155">
        <v>726.45</v>
      </c>
      <c r="H3155">
        <v>-645.20000000000005</v>
      </c>
      <c r="I3155">
        <v>-3656.1</v>
      </c>
      <c r="J3155">
        <v>-624.98</v>
      </c>
    </row>
    <row r="3156" spans="1:10" x14ac:dyDescent="0.35">
      <c r="A3156">
        <v>3140</v>
      </c>
      <c r="B3156" s="75">
        <v>89.614000000000004</v>
      </c>
      <c r="C3156" s="75">
        <v>98.094899999999996</v>
      </c>
      <c r="D3156" s="75">
        <v>93.571700000000007</v>
      </c>
      <c r="E3156" s="75">
        <v>94.265000000000001</v>
      </c>
      <c r="F3156">
        <v>-199.32000000000002</v>
      </c>
      <c r="G3156">
        <v>172.5</v>
      </c>
      <c r="H3156">
        <v>-1511.2</v>
      </c>
      <c r="I3156">
        <v>-884.4</v>
      </c>
      <c r="J3156">
        <v>-2422.42</v>
      </c>
    </row>
    <row r="3157" spans="1:10" x14ac:dyDescent="0.35">
      <c r="A3157">
        <v>3141</v>
      </c>
      <c r="B3157" s="75">
        <v>89.64</v>
      </c>
      <c r="C3157" s="75">
        <v>98.53</v>
      </c>
      <c r="D3157" s="75">
        <v>94.23</v>
      </c>
      <c r="E3157" s="75">
        <v>93.95</v>
      </c>
      <c r="F3157">
        <v>-301.29000000000002</v>
      </c>
      <c r="G3157">
        <v>-487.5</v>
      </c>
      <c r="H3157">
        <v>-2817.8</v>
      </c>
      <c r="I3157">
        <v>-570.5</v>
      </c>
      <c r="J3157">
        <v>-4177.09</v>
      </c>
    </row>
    <row r="3158" spans="1:10" x14ac:dyDescent="0.35">
      <c r="A3158">
        <v>3142</v>
      </c>
      <c r="B3158" s="75">
        <v>90.122699999999995</v>
      </c>
      <c r="C3158" s="75">
        <v>96.614599999999996</v>
      </c>
      <c r="D3158" s="75">
        <v>95.114500000000007</v>
      </c>
      <c r="E3158" s="75">
        <v>92.988900000000001</v>
      </c>
      <c r="F3158">
        <v>-1878.0300000000002</v>
      </c>
      <c r="G3158">
        <v>2392.9499999999998</v>
      </c>
      <c r="H3158">
        <v>-4596.8</v>
      </c>
      <c r="I3158">
        <v>391.7</v>
      </c>
      <c r="J3158">
        <v>-3690.1800000000007</v>
      </c>
    </row>
    <row r="3159" spans="1:10" x14ac:dyDescent="0.35">
      <c r="A3159">
        <v>3143</v>
      </c>
      <c r="B3159" s="75">
        <v>89.52</v>
      </c>
      <c r="C3159" s="75">
        <v>98.28</v>
      </c>
      <c r="D3159" s="75">
        <v>92.65</v>
      </c>
      <c r="E3159" s="75">
        <v>92.44</v>
      </c>
      <c r="F3159">
        <v>96.69</v>
      </c>
      <c r="G3159">
        <v>-105.74999999999999</v>
      </c>
      <c r="H3159">
        <v>330</v>
      </c>
      <c r="I3159">
        <v>945.1</v>
      </c>
      <c r="J3159">
        <v>1266.04</v>
      </c>
    </row>
    <row r="3160" spans="1:10" x14ac:dyDescent="0.35">
      <c r="A3160">
        <v>3144</v>
      </c>
      <c r="B3160" s="75">
        <v>89.985399999999998</v>
      </c>
      <c r="C3160" s="75">
        <v>97.6233</v>
      </c>
      <c r="D3160" s="75">
        <v>92.624399999999994</v>
      </c>
      <c r="E3160" s="75">
        <v>95.581500000000005</v>
      </c>
      <c r="F3160">
        <v>-1424.94</v>
      </c>
      <c r="G3160">
        <v>879.9</v>
      </c>
      <c r="H3160">
        <v>383.40000000000003</v>
      </c>
      <c r="I3160">
        <v>-2200.8999999999996</v>
      </c>
      <c r="J3160">
        <v>-2362.5399999999995</v>
      </c>
    </row>
    <row r="3161" spans="1:10" x14ac:dyDescent="0.35">
      <c r="A3161">
        <v>3145</v>
      </c>
      <c r="B3161" s="75">
        <v>89.72</v>
      </c>
      <c r="C3161" s="75">
        <v>97.39</v>
      </c>
      <c r="D3161" s="75">
        <v>94.78</v>
      </c>
      <c r="E3161" s="75">
        <v>90.66</v>
      </c>
      <c r="F3161">
        <v>-553.41</v>
      </c>
      <c r="G3161">
        <v>1223.25</v>
      </c>
      <c r="H3161">
        <v>-3929.6000000000004</v>
      </c>
      <c r="I3161">
        <v>2719.6</v>
      </c>
      <c r="J3161">
        <v>-540.16000000000031</v>
      </c>
    </row>
    <row r="3162" spans="1:10" x14ac:dyDescent="0.35">
      <c r="A3162">
        <v>3146</v>
      </c>
      <c r="B3162" s="75">
        <v>88.678399999999996</v>
      </c>
      <c r="C3162" s="75">
        <v>98.216899999999995</v>
      </c>
      <c r="D3162" s="75">
        <v>91.913799999999995</v>
      </c>
      <c r="E3162" s="75">
        <v>91.083200000000005</v>
      </c>
      <c r="F3162">
        <v>2888.16</v>
      </c>
      <c r="G3162">
        <v>-10.5</v>
      </c>
      <c r="H3162">
        <v>1804.6</v>
      </c>
      <c r="I3162">
        <v>2297.4</v>
      </c>
      <c r="J3162">
        <v>6979.66</v>
      </c>
    </row>
    <row r="3163" spans="1:10" x14ac:dyDescent="0.35">
      <c r="A3163">
        <v>3147</v>
      </c>
      <c r="B3163" s="75">
        <v>89.19</v>
      </c>
      <c r="C3163" s="75">
        <v>97.46</v>
      </c>
      <c r="D3163" s="75">
        <v>92.36</v>
      </c>
      <c r="E3163" s="75">
        <v>92.35</v>
      </c>
      <c r="F3163">
        <v>1188.99</v>
      </c>
      <c r="G3163">
        <v>1129.8</v>
      </c>
      <c r="H3163">
        <v>910.4</v>
      </c>
      <c r="I3163">
        <v>1029.4000000000001</v>
      </c>
      <c r="J3163">
        <v>4258.59</v>
      </c>
    </row>
    <row r="3164" spans="1:10" x14ac:dyDescent="0.35">
      <c r="A3164">
        <v>3148</v>
      </c>
      <c r="B3164" s="75">
        <v>88.829400000000007</v>
      </c>
      <c r="C3164" s="75">
        <v>98.654899999999998</v>
      </c>
      <c r="D3164" s="75">
        <v>92.589200000000005</v>
      </c>
      <c r="E3164" s="75">
        <v>93.85</v>
      </c>
      <c r="F3164">
        <v>2389.8599999999997</v>
      </c>
      <c r="G3164">
        <v>-667.5</v>
      </c>
      <c r="H3164">
        <v>453.79999999999995</v>
      </c>
      <c r="I3164">
        <v>-469.4</v>
      </c>
      <c r="J3164">
        <v>1706.7599999999998</v>
      </c>
    </row>
    <row r="3165" spans="1:10" x14ac:dyDescent="0.35">
      <c r="A3165">
        <v>3149</v>
      </c>
      <c r="B3165" s="75">
        <v>89.28</v>
      </c>
      <c r="C3165" s="75">
        <v>98.29</v>
      </c>
      <c r="D3165" s="75">
        <v>92.94</v>
      </c>
      <c r="E3165" s="75">
        <v>94.28</v>
      </c>
      <c r="F3165">
        <v>918.71999999999991</v>
      </c>
      <c r="G3165">
        <v>-121.35</v>
      </c>
      <c r="H3165">
        <v>-238.6</v>
      </c>
      <c r="I3165">
        <v>-899.1</v>
      </c>
      <c r="J3165">
        <v>-340.33000000000015</v>
      </c>
    </row>
    <row r="3166" spans="1:10" x14ac:dyDescent="0.35">
      <c r="A3166">
        <v>3150</v>
      </c>
      <c r="B3166" s="75">
        <v>90.0548</v>
      </c>
      <c r="C3166" s="75">
        <v>99.544799999999995</v>
      </c>
      <c r="D3166" s="75">
        <v>94.062299999999993</v>
      </c>
      <c r="E3166" s="75">
        <v>94.557199999999995</v>
      </c>
      <c r="F3166">
        <v>-1653.96</v>
      </c>
      <c r="G3166">
        <v>-2002.35</v>
      </c>
      <c r="H3166">
        <v>-2492.4</v>
      </c>
      <c r="I3166">
        <v>-1176.6000000000001</v>
      </c>
      <c r="J3166">
        <v>-7325.31</v>
      </c>
    </row>
    <row r="3167" spans="1:10" x14ac:dyDescent="0.35">
      <c r="A3167">
        <v>3151</v>
      </c>
      <c r="B3167" s="75">
        <v>89.85</v>
      </c>
      <c r="C3167" s="75">
        <v>98.88</v>
      </c>
      <c r="D3167" s="75">
        <v>91.93</v>
      </c>
      <c r="E3167" s="75">
        <v>94.33</v>
      </c>
      <c r="F3167">
        <v>-990</v>
      </c>
      <c r="G3167">
        <v>-1009.5000000000001</v>
      </c>
      <c r="H3167">
        <v>1762.3999999999999</v>
      </c>
      <c r="I3167">
        <v>-950.5</v>
      </c>
      <c r="J3167">
        <v>-1187.6000000000001</v>
      </c>
    </row>
    <row r="3168" spans="1:10" x14ac:dyDescent="0.35">
      <c r="A3168">
        <v>3152</v>
      </c>
      <c r="B3168" s="75">
        <v>89.536500000000004</v>
      </c>
      <c r="C3168" s="75">
        <v>98.122200000000007</v>
      </c>
      <c r="D3168" s="75">
        <v>92.319400000000002</v>
      </c>
      <c r="E3168" s="75">
        <v>95.454499999999996</v>
      </c>
      <c r="F3168">
        <v>56.43</v>
      </c>
      <c r="G3168">
        <v>131.55000000000001</v>
      </c>
      <c r="H3168">
        <v>993.4</v>
      </c>
      <c r="I3168">
        <v>-2073.9</v>
      </c>
      <c r="J3168">
        <v>-892.52</v>
      </c>
    </row>
    <row r="3169" spans="1:10" x14ac:dyDescent="0.35">
      <c r="A3169">
        <v>3153</v>
      </c>
      <c r="B3169" s="75">
        <v>90.11</v>
      </c>
      <c r="C3169" s="75">
        <v>98.79</v>
      </c>
      <c r="D3169" s="75">
        <v>92.34</v>
      </c>
      <c r="E3169" s="75">
        <v>93.77</v>
      </c>
      <c r="F3169">
        <v>-1836.1200000000001</v>
      </c>
      <c r="G3169">
        <v>-866.84999999999991</v>
      </c>
      <c r="H3169">
        <v>947.6</v>
      </c>
      <c r="I3169">
        <v>-390.6</v>
      </c>
      <c r="J3169">
        <v>-2145.9700000000003</v>
      </c>
    </row>
    <row r="3170" spans="1:10" x14ac:dyDescent="0.35">
      <c r="A3170">
        <v>3154</v>
      </c>
      <c r="B3170" s="75">
        <v>90.117999999999995</v>
      </c>
      <c r="C3170" s="75">
        <v>98.601399999999998</v>
      </c>
      <c r="D3170" s="75">
        <v>90.908500000000004</v>
      </c>
      <c r="E3170" s="75">
        <v>93.875399999999999</v>
      </c>
      <c r="F3170">
        <v>-1862.52</v>
      </c>
      <c r="G3170">
        <v>-587.25</v>
      </c>
      <c r="H3170">
        <v>3815.2</v>
      </c>
      <c r="I3170">
        <v>-494.8</v>
      </c>
      <c r="J3170">
        <v>870.62999999999988</v>
      </c>
    </row>
    <row r="3171" spans="1:10" x14ac:dyDescent="0.35">
      <c r="A3171">
        <v>3155</v>
      </c>
      <c r="B3171" s="75">
        <v>89.25</v>
      </c>
      <c r="C3171" s="75">
        <v>99.92</v>
      </c>
      <c r="D3171" s="75">
        <v>91.94</v>
      </c>
      <c r="E3171" s="75">
        <v>95.88</v>
      </c>
      <c r="F3171">
        <v>1011.4499999999999</v>
      </c>
      <c r="G3171">
        <v>-2559.2999999999997</v>
      </c>
      <c r="H3171">
        <v>1743.8</v>
      </c>
      <c r="I3171">
        <v>-2499.4</v>
      </c>
      <c r="J3171">
        <v>-2303.4499999999998</v>
      </c>
    </row>
    <row r="3172" spans="1:10" x14ac:dyDescent="0.35">
      <c r="A3172">
        <v>3156</v>
      </c>
      <c r="B3172" s="75">
        <v>90.462800000000001</v>
      </c>
      <c r="C3172" s="75">
        <v>96.985699999999994</v>
      </c>
      <c r="D3172" s="75">
        <v>91.839600000000004</v>
      </c>
      <c r="E3172" s="75">
        <v>94.0989</v>
      </c>
      <c r="F3172">
        <v>-3000.36</v>
      </c>
      <c r="G3172">
        <v>1836.3</v>
      </c>
      <c r="H3172">
        <v>1953</v>
      </c>
      <c r="I3172">
        <v>-718.30000000000007</v>
      </c>
      <c r="J3172">
        <v>70.639999999999759</v>
      </c>
    </row>
    <row r="3173" spans="1:10" x14ac:dyDescent="0.35">
      <c r="A3173">
        <v>3157</v>
      </c>
      <c r="B3173" s="75">
        <v>89.88</v>
      </c>
      <c r="C3173" s="75">
        <v>97.78</v>
      </c>
      <c r="D3173" s="75">
        <v>93.39</v>
      </c>
      <c r="E3173" s="75">
        <v>93.26</v>
      </c>
      <c r="F3173">
        <v>-1075.1399999999999</v>
      </c>
      <c r="G3173">
        <v>649.95000000000005</v>
      </c>
      <c r="H3173">
        <v>-1148</v>
      </c>
      <c r="I3173">
        <v>119.9</v>
      </c>
      <c r="J3173">
        <v>-1453.2899999999997</v>
      </c>
    </row>
    <row r="3174" spans="1:10" x14ac:dyDescent="0.35">
      <c r="A3174">
        <v>3158</v>
      </c>
      <c r="B3174" s="75">
        <v>89.903000000000006</v>
      </c>
      <c r="C3174" s="75">
        <v>98.199700000000007</v>
      </c>
      <c r="D3174" s="75">
        <v>91.947500000000005</v>
      </c>
      <c r="E3174" s="75">
        <v>92.868200000000002</v>
      </c>
      <c r="F3174">
        <v>-1153.02</v>
      </c>
      <c r="G3174">
        <v>15.3</v>
      </c>
      <c r="H3174">
        <v>1737.2</v>
      </c>
      <c r="I3174">
        <v>512.4</v>
      </c>
      <c r="J3174">
        <v>1111.8800000000001</v>
      </c>
    </row>
    <row r="3175" spans="1:10" x14ac:dyDescent="0.35">
      <c r="A3175">
        <v>3159</v>
      </c>
      <c r="B3175" s="75">
        <v>88.66</v>
      </c>
      <c r="C3175" s="75">
        <v>99.09</v>
      </c>
      <c r="D3175" s="75">
        <v>93.28</v>
      </c>
      <c r="E3175" s="75">
        <v>90.76</v>
      </c>
      <c r="F3175">
        <v>2945.25</v>
      </c>
      <c r="G3175">
        <v>-1321.05</v>
      </c>
      <c r="H3175">
        <v>-935</v>
      </c>
      <c r="I3175">
        <v>2620</v>
      </c>
      <c r="J3175">
        <v>3309.2</v>
      </c>
    </row>
    <row r="3176" spans="1:10" x14ac:dyDescent="0.35">
      <c r="A3176">
        <v>3160</v>
      </c>
      <c r="B3176" s="75">
        <v>89.597800000000007</v>
      </c>
      <c r="C3176" s="75">
        <v>100.10080000000001</v>
      </c>
      <c r="D3176" s="75">
        <v>92.627200000000002</v>
      </c>
      <c r="E3176" s="75">
        <v>93.497200000000007</v>
      </c>
      <c r="F3176">
        <v>-145.86000000000001</v>
      </c>
      <c r="G3176">
        <v>-2836.35</v>
      </c>
      <c r="H3176">
        <v>377.8</v>
      </c>
      <c r="I3176">
        <v>-116.6</v>
      </c>
      <c r="J3176">
        <v>-2721.0099999999998</v>
      </c>
    </row>
    <row r="3177" spans="1:10" x14ac:dyDescent="0.35">
      <c r="A3177">
        <v>3161</v>
      </c>
      <c r="B3177" s="75">
        <v>89.84</v>
      </c>
      <c r="C3177" s="75">
        <v>98.65</v>
      </c>
      <c r="D3177" s="75">
        <v>93.34</v>
      </c>
      <c r="E3177" s="75">
        <v>93.41</v>
      </c>
      <c r="F3177">
        <v>-944.13000000000011</v>
      </c>
      <c r="G3177">
        <v>-660.9</v>
      </c>
      <c r="H3177">
        <v>-1043.6000000000001</v>
      </c>
      <c r="I3177">
        <v>-25.2</v>
      </c>
      <c r="J3177">
        <v>-2673.83</v>
      </c>
    </row>
    <row r="3178" spans="1:10" x14ac:dyDescent="0.35">
      <c r="A3178">
        <v>3162</v>
      </c>
      <c r="B3178" s="75">
        <v>89.822400000000002</v>
      </c>
      <c r="C3178" s="75">
        <v>96.857699999999994</v>
      </c>
      <c r="D3178" s="75">
        <v>92.616399999999999</v>
      </c>
      <c r="E3178" s="75">
        <v>92.327699999999993</v>
      </c>
      <c r="F3178">
        <v>-887.04</v>
      </c>
      <c r="G3178">
        <v>2028.3000000000002</v>
      </c>
      <c r="H3178">
        <v>399.4</v>
      </c>
      <c r="I3178">
        <v>1052.8999999999999</v>
      </c>
      <c r="J3178">
        <v>2593.5600000000004</v>
      </c>
    </row>
    <row r="3179" spans="1:10" x14ac:dyDescent="0.35">
      <c r="A3179">
        <v>3163</v>
      </c>
      <c r="B3179" s="75">
        <v>90.05</v>
      </c>
      <c r="C3179" s="75">
        <v>97.93</v>
      </c>
      <c r="D3179" s="75">
        <v>93.83</v>
      </c>
      <c r="E3179" s="75">
        <v>91.71</v>
      </c>
      <c r="F3179">
        <v>-1627.89</v>
      </c>
      <c r="G3179">
        <v>418.05</v>
      </c>
      <c r="H3179">
        <v>-2027.4</v>
      </c>
      <c r="I3179">
        <v>1673.5</v>
      </c>
      <c r="J3179">
        <v>-1563.7400000000002</v>
      </c>
    </row>
    <row r="3180" spans="1:10" x14ac:dyDescent="0.35">
      <c r="A3180">
        <v>3164</v>
      </c>
      <c r="B3180" s="75">
        <v>89.531400000000005</v>
      </c>
      <c r="C3180" s="75">
        <v>96.488600000000005</v>
      </c>
      <c r="D3180" s="75">
        <v>91.074299999999994</v>
      </c>
      <c r="E3180" s="75">
        <v>93.215900000000005</v>
      </c>
      <c r="F3180">
        <v>73.260000000000005</v>
      </c>
      <c r="G3180">
        <v>2581.9500000000003</v>
      </c>
      <c r="H3180">
        <v>3483.6</v>
      </c>
      <c r="I3180">
        <v>164.70000000000002</v>
      </c>
      <c r="J3180">
        <v>6303.51</v>
      </c>
    </row>
    <row r="3181" spans="1:10" x14ac:dyDescent="0.35">
      <c r="A3181">
        <v>3165</v>
      </c>
      <c r="B3181" s="75">
        <v>89.55</v>
      </c>
      <c r="C3181" s="75">
        <v>97.82</v>
      </c>
      <c r="D3181" s="75">
        <v>93.13</v>
      </c>
      <c r="E3181" s="75">
        <v>92.02</v>
      </c>
      <c r="F3181">
        <v>-0.66</v>
      </c>
      <c r="G3181">
        <v>583.94999999999993</v>
      </c>
      <c r="H3181">
        <v>-632.6</v>
      </c>
      <c r="I3181">
        <v>1357.5</v>
      </c>
      <c r="J3181">
        <v>1308.19</v>
      </c>
    </row>
    <row r="3182" spans="1:10" x14ac:dyDescent="0.35">
      <c r="A3182">
        <v>3166</v>
      </c>
      <c r="B3182" s="75">
        <v>89.315200000000004</v>
      </c>
      <c r="C3182" s="75">
        <v>98.073800000000006</v>
      </c>
      <c r="D3182" s="75">
        <v>94.427899999999994</v>
      </c>
      <c r="E3182" s="75">
        <v>90.581400000000002</v>
      </c>
      <c r="F3182">
        <v>786.72</v>
      </c>
      <c r="G3182">
        <v>204.15</v>
      </c>
      <c r="H3182">
        <v>-3223.6</v>
      </c>
      <c r="I3182">
        <v>2799.2</v>
      </c>
      <c r="J3182">
        <v>566.4699999999998</v>
      </c>
    </row>
    <row r="3183" spans="1:10" x14ac:dyDescent="0.35">
      <c r="A3183">
        <v>3167</v>
      </c>
      <c r="B3183" s="75">
        <v>89.87</v>
      </c>
      <c r="C3183" s="75">
        <v>99.41</v>
      </c>
      <c r="D3183" s="75">
        <v>92.79</v>
      </c>
      <c r="E3183" s="75">
        <v>91.19</v>
      </c>
      <c r="F3183">
        <v>-1042.47</v>
      </c>
      <c r="G3183">
        <v>-1803.4499999999998</v>
      </c>
      <c r="H3183">
        <v>47</v>
      </c>
      <c r="I3183">
        <v>2193.1999999999998</v>
      </c>
      <c r="J3183">
        <v>-605.72000000000025</v>
      </c>
    </row>
    <row r="3184" spans="1:10" x14ac:dyDescent="0.35">
      <c r="A3184">
        <v>3168</v>
      </c>
      <c r="B3184" s="75">
        <v>89.83</v>
      </c>
      <c r="C3184" s="75">
        <v>99.103800000000007</v>
      </c>
      <c r="D3184" s="75">
        <v>94.115399999999994</v>
      </c>
      <c r="E3184" s="75">
        <v>96.466899999999995</v>
      </c>
      <c r="F3184">
        <v>-912.11999999999989</v>
      </c>
      <c r="G3184">
        <v>-1340.8500000000001</v>
      </c>
      <c r="H3184">
        <v>-2598.6</v>
      </c>
      <c r="I3184">
        <v>-3086.3</v>
      </c>
      <c r="J3184">
        <v>-7937.87</v>
      </c>
    </row>
    <row r="3185" spans="1:10" x14ac:dyDescent="0.35">
      <c r="A3185">
        <v>3169</v>
      </c>
      <c r="B3185" s="75">
        <v>90.09</v>
      </c>
      <c r="C3185" s="75">
        <v>98.64</v>
      </c>
      <c r="D3185" s="75">
        <v>92.62</v>
      </c>
      <c r="E3185" s="75">
        <v>93.37</v>
      </c>
      <c r="F3185">
        <v>-1757.9099999999999</v>
      </c>
      <c r="G3185">
        <v>-649.5</v>
      </c>
      <c r="H3185">
        <v>401.8</v>
      </c>
      <c r="I3185">
        <v>13.899999999999999</v>
      </c>
      <c r="J3185">
        <v>-1991.7099999999998</v>
      </c>
    </row>
    <row r="3186" spans="1:10" x14ac:dyDescent="0.35">
      <c r="A3186">
        <v>3170</v>
      </c>
      <c r="B3186" s="75">
        <v>89.032499999999999</v>
      </c>
      <c r="C3186" s="75">
        <v>97.231999999999999</v>
      </c>
      <c r="D3186" s="75">
        <v>93.352800000000002</v>
      </c>
      <c r="E3186" s="75">
        <v>94.386200000000002</v>
      </c>
      <c r="F3186">
        <v>1719.63</v>
      </c>
      <c r="G3186">
        <v>1466.85</v>
      </c>
      <c r="H3186">
        <v>-1073.3999999999999</v>
      </c>
      <c r="I3186">
        <v>-1005.6</v>
      </c>
      <c r="J3186">
        <v>1107.48</v>
      </c>
    </row>
    <row r="3187" spans="1:10" x14ac:dyDescent="0.35">
      <c r="A3187">
        <v>3171</v>
      </c>
      <c r="B3187" s="75">
        <v>89.51</v>
      </c>
      <c r="C3187" s="75">
        <v>97.77</v>
      </c>
      <c r="D3187" s="75">
        <v>94.35</v>
      </c>
      <c r="E3187" s="75">
        <v>91.64</v>
      </c>
      <c r="F3187">
        <v>160.05000000000001</v>
      </c>
      <c r="G3187">
        <v>666</v>
      </c>
      <c r="H3187">
        <v>-3067.4</v>
      </c>
      <c r="I3187">
        <v>1737.6000000000001</v>
      </c>
      <c r="J3187">
        <v>-503.75000000000023</v>
      </c>
    </row>
    <row r="3188" spans="1:10" x14ac:dyDescent="0.35">
      <c r="A3188">
        <v>3172</v>
      </c>
      <c r="B3188" s="75">
        <v>89.312399999999997</v>
      </c>
      <c r="C3188" s="75">
        <v>97.7166</v>
      </c>
      <c r="D3188" s="75">
        <v>93.855800000000002</v>
      </c>
      <c r="E3188" s="75">
        <v>93.354600000000005</v>
      </c>
      <c r="F3188">
        <v>795.96</v>
      </c>
      <c r="G3188">
        <v>739.95</v>
      </c>
      <c r="H3188">
        <v>-2079.4</v>
      </c>
      <c r="I3188">
        <v>26</v>
      </c>
      <c r="J3188">
        <v>-517.49</v>
      </c>
    </row>
    <row r="3189" spans="1:10" x14ac:dyDescent="0.35">
      <c r="A3189">
        <v>3173</v>
      </c>
      <c r="B3189" s="75">
        <v>89.2</v>
      </c>
      <c r="C3189" s="75">
        <v>98.94</v>
      </c>
      <c r="D3189" s="75">
        <v>93.24</v>
      </c>
      <c r="E3189" s="75">
        <v>93.52</v>
      </c>
      <c r="F3189">
        <v>1174.47</v>
      </c>
      <c r="G3189">
        <v>-1101.4499999999998</v>
      </c>
      <c r="H3189">
        <v>-854.19999999999993</v>
      </c>
      <c r="I3189">
        <v>-138.6</v>
      </c>
      <c r="J3189">
        <v>-919.77999999999975</v>
      </c>
    </row>
    <row r="3190" spans="1:10" x14ac:dyDescent="0.35">
      <c r="A3190">
        <v>3174</v>
      </c>
      <c r="B3190" s="75">
        <v>90.136300000000006</v>
      </c>
      <c r="C3190" s="75">
        <v>97.897199999999998</v>
      </c>
      <c r="D3190" s="75">
        <v>91.531300000000002</v>
      </c>
      <c r="E3190" s="75">
        <v>92.677300000000002</v>
      </c>
      <c r="F3190">
        <v>-1922.91</v>
      </c>
      <c r="G3190">
        <v>469.04999999999995</v>
      </c>
      <c r="H3190">
        <v>2569.6</v>
      </c>
      <c r="I3190">
        <v>703.30000000000007</v>
      </c>
      <c r="J3190">
        <v>1819.04</v>
      </c>
    </row>
    <row r="3191" spans="1:10" x14ac:dyDescent="0.35">
      <c r="A3191">
        <v>3175</v>
      </c>
      <c r="B3191" s="75">
        <v>89.57</v>
      </c>
      <c r="C3191" s="75">
        <v>97.1</v>
      </c>
      <c r="D3191" s="75">
        <v>93.6</v>
      </c>
      <c r="E3191" s="75">
        <v>96.08</v>
      </c>
      <c r="F3191">
        <v>-60.39</v>
      </c>
      <c r="G3191">
        <v>1660.8</v>
      </c>
      <c r="H3191">
        <v>-1574.2</v>
      </c>
      <c r="I3191">
        <v>-2697.2</v>
      </c>
      <c r="J3191">
        <v>-2670.99</v>
      </c>
    </row>
    <row r="3192" spans="1:10" x14ac:dyDescent="0.35">
      <c r="A3192">
        <v>3176</v>
      </c>
      <c r="B3192" s="75">
        <v>88.980500000000006</v>
      </c>
      <c r="C3192" s="75">
        <v>97.340999999999994</v>
      </c>
      <c r="D3192" s="75">
        <v>92.737899999999996</v>
      </c>
      <c r="E3192" s="75">
        <v>94.227199999999996</v>
      </c>
      <c r="F3192">
        <v>1891.2300000000002</v>
      </c>
      <c r="G3192">
        <v>1303.3499999999999</v>
      </c>
      <c r="H3192">
        <v>156.4</v>
      </c>
      <c r="I3192">
        <v>-846.6</v>
      </c>
      <c r="J3192">
        <v>2504.38</v>
      </c>
    </row>
    <row r="3193" spans="1:10" x14ac:dyDescent="0.35">
      <c r="A3193">
        <v>3177</v>
      </c>
      <c r="B3193" s="75">
        <v>89.75</v>
      </c>
      <c r="C3193" s="75">
        <v>99.16</v>
      </c>
      <c r="D3193" s="75">
        <v>93.9</v>
      </c>
      <c r="E3193" s="75">
        <v>92.52</v>
      </c>
      <c r="F3193">
        <v>-654.39</v>
      </c>
      <c r="G3193">
        <v>-1428.1499999999999</v>
      </c>
      <c r="H3193">
        <v>-2177.1999999999998</v>
      </c>
      <c r="I3193">
        <v>861.6</v>
      </c>
      <c r="J3193">
        <v>-3398.14</v>
      </c>
    </row>
    <row r="3194" spans="1:10" x14ac:dyDescent="0.35">
      <c r="A3194">
        <v>3178</v>
      </c>
      <c r="B3194" s="75">
        <v>89.151899999999998</v>
      </c>
      <c r="C3194" s="75">
        <v>99.502499999999998</v>
      </c>
      <c r="D3194" s="75">
        <v>93.113500000000002</v>
      </c>
      <c r="E3194" s="75">
        <v>94.455799999999996</v>
      </c>
      <c r="F3194">
        <v>1325.61</v>
      </c>
      <c r="G3194">
        <v>-1938.8999999999999</v>
      </c>
      <c r="H3194">
        <v>-594.79999999999995</v>
      </c>
      <c r="I3194">
        <v>-1075.2</v>
      </c>
      <c r="J3194">
        <v>-2283.29</v>
      </c>
    </row>
    <row r="3195" spans="1:10" x14ac:dyDescent="0.35">
      <c r="A3195">
        <v>3179</v>
      </c>
      <c r="B3195" s="75">
        <v>89.36</v>
      </c>
      <c r="C3195" s="75">
        <v>98.83</v>
      </c>
      <c r="D3195" s="75">
        <v>92.69</v>
      </c>
      <c r="E3195" s="75">
        <v>94.58</v>
      </c>
      <c r="F3195">
        <v>636.9</v>
      </c>
      <c r="G3195">
        <v>-933.59999999999991</v>
      </c>
      <c r="H3195">
        <v>257.79999999999995</v>
      </c>
      <c r="I3195">
        <v>-1199.4000000000001</v>
      </c>
      <c r="J3195">
        <v>-1238.3000000000002</v>
      </c>
    </row>
    <row r="3196" spans="1:10" x14ac:dyDescent="0.35">
      <c r="A3196">
        <v>3180</v>
      </c>
      <c r="B3196" s="75">
        <v>89.658000000000001</v>
      </c>
      <c r="C3196" s="75">
        <v>96.881</v>
      </c>
      <c r="D3196" s="75">
        <v>93.314400000000006</v>
      </c>
      <c r="E3196" s="75">
        <v>94.159599999999998</v>
      </c>
      <c r="F3196">
        <v>-344.52000000000004</v>
      </c>
      <c r="G3196">
        <v>1993.35</v>
      </c>
      <c r="H3196">
        <v>-996.6</v>
      </c>
      <c r="I3196">
        <v>-779</v>
      </c>
      <c r="J3196">
        <v>-126.7700000000001</v>
      </c>
    </row>
    <row r="3197" spans="1:10" x14ac:dyDescent="0.35">
      <c r="A3197">
        <v>3181</v>
      </c>
      <c r="B3197" s="75">
        <v>89.63</v>
      </c>
      <c r="C3197" s="75">
        <v>98.62</v>
      </c>
      <c r="D3197" s="75">
        <v>92.03</v>
      </c>
      <c r="E3197" s="75">
        <v>93.5</v>
      </c>
      <c r="F3197">
        <v>-250.14000000000001</v>
      </c>
      <c r="G3197">
        <v>-621.15000000000009</v>
      </c>
      <c r="H3197">
        <v>1571.1999999999998</v>
      </c>
      <c r="I3197">
        <v>-119.8</v>
      </c>
      <c r="J3197">
        <v>580.10999999999979</v>
      </c>
    </row>
    <row r="3198" spans="1:10" x14ac:dyDescent="0.35">
      <c r="A3198">
        <v>3182</v>
      </c>
      <c r="B3198" s="75">
        <v>89.461299999999994</v>
      </c>
      <c r="C3198" s="75">
        <v>99.623199999999997</v>
      </c>
      <c r="D3198" s="75">
        <v>92.944500000000005</v>
      </c>
      <c r="E3198" s="75">
        <v>91.374300000000005</v>
      </c>
      <c r="F3198">
        <v>304.58999999999997</v>
      </c>
      <c r="G3198">
        <v>-2119.9499999999998</v>
      </c>
      <c r="H3198">
        <v>-256.79999999999995</v>
      </c>
      <c r="I3198">
        <v>2006.3</v>
      </c>
      <c r="J3198">
        <v>-65.8599999999999</v>
      </c>
    </row>
    <row r="3199" spans="1:10" x14ac:dyDescent="0.35">
      <c r="A3199">
        <v>3183</v>
      </c>
      <c r="B3199" s="75">
        <v>88.96</v>
      </c>
      <c r="C3199" s="75">
        <v>98.01</v>
      </c>
      <c r="D3199" s="75">
        <v>91.64</v>
      </c>
      <c r="E3199" s="75">
        <v>92.81</v>
      </c>
      <c r="F3199">
        <v>1972.41</v>
      </c>
      <c r="G3199">
        <v>294.3</v>
      </c>
      <c r="H3199">
        <v>2346</v>
      </c>
      <c r="I3199">
        <v>567.4</v>
      </c>
      <c r="J3199">
        <v>5180.1099999999997</v>
      </c>
    </row>
    <row r="3200" spans="1:10" x14ac:dyDescent="0.35">
      <c r="A3200">
        <v>3184</v>
      </c>
      <c r="B3200" s="75">
        <v>89.448999999999998</v>
      </c>
      <c r="C3200" s="75">
        <v>99.108400000000003</v>
      </c>
      <c r="D3200" s="75">
        <v>92.085599999999999</v>
      </c>
      <c r="E3200" s="75">
        <v>93.081199999999995</v>
      </c>
      <c r="F3200">
        <v>345.18</v>
      </c>
      <c r="G3200">
        <v>-1347.75</v>
      </c>
      <c r="H3200">
        <v>1461</v>
      </c>
      <c r="I3200">
        <v>299.39999999999998</v>
      </c>
      <c r="J3200">
        <v>757.83</v>
      </c>
    </row>
    <row r="3201" spans="1:10" x14ac:dyDescent="0.35">
      <c r="A3201">
        <v>3185</v>
      </c>
      <c r="B3201" s="75">
        <v>89.67</v>
      </c>
      <c r="C3201" s="75">
        <v>98.92</v>
      </c>
      <c r="D3201" s="75">
        <v>93.23</v>
      </c>
      <c r="E3201" s="75">
        <v>94.25</v>
      </c>
      <c r="F3201">
        <v>-398.31</v>
      </c>
      <c r="G3201">
        <v>-1059.6000000000001</v>
      </c>
      <c r="H3201">
        <v>-830.6</v>
      </c>
      <c r="I3201">
        <v>-867.9</v>
      </c>
      <c r="J3201">
        <v>-3156.4100000000003</v>
      </c>
    </row>
    <row r="3202" spans="1:10" x14ac:dyDescent="0.35">
      <c r="A3202">
        <v>3186</v>
      </c>
      <c r="B3202" s="75">
        <v>89.905799999999999</v>
      </c>
      <c r="C3202" s="75">
        <v>99.540700000000001</v>
      </c>
      <c r="D3202" s="75">
        <v>92.799000000000007</v>
      </c>
      <c r="E3202" s="75">
        <v>93.79</v>
      </c>
      <c r="F3202">
        <v>-1162.26</v>
      </c>
      <c r="G3202">
        <v>-1996.2</v>
      </c>
      <c r="H3202">
        <v>34.200000000000003</v>
      </c>
      <c r="I3202">
        <v>-409.4</v>
      </c>
      <c r="J3202">
        <v>-3533.6600000000003</v>
      </c>
    </row>
    <row r="3203" spans="1:10" x14ac:dyDescent="0.35">
      <c r="A3203">
        <v>3187</v>
      </c>
      <c r="B3203" s="75">
        <v>89.32</v>
      </c>
      <c r="C3203" s="75">
        <v>97.02</v>
      </c>
      <c r="D3203" s="75">
        <v>93.16</v>
      </c>
      <c r="E3203" s="75">
        <v>92.78</v>
      </c>
      <c r="F3203">
        <v>777.48</v>
      </c>
      <c r="G3203">
        <v>1791.4499999999998</v>
      </c>
      <c r="H3203">
        <v>-697</v>
      </c>
      <c r="I3203">
        <v>600.6</v>
      </c>
      <c r="J3203">
        <v>2472.5299999999997</v>
      </c>
    </row>
    <row r="3204" spans="1:10" x14ac:dyDescent="0.35">
      <c r="A3204">
        <v>3188</v>
      </c>
      <c r="B3204" s="75">
        <v>89.059299999999993</v>
      </c>
      <c r="C3204" s="75">
        <v>99.291399999999996</v>
      </c>
      <c r="D3204" s="75">
        <v>92.3155</v>
      </c>
      <c r="E3204" s="75">
        <v>95.121399999999994</v>
      </c>
      <c r="F3204">
        <v>1631.19</v>
      </c>
      <c r="G3204">
        <v>-1622.2499999999998</v>
      </c>
      <c r="H3204">
        <v>1001.2</v>
      </c>
      <c r="I3204">
        <v>-1740.8</v>
      </c>
      <c r="J3204">
        <v>-730.65999999999963</v>
      </c>
    </row>
    <row r="3205" spans="1:10" x14ac:dyDescent="0.35">
      <c r="A3205">
        <v>3189</v>
      </c>
      <c r="B3205" s="75">
        <v>89.98</v>
      </c>
      <c r="C3205" s="75">
        <v>97.82</v>
      </c>
      <c r="D3205" s="75">
        <v>92.45</v>
      </c>
      <c r="E3205" s="75">
        <v>96.53</v>
      </c>
      <c r="F3205">
        <v>-1405.8</v>
      </c>
      <c r="G3205">
        <v>581.25</v>
      </c>
      <c r="H3205">
        <v>725.6</v>
      </c>
      <c r="I3205">
        <v>-3149.3</v>
      </c>
      <c r="J3205">
        <v>-3248.25</v>
      </c>
    </row>
    <row r="3206" spans="1:10" x14ac:dyDescent="0.35">
      <c r="A3206">
        <v>3190</v>
      </c>
      <c r="B3206" s="75">
        <v>89.400300000000001</v>
      </c>
      <c r="C3206" s="75">
        <v>97.786900000000003</v>
      </c>
      <c r="D3206" s="75">
        <v>93.593599999999995</v>
      </c>
      <c r="E3206" s="75">
        <v>93.308000000000007</v>
      </c>
      <c r="F3206">
        <v>505.89</v>
      </c>
      <c r="G3206">
        <v>634.5</v>
      </c>
      <c r="H3206">
        <v>-1555</v>
      </c>
      <c r="I3206">
        <v>72.599999999999994</v>
      </c>
      <c r="J3206">
        <v>-342.0100000000001</v>
      </c>
    </row>
    <row r="3207" spans="1:10" x14ac:dyDescent="0.35">
      <c r="A3207">
        <v>3191</v>
      </c>
      <c r="B3207" s="75">
        <v>89.31</v>
      </c>
      <c r="C3207" s="75">
        <v>99.64</v>
      </c>
      <c r="D3207" s="75">
        <v>92.3</v>
      </c>
      <c r="E3207" s="75">
        <v>94.38</v>
      </c>
      <c r="F3207">
        <v>789.69</v>
      </c>
      <c r="G3207">
        <v>-2147.85</v>
      </c>
      <c r="H3207">
        <v>1030.2</v>
      </c>
      <c r="I3207">
        <v>-994.80000000000007</v>
      </c>
      <c r="J3207">
        <v>-1322.7599999999998</v>
      </c>
    </row>
    <row r="3208" spans="1:10" x14ac:dyDescent="0.35">
      <c r="A3208">
        <v>3192</v>
      </c>
      <c r="B3208" s="75">
        <v>90.101699999999994</v>
      </c>
      <c r="C3208" s="75">
        <v>97.977599999999995</v>
      </c>
      <c r="D3208" s="75">
        <v>93.473299999999995</v>
      </c>
      <c r="E3208" s="75">
        <v>94.953100000000006</v>
      </c>
      <c r="F3208">
        <v>-1808.73</v>
      </c>
      <c r="G3208">
        <v>348.45</v>
      </c>
      <c r="H3208">
        <v>-1314.4</v>
      </c>
      <c r="I3208">
        <v>-1572.5</v>
      </c>
      <c r="J3208">
        <v>-4347.18</v>
      </c>
    </row>
    <row r="3209" spans="1:10" x14ac:dyDescent="0.35">
      <c r="A3209">
        <v>3193</v>
      </c>
      <c r="B3209" s="75">
        <v>89.44</v>
      </c>
      <c r="C3209" s="75">
        <v>98.97</v>
      </c>
      <c r="D3209" s="75">
        <v>92.14</v>
      </c>
      <c r="E3209" s="75">
        <v>94.41</v>
      </c>
      <c r="F3209">
        <v>368.60999999999996</v>
      </c>
      <c r="G3209">
        <v>-1136.7</v>
      </c>
      <c r="H3209">
        <v>1356.8</v>
      </c>
      <c r="I3209">
        <v>-1030.8</v>
      </c>
      <c r="J3209">
        <v>-442.09000000000015</v>
      </c>
    </row>
    <row r="3210" spans="1:10" x14ac:dyDescent="0.35">
      <c r="A3210">
        <v>3194</v>
      </c>
      <c r="B3210" s="75">
        <v>89.286699999999996</v>
      </c>
      <c r="C3210" s="75">
        <v>98.524199999999993</v>
      </c>
      <c r="D3210" s="75">
        <v>93.611900000000006</v>
      </c>
      <c r="E3210" s="75">
        <v>96.060500000000005</v>
      </c>
      <c r="F3210">
        <v>880.7700000000001</v>
      </c>
      <c r="G3210">
        <v>-471.45000000000005</v>
      </c>
      <c r="H3210">
        <v>-1591.6</v>
      </c>
      <c r="I3210">
        <v>-2679.9</v>
      </c>
      <c r="J3210">
        <v>-3862.18</v>
      </c>
    </row>
    <row r="3211" spans="1:10" x14ac:dyDescent="0.35">
      <c r="A3211">
        <v>3195</v>
      </c>
      <c r="B3211" s="75">
        <v>89.54</v>
      </c>
      <c r="C3211" s="75">
        <v>99.24</v>
      </c>
      <c r="D3211" s="75">
        <v>93.5</v>
      </c>
      <c r="E3211" s="75">
        <v>91.04</v>
      </c>
      <c r="F3211">
        <v>59.07</v>
      </c>
      <c r="G3211">
        <v>-1542.75</v>
      </c>
      <c r="H3211">
        <v>-1377.3999999999999</v>
      </c>
      <c r="I3211">
        <v>2336.6</v>
      </c>
      <c r="J3211">
        <v>-524.48</v>
      </c>
    </row>
    <row r="3212" spans="1:10" x14ac:dyDescent="0.35">
      <c r="A3212">
        <v>3196</v>
      </c>
      <c r="B3212" s="75">
        <v>88.877799999999993</v>
      </c>
      <c r="C3212" s="75">
        <v>97.997900000000001</v>
      </c>
      <c r="D3212" s="75">
        <v>92.523300000000006</v>
      </c>
      <c r="E3212" s="75">
        <v>89.896100000000004</v>
      </c>
      <c r="F3212">
        <v>2230.14</v>
      </c>
      <c r="G3212">
        <v>318</v>
      </c>
      <c r="H3212">
        <v>585.6</v>
      </c>
      <c r="I3212">
        <v>3484.5</v>
      </c>
      <c r="J3212">
        <v>6618.24</v>
      </c>
    </row>
    <row r="3213" spans="1:10" x14ac:dyDescent="0.35">
      <c r="A3213">
        <v>3197</v>
      </c>
      <c r="B3213" s="75">
        <v>89.63</v>
      </c>
      <c r="C3213" s="75">
        <v>97.78</v>
      </c>
      <c r="D3213" s="75">
        <v>95.11</v>
      </c>
      <c r="E3213" s="75">
        <v>96.71</v>
      </c>
      <c r="F3213">
        <v>-243.21</v>
      </c>
      <c r="G3213">
        <v>638.55000000000007</v>
      </c>
      <c r="H3213">
        <v>-4589</v>
      </c>
      <c r="I3213">
        <v>-3326.4</v>
      </c>
      <c r="J3213">
        <v>-7520.0599999999995</v>
      </c>
    </row>
    <row r="3214" spans="1:10" x14ac:dyDescent="0.35">
      <c r="A3214">
        <v>3198</v>
      </c>
      <c r="B3214" s="75">
        <v>89.700400000000002</v>
      </c>
      <c r="C3214" s="75">
        <v>98.378100000000003</v>
      </c>
      <c r="D3214" s="75">
        <v>92.007400000000004</v>
      </c>
      <c r="E3214" s="75">
        <v>91.563100000000006</v>
      </c>
      <c r="F3214">
        <v>-484.44000000000005</v>
      </c>
      <c r="G3214">
        <v>-252.29999999999998</v>
      </c>
      <c r="H3214">
        <v>1617.3999999999999</v>
      </c>
      <c r="I3214">
        <v>1817.5</v>
      </c>
      <c r="J3214">
        <v>2698.16</v>
      </c>
    </row>
    <row r="3215" spans="1:10" x14ac:dyDescent="0.35">
      <c r="A3215">
        <v>3199</v>
      </c>
      <c r="B3215" s="75">
        <v>89.71</v>
      </c>
      <c r="C3215" s="75">
        <v>98.53</v>
      </c>
      <c r="D3215" s="75">
        <v>93.01</v>
      </c>
      <c r="E3215" s="75">
        <v>92.56</v>
      </c>
      <c r="F3215">
        <v>-501.93000000000006</v>
      </c>
      <c r="G3215">
        <v>-482.1</v>
      </c>
      <c r="H3215">
        <v>-377.8</v>
      </c>
      <c r="I3215">
        <v>821.5</v>
      </c>
      <c r="J3215">
        <v>-540.33000000000015</v>
      </c>
    </row>
    <row r="3216" spans="1:10" x14ac:dyDescent="0.35">
      <c r="A3216">
        <v>3200</v>
      </c>
      <c r="B3216" s="75">
        <v>89.814499999999995</v>
      </c>
      <c r="C3216" s="75">
        <v>98.509699999999995</v>
      </c>
      <c r="D3216" s="75">
        <v>91.649500000000003</v>
      </c>
      <c r="E3216" s="75">
        <v>91.145200000000003</v>
      </c>
      <c r="F3216">
        <v>-860.97</v>
      </c>
      <c r="G3216">
        <v>-449.7</v>
      </c>
      <c r="H3216">
        <v>2333.2000000000003</v>
      </c>
      <c r="I3216">
        <v>2235.3999999999996</v>
      </c>
      <c r="J3216">
        <v>3257.93</v>
      </c>
    </row>
    <row r="3217" spans="1:10" x14ac:dyDescent="0.35">
      <c r="A3217">
        <v>3201</v>
      </c>
      <c r="B3217" s="75">
        <v>89.49</v>
      </c>
      <c r="C3217" s="75">
        <v>97.97</v>
      </c>
      <c r="D3217" s="75">
        <v>92.46</v>
      </c>
      <c r="E3217" s="75">
        <v>94.9</v>
      </c>
      <c r="F3217">
        <v>209.88000000000002</v>
      </c>
      <c r="G3217">
        <v>359.85</v>
      </c>
      <c r="H3217">
        <v>710</v>
      </c>
      <c r="I3217">
        <v>-1520.2</v>
      </c>
      <c r="J3217">
        <v>-240.47000000000003</v>
      </c>
    </row>
    <row r="3218" spans="1:10" x14ac:dyDescent="0.35">
      <c r="A3218">
        <v>3202</v>
      </c>
      <c r="B3218" s="75">
        <v>89.478499999999997</v>
      </c>
      <c r="C3218" s="75">
        <v>99.236999999999995</v>
      </c>
      <c r="D3218" s="75">
        <v>93.496200000000002</v>
      </c>
      <c r="E3218" s="75">
        <v>92.482600000000005</v>
      </c>
      <c r="F3218">
        <v>247.83</v>
      </c>
      <c r="G3218">
        <v>-1540.6499999999999</v>
      </c>
      <c r="H3218">
        <v>-1360.2</v>
      </c>
      <c r="I3218">
        <v>898</v>
      </c>
      <c r="J3218">
        <v>-1755.02</v>
      </c>
    </row>
    <row r="3219" spans="1:10" x14ac:dyDescent="0.35">
      <c r="A3219">
        <v>3203</v>
      </c>
      <c r="B3219" s="75">
        <v>89.19</v>
      </c>
      <c r="C3219" s="75">
        <v>99.72</v>
      </c>
      <c r="D3219" s="75">
        <v>91.38</v>
      </c>
      <c r="E3219" s="75">
        <v>90.95</v>
      </c>
      <c r="F3219">
        <v>1196.25</v>
      </c>
      <c r="G3219">
        <v>-2259.3000000000002</v>
      </c>
      <c r="H3219">
        <v>2875</v>
      </c>
      <c r="I3219">
        <v>2426.1</v>
      </c>
      <c r="J3219">
        <v>4238.0499999999993</v>
      </c>
    </row>
    <row r="3220" spans="1:10" x14ac:dyDescent="0.35">
      <c r="A3220">
        <v>3204</v>
      </c>
      <c r="B3220" s="75">
        <v>89.638499999999993</v>
      </c>
      <c r="C3220" s="75">
        <v>98.728800000000007</v>
      </c>
      <c r="D3220" s="75">
        <v>95.385099999999994</v>
      </c>
      <c r="E3220" s="75">
        <v>92.141599999999997</v>
      </c>
      <c r="F3220">
        <v>-280.17</v>
      </c>
      <c r="G3220">
        <v>-778.35</v>
      </c>
      <c r="H3220">
        <v>-5138</v>
      </c>
      <c r="I3220">
        <v>1239</v>
      </c>
      <c r="J3220">
        <v>-4957.5200000000004</v>
      </c>
    </row>
    <row r="3221" spans="1:10" x14ac:dyDescent="0.35">
      <c r="A3221">
        <v>3205</v>
      </c>
      <c r="B3221" s="75">
        <v>89.81</v>
      </c>
      <c r="C3221" s="75">
        <v>97.24</v>
      </c>
      <c r="D3221" s="75">
        <v>95.69</v>
      </c>
      <c r="E3221" s="75">
        <v>91.11</v>
      </c>
      <c r="F3221">
        <v>-851.73</v>
      </c>
      <c r="G3221">
        <v>1449.1499999999999</v>
      </c>
      <c r="H3221">
        <v>-5753</v>
      </c>
      <c r="I3221">
        <v>2270.6</v>
      </c>
      <c r="J3221">
        <v>-2884.98</v>
      </c>
    </row>
    <row r="3222" spans="1:10" x14ac:dyDescent="0.35">
      <c r="A3222">
        <v>3206</v>
      </c>
      <c r="B3222" s="75">
        <v>89.874099999999999</v>
      </c>
      <c r="C3222" s="75">
        <v>97.829499999999996</v>
      </c>
      <c r="D3222" s="75">
        <v>92.718100000000007</v>
      </c>
      <c r="E3222" s="75">
        <v>92.850499999999997</v>
      </c>
      <c r="F3222">
        <v>-1057.6500000000001</v>
      </c>
      <c r="G3222">
        <v>570.6</v>
      </c>
      <c r="H3222">
        <v>196</v>
      </c>
      <c r="I3222">
        <v>530.1</v>
      </c>
      <c r="J3222">
        <v>239.04999999999995</v>
      </c>
    </row>
    <row r="3223" spans="1:10" x14ac:dyDescent="0.35">
      <c r="A3223">
        <v>3207</v>
      </c>
      <c r="B3223" s="75">
        <v>89.88</v>
      </c>
      <c r="C3223" s="75">
        <v>97.22</v>
      </c>
      <c r="D3223" s="75">
        <v>94.74</v>
      </c>
      <c r="E3223" s="75">
        <v>93.15</v>
      </c>
      <c r="F3223">
        <v>-1061.6099999999999</v>
      </c>
      <c r="G3223">
        <v>1479</v>
      </c>
      <c r="H3223">
        <v>-3844</v>
      </c>
      <c r="I3223">
        <v>228.7</v>
      </c>
      <c r="J3223">
        <v>-3197.91</v>
      </c>
    </row>
    <row r="3224" spans="1:10" x14ac:dyDescent="0.35">
      <c r="A3224">
        <v>3208</v>
      </c>
      <c r="B3224" s="75">
        <v>89.011099999999999</v>
      </c>
      <c r="C3224" s="75">
        <v>98.576899999999995</v>
      </c>
      <c r="D3224" s="75">
        <v>92.043099999999995</v>
      </c>
      <c r="E3224" s="75">
        <v>94.763099999999994</v>
      </c>
      <c r="F3224">
        <v>1790.25</v>
      </c>
      <c r="G3224">
        <v>-550.5</v>
      </c>
      <c r="H3224">
        <v>1546</v>
      </c>
      <c r="I3224">
        <v>-1382.5</v>
      </c>
      <c r="J3224">
        <v>1403.25</v>
      </c>
    </row>
    <row r="3225" spans="1:10" x14ac:dyDescent="0.35">
      <c r="A3225">
        <v>3209</v>
      </c>
      <c r="B3225" s="75">
        <v>89.88</v>
      </c>
      <c r="C3225" s="75">
        <v>98.48</v>
      </c>
      <c r="D3225" s="75">
        <v>92.6</v>
      </c>
      <c r="E3225" s="75">
        <v>94.7</v>
      </c>
      <c r="F3225">
        <v>-1070.8500000000001</v>
      </c>
      <c r="G3225">
        <v>-404.09999999999997</v>
      </c>
      <c r="H3225">
        <v>427.20000000000005</v>
      </c>
      <c r="I3225">
        <v>-1319.9</v>
      </c>
      <c r="J3225">
        <v>-2367.65</v>
      </c>
    </row>
    <row r="3226" spans="1:10" x14ac:dyDescent="0.35">
      <c r="A3226">
        <v>3210</v>
      </c>
      <c r="B3226" s="75">
        <v>89.098200000000006</v>
      </c>
      <c r="C3226" s="75">
        <v>100.12479999999999</v>
      </c>
      <c r="D3226" s="75">
        <v>94.176000000000002</v>
      </c>
      <c r="E3226" s="75">
        <v>97.429100000000005</v>
      </c>
      <c r="F3226">
        <v>1502.8200000000002</v>
      </c>
      <c r="G3226">
        <v>-2872.35</v>
      </c>
      <c r="H3226">
        <v>-2719.8</v>
      </c>
      <c r="I3226">
        <v>-4048.4999999999995</v>
      </c>
      <c r="J3226">
        <v>-8137.83</v>
      </c>
    </row>
    <row r="3227" spans="1:10" x14ac:dyDescent="0.35">
      <c r="A3227">
        <v>3211</v>
      </c>
      <c r="B3227" s="75">
        <v>89.49</v>
      </c>
      <c r="C3227" s="75">
        <v>97.96</v>
      </c>
      <c r="D3227" s="75">
        <v>92.97</v>
      </c>
      <c r="E3227" s="75">
        <v>94.94</v>
      </c>
      <c r="F3227">
        <v>214.83</v>
      </c>
      <c r="G3227">
        <v>380.25</v>
      </c>
      <c r="H3227">
        <v>-312.2</v>
      </c>
      <c r="I3227">
        <v>-1561</v>
      </c>
      <c r="J3227">
        <v>-1278.1199999999999</v>
      </c>
    </row>
    <row r="3228" spans="1:10" x14ac:dyDescent="0.35">
      <c r="A3228">
        <v>3212</v>
      </c>
      <c r="B3228" s="75">
        <v>89.280299999999997</v>
      </c>
      <c r="C3228" s="75">
        <v>97.776499999999999</v>
      </c>
      <c r="D3228" s="75">
        <v>92.152100000000004</v>
      </c>
      <c r="E3228" s="75">
        <v>93.146900000000002</v>
      </c>
      <c r="F3228">
        <v>901.89</v>
      </c>
      <c r="G3228">
        <v>650.1</v>
      </c>
      <c r="H3228">
        <v>1328</v>
      </c>
      <c r="I3228">
        <v>233.7</v>
      </c>
      <c r="J3228">
        <v>3113.6899999999996</v>
      </c>
    </row>
    <row r="3229" spans="1:10" x14ac:dyDescent="0.35">
      <c r="A3229">
        <v>3213</v>
      </c>
      <c r="B3229" s="75">
        <v>90.14</v>
      </c>
      <c r="C3229" s="75">
        <v>99.63</v>
      </c>
      <c r="D3229" s="75">
        <v>92.79</v>
      </c>
      <c r="E3229" s="75">
        <v>94.58</v>
      </c>
      <c r="F3229">
        <v>-1947.6599999999999</v>
      </c>
      <c r="G3229">
        <v>-2136.9</v>
      </c>
      <c r="H3229">
        <v>51.6</v>
      </c>
      <c r="I3229">
        <v>-1198.5</v>
      </c>
      <c r="J3229">
        <v>-5231.46</v>
      </c>
    </row>
    <row r="3230" spans="1:10" x14ac:dyDescent="0.35">
      <c r="A3230">
        <v>3214</v>
      </c>
      <c r="B3230" s="75">
        <v>88.955699999999993</v>
      </c>
      <c r="C3230" s="75">
        <v>96.729299999999995</v>
      </c>
      <c r="D3230" s="75">
        <v>88.750799999999998</v>
      </c>
      <c r="E3230" s="75">
        <v>93.047700000000006</v>
      </c>
      <c r="F3230">
        <v>1973.07</v>
      </c>
      <c r="G3230">
        <v>2220.9</v>
      </c>
      <c r="H3230">
        <v>8130.5999999999995</v>
      </c>
      <c r="I3230">
        <v>332.9</v>
      </c>
      <c r="J3230">
        <v>12657.47</v>
      </c>
    </row>
    <row r="3231" spans="1:10" x14ac:dyDescent="0.35">
      <c r="A3231">
        <v>3215</v>
      </c>
      <c r="B3231" s="75">
        <v>89.71</v>
      </c>
      <c r="C3231" s="75">
        <v>97.62</v>
      </c>
      <c r="D3231" s="75">
        <v>93.05</v>
      </c>
      <c r="E3231" s="75">
        <v>93.42</v>
      </c>
      <c r="F3231">
        <v>-516.78</v>
      </c>
      <c r="G3231">
        <v>880.5</v>
      </c>
      <c r="H3231">
        <v>-473.4</v>
      </c>
      <c r="I3231">
        <v>-41</v>
      </c>
      <c r="J3231">
        <v>-150.67999999999995</v>
      </c>
    </row>
    <row r="3232" spans="1:10" x14ac:dyDescent="0.35">
      <c r="A3232">
        <v>3216</v>
      </c>
      <c r="B3232" s="75">
        <v>90.287300000000002</v>
      </c>
      <c r="C3232" s="75">
        <v>98.861900000000006</v>
      </c>
      <c r="D3232" s="75">
        <v>94.319299999999998</v>
      </c>
      <c r="E3232" s="75">
        <v>92.786299999999997</v>
      </c>
      <c r="F3232">
        <v>-2421.21</v>
      </c>
      <c r="G3232">
        <v>-978</v>
      </c>
      <c r="H3232">
        <v>-3006.4</v>
      </c>
      <c r="I3232">
        <v>594.30000000000007</v>
      </c>
      <c r="J3232">
        <v>-5811.31</v>
      </c>
    </row>
    <row r="3233" spans="1:10" x14ac:dyDescent="0.35">
      <c r="A3233">
        <v>3217</v>
      </c>
      <c r="B3233" s="75">
        <v>90.19</v>
      </c>
      <c r="C3233" s="75">
        <v>97.6</v>
      </c>
      <c r="D3233" s="75">
        <v>90.65</v>
      </c>
      <c r="E3233" s="75">
        <v>92.45</v>
      </c>
      <c r="F3233">
        <v>-2105.73</v>
      </c>
      <c r="G3233">
        <v>909</v>
      </c>
      <c r="H3233">
        <v>4328</v>
      </c>
      <c r="I3233">
        <v>932.1</v>
      </c>
      <c r="J3233">
        <v>4063.37</v>
      </c>
    </row>
    <row r="3234" spans="1:10" x14ac:dyDescent="0.35">
      <c r="A3234">
        <v>3218</v>
      </c>
      <c r="B3234" s="75">
        <v>88.857799999999997</v>
      </c>
      <c r="C3234" s="75">
        <v>98.182900000000004</v>
      </c>
      <c r="D3234" s="75">
        <v>93.888900000000007</v>
      </c>
      <c r="E3234" s="75">
        <v>94.274600000000007</v>
      </c>
      <c r="F3234">
        <v>2296.14</v>
      </c>
      <c r="G3234">
        <v>40.5</v>
      </c>
      <c r="H3234">
        <v>-2145.6</v>
      </c>
      <c r="I3234">
        <v>-894</v>
      </c>
      <c r="J3234">
        <v>-702.96</v>
      </c>
    </row>
    <row r="3235" spans="1:10" x14ac:dyDescent="0.35">
      <c r="A3235">
        <v>3219</v>
      </c>
      <c r="B3235" s="75">
        <v>89.1</v>
      </c>
      <c r="C3235" s="75">
        <v>98.21</v>
      </c>
      <c r="D3235" s="75">
        <v>92.5</v>
      </c>
      <c r="E3235" s="75">
        <v>93.05</v>
      </c>
      <c r="F3235">
        <v>1508.76</v>
      </c>
      <c r="G3235">
        <v>-3</v>
      </c>
      <c r="H3235">
        <v>634</v>
      </c>
      <c r="I3235">
        <v>329.79999999999995</v>
      </c>
      <c r="J3235">
        <v>2469.5600000000004</v>
      </c>
    </row>
    <row r="3236" spans="1:10" x14ac:dyDescent="0.35">
      <c r="A3236">
        <v>3220</v>
      </c>
      <c r="B3236" s="75">
        <v>89.069100000000006</v>
      </c>
      <c r="C3236" s="75">
        <v>97.642799999999994</v>
      </c>
      <c r="D3236" s="75">
        <v>93.247799999999998</v>
      </c>
      <c r="E3236" s="75">
        <v>92.482200000000006</v>
      </c>
      <c r="F3236">
        <v>1598.85</v>
      </c>
      <c r="G3236">
        <v>850.65000000000009</v>
      </c>
      <c r="H3236">
        <v>-863.4</v>
      </c>
      <c r="I3236">
        <v>898.4</v>
      </c>
      <c r="J3236">
        <v>2484.5</v>
      </c>
    </row>
    <row r="3237" spans="1:10" x14ac:dyDescent="0.35">
      <c r="A3237">
        <v>3221</v>
      </c>
      <c r="B3237" s="75">
        <v>88.65</v>
      </c>
      <c r="C3237" s="75">
        <v>99.18</v>
      </c>
      <c r="D3237" s="75">
        <v>90.33</v>
      </c>
      <c r="E3237" s="75">
        <v>94.44</v>
      </c>
      <c r="F3237">
        <v>2966.7000000000003</v>
      </c>
      <c r="G3237">
        <v>-1452.1499999999999</v>
      </c>
      <c r="H3237">
        <v>4972</v>
      </c>
      <c r="I3237">
        <v>-1063.0999999999999</v>
      </c>
      <c r="J3237">
        <v>5423.4500000000007</v>
      </c>
    </row>
    <row r="3238" spans="1:10" x14ac:dyDescent="0.35">
      <c r="A3238">
        <v>3222</v>
      </c>
      <c r="B3238" s="75">
        <v>89.346800000000002</v>
      </c>
      <c r="C3238" s="75">
        <v>97.415099999999995</v>
      </c>
      <c r="D3238" s="75">
        <v>92.08</v>
      </c>
      <c r="E3238" s="75">
        <v>91.080600000000004</v>
      </c>
      <c r="F3238">
        <v>682.44</v>
      </c>
      <c r="G3238">
        <v>1192.1999999999998</v>
      </c>
      <c r="H3238">
        <v>1472.2</v>
      </c>
      <c r="I3238">
        <v>2300</v>
      </c>
      <c r="J3238">
        <v>5646.84</v>
      </c>
    </row>
    <row r="3239" spans="1:10" x14ac:dyDescent="0.35">
      <c r="A3239">
        <v>3223</v>
      </c>
      <c r="B3239" s="75">
        <v>90.05</v>
      </c>
      <c r="C3239" s="75">
        <v>96.93</v>
      </c>
      <c r="D3239" s="75">
        <v>92.71</v>
      </c>
      <c r="E3239" s="75">
        <v>94.99</v>
      </c>
      <c r="F3239">
        <v>-1648.68</v>
      </c>
      <c r="G3239">
        <v>1914.45</v>
      </c>
      <c r="H3239">
        <v>206.2</v>
      </c>
      <c r="I3239">
        <v>-1606.7</v>
      </c>
      <c r="J3239">
        <v>-1134.73</v>
      </c>
    </row>
    <row r="3240" spans="1:10" x14ac:dyDescent="0.35">
      <c r="A3240">
        <v>3224</v>
      </c>
      <c r="B3240" s="75">
        <v>89.701300000000003</v>
      </c>
      <c r="C3240" s="75">
        <v>98.183499999999995</v>
      </c>
      <c r="D3240" s="75">
        <v>91.976500000000001</v>
      </c>
      <c r="E3240" s="75">
        <v>94.589600000000004</v>
      </c>
      <c r="F3240">
        <v>-487.40999999999997</v>
      </c>
      <c r="G3240">
        <v>39.6</v>
      </c>
      <c r="H3240">
        <v>1679.2</v>
      </c>
      <c r="I3240">
        <v>-1209</v>
      </c>
      <c r="J3240">
        <v>22.3900000000001</v>
      </c>
    </row>
    <row r="3241" spans="1:10" x14ac:dyDescent="0.35">
      <c r="A3241">
        <v>3225</v>
      </c>
      <c r="B3241" s="75">
        <v>89.1</v>
      </c>
      <c r="C3241" s="75">
        <v>97.21</v>
      </c>
      <c r="D3241" s="75">
        <v>92.62</v>
      </c>
      <c r="E3241" s="75">
        <v>90.61</v>
      </c>
      <c r="F3241">
        <v>1490.9399999999998</v>
      </c>
      <c r="G3241">
        <v>1505.25</v>
      </c>
      <c r="H3241">
        <v>384.79999999999995</v>
      </c>
      <c r="I3241">
        <v>2772.4</v>
      </c>
      <c r="J3241">
        <v>6153.3899999999994</v>
      </c>
    </row>
    <row r="3242" spans="1:10" x14ac:dyDescent="0.35">
      <c r="A3242">
        <v>3226</v>
      </c>
      <c r="B3242" s="75">
        <v>89.126800000000003</v>
      </c>
      <c r="C3242" s="75">
        <v>96.789000000000001</v>
      </c>
      <c r="D3242" s="75">
        <v>93.188000000000002</v>
      </c>
      <c r="E3242" s="75">
        <v>91.033100000000005</v>
      </c>
      <c r="F3242">
        <v>1408.44</v>
      </c>
      <c r="G3242">
        <v>2131.35</v>
      </c>
      <c r="H3242">
        <v>-743.80000000000007</v>
      </c>
      <c r="I3242">
        <v>2347.5</v>
      </c>
      <c r="J3242">
        <v>5143.49</v>
      </c>
    </row>
    <row r="3243" spans="1:10" x14ac:dyDescent="0.35">
      <c r="A3243">
        <v>3227</v>
      </c>
      <c r="B3243" s="75">
        <v>88.65</v>
      </c>
      <c r="C3243" s="75">
        <v>97.52</v>
      </c>
      <c r="D3243" s="75">
        <v>92.88</v>
      </c>
      <c r="E3243" s="75">
        <v>94.36</v>
      </c>
      <c r="F3243">
        <v>2995.41</v>
      </c>
      <c r="G3243">
        <v>1032.5999999999999</v>
      </c>
      <c r="H3243">
        <v>-118</v>
      </c>
      <c r="I3243">
        <v>-979.7</v>
      </c>
      <c r="J3243">
        <v>2930.3099999999995</v>
      </c>
    </row>
    <row r="3244" spans="1:10" x14ac:dyDescent="0.35">
      <c r="A3244">
        <v>3228</v>
      </c>
      <c r="B3244" s="75">
        <v>89.774799999999999</v>
      </c>
      <c r="C3244" s="75">
        <v>96.799000000000007</v>
      </c>
      <c r="D3244" s="75">
        <v>95.164299999999997</v>
      </c>
      <c r="E3244" s="75">
        <v>93.660399999999996</v>
      </c>
      <c r="F3244">
        <v>-729.96</v>
      </c>
      <c r="G3244">
        <v>2116.35</v>
      </c>
      <c r="H3244">
        <v>-4696.3999999999996</v>
      </c>
      <c r="I3244">
        <v>-279.8</v>
      </c>
      <c r="J3244">
        <v>-3589.81</v>
      </c>
    </row>
    <row r="3245" spans="1:10" x14ac:dyDescent="0.35">
      <c r="A3245">
        <v>3229</v>
      </c>
      <c r="B3245" s="75">
        <v>90.22</v>
      </c>
      <c r="C3245" s="75">
        <v>98.53</v>
      </c>
      <c r="D3245" s="75">
        <v>92.27</v>
      </c>
      <c r="E3245" s="75">
        <v>94.85</v>
      </c>
      <c r="F3245">
        <v>-2191.5300000000002</v>
      </c>
      <c r="G3245">
        <v>-473.25</v>
      </c>
      <c r="H3245">
        <v>1083.8000000000002</v>
      </c>
      <c r="I3245">
        <v>-1469.5</v>
      </c>
      <c r="J3245">
        <v>-3050.48</v>
      </c>
    </row>
    <row r="3246" spans="1:10" x14ac:dyDescent="0.35">
      <c r="A3246">
        <v>3230</v>
      </c>
      <c r="B3246" s="75">
        <v>89.343800000000002</v>
      </c>
      <c r="C3246" s="75">
        <v>99.036600000000007</v>
      </c>
      <c r="D3246" s="75">
        <v>94.288499999999999</v>
      </c>
      <c r="E3246" s="75">
        <v>92.162899999999993</v>
      </c>
      <c r="F3246">
        <v>692.33999999999992</v>
      </c>
      <c r="G3246">
        <v>-1240.05</v>
      </c>
      <c r="H3246">
        <v>-2944.7999999999997</v>
      </c>
      <c r="I3246">
        <v>1217.7</v>
      </c>
      <c r="J3246">
        <v>-2274.8099999999995</v>
      </c>
    </row>
    <row r="3247" spans="1:10" x14ac:dyDescent="0.35">
      <c r="A3247">
        <v>3231</v>
      </c>
      <c r="B3247" s="75">
        <v>90.06</v>
      </c>
      <c r="C3247" s="75">
        <v>99.04</v>
      </c>
      <c r="D3247" s="75">
        <v>92.55</v>
      </c>
      <c r="E3247" s="75">
        <v>94.84</v>
      </c>
      <c r="F3247">
        <v>-1655.2800000000002</v>
      </c>
      <c r="G3247">
        <v>-1237.8</v>
      </c>
      <c r="H3247">
        <v>541</v>
      </c>
      <c r="I3247">
        <v>-1456.7</v>
      </c>
      <c r="J3247">
        <v>-3808.7799999999997</v>
      </c>
    </row>
    <row r="3248" spans="1:10" x14ac:dyDescent="0.35">
      <c r="A3248">
        <v>3232</v>
      </c>
      <c r="B3248" s="75">
        <v>90.035799999999995</v>
      </c>
      <c r="C3248" s="75">
        <v>99.364400000000003</v>
      </c>
      <c r="D3248" s="75">
        <v>92.249499999999998</v>
      </c>
      <c r="E3248" s="75">
        <v>94.040999999999997</v>
      </c>
      <c r="F3248">
        <v>-1591.26</v>
      </c>
      <c r="G3248">
        <v>-1731.7500000000002</v>
      </c>
      <c r="H3248">
        <v>1133.2</v>
      </c>
      <c r="I3248">
        <v>-660.4</v>
      </c>
      <c r="J3248">
        <v>-2850.2100000000005</v>
      </c>
    </row>
    <row r="3249" spans="1:10" x14ac:dyDescent="0.35">
      <c r="A3249">
        <v>3233</v>
      </c>
      <c r="B3249" s="75">
        <v>90.2</v>
      </c>
      <c r="C3249" s="75">
        <v>97.68</v>
      </c>
      <c r="D3249" s="75">
        <v>92.08</v>
      </c>
      <c r="E3249" s="75">
        <v>92.2</v>
      </c>
      <c r="F3249">
        <v>-2144.34</v>
      </c>
      <c r="G3249">
        <v>799.35</v>
      </c>
      <c r="H3249">
        <v>1477.2</v>
      </c>
      <c r="I3249">
        <v>1180.7</v>
      </c>
      <c r="J3249">
        <v>1312.9099999999999</v>
      </c>
    </row>
    <row r="3250" spans="1:10" x14ac:dyDescent="0.35">
      <c r="A3250">
        <v>3234</v>
      </c>
      <c r="B3250" s="75">
        <v>88.839100000000002</v>
      </c>
      <c r="C3250" s="75">
        <v>98.496899999999997</v>
      </c>
      <c r="D3250" s="75">
        <v>93.108000000000004</v>
      </c>
      <c r="E3250" s="75">
        <v>95.152199999999993</v>
      </c>
      <c r="F3250">
        <v>2357.85</v>
      </c>
      <c r="G3250">
        <v>-430.49999999999994</v>
      </c>
      <c r="H3250">
        <v>-583.79999999999995</v>
      </c>
      <c r="I3250">
        <v>-1771.6000000000001</v>
      </c>
      <c r="J3250">
        <v>-428.05000000000018</v>
      </c>
    </row>
    <row r="3251" spans="1:10" x14ac:dyDescent="0.35">
      <c r="A3251">
        <v>3235</v>
      </c>
      <c r="B3251" s="75">
        <v>90.01</v>
      </c>
      <c r="C3251" s="75">
        <v>99.32</v>
      </c>
      <c r="D3251" s="75">
        <v>93.64</v>
      </c>
      <c r="E3251" s="75">
        <v>93.24</v>
      </c>
      <c r="F3251">
        <v>-1493.25</v>
      </c>
      <c r="G3251">
        <v>-1672.35</v>
      </c>
      <c r="H3251">
        <v>-1641.2</v>
      </c>
      <c r="I3251">
        <v>135.69999999999999</v>
      </c>
      <c r="J3251">
        <v>-4671.1000000000004</v>
      </c>
    </row>
    <row r="3252" spans="1:10" x14ac:dyDescent="0.35">
      <c r="A3252">
        <v>3236</v>
      </c>
      <c r="B3252" s="75">
        <v>89.150400000000005</v>
      </c>
      <c r="C3252" s="75">
        <v>96.349400000000003</v>
      </c>
      <c r="D3252" s="75">
        <v>92.626800000000003</v>
      </c>
      <c r="E3252" s="75">
        <v>94.559299999999993</v>
      </c>
      <c r="F3252">
        <v>1330.56</v>
      </c>
      <c r="G3252">
        <v>2790.75</v>
      </c>
      <c r="H3252">
        <v>378.59999999999997</v>
      </c>
      <c r="I3252">
        <v>-1178.7</v>
      </c>
      <c r="J3252">
        <v>3321.21</v>
      </c>
    </row>
    <row r="3253" spans="1:10" x14ac:dyDescent="0.35">
      <c r="A3253">
        <v>3237</v>
      </c>
      <c r="B3253" s="75">
        <v>90.03</v>
      </c>
      <c r="C3253" s="75">
        <v>99.5</v>
      </c>
      <c r="D3253" s="75">
        <v>93.63</v>
      </c>
      <c r="E3253" s="75">
        <v>90.16</v>
      </c>
      <c r="F3253">
        <v>-1556.94</v>
      </c>
      <c r="G3253">
        <v>-1934.8500000000001</v>
      </c>
      <c r="H3253">
        <v>-1621</v>
      </c>
      <c r="I3253">
        <v>3216.7</v>
      </c>
      <c r="J3253">
        <v>-1896.0900000000001</v>
      </c>
    </row>
    <row r="3254" spans="1:10" x14ac:dyDescent="0.35">
      <c r="A3254">
        <v>3238</v>
      </c>
      <c r="B3254" s="75">
        <v>89.277799999999999</v>
      </c>
      <c r="C3254" s="75">
        <v>98.1815</v>
      </c>
      <c r="D3254" s="75">
        <v>93.070499999999996</v>
      </c>
      <c r="E3254" s="75">
        <v>93.827500000000001</v>
      </c>
      <c r="F3254">
        <v>910.14</v>
      </c>
      <c r="G3254">
        <v>42.6</v>
      </c>
      <c r="H3254">
        <v>-508.8</v>
      </c>
      <c r="I3254">
        <v>-446.90000000000003</v>
      </c>
      <c r="J3254">
        <v>-2.9600000000000364</v>
      </c>
    </row>
    <row r="3255" spans="1:10" x14ac:dyDescent="0.35">
      <c r="A3255">
        <v>3239</v>
      </c>
      <c r="B3255" s="75">
        <v>89.94</v>
      </c>
      <c r="C3255" s="75">
        <v>98.68</v>
      </c>
      <c r="D3255" s="75">
        <v>94.59</v>
      </c>
      <c r="E3255" s="75">
        <v>92.77</v>
      </c>
      <c r="F3255">
        <v>-1280.4000000000001</v>
      </c>
      <c r="G3255">
        <v>-699.75</v>
      </c>
      <c r="H3255">
        <v>-3555.6</v>
      </c>
      <c r="I3255">
        <v>614.70000000000005</v>
      </c>
      <c r="J3255">
        <v>-4921.05</v>
      </c>
    </row>
    <row r="3256" spans="1:10" x14ac:dyDescent="0.35">
      <c r="A3256">
        <v>3240</v>
      </c>
      <c r="B3256" s="75">
        <v>89.685000000000002</v>
      </c>
      <c r="C3256" s="75">
        <v>97.477099999999993</v>
      </c>
      <c r="D3256" s="75">
        <v>93.474100000000007</v>
      </c>
      <c r="E3256" s="75">
        <v>93.169499999999999</v>
      </c>
      <c r="F3256">
        <v>-433.61999999999995</v>
      </c>
      <c r="G3256">
        <v>1099.2</v>
      </c>
      <c r="H3256">
        <v>-1316</v>
      </c>
      <c r="I3256">
        <v>211.10000000000002</v>
      </c>
      <c r="J3256">
        <v>-439.31999999999982</v>
      </c>
    </row>
    <row r="3257" spans="1:10" x14ac:dyDescent="0.35">
      <c r="A3257">
        <v>3241</v>
      </c>
      <c r="B3257" s="75">
        <v>89.03</v>
      </c>
      <c r="C3257" s="75">
        <v>97.49</v>
      </c>
      <c r="D3257" s="75">
        <v>90.64</v>
      </c>
      <c r="E3257" s="75">
        <v>94.95</v>
      </c>
      <c r="F3257">
        <v>1716</v>
      </c>
      <c r="G3257">
        <v>1080.1499999999999</v>
      </c>
      <c r="H3257">
        <v>4347.8</v>
      </c>
      <c r="I3257">
        <v>-1566.7</v>
      </c>
      <c r="J3257">
        <v>5577.25</v>
      </c>
    </row>
    <row r="3258" spans="1:10" x14ac:dyDescent="0.35">
      <c r="A3258">
        <v>3242</v>
      </c>
      <c r="B3258" s="75">
        <v>88.934700000000007</v>
      </c>
      <c r="C3258" s="75">
        <v>98.090800000000002</v>
      </c>
      <c r="D3258" s="75">
        <v>93.653099999999995</v>
      </c>
      <c r="E3258" s="75">
        <v>92.313800000000001</v>
      </c>
      <c r="F3258">
        <v>2042.3700000000001</v>
      </c>
      <c r="G3258">
        <v>178.65</v>
      </c>
      <c r="H3258">
        <v>-1674</v>
      </c>
      <c r="I3258">
        <v>1066.8</v>
      </c>
      <c r="J3258">
        <v>1613.82</v>
      </c>
    </row>
    <row r="3259" spans="1:10" x14ac:dyDescent="0.35">
      <c r="A3259">
        <v>3243</v>
      </c>
      <c r="B3259" s="75">
        <v>89.16</v>
      </c>
      <c r="C3259" s="75">
        <v>98.53</v>
      </c>
      <c r="D3259" s="75">
        <v>94.85</v>
      </c>
      <c r="E3259" s="75">
        <v>95.51</v>
      </c>
      <c r="F3259">
        <v>1286.3399999999999</v>
      </c>
      <c r="G3259">
        <v>-477.15</v>
      </c>
      <c r="H3259">
        <v>-4065.4000000000005</v>
      </c>
      <c r="I3259">
        <v>-2134.1</v>
      </c>
      <c r="J3259">
        <v>-5390.31</v>
      </c>
    </row>
    <row r="3260" spans="1:10" x14ac:dyDescent="0.35">
      <c r="A3260">
        <v>3244</v>
      </c>
      <c r="B3260" s="75">
        <v>89.795599999999993</v>
      </c>
      <c r="C3260" s="75">
        <v>98.277299999999997</v>
      </c>
      <c r="D3260" s="75">
        <v>92.672499999999999</v>
      </c>
      <c r="E3260" s="75">
        <v>95.238100000000003</v>
      </c>
      <c r="F3260">
        <v>-798.6</v>
      </c>
      <c r="G3260">
        <v>-101.10000000000001</v>
      </c>
      <c r="H3260">
        <v>287.2</v>
      </c>
      <c r="I3260">
        <v>-1857.5</v>
      </c>
      <c r="J3260">
        <v>-2470</v>
      </c>
    </row>
    <row r="3261" spans="1:10" x14ac:dyDescent="0.35">
      <c r="A3261">
        <v>3245</v>
      </c>
      <c r="B3261" s="75">
        <v>90</v>
      </c>
      <c r="C3261" s="75">
        <v>97.39</v>
      </c>
      <c r="D3261" s="75">
        <v>92.3</v>
      </c>
      <c r="E3261" s="75">
        <v>95.24</v>
      </c>
      <c r="F3261">
        <v>-1471.1399999999999</v>
      </c>
      <c r="G3261">
        <v>1230.6000000000001</v>
      </c>
      <c r="H3261">
        <v>1030</v>
      </c>
      <c r="I3261">
        <v>-1862.2</v>
      </c>
      <c r="J3261">
        <v>-1072.7399999999998</v>
      </c>
    </row>
    <row r="3262" spans="1:10" x14ac:dyDescent="0.35">
      <c r="A3262">
        <v>3246</v>
      </c>
      <c r="B3262" s="75">
        <v>88.950500000000005</v>
      </c>
      <c r="C3262" s="75">
        <v>98.278499999999994</v>
      </c>
      <c r="D3262" s="75">
        <v>94.540199999999999</v>
      </c>
      <c r="E3262" s="75">
        <v>93.527000000000001</v>
      </c>
      <c r="F3262">
        <v>1990.2299999999998</v>
      </c>
      <c r="G3262">
        <v>-102.89999999999999</v>
      </c>
      <c r="H3262">
        <v>-3448.2</v>
      </c>
      <c r="I3262">
        <v>-146.4</v>
      </c>
      <c r="J3262">
        <v>-1707.2700000000002</v>
      </c>
    </row>
    <row r="3263" spans="1:10" x14ac:dyDescent="0.35">
      <c r="A3263">
        <v>3247</v>
      </c>
      <c r="B3263" s="75">
        <v>89.34</v>
      </c>
      <c r="C3263" s="75">
        <v>98.26</v>
      </c>
      <c r="D3263" s="75">
        <v>93.65</v>
      </c>
      <c r="E3263" s="75">
        <v>93.83</v>
      </c>
      <c r="F3263">
        <v>706.19999999999993</v>
      </c>
      <c r="G3263">
        <v>-82.35</v>
      </c>
      <c r="H3263">
        <v>-1660.8</v>
      </c>
      <c r="I3263">
        <v>-450.1</v>
      </c>
      <c r="J3263">
        <v>-1487.0500000000002</v>
      </c>
    </row>
    <row r="3264" spans="1:10" x14ac:dyDescent="0.35">
      <c r="A3264">
        <v>3248</v>
      </c>
      <c r="B3264" s="75">
        <v>89.490799999999993</v>
      </c>
      <c r="C3264" s="75">
        <v>97.935599999999994</v>
      </c>
      <c r="D3264" s="75">
        <v>93.049899999999994</v>
      </c>
      <c r="E3264" s="75">
        <v>95.032200000000003</v>
      </c>
      <c r="F3264">
        <v>207.23999999999998</v>
      </c>
      <c r="G3264">
        <v>411.45</v>
      </c>
      <c r="H3264">
        <v>-467.6</v>
      </c>
      <c r="I3264">
        <v>-1651.6</v>
      </c>
      <c r="J3264">
        <v>-1500.51</v>
      </c>
    </row>
    <row r="3265" spans="1:10" x14ac:dyDescent="0.35">
      <c r="A3265">
        <v>3249</v>
      </c>
      <c r="B3265" s="75">
        <v>89.78</v>
      </c>
      <c r="C3265" s="75">
        <v>98.97</v>
      </c>
      <c r="D3265" s="75">
        <v>93.11</v>
      </c>
      <c r="E3265" s="75">
        <v>93.86</v>
      </c>
      <c r="F3265">
        <v>-740.52</v>
      </c>
      <c r="G3265">
        <v>-1140.5999999999999</v>
      </c>
      <c r="H3265">
        <v>-594</v>
      </c>
      <c r="I3265">
        <v>-481.5</v>
      </c>
      <c r="J3265">
        <v>-2956.62</v>
      </c>
    </row>
    <row r="3266" spans="1:10" x14ac:dyDescent="0.35">
      <c r="A3266">
        <v>3250</v>
      </c>
      <c r="B3266" s="75">
        <v>89.354200000000006</v>
      </c>
      <c r="C3266" s="75">
        <v>97.806600000000003</v>
      </c>
      <c r="D3266" s="75">
        <v>92.6631</v>
      </c>
      <c r="E3266" s="75">
        <v>93.081999999999994</v>
      </c>
      <c r="F3266">
        <v>658.02</v>
      </c>
      <c r="G3266">
        <v>604.94999999999993</v>
      </c>
      <c r="H3266">
        <v>306</v>
      </c>
      <c r="I3266">
        <v>298.59999999999997</v>
      </c>
      <c r="J3266">
        <v>1867.5699999999997</v>
      </c>
    </row>
    <row r="3267" spans="1:10" x14ac:dyDescent="0.35">
      <c r="A3267">
        <v>3251</v>
      </c>
      <c r="B3267" s="75">
        <v>89.77</v>
      </c>
      <c r="C3267" s="75">
        <v>99.29</v>
      </c>
      <c r="D3267" s="75">
        <v>92.16</v>
      </c>
      <c r="E3267" s="75">
        <v>93.66</v>
      </c>
      <c r="F3267">
        <v>-709.5</v>
      </c>
      <c r="G3267">
        <v>-1613.7</v>
      </c>
      <c r="H3267">
        <v>1320</v>
      </c>
      <c r="I3267">
        <v>-276.3</v>
      </c>
      <c r="J3267">
        <v>-1279.4999999999998</v>
      </c>
    </row>
    <row r="3268" spans="1:10" x14ac:dyDescent="0.35">
      <c r="A3268">
        <v>3252</v>
      </c>
      <c r="B3268" s="75">
        <v>90.2196</v>
      </c>
      <c r="C3268" s="75">
        <v>98.012500000000003</v>
      </c>
      <c r="D3268" s="75">
        <v>94.6</v>
      </c>
      <c r="E3268" s="75">
        <v>94.462999999999994</v>
      </c>
      <c r="F3268">
        <v>-2197.8000000000002</v>
      </c>
      <c r="G3268">
        <v>296.09999999999997</v>
      </c>
      <c r="H3268">
        <v>-3567.8</v>
      </c>
      <c r="I3268">
        <v>-1082.4000000000001</v>
      </c>
      <c r="J3268">
        <v>-6551.9</v>
      </c>
    </row>
    <row r="3269" spans="1:10" x14ac:dyDescent="0.35">
      <c r="A3269">
        <v>3253</v>
      </c>
      <c r="B3269" s="75">
        <v>89.53</v>
      </c>
      <c r="C3269" s="75">
        <v>97.4</v>
      </c>
      <c r="D3269" s="75">
        <v>92.9</v>
      </c>
      <c r="E3269" s="75">
        <v>90.78</v>
      </c>
      <c r="F3269">
        <v>65.009999999999991</v>
      </c>
      <c r="G3269">
        <v>1215.45</v>
      </c>
      <c r="H3269">
        <v>-176.4</v>
      </c>
      <c r="I3269">
        <v>2597.7000000000003</v>
      </c>
      <c r="J3269">
        <v>3701.76</v>
      </c>
    </row>
    <row r="3270" spans="1:10" x14ac:dyDescent="0.35">
      <c r="A3270">
        <v>3254</v>
      </c>
      <c r="B3270" s="75">
        <v>91.099900000000005</v>
      </c>
      <c r="C3270" s="75">
        <v>97.982299999999995</v>
      </c>
      <c r="D3270" s="75">
        <v>91.502499999999998</v>
      </c>
      <c r="E3270" s="75">
        <v>94.338099999999997</v>
      </c>
      <c r="F3270">
        <v>-5102.79</v>
      </c>
      <c r="G3270">
        <v>341.4</v>
      </c>
      <c r="H3270">
        <v>2627.2000000000003</v>
      </c>
      <c r="I3270">
        <v>-957.5</v>
      </c>
      <c r="J3270">
        <v>-3091.69</v>
      </c>
    </row>
    <row r="3271" spans="1:10" x14ac:dyDescent="0.35">
      <c r="A3271">
        <v>3255</v>
      </c>
      <c r="B3271" s="75">
        <v>89.83</v>
      </c>
      <c r="C3271" s="75">
        <v>97.55</v>
      </c>
      <c r="D3271" s="75">
        <v>92.45</v>
      </c>
      <c r="E3271" s="75">
        <v>94.99</v>
      </c>
      <c r="F3271">
        <v>-915.42</v>
      </c>
      <c r="G3271">
        <v>990.45</v>
      </c>
      <c r="H3271">
        <v>733.19999999999993</v>
      </c>
      <c r="I3271">
        <v>-1612.7</v>
      </c>
      <c r="J3271">
        <v>-804.47</v>
      </c>
    </row>
    <row r="3272" spans="1:10" x14ac:dyDescent="0.35">
      <c r="A3272">
        <v>3256</v>
      </c>
      <c r="B3272" s="75">
        <v>89.925200000000004</v>
      </c>
      <c r="C3272" s="75">
        <v>99.346900000000005</v>
      </c>
      <c r="D3272" s="75">
        <v>92.888499999999993</v>
      </c>
      <c r="E3272" s="75">
        <v>91.222700000000003</v>
      </c>
      <c r="F3272">
        <v>-1226.28</v>
      </c>
      <c r="G3272">
        <v>-1705.5</v>
      </c>
      <c r="H3272">
        <v>-144.80000000000001</v>
      </c>
      <c r="I3272">
        <v>2157.9</v>
      </c>
      <c r="J3272">
        <v>-918.67999999999984</v>
      </c>
    </row>
    <row r="3273" spans="1:10" x14ac:dyDescent="0.35">
      <c r="A3273">
        <v>3257</v>
      </c>
      <c r="B3273" s="75">
        <v>89.46</v>
      </c>
      <c r="C3273" s="75">
        <v>98.04</v>
      </c>
      <c r="D3273" s="75">
        <v>91.77</v>
      </c>
      <c r="E3273" s="75">
        <v>93.69</v>
      </c>
      <c r="F3273">
        <v>325.38</v>
      </c>
      <c r="G3273">
        <v>262.2</v>
      </c>
      <c r="H3273">
        <v>2094.3999999999996</v>
      </c>
      <c r="I3273">
        <v>-306.7</v>
      </c>
      <c r="J3273">
        <v>2375.2799999999997</v>
      </c>
    </row>
    <row r="3274" spans="1:10" x14ac:dyDescent="0.35">
      <c r="A3274">
        <v>3258</v>
      </c>
      <c r="B3274" s="75">
        <v>88.383499999999998</v>
      </c>
      <c r="C3274" s="75">
        <v>98.554100000000005</v>
      </c>
      <c r="D3274" s="75">
        <v>91.395200000000003</v>
      </c>
      <c r="E3274" s="75">
        <v>92.256600000000006</v>
      </c>
      <c r="F3274">
        <v>3861.33</v>
      </c>
      <c r="G3274">
        <v>-516.29999999999995</v>
      </c>
      <c r="H3274">
        <v>2841.8</v>
      </c>
      <c r="I3274">
        <v>1124</v>
      </c>
      <c r="J3274">
        <v>7310.83</v>
      </c>
    </row>
    <row r="3275" spans="1:10" x14ac:dyDescent="0.35">
      <c r="A3275">
        <v>3259</v>
      </c>
      <c r="B3275" s="75">
        <v>89.7</v>
      </c>
      <c r="C3275" s="75">
        <v>98.84</v>
      </c>
      <c r="D3275" s="75">
        <v>93.38</v>
      </c>
      <c r="E3275" s="75">
        <v>92.96</v>
      </c>
      <c r="F3275">
        <v>-496.32</v>
      </c>
      <c r="G3275">
        <v>-938.85</v>
      </c>
      <c r="H3275">
        <v>-1124.4000000000001</v>
      </c>
      <c r="I3275">
        <v>420.70000000000005</v>
      </c>
      <c r="J3275">
        <v>-2138.87</v>
      </c>
    </row>
    <row r="3276" spans="1:10" x14ac:dyDescent="0.35">
      <c r="A3276">
        <v>3260</v>
      </c>
      <c r="B3276" s="75">
        <v>89.999499999999998</v>
      </c>
      <c r="C3276" s="75">
        <v>97.888800000000003</v>
      </c>
      <c r="D3276" s="75">
        <v>92.196200000000005</v>
      </c>
      <c r="E3276" s="75">
        <v>91.979799999999997</v>
      </c>
      <c r="F3276">
        <v>-1471.47</v>
      </c>
      <c r="G3276">
        <v>481.65</v>
      </c>
      <c r="H3276">
        <v>1239.8</v>
      </c>
      <c r="I3276">
        <v>1400.8</v>
      </c>
      <c r="J3276">
        <v>1650.7799999999997</v>
      </c>
    </row>
    <row r="3277" spans="1:10" x14ac:dyDescent="0.35">
      <c r="A3277">
        <v>3261</v>
      </c>
      <c r="B3277" s="75">
        <v>89.77</v>
      </c>
      <c r="C3277" s="75">
        <v>99.86</v>
      </c>
      <c r="D3277" s="75">
        <v>91.11</v>
      </c>
      <c r="E3277" s="75">
        <v>94.9</v>
      </c>
      <c r="F3277">
        <v>-718.07999999999993</v>
      </c>
      <c r="G3277">
        <v>-2471.85</v>
      </c>
      <c r="H3277">
        <v>3421.2</v>
      </c>
      <c r="I3277">
        <v>-1521.7</v>
      </c>
      <c r="J3277">
        <v>-1290.43</v>
      </c>
    </row>
    <row r="3278" spans="1:10" x14ac:dyDescent="0.35">
      <c r="A3278">
        <v>3262</v>
      </c>
      <c r="B3278" s="75">
        <v>90.675399999999996</v>
      </c>
      <c r="C3278" s="75">
        <v>98.776300000000006</v>
      </c>
      <c r="D3278" s="75">
        <v>91.138800000000003</v>
      </c>
      <c r="E3278" s="75">
        <v>91.591499999999996</v>
      </c>
      <c r="F3278">
        <v>-3701.9399999999996</v>
      </c>
      <c r="G3278">
        <v>-849.6</v>
      </c>
      <c r="H3278">
        <v>3354.6</v>
      </c>
      <c r="I3278">
        <v>1789.1</v>
      </c>
      <c r="J3278">
        <v>592.15999999999985</v>
      </c>
    </row>
    <row r="3279" spans="1:10" x14ac:dyDescent="0.35">
      <c r="A3279">
        <v>3263</v>
      </c>
      <c r="B3279" s="75">
        <v>89.11</v>
      </c>
      <c r="C3279" s="75">
        <v>98.19</v>
      </c>
      <c r="D3279" s="75">
        <v>91.68</v>
      </c>
      <c r="E3279" s="75">
        <v>96.38</v>
      </c>
      <c r="F3279">
        <v>1463.8799999999999</v>
      </c>
      <c r="G3279">
        <v>33.150000000000006</v>
      </c>
      <c r="H3279">
        <v>2273.4</v>
      </c>
      <c r="I3279">
        <v>-3001.7999999999997</v>
      </c>
      <c r="J3279">
        <v>768.63000000000056</v>
      </c>
    </row>
    <row r="3280" spans="1:10" x14ac:dyDescent="0.35">
      <c r="A3280">
        <v>3264</v>
      </c>
      <c r="B3280" s="75">
        <v>89.644099999999995</v>
      </c>
      <c r="C3280" s="75">
        <v>97.392600000000002</v>
      </c>
      <c r="D3280" s="75">
        <v>92.800799999999995</v>
      </c>
      <c r="E3280" s="75">
        <v>93.467799999999997</v>
      </c>
      <c r="F3280">
        <v>-298.64999999999998</v>
      </c>
      <c r="G3280">
        <v>1225.95</v>
      </c>
      <c r="H3280">
        <v>30.599999999999998</v>
      </c>
      <c r="I3280">
        <v>-87.2</v>
      </c>
      <c r="J3280">
        <v>870.7</v>
      </c>
    </row>
    <row r="3281" spans="1:10" x14ac:dyDescent="0.35">
      <c r="A3281">
        <v>3265</v>
      </c>
      <c r="B3281" s="75">
        <v>89.29</v>
      </c>
      <c r="C3281" s="75">
        <v>99.1</v>
      </c>
      <c r="D3281" s="75">
        <v>90.93</v>
      </c>
      <c r="E3281" s="75">
        <v>92.83</v>
      </c>
      <c r="F3281">
        <v>879.12000000000012</v>
      </c>
      <c r="G3281">
        <v>-1336.2</v>
      </c>
      <c r="H3281">
        <v>3774.6</v>
      </c>
      <c r="I3281">
        <v>555.6</v>
      </c>
      <c r="J3281">
        <v>3873.12</v>
      </c>
    </row>
    <row r="3282" spans="1:10" x14ac:dyDescent="0.35">
      <c r="A3282">
        <v>3266</v>
      </c>
      <c r="B3282" s="75">
        <v>90.2363</v>
      </c>
      <c r="C3282" s="75">
        <v>98.359800000000007</v>
      </c>
      <c r="D3282" s="75">
        <v>93.587800000000001</v>
      </c>
      <c r="E3282" s="75">
        <v>94.141599999999997</v>
      </c>
      <c r="F3282">
        <v>-2252.91</v>
      </c>
      <c r="G3282">
        <v>-224.85</v>
      </c>
      <c r="H3282">
        <v>-1543.4</v>
      </c>
      <c r="I3282">
        <v>-761</v>
      </c>
      <c r="J3282">
        <v>-4782.16</v>
      </c>
    </row>
    <row r="3283" spans="1:10" x14ac:dyDescent="0.35">
      <c r="A3283">
        <v>3267</v>
      </c>
      <c r="B3283" s="75">
        <v>89.86</v>
      </c>
      <c r="C3283" s="75">
        <v>98.83</v>
      </c>
      <c r="D3283" s="75">
        <v>95.12</v>
      </c>
      <c r="E3283" s="75">
        <v>92.86</v>
      </c>
      <c r="F3283">
        <v>-1024.6500000000001</v>
      </c>
      <c r="G3283">
        <v>-923.09999999999991</v>
      </c>
      <c r="H3283">
        <v>-4599.8</v>
      </c>
      <c r="I3283">
        <v>518.9</v>
      </c>
      <c r="J3283">
        <v>-6028.6500000000005</v>
      </c>
    </row>
    <row r="3284" spans="1:10" x14ac:dyDescent="0.35">
      <c r="A3284">
        <v>3268</v>
      </c>
      <c r="B3284" s="75">
        <v>89.382000000000005</v>
      </c>
      <c r="C3284" s="75">
        <v>98.292199999999994</v>
      </c>
      <c r="D3284" s="75">
        <v>92.417000000000002</v>
      </c>
      <c r="E3284" s="75">
        <v>92.766999999999996</v>
      </c>
      <c r="F3284">
        <v>566.28</v>
      </c>
      <c r="G3284">
        <v>-123.45</v>
      </c>
      <c r="H3284">
        <v>798.2</v>
      </c>
      <c r="I3284">
        <v>613.6</v>
      </c>
      <c r="J3284">
        <v>1854.63</v>
      </c>
    </row>
    <row r="3285" spans="1:10" x14ac:dyDescent="0.35">
      <c r="A3285">
        <v>3269</v>
      </c>
      <c r="B3285" s="75">
        <v>89.93</v>
      </c>
      <c r="C3285" s="75">
        <v>97.03</v>
      </c>
      <c r="D3285" s="75">
        <v>93.08</v>
      </c>
      <c r="E3285" s="75">
        <v>95.53</v>
      </c>
      <c r="F3285">
        <v>-1244.0999999999999</v>
      </c>
      <c r="G3285">
        <v>1776.7500000000002</v>
      </c>
      <c r="H3285">
        <v>-529.59999999999991</v>
      </c>
      <c r="I3285">
        <v>-2146.7999999999997</v>
      </c>
      <c r="J3285">
        <v>-2143.7499999999991</v>
      </c>
    </row>
    <row r="3286" spans="1:10" x14ac:dyDescent="0.35">
      <c r="A3286">
        <v>3270</v>
      </c>
      <c r="B3286" s="75">
        <v>89.334599999999995</v>
      </c>
      <c r="C3286" s="75">
        <v>98.462299999999999</v>
      </c>
      <c r="D3286" s="75">
        <v>94.035399999999996</v>
      </c>
      <c r="E3286" s="75">
        <v>91.3352</v>
      </c>
      <c r="F3286">
        <v>722.7</v>
      </c>
      <c r="G3286">
        <v>-378.6</v>
      </c>
      <c r="H3286">
        <v>-2438.6</v>
      </c>
      <c r="I3286">
        <v>2045.3999999999999</v>
      </c>
      <c r="J3286">
        <v>-49.100000000000136</v>
      </c>
    </row>
    <row r="3287" spans="1:10" x14ac:dyDescent="0.35">
      <c r="A3287">
        <v>3271</v>
      </c>
      <c r="B3287" s="75">
        <v>90.04</v>
      </c>
      <c r="C3287" s="75">
        <v>98.25</v>
      </c>
      <c r="D3287" s="75">
        <v>94.2</v>
      </c>
      <c r="E3287" s="75">
        <v>89.12</v>
      </c>
      <c r="F3287">
        <v>-1594.23</v>
      </c>
      <c r="G3287">
        <v>-65.7</v>
      </c>
      <c r="H3287">
        <v>-2769</v>
      </c>
      <c r="I3287">
        <v>4255.8999999999996</v>
      </c>
      <c r="J3287">
        <v>-173.03000000000065</v>
      </c>
    </row>
    <row r="3288" spans="1:10" x14ac:dyDescent="0.35">
      <c r="A3288">
        <v>3272</v>
      </c>
      <c r="B3288" s="75">
        <v>89.395700000000005</v>
      </c>
      <c r="C3288" s="75">
        <v>98.857799999999997</v>
      </c>
      <c r="D3288" s="75">
        <v>91.318399999999997</v>
      </c>
      <c r="E3288" s="75">
        <v>96.241900000000001</v>
      </c>
      <c r="F3288">
        <v>521.07000000000005</v>
      </c>
      <c r="G3288">
        <v>-971.85</v>
      </c>
      <c r="H3288">
        <v>2995.4</v>
      </c>
      <c r="I3288">
        <v>-2861.3</v>
      </c>
      <c r="J3288">
        <v>-316.68000000000029</v>
      </c>
    </row>
    <row r="3289" spans="1:10" x14ac:dyDescent="0.35">
      <c r="A3289">
        <v>3273</v>
      </c>
      <c r="B3289" s="75">
        <v>90.55</v>
      </c>
      <c r="C3289" s="75">
        <v>99.01</v>
      </c>
      <c r="D3289" s="75">
        <v>92.69</v>
      </c>
      <c r="E3289" s="75">
        <v>93.54</v>
      </c>
      <c r="F3289">
        <v>-3285.81</v>
      </c>
      <c r="G3289">
        <v>-1203</v>
      </c>
      <c r="H3289">
        <v>245.60000000000002</v>
      </c>
      <c r="I3289">
        <v>-163.30000000000001</v>
      </c>
      <c r="J3289">
        <v>-4406.5099999999993</v>
      </c>
    </row>
    <row r="3290" spans="1:10" x14ac:dyDescent="0.35">
      <c r="A3290">
        <v>3274</v>
      </c>
      <c r="B3290" s="75">
        <v>89.596400000000003</v>
      </c>
      <c r="C3290" s="75">
        <v>97.131900000000002</v>
      </c>
      <c r="D3290" s="75">
        <v>93.342100000000002</v>
      </c>
      <c r="E3290" s="75">
        <v>95.300700000000006</v>
      </c>
      <c r="F3290">
        <v>-141.23999999999998</v>
      </c>
      <c r="G3290">
        <v>1617</v>
      </c>
      <c r="H3290">
        <v>-1052</v>
      </c>
      <c r="I3290">
        <v>-1920.1</v>
      </c>
      <c r="J3290">
        <v>-1496.34</v>
      </c>
    </row>
    <row r="3291" spans="1:10" x14ac:dyDescent="0.35">
      <c r="A3291">
        <v>3275</v>
      </c>
      <c r="B3291" s="75">
        <v>89.1</v>
      </c>
      <c r="C3291" s="75">
        <v>99.2</v>
      </c>
      <c r="D3291" s="75">
        <v>93.74</v>
      </c>
      <c r="E3291" s="75">
        <v>90.43</v>
      </c>
      <c r="F3291">
        <v>1510.41</v>
      </c>
      <c r="G3291">
        <v>-1479.9</v>
      </c>
      <c r="H3291">
        <v>-1845.3999999999999</v>
      </c>
      <c r="I3291">
        <v>2951.2999999999997</v>
      </c>
      <c r="J3291">
        <v>1136.4099999999999</v>
      </c>
    </row>
    <row r="3292" spans="1:10" x14ac:dyDescent="0.35">
      <c r="A3292">
        <v>3276</v>
      </c>
      <c r="B3292" s="75">
        <v>88.501199999999997</v>
      </c>
      <c r="C3292" s="75">
        <v>97.399900000000002</v>
      </c>
      <c r="D3292" s="75">
        <v>92.779399999999995</v>
      </c>
      <c r="E3292" s="75">
        <v>92.43</v>
      </c>
      <c r="F3292">
        <v>3472.92</v>
      </c>
      <c r="G3292">
        <v>1215</v>
      </c>
      <c r="H3292">
        <v>73.400000000000006</v>
      </c>
      <c r="I3292">
        <v>950.6</v>
      </c>
      <c r="J3292">
        <v>5711.92</v>
      </c>
    </row>
    <row r="3293" spans="1:10" x14ac:dyDescent="0.35">
      <c r="A3293">
        <v>3277</v>
      </c>
      <c r="B3293" s="75">
        <v>90.71</v>
      </c>
      <c r="C3293" s="75">
        <v>97.84</v>
      </c>
      <c r="D3293" s="75">
        <v>91.55</v>
      </c>
      <c r="E3293" s="75">
        <v>93.74</v>
      </c>
      <c r="F3293">
        <v>-3814.14</v>
      </c>
      <c r="G3293">
        <v>557.25</v>
      </c>
      <c r="H3293">
        <v>2534.8000000000002</v>
      </c>
      <c r="I3293">
        <v>-356.8</v>
      </c>
      <c r="J3293">
        <v>-1078.8899999999996</v>
      </c>
    </row>
    <row r="3294" spans="1:10" x14ac:dyDescent="0.35">
      <c r="A3294">
        <v>3278</v>
      </c>
      <c r="B3294" s="75">
        <v>89.612700000000004</v>
      </c>
      <c r="C3294" s="75">
        <v>98.634100000000004</v>
      </c>
      <c r="D3294" s="75">
        <v>93.436499999999995</v>
      </c>
      <c r="E3294" s="75">
        <v>94.834400000000002</v>
      </c>
      <c r="F3294">
        <v>-195.03</v>
      </c>
      <c r="G3294">
        <v>-636.30000000000007</v>
      </c>
      <c r="H3294">
        <v>-1240.8</v>
      </c>
      <c r="I3294">
        <v>-1453.8</v>
      </c>
      <c r="J3294">
        <v>-3525.9300000000003</v>
      </c>
    </row>
    <row r="3295" spans="1:10" x14ac:dyDescent="0.35">
      <c r="A3295">
        <v>3279</v>
      </c>
      <c r="B3295" s="75">
        <v>90.75</v>
      </c>
      <c r="C3295" s="75">
        <v>98.89</v>
      </c>
      <c r="D3295" s="75">
        <v>91.9</v>
      </c>
      <c r="E3295" s="75">
        <v>89.65</v>
      </c>
      <c r="F3295">
        <v>-3954.06</v>
      </c>
      <c r="G3295">
        <v>-1024.3499999999999</v>
      </c>
      <c r="H3295">
        <v>1836.2</v>
      </c>
      <c r="I3295">
        <v>3727.5</v>
      </c>
      <c r="J3295">
        <v>585.29</v>
      </c>
    </row>
    <row r="3296" spans="1:10" x14ac:dyDescent="0.35">
      <c r="A3296">
        <v>3280</v>
      </c>
      <c r="B3296" s="75">
        <v>90.226900000000001</v>
      </c>
      <c r="C3296" s="75">
        <v>97.971800000000002</v>
      </c>
      <c r="D3296" s="75">
        <v>92.642499999999998</v>
      </c>
      <c r="E3296" s="75">
        <v>93.335700000000003</v>
      </c>
      <c r="F3296">
        <v>-2221.89</v>
      </c>
      <c r="G3296">
        <v>357.15000000000003</v>
      </c>
      <c r="H3296">
        <v>347.2</v>
      </c>
      <c r="I3296">
        <v>44.900000000000006</v>
      </c>
      <c r="J3296">
        <v>-1472.6399999999996</v>
      </c>
    </row>
    <row r="3297" spans="1:10" x14ac:dyDescent="0.35">
      <c r="A3297">
        <v>3281</v>
      </c>
      <c r="B3297" s="75">
        <v>90.49</v>
      </c>
      <c r="C3297" s="75">
        <v>99.23</v>
      </c>
      <c r="D3297" s="75">
        <v>96.21</v>
      </c>
      <c r="E3297" s="75">
        <v>93.03</v>
      </c>
      <c r="F3297">
        <v>-3093.75</v>
      </c>
      <c r="G3297">
        <v>-1536.75</v>
      </c>
      <c r="H3297">
        <v>-6792</v>
      </c>
      <c r="I3297">
        <v>353.3</v>
      </c>
      <c r="J3297">
        <v>-11069.2</v>
      </c>
    </row>
    <row r="3298" spans="1:10" x14ac:dyDescent="0.35">
      <c r="A3298">
        <v>3282</v>
      </c>
      <c r="B3298" s="75">
        <v>89.473500000000001</v>
      </c>
      <c r="C3298" s="75">
        <v>99.158699999999996</v>
      </c>
      <c r="D3298" s="75">
        <v>95.497200000000007</v>
      </c>
      <c r="E3298" s="75">
        <v>93.921599999999998</v>
      </c>
      <c r="F3298">
        <v>264.33000000000004</v>
      </c>
      <c r="G3298">
        <v>-1423.2</v>
      </c>
      <c r="H3298">
        <v>-5362.2</v>
      </c>
      <c r="I3298">
        <v>-541</v>
      </c>
      <c r="J3298">
        <v>-7062.07</v>
      </c>
    </row>
    <row r="3299" spans="1:10" x14ac:dyDescent="0.35">
      <c r="A3299">
        <v>3283</v>
      </c>
      <c r="B3299" s="75">
        <v>88.94</v>
      </c>
      <c r="C3299" s="75">
        <v>98.4</v>
      </c>
      <c r="D3299" s="75">
        <v>92.26</v>
      </c>
      <c r="E3299" s="75">
        <v>96.15</v>
      </c>
      <c r="F3299">
        <v>2016.6299999999999</v>
      </c>
      <c r="G3299">
        <v>-280.64999999999998</v>
      </c>
      <c r="H3299">
        <v>1119.5999999999999</v>
      </c>
      <c r="I3299">
        <v>-2770.2</v>
      </c>
      <c r="J3299">
        <v>85.380000000000109</v>
      </c>
    </row>
    <row r="3300" spans="1:10" x14ac:dyDescent="0.35">
      <c r="A3300">
        <v>3284</v>
      </c>
      <c r="B3300" s="75">
        <v>89.863</v>
      </c>
      <c r="C3300" s="75">
        <v>98.358400000000003</v>
      </c>
      <c r="D3300" s="75">
        <v>91.761600000000001</v>
      </c>
      <c r="E3300" s="75">
        <v>91.919899999999998</v>
      </c>
      <c r="F3300">
        <v>-1021.02</v>
      </c>
      <c r="G3300">
        <v>-222.75</v>
      </c>
      <c r="H3300">
        <v>2109</v>
      </c>
      <c r="I3300">
        <v>1460.7</v>
      </c>
      <c r="J3300">
        <v>2325.9300000000003</v>
      </c>
    </row>
    <row r="3301" spans="1:10" x14ac:dyDescent="0.35">
      <c r="A3301">
        <v>3285</v>
      </c>
      <c r="B3301" s="75">
        <v>88.99</v>
      </c>
      <c r="C3301" s="75">
        <v>99.45</v>
      </c>
      <c r="D3301" s="75">
        <v>92.95</v>
      </c>
      <c r="E3301" s="75">
        <v>93.82</v>
      </c>
      <c r="F3301">
        <v>1860.54</v>
      </c>
      <c r="G3301">
        <v>-1859.4</v>
      </c>
      <c r="H3301">
        <v>-272.39999999999998</v>
      </c>
      <c r="I3301">
        <v>-435.59999999999997</v>
      </c>
      <c r="J3301">
        <v>-706.86000000000013</v>
      </c>
    </row>
    <row r="3302" spans="1:10" x14ac:dyDescent="0.35">
      <c r="A3302">
        <v>3286</v>
      </c>
      <c r="B3302" s="75">
        <v>90.384100000000004</v>
      </c>
      <c r="C3302" s="75">
        <v>97.648399999999995</v>
      </c>
      <c r="D3302" s="75">
        <v>93.536299999999997</v>
      </c>
      <c r="E3302" s="75">
        <v>94.167400000000001</v>
      </c>
      <c r="F3302">
        <v>-2740.65</v>
      </c>
      <c r="G3302">
        <v>842.25</v>
      </c>
      <c r="H3302">
        <v>-1440.3999999999999</v>
      </c>
      <c r="I3302">
        <v>-786.80000000000007</v>
      </c>
      <c r="J3302">
        <v>-4125.6000000000004</v>
      </c>
    </row>
    <row r="3303" spans="1:10" x14ac:dyDescent="0.35">
      <c r="A3303">
        <v>3287</v>
      </c>
      <c r="B3303" s="75">
        <v>89.66</v>
      </c>
      <c r="C3303" s="75">
        <v>99.3</v>
      </c>
      <c r="D3303" s="75">
        <v>93.07</v>
      </c>
      <c r="E3303" s="75">
        <v>93.78</v>
      </c>
      <c r="F3303">
        <v>-345.18</v>
      </c>
      <c r="G3303">
        <v>-1633.8</v>
      </c>
      <c r="H3303">
        <v>-499.40000000000003</v>
      </c>
      <c r="I3303">
        <v>-403.8</v>
      </c>
      <c r="J3303">
        <v>-2882.1800000000003</v>
      </c>
    </row>
    <row r="3304" spans="1:10" x14ac:dyDescent="0.35">
      <c r="A3304">
        <v>3288</v>
      </c>
      <c r="B3304" s="75">
        <v>89.812200000000004</v>
      </c>
      <c r="C3304" s="75">
        <v>98.256699999999995</v>
      </c>
      <c r="D3304" s="75">
        <v>93.962199999999996</v>
      </c>
      <c r="E3304" s="75">
        <v>93.268900000000002</v>
      </c>
      <c r="F3304">
        <v>-853.38</v>
      </c>
      <c r="G3304">
        <v>-70.2</v>
      </c>
      <c r="H3304">
        <v>-2292.1999999999998</v>
      </c>
      <c r="I3304">
        <v>111.69999999999999</v>
      </c>
      <c r="J3304">
        <v>-3104.08</v>
      </c>
    </row>
    <row r="3305" spans="1:10" x14ac:dyDescent="0.35">
      <c r="A3305">
        <v>3289</v>
      </c>
      <c r="B3305" s="75">
        <v>89.86</v>
      </c>
      <c r="C3305" s="75">
        <v>99.27</v>
      </c>
      <c r="D3305" s="75">
        <v>93.35</v>
      </c>
      <c r="E3305" s="75">
        <v>92.02</v>
      </c>
      <c r="F3305">
        <v>-998.57999999999993</v>
      </c>
      <c r="G3305">
        <v>-1589.4</v>
      </c>
      <c r="H3305">
        <v>-1070</v>
      </c>
      <c r="I3305">
        <v>1357.5</v>
      </c>
      <c r="J3305">
        <v>-2300.48</v>
      </c>
    </row>
    <row r="3306" spans="1:10" x14ac:dyDescent="0.35">
      <c r="A3306">
        <v>3290</v>
      </c>
      <c r="B3306" s="75">
        <v>88.606300000000005</v>
      </c>
      <c r="C3306" s="75">
        <v>98.009100000000004</v>
      </c>
      <c r="D3306" s="75">
        <v>92.957300000000004</v>
      </c>
      <c r="E3306" s="75">
        <v>93.515199999999993</v>
      </c>
      <c r="F3306">
        <v>3126.09</v>
      </c>
      <c r="G3306">
        <v>301.2</v>
      </c>
      <c r="H3306">
        <v>-282.39999999999998</v>
      </c>
      <c r="I3306">
        <v>-134.6</v>
      </c>
      <c r="J3306">
        <v>3010.29</v>
      </c>
    </row>
    <row r="3307" spans="1:10" x14ac:dyDescent="0.35">
      <c r="A3307">
        <v>3291</v>
      </c>
      <c r="B3307" s="75">
        <v>90.06</v>
      </c>
      <c r="C3307" s="75">
        <v>98.08</v>
      </c>
      <c r="D3307" s="75">
        <v>92.93</v>
      </c>
      <c r="E3307" s="75">
        <v>91.72</v>
      </c>
      <c r="F3307">
        <v>-1656.6</v>
      </c>
      <c r="G3307">
        <v>196.8</v>
      </c>
      <c r="H3307">
        <v>-221</v>
      </c>
      <c r="I3307">
        <v>1655.8</v>
      </c>
      <c r="J3307">
        <v>-25</v>
      </c>
    </row>
    <row r="3308" spans="1:10" x14ac:dyDescent="0.35">
      <c r="A3308">
        <v>3292</v>
      </c>
      <c r="B3308" s="75">
        <v>89.540199999999999</v>
      </c>
      <c r="C3308" s="75">
        <v>97.853700000000003</v>
      </c>
      <c r="D3308" s="75">
        <v>91.317400000000006</v>
      </c>
      <c r="E3308" s="75">
        <v>90.263199999999998</v>
      </c>
      <c r="F3308">
        <v>44.22</v>
      </c>
      <c r="G3308">
        <v>534.30000000000007</v>
      </c>
      <c r="H3308">
        <v>2997.3999999999996</v>
      </c>
      <c r="I3308">
        <v>3117.4</v>
      </c>
      <c r="J3308">
        <v>6693.32</v>
      </c>
    </row>
    <row r="3309" spans="1:10" x14ac:dyDescent="0.35">
      <c r="A3309">
        <v>3293</v>
      </c>
      <c r="B3309" s="75">
        <v>89.49</v>
      </c>
      <c r="C3309" s="75">
        <v>97.86</v>
      </c>
      <c r="D3309" s="75">
        <v>94.14</v>
      </c>
      <c r="E3309" s="75">
        <v>94.8</v>
      </c>
      <c r="F3309">
        <v>223.41</v>
      </c>
      <c r="G3309">
        <v>523.95000000000005</v>
      </c>
      <c r="H3309">
        <v>-2656.4</v>
      </c>
      <c r="I3309">
        <v>-1422.9</v>
      </c>
      <c r="J3309">
        <v>-3331.94</v>
      </c>
    </row>
    <row r="3310" spans="1:10" x14ac:dyDescent="0.35">
      <c r="A3310">
        <v>3294</v>
      </c>
      <c r="B3310" s="75">
        <v>89.772099999999995</v>
      </c>
      <c r="C3310" s="75">
        <v>99.582400000000007</v>
      </c>
      <c r="D3310" s="75">
        <v>94.647400000000005</v>
      </c>
      <c r="E3310" s="75">
        <v>94.705299999999994</v>
      </c>
      <c r="F3310">
        <v>-721.05</v>
      </c>
      <c r="G3310">
        <v>-2058.75</v>
      </c>
      <c r="H3310">
        <v>-3662.6</v>
      </c>
      <c r="I3310">
        <v>-1324.7</v>
      </c>
      <c r="J3310">
        <v>-7767.0999999999995</v>
      </c>
    </row>
    <row r="3311" spans="1:10" x14ac:dyDescent="0.35">
      <c r="A3311">
        <v>3295</v>
      </c>
      <c r="B3311" s="75">
        <v>89.73</v>
      </c>
      <c r="C3311" s="75">
        <v>98.06</v>
      </c>
      <c r="D3311" s="75">
        <v>93.09</v>
      </c>
      <c r="E3311" s="75">
        <v>96.67</v>
      </c>
      <c r="F3311">
        <v>-582.44999999999993</v>
      </c>
      <c r="G3311">
        <v>227.4</v>
      </c>
      <c r="H3311">
        <v>-544</v>
      </c>
      <c r="I3311">
        <v>-3284.5</v>
      </c>
      <c r="J3311">
        <v>-4183.55</v>
      </c>
    </row>
    <row r="3312" spans="1:10" x14ac:dyDescent="0.35">
      <c r="A3312">
        <v>3296</v>
      </c>
      <c r="B3312" s="75">
        <v>89.0809</v>
      </c>
      <c r="C3312" s="75">
        <v>98.424400000000006</v>
      </c>
      <c r="D3312" s="75">
        <v>92.324399999999997</v>
      </c>
      <c r="E3312" s="75">
        <v>94.128200000000007</v>
      </c>
      <c r="F3312">
        <v>1559.91</v>
      </c>
      <c r="G3312">
        <v>-321.75</v>
      </c>
      <c r="H3312">
        <v>983.40000000000009</v>
      </c>
      <c r="I3312">
        <v>-747.6</v>
      </c>
      <c r="J3312">
        <v>1473.9600000000005</v>
      </c>
    </row>
    <row r="3313" spans="1:10" x14ac:dyDescent="0.35">
      <c r="A3313">
        <v>3297</v>
      </c>
      <c r="B3313" s="75">
        <v>90.16</v>
      </c>
      <c r="C3313" s="75">
        <v>98.63</v>
      </c>
      <c r="D3313" s="75">
        <v>94.03</v>
      </c>
      <c r="E3313" s="75">
        <v>93.11</v>
      </c>
      <c r="F3313">
        <v>-1986.27</v>
      </c>
      <c r="G3313">
        <v>-633.45000000000005</v>
      </c>
      <c r="H3313">
        <v>-2436</v>
      </c>
      <c r="I3313">
        <v>275.60000000000002</v>
      </c>
      <c r="J3313">
        <v>-4780.12</v>
      </c>
    </row>
    <row r="3314" spans="1:10" x14ac:dyDescent="0.35">
      <c r="A3314">
        <v>3298</v>
      </c>
      <c r="B3314" s="75">
        <v>87.931700000000006</v>
      </c>
      <c r="C3314" s="75">
        <v>97.314599999999999</v>
      </c>
      <c r="D3314" s="75">
        <v>93.640699999999995</v>
      </c>
      <c r="E3314" s="75">
        <v>90.723299999999995</v>
      </c>
      <c r="F3314">
        <v>5352.2699999999995</v>
      </c>
      <c r="G3314">
        <v>1342.95</v>
      </c>
      <c r="H3314">
        <v>-1649.2</v>
      </c>
      <c r="I3314">
        <v>2657.3</v>
      </c>
      <c r="J3314">
        <v>7703.32</v>
      </c>
    </row>
    <row r="3315" spans="1:10" x14ac:dyDescent="0.35">
      <c r="A3315">
        <v>3299</v>
      </c>
      <c r="B3315" s="75">
        <v>88.92</v>
      </c>
      <c r="C3315" s="75">
        <v>97.05</v>
      </c>
      <c r="D3315" s="75">
        <v>92.11</v>
      </c>
      <c r="E3315" s="75">
        <v>92.26</v>
      </c>
      <c r="F3315">
        <v>2107.3799999999997</v>
      </c>
      <c r="G3315">
        <v>1734.3</v>
      </c>
      <c r="H3315">
        <v>1407.8</v>
      </c>
      <c r="I3315">
        <v>1116.9000000000001</v>
      </c>
      <c r="J3315">
        <v>6366.3799999999992</v>
      </c>
    </row>
    <row r="3316" spans="1:10" x14ac:dyDescent="0.35">
      <c r="A3316">
        <v>3300</v>
      </c>
      <c r="B3316" s="75">
        <v>89.168800000000005</v>
      </c>
      <c r="C3316" s="75">
        <v>97.251599999999996</v>
      </c>
      <c r="D3316" s="75">
        <v>93.289100000000005</v>
      </c>
      <c r="E3316" s="75">
        <v>90.433700000000002</v>
      </c>
      <c r="F3316">
        <v>1269.8399999999999</v>
      </c>
      <c r="G3316">
        <v>1437.45</v>
      </c>
      <c r="H3316">
        <v>-946</v>
      </c>
      <c r="I3316">
        <v>2946.8999999999996</v>
      </c>
      <c r="J3316">
        <v>4708.1899999999996</v>
      </c>
    </row>
    <row r="3317" spans="1:10" x14ac:dyDescent="0.35">
      <c r="A3317">
        <v>3301</v>
      </c>
      <c r="B3317" s="75">
        <v>88.6</v>
      </c>
      <c r="C3317" s="75">
        <v>97.82</v>
      </c>
      <c r="D3317" s="75">
        <v>93.58</v>
      </c>
      <c r="E3317" s="75">
        <v>95.56</v>
      </c>
      <c r="F3317">
        <v>3134.67</v>
      </c>
      <c r="G3317">
        <v>587.1</v>
      </c>
      <c r="H3317">
        <v>-1534.6</v>
      </c>
      <c r="I3317">
        <v>-2184.1</v>
      </c>
      <c r="J3317">
        <v>3.0700000000001637</v>
      </c>
    </row>
    <row r="3318" spans="1:10" x14ac:dyDescent="0.35">
      <c r="A3318">
        <v>3302</v>
      </c>
      <c r="B3318" s="75">
        <v>90.179299999999998</v>
      </c>
      <c r="C3318" s="75">
        <v>99.525000000000006</v>
      </c>
      <c r="D3318" s="75">
        <v>91.286100000000005</v>
      </c>
      <c r="E3318" s="75">
        <v>93.468999999999994</v>
      </c>
      <c r="F3318">
        <v>-2064.81</v>
      </c>
      <c r="G3318">
        <v>-1972.6499999999999</v>
      </c>
      <c r="H3318">
        <v>3060</v>
      </c>
      <c r="I3318">
        <v>-88.4</v>
      </c>
      <c r="J3318">
        <v>-1065.8600000000001</v>
      </c>
    </row>
    <row r="3319" spans="1:10" x14ac:dyDescent="0.35">
      <c r="A3319">
        <v>3303</v>
      </c>
      <c r="B3319" s="75">
        <v>90.53</v>
      </c>
      <c r="C3319" s="75">
        <v>98.09</v>
      </c>
      <c r="D3319" s="75">
        <v>94.67</v>
      </c>
      <c r="E3319" s="75">
        <v>91.48</v>
      </c>
      <c r="F3319">
        <v>-3220.7999999999997</v>
      </c>
      <c r="G3319">
        <v>182.25</v>
      </c>
      <c r="H3319">
        <v>-3700.2000000000003</v>
      </c>
      <c r="I3319">
        <v>1904.7</v>
      </c>
      <c r="J3319">
        <v>-4834.05</v>
      </c>
    </row>
    <row r="3320" spans="1:10" x14ac:dyDescent="0.35">
      <c r="A3320">
        <v>3304</v>
      </c>
      <c r="B3320" s="75">
        <v>89.771500000000003</v>
      </c>
      <c r="C3320" s="75">
        <v>99.790300000000002</v>
      </c>
      <c r="D3320" s="75">
        <v>91.415099999999995</v>
      </c>
      <c r="E3320" s="75">
        <v>95.824399999999997</v>
      </c>
      <c r="F3320">
        <v>-719.07</v>
      </c>
      <c r="G3320">
        <v>-2370.6</v>
      </c>
      <c r="H3320">
        <v>2802</v>
      </c>
      <c r="I3320">
        <v>-2443.8000000000002</v>
      </c>
      <c r="J3320">
        <v>-2731.4700000000003</v>
      </c>
    </row>
    <row r="3321" spans="1:10" x14ac:dyDescent="0.35">
      <c r="A3321">
        <v>3305</v>
      </c>
      <c r="B3321" s="75">
        <v>89.48</v>
      </c>
      <c r="C3321" s="75">
        <v>99.31</v>
      </c>
      <c r="D3321" s="75">
        <v>91.9</v>
      </c>
      <c r="E3321" s="75">
        <v>95.45</v>
      </c>
      <c r="F3321">
        <v>251.13</v>
      </c>
      <c r="G3321">
        <v>-1647.3000000000002</v>
      </c>
      <c r="H3321">
        <v>1827.3999999999999</v>
      </c>
      <c r="I3321">
        <v>-2071.6</v>
      </c>
      <c r="J3321">
        <v>-1640.3700000000001</v>
      </c>
    </row>
    <row r="3322" spans="1:10" x14ac:dyDescent="0.35">
      <c r="A3322">
        <v>3306</v>
      </c>
      <c r="B3322" s="75">
        <v>89.218800000000002</v>
      </c>
      <c r="C3322" s="75">
        <v>97.806100000000001</v>
      </c>
      <c r="D3322" s="75">
        <v>91.520499999999998</v>
      </c>
      <c r="E3322" s="75">
        <v>93.521600000000007</v>
      </c>
      <c r="F3322">
        <v>1104.8399999999999</v>
      </c>
      <c r="G3322">
        <v>605.69999999999993</v>
      </c>
      <c r="H3322">
        <v>2591.2000000000003</v>
      </c>
      <c r="I3322">
        <v>-141</v>
      </c>
      <c r="J3322">
        <v>4160.74</v>
      </c>
    </row>
    <row r="3323" spans="1:10" x14ac:dyDescent="0.35">
      <c r="A3323">
        <v>3307</v>
      </c>
      <c r="B3323" s="75">
        <v>89.17</v>
      </c>
      <c r="C3323" s="75">
        <v>97.94</v>
      </c>
      <c r="D3323" s="75">
        <v>93.62</v>
      </c>
      <c r="E3323" s="75">
        <v>91.78</v>
      </c>
      <c r="F3323">
        <v>1258.95</v>
      </c>
      <c r="G3323">
        <v>404.09999999999997</v>
      </c>
      <c r="H3323">
        <v>-1612.4</v>
      </c>
      <c r="I3323">
        <v>1602.8</v>
      </c>
      <c r="J3323">
        <v>1653.4499999999998</v>
      </c>
    </row>
    <row r="3324" spans="1:10" x14ac:dyDescent="0.35">
      <c r="A3324">
        <v>3308</v>
      </c>
      <c r="B3324" s="75">
        <v>89.630300000000005</v>
      </c>
      <c r="C3324" s="75">
        <v>99.0274</v>
      </c>
      <c r="D3324" s="75">
        <v>90.519099999999995</v>
      </c>
      <c r="E3324" s="75">
        <v>97.304400000000001</v>
      </c>
      <c r="F3324">
        <v>-253.11</v>
      </c>
      <c r="G3324">
        <v>-1226.25</v>
      </c>
      <c r="H3324">
        <v>4594</v>
      </c>
      <c r="I3324">
        <v>-3923.8</v>
      </c>
      <c r="J3324">
        <v>-809.16000000000031</v>
      </c>
    </row>
    <row r="3325" spans="1:10" x14ac:dyDescent="0.35">
      <c r="A3325">
        <v>3309</v>
      </c>
      <c r="B3325" s="75">
        <v>89.16</v>
      </c>
      <c r="C3325" s="75">
        <v>98.63</v>
      </c>
      <c r="D3325" s="75">
        <v>91.47</v>
      </c>
      <c r="E3325" s="75">
        <v>95.56</v>
      </c>
      <c r="F3325">
        <v>1294.92</v>
      </c>
      <c r="G3325">
        <v>-625.35</v>
      </c>
      <c r="H3325">
        <v>2683</v>
      </c>
      <c r="I3325">
        <v>-2180.5</v>
      </c>
      <c r="J3325">
        <v>1172.0700000000002</v>
      </c>
    </row>
    <row r="3326" spans="1:10" x14ac:dyDescent="0.35">
      <c r="A3326">
        <v>3310</v>
      </c>
      <c r="B3326" s="75">
        <v>89.110100000000003</v>
      </c>
      <c r="C3326" s="75">
        <v>97.441199999999995</v>
      </c>
      <c r="D3326" s="75">
        <v>93.552099999999996</v>
      </c>
      <c r="E3326" s="75">
        <v>90.586200000000005</v>
      </c>
      <c r="F3326">
        <v>1463.55</v>
      </c>
      <c r="G3326">
        <v>1153.0500000000002</v>
      </c>
      <c r="H3326">
        <v>-1472</v>
      </c>
      <c r="I3326">
        <v>2794.4</v>
      </c>
      <c r="J3326">
        <v>3939.0000000000005</v>
      </c>
    </row>
    <row r="3327" spans="1:10" x14ac:dyDescent="0.35">
      <c r="A3327">
        <v>3311</v>
      </c>
      <c r="B3327" s="75">
        <v>89.13</v>
      </c>
      <c r="C3327" s="75">
        <v>96.68</v>
      </c>
      <c r="D3327" s="75">
        <v>92.68</v>
      </c>
      <c r="E3327" s="75">
        <v>94.47</v>
      </c>
      <c r="F3327">
        <v>1396.23</v>
      </c>
      <c r="G3327">
        <v>2295.4499999999998</v>
      </c>
      <c r="H3327">
        <v>280.2</v>
      </c>
      <c r="I3327">
        <v>-1088.5</v>
      </c>
      <c r="J3327">
        <v>2883.3799999999997</v>
      </c>
    </row>
    <row r="3328" spans="1:10" x14ac:dyDescent="0.35">
      <c r="A3328">
        <v>3312</v>
      </c>
      <c r="B3328" s="75">
        <v>90.753699999999995</v>
      </c>
      <c r="C3328" s="75">
        <v>98.721699999999998</v>
      </c>
      <c r="D3328" s="75">
        <v>94.7804</v>
      </c>
      <c r="E3328" s="75">
        <v>95.012299999999996</v>
      </c>
      <c r="F3328">
        <v>-3960.33</v>
      </c>
      <c r="G3328">
        <v>-767.7</v>
      </c>
      <c r="H3328">
        <v>-3928.6</v>
      </c>
      <c r="I3328">
        <v>-1631.6999999999998</v>
      </c>
      <c r="J3328">
        <v>-10288.329999999998</v>
      </c>
    </row>
    <row r="3329" spans="1:10" x14ac:dyDescent="0.35">
      <c r="A3329">
        <v>3313</v>
      </c>
      <c r="B3329" s="75">
        <v>90.03</v>
      </c>
      <c r="C3329" s="75">
        <v>99.64</v>
      </c>
      <c r="D3329" s="75">
        <v>93.64</v>
      </c>
      <c r="E3329" s="75">
        <v>90.17</v>
      </c>
      <c r="F3329">
        <v>-1580.7</v>
      </c>
      <c r="G3329">
        <v>-2140.9499999999998</v>
      </c>
      <c r="H3329">
        <v>-1638.4</v>
      </c>
      <c r="I3329">
        <v>3211.8</v>
      </c>
      <c r="J3329">
        <v>-2148.2499999999991</v>
      </c>
    </row>
    <row r="3330" spans="1:10" x14ac:dyDescent="0.35">
      <c r="A3330">
        <v>3314</v>
      </c>
      <c r="B3330" s="75">
        <v>89.627799999999993</v>
      </c>
      <c r="C3330" s="75">
        <v>97.666200000000003</v>
      </c>
      <c r="D3330" s="75">
        <v>92.137600000000006</v>
      </c>
      <c r="E3330" s="75">
        <v>91.807500000000005</v>
      </c>
      <c r="F3330">
        <v>-244.86</v>
      </c>
      <c r="G3330">
        <v>815.55</v>
      </c>
      <c r="H3330">
        <v>1357</v>
      </c>
      <c r="I3330">
        <v>1573.1</v>
      </c>
      <c r="J3330">
        <v>3500.79</v>
      </c>
    </row>
    <row r="3331" spans="1:10" x14ac:dyDescent="0.35">
      <c r="A3331">
        <v>3315</v>
      </c>
      <c r="B3331" s="75">
        <v>89.42</v>
      </c>
      <c r="C3331" s="75">
        <v>98.43</v>
      </c>
      <c r="D3331" s="75">
        <v>91.38</v>
      </c>
      <c r="E3331" s="75">
        <v>94.33</v>
      </c>
      <c r="F3331">
        <v>448.8</v>
      </c>
      <c r="G3331">
        <v>-335.55</v>
      </c>
      <c r="H3331">
        <v>2876.6</v>
      </c>
      <c r="I3331">
        <v>-953.30000000000007</v>
      </c>
      <c r="J3331">
        <v>2036.5499999999997</v>
      </c>
    </row>
    <row r="3332" spans="1:10" x14ac:dyDescent="0.35">
      <c r="A3332">
        <v>3316</v>
      </c>
      <c r="B3332" s="75">
        <v>89.825199999999995</v>
      </c>
      <c r="C3332" s="75">
        <v>98.601200000000006</v>
      </c>
      <c r="D3332" s="75">
        <v>93.099900000000005</v>
      </c>
      <c r="E3332" s="75">
        <v>91.813900000000004</v>
      </c>
      <c r="F3332">
        <v>-896.28</v>
      </c>
      <c r="G3332">
        <v>-586.94999999999993</v>
      </c>
      <c r="H3332">
        <v>-567.6</v>
      </c>
      <c r="I3332">
        <v>1566.7</v>
      </c>
      <c r="J3332">
        <v>-484.12999999999988</v>
      </c>
    </row>
    <row r="3333" spans="1:10" x14ac:dyDescent="0.35">
      <c r="A3333">
        <v>3317</v>
      </c>
      <c r="B3333" s="75">
        <v>90.06</v>
      </c>
      <c r="C3333" s="75">
        <v>98.07</v>
      </c>
      <c r="D3333" s="75">
        <v>92.69</v>
      </c>
      <c r="E3333" s="75">
        <v>92.98</v>
      </c>
      <c r="F3333">
        <v>-1660.23</v>
      </c>
      <c r="G3333">
        <v>211.95000000000002</v>
      </c>
      <c r="H3333">
        <v>260.40000000000003</v>
      </c>
      <c r="I3333">
        <v>401.8</v>
      </c>
      <c r="J3333">
        <v>-786.07999999999993</v>
      </c>
    </row>
    <row r="3334" spans="1:10" x14ac:dyDescent="0.35">
      <c r="A3334">
        <v>3318</v>
      </c>
      <c r="B3334" s="75">
        <v>89.999399999999994</v>
      </c>
      <c r="C3334" s="75">
        <v>99.327200000000005</v>
      </c>
      <c r="D3334" s="75">
        <v>95.121799999999993</v>
      </c>
      <c r="E3334" s="75">
        <v>96.482399999999998</v>
      </c>
      <c r="F3334">
        <v>-1471.1399999999999</v>
      </c>
      <c r="G3334">
        <v>-1675.95</v>
      </c>
      <c r="H3334">
        <v>-4611.3999999999996</v>
      </c>
      <c r="I3334">
        <v>-3101.7999999999997</v>
      </c>
      <c r="J3334">
        <v>-10860.289999999999</v>
      </c>
    </row>
    <row r="3335" spans="1:10" x14ac:dyDescent="0.35">
      <c r="A3335">
        <v>3319</v>
      </c>
      <c r="B3335" s="75">
        <v>89.49</v>
      </c>
      <c r="C3335" s="75">
        <v>98.5</v>
      </c>
      <c r="D3335" s="75">
        <v>92.29</v>
      </c>
      <c r="E3335" s="75">
        <v>94.16</v>
      </c>
      <c r="F3335">
        <v>222.09</v>
      </c>
      <c r="G3335">
        <v>-433.05</v>
      </c>
      <c r="H3335">
        <v>1059</v>
      </c>
      <c r="I3335">
        <v>-778.4</v>
      </c>
      <c r="J3335">
        <v>69.639999999999986</v>
      </c>
    </row>
    <row r="3336" spans="1:10" x14ac:dyDescent="0.35">
      <c r="A3336">
        <v>3320</v>
      </c>
      <c r="B3336" s="75">
        <v>88.853700000000003</v>
      </c>
      <c r="C3336" s="75">
        <v>98.276300000000006</v>
      </c>
      <c r="D3336" s="75">
        <v>93.127399999999994</v>
      </c>
      <c r="E3336" s="75">
        <v>92.772999999999996</v>
      </c>
      <c r="F3336">
        <v>2309.67</v>
      </c>
      <c r="G3336">
        <v>-99.6</v>
      </c>
      <c r="H3336">
        <v>-622.6</v>
      </c>
      <c r="I3336">
        <v>607.6</v>
      </c>
      <c r="J3336">
        <v>2195.0700000000002</v>
      </c>
    </row>
    <row r="3337" spans="1:10" x14ac:dyDescent="0.35">
      <c r="A3337">
        <v>3321</v>
      </c>
      <c r="B3337" s="75">
        <v>88.51</v>
      </c>
      <c r="C3337" s="75">
        <v>98.39</v>
      </c>
      <c r="D3337" s="75">
        <v>92.62</v>
      </c>
      <c r="E3337" s="75">
        <v>90.76</v>
      </c>
      <c r="F3337">
        <v>3443.2200000000003</v>
      </c>
      <c r="G3337">
        <v>-269.40000000000003</v>
      </c>
      <c r="H3337">
        <v>391.40000000000003</v>
      </c>
      <c r="I3337">
        <v>2618.3999999999996</v>
      </c>
      <c r="J3337">
        <v>6183.62</v>
      </c>
    </row>
    <row r="3338" spans="1:10" x14ac:dyDescent="0.35">
      <c r="A3338">
        <v>3322</v>
      </c>
      <c r="B3338" s="75">
        <v>88.991500000000002</v>
      </c>
      <c r="C3338" s="75">
        <v>99.673000000000002</v>
      </c>
      <c r="D3338" s="75">
        <v>94.348500000000001</v>
      </c>
      <c r="E3338" s="75">
        <v>93.218400000000003</v>
      </c>
      <c r="F3338">
        <v>1854.93</v>
      </c>
      <c r="G3338">
        <v>-2194.65</v>
      </c>
      <c r="H3338">
        <v>-3064.8</v>
      </c>
      <c r="I3338">
        <v>162.20000000000002</v>
      </c>
      <c r="J3338">
        <v>-3242.3200000000006</v>
      </c>
    </row>
    <row r="3339" spans="1:10" x14ac:dyDescent="0.35">
      <c r="A3339">
        <v>3323</v>
      </c>
      <c r="B3339" s="75">
        <v>89.8</v>
      </c>
      <c r="C3339" s="75">
        <v>99.73</v>
      </c>
      <c r="D3339" s="75">
        <v>93.96</v>
      </c>
      <c r="E3339" s="75">
        <v>94.41</v>
      </c>
      <c r="F3339">
        <v>-804.54</v>
      </c>
      <c r="G3339">
        <v>-2282.1</v>
      </c>
      <c r="H3339">
        <v>-2283</v>
      </c>
      <c r="I3339">
        <v>-1029.3000000000002</v>
      </c>
      <c r="J3339">
        <v>-6398.94</v>
      </c>
    </row>
    <row r="3340" spans="1:10" x14ac:dyDescent="0.35">
      <c r="A3340">
        <v>3324</v>
      </c>
      <c r="B3340" s="75">
        <v>89.183599999999998</v>
      </c>
      <c r="C3340" s="75">
        <v>98.573099999999997</v>
      </c>
      <c r="D3340" s="75">
        <v>92.821799999999996</v>
      </c>
      <c r="E3340" s="75">
        <v>93.331599999999995</v>
      </c>
      <c r="F3340">
        <v>1221</v>
      </c>
      <c r="G3340">
        <v>-544.80000000000007</v>
      </c>
      <c r="H3340">
        <v>-11.4</v>
      </c>
      <c r="I3340">
        <v>49</v>
      </c>
      <c r="J3340">
        <v>713.8</v>
      </c>
    </row>
    <row r="3341" spans="1:10" x14ac:dyDescent="0.35">
      <c r="A3341">
        <v>3325</v>
      </c>
      <c r="B3341" s="75">
        <v>89.26</v>
      </c>
      <c r="C3341" s="75">
        <v>98.31</v>
      </c>
      <c r="D3341" s="75">
        <v>93.48</v>
      </c>
      <c r="E3341" s="75">
        <v>94.14</v>
      </c>
      <c r="F3341">
        <v>962.61</v>
      </c>
      <c r="G3341">
        <v>-154.95000000000002</v>
      </c>
      <c r="H3341">
        <v>-1328.8</v>
      </c>
      <c r="I3341">
        <v>-758.4</v>
      </c>
      <c r="J3341">
        <v>-1279.54</v>
      </c>
    </row>
    <row r="3342" spans="1:10" x14ac:dyDescent="0.35">
      <c r="A3342">
        <v>3326</v>
      </c>
      <c r="B3342" s="75">
        <v>89.470200000000006</v>
      </c>
      <c r="C3342" s="75">
        <v>98.558300000000003</v>
      </c>
      <c r="D3342" s="75">
        <v>94.12</v>
      </c>
      <c r="E3342" s="75">
        <v>93.203999999999994</v>
      </c>
      <c r="F3342">
        <v>275.22000000000003</v>
      </c>
      <c r="G3342">
        <v>-522.6</v>
      </c>
      <c r="H3342">
        <v>-2607.8000000000002</v>
      </c>
      <c r="I3342">
        <v>176.6</v>
      </c>
      <c r="J3342">
        <v>-2678.5800000000004</v>
      </c>
    </row>
    <row r="3343" spans="1:10" x14ac:dyDescent="0.35">
      <c r="A3343">
        <v>3327</v>
      </c>
      <c r="B3343" s="75">
        <v>89.03</v>
      </c>
      <c r="C3343" s="75">
        <v>97.79</v>
      </c>
      <c r="D3343" s="75">
        <v>93.19</v>
      </c>
      <c r="E3343" s="75">
        <v>92.85</v>
      </c>
      <c r="F3343">
        <v>1738.44</v>
      </c>
      <c r="G3343">
        <v>637.20000000000005</v>
      </c>
      <c r="H3343">
        <v>-742</v>
      </c>
      <c r="I3343">
        <v>532.4</v>
      </c>
      <c r="J3343">
        <v>2166.0400000000004</v>
      </c>
    </row>
    <row r="3344" spans="1:10" x14ac:dyDescent="0.35">
      <c r="A3344">
        <v>3328</v>
      </c>
      <c r="B3344" s="75">
        <v>89.292900000000003</v>
      </c>
      <c r="C3344" s="75">
        <v>97.386499999999998</v>
      </c>
      <c r="D3344" s="75">
        <v>93.105900000000005</v>
      </c>
      <c r="E3344" s="75">
        <v>91.907700000000006</v>
      </c>
      <c r="F3344">
        <v>860.31</v>
      </c>
      <c r="G3344">
        <v>1235.1000000000001</v>
      </c>
      <c r="H3344">
        <v>-579.6</v>
      </c>
      <c r="I3344">
        <v>1472.9</v>
      </c>
      <c r="J3344">
        <v>2988.71</v>
      </c>
    </row>
    <row r="3345" spans="1:10" x14ac:dyDescent="0.35">
      <c r="A3345">
        <v>3329</v>
      </c>
      <c r="B3345" s="75">
        <v>90.16</v>
      </c>
      <c r="C3345" s="75">
        <v>97.78</v>
      </c>
      <c r="D3345" s="75">
        <v>92.97</v>
      </c>
      <c r="E3345" s="75">
        <v>93.44</v>
      </c>
      <c r="F3345">
        <v>-1993.86</v>
      </c>
      <c r="G3345">
        <v>638.70000000000005</v>
      </c>
      <c r="H3345">
        <v>-316.59999999999997</v>
      </c>
      <c r="I3345">
        <v>-62.8</v>
      </c>
      <c r="J3345">
        <v>-1734.5599999999997</v>
      </c>
    </row>
    <row r="3346" spans="1:10" x14ac:dyDescent="0.35">
      <c r="A3346">
        <v>3330</v>
      </c>
      <c r="B3346" s="75">
        <v>89.918599999999998</v>
      </c>
      <c r="C3346" s="75">
        <v>97.942700000000002</v>
      </c>
      <c r="D3346" s="75">
        <v>93.095399999999998</v>
      </c>
      <c r="E3346" s="75">
        <v>93.558700000000002</v>
      </c>
      <c r="F3346">
        <v>-1204.5</v>
      </c>
      <c r="G3346">
        <v>400.8</v>
      </c>
      <c r="H3346">
        <v>-558.6</v>
      </c>
      <c r="I3346">
        <v>-178.1</v>
      </c>
      <c r="J3346">
        <v>-1540.4</v>
      </c>
    </row>
    <row r="3347" spans="1:10" x14ac:dyDescent="0.35">
      <c r="A3347">
        <v>3331</v>
      </c>
      <c r="B3347" s="75">
        <v>90.07</v>
      </c>
      <c r="C3347" s="75">
        <v>98.03</v>
      </c>
      <c r="D3347" s="75">
        <v>91.95</v>
      </c>
      <c r="E3347" s="75">
        <v>90.8</v>
      </c>
      <c r="F3347">
        <v>-1718.3100000000002</v>
      </c>
      <c r="G3347">
        <v>273.90000000000003</v>
      </c>
      <c r="H3347">
        <v>1741.4</v>
      </c>
      <c r="I3347">
        <v>2575.8000000000002</v>
      </c>
      <c r="J3347">
        <v>2872.79</v>
      </c>
    </row>
    <row r="3348" spans="1:10" x14ac:dyDescent="0.35">
      <c r="A3348">
        <v>3332</v>
      </c>
      <c r="B3348" s="75">
        <v>89.544200000000004</v>
      </c>
      <c r="C3348" s="75">
        <v>97.810199999999995</v>
      </c>
      <c r="D3348" s="75">
        <v>94.346500000000006</v>
      </c>
      <c r="E3348" s="75">
        <v>93.959199999999996</v>
      </c>
      <c r="F3348">
        <v>31.02</v>
      </c>
      <c r="G3348">
        <v>599.54999999999995</v>
      </c>
      <c r="H3348">
        <v>-3060.8</v>
      </c>
      <c r="I3348">
        <v>-578.6</v>
      </c>
      <c r="J3348">
        <v>-3008.8300000000004</v>
      </c>
    </row>
    <row r="3349" spans="1:10" x14ac:dyDescent="0.35">
      <c r="A3349">
        <v>3333</v>
      </c>
      <c r="B3349" s="75">
        <v>89.55</v>
      </c>
      <c r="C3349" s="75">
        <v>98.36</v>
      </c>
      <c r="D3349" s="75">
        <v>93.37</v>
      </c>
      <c r="E3349" s="75">
        <v>94.22</v>
      </c>
      <c r="F3349">
        <v>-0.66</v>
      </c>
      <c r="G3349">
        <v>-219.6</v>
      </c>
      <c r="H3349">
        <v>-1113</v>
      </c>
      <c r="I3349">
        <v>-840.6</v>
      </c>
      <c r="J3349">
        <v>-2173.86</v>
      </c>
    </row>
    <row r="3350" spans="1:10" x14ac:dyDescent="0.35">
      <c r="A3350">
        <v>3334</v>
      </c>
      <c r="B3350" s="75">
        <v>89.078299999999999</v>
      </c>
      <c r="C3350" s="75">
        <v>96.547200000000004</v>
      </c>
      <c r="D3350" s="75">
        <v>93.2667</v>
      </c>
      <c r="E3350" s="75">
        <v>94.456100000000006</v>
      </c>
      <c r="F3350">
        <v>1568.49</v>
      </c>
      <c r="G3350">
        <v>2494.0500000000002</v>
      </c>
      <c r="H3350">
        <v>-901.2</v>
      </c>
      <c r="I3350">
        <v>-1075.5</v>
      </c>
      <c r="J3350">
        <v>2085.84</v>
      </c>
    </row>
    <row r="3351" spans="1:10" x14ac:dyDescent="0.35">
      <c r="A3351">
        <v>3335</v>
      </c>
      <c r="B3351" s="75">
        <v>89.95</v>
      </c>
      <c r="C3351" s="75">
        <v>96.19</v>
      </c>
      <c r="D3351" s="75">
        <v>91.96</v>
      </c>
      <c r="E3351" s="75">
        <v>95.18</v>
      </c>
      <c r="F3351">
        <v>-1320.99</v>
      </c>
      <c r="G3351">
        <v>3023.2499999999995</v>
      </c>
      <c r="H3351">
        <v>1704.2</v>
      </c>
      <c r="I3351">
        <v>-1795.1</v>
      </c>
      <c r="J3351">
        <v>1611.3599999999997</v>
      </c>
    </row>
    <row r="3352" spans="1:10" x14ac:dyDescent="0.35">
      <c r="A3352">
        <v>3336</v>
      </c>
      <c r="B3352" s="75">
        <v>89.169200000000004</v>
      </c>
      <c r="C3352" s="75">
        <v>99.735200000000006</v>
      </c>
      <c r="D3352" s="75">
        <v>91.185400000000001</v>
      </c>
      <c r="E3352" s="75">
        <v>92.793199999999999</v>
      </c>
      <c r="F3352">
        <v>1268.52</v>
      </c>
      <c r="G3352">
        <v>-2287.9500000000003</v>
      </c>
      <c r="H3352">
        <v>3261.4</v>
      </c>
      <c r="I3352">
        <v>587.4</v>
      </c>
      <c r="J3352">
        <v>2829.37</v>
      </c>
    </row>
    <row r="3353" spans="1:10" x14ac:dyDescent="0.35">
      <c r="A3353">
        <v>3337</v>
      </c>
      <c r="B3353" s="75">
        <v>88.87</v>
      </c>
      <c r="C3353" s="75">
        <v>97.34</v>
      </c>
      <c r="D3353" s="75">
        <v>92.85</v>
      </c>
      <c r="E3353" s="75">
        <v>94.65</v>
      </c>
      <c r="F3353">
        <v>2252.25</v>
      </c>
      <c r="G3353">
        <v>1305.5999999999999</v>
      </c>
      <c r="H3353">
        <v>-72.2</v>
      </c>
      <c r="I3353">
        <v>-1272.8</v>
      </c>
      <c r="J3353">
        <v>2212.8500000000004</v>
      </c>
    </row>
    <row r="3354" spans="1:10" x14ac:dyDescent="0.35">
      <c r="A3354">
        <v>3338</v>
      </c>
      <c r="B3354" s="75">
        <v>89.481700000000004</v>
      </c>
      <c r="C3354" s="75">
        <v>97.674800000000005</v>
      </c>
      <c r="D3354" s="75">
        <v>93.791499999999999</v>
      </c>
      <c r="E3354" s="75">
        <v>93.2774</v>
      </c>
      <c r="F3354">
        <v>237.27</v>
      </c>
      <c r="G3354">
        <v>802.65</v>
      </c>
      <c r="H3354">
        <v>-1950.8000000000002</v>
      </c>
      <c r="I3354">
        <v>103.2</v>
      </c>
      <c r="J3354">
        <v>-807.68000000000006</v>
      </c>
    </row>
    <row r="3355" spans="1:10" x14ac:dyDescent="0.35">
      <c r="A3355">
        <v>3339</v>
      </c>
      <c r="B3355" s="75">
        <v>90.19</v>
      </c>
      <c r="C3355" s="75">
        <v>97.7</v>
      </c>
      <c r="D3355" s="75">
        <v>92.36</v>
      </c>
      <c r="E3355" s="75">
        <v>91.83</v>
      </c>
      <c r="F3355">
        <v>-2107.71</v>
      </c>
      <c r="G3355">
        <v>762.15</v>
      </c>
      <c r="H3355">
        <v>904.59999999999991</v>
      </c>
      <c r="I3355">
        <v>1546.4</v>
      </c>
      <c r="J3355">
        <v>1105.44</v>
      </c>
    </row>
    <row r="3356" spans="1:10" x14ac:dyDescent="0.35">
      <c r="A3356">
        <v>3340</v>
      </c>
      <c r="B3356" s="75">
        <v>88.981700000000004</v>
      </c>
      <c r="C3356" s="75">
        <v>99.159000000000006</v>
      </c>
      <c r="D3356" s="75">
        <v>92.991600000000005</v>
      </c>
      <c r="E3356" s="75">
        <v>94.135900000000007</v>
      </c>
      <c r="F3356">
        <v>1887.27</v>
      </c>
      <c r="G3356">
        <v>-1423.65</v>
      </c>
      <c r="H3356">
        <v>-351</v>
      </c>
      <c r="I3356">
        <v>-755.3</v>
      </c>
      <c r="J3356">
        <v>-642.68000000000006</v>
      </c>
    </row>
    <row r="3357" spans="1:10" x14ac:dyDescent="0.35">
      <c r="A3357">
        <v>3341</v>
      </c>
      <c r="B3357" s="75">
        <v>90.38</v>
      </c>
      <c r="C3357" s="75">
        <v>98.74</v>
      </c>
      <c r="D3357" s="75">
        <v>92.75</v>
      </c>
      <c r="E3357" s="75">
        <v>93.87</v>
      </c>
      <c r="F3357">
        <v>-2726.1299999999997</v>
      </c>
      <c r="G3357">
        <v>-792.75</v>
      </c>
      <c r="H3357">
        <v>127.40000000000002</v>
      </c>
      <c r="I3357">
        <v>-494</v>
      </c>
      <c r="J3357">
        <v>-3885.4799999999996</v>
      </c>
    </row>
    <row r="3358" spans="1:10" x14ac:dyDescent="0.35">
      <c r="A3358">
        <v>3342</v>
      </c>
      <c r="B3358" s="75">
        <v>89.663899999999998</v>
      </c>
      <c r="C3358" s="75">
        <v>98.463099999999997</v>
      </c>
      <c r="D3358" s="75">
        <v>92.825999999999993</v>
      </c>
      <c r="E3358" s="75">
        <v>94.763000000000005</v>
      </c>
      <c r="F3358">
        <v>-363.99</v>
      </c>
      <c r="G3358">
        <v>-379.79999999999995</v>
      </c>
      <c r="H3358">
        <v>-19.8</v>
      </c>
      <c r="I3358">
        <v>-1382.4</v>
      </c>
      <c r="J3358">
        <v>-2145.9899999999998</v>
      </c>
    </row>
    <row r="3359" spans="1:10" x14ac:dyDescent="0.35">
      <c r="A3359">
        <v>3343</v>
      </c>
      <c r="B3359" s="75">
        <v>89.85</v>
      </c>
      <c r="C3359" s="75">
        <v>99.01</v>
      </c>
      <c r="D3359" s="75">
        <v>92.91</v>
      </c>
      <c r="E3359" s="75">
        <v>92.3</v>
      </c>
      <c r="F3359">
        <v>-973.82999999999993</v>
      </c>
      <c r="G3359">
        <v>-1205.7</v>
      </c>
      <c r="H3359">
        <v>-185.6</v>
      </c>
      <c r="I3359">
        <v>1076.8</v>
      </c>
      <c r="J3359">
        <v>-1288.3299999999997</v>
      </c>
    </row>
    <row r="3360" spans="1:10" x14ac:dyDescent="0.35">
      <c r="A3360">
        <v>3344</v>
      </c>
      <c r="B3360" s="75">
        <v>88.434399999999997</v>
      </c>
      <c r="C3360" s="75">
        <v>97.340199999999996</v>
      </c>
      <c r="D3360" s="75">
        <v>91.773300000000006</v>
      </c>
      <c r="E3360" s="75">
        <v>89.730599999999995</v>
      </c>
      <c r="F3360">
        <v>3693.36</v>
      </c>
      <c r="G3360">
        <v>1304.55</v>
      </c>
      <c r="H3360">
        <v>2085.6</v>
      </c>
      <c r="I3360">
        <v>3650</v>
      </c>
      <c r="J3360">
        <v>10733.51</v>
      </c>
    </row>
    <row r="3361" spans="1:10" x14ac:dyDescent="0.35">
      <c r="A3361">
        <v>3345</v>
      </c>
      <c r="B3361" s="75">
        <v>89.56</v>
      </c>
      <c r="C3361" s="75">
        <v>98.69</v>
      </c>
      <c r="D3361" s="75">
        <v>94.79</v>
      </c>
      <c r="E3361" s="75">
        <v>93.01</v>
      </c>
      <c r="F3361">
        <v>-10.23</v>
      </c>
      <c r="G3361">
        <v>-721.5</v>
      </c>
      <c r="H3361">
        <v>-3948.7999999999997</v>
      </c>
      <c r="I3361">
        <v>366.4</v>
      </c>
      <c r="J3361">
        <v>-4314.13</v>
      </c>
    </row>
    <row r="3362" spans="1:10" x14ac:dyDescent="0.35">
      <c r="A3362">
        <v>3346</v>
      </c>
      <c r="B3362" s="75">
        <v>89.155299999999997</v>
      </c>
      <c r="C3362" s="75">
        <v>98.752700000000004</v>
      </c>
      <c r="D3362" s="75">
        <v>92.636600000000001</v>
      </c>
      <c r="E3362" s="75">
        <v>94.415800000000004</v>
      </c>
      <c r="F3362">
        <v>1314.3899999999999</v>
      </c>
      <c r="G3362">
        <v>-814.19999999999993</v>
      </c>
      <c r="H3362">
        <v>359</v>
      </c>
      <c r="I3362">
        <v>-1035.1999999999998</v>
      </c>
      <c r="J3362">
        <v>-176.00999999999988</v>
      </c>
    </row>
    <row r="3363" spans="1:10" x14ac:dyDescent="0.35">
      <c r="A3363">
        <v>3347</v>
      </c>
      <c r="B3363" s="75">
        <v>90.2</v>
      </c>
      <c r="C3363" s="75">
        <v>98.31</v>
      </c>
      <c r="D3363" s="75">
        <v>92.99</v>
      </c>
      <c r="E3363" s="75">
        <v>95.19</v>
      </c>
      <c r="F3363">
        <v>-2130.48</v>
      </c>
      <c r="G3363">
        <v>-148.19999999999999</v>
      </c>
      <c r="H3363">
        <v>-352.4</v>
      </c>
      <c r="I3363">
        <v>-1809.1</v>
      </c>
      <c r="J3363">
        <v>-4440.18</v>
      </c>
    </row>
    <row r="3364" spans="1:10" x14ac:dyDescent="0.35">
      <c r="A3364">
        <v>3348</v>
      </c>
      <c r="B3364" s="75">
        <v>89.535600000000002</v>
      </c>
      <c r="C3364" s="75">
        <v>98.584400000000002</v>
      </c>
      <c r="D3364" s="75">
        <v>91.617599999999996</v>
      </c>
      <c r="E3364" s="75">
        <v>93.234200000000001</v>
      </c>
      <c r="F3364">
        <v>59.4</v>
      </c>
      <c r="G3364">
        <v>-561.75</v>
      </c>
      <c r="H3364">
        <v>2397</v>
      </c>
      <c r="I3364">
        <v>146.4</v>
      </c>
      <c r="J3364">
        <v>2041.0500000000002</v>
      </c>
    </row>
    <row r="3365" spans="1:10" x14ac:dyDescent="0.35">
      <c r="A3365">
        <v>3349</v>
      </c>
      <c r="B3365" s="75">
        <v>89.68</v>
      </c>
      <c r="C3365" s="75">
        <v>98.49</v>
      </c>
      <c r="D3365" s="75">
        <v>94.19</v>
      </c>
      <c r="E3365" s="75">
        <v>93.82</v>
      </c>
      <c r="F3365">
        <v>-427.35</v>
      </c>
      <c r="G3365">
        <v>-413.09999999999997</v>
      </c>
      <c r="H3365">
        <v>-2744.6000000000004</v>
      </c>
      <c r="I3365">
        <v>-435.90000000000003</v>
      </c>
      <c r="J3365">
        <v>-4020.9500000000003</v>
      </c>
    </row>
    <row r="3366" spans="1:10" x14ac:dyDescent="0.35">
      <c r="A3366">
        <v>3350</v>
      </c>
      <c r="B3366" s="75">
        <v>89.402000000000001</v>
      </c>
      <c r="C3366" s="75">
        <v>98.110900000000001</v>
      </c>
      <c r="D3366" s="75">
        <v>94.281800000000004</v>
      </c>
      <c r="E3366" s="75">
        <v>93.502700000000004</v>
      </c>
      <c r="F3366">
        <v>500.28000000000003</v>
      </c>
      <c r="G3366">
        <v>148.5</v>
      </c>
      <c r="H3366">
        <v>-2931.4</v>
      </c>
      <c r="I3366">
        <v>-122.1</v>
      </c>
      <c r="J3366">
        <v>-2404.7199999999998</v>
      </c>
    </row>
    <row r="3367" spans="1:10" x14ac:dyDescent="0.35">
      <c r="A3367">
        <v>3351</v>
      </c>
      <c r="B3367" s="75">
        <v>89.59</v>
      </c>
      <c r="C3367" s="75">
        <v>98.61</v>
      </c>
      <c r="D3367" s="75">
        <v>92.54</v>
      </c>
      <c r="E3367" s="75">
        <v>93.47</v>
      </c>
      <c r="F3367">
        <v>-104.28000000000002</v>
      </c>
      <c r="G3367">
        <v>-606.75</v>
      </c>
      <c r="H3367">
        <v>544.4</v>
      </c>
      <c r="I3367">
        <v>-89.899999999999991</v>
      </c>
      <c r="J3367">
        <v>-256.52999999999997</v>
      </c>
    </row>
    <row r="3368" spans="1:10" x14ac:dyDescent="0.35">
      <c r="A3368">
        <v>3352</v>
      </c>
      <c r="B3368" s="75">
        <v>90.513099999999994</v>
      </c>
      <c r="C3368" s="75">
        <v>98.007999999999996</v>
      </c>
      <c r="D3368" s="75">
        <v>92.312700000000007</v>
      </c>
      <c r="E3368" s="75">
        <v>93.8232</v>
      </c>
      <c r="F3368">
        <v>-3166.35</v>
      </c>
      <c r="G3368">
        <v>302.84999999999997</v>
      </c>
      <c r="H3368">
        <v>1006.8</v>
      </c>
      <c r="I3368">
        <v>-442.59999999999997</v>
      </c>
      <c r="J3368">
        <v>-2299.3000000000002</v>
      </c>
    </row>
    <row r="3369" spans="1:10" x14ac:dyDescent="0.35">
      <c r="A3369">
        <v>3353</v>
      </c>
      <c r="B3369" s="75">
        <v>90.25</v>
      </c>
      <c r="C3369" s="75">
        <v>99.07</v>
      </c>
      <c r="D3369" s="75">
        <v>94.02</v>
      </c>
      <c r="E3369" s="75">
        <v>92.85</v>
      </c>
      <c r="F3369">
        <v>-2293.8300000000004</v>
      </c>
      <c r="G3369">
        <v>-1288.5</v>
      </c>
      <c r="H3369">
        <v>-2412.7999999999997</v>
      </c>
      <c r="I3369">
        <v>527.80000000000007</v>
      </c>
      <c r="J3369">
        <v>-5467.33</v>
      </c>
    </row>
    <row r="3370" spans="1:10" x14ac:dyDescent="0.35">
      <c r="A3370">
        <v>3354</v>
      </c>
      <c r="B3370" s="75">
        <v>88.985299999999995</v>
      </c>
      <c r="C3370" s="75">
        <v>98.108999999999995</v>
      </c>
      <c r="D3370" s="75">
        <v>95.261099999999999</v>
      </c>
      <c r="E3370" s="75">
        <v>92.801599999999993</v>
      </c>
      <c r="F3370">
        <v>1875.39</v>
      </c>
      <c r="G3370">
        <v>151.35</v>
      </c>
      <c r="H3370">
        <v>-4890</v>
      </c>
      <c r="I3370">
        <v>579</v>
      </c>
      <c r="J3370">
        <v>-2284.2600000000002</v>
      </c>
    </row>
    <row r="3371" spans="1:10" x14ac:dyDescent="0.35">
      <c r="A3371">
        <v>3355</v>
      </c>
      <c r="B3371" s="75">
        <v>89.66</v>
      </c>
      <c r="C3371" s="75">
        <v>99.34</v>
      </c>
      <c r="D3371" s="75">
        <v>91.13</v>
      </c>
      <c r="E3371" s="75">
        <v>92.55</v>
      </c>
      <c r="F3371">
        <v>-336.27000000000004</v>
      </c>
      <c r="G3371">
        <v>-1688.55</v>
      </c>
      <c r="H3371">
        <v>3375.4</v>
      </c>
      <c r="I3371">
        <v>826</v>
      </c>
      <c r="J3371">
        <v>2176.58</v>
      </c>
    </row>
    <row r="3372" spans="1:10" x14ac:dyDescent="0.35">
      <c r="A3372">
        <v>3356</v>
      </c>
      <c r="B3372" s="75">
        <v>88.900300000000001</v>
      </c>
      <c r="C3372" s="75">
        <v>98.202500000000001</v>
      </c>
      <c r="D3372" s="75">
        <v>91.709100000000007</v>
      </c>
      <c r="E3372" s="75">
        <v>91.870900000000006</v>
      </c>
      <c r="F3372">
        <v>2155.89</v>
      </c>
      <c r="G3372">
        <v>11.1</v>
      </c>
      <c r="H3372">
        <v>2214</v>
      </c>
      <c r="I3372">
        <v>1509.7</v>
      </c>
      <c r="J3372">
        <v>5890.69</v>
      </c>
    </row>
    <row r="3373" spans="1:10" x14ac:dyDescent="0.35">
      <c r="A3373">
        <v>3357</v>
      </c>
      <c r="B3373" s="75">
        <v>89.85</v>
      </c>
      <c r="C3373" s="75">
        <v>100.05</v>
      </c>
      <c r="D3373" s="75">
        <v>93.38</v>
      </c>
      <c r="E3373" s="75">
        <v>92.02</v>
      </c>
      <c r="F3373">
        <v>-968.55</v>
      </c>
      <c r="G3373">
        <v>-2763.6</v>
      </c>
      <c r="H3373">
        <v>-1122.8</v>
      </c>
      <c r="I3373">
        <v>1360.1000000000001</v>
      </c>
      <c r="J3373">
        <v>-3494.8499999999995</v>
      </c>
    </row>
    <row r="3374" spans="1:10" x14ac:dyDescent="0.35">
      <c r="A3374">
        <v>3358</v>
      </c>
      <c r="B3374" s="75">
        <v>90.035399999999996</v>
      </c>
      <c r="C3374" s="75">
        <v>99.798299999999998</v>
      </c>
      <c r="D3374" s="75">
        <v>92.828100000000006</v>
      </c>
      <c r="E3374" s="75">
        <v>91.877799999999993</v>
      </c>
      <c r="F3374">
        <v>-1589.94</v>
      </c>
      <c r="G3374">
        <v>-2382.6</v>
      </c>
      <c r="H3374">
        <v>-24</v>
      </c>
      <c r="I3374">
        <v>1502.8</v>
      </c>
      <c r="J3374">
        <v>-2493.7399999999998</v>
      </c>
    </row>
    <row r="3375" spans="1:10" x14ac:dyDescent="0.35">
      <c r="A3375">
        <v>3359</v>
      </c>
      <c r="B3375" s="75">
        <v>89.12</v>
      </c>
      <c r="C3375" s="75">
        <v>99.22</v>
      </c>
      <c r="D3375" s="75">
        <v>93.25</v>
      </c>
      <c r="E3375" s="75">
        <v>92.27</v>
      </c>
      <c r="F3375">
        <v>1444.4099999999999</v>
      </c>
      <c r="G3375">
        <v>-1515.15</v>
      </c>
      <c r="H3375">
        <v>-867.80000000000007</v>
      </c>
      <c r="I3375">
        <v>1107.8</v>
      </c>
      <c r="J3375">
        <v>169.25999999999965</v>
      </c>
    </row>
    <row r="3376" spans="1:10" x14ac:dyDescent="0.35">
      <c r="A3376">
        <v>3360</v>
      </c>
      <c r="B3376" s="75">
        <v>90.084900000000005</v>
      </c>
      <c r="C3376" s="75">
        <v>98.828999999999994</v>
      </c>
      <c r="D3376" s="75">
        <v>92.663899999999998</v>
      </c>
      <c r="E3376" s="75">
        <v>93.378299999999996</v>
      </c>
      <c r="F3376">
        <v>-1753.29</v>
      </c>
      <c r="G3376">
        <v>-928.65</v>
      </c>
      <c r="H3376">
        <v>304.39999999999998</v>
      </c>
      <c r="I3376">
        <v>2.2999999999999998</v>
      </c>
      <c r="J3376">
        <v>-2375.2399999999998</v>
      </c>
    </row>
    <row r="3377" spans="1:10" x14ac:dyDescent="0.35">
      <c r="A3377">
        <v>3361</v>
      </c>
      <c r="B3377" s="75">
        <v>90.61</v>
      </c>
      <c r="C3377" s="75">
        <v>98.47</v>
      </c>
      <c r="D3377" s="75">
        <v>90.95</v>
      </c>
      <c r="E3377" s="75">
        <v>92.44</v>
      </c>
      <c r="F3377">
        <v>-3490.0800000000004</v>
      </c>
      <c r="G3377">
        <v>-383.1</v>
      </c>
      <c r="H3377">
        <v>3727.3999999999996</v>
      </c>
      <c r="I3377">
        <v>936.2</v>
      </c>
      <c r="J3377">
        <v>790.41999999999939</v>
      </c>
    </row>
    <row r="3378" spans="1:10" x14ac:dyDescent="0.35">
      <c r="A3378">
        <v>3362</v>
      </c>
      <c r="B3378" s="75">
        <v>89.232500000000002</v>
      </c>
      <c r="C3378" s="75">
        <v>98.5655</v>
      </c>
      <c r="D3378" s="75">
        <v>92.948700000000002</v>
      </c>
      <c r="E3378" s="75">
        <v>91.941599999999994</v>
      </c>
      <c r="F3378">
        <v>1059.6299999999999</v>
      </c>
      <c r="G3378">
        <v>-533.40000000000009</v>
      </c>
      <c r="H3378">
        <v>-265.2</v>
      </c>
      <c r="I3378">
        <v>1439</v>
      </c>
      <c r="J3378">
        <v>1700.0299999999997</v>
      </c>
    </row>
    <row r="3379" spans="1:10" x14ac:dyDescent="0.35">
      <c r="A3379">
        <v>3363</v>
      </c>
      <c r="B3379" s="75">
        <v>90.06</v>
      </c>
      <c r="C3379" s="75">
        <v>98.45</v>
      </c>
      <c r="D3379" s="75">
        <v>92.93</v>
      </c>
      <c r="E3379" s="75">
        <v>94.31</v>
      </c>
      <c r="F3379">
        <v>-1678.38</v>
      </c>
      <c r="G3379">
        <v>-367.2</v>
      </c>
      <c r="H3379">
        <v>-223.39999999999998</v>
      </c>
      <c r="I3379">
        <v>-933.9</v>
      </c>
      <c r="J3379">
        <v>-3202.88</v>
      </c>
    </row>
    <row r="3380" spans="1:10" x14ac:dyDescent="0.35">
      <c r="A3380">
        <v>3364</v>
      </c>
      <c r="B3380" s="75">
        <v>89.982799999999997</v>
      </c>
      <c r="C3380" s="75">
        <v>99.433000000000007</v>
      </c>
      <c r="D3380" s="75">
        <v>91.420199999999994</v>
      </c>
      <c r="E3380" s="75">
        <v>93.438000000000002</v>
      </c>
      <c r="F3380">
        <v>-1416.3600000000001</v>
      </c>
      <c r="G3380">
        <v>-1834.65</v>
      </c>
      <c r="H3380">
        <v>2791.7999999999997</v>
      </c>
      <c r="I3380">
        <v>-57.4</v>
      </c>
      <c r="J3380">
        <v>-516.61000000000047</v>
      </c>
    </row>
    <row r="3381" spans="1:10" x14ac:dyDescent="0.35">
      <c r="A3381">
        <v>3365</v>
      </c>
      <c r="B3381" s="75">
        <v>90.17</v>
      </c>
      <c r="C3381" s="75">
        <v>98.75</v>
      </c>
      <c r="D3381" s="75">
        <v>91.49</v>
      </c>
      <c r="E3381" s="75">
        <v>89.47</v>
      </c>
      <c r="F3381">
        <v>-2043.36</v>
      </c>
      <c r="G3381">
        <v>-811.05</v>
      </c>
      <c r="H3381">
        <v>2659</v>
      </c>
      <c r="I3381">
        <v>3915.2999999999997</v>
      </c>
      <c r="J3381">
        <v>3719.89</v>
      </c>
    </row>
    <row r="3382" spans="1:10" x14ac:dyDescent="0.35">
      <c r="A3382">
        <v>3366</v>
      </c>
      <c r="B3382" s="75">
        <v>90.349900000000005</v>
      </c>
      <c r="C3382" s="75">
        <v>98.706199999999995</v>
      </c>
      <c r="D3382" s="75">
        <v>94.327500000000001</v>
      </c>
      <c r="E3382" s="75">
        <v>91.108199999999997</v>
      </c>
      <c r="F3382">
        <v>-2627.79</v>
      </c>
      <c r="G3382">
        <v>-744.45</v>
      </c>
      <c r="H3382">
        <v>-3022.8</v>
      </c>
      <c r="I3382">
        <v>2272.4</v>
      </c>
      <c r="J3382">
        <v>-4122.6399999999994</v>
      </c>
    </row>
    <row r="3383" spans="1:10" x14ac:dyDescent="0.35">
      <c r="A3383">
        <v>3367</v>
      </c>
      <c r="B3383" s="75">
        <v>89.79</v>
      </c>
      <c r="C3383" s="75">
        <v>98.78</v>
      </c>
      <c r="D3383" s="75">
        <v>92.77</v>
      </c>
      <c r="E3383" s="75">
        <v>92.49</v>
      </c>
      <c r="F3383">
        <v>-782.76</v>
      </c>
      <c r="G3383">
        <v>-849.45</v>
      </c>
      <c r="H3383">
        <v>92.600000000000009</v>
      </c>
      <c r="I3383">
        <v>890.59999999999991</v>
      </c>
      <c r="J3383">
        <v>-649.01000000000022</v>
      </c>
    </row>
    <row r="3384" spans="1:10" x14ac:dyDescent="0.35">
      <c r="A3384">
        <v>3368</v>
      </c>
      <c r="B3384" s="75">
        <v>89.544200000000004</v>
      </c>
      <c r="C3384" s="75">
        <v>99.441599999999994</v>
      </c>
      <c r="D3384" s="75">
        <v>91.842799999999997</v>
      </c>
      <c r="E3384" s="75">
        <v>90.84</v>
      </c>
      <c r="F3384">
        <v>31.02</v>
      </c>
      <c r="G3384">
        <v>-1847.55</v>
      </c>
      <c r="H3384">
        <v>1946.6000000000001</v>
      </c>
      <c r="I3384">
        <v>2540.6</v>
      </c>
      <c r="J3384">
        <v>2670.67</v>
      </c>
    </row>
    <row r="3385" spans="1:10" x14ac:dyDescent="0.35">
      <c r="A3385">
        <v>3369</v>
      </c>
      <c r="B3385" s="75">
        <v>89.6</v>
      </c>
      <c r="C3385" s="75">
        <v>97.75</v>
      </c>
      <c r="D3385" s="75">
        <v>93.9</v>
      </c>
      <c r="E3385" s="75">
        <v>94.45</v>
      </c>
      <c r="F3385">
        <v>-156.75</v>
      </c>
      <c r="G3385">
        <v>682.8</v>
      </c>
      <c r="H3385">
        <v>-2171.8000000000002</v>
      </c>
      <c r="I3385">
        <v>-1069.8000000000002</v>
      </c>
      <c r="J3385">
        <v>-2715.55</v>
      </c>
    </row>
    <row r="3386" spans="1:10" x14ac:dyDescent="0.35">
      <c r="A3386">
        <v>3370</v>
      </c>
      <c r="B3386" s="75">
        <v>90.262699999999995</v>
      </c>
      <c r="C3386" s="75">
        <v>97.922399999999996</v>
      </c>
      <c r="D3386" s="75">
        <v>92.119500000000002</v>
      </c>
      <c r="E3386" s="75">
        <v>93.031899999999993</v>
      </c>
      <c r="F3386">
        <v>-2340.0299999999997</v>
      </c>
      <c r="G3386">
        <v>431.24999999999994</v>
      </c>
      <c r="H3386">
        <v>1393.2</v>
      </c>
      <c r="I3386">
        <v>348.7</v>
      </c>
      <c r="J3386">
        <v>-166.87999999999971</v>
      </c>
    </row>
    <row r="3387" spans="1:10" x14ac:dyDescent="0.35">
      <c r="A3387">
        <v>3371</v>
      </c>
      <c r="B3387" s="75">
        <v>90.13</v>
      </c>
      <c r="C3387" s="75">
        <v>99.24</v>
      </c>
      <c r="D3387" s="75">
        <v>93.53</v>
      </c>
      <c r="E3387" s="75">
        <v>95.57</v>
      </c>
      <c r="F3387">
        <v>-1916.6399999999999</v>
      </c>
      <c r="G3387">
        <v>-1547.8500000000001</v>
      </c>
      <c r="H3387">
        <v>-1427.4</v>
      </c>
      <c r="I3387">
        <v>-2187.3999999999996</v>
      </c>
      <c r="J3387">
        <v>-7079.2899999999991</v>
      </c>
    </row>
    <row r="3388" spans="1:10" x14ac:dyDescent="0.35">
      <c r="A3388">
        <v>3372</v>
      </c>
      <c r="B3388" s="75">
        <v>89.053200000000004</v>
      </c>
      <c r="C3388" s="75">
        <v>98.191599999999994</v>
      </c>
      <c r="D3388" s="75">
        <v>92.914100000000005</v>
      </c>
      <c r="E3388" s="75">
        <v>92.609399999999994</v>
      </c>
      <c r="F3388">
        <v>1651.32</v>
      </c>
      <c r="G3388">
        <v>27.45</v>
      </c>
      <c r="H3388">
        <v>-196</v>
      </c>
      <c r="I3388">
        <v>771.2</v>
      </c>
      <c r="J3388">
        <v>2253.9700000000003</v>
      </c>
    </row>
    <row r="3389" spans="1:10" x14ac:dyDescent="0.35">
      <c r="A3389">
        <v>3373</v>
      </c>
      <c r="B3389" s="75">
        <v>89.11</v>
      </c>
      <c r="C3389" s="75">
        <v>97.37</v>
      </c>
      <c r="D3389" s="75">
        <v>94.22</v>
      </c>
      <c r="E3389" s="75">
        <v>91.21</v>
      </c>
      <c r="F3389">
        <v>1475.1000000000001</v>
      </c>
      <c r="G3389">
        <v>1261.95</v>
      </c>
      <c r="H3389">
        <v>-2811.6</v>
      </c>
      <c r="I3389">
        <v>2166.5</v>
      </c>
      <c r="J3389">
        <v>2091.9500000000003</v>
      </c>
    </row>
    <row r="3390" spans="1:10" x14ac:dyDescent="0.35">
      <c r="A3390">
        <v>3374</v>
      </c>
      <c r="B3390" s="75">
        <v>89.840599999999995</v>
      </c>
      <c r="C3390" s="75">
        <v>98.831100000000006</v>
      </c>
      <c r="D3390" s="75">
        <v>94.037599999999998</v>
      </c>
      <c r="E3390" s="75">
        <v>92.907300000000006</v>
      </c>
      <c r="F3390">
        <v>-947.09999999999991</v>
      </c>
      <c r="G3390">
        <v>-931.8</v>
      </c>
      <c r="H3390">
        <v>-2443</v>
      </c>
      <c r="I3390">
        <v>473.3</v>
      </c>
      <c r="J3390">
        <v>-3848.5999999999995</v>
      </c>
    </row>
    <row r="3391" spans="1:10" x14ac:dyDescent="0.35">
      <c r="A3391">
        <v>3375</v>
      </c>
      <c r="B3391" s="75">
        <v>90.43</v>
      </c>
      <c r="C3391" s="75">
        <v>97.81</v>
      </c>
      <c r="D3391" s="75">
        <v>92.58</v>
      </c>
      <c r="E3391" s="75">
        <v>93.06</v>
      </c>
      <c r="F3391">
        <v>-2905.3199999999997</v>
      </c>
      <c r="G3391">
        <v>600</v>
      </c>
      <c r="H3391">
        <v>474.2</v>
      </c>
      <c r="I3391">
        <v>323.40000000000003</v>
      </c>
      <c r="J3391">
        <v>-1507.7199999999996</v>
      </c>
    </row>
    <row r="3392" spans="1:10" x14ac:dyDescent="0.35">
      <c r="A3392">
        <v>3376</v>
      </c>
      <c r="B3392" s="75">
        <v>89.771900000000002</v>
      </c>
      <c r="C3392" s="75">
        <v>97.465299999999999</v>
      </c>
      <c r="D3392" s="75">
        <v>92.811199999999999</v>
      </c>
      <c r="E3392" s="75">
        <v>92.7363</v>
      </c>
      <c r="F3392">
        <v>-720.39</v>
      </c>
      <c r="G3392">
        <v>1116.9000000000001</v>
      </c>
      <c r="H3392">
        <v>9.7999999999999989</v>
      </c>
      <c r="I3392">
        <v>644.29999999999995</v>
      </c>
      <c r="J3392">
        <v>1050.6100000000001</v>
      </c>
    </row>
    <row r="3393" spans="1:10" x14ac:dyDescent="0.35">
      <c r="A3393">
        <v>3377</v>
      </c>
      <c r="B3393" s="75">
        <v>90.05</v>
      </c>
      <c r="C3393" s="75">
        <v>96.95</v>
      </c>
      <c r="D3393" s="75">
        <v>93.56</v>
      </c>
      <c r="E3393" s="75">
        <v>92.22</v>
      </c>
      <c r="F3393">
        <v>-1640.1</v>
      </c>
      <c r="G3393">
        <v>1896.8999999999999</v>
      </c>
      <c r="H3393">
        <v>-1490.3999999999999</v>
      </c>
      <c r="I3393">
        <v>1158.5</v>
      </c>
      <c r="J3393">
        <v>-75.099999999999909</v>
      </c>
    </row>
    <row r="3394" spans="1:10" x14ac:dyDescent="0.35">
      <c r="A3394">
        <v>3378</v>
      </c>
      <c r="B3394" s="75">
        <v>89.388400000000004</v>
      </c>
      <c r="C3394" s="75">
        <v>98.228800000000007</v>
      </c>
      <c r="D3394" s="75">
        <v>94.808499999999995</v>
      </c>
      <c r="E3394" s="75">
        <v>94.856399999999994</v>
      </c>
      <c r="F3394">
        <v>545.16000000000008</v>
      </c>
      <c r="G3394">
        <v>-28.35</v>
      </c>
      <c r="H3394">
        <v>-3984.7999999999997</v>
      </c>
      <c r="I3394">
        <v>-1475.8</v>
      </c>
      <c r="J3394">
        <v>-4943.79</v>
      </c>
    </row>
    <row r="3395" spans="1:10" x14ac:dyDescent="0.35">
      <c r="A3395">
        <v>3379</v>
      </c>
      <c r="B3395" s="75">
        <v>89.51</v>
      </c>
      <c r="C3395" s="75">
        <v>98.1</v>
      </c>
      <c r="D3395" s="75">
        <v>91.79</v>
      </c>
      <c r="E3395" s="75">
        <v>92.83</v>
      </c>
      <c r="F3395">
        <v>152.45999999999998</v>
      </c>
      <c r="G3395">
        <v>170.4</v>
      </c>
      <c r="H3395">
        <v>2048.8000000000002</v>
      </c>
      <c r="I3395">
        <v>552.4</v>
      </c>
      <c r="J3395">
        <v>2924.0600000000004</v>
      </c>
    </row>
    <row r="3396" spans="1:10" x14ac:dyDescent="0.35">
      <c r="A3396">
        <v>3380</v>
      </c>
      <c r="B3396" s="75">
        <v>89.691900000000004</v>
      </c>
      <c r="C3396" s="75">
        <v>98.979699999999994</v>
      </c>
      <c r="D3396" s="75">
        <v>92.394499999999994</v>
      </c>
      <c r="E3396" s="75">
        <v>93.846100000000007</v>
      </c>
      <c r="F3396">
        <v>-456.39000000000004</v>
      </c>
      <c r="G3396">
        <v>-1154.7</v>
      </c>
      <c r="H3396">
        <v>843.19999999999993</v>
      </c>
      <c r="I3396">
        <v>-465.5</v>
      </c>
      <c r="J3396">
        <v>-1233.3900000000003</v>
      </c>
    </row>
    <row r="3397" spans="1:10" x14ac:dyDescent="0.35">
      <c r="A3397">
        <v>3381</v>
      </c>
      <c r="B3397" s="75">
        <v>89.6</v>
      </c>
      <c r="C3397" s="75">
        <v>98.98</v>
      </c>
      <c r="D3397" s="75">
        <v>92.94</v>
      </c>
      <c r="E3397" s="75">
        <v>92.94</v>
      </c>
      <c r="F3397">
        <v>-148.17000000000002</v>
      </c>
      <c r="G3397">
        <v>-1153.8</v>
      </c>
      <c r="H3397">
        <v>-246.2</v>
      </c>
      <c r="I3397">
        <v>444.7</v>
      </c>
      <c r="J3397">
        <v>-1103.47</v>
      </c>
    </row>
    <row r="3398" spans="1:10" x14ac:dyDescent="0.35">
      <c r="A3398">
        <v>3382</v>
      </c>
      <c r="B3398" s="75">
        <v>88.863699999999994</v>
      </c>
      <c r="C3398" s="75">
        <v>98.592100000000002</v>
      </c>
      <c r="D3398" s="75">
        <v>92.930800000000005</v>
      </c>
      <c r="E3398" s="75">
        <v>90.697699999999998</v>
      </c>
      <c r="F3398">
        <v>2276.67</v>
      </c>
      <c r="G3398">
        <v>-573.29999999999995</v>
      </c>
      <c r="H3398">
        <v>-229.4</v>
      </c>
      <c r="I3398">
        <v>2682.9</v>
      </c>
      <c r="J3398">
        <v>4156.87</v>
      </c>
    </row>
    <row r="3399" spans="1:10" x14ac:dyDescent="0.35">
      <c r="A3399">
        <v>3383</v>
      </c>
      <c r="B3399" s="75">
        <v>89.42</v>
      </c>
      <c r="C3399" s="75">
        <v>98.59</v>
      </c>
      <c r="D3399" s="75">
        <v>92.07</v>
      </c>
      <c r="E3399" s="75">
        <v>91.69</v>
      </c>
      <c r="F3399">
        <v>453.09000000000003</v>
      </c>
      <c r="G3399">
        <v>-574.94999999999993</v>
      </c>
      <c r="H3399">
        <v>1488.6</v>
      </c>
      <c r="I3399">
        <v>1687.8</v>
      </c>
      <c r="J3399">
        <v>3054.54</v>
      </c>
    </row>
    <row r="3400" spans="1:10" x14ac:dyDescent="0.35">
      <c r="A3400">
        <v>3384</v>
      </c>
      <c r="B3400" s="75">
        <v>90.056100000000001</v>
      </c>
      <c r="C3400" s="75">
        <v>99.383399999999995</v>
      </c>
      <c r="D3400" s="75">
        <v>93.173000000000002</v>
      </c>
      <c r="E3400" s="75">
        <v>93.251000000000005</v>
      </c>
      <c r="F3400">
        <v>-1658.2499999999998</v>
      </c>
      <c r="G3400">
        <v>-1760.25</v>
      </c>
      <c r="H3400">
        <v>-713.8</v>
      </c>
      <c r="I3400">
        <v>129.6</v>
      </c>
      <c r="J3400">
        <v>-4002.7000000000003</v>
      </c>
    </row>
    <row r="3401" spans="1:10" x14ac:dyDescent="0.35">
      <c r="A3401">
        <v>3385</v>
      </c>
      <c r="B3401" s="75">
        <v>88.28</v>
      </c>
      <c r="C3401" s="75">
        <v>100.46</v>
      </c>
      <c r="D3401" s="75">
        <v>91.28</v>
      </c>
      <c r="E3401" s="75">
        <v>93.06</v>
      </c>
      <c r="F3401">
        <v>4219.38</v>
      </c>
      <c r="G3401">
        <v>-3377.7</v>
      </c>
      <c r="H3401">
        <v>3079.8</v>
      </c>
      <c r="I3401">
        <v>323.2</v>
      </c>
      <c r="J3401">
        <v>4244.68</v>
      </c>
    </row>
    <row r="3402" spans="1:10" x14ac:dyDescent="0.35">
      <c r="A3402">
        <v>3386</v>
      </c>
      <c r="B3402" s="75">
        <v>89.814899999999994</v>
      </c>
      <c r="C3402" s="75">
        <v>97.385599999999997</v>
      </c>
      <c r="D3402" s="75">
        <v>92.744100000000003</v>
      </c>
      <c r="E3402" s="75">
        <v>93.038300000000007</v>
      </c>
      <c r="F3402">
        <v>-862.29</v>
      </c>
      <c r="G3402">
        <v>1236.45</v>
      </c>
      <c r="H3402">
        <v>144</v>
      </c>
      <c r="I3402">
        <v>342.3</v>
      </c>
      <c r="J3402">
        <v>860.46</v>
      </c>
    </row>
    <row r="3403" spans="1:10" x14ac:dyDescent="0.35">
      <c r="A3403">
        <v>3387</v>
      </c>
      <c r="B3403" s="75">
        <v>89.9</v>
      </c>
      <c r="C3403" s="75">
        <v>97.02</v>
      </c>
      <c r="D3403" s="75">
        <v>92.03</v>
      </c>
      <c r="E3403" s="75">
        <v>93.47</v>
      </c>
      <c r="F3403">
        <v>-1149.06</v>
      </c>
      <c r="G3403">
        <v>1783.0500000000002</v>
      </c>
      <c r="H3403">
        <v>1569.6000000000001</v>
      </c>
      <c r="I3403">
        <v>-89</v>
      </c>
      <c r="J3403">
        <v>2114.59</v>
      </c>
    </row>
    <row r="3404" spans="1:10" x14ac:dyDescent="0.35">
      <c r="A3404">
        <v>3388</v>
      </c>
      <c r="B3404" s="75">
        <v>89.071899999999999</v>
      </c>
      <c r="C3404" s="75">
        <v>97.521699999999996</v>
      </c>
      <c r="D3404" s="75">
        <v>92.333100000000002</v>
      </c>
      <c r="E3404" s="75">
        <v>92.546899999999994</v>
      </c>
      <c r="F3404">
        <v>1589.6100000000001</v>
      </c>
      <c r="G3404">
        <v>1032.3</v>
      </c>
      <c r="H3404">
        <v>966</v>
      </c>
      <c r="I3404">
        <v>833.7</v>
      </c>
      <c r="J3404">
        <v>4421.6099999999997</v>
      </c>
    </row>
    <row r="3405" spans="1:10" x14ac:dyDescent="0.35">
      <c r="A3405">
        <v>3389</v>
      </c>
      <c r="B3405" s="75">
        <v>88.83</v>
      </c>
      <c r="C3405" s="75">
        <v>98.32</v>
      </c>
      <c r="D3405" s="75">
        <v>93.73</v>
      </c>
      <c r="E3405" s="75">
        <v>93.21</v>
      </c>
      <c r="F3405">
        <v>2392.5</v>
      </c>
      <c r="G3405">
        <v>-171.29999999999998</v>
      </c>
      <c r="H3405">
        <v>-1832.2</v>
      </c>
      <c r="I3405">
        <v>173.9</v>
      </c>
      <c r="J3405">
        <v>562.89999999999975</v>
      </c>
    </row>
    <row r="3406" spans="1:10" x14ac:dyDescent="0.35">
      <c r="A3406">
        <v>3390</v>
      </c>
      <c r="B3406" s="75">
        <v>89.848699999999994</v>
      </c>
      <c r="C3406" s="75">
        <v>99.381799999999998</v>
      </c>
      <c r="D3406" s="75">
        <v>91.761200000000002</v>
      </c>
      <c r="E3406" s="75">
        <v>93.509500000000003</v>
      </c>
      <c r="F3406">
        <v>-973.82999999999993</v>
      </c>
      <c r="G3406">
        <v>-1757.85</v>
      </c>
      <c r="H3406">
        <v>2109.7999999999997</v>
      </c>
      <c r="I3406">
        <v>-128.89999999999998</v>
      </c>
      <c r="J3406">
        <v>-750.78000000000009</v>
      </c>
    </row>
    <row r="3407" spans="1:10" x14ac:dyDescent="0.35">
      <c r="A3407">
        <v>3391</v>
      </c>
      <c r="B3407" s="75">
        <v>89.46</v>
      </c>
      <c r="C3407" s="75">
        <v>98.44</v>
      </c>
      <c r="D3407" s="75">
        <v>92.94</v>
      </c>
      <c r="E3407" s="75">
        <v>94.51</v>
      </c>
      <c r="F3407">
        <v>317.45999999999998</v>
      </c>
      <c r="G3407">
        <v>-352.5</v>
      </c>
      <c r="H3407">
        <v>-247</v>
      </c>
      <c r="I3407">
        <v>-1126.5</v>
      </c>
      <c r="J3407">
        <v>-1408.54</v>
      </c>
    </row>
    <row r="3408" spans="1:10" x14ac:dyDescent="0.35">
      <c r="A3408">
        <v>3392</v>
      </c>
      <c r="B3408" s="75">
        <v>89.090800000000002</v>
      </c>
      <c r="C3408" s="75">
        <v>98.602000000000004</v>
      </c>
      <c r="D3408" s="75">
        <v>92.631799999999998</v>
      </c>
      <c r="E3408" s="75">
        <v>93.509699999999995</v>
      </c>
      <c r="F3408">
        <v>1527.24</v>
      </c>
      <c r="G3408">
        <v>-588.15</v>
      </c>
      <c r="H3408">
        <v>368.59999999999997</v>
      </c>
      <c r="I3408">
        <v>-129.1</v>
      </c>
      <c r="J3408">
        <v>1178.5900000000001</v>
      </c>
    </row>
    <row r="3409" spans="1:10" x14ac:dyDescent="0.35">
      <c r="A3409">
        <v>3393</v>
      </c>
      <c r="B3409" s="75">
        <v>89.92</v>
      </c>
      <c r="C3409" s="75">
        <v>98.03</v>
      </c>
      <c r="D3409" s="75">
        <v>93.32</v>
      </c>
      <c r="E3409" s="75">
        <v>93.87</v>
      </c>
      <c r="F3409">
        <v>-1219.02</v>
      </c>
      <c r="G3409">
        <v>276.75</v>
      </c>
      <c r="H3409">
        <v>-1017.6</v>
      </c>
      <c r="I3409">
        <v>-494.09999999999997</v>
      </c>
      <c r="J3409">
        <v>-2453.9699999999998</v>
      </c>
    </row>
    <row r="3410" spans="1:10" x14ac:dyDescent="0.35">
      <c r="A3410">
        <v>3394</v>
      </c>
      <c r="B3410" s="75">
        <v>90.201400000000007</v>
      </c>
      <c r="C3410" s="75">
        <v>99.670299999999997</v>
      </c>
      <c r="D3410" s="75">
        <v>91.704800000000006</v>
      </c>
      <c r="E3410" s="75">
        <v>90.840800000000002</v>
      </c>
      <c r="F3410">
        <v>-2137.7400000000002</v>
      </c>
      <c r="G3410">
        <v>-2190.6</v>
      </c>
      <c r="H3410">
        <v>2222.6</v>
      </c>
      <c r="I3410">
        <v>2539.8000000000002</v>
      </c>
      <c r="J3410">
        <v>434.05999999999995</v>
      </c>
    </row>
    <row r="3411" spans="1:10" x14ac:dyDescent="0.35">
      <c r="A3411">
        <v>3395</v>
      </c>
      <c r="B3411" s="75">
        <v>90.19</v>
      </c>
      <c r="C3411" s="75">
        <v>97.99</v>
      </c>
      <c r="D3411" s="75">
        <v>92.64</v>
      </c>
      <c r="E3411" s="75">
        <v>92.77</v>
      </c>
      <c r="F3411">
        <v>-2102.1</v>
      </c>
      <c r="G3411">
        <v>335.7</v>
      </c>
      <c r="H3411">
        <v>360.20000000000005</v>
      </c>
      <c r="I3411">
        <v>611.5</v>
      </c>
      <c r="J3411">
        <v>-794.69999999999982</v>
      </c>
    </row>
    <row r="3412" spans="1:10" x14ac:dyDescent="0.35">
      <c r="A3412">
        <v>3396</v>
      </c>
      <c r="B3412" s="75">
        <v>89.592399999999998</v>
      </c>
      <c r="C3412" s="75">
        <v>99.191999999999993</v>
      </c>
      <c r="D3412" s="75">
        <v>92.131200000000007</v>
      </c>
      <c r="E3412" s="75">
        <v>94.834100000000007</v>
      </c>
      <c r="F3412">
        <v>-128.04</v>
      </c>
      <c r="G3412">
        <v>-1473.1499999999999</v>
      </c>
      <c r="H3412">
        <v>1369.8</v>
      </c>
      <c r="I3412">
        <v>-1453.5</v>
      </c>
      <c r="J3412">
        <v>-1684.8899999999999</v>
      </c>
    </row>
    <row r="3413" spans="1:10" x14ac:dyDescent="0.35">
      <c r="A3413">
        <v>3397</v>
      </c>
      <c r="B3413" s="75">
        <v>89.96</v>
      </c>
      <c r="C3413" s="75">
        <v>97.19</v>
      </c>
      <c r="D3413" s="75">
        <v>94.46</v>
      </c>
      <c r="E3413" s="75">
        <v>91.12</v>
      </c>
      <c r="F3413">
        <v>-1350.3600000000001</v>
      </c>
      <c r="G3413">
        <v>1537.35</v>
      </c>
      <c r="H3413">
        <v>-3293.6</v>
      </c>
      <c r="I3413">
        <v>2262.1999999999998</v>
      </c>
      <c r="J3413">
        <v>-844.41000000000031</v>
      </c>
    </row>
    <row r="3414" spans="1:10" x14ac:dyDescent="0.35">
      <c r="A3414">
        <v>3398</v>
      </c>
      <c r="B3414" s="75">
        <v>89.391800000000003</v>
      </c>
      <c r="C3414" s="75">
        <v>96.482399999999998</v>
      </c>
      <c r="D3414" s="75">
        <v>91.620900000000006</v>
      </c>
      <c r="E3414" s="75">
        <v>91.738200000000006</v>
      </c>
      <c r="F3414">
        <v>533.94000000000005</v>
      </c>
      <c r="G3414">
        <v>2591.25</v>
      </c>
      <c r="H3414">
        <v>2390.4</v>
      </c>
      <c r="I3414">
        <v>1642.4</v>
      </c>
      <c r="J3414">
        <v>7157.99</v>
      </c>
    </row>
    <row r="3415" spans="1:10" x14ac:dyDescent="0.35">
      <c r="A3415">
        <v>3399</v>
      </c>
      <c r="B3415" s="75">
        <v>90</v>
      </c>
      <c r="C3415" s="75">
        <v>99.01</v>
      </c>
      <c r="D3415" s="75">
        <v>91.95</v>
      </c>
      <c r="E3415" s="75">
        <v>94.69</v>
      </c>
      <c r="F3415">
        <v>-1481.04</v>
      </c>
      <c r="G3415">
        <v>-1194.75</v>
      </c>
      <c r="H3415">
        <v>1741.2</v>
      </c>
      <c r="I3415">
        <v>-1306.2</v>
      </c>
      <c r="J3415">
        <v>-2240.79</v>
      </c>
    </row>
    <row r="3416" spans="1:10" x14ac:dyDescent="0.35">
      <c r="A3416">
        <v>3400</v>
      </c>
      <c r="B3416" s="75">
        <v>89.0886</v>
      </c>
      <c r="C3416" s="75">
        <v>99.268799999999999</v>
      </c>
      <c r="D3416" s="75">
        <v>92.104200000000006</v>
      </c>
      <c r="E3416" s="75">
        <v>94.977400000000003</v>
      </c>
      <c r="F3416">
        <v>1534.5</v>
      </c>
      <c r="G3416">
        <v>-1588.35</v>
      </c>
      <c r="H3416">
        <v>1423.8</v>
      </c>
      <c r="I3416">
        <v>-1596.8</v>
      </c>
      <c r="J3416">
        <v>-226.84999999999991</v>
      </c>
    </row>
    <row r="3417" spans="1:10" x14ac:dyDescent="0.35">
      <c r="A3417">
        <v>3401</v>
      </c>
      <c r="B3417" s="75">
        <v>89.17</v>
      </c>
      <c r="C3417" s="75">
        <v>98.18</v>
      </c>
      <c r="D3417" s="75">
        <v>91.32</v>
      </c>
      <c r="E3417" s="75">
        <v>93.42</v>
      </c>
      <c r="F3417">
        <v>1258.29</v>
      </c>
      <c r="G3417">
        <v>39.6</v>
      </c>
      <c r="H3417">
        <v>2991.8</v>
      </c>
      <c r="I3417">
        <v>-42.5</v>
      </c>
      <c r="J3417">
        <v>4247.1900000000005</v>
      </c>
    </row>
    <row r="3418" spans="1:10" x14ac:dyDescent="0.35">
      <c r="A3418">
        <v>3402</v>
      </c>
      <c r="B3418" s="75">
        <v>88.976299999999995</v>
      </c>
      <c r="C3418" s="75">
        <v>97.708299999999994</v>
      </c>
      <c r="D3418" s="75">
        <v>94.575400000000002</v>
      </c>
      <c r="E3418" s="75">
        <v>93.4161</v>
      </c>
      <c r="F3418">
        <v>1905.0900000000001</v>
      </c>
      <c r="G3418">
        <v>752.40000000000009</v>
      </c>
      <c r="H3418">
        <v>-3518.6000000000004</v>
      </c>
      <c r="I3418">
        <v>-35.5</v>
      </c>
      <c r="J3418">
        <v>-896.61000000000013</v>
      </c>
    </row>
    <row r="3419" spans="1:10" x14ac:dyDescent="0.35">
      <c r="A3419">
        <v>3403</v>
      </c>
      <c r="B3419" s="75">
        <v>89.09</v>
      </c>
      <c r="C3419" s="75">
        <v>98</v>
      </c>
      <c r="D3419" s="75">
        <v>91.73</v>
      </c>
      <c r="E3419" s="75">
        <v>95.7</v>
      </c>
      <c r="F3419">
        <v>1532.19</v>
      </c>
      <c r="G3419">
        <v>311.85000000000002</v>
      </c>
      <c r="H3419">
        <v>2170</v>
      </c>
      <c r="I3419">
        <v>-2320.6000000000004</v>
      </c>
      <c r="J3419">
        <v>1693.4399999999996</v>
      </c>
    </row>
    <row r="3420" spans="1:10" x14ac:dyDescent="0.35">
      <c r="A3420">
        <v>3404</v>
      </c>
      <c r="B3420" s="75">
        <v>89.520700000000005</v>
      </c>
      <c r="C3420" s="75">
        <v>99.334199999999996</v>
      </c>
      <c r="D3420" s="75">
        <v>93.12</v>
      </c>
      <c r="E3420" s="75">
        <v>90.963399999999993</v>
      </c>
      <c r="F3420">
        <v>108.57</v>
      </c>
      <c r="G3420">
        <v>-1686.45</v>
      </c>
      <c r="H3420">
        <v>-607.79999999999995</v>
      </c>
      <c r="I3420">
        <v>2417.1999999999998</v>
      </c>
      <c r="J3420">
        <v>231.51999999999953</v>
      </c>
    </row>
    <row r="3421" spans="1:10" x14ac:dyDescent="0.35">
      <c r="A3421">
        <v>3405</v>
      </c>
      <c r="B3421" s="75">
        <v>90.2</v>
      </c>
      <c r="C3421" s="75">
        <v>99.01</v>
      </c>
      <c r="D3421" s="75">
        <v>90.86</v>
      </c>
      <c r="E3421" s="75">
        <v>95.88</v>
      </c>
      <c r="F3421">
        <v>-2133.4499999999998</v>
      </c>
      <c r="G3421">
        <v>-1200.1500000000001</v>
      </c>
      <c r="H3421">
        <v>3910</v>
      </c>
      <c r="I3421">
        <v>-2503.2000000000003</v>
      </c>
      <c r="J3421">
        <v>-1926.8000000000002</v>
      </c>
    </row>
    <row r="3422" spans="1:10" x14ac:dyDescent="0.35">
      <c r="A3422">
        <v>3406</v>
      </c>
      <c r="B3422" s="75">
        <v>90.404700000000005</v>
      </c>
      <c r="C3422" s="75">
        <v>99.178399999999996</v>
      </c>
      <c r="D3422" s="75">
        <v>95.050700000000006</v>
      </c>
      <c r="E3422" s="75">
        <v>96.707400000000007</v>
      </c>
      <c r="F3422">
        <v>-2808.63</v>
      </c>
      <c r="G3422">
        <v>-1452.75</v>
      </c>
      <c r="H3422">
        <v>-4469.2</v>
      </c>
      <c r="I3422">
        <v>-3326.8</v>
      </c>
      <c r="J3422">
        <v>-12057.380000000001</v>
      </c>
    </row>
    <row r="3423" spans="1:10" x14ac:dyDescent="0.35">
      <c r="A3423">
        <v>3407</v>
      </c>
      <c r="B3423" s="75">
        <v>89.25</v>
      </c>
      <c r="C3423" s="75">
        <v>97.84</v>
      </c>
      <c r="D3423" s="75">
        <v>93.74</v>
      </c>
      <c r="E3423" s="75">
        <v>90.84</v>
      </c>
      <c r="F3423">
        <v>999.57</v>
      </c>
      <c r="G3423">
        <v>549.9</v>
      </c>
      <c r="H3423">
        <v>-1846.8</v>
      </c>
      <c r="I3423">
        <v>2543.5</v>
      </c>
      <c r="J3423">
        <v>2246.17</v>
      </c>
    </row>
    <row r="3424" spans="1:10" x14ac:dyDescent="0.35">
      <c r="A3424">
        <v>3408</v>
      </c>
      <c r="B3424" s="75">
        <v>89.381799999999998</v>
      </c>
      <c r="C3424" s="75">
        <v>98.515299999999996</v>
      </c>
      <c r="D3424" s="75">
        <v>93.841999999999999</v>
      </c>
      <c r="E3424" s="75">
        <v>91.687600000000003</v>
      </c>
      <c r="F3424">
        <v>566.94000000000005</v>
      </c>
      <c r="G3424">
        <v>-458.1</v>
      </c>
      <c r="H3424">
        <v>-2051.8000000000002</v>
      </c>
      <c r="I3424">
        <v>1693</v>
      </c>
      <c r="J3424">
        <v>-249.96000000000004</v>
      </c>
    </row>
    <row r="3425" spans="1:10" x14ac:dyDescent="0.35">
      <c r="A3425">
        <v>3409</v>
      </c>
      <c r="B3425" s="75">
        <v>89.4</v>
      </c>
      <c r="C3425" s="75">
        <v>98.85</v>
      </c>
      <c r="D3425" s="75">
        <v>92.71</v>
      </c>
      <c r="E3425" s="75">
        <v>91.81</v>
      </c>
      <c r="F3425">
        <v>504.9</v>
      </c>
      <c r="G3425">
        <v>-964.5</v>
      </c>
      <c r="H3425">
        <v>204.4</v>
      </c>
      <c r="I3425">
        <v>1570.2</v>
      </c>
      <c r="J3425">
        <v>1315</v>
      </c>
    </row>
    <row r="3426" spans="1:10" x14ac:dyDescent="0.35">
      <c r="A3426">
        <v>3410</v>
      </c>
      <c r="B3426" s="75">
        <v>89.768900000000002</v>
      </c>
      <c r="C3426" s="75">
        <v>97.063400000000001</v>
      </c>
      <c r="D3426" s="75">
        <v>93.322299999999998</v>
      </c>
      <c r="E3426" s="75">
        <v>93.438500000000005</v>
      </c>
      <c r="F3426">
        <v>-710.49</v>
      </c>
      <c r="G3426">
        <v>1719.75</v>
      </c>
      <c r="H3426">
        <v>-1012.4</v>
      </c>
      <c r="I3426">
        <v>-57.9</v>
      </c>
      <c r="J3426">
        <v>-61.039999999999985</v>
      </c>
    </row>
    <row r="3427" spans="1:10" x14ac:dyDescent="0.35">
      <c r="A3427">
        <v>3411</v>
      </c>
      <c r="B3427" s="75">
        <v>89.41</v>
      </c>
      <c r="C3427" s="75">
        <v>97.94</v>
      </c>
      <c r="D3427" s="75">
        <v>94.64</v>
      </c>
      <c r="E3427" s="75">
        <v>95.3</v>
      </c>
      <c r="F3427">
        <v>486.09</v>
      </c>
      <c r="G3427">
        <v>402.3</v>
      </c>
      <c r="H3427">
        <v>-3644.8</v>
      </c>
      <c r="I3427">
        <v>-1923.7</v>
      </c>
      <c r="J3427">
        <v>-4680.1100000000006</v>
      </c>
    </row>
    <row r="3428" spans="1:10" x14ac:dyDescent="0.35">
      <c r="A3428">
        <v>3412</v>
      </c>
      <c r="B3428" s="75">
        <v>89.567700000000002</v>
      </c>
      <c r="C3428" s="75">
        <v>98.565799999999996</v>
      </c>
      <c r="D3428" s="75">
        <v>91.788600000000002</v>
      </c>
      <c r="E3428" s="75">
        <v>95.380600000000001</v>
      </c>
      <c r="F3428">
        <v>-46.53</v>
      </c>
      <c r="G3428">
        <v>-533.85</v>
      </c>
      <c r="H3428">
        <v>2055</v>
      </c>
      <c r="I3428">
        <v>-2000</v>
      </c>
      <c r="J3428">
        <v>-525.38000000000011</v>
      </c>
    </row>
    <row r="3429" spans="1:10" x14ac:dyDescent="0.35">
      <c r="A3429">
        <v>3413</v>
      </c>
      <c r="B3429" s="75">
        <v>89.75</v>
      </c>
      <c r="C3429" s="75">
        <v>99.18</v>
      </c>
      <c r="D3429" s="75">
        <v>91.46</v>
      </c>
      <c r="E3429" s="75">
        <v>92.74</v>
      </c>
      <c r="F3429">
        <v>-640.53</v>
      </c>
      <c r="G3429">
        <v>-1452.9</v>
      </c>
      <c r="H3429">
        <v>2713.6</v>
      </c>
      <c r="I3429">
        <v>635.80000000000007</v>
      </c>
      <c r="J3429">
        <v>1255.9699999999998</v>
      </c>
    </row>
    <row r="3430" spans="1:10" x14ac:dyDescent="0.35">
      <c r="A3430">
        <v>3414</v>
      </c>
      <c r="B3430" s="75">
        <v>89.979399999999998</v>
      </c>
      <c r="C3430" s="75">
        <v>98.647300000000001</v>
      </c>
      <c r="D3430" s="75">
        <v>92.9161</v>
      </c>
      <c r="E3430" s="75">
        <v>92.683000000000007</v>
      </c>
      <c r="F3430">
        <v>-1405.14</v>
      </c>
      <c r="G3430">
        <v>-656.1</v>
      </c>
      <c r="H3430">
        <v>-200</v>
      </c>
      <c r="I3430">
        <v>697.6</v>
      </c>
      <c r="J3430">
        <v>-1563.6400000000003</v>
      </c>
    </row>
    <row r="3431" spans="1:10" x14ac:dyDescent="0.35">
      <c r="A3431">
        <v>3415</v>
      </c>
      <c r="B3431" s="75">
        <v>89.27</v>
      </c>
      <c r="C3431" s="75">
        <v>97.57</v>
      </c>
      <c r="D3431" s="75">
        <v>92.58</v>
      </c>
      <c r="E3431" s="75">
        <v>93.34</v>
      </c>
      <c r="F3431">
        <v>938.18999999999994</v>
      </c>
      <c r="G3431">
        <v>954.90000000000009</v>
      </c>
      <c r="H3431">
        <v>474.4</v>
      </c>
      <c r="I3431">
        <v>36.1</v>
      </c>
      <c r="J3431">
        <v>2403.59</v>
      </c>
    </row>
    <row r="3432" spans="1:10" x14ac:dyDescent="0.35">
      <c r="A3432">
        <v>3416</v>
      </c>
      <c r="B3432" s="75">
        <v>89.749300000000005</v>
      </c>
      <c r="C3432" s="75">
        <v>98.453400000000002</v>
      </c>
      <c r="D3432" s="75">
        <v>93.770499999999998</v>
      </c>
      <c r="E3432" s="75">
        <v>94.7042</v>
      </c>
      <c r="F3432">
        <v>-645.81000000000006</v>
      </c>
      <c r="G3432">
        <v>-365.25</v>
      </c>
      <c r="H3432">
        <v>-1908.8</v>
      </c>
      <c r="I3432">
        <v>-1323.6000000000001</v>
      </c>
      <c r="J3432">
        <v>-4243.46</v>
      </c>
    </row>
    <row r="3433" spans="1:10" x14ac:dyDescent="0.35">
      <c r="A3433">
        <v>3417</v>
      </c>
      <c r="B3433" s="75">
        <v>89.74</v>
      </c>
      <c r="C3433" s="75">
        <v>98.77</v>
      </c>
      <c r="D3433" s="75">
        <v>93.85</v>
      </c>
      <c r="E3433" s="75">
        <v>93.26</v>
      </c>
      <c r="F3433">
        <v>-605.88</v>
      </c>
      <c r="G3433">
        <v>-845.25</v>
      </c>
      <c r="H3433">
        <v>-2075.2000000000003</v>
      </c>
      <c r="I3433">
        <v>124.8</v>
      </c>
      <c r="J3433">
        <v>-3401.53</v>
      </c>
    </row>
    <row r="3434" spans="1:10" x14ac:dyDescent="0.35">
      <c r="A3434">
        <v>3418</v>
      </c>
      <c r="B3434" s="75">
        <v>89.766099999999994</v>
      </c>
      <c r="C3434" s="75">
        <v>98.022499999999994</v>
      </c>
      <c r="D3434" s="75">
        <v>93.272300000000001</v>
      </c>
      <c r="E3434" s="75">
        <v>94.204300000000003</v>
      </c>
      <c r="F3434">
        <v>-701.25</v>
      </c>
      <c r="G3434">
        <v>281.10000000000002</v>
      </c>
      <c r="H3434">
        <v>-912.4</v>
      </c>
      <c r="I3434">
        <v>-823.69999999999993</v>
      </c>
      <c r="J3434">
        <v>-2156.25</v>
      </c>
    </row>
    <row r="3435" spans="1:10" x14ac:dyDescent="0.35">
      <c r="A3435">
        <v>3419</v>
      </c>
      <c r="B3435" s="75">
        <v>90.05</v>
      </c>
      <c r="C3435" s="75">
        <v>99.16</v>
      </c>
      <c r="D3435" s="75">
        <v>93.68</v>
      </c>
      <c r="E3435" s="75">
        <v>93.05</v>
      </c>
      <c r="F3435">
        <v>-1624.26</v>
      </c>
      <c r="G3435">
        <v>-1425.75</v>
      </c>
      <c r="H3435">
        <v>-1728.8</v>
      </c>
      <c r="I3435">
        <v>326.2</v>
      </c>
      <c r="J3435">
        <v>-4452.6100000000006</v>
      </c>
    </row>
    <row r="3436" spans="1:10" x14ac:dyDescent="0.35">
      <c r="A3436">
        <v>3420</v>
      </c>
      <c r="B3436" s="75">
        <v>89.796599999999998</v>
      </c>
      <c r="C3436" s="75">
        <v>97.046999999999997</v>
      </c>
      <c r="D3436" s="75">
        <v>92.950900000000004</v>
      </c>
      <c r="E3436" s="75">
        <v>95.412400000000005</v>
      </c>
      <c r="F3436">
        <v>-801.9</v>
      </c>
      <c r="G3436">
        <v>1744.3500000000001</v>
      </c>
      <c r="H3436">
        <v>-269.60000000000002</v>
      </c>
      <c r="I3436">
        <v>-2031.8</v>
      </c>
      <c r="J3436">
        <v>-1358.9499999999998</v>
      </c>
    </row>
    <row r="3437" spans="1:10" x14ac:dyDescent="0.35">
      <c r="A3437">
        <v>3421</v>
      </c>
      <c r="B3437" s="75">
        <v>89.43</v>
      </c>
      <c r="C3437" s="75">
        <v>99.72</v>
      </c>
      <c r="D3437" s="75">
        <v>93.29</v>
      </c>
      <c r="E3437" s="75">
        <v>92.57</v>
      </c>
      <c r="F3437">
        <v>413.16</v>
      </c>
      <c r="G3437">
        <v>-2272.0499999999997</v>
      </c>
      <c r="H3437">
        <v>-938.4</v>
      </c>
      <c r="I3437">
        <v>810.6</v>
      </c>
      <c r="J3437">
        <v>-1986.6899999999996</v>
      </c>
    </row>
    <row r="3438" spans="1:10" x14ac:dyDescent="0.35">
      <c r="A3438">
        <v>3422</v>
      </c>
      <c r="B3438" s="75">
        <v>89.226900000000001</v>
      </c>
      <c r="C3438" s="75">
        <v>97.118300000000005</v>
      </c>
      <c r="D3438" s="75">
        <v>93.057299999999998</v>
      </c>
      <c r="E3438" s="75">
        <v>91.752899999999997</v>
      </c>
      <c r="F3438">
        <v>1078.1099999999999</v>
      </c>
      <c r="G3438">
        <v>1637.3999999999999</v>
      </c>
      <c r="H3438">
        <v>-482.4</v>
      </c>
      <c r="I3438">
        <v>1627.6999999999998</v>
      </c>
      <c r="J3438">
        <v>3860.8099999999995</v>
      </c>
    </row>
    <row r="3439" spans="1:10" x14ac:dyDescent="0.35">
      <c r="A3439">
        <v>3423</v>
      </c>
      <c r="B3439" s="75">
        <v>90.31</v>
      </c>
      <c r="C3439" s="75">
        <v>96.18</v>
      </c>
      <c r="D3439" s="75">
        <v>92.85</v>
      </c>
      <c r="E3439" s="75">
        <v>93.35</v>
      </c>
      <c r="F3439">
        <v>-2488.86</v>
      </c>
      <c r="G3439">
        <v>3041.25</v>
      </c>
      <c r="H3439">
        <v>-75.399999999999991</v>
      </c>
      <c r="I3439">
        <v>35</v>
      </c>
      <c r="J3439">
        <v>511.9899999999999</v>
      </c>
    </row>
    <row r="3440" spans="1:10" x14ac:dyDescent="0.35">
      <c r="A3440">
        <v>3424</v>
      </c>
      <c r="B3440" s="75">
        <v>90.222099999999998</v>
      </c>
      <c r="C3440" s="75">
        <v>98.742900000000006</v>
      </c>
      <c r="D3440" s="75">
        <v>94.665800000000004</v>
      </c>
      <c r="E3440" s="75">
        <v>92.474000000000004</v>
      </c>
      <c r="F3440">
        <v>-2206.0499999999997</v>
      </c>
      <c r="G3440">
        <v>-799.5</v>
      </c>
      <c r="H3440">
        <v>-3699.3999999999996</v>
      </c>
      <c r="I3440">
        <v>906.59999999999991</v>
      </c>
      <c r="J3440">
        <v>-5798.3499999999985</v>
      </c>
    </row>
    <row r="3441" spans="1:10" x14ac:dyDescent="0.35">
      <c r="A3441">
        <v>3425</v>
      </c>
      <c r="B3441" s="75">
        <v>89.2</v>
      </c>
      <c r="C3441" s="75">
        <v>98.15</v>
      </c>
      <c r="D3441" s="75">
        <v>94.27</v>
      </c>
      <c r="E3441" s="75">
        <v>92.22</v>
      </c>
      <c r="F3441">
        <v>1170.51</v>
      </c>
      <c r="G3441">
        <v>94.65</v>
      </c>
      <c r="H3441">
        <v>-2905.4</v>
      </c>
      <c r="I3441">
        <v>1155.8999999999999</v>
      </c>
      <c r="J3441">
        <v>-484.34000000000015</v>
      </c>
    </row>
    <row r="3442" spans="1:10" x14ac:dyDescent="0.35">
      <c r="A3442">
        <v>3426</v>
      </c>
      <c r="B3442" s="75">
        <v>89.492400000000004</v>
      </c>
      <c r="C3442" s="75">
        <v>96.819299999999998</v>
      </c>
      <c r="D3442" s="75">
        <v>91.9589</v>
      </c>
      <c r="E3442" s="75">
        <v>94.611699999999999</v>
      </c>
      <c r="F3442">
        <v>201.95999999999998</v>
      </c>
      <c r="G3442">
        <v>2085.9</v>
      </c>
      <c r="H3442">
        <v>1714.3999999999999</v>
      </c>
      <c r="I3442">
        <v>-1231.1000000000001</v>
      </c>
      <c r="J3442">
        <v>2771.16</v>
      </c>
    </row>
    <row r="3443" spans="1:10" x14ac:dyDescent="0.35">
      <c r="A3443">
        <v>3427</v>
      </c>
      <c r="B3443" s="75">
        <v>89.29</v>
      </c>
      <c r="C3443" s="75">
        <v>98.59</v>
      </c>
      <c r="D3443" s="75">
        <v>93.65</v>
      </c>
      <c r="E3443" s="75">
        <v>90.68</v>
      </c>
      <c r="F3443">
        <v>878.79</v>
      </c>
      <c r="G3443">
        <v>-562.65</v>
      </c>
      <c r="H3443">
        <v>-1671.6</v>
      </c>
      <c r="I3443">
        <v>2704.6</v>
      </c>
      <c r="J3443">
        <v>1349.1399999999999</v>
      </c>
    </row>
    <row r="3444" spans="1:10" x14ac:dyDescent="0.35">
      <c r="A3444">
        <v>3428</v>
      </c>
      <c r="B3444" s="75">
        <v>88.905100000000004</v>
      </c>
      <c r="C3444" s="75">
        <v>98.096599999999995</v>
      </c>
      <c r="D3444" s="75">
        <v>95.558000000000007</v>
      </c>
      <c r="E3444" s="75">
        <v>94.195899999999995</v>
      </c>
      <c r="F3444">
        <v>2140.0499999999997</v>
      </c>
      <c r="G3444">
        <v>169.95</v>
      </c>
      <c r="H3444">
        <v>-5483.7999999999993</v>
      </c>
      <c r="I3444">
        <v>-815.30000000000007</v>
      </c>
      <c r="J3444">
        <v>-3989.1</v>
      </c>
    </row>
    <row r="3445" spans="1:10" x14ac:dyDescent="0.35">
      <c r="A3445">
        <v>3429</v>
      </c>
      <c r="B3445" s="75">
        <v>89.01</v>
      </c>
      <c r="C3445" s="75">
        <v>98.15</v>
      </c>
      <c r="D3445" s="75">
        <v>93.68</v>
      </c>
      <c r="E3445" s="75">
        <v>90.52</v>
      </c>
      <c r="F3445">
        <v>1795.8600000000001</v>
      </c>
      <c r="G3445">
        <v>92.7</v>
      </c>
      <c r="H3445">
        <v>-1733.6000000000001</v>
      </c>
      <c r="I3445">
        <v>2861.2000000000003</v>
      </c>
      <c r="J3445">
        <v>3016.1600000000003</v>
      </c>
    </row>
    <row r="3446" spans="1:10" x14ac:dyDescent="0.35">
      <c r="A3446">
        <v>3430</v>
      </c>
      <c r="B3446" s="75">
        <v>90.477500000000006</v>
      </c>
      <c r="C3446" s="75">
        <v>98.025099999999995</v>
      </c>
      <c r="D3446" s="75">
        <v>92.6357</v>
      </c>
      <c r="E3446" s="75">
        <v>93.884399999999999</v>
      </c>
      <c r="F3446">
        <v>-3048.8700000000003</v>
      </c>
      <c r="G3446">
        <v>277.2</v>
      </c>
      <c r="H3446">
        <v>360.8</v>
      </c>
      <c r="I3446">
        <v>-503.8</v>
      </c>
      <c r="J3446">
        <v>-2914.6700000000005</v>
      </c>
    </row>
    <row r="3447" spans="1:10" x14ac:dyDescent="0.35">
      <c r="A3447">
        <v>3431</v>
      </c>
      <c r="B3447" s="75">
        <v>90.3</v>
      </c>
      <c r="C3447" s="75">
        <v>98.95</v>
      </c>
      <c r="D3447" s="75">
        <v>94.09</v>
      </c>
      <c r="E3447" s="75">
        <v>94.34</v>
      </c>
      <c r="F3447">
        <v>-2465.4299999999998</v>
      </c>
      <c r="G3447">
        <v>-1105.5</v>
      </c>
      <c r="H3447">
        <v>-2552</v>
      </c>
      <c r="I3447">
        <v>-962.7</v>
      </c>
      <c r="J3447">
        <v>-7085.63</v>
      </c>
    </row>
    <row r="3448" spans="1:10" x14ac:dyDescent="0.35">
      <c r="A3448">
        <v>3432</v>
      </c>
      <c r="B3448" s="75">
        <v>90.011300000000006</v>
      </c>
      <c r="C3448" s="75">
        <v>96.931100000000001</v>
      </c>
      <c r="D3448" s="75">
        <v>90.7072</v>
      </c>
      <c r="E3448" s="75">
        <v>91.366</v>
      </c>
      <c r="F3448">
        <v>-1510.41</v>
      </c>
      <c r="G3448">
        <v>1918.1999999999998</v>
      </c>
      <c r="H3448">
        <v>4217.8</v>
      </c>
      <c r="I3448">
        <v>2014.6000000000001</v>
      </c>
      <c r="J3448">
        <v>6640.1900000000005</v>
      </c>
    </row>
    <row r="3449" spans="1:10" x14ac:dyDescent="0.35">
      <c r="A3449">
        <v>3433</v>
      </c>
      <c r="B3449" s="75">
        <v>89.02</v>
      </c>
      <c r="C3449" s="75">
        <v>98.3</v>
      </c>
      <c r="D3449" s="75">
        <v>92.47</v>
      </c>
      <c r="E3449" s="75">
        <v>94.52</v>
      </c>
      <c r="F3449">
        <v>1757.9099999999999</v>
      </c>
      <c r="G3449">
        <v>-129</v>
      </c>
      <c r="H3449">
        <v>697.6</v>
      </c>
      <c r="I3449">
        <v>-1137.7</v>
      </c>
      <c r="J3449">
        <v>1188.8099999999997</v>
      </c>
    </row>
    <row r="3450" spans="1:10" x14ac:dyDescent="0.35">
      <c r="A3450">
        <v>3434</v>
      </c>
      <c r="B3450" s="75">
        <v>89.501099999999994</v>
      </c>
      <c r="C3450" s="75">
        <v>98.013400000000004</v>
      </c>
      <c r="D3450" s="75">
        <v>93.031999999999996</v>
      </c>
      <c r="E3450" s="75">
        <v>93.071799999999996</v>
      </c>
      <c r="F3450">
        <v>173.25</v>
      </c>
      <c r="G3450">
        <v>294.75</v>
      </c>
      <c r="H3450">
        <v>-431.8</v>
      </c>
      <c r="I3450">
        <v>308.8</v>
      </c>
      <c r="J3450">
        <v>345</v>
      </c>
    </row>
    <row r="3451" spans="1:10" x14ac:dyDescent="0.35">
      <c r="A3451">
        <v>3435</v>
      </c>
      <c r="B3451" s="75">
        <v>89.82</v>
      </c>
      <c r="C3451" s="75">
        <v>98.2</v>
      </c>
      <c r="D3451" s="75">
        <v>93.47</v>
      </c>
      <c r="E3451" s="75">
        <v>93.49</v>
      </c>
      <c r="F3451">
        <v>-867.57</v>
      </c>
      <c r="G3451">
        <v>8.85</v>
      </c>
      <c r="H3451">
        <v>-1303.3999999999999</v>
      </c>
      <c r="I3451">
        <v>-106.2</v>
      </c>
      <c r="J3451">
        <v>-2268.3199999999997</v>
      </c>
    </row>
    <row r="3452" spans="1:10" x14ac:dyDescent="0.35">
      <c r="A3452">
        <v>3436</v>
      </c>
      <c r="B3452" s="75">
        <v>89.274799999999999</v>
      </c>
      <c r="C3452" s="75">
        <v>98.671599999999998</v>
      </c>
      <c r="D3452" s="75">
        <v>92.208200000000005</v>
      </c>
      <c r="E3452" s="75">
        <v>95.417900000000003</v>
      </c>
      <c r="F3452">
        <v>920.04</v>
      </c>
      <c r="G3452">
        <v>-692.55</v>
      </c>
      <c r="H3452">
        <v>1215.8</v>
      </c>
      <c r="I3452">
        <v>-2037.3000000000002</v>
      </c>
      <c r="J3452">
        <v>-594.01000000000022</v>
      </c>
    </row>
    <row r="3453" spans="1:10" x14ac:dyDescent="0.35">
      <c r="A3453">
        <v>3437</v>
      </c>
      <c r="B3453" s="75">
        <v>89.41</v>
      </c>
      <c r="C3453" s="75">
        <v>97.3</v>
      </c>
      <c r="D3453" s="75">
        <v>91.42</v>
      </c>
      <c r="E3453" s="75">
        <v>92.82</v>
      </c>
      <c r="F3453">
        <v>476.52</v>
      </c>
      <c r="G3453">
        <v>1361.3999999999999</v>
      </c>
      <c r="H3453">
        <v>2794.4</v>
      </c>
      <c r="I3453">
        <v>556.6</v>
      </c>
      <c r="J3453">
        <v>5188.92</v>
      </c>
    </row>
    <row r="3454" spans="1:10" x14ac:dyDescent="0.35">
      <c r="A3454">
        <v>3438</v>
      </c>
      <c r="B3454" s="75">
        <v>89.636200000000002</v>
      </c>
      <c r="C3454" s="75">
        <v>98.053200000000004</v>
      </c>
      <c r="D3454" s="75">
        <v>91.701400000000007</v>
      </c>
      <c r="E3454" s="75">
        <v>94.899299999999997</v>
      </c>
      <c r="F3454">
        <v>-272.58000000000004</v>
      </c>
      <c r="G3454">
        <v>235.05</v>
      </c>
      <c r="H3454">
        <v>2229.4</v>
      </c>
      <c r="I3454">
        <v>-1518.7</v>
      </c>
      <c r="J3454">
        <v>673.16999999999985</v>
      </c>
    </row>
    <row r="3455" spans="1:10" x14ac:dyDescent="0.35">
      <c r="A3455">
        <v>3439</v>
      </c>
      <c r="B3455" s="75">
        <v>90.03</v>
      </c>
      <c r="C3455" s="75">
        <v>97.47</v>
      </c>
      <c r="D3455" s="75">
        <v>94.3</v>
      </c>
      <c r="E3455" s="75">
        <v>99.72</v>
      </c>
      <c r="F3455">
        <v>-1559.5800000000002</v>
      </c>
      <c r="G3455">
        <v>1107.9000000000001</v>
      </c>
      <c r="H3455">
        <v>-2974</v>
      </c>
      <c r="I3455">
        <v>-6338.5999999999995</v>
      </c>
      <c r="J3455">
        <v>-9764.2799999999988</v>
      </c>
    </row>
    <row r="3456" spans="1:10" x14ac:dyDescent="0.35">
      <c r="A3456">
        <v>3440</v>
      </c>
      <c r="B3456" s="75">
        <v>89.538300000000007</v>
      </c>
      <c r="C3456" s="75">
        <v>97.373599999999996</v>
      </c>
      <c r="D3456" s="75">
        <v>93.742800000000003</v>
      </c>
      <c r="E3456" s="75">
        <v>93.534199999999998</v>
      </c>
      <c r="F3456">
        <v>50.489999999999995</v>
      </c>
      <c r="G3456">
        <v>1254.45</v>
      </c>
      <c r="H3456">
        <v>-1853.3999999999999</v>
      </c>
      <c r="I3456">
        <v>-153.6</v>
      </c>
      <c r="J3456">
        <v>-702.05999999999983</v>
      </c>
    </row>
    <row r="3457" spans="1:10" x14ac:dyDescent="0.35">
      <c r="A3457">
        <v>3441</v>
      </c>
      <c r="B3457" s="75">
        <v>89.77</v>
      </c>
      <c r="C3457" s="75">
        <v>99.44</v>
      </c>
      <c r="D3457" s="75">
        <v>93.4</v>
      </c>
      <c r="E3457" s="75">
        <v>91.51</v>
      </c>
      <c r="F3457">
        <v>-708.83999999999992</v>
      </c>
      <c r="G3457">
        <v>-1850.55</v>
      </c>
      <c r="H3457">
        <v>-1166</v>
      </c>
      <c r="I3457">
        <v>1873.3</v>
      </c>
      <c r="J3457">
        <v>-1852.09</v>
      </c>
    </row>
    <row r="3458" spans="1:10" x14ac:dyDescent="0.35">
      <c r="A3458">
        <v>3442</v>
      </c>
      <c r="B3458" s="75">
        <v>89.397400000000005</v>
      </c>
      <c r="C3458" s="75">
        <v>97.000900000000001</v>
      </c>
      <c r="D3458" s="75">
        <v>93.203199999999995</v>
      </c>
      <c r="E3458" s="75">
        <v>93.347099999999998</v>
      </c>
      <c r="F3458">
        <v>515.46</v>
      </c>
      <c r="G3458">
        <v>1813.5</v>
      </c>
      <c r="H3458">
        <v>-774.2</v>
      </c>
      <c r="I3458">
        <v>33.5</v>
      </c>
      <c r="J3458">
        <v>1588.26</v>
      </c>
    </row>
    <row r="3459" spans="1:10" x14ac:dyDescent="0.35">
      <c r="A3459">
        <v>3443</v>
      </c>
      <c r="B3459" s="75">
        <v>88.33</v>
      </c>
      <c r="C3459" s="75">
        <v>96.52</v>
      </c>
      <c r="D3459" s="75">
        <v>92.95</v>
      </c>
      <c r="E3459" s="75">
        <v>94.53</v>
      </c>
      <c r="F3459">
        <v>4026.66</v>
      </c>
      <c r="G3459">
        <v>2539.35</v>
      </c>
      <c r="H3459">
        <v>-277.60000000000002</v>
      </c>
      <c r="I3459">
        <v>-1151.5999999999999</v>
      </c>
      <c r="J3459">
        <v>5136.8099999999995</v>
      </c>
    </row>
    <row r="3460" spans="1:10" x14ac:dyDescent="0.35">
      <c r="A3460">
        <v>3444</v>
      </c>
      <c r="B3460" s="75">
        <v>89.6798</v>
      </c>
      <c r="C3460" s="75">
        <v>97.769499999999994</v>
      </c>
      <c r="D3460" s="75">
        <v>92.735600000000005</v>
      </c>
      <c r="E3460" s="75">
        <v>95.993399999999994</v>
      </c>
      <c r="F3460">
        <v>-416.46000000000004</v>
      </c>
      <c r="G3460">
        <v>660.6</v>
      </c>
      <c r="H3460">
        <v>161</v>
      </c>
      <c r="I3460">
        <v>-2612.8000000000002</v>
      </c>
      <c r="J3460">
        <v>-2207.6600000000003</v>
      </c>
    </row>
    <row r="3461" spans="1:10" x14ac:dyDescent="0.35">
      <c r="A3461">
        <v>3445</v>
      </c>
      <c r="B3461" s="75">
        <v>89.39</v>
      </c>
      <c r="C3461" s="75">
        <v>98.83</v>
      </c>
      <c r="D3461" s="75">
        <v>91.43</v>
      </c>
      <c r="E3461" s="75">
        <v>94.83</v>
      </c>
      <c r="F3461">
        <v>552.75</v>
      </c>
      <c r="G3461">
        <v>-936.44999999999993</v>
      </c>
      <c r="H3461">
        <v>2764.6000000000004</v>
      </c>
      <c r="I3461">
        <v>-1452.3999999999999</v>
      </c>
      <c r="J3461">
        <v>928.50000000000068</v>
      </c>
    </row>
    <row r="3462" spans="1:10" x14ac:dyDescent="0.35">
      <c r="A3462">
        <v>3446</v>
      </c>
      <c r="B3462" s="75">
        <v>89.713899999999995</v>
      </c>
      <c r="C3462" s="75">
        <v>99.243300000000005</v>
      </c>
      <c r="D3462" s="75">
        <v>92.35</v>
      </c>
      <c r="E3462" s="75">
        <v>93.805700000000002</v>
      </c>
      <c r="F3462">
        <v>-528.99</v>
      </c>
      <c r="G3462">
        <v>-1550.1000000000001</v>
      </c>
      <c r="H3462">
        <v>932.2</v>
      </c>
      <c r="I3462">
        <v>-425.09999999999997</v>
      </c>
      <c r="J3462">
        <v>-1571.99</v>
      </c>
    </row>
    <row r="3463" spans="1:10" x14ac:dyDescent="0.35">
      <c r="A3463">
        <v>3447</v>
      </c>
      <c r="B3463" s="75">
        <v>89.79</v>
      </c>
      <c r="C3463" s="75">
        <v>98.38</v>
      </c>
      <c r="D3463" s="75">
        <v>92.95</v>
      </c>
      <c r="E3463" s="75">
        <v>94.9</v>
      </c>
      <c r="F3463">
        <v>-784.41</v>
      </c>
      <c r="G3463">
        <v>-259.95</v>
      </c>
      <c r="H3463">
        <v>-264.2</v>
      </c>
      <c r="I3463">
        <v>-1517.9</v>
      </c>
      <c r="J3463">
        <v>-2826.46</v>
      </c>
    </row>
    <row r="3464" spans="1:10" x14ac:dyDescent="0.35">
      <c r="A3464">
        <v>3448</v>
      </c>
      <c r="B3464" s="75">
        <v>89.845200000000006</v>
      </c>
      <c r="C3464" s="75">
        <v>98.558099999999996</v>
      </c>
      <c r="D3464" s="75">
        <v>92.251900000000006</v>
      </c>
      <c r="E3464" s="75">
        <v>93.419499999999999</v>
      </c>
      <c r="F3464">
        <v>-962.28000000000009</v>
      </c>
      <c r="G3464">
        <v>-522.30000000000007</v>
      </c>
      <c r="H3464">
        <v>1128.4000000000001</v>
      </c>
      <c r="I3464">
        <v>-38.9</v>
      </c>
      <c r="J3464">
        <v>-395.08000000000004</v>
      </c>
    </row>
    <row r="3465" spans="1:10" x14ac:dyDescent="0.35">
      <c r="A3465">
        <v>3449</v>
      </c>
      <c r="B3465" s="75">
        <v>89.14</v>
      </c>
      <c r="C3465" s="75">
        <v>98.03</v>
      </c>
      <c r="D3465" s="75">
        <v>91.6</v>
      </c>
      <c r="E3465" s="75">
        <v>90.86</v>
      </c>
      <c r="F3465">
        <v>1375.77</v>
      </c>
      <c r="G3465">
        <v>267.60000000000002</v>
      </c>
      <c r="H3465">
        <v>2426.8000000000002</v>
      </c>
      <c r="I3465">
        <v>2524.9</v>
      </c>
      <c r="J3465">
        <v>6595.07</v>
      </c>
    </row>
    <row r="3466" spans="1:10" x14ac:dyDescent="0.35">
      <c r="A3466">
        <v>3450</v>
      </c>
      <c r="B3466" s="75">
        <v>88.872</v>
      </c>
      <c r="C3466" s="75">
        <v>97.134299999999996</v>
      </c>
      <c r="D3466" s="75">
        <v>91.885499999999993</v>
      </c>
      <c r="E3466" s="75">
        <v>95.762699999999995</v>
      </c>
      <c r="F3466">
        <v>2249.2799999999997</v>
      </c>
      <c r="G3466">
        <v>1613.3999999999999</v>
      </c>
      <c r="H3466">
        <v>1861.2</v>
      </c>
      <c r="I3466">
        <v>-2382.1</v>
      </c>
      <c r="J3466">
        <v>3341.7799999999993</v>
      </c>
    </row>
    <row r="3467" spans="1:10" x14ac:dyDescent="0.35">
      <c r="A3467">
        <v>3451</v>
      </c>
      <c r="B3467" s="75">
        <v>88.94</v>
      </c>
      <c r="C3467" s="75">
        <v>99.13</v>
      </c>
      <c r="D3467" s="75">
        <v>94.63</v>
      </c>
      <c r="E3467" s="75">
        <v>93.39</v>
      </c>
      <c r="F3467">
        <v>2030.1599999999999</v>
      </c>
      <c r="G3467">
        <v>-1382.3999999999999</v>
      </c>
      <c r="H3467">
        <v>-3627</v>
      </c>
      <c r="I3467">
        <v>-8.1</v>
      </c>
      <c r="J3467">
        <v>-2987.3399999999997</v>
      </c>
    </row>
    <row r="3468" spans="1:10" x14ac:dyDescent="0.35">
      <c r="A3468">
        <v>3452</v>
      </c>
      <c r="B3468" s="75">
        <v>89.626199999999997</v>
      </c>
      <c r="C3468" s="75">
        <v>96.293499999999995</v>
      </c>
      <c r="D3468" s="75">
        <v>91.556299999999993</v>
      </c>
      <c r="E3468" s="75">
        <v>93.787099999999995</v>
      </c>
      <c r="F3468">
        <v>-239.57999999999998</v>
      </c>
      <c r="G3468">
        <v>2874.6000000000004</v>
      </c>
      <c r="H3468">
        <v>2519.6</v>
      </c>
      <c r="I3468">
        <v>-406.5</v>
      </c>
      <c r="J3468">
        <v>4748.1200000000008</v>
      </c>
    </row>
    <row r="3469" spans="1:10" x14ac:dyDescent="0.35">
      <c r="A3469">
        <v>3453</v>
      </c>
      <c r="B3469" s="75">
        <v>89.76</v>
      </c>
      <c r="C3469" s="75">
        <v>98.05</v>
      </c>
      <c r="D3469" s="75">
        <v>94.26</v>
      </c>
      <c r="E3469" s="75">
        <v>92.72</v>
      </c>
      <c r="F3469">
        <v>-689.37</v>
      </c>
      <c r="G3469">
        <v>234.45</v>
      </c>
      <c r="H3469">
        <v>-2888.6</v>
      </c>
      <c r="I3469">
        <v>665</v>
      </c>
      <c r="J3469">
        <v>-2678.52</v>
      </c>
    </row>
    <row r="3470" spans="1:10" x14ac:dyDescent="0.35">
      <c r="A3470">
        <v>3454</v>
      </c>
      <c r="B3470" s="75">
        <v>89.827299999999994</v>
      </c>
      <c r="C3470" s="75">
        <v>98.563999999999993</v>
      </c>
      <c r="D3470" s="75">
        <v>91.907700000000006</v>
      </c>
      <c r="E3470" s="75">
        <v>92.933700000000002</v>
      </c>
      <c r="F3470">
        <v>-903.21</v>
      </c>
      <c r="G3470">
        <v>-531.15000000000009</v>
      </c>
      <c r="H3470">
        <v>1816.8</v>
      </c>
      <c r="I3470">
        <v>446.90000000000003</v>
      </c>
      <c r="J3470">
        <v>829.33999999999992</v>
      </c>
    </row>
    <row r="3471" spans="1:10" x14ac:dyDescent="0.35">
      <c r="A3471">
        <v>3455</v>
      </c>
      <c r="B3471" s="75">
        <v>90.15</v>
      </c>
      <c r="C3471" s="75">
        <v>95.95</v>
      </c>
      <c r="D3471" s="75">
        <v>93.12</v>
      </c>
      <c r="E3471" s="75">
        <v>94.42</v>
      </c>
      <c r="F3471">
        <v>-1969.77</v>
      </c>
      <c r="G3471">
        <v>3397.0499999999997</v>
      </c>
      <c r="H3471">
        <v>-608.19999999999993</v>
      </c>
      <c r="I3471">
        <v>-1035.6000000000001</v>
      </c>
      <c r="J3471">
        <v>-216.52000000000032</v>
      </c>
    </row>
    <row r="3472" spans="1:10" x14ac:dyDescent="0.35">
      <c r="A3472">
        <v>3456</v>
      </c>
      <c r="B3472" s="75">
        <v>90.147099999999995</v>
      </c>
      <c r="C3472" s="75">
        <v>98.386300000000006</v>
      </c>
      <c r="D3472" s="75">
        <v>92.431100000000001</v>
      </c>
      <c r="E3472" s="75">
        <v>97.386099999999999</v>
      </c>
      <c r="F3472">
        <v>-1958.5500000000002</v>
      </c>
      <c r="G3472">
        <v>-264.60000000000002</v>
      </c>
      <c r="H3472">
        <v>770</v>
      </c>
      <c r="I3472">
        <v>-4005.4999999999995</v>
      </c>
      <c r="J3472">
        <v>-5458.65</v>
      </c>
    </row>
    <row r="3473" spans="1:10" x14ac:dyDescent="0.35">
      <c r="A3473">
        <v>3457</v>
      </c>
      <c r="B3473" s="75">
        <v>89.9</v>
      </c>
      <c r="C3473" s="75">
        <v>97.7</v>
      </c>
      <c r="D3473" s="75">
        <v>92.7</v>
      </c>
      <c r="E3473" s="75">
        <v>93.49</v>
      </c>
      <c r="F3473">
        <v>-1131.9000000000001</v>
      </c>
      <c r="G3473">
        <v>765.15</v>
      </c>
      <c r="H3473">
        <v>241.79999999999998</v>
      </c>
      <c r="I3473">
        <v>-112.9</v>
      </c>
      <c r="J3473">
        <v>-237.85000000000014</v>
      </c>
    </row>
    <row r="3474" spans="1:10" x14ac:dyDescent="0.35">
      <c r="A3474">
        <v>3458</v>
      </c>
      <c r="B3474" s="75">
        <v>89.071600000000004</v>
      </c>
      <c r="C3474" s="75">
        <v>99.542100000000005</v>
      </c>
      <c r="D3474" s="75">
        <v>92.787099999999995</v>
      </c>
      <c r="E3474" s="75">
        <v>94.224400000000003</v>
      </c>
      <c r="F3474">
        <v>1590.6</v>
      </c>
      <c r="G3474">
        <v>-1998.3000000000002</v>
      </c>
      <c r="H3474">
        <v>58</v>
      </c>
      <c r="I3474">
        <v>-843.8</v>
      </c>
      <c r="J3474">
        <v>-1193.5000000000002</v>
      </c>
    </row>
    <row r="3475" spans="1:10" x14ac:dyDescent="0.35">
      <c r="A3475">
        <v>3459</v>
      </c>
      <c r="B3475" s="75">
        <v>89.76</v>
      </c>
      <c r="C3475" s="75">
        <v>99.39</v>
      </c>
      <c r="D3475" s="75">
        <v>92.69</v>
      </c>
      <c r="E3475" s="75">
        <v>90.93</v>
      </c>
      <c r="F3475">
        <v>-689.04000000000008</v>
      </c>
      <c r="G3475">
        <v>-1763.85</v>
      </c>
      <c r="H3475">
        <v>260.60000000000002</v>
      </c>
      <c r="I3475">
        <v>2452.4</v>
      </c>
      <c r="J3475">
        <v>260.11000000000013</v>
      </c>
    </row>
    <row r="3476" spans="1:10" x14ac:dyDescent="0.35">
      <c r="A3476">
        <v>3460</v>
      </c>
      <c r="B3476" s="75">
        <v>90.040800000000004</v>
      </c>
      <c r="C3476" s="75">
        <v>99.443899999999999</v>
      </c>
      <c r="D3476" s="75">
        <v>93.446399999999997</v>
      </c>
      <c r="E3476" s="75">
        <v>94.377200000000002</v>
      </c>
      <c r="F3476">
        <v>-1607.76</v>
      </c>
      <c r="G3476">
        <v>-1851</v>
      </c>
      <c r="H3476">
        <v>-1260.5999999999999</v>
      </c>
      <c r="I3476">
        <v>-996.6</v>
      </c>
      <c r="J3476">
        <v>-5715.9600000000009</v>
      </c>
    </row>
    <row r="3477" spans="1:10" x14ac:dyDescent="0.35">
      <c r="A3477">
        <v>3461</v>
      </c>
      <c r="B3477" s="75">
        <v>89.32</v>
      </c>
      <c r="C3477" s="75">
        <v>97.08</v>
      </c>
      <c r="D3477" s="75">
        <v>93.26</v>
      </c>
      <c r="E3477" s="75">
        <v>92.59</v>
      </c>
      <c r="F3477">
        <v>775.83</v>
      </c>
      <c r="G3477">
        <v>1693.95</v>
      </c>
      <c r="H3477">
        <v>-887.80000000000007</v>
      </c>
      <c r="I3477">
        <v>793.1</v>
      </c>
      <c r="J3477">
        <v>2375.08</v>
      </c>
    </row>
    <row r="3478" spans="1:10" x14ac:dyDescent="0.35">
      <c r="A3478">
        <v>3462</v>
      </c>
      <c r="B3478" s="75">
        <v>88.842699999999994</v>
      </c>
      <c r="C3478" s="75">
        <v>98.734499999999997</v>
      </c>
      <c r="D3478" s="75">
        <v>92.2179</v>
      </c>
      <c r="E3478" s="75">
        <v>93.483500000000006</v>
      </c>
      <c r="F3478">
        <v>2345.9699999999998</v>
      </c>
      <c r="G3478">
        <v>-786.9</v>
      </c>
      <c r="H3478">
        <v>1196.3999999999999</v>
      </c>
      <c r="I3478">
        <v>-102.9</v>
      </c>
      <c r="J3478">
        <v>2652.5699999999993</v>
      </c>
    </row>
    <row r="3479" spans="1:10" x14ac:dyDescent="0.35">
      <c r="A3479">
        <v>3463</v>
      </c>
      <c r="B3479" s="75">
        <v>89.85</v>
      </c>
      <c r="C3479" s="75">
        <v>98.2</v>
      </c>
      <c r="D3479" s="75">
        <v>94.18</v>
      </c>
      <c r="E3479" s="75">
        <v>93.43</v>
      </c>
      <c r="F3479">
        <v>-976.8</v>
      </c>
      <c r="G3479">
        <v>14.25</v>
      </c>
      <c r="H3479">
        <v>-2735.6</v>
      </c>
      <c r="I3479">
        <v>-53.400000000000006</v>
      </c>
      <c r="J3479">
        <v>-3751.5499999999997</v>
      </c>
    </row>
    <row r="3480" spans="1:10" x14ac:dyDescent="0.35">
      <c r="A3480">
        <v>3464</v>
      </c>
      <c r="B3480" s="75">
        <v>90.074100000000001</v>
      </c>
      <c r="C3480" s="75">
        <v>96.390600000000006</v>
      </c>
      <c r="D3480" s="75">
        <v>92.247900000000001</v>
      </c>
      <c r="E3480" s="75">
        <v>96.802499999999995</v>
      </c>
      <c r="F3480">
        <v>-1717.6499999999999</v>
      </c>
      <c r="G3480">
        <v>2728.95</v>
      </c>
      <c r="H3480">
        <v>1136.4000000000001</v>
      </c>
      <c r="I3480">
        <v>-3421.9</v>
      </c>
      <c r="J3480">
        <v>-1274.2000000000003</v>
      </c>
    </row>
    <row r="3481" spans="1:10" x14ac:dyDescent="0.35">
      <c r="A3481">
        <v>3465</v>
      </c>
      <c r="B3481" s="75">
        <v>89.14</v>
      </c>
      <c r="C3481" s="75">
        <v>97.41</v>
      </c>
      <c r="D3481" s="75">
        <v>94.11</v>
      </c>
      <c r="E3481" s="75">
        <v>91.73</v>
      </c>
      <c r="F3481">
        <v>1356.96</v>
      </c>
      <c r="G3481">
        <v>1193.25</v>
      </c>
      <c r="H3481">
        <v>-2581.6</v>
      </c>
      <c r="I3481">
        <v>1647.7</v>
      </c>
      <c r="J3481">
        <v>1616.3100000000002</v>
      </c>
    </row>
    <row r="3482" spans="1:10" x14ac:dyDescent="0.35">
      <c r="A3482">
        <v>3466</v>
      </c>
      <c r="B3482" s="75">
        <v>89.037899999999993</v>
      </c>
      <c r="C3482" s="75">
        <v>98.268799999999999</v>
      </c>
      <c r="D3482" s="75">
        <v>91.988200000000006</v>
      </c>
      <c r="E3482" s="75">
        <v>92.762299999999996</v>
      </c>
      <c r="F3482">
        <v>1701.8100000000002</v>
      </c>
      <c r="G3482">
        <v>-88.350000000000009</v>
      </c>
      <c r="H3482">
        <v>1655.8</v>
      </c>
      <c r="I3482">
        <v>618.29999999999995</v>
      </c>
      <c r="J3482">
        <v>3887.5600000000004</v>
      </c>
    </row>
    <row r="3483" spans="1:10" x14ac:dyDescent="0.35">
      <c r="A3483">
        <v>3467</v>
      </c>
      <c r="B3483" s="75">
        <v>90.1</v>
      </c>
      <c r="C3483" s="75">
        <v>99.27</v>
      </c>
      <c r="D3483" s="75">
        <v>92.9</v>
      </c>
      <c r="E3483" s="75">
        <v>96.35</v>
      </c>
      <c r="F3483">
        <v>-1790.9099999999999</v>
      </c>
      <c r="G3483">
        <v>-1587.45</v>
      </c>
      <c r="H3483">
        <v>-162.39999999999998</v>
      </c>
      <c r="I3483">
        <v>-2970.1</v>
      </c>
      <c r="J3483">
        <v>-6510.86</v>
      </c>
    </row>
    <row r="3484" spans="1:10" x14ac:dyDescent="0.35">
      <c r="A3484">
        <v>3468</v>
      </c>
      <c r="B3484" s="75">
        <v>89.121700000000004</v>
      </c>
      <c r="C3484" s="75">
        <v>98.121300000000005</v>
      </c>
      <c r="D3484" s="75">
        <v>93.202699999999993</v>
      </c>
      <c r="E3484" s="75">
        <v>95.681600000000003</v>
      </c>
      <c r="F3484">
        <v>1425.27</v>
      </c>
      <c r="G3484">
        <v>132.9</v>
      </c>
      <c r="H3484">
        <v>-773.2</v>
      </c>
      <c r="I3484">
        <v>-2301</v>
      </c>
      <c r="J3484">
        <v>-1516.03</v>
      </c>
    </row>
    <row r="3485" spans="1:10" x14ac:dyDescent="0.35">
      <c r="A3485">
        <v>3469</v>
      </c>
      <c r="B3485" s="75">
        <v>89.43</v>
      </c>
      <c r="C3485" s="75">
        <v>98.73</v>
      </c>
      <c r="D3485" s="75">
        <v>93.51</v>
      </c>
      <c r="E3485" s="75">
        <v>93.34</v>
      </c>
      <c r="F3485">
        <v>411.51</v>
      </c>
      <c r="G3485">
        <v>-776.7</v>
      </c>
      <c r="H3485">
        <v>-1384.8</v>
      </c>
      <c r="I3485">
        <v>36.200000000000003</v>
      </c>
      <c r="J3485">
        <v>-1713.79</v>
      </c>
    </row>
    <row r="3486" spans="1:10" x14ac:dyDescent="0.35">
      <c r="A3486">
        <v>3470</v>
      </c>
      <c r="B3486" s="75">
        <v>89.356499999999997</v>
      </c>
      <c r="C3486" s="75">
        <v>97.795500000000004</v>
      </c>
      <c r="D3486" s="75">
        <v>93.412599999999998</v>
      </c>
      <c r="E3486" s="75">
        <v>93.642399999999995</v>
      </c>
      <c r="F3486">
        <v>650.42999999999995</v>
      </c>
      <c r="G3486">
        <v>621.6</v>
      </c>
      <c r="H3486">
        <v>-1193</v>
      </c>
      <c r="I3486">
        <v>-261.79999999999995</v>
      </c>
      <c r="J3486">
        <v>-182.76999999999998</v>
      </c>
    </row>
    <row r="3487" spans="1:10" x14ac:dyDescent="0.35">
      <c r="A3487">
        <v>3471</v>
      </c>
      <c r="B3487" s="75">
        <v>89.54</v>
      </c>
      <c r="C3487" s="75">
        <v>99.04</v>
      </c>
      <c r="D3487" s="75">
        <v>93.89</v>
      </c>
      <c r="E3487" s="75">
        <v>91.97</v>
      </c>
      <c r="F3487">
        <v>34.650000000000006</v>
      </c>
      <c r="G3487">
        <v>-1242.9000000000001</v>
      </c>
      <c r="H3487">
        <v>-2144.4</v>
      </c>
      <c r="I3487">
        <v>1413.4</v>
      </c>
      <c r="J3487">
        <v>-1939.25</v>
      </c>
    </row>
    <row r="3488" spans="1:10" x14ac:dyDescent="0.35">
      <c r="A3488">
        <v>3472</v>
      </c>
      <c r="B3488" s="75">
        <v>88.782600000000002</v>
      </c>
      <c r="C3488" s="75">
        <v>97.257400000000004</v>
      </c>
      <c r="D3488" s="75">
        <v>92.349800000000002</v>
      </c>
      <c r="E3488" s="75">
        <v>94.144999999999996</v>
      </c>
      <c r="F3488">
        <v>2544.3000000000002</v>
      </c>
      <c r="G3488">
        <v>1428.75</v>
      </c>
      <c r="H3488">
        <v>932.6</v>
      </c>
      <c r="I3488">
        <v>-764.4</v>
      </c>
      <c r="J3488">
        <v>4141.2500000000009</v>
      </c>
    </row>
    <row r="3489" spans="1:10" x14ac:dyDescent="0.35">
      <c r="A3489">
        <v>3473</v>
      </c>
      <c r="B3489" s="75">
        <v>90.32</v>
      </c>
      <c r="C3489" s="75">
        <v>96.9</v>
      </c>
      <c r="D3489" s="75">
        <v>92.17</v>
      </c>
      <c r="E3489" s="75">
        <v>94.28</v>
      </c>
      <c r="F3489">
        <v>-2528.13</v>
      </c>
      <c r="G3489">
        <v>1964.7</v>
      </c>
      <c r="H3489">
        <v>1300.8</v>
      </c>
      <c r="I3489">
        <v>-902.80000000000007</v>
      </c>
      <c r="J3489">
        <v>-165.43000000000018</v>
      </c>
    </row>
    <row r="3490" spans="1:10" x14ac:dyDescent="0.35">
      <c r="A3490">
        <v>3474</v>
      </c>
      <c r="B3490" s="75">
        <v>90.832400000000007</v>
      </c>
      <c r="C3490" s="75">
        <v>98.940799999999996</v>
      </c>
      <c r="D3490" s="75">
        <v>94.172200000000004</v>
      </c>
      <c r="E3490" s="75">
        <v>94.898300000000006</v>
      </c>
      <c r="F3490">
        <v>-4220.04</v>
      </c>
      <c r="G3490">
        <v>-1096.3499999999999</v>
      </c>
      <c r="H3490">
        <v>-2712.2000000000003</v>
      </c>
      <c r="I3490">
        <v>-1517.7</v>
      </c>
      <c r="J3490">
        <v>-9546.2900000000009</v>
      </c>
    </row>
    <row r="3491" spans="1:10" x14ac:dyDescent="0.35">
      <c r="A3491">
        <v>3475</v>
      </c>
      <c r="B3491" s="75">
        <v>89.55</v>
      </c>
      <c r="C3491" s="75">
        <v>98.96</v>
      </c>
      <c r="D3491" s="75">
        <v>92.3</v>
      </c>
      <c r="E3491" s="75">
        <v>91.94</v>
      </c>
      <c r="F3491">
        <v>5.28</v>
      </c>
      <c r="G3491">
        <v>-1118.25</v>
      </c>
      <c r="H3491">
        <v>1027</v>
      </c>
      <c r="I3491">
        <v>1436.3999999999999</v>
      </c>
      <c r="J3491">
        <v>1350.4299999999998</v>
      </c>
    </row>
    <row r="3492" spans="1:10" x14ac:dyDescent="0.35">
      <c r="A3492">
        <v>3476</v>
      </c>
      <c r="B3492" s="75">
        <v>89.726900000000001</v>
      </c>
      <c r="C3492" s="75">
        <v>96.36</v>
      </c>
      <c r="D3492" s="75">
        <v>93.555300000000003</v>
      </c>
      <c r="E3492" s="75">
        <v>92.2453</v>
      </c>
      <c r="F3492">
        <v>-571.89</v>
      </c>
      <c r="G3492">
        <v>2774.8500000000004</v>
      </c>
      <c r="H3492">
        <v>-1478.3999999999999</v>
      </c>
      <c r="I3492">
        <v>1135.3</v>
      </c>
      <c r="J3492">
        <v>1859.8600000000006</v>
      </c>
    </row>
    <row r="3493" spans="1:10" x14ac:dyDescent="0.35">
      <c r="A3493">
        <v>3477</v>
      </c>
      <c r="B3493" s="75">
        <v>89.51</v>
      </c>
      <c r="C3493" s="75">
        <v>97.53</v>
      </c>
      <c r="D3493" s="75">
        <v>92.12</v>
      </c>
      <c r="E3493" s="75">
        <v>93.6</v>
      </c>
      <c r="F3493">
        <v>133.65</v>
      </c>
      <c r="G3493">
        <v>1017.1500000000001</v>
      </c>
      <c r="H3493">
        <v>1394.6000000000001</v>
      </c>
      <c r="I3493">
        <v>-216.6</v>
      </c>
      <c r="J3493">
        <v>2328.8000000000006</v>
      </c>
    </row>
    <row r="3494" spans="1:10" x14ac:dyDescent="0.35">
      <c r="A3494">
        <v>3478</v>
      </c>
      <c r="B3494" s="75">
        <v>89.261700000000005</v>
      </c>
      <c r="C3494" s="75">
        <v>97.115300000000005</v>
      </c>
      <c r="D3494" s="75">
        <v>92.483400000000003</v>
      </c>
      <c r="E3494" s="75">
        <v>94.866299999999995</v>
      </c>
      <c r="F3494">
        <v>963.27</v>
      </c>
      <c r="G3494">
        <v>1641.9</v>
      </c>
      <c r="H3494">
        <v>665.4</v>
      </c>
      <c r="I3494">
        <v>-1485.7</v>
      </c>
      <c r="J3494">
        <v>1784.8700000000001</v>
      </c>
    </row>
    <row r="3495" spans="1:10" x14ac:dyDescent="0.35">
      <c r="A3495">
        <v>3479</v>
      </c>
      <c r="B3495" s="75">
        <v>89.82</v>
      </c>
      <c r="C3495" s="75">
        <v>99.61</v>
      </c>
      <c r="D3495" s="75">
        <v>91.8</v>
      </c>
      <c r="E3495" s="75">
        <v>93.3</v>
      </c>
      <c r="F3495">
        <v>-887.04</v>
      </c>
      <c r="G3495">
        <v>-2095.35</v>
      </c>
      <c r="H3495">
        <v>2040.6</v>
      </c>
      <c r="I3495">
        <v>82</v>
      </c>
      <c r="J3495">
        <v>-859.79</v>
      </c>
    </row>
    <row r="3496" spans="1:10" x14ac:dyDescent="0.35">
      <c r="A3496">
        <v>3480</v>
      </c>
      <c r="B3496" s="75">
        <v>89.572500000000005</v>
      </c>
      <c r="C3496" s="75">
        <v>97.638099999999994</v>
      </c>
      <c r="D3496" s="75">
        <v>93.906499999999994</v>
      </c>
      <c r="E3496" s="75">
        <v>95.326300000000003</v>
      </c>
      <c r="F3496">
        <v>-62.37</v>
      </c>
      <c r="G3496">
        <v>857.69999999999993</v>
      </c>
      <c r="H3496">
        <v>-2180.8000000000002</v>
      </c>
      <c r="I3496">
        <v>-1945.7</v>
      </c>
      <c r="J3496">
        <v>-3331.17</v>
      </c>
    </row>
    <row r="3497" spans="1:10" x14ac:dyDescent="0.35">
      <c r="A3497">
        <v>3481</v>
      </c>
      <c r="B3497" s="75">
        <v>89.85</v>
      </c>
      <c r="C3497" s="75">
        <v>99.52</v>
      </c>
      <c r="D3497" s="75">
        <v>93.41</v>
      </c>
      <c r="E3497" s="75">
        <v>93.34</v>
      </c>
      <c r="F3497">
        <v>-989.34</v>
      </c>
      <c r="G3497">
        <v>-1962.75</v>
      </c>
      <c r="H3497">
        <v>-1196.6000000000001</v>
      </c>
      <c r="I3497">
        <v>40.300000000000004</v>
      </c>
      <c r="J3497">
        <v>-4108.3900000000003</v>
      </c>
    </row>
    <row r="3498" spans="1:10" x14ac:dyDescent="0.35">
      <c r="A3498">
        <v>3482</v>
      </c>
      <c r="B3498" s="75">
        <v>89.011200000000002</v>
      </c>
      <c r="C3498" s="75">
        <v>99.036299999999997</v>
      </c>
      <c r="D3498" s="75">
        <v>92.602199999999996</v>
      </c>
      <c r="E3498" s="75">
        <v>93.137100000000004</v>
      </c>
      <c r="F3498">
        <v>1789.92</v>
      </c>
      <c r="G3498">
        <v>-1239.6000000000001</v>
      </c>
      <c r="H3498">
        <v>427.8</v>
      </c>
      <c r="I3498">
        <v>243.5</v>
      </c>
      <c r="J3498">
        <v>1221.6199999999999</v>
      </c>
    </row>
    <row r="3499" spans="1:10" x14ac:dyDescent="0.35">
      <c r="A3499">
        <v>3483</v>
      </c>
      <c r="B3499" s="75">
        <v>89.92</v>
      </c>
      <c r="C3499" s="75">
        <v>97.05</v>
      </c>
      <c r="D3499" s="75">
        <v>92.7</v>
      </c>
      <c r="E3499" s="75">
        <v>93.56</v>
      </c>
      <c r="F3499">
        <v>-1219.3499999999999</v>
      </c>
      <c r="G3499">
        <v>1746.7500000000002</v>
      </c>
      <c r="H3499">
        <v>228.8</v>
      </c>
      <c r="I3499">
        <v>-177.6</v>
      </c>
      <c r="J3499">
        <v>578.60000000000025</v>
      </c>
    </row>
    <row r="3500" spans="1:10" x14ac:dyDescent="0.35">
      <c r="A3500">
        <v>3484</v>
      </c>
      <c r="B3500" s="75">
        <v>89.9953</v>
      </c>
      <c r="C3500" s="75">
        <v>98.171400000000006</v>
      </c>
      <c r="D3500" s="75">
        <v>94.286500000000004</v>
      </c>
      <c r="E3500" s="75">
        <v>89.851399999999998</v>
      </c>
      <c r="F3500">
        <v>-1457.61</v>
      </c>
      <c r="G3500">
        <v>57.75</v>
      </c>
      <c r="H3500">
        <v>-2940.7999999999997</v>
      </c>
      <c r="I3500">
        <v>3529.2</v>
      </c>
      <c r="J3500">
        <v>-811.46</v>
      </c>
    </row>
    <row r="3501" spans="1:10" x14ac:dyDescent="0.35">
      <c r="A3501">
        <v>3485</v>
      </c>
      <c r="B3501" s="75">
        <v>89.97</v>
      </c>
      <c r="C3501" s="75">
        <v>98.74</v>
      </c>
      <c r="D3501" s="75">
        <v>92.03</v>
      </c>
      <c r="E3501" s="75">
        <v>93.13</v>
      </c>
      <c r="F3501">
        <v>-1370.49</v>
      </c>
      <c r="G3501">
        <v>-800.7</v>
      </c>
      <c r="H3501">
        <v>1565.8000000000002</v>
      </c>
      <c r="I3501">
        <v>246.79999999999998</v>
      </c>
      <c r="J3501">
        <v>-358.58999999999992</v>
      </c>
    </row>
    <row r="3502" spans="1:10" x14ac:dyDescent="0.35">
      <c r="A3502">
        <v>3486</v>
      </c>
      <c r="B3502" s="75">
        <v>90.008099999999999</v>
      </c>
      <c r="C3502" s="75">
        <v>97.875699999999995</v>
      </c>
      <c r="D3502" s="75">
        <v>91.790099999999995</v>
      </c>
      <c r="E3502" s="75">
        <v>93.441500000000005</v>
      </c>
      <c r="F3502">
        <v>-1499.8500000000001</v>
      </c>
      <c r="G3502">
        <v>501.3</v>
      </c>
      <c r="H3502">
        <v>2052</v>
      </c>
      <c r="I3502">
        <v>-60.900000000000006</v>
      </c>
      <c r="J3502">
        <v>992.54999999999984</v>
      </c>
    </row>
    <row r="3503" spans="1:10" x14ac:dyDescent="0.35">
      <c r="A3503">
        <v>3487</v>
      </c>
      <c r="B3503" s="75">
        <v>89.48</v>
      </c>
      <c r="C3503" s="75">
        <v>98.95</v>
      </c>
      <c r="D3503" s="75">
        <v>95.14</v>
      </c>
      <c r="E3503" s="75">
        <v>95.11</v>
      </c>
      <c r="F3503">
        <v>249.48</v>
      </c>
      <c r="G3503">
        <v>-1103.7</v>
      </c>
      <c r="H3503">
        <v>-4639.5999999999995</v>
      </c>
      <c r="I3503">
        <v>-1728</v>
      </c>
      <c r="J3503">
        <v>-7221.82</v>
      </c>
    </row>
    <row r="3504" spans="1:10" x14ac:dyDescent="0.35">
      <c r="A3504">
        <v>3488</v>
      </c>
      <c r="B3504" s="75">
        <v>90.5959</v>
      </c>
      <c r="C3504" s="75">
        <v>95.342500000000001</v>
      </c>
      <c r="D3504" s="75">
        <v>93.749799999999993</v>
      </c>
      <c r="E3504" s="75">
        <v>93.101299999999995</v>
      </c>
      <c r="F3504">
        <v>-3439.59</v>
      </c>
      <c r="G3504">
        <v>4301.1000000000004</v>
      </c>
      <c r="H3504">
        <v>-1867.3999999999999</v>
      </c>
      <c r="I3504">
        <v>279.3</v>
      </c>
      <c r="J3504">
        <v>-726.58999999999969</v>
      </c>
    </row>
    <row r="3505" spans="1:10" x14ac:dyDescent="0.35">
      <c r="A3505">
        <v>3489</v>
      </c>
      <c r="B3505" s="75">
        <v>90.13</v>
      </c>
      <c r="C3505" s="75">
        <v>98.46</v>
      </c>
      <c r="D3505" s="75">
        <v>92.65</v>
      </c>
      <c r="E3505" s="75">
        <v>94.46</v>
      </c>
      <c r="F3505">
        <v>-1896.51</v>
      </c>
      <c r="G3505">
        <v>-376.79999999999995</v>
      </c>
      <c r="H3505">
        <v>325.60000000000002</v>
      </c>
      <c r="I3505">
        <v>-1083.5999999999999</v>
      </c>
      <c r="J3505">
        <v>-3031.31</v>
      </c>
    </row>
    <row r="3506" spans="1:10" x14ac:dyDescent="0.35">
      <c r="A3506">
        <v>3490</v>
      </c>
      <c r="B3506" s="75">
        <v>88.6768</v>
      </c>
      <c r="C3506" s="75">
        <v>97.648399999999995</v>
      </c>
      <c r="D3506" s="75">
        <v>92.745900000000006</v>
      </c>
      <c r="E3506" s="75">
        <v>94.69</v>
      </c>
      <c r="F3506">
        <v>2893.44</v>
      </c>
      <c r="G3506">
        <v>842.25</v>
      </c>
      <c r="H3506">
        <v>140.4</v>
      </c>
      <c r="I3506">
        <v>-1309.3999999999999</v>
      </c>
      <c r="J3506">
        <v>2566.6900000000005</v>
      </c>
    </row>
    <row r="3507" spans="1:10" x14ac:dyDescent="0.35">
      <c r="A3507">
        <v>3491</v>
      </c>
      <c r="B3507" s="75">
        <v>88.53</v>
      </c>
      <c r="C3507" s="75">
        <v>98.39</v>
      </c>
      <c r="D3507" s="75">
        <v>93.4</v>
      </c>
      <c r="E3507" s="75">
        <v>92.67</v>
      </c>
      <c r="F3507">
        <v>3376.2299999999996</v>
      </c>
      <c r="G3507">
        <v>-275.7</v>
      </c>
      <c r="H3507">
        <v>-1177.4000000000001</v>
      </c>
      <c r="I3507">
        <v>708.5</v>
      </c>
      <c r="J3507">
        <v>2631.6299999999997</v>
      </c>
    </row>
    <row r="3508" spans="1:10" x14ac:dyDescent="0.35">
      <c r="A3508">
        <v>3492</v>
      </c>
      <c r="B3508" s="75">
        <v>89.1858</v>
      </c>
      <c r="C3508" s="75">
        <v>98.227500000000006</v>
      </c>
      <c r="D3508" s="75">
        <v>92.937200000000004</v>
      </c>
      <c r="E3508" s="75">
        <v>95.414000000000001</v>
      </c>
      <c r="F3508">
        <v>1213.74</v>
      </c>
      <c r="G3508">
        <v>-26.400000000000002</v>
      </c>
      <c r="H3508">
        <v>-242.2</v>
      </c>
      <c r="I3508">
        <v>-2033.3999999999999</v>
      </c>
      <c r="J3508">
        <v>-1088.26</v>
      </c>
    </row>
    <row r="3509" spans="1:10" x14ac:dyDescent="0.35">
      <c r="A3509">
        <v>3493</v>
      </c>
      <c r="B3509" s="75">
        <v>89.56</v>
      </c>
      <c r="C3509" s="75">
        <v>98.44</v>
      </c>
      <c r="D3509" s="75">
        <v>93.64</v>
      </c>
      <c r="E3509" s="75">
        <v>96.15</v>
      </c>
      <c r="F3509">
        <v>-15.51</v>
      </c>
      <c r="G3509">
        <v>-343.5</v>
      </c>
      <c r="H3509">
        <v>-1644.6000000000001</v>
      </c>
      <c r="I3509">
        <v>-2768.6000000000004</v>
      </c>
      <c r="J3509">
        <v>-4772.2100000000009</v>
      </c>
    </row>
    <row r="3510" spans="1:10" x14ac:dyDescent="0.35">
      <c r="A3510">
        <v>3494</v>
      </c>
      <c r="B3510" s="75">
        <v>90.584400000000002</v>
      </c>
      <c r="C3510" s="75">
        <v>99.9709</v>
      </c>
      <c r="D3510" s="75">
        <v>91.123900000000006</v>
      </c>
      <c r="E3510" s="75">
        <v>92.071299999999994</v>
      </c>
      <c r="F3510">
        <v>-3401.64</v>
      </c>
      <c r="G3510">
        <v>-2641.5</v>
      </c>
      <c r="H3510">
        <v>3384.3999999999996</v>
      </c>
      <c r="I3510">
        <v>1309.3</v>
      </c>
      <c r="J3510">
        <v>-1349.4399999999998</v>
      </c>
    </row>
    <row r="3511" spans="1:10" x14ac:dyDescent="0.35">
      <c r="A3511">
        <v>3495</v>
      </c>
      <c r="B3511" s="75">
        <v>89.23</v>
      </c>
      <c r="C3511" s="75">
        <v>96.62</v>
      </c>
      <c r="D3511" s="75">
        <v>92.01</v>
      </c>
      <c r="E3511" s="75">
        <v>94.38</v>
      </c>
      <c r="F3511">
        <v>1063.5899999999999</v>
      </c>
      <c r="G3511">
        <v>2383.9499999999998</v>
      </c>
      <c r="H3511">
        <v>1617.2</v>
      </c>
      <c r="I3511">
        <v>-1000.9999999999999</v>
      </c>
      <c r="J3511">
        <v>4063.74</v>
      </c>
    </row>
    <row r="3512" spans="1:10" x14ac:dyDescent="0.35">
      <c r="A3512">
        <v>3496</v>
      </c>
      <c r="B3512" s="75">
        <v>89.088399999999993</v>
      </c>
      <c r="C3512" s="75">
        <v>98.938599999999994</v>
      </c>
      <c r="D3512" s="75">
        <v>93.257000000000005</v>
      </c>
      <c r="E3512" s="75">
        <v>93.2744</v>
      </c>
      <c r="F3512">
        <v>1535.16</v>
      </c>
      <c r="G3512">
        <v>-1093.05</v>
      </c>
      <c r="H3512">
        <v>-881.80000000000007</v>
      </c>
      <c r="I3512">
        <v>106.2</v>
      </c>
      <c r="J3512">
        <v>-333.48999999999995</v>
      </c>
    </row>
    <row r="3513" spans="1:10" x14ac:dyDescent="0.35">
      <c r="A3513">
        <v>3497</v>
      </c>
      <c r="B3513" s="75">
        <v>89.76</v>
      </c>
      <c r="C3513" s="75">
        <v>97.83</v>
      </c>
      <c r="D3513" s="75">
        <v>92.24</v>
      </c>
      <c r="E3513" s="75">
        <v>93.13</v>
      </c>
      <c r="F3513">
        <v>-688.05</v>
      </c>
      <c r="G3513">
        <v>574.5</v>
      </c>
      <c r="H3513">
        <v>1145.5999999999999</v>
      </c>
      <c r="I3513">
        <v>254.80000000000004</v>
      </c>
      <c r="J3513">
        <v>1286.8499999999999</v>
      </c>
    </row>
    <row r="3514" spans="1:10" x14ac:dyDescent="0.35">
      <c r="A3514">
        <v>3498</v>
      </c>
      <c r="B3514" s="75">
        <v>88.818299999999994</v>
      </c>
      <c r="C3514" s="75">
        <v>96.793000000000006</v>
      </c>
      <c r="D3514" s="75">
        <v>92.764700000000005</v>
      </c>
      <c r="E3514" s="75">
        <v>94.889200000000002</v>
      </c>
      <c r="F3514">
        <v>2426.4899999999998</v>
      </c>
      <c r="G3514">
        <v>2125.35</v>
      </c>
      <c r="H3514">
        <v>102.8</v>
      </c>
      <c r="I3514">
        <v>-1508.6</v>
      </c>
      <c r="J3514">
        <v>3146.0400000000004</v>
      </c>
    </row>
    <row r="3515" spans="1:10" x14ac:dyDescent="0.35">
      <c r="A3515">
        <v>3499</v>
      </c>
      <c r="B3515" s="75">
        <v>89.09</v>
      </c>
      <c r="C3515" s="75">
        <v>98.07</v>
      </c>
      <c r="D3515" s="75">
        <v>92.62</v>
      </c>
      <c r="E3515" s="75">
        <v>91.81</v>
      </c>
      <c r="F3515">
        <v>1541.1000000000001</v>
      </c>
      <c r="G3515">
        <v>214.95000000000002</v>
      </c>
      <c r="H3515">
        <v>386</v>
      </c>
      <c r="I3515">
        <v>1574.4</v>
      </c>
      <c r="J3515">
        <v>3716.4500000000003</v>
      </c>
    </row>
    <row r="3516" spans="1:10" x14ac:dyDescent="0.35">
      <c r="A3516">
        <v>3500</v>
      </c>
      <c r="B3516" s="75">
        <v>88.872600000000006</v>
      </c>
      <c r="C3516" s="75">
        <v>98.367800000000003</v>
      </c>
      <c r="D3516" s="75">
        <v>92.646000000000001</v>
      </c>
      <c r="E3516" s="75">
        <v>93.674499999999995</v>
      </c>
      <c r="F3516">
        <v>2247.3000000000002</v>
      </c>
      <c r="G3516">
        <v>-236.85000000000002</v>
      </c>
      <c r="H3516">
        <v>340.2</v>
      </c>
      <c r="I3516">
        <v>-293.89999999999998</v>
      </c>
      <c r="J3516">
        <v>2056.75</v>
      </c>
    </row>
    <row r="3517" spans="1:10" x14ac:dyDescent="0.35">
      <c r="A3517">
        <v>3501</v>
      </c>
      <c r="B3517" s="75">
        <v>89.93</v>
      </c>
      <c r="C3517" s="75">
        <v>98.13</v>
      </c>
      <c r="D3517" s="75">
        <v>93.54</v>
      </c>
      <c r="E3517" s="75">
        <v>90.18</v>
      </c>
      <c r="F3517">
        <v>-1246.08</v>
      </c>
      <c r="G3517">
        <v>114.30000000000001</v>
      </c>
      <c r="H3517">
        <v>-1442.8000000000002</v>
      </c>
      <c r="I3517">
        <v>3200.2999999999997</v>
      </c>
      <c r="J3517">
        <v>625.7199999999998</v>
      </c>
    </row>
    <row r="3518" spans="1:10" x14ac:dyDescent="0.35">
      <c r="A3518">
        <v>3502</v>
      </c>
      <c r="B3518" s="75">
        <v>89.590900000000005</v>
      </c>
      <c r="C3518" s="75">
        <v>98.323400000000007</v>
      </c>
      <c r="D3518" s="75">
        <v>93.951300000000003</v>
      </c>
      <c r="E3518" s="75">
        <v>94.991500000000002</v>
      </c>
      <c r="F3518">
        <v>-123.09</v>
      </c>
      <c r="G3518">
        <v>-170.25</v>
      </c>
      <c r="H3518">
        <v>-2270.4</v>
      </c>
      <c r="I3518">
        <v>-1610.9</v>
      </c>
      <c r="J3518">
        <v>-4174.6400000000003</v>
      </c>
    </row>
    <row r="3519" spans="1:10" x14ac:dyDescent="0.35">
      <c r="A3519">
        <v>3503</v>
      </c>
      <c r="B3519" s="75">
        <v>89.21</v>
      </c>
      <c r="C3519" s="75">
        <v>97.92</v>
      </c>
      <c r="D3519" s="75">
        <v>93.48</v>
      </c>
      <c r="E3519" s="75">
        <v>90.59</v>
      </c>
      <c r="F3519">
        <v>1125.6300000000001</v>
      </c>
      <c r="G3519">
        <v>438.45</v>
      </c>
      <c r="H3519">
        <v>-1326.8</v>
      </c>
      <c r="I3519">
        <v>2789.8999999999996</v>
      </c>
      <c r="J3519">
        <v>3027.18</v>
      </c>
    </row>
    <row r="3520" spans="1:10" x14ac:dyDescent="0.35">
      <c r="A3520">
        <v>3504</v>
      </c>
      <c r="B3520" s="75">
        <v>89.869500000000002</v>
      </c>
      <c r="C3520" s="75">
        <v>97.993300000000005</v>
      </c>
      <c r="D3520" s="75">
        <v>94.086200000000005</v>
      </c>
      <c r="E3520" s="75">
        <v>95.463399999999993</v>
      </c>
      <c r="F3520">
        <v>-1042.47</v>
      </c>
      <c r="G3520">
        <v>324.89999999999998</v>
      </c>
      <c r="H3520">
        <v>-2540.1999999999998</v>
      </c>
      <c r="I3520">
        <v>-2082.8000000000002</v>
      </c>
      <c r="J3520">
        <v>-5340.57</v>
      </c>
    </row>
    <row r="3521" spans="1:10" x14ac:dyDescent="0.35">
      <c r="A3521">
        <v>3505</v>
      </c>
      <c r="B3521" s="75">
        <v>89.98</v>
      </c>
      <c r="C3521" s="75">
        <v>98.22</v>
      </c>
      <c r="D3521" s="75">
        <v>93.02</v>
      </c>
      <c r="E3521" s="75">
        <v>93.29</v>
      </c>
      <c r="F3521">
        <v>-1413.0600000000002</v>
      </c>
      <c r="G3521">
        <v>-15.450000000000001</v>
      </c>
      <c r="H3521">
        <v>-416.2</v>
      </c>
      <c r="I3521">
        <v>87.2</v>
      </c>
      <c r="J3521">
        <v>-1757.5100000000002</v>
      </c>
    </row>
    <row r="3522" spans="1:10" x14ac:dyDescent="0.35">
      <c r="A3522">
        <v>3506</v>
      </c>
      <c r="B3522" s="75">
        <v>89.752799999999993</v>
      </c>
      <c r="C3522" s="75">
        <v>98.538499999999999</v>
      </c>
      <c r="D3522" s="75">
        <v>92.479799999999997</v>
      </c>
      <c r="E3522" s="75">
        <v>96.049000000000007</v>
      </c>
      <c r="F3522">
        <v>-657.36</v>
      </c>
      <c r="G3522">
        <v>-492.9</v>
      </c>
      <c r="H3522">
        <v>672.6</v>
      </c>
      <c r="I3522">
        <v>-2668.4</v>
      </c>
      <c r="J3522">
        <v>-3146.06</v>
      </c>
    </row>
    <row r="3523" spans="1:10" x14ac:dyDescent="0.35">
      <c r="A3523">
        <v>3507</v>
      </c>
      <c r="B3523" s="75">
        <v>90.34</v>
      </c>
      <c r="C3523" s="75">
        <v>98.66</v>
      </c>
      <c r="D3523" s="75">
        <v>92.58</v>
      </c>
      <c r="E3523" s="75">
        <v>92.27</v>
      </c>
      <c r="F3523">
        <v>-2590.17</v>
      </c>
      <c r="G3523">
        <v>-681.6</v>
      </c>
      <c r="H3523">
        <v>468.8</v>
      </c>
      <c r="I3523">
        <v>1105.8</v>
      </c>
      <c r="J3523">
        <v>-1697.1699999999998</v>
      </c>
    </row>
    <row r="3524" spans="1:10" x14ac:dyDescent="0.35">
      <c r="A3524">
        <v>3508</v>
      </c>
      <c r="B3524" s="75">
        <v>89.491600000000005</v>
      </c>
      <c r="C3524" s="75">
        <v>99.396000000000001</v>
      </c>
      <c r="D3524" s="75">
        <v>92.824299999999994</v>
      </c>
      <c r="E3524" s="75">
        <v>94.024199999999993</v>
      </c>
      <c r="F3524">
        <v>204.6</v>
      </c>
      <c r="G3524">
        <v>-1779.1499999999999</v>
      </c>
      <c r="H3524">
        <v>-16.400000000000002</v>
      </c>
      <c r="I3524">
        <v>-643.59999999999991</v>
      </c>
      <c r="J3524">
        <v>-2234.5500000000002</v>
      </c>
    </row>
    <row r="3525" spans="1:10" x14ac:dyDescent="0.35">
      <c r="A3525">
        <v>3509</v>
      </c>
      <c r="B3525" s="75">
        <v>89.12</v>
      </c>
      <c r="C3525" s="75">
        <v>99.39</v>
      </c>
      <c r="D3525" s="75">
        <v>93.6</v>
      </c>
      <c r="E3525" s="75">
        <v>92.17</v>
      </c>
      <c r="F3525">
        <v>1444.08</v>
      </c>
      <c r="G3525">
        <v>-1770.7500000000002</v>
      </c>
      <c r="H3525">
        <v>-1561.8000000000002</v>
      </c>
      <c r="I3525">
        <v>1210</v>
      </c>
      <c r="J3525">
        <v>-678.47000000000048</v>
      </c>
    </row>
    <row r="3526" spans="1:10" x14ac:dyDescent="0.35">
      <c r="A3526">
        <v>3510</v>
      </c>
      <c r="B3526" s="75">
        <v>90.175299999999993</v>
      </c>
      <c r="C3526" s="75">
        <v>96.028400000000005</v>
      </c>
      <c r="D3526" s="75">
        <v>91.703000000000003</v>
      </c>
      <c r="E3526" s="75">
        <v>93.561499999999995</v>
      </c>
      <c r="F3526">
        <v>-2051.61</v>
      </c>
      <c r="G3526">
        <v>3272.2500000000005</v>
      </c>
      <c r="H3526">
        <v>2226.1999999999998</v>
      </c>
      <c r="I3526">
        <v>-180.9</v>
      </c>
      <c r="J3526">
        <v>3265.94</v>
      </c>
    </row>
    <row r="3527" spans="1:10" x14ac:dyDescent="0.35">
      <c r="A3527">
        <v>3511</v>
      </c>
      <c r="B3527" s="75">
        <v>88.66</v>
      </c>
      <c r="C3527" s="75">
        <v>98.42</v>
      </c>
      <c r="D3527" s="75">
        <v>92.15</v>
      </c>
      <c r="E3527" s="75">
        <v>91.52</v>
      </c>
      <c r="F3527">
        <v>2961.75</v>
      </c>
      <c r="G3527">
        <v>-312.15000000000003</v>
      </c>
      <c r="H3527">
        <v>1335.6</v>
      </c>
      <c r="I3527">
        <v>1859</v>
      </c>
      <c r="J3527">
        <v>5844.2</v>
      </c>
    </row>
    <row r="3528" spans="1:10" x14ac:dyDescent="0.35">
      <c r="A3528">
        <v>3512</v>
      </c>
      <c r="B3528" s="75">
        <v>89.683599999999998</v>
      </c>
      <c r="C3528" s="75">
        <v>98.865099999999998</v>
      </c>
      <c r="D3528" s="75">
        <v>91.706699999999998</v>
      </c>
      <c r="E3528" s="75">
        <v>92.388900000000007</v>
      </c>
      <c r="F3528">
        <v>-429</v>
      </c>
      <c r="G3528">
        <v>-982.8</v>
      </c>
      <c r="H3528">
        <v>2218.7999999999997</v>
      </c>
      <c r="I3528">
        <v>991.7</v>
      </c>
      <c r="J3528">
        <v>1798.6999999999998</v>
      </c>
    </row>
    <row r="3529" spans="1:10" x14ac:dyDescent="0.35">
      <c r="A3529">
        <v>3513</v>
      </c>
      <c r="B3529" s="75">
        <v>89.46</v>
      </c>
      <c r="C3529" s="75">
        <v>98.58</v>
      </c>
      <c r="D3529" s="75">
        <v>93.22</v>
      </c>
      <c r="E3529" s="75">
        <v>93.94</v>
      </c>
      <c r="F3529">
        <v>294.69</v>
      </c>
      <c r="G3529">
        <v>-560.25</v>
      </c>
      <c r="H3529">
        <v>-816.6</v>
      </c>
      <c r="I3529">
        <v>-556.1</v>
      </c>
      <c r="J3529">
        <v>-1638.2600000000002</v>
      </c>
    </row>
    <row r="3530" spans="1:10" x14ac:dyDescent="0.35">
      <c r="A3530">
        <v>3514</v>
      </c>
      <c r="B3530" s="75">
        <v>89.698800000000006</v>
      </c>
      <c r="C3530" s="75">
        <v>97.603200000000001</v>
      </c>
      <c r="D3530" s="75">
        <v>91.881</v>
      </c>
      <c r="E3530" s="75">
        <v>93.510300000000001</v>
      </c>
      <c r="F3530">
        <v>-479.15999999999997</v>
      </c>
      <c r="G3530">
        <v>910.05000000000007</v>
      </c>
      <c r="H3530">
        <v>1870.2</v>
      </c>
      <c r="I3530">
        <v>-129.70000000000002</v>
      </c>
      <c r="J3530">
        <v>2171.3900000000003</v>
      </c>
    </row>
    <row r="3531" spans="1:10" x14ac:dyDescent="0.35">
      <c r="A3531">
        <v>3515</v>
      </c>
      <c r="B3531" s="75">
        <v>89.97</v>
      </c>
      <c r="C3531" s="75">
        <v>98.73</v>
      </c>
      <c r="D3531" s="75">
        <v>93.77</v>
      </c>
      <c r="E3531" s="75">
        <v>93.7</v>
      </c>
      <c r="F3531">
        <v>-1357.62</v>
      </c>
      <c r="G3531">
        <v>-776.24999999999989</v>
      </c>
      <c r="H3531">
        <v>-1907.8</v>
      </c>
      <c r="I3531">
        <v>-321.10000000000002</v>
      </c>
      <c r="J3531">
        <v>-4362.7700000000004</v>
      </c>
    </row>
    <row r="3532" spans="1:10" x14ac:dyDescent="0.35">
      <c r="A3532">
        <v>3516</v>
      </c>
      <c r="B3532" s="75">
        <v>89.6999</v>
      </c>
      <c r="C3532" s="75">
        <v>98.186499999999995</v>
      </c>
      <c r="D3532" s="75">
        <v>94.327200000000005</v>
      </c>
      <c r="E3532" s="75">
        <v>91.365700000000004</v>
      </c>
      <c r="F3532">
        <v>-482.79</v>
      </c>
      <c r="G3532">
        <v>35.1</v>
      </c>
      <c r="H3532">
        <v>-3022.2000000000003</v>
      </c>
      <c r="I3532">
        <v>2014.8999999999999</v>
      </c>
      <c r="J3532">
        <v>-1454.9900000000005</v>
      </c>
    </row>
    <row r="3533" spans="1:10" x14ac:dyDescent="0.35">
      <c r="A3533">
        <v>3517</v>
      </c>
      <c r="B3533" s="75">
        <v>89.94</v>
      </c>
      <c r="C3533" s="75">
        <v>98.53</v>
      </c>
      <c r="D3533" s="75">
        <v>91.34</v>
      </c>
      <c r="E3533" s="75">
        <v>92.75</v>
      </c>
      <c r="F3533">
        <v>-1267.2</v>
      </c>
      <c r="G3533">
        <v>-475.95000000000005</v>
      </c>
      <c r="H3533">
        <v>2943.8</v>
      </c>
      <c r="I3533">
        <v>634.70000000000005</v>
      </c>
      <c r="J3533">
        <v>1835.3500000000001</v>
      </c>
    </row>
    <row r="3534" spans="1:10" x14ac:dyDescent="0.35">
      <c r="A3534">
        <v>3518</v>
      </c>
      <c r="B3534" s="75">
        <v>89.379499999999993</v>
      </c>
      <c r="C3534" s="75">
        <v>97.429699999999997</v>
      </c>
      <c r="D3534" s="75">
        <v>92.110500000000002</v>
      </c>
      <c r="E3534" s="75">
        <v>92.490099999999998</v>
      </c>
      <c r="F3534">
        <v>574.53</v>
      </c>
      <c r="G3534">
        <v>1170.3</v>
      </c>
      <c r="H3534">
        <v>1411.2</v>
      </c>
      <c r="I3534">
        <v>890.5</v>
      </c>
      <c r="J3534">
        <v>4046.5299999999997</v>
      </c>
    </row>
    <row r="3535" spans="1:10" x14ac:dyDescent="0.35">
      <c r="A3535">
        <v>3519</v>
      </c>
      <c r="B3535" s="75">
        <v>89.86</v>
      </c>
      <c r="C3535" s="75">
        <v>99.56</v>
      </c>
      <c r="D3535" s="75">
        <v>92.53</v>
      </c>
      <c r="E3535" s="75">
        <v>91.79</v>
      </c>
      <c r="F3535">
        <v>-1013.7599999999999</v>
      </c>
      <c r="G3535">
        <v>-2025.45</v>
      </c>
      <c r="H3535">
        <v>568.4</v>
      </c>
      <c r="I3535">
        <v>1588.8</v>
      </c>
      <c r="J3535">
        <v>-882.01</v>
      </c>
    </row>
    <row r="3536" spans="1:10" x14ac:dyDescent="0.35">
      <c r="A3536">
        <v>3520</v>
      </c>
      <c r="B3536" s="75">
        <v>89.734200000000001</v>
      </c>
      <c r="C3536" s="75">
        <v>97.034300000000002</v>
      </c>
      <c r="D3536" s="75">
        <v>92.944500000000005</v>
      </c>
      <c r="E3536" s="75">
        <v>93.003299999999996</v>
      </c>
      <c r="F3536">
        <v>-595.98</v>
      </c>
      <c r="G3536">
        <v>1763.3999999999999</v>
      </c>
      <c r="H3536">
        <v>-256.79999999999995</v>
      </c>
      <c r="I3536">
        <v>377.3</v>
      </c>
      <c r="J3536">
        <v>1287.9199999999998</v>
      </c>
    </row>
    <row r="3537" spans="1:10" x14ac:dyDescent="0.35">
      <c r="A3537">
        <v>3521</v>
      </c>
      <c r="B3537" s="75">
        <v>89.56</v>
      </c>
      <c r="C3537" s="75">
        <v>100.12</v>
      </c>
      <c r="D3537" s="75">
        <v>92.72</v>
      </c>
      <c r="E3537" s="75">
        <v>95.65</v>
      </c>
      <c r="F3537">
        <v>-14.520000000000001</v>
      </c>
      <c r="G3537">
        <v>-2865.6000000000004</v>
      </c>
      <c r="H3537">
        <v>199</v>
      </c>
      <c r="I3537">
        <v>-2273.8999999999996</v>
      </c>
      <c r="J3537">
        <v>-4955.0200000000004</v>
      </c>
    </row>
    <row r="3538" spans="1:10" x14ac:dyDescent="0.35">
      <c r="A3538">
        <v>3522</v>
      </c>
      <c r="B3538" s="75">
        <v>89.665800000000004</v>
      </c>
      <c r="C3538" s="75">
        <v>97.824399999999997</v>
      </c>
      <c r="D3538" s="75">
        <v>91.929000000000002</v>
      </c>
      <c r="E3538" s="75">
        <v>90.9786</v>
      </c>
      <c r="F3538">
        <v>-370.26</v>
      </c>
      <c r="G3538">
        <v>578.25</v>
      </c>
      <c r="H3538">
        <v>1774.2</v>
      </c>
      <c r="I3538">
        <v>2402</v>
      </c>
      <c r="J3538">
        <v>4384.1900000000005</v>
      </c>
    </row>
    <row r="3539" spans="1:10" x14ac:dyDescent="0.35">
      <c r="A3539">
        <v>3523</v>
      </c>
      <c r="B3539" s="75">
        <v>89.89</v>
      </c>
      <c r="C3539" s="75">
        <v>98.21</v>
      </c>
      <c r="D3539" s="75">
        <v>92.29</v>
      </c>
      <c r="E3539" s="75">
        <v>95.39</v>
      </c>
      <c r="F3539">
        <v>-1111.1099999999999</v>
      </c>
      <c r="G3539">
        <v>-4.3499999999999996</v>
      </c>
      <c r="H3539">
        <v>1051</v>
      </c>
      <c r="I3539">
        <v>-2011.8999999999999</v>
      </c>
      <c r="J3539">
        <v>-2076.3599999999997</v>
      </c>
    </row>
    <row r="3540" spans="1:10" x14ac:dyDescent="0.35">
      <c r="A3540">
        <v>3524</v>
      </c>
      <c r="B3540" s="75">
        <v>88.869399999999999</v>
      </c>
      <c r="C3540" s="75">
        <v>98.298000000000002</v>
      </c>
      <c r="D3540" s="75">
        <v>93.356499999999997</v>
      </c>
      <c r="E3540" s="75">
        <v>94.596500000000006</v>
      </c>
      <c r="F3540">
        <v>2257.86</v>
      </c>
      <c r="G3540">
        <v>-132.15</v>
      </c>
      <c r="H3540">
        <v>-1080.8</v>
      </c>
      <c r="I3540">
        <v>-1215.9000000000001</v>
      </c>
      <c r="J3540">
        <v>-170.99</v>
      </c>
    </row>
    <row r="3541" spans="1:10" x14ac:dyDescent="0.35">
      <c r="A3541">
        <v>3525</v>
      </c>
      <c r="B3541" s="75">
        <v>89.41</v>
      </c>
      <c r="C3541" s="75">
        <v>97.5</v>
      </c>
      <c r="D3541" s="75">
        <v>93.07</v>
      </c>
      <c r="E3541" s="75">
        <v>93.75</v>
      </c>
      <c r="F3541">
        <v>485.76</v>
      </c>
      <c r="G3541">
        <v>1060.95</v>
      </c>
      <c r="H3541">
        <v>-502.6</v>
      </c>
      <c r="I3541">
        <v>-370.7</v>
      </c>
      <c r="J3541">
        <v>673.41000000000008</v>
      </c>
    </row>
    <row r="3542" spans="1:10" x14ac:dyDescent="0.35">
      <c r="A3542">
        <v>3526</v>
      </c>
      <c r="B3542" s="75">
        <v>90.078299999999999</v>
      </c>
      <c r="C3542" s="75">
        <v>99.480999999999995</v>
      </c>
      <c r="D3542" s="75">
        <v>93.274799999999999</v>
      </c>
      <c r="E3542" s="75">
        <v>93.568600000000004</v>
      </c>
      <c r="F3542">
        <v>-1731.5100000000002</v>
      </c>
      <c r="G3542">
        <v>-1906.6499999999999</v>
      </c>
      <c r="H3542">
        <v>-917.4</v>
      </c>
      <c r="I3542">
        <v>-188</v>
      </c>
      <c r="J3542">
        <v>-4743.5599999999995</v>
      </c>
    </row>
    <row r="3543" spans="1:10" x14ac:dyDescent="0.35">
      <c r="A3543">
        <v>3527</v>
      </c>
      <c r="B3543" s="75">
        <v>90.51</v>
      </c>
      <c r="C3543" s="75">
        <v>97.27</v>
      </c>
      <c r="D3543" s="75">
        <v>94.72</v>
      </c>
      <c r="E3543" s="75">
        <v>92.1</v>
      </c>
      <c r="F3543">
        <v>-3157.44</v>
      </c>
      <c r="G3543">
        <v>1411.8</v>
      </c>
      <c r="H3543">
        <v>-3804.8</v>
      </c>
      <c r="I3543">
        <v>1283.8</v>
      </c>
      <c r="J3543">
        <v>-4266.6400000000003</v>
      </c>
    </row>
    <row r="3544" spans="1:10" x14ac:dyDescent="0.35">
      <c r="A3544">
        <v>3528</v>
      </c>
      <c r="B3544" s="75">
        <v>89.910899999999998</v>
      </c>
      <c r="C3544" s="75">
        <v>98.674400000000006</v>
      </c>
      <c r="D3544" s="75">
        <v>91.089799999999997</v>
      </c>
      <c r="E3544" s="75">
        <v>93.267600000000002</v>
      </c>
      <c r="F3544">
        <v>-1179.0899999999999</v>
      </c>
      <c r="G3544">
        <v>-696.75</v>
      </c>
      <c r="H3544">
        <v>3452.6</v>
      </c>
      <c r="I3544">
        <v>113</v>
      </c>
      <c r="J3544">
        <v>1689.76</v>
      </c>
    </row>
    <row r="3545" spans="1:10" x14ac:dyDescent="0.35">
      <c r="A3545">
        <v>3529</v>
      </c>
      <c r="B3545" s="75">
        <v>89.55</v>
      </c>
      <c r="C3545" s="75">
        <v>99.19</v>
      </c>
      <c r="D3545" s="75">
        <v>93.54</v>
      </c>
      <c r="E3545" s="75">
        <v>94.82</v>
      </c>
      <c r="F3545">
        <v>4.62</v>
      </c>
      <c r="G3545">
        <v>-1474.8</v>
      </c>
      <c r="H3545">
        <v>-1440</v>
      </c>
      <c r="I3545">
        <v>-1443.2</v>
      </c>
      <c r="J3545">
        <v>-4353.38</v>
      </c>
    </row>
    <row r="3546" spans="1:10" x14ac:dyDescent="0.35">
      <c r="A3546">
        <v>3530</v>
      </c>
      <c r="B3546" s="75">
        <v>89.168000000000006</v>
      </c>
      <c r="C3546" s="75">
        <v>99.745800000000003</v>
      </c>
      <c r="D3546" s="75">
        <v>93.371899999999997</v>
      </c>
      <c r="E3546" s="75">
        <v>92.418599999999998</v>
      </c>
      <c r="F3546">
        <v>1272.48</v>
      </c>
      <c r="G3546">
        <v>-2303.85</v>
      </c>
      <c r="H3546">
        <v>-1111.5999999999999</v>
      </c>
      <c r="I3546">
        <v>962</v>
      </c>
      <c r="J3546">
        <v>-1180.9699999999998</v>
      </c>
    </row>
    <row r="3547" spans="1:10" x14ac:dyDescent="0.35">
      <c r="A3547">
        <v>3531</v>
      </c>
      <c r="B3547" s="75">
        <v>89.68</v>
      </c>
      <c r="C3547" s="75">
        <v>98.05</v>
      </c>
      <c r="D3547" s="75">
        <v>94.39</v>
      </c>
      <c r="E3547" s="75">
        <v>92.33</v>
      </c>
      <c r="F3547">
        <v>-421.08</v>
      </c>
      <c r="G3547">
        <v>235.95</v>
      </c>
      <c r="H3547">
        <v>-3138</v>
      </c>
      <c r="I3547">
        <v>1048.1000000000001</v>
      </c>
      <c r="J3547">
        <v>-2275.0299999999997</v>
      </c>
    </row>
    <row r="3548" spans="1:10" x14ac:dyDescent="0.35">
      <c r="A3548">
        <v>3532</v>
      </c>
      <c r="B3548" s="75">
        <v>89.840199999999996</v>
      </c>
      <c r="C3548" s="75">
        <v>97.954400000000007</v>
      </c>
      <c r="D3548" s="75">
        <v>93.184700000000007</v>
      </c>
      <c r="E3548" s="75">
        <v>94.312700000000007</v>
      </c>
      <c r="F3548">
        <v>-945.78000000000009</v>
      </c>
      <c r="G3548">
        <v>383.25</v>
      </c>
      <c r="H3548">
        <v>-737.19999999999993</v>
      </c>
      <c r="I3548">
        <v>-932.1</v>
      </c>
      <c r="J3548">
        <v>-2231.83</v>
      </c>
    </row>
    <row r="3549" spans="1:10" x14ac:dyDescent="0.35">
      <c r="A3549">
        <v>3533</v>
      </c>
      <c r="B3549" s="75">
        <v>89.68</v>
      </c>
      <c r="C3549" s="75">
        <v>96.5</v>
      </c>
      <c r="D3549" s="75">
        <v>94.29</v>
      </c>
      <c r="E3549" s="75">
        <v>94.47</v>
      </c>
      <c r="F3549">
        <v>-411.84</v>
      </c>
      <c r="G3549">
        <v>2558.25</v>
      </c>
      <c r="H3549">
        <v>-2940.2</v>
      </c>
      <c r="I3549">
        <v>-1091.2</v>
      </c>
      <c r="J3549">
        <v>-1884.99</v>
      </c>
    </row>
    <row r="3550" spans="1:10" x14ac:dyDescent="0.35">
      <c r="A3550">
        <v>3534</v>
      </c>
      <c r="B3550" s="75">
        <v>89.162999999999997</v>
      </c>
      <c r="C3550" s="75">
        <v>98.177700000000002</v>
      </c>
      <c r="D3550" s="75">
        <v>93.2346</v>
      </c>
      <c r="E3550" s="75">
        <v>93.041499999999999</v>
      </c>
      <c r="F3550">
        <v>1288.98</v>
      </c>
      <c r="G3550">
        <v>48.3</v>
      </c>
      <c r="H3550">
        <v>-837</v>
      </c>
      <c r="I3550">
        <v>339.1</v>
      </c>
      <c r="J3550">
        <v>839.38</v>
      </c>
    </row>
    <row r="3551" spans="1:10" x14ac:dyDescent="0.35">
      <c r="A3551">
        <v>3535</v>
      </c>
      <c r="B3551" s="75">
        <v>89.46</v>
      </c>
      <c r="C3551" s="75">
        <v>96.73</v>
      </c>
      <c r="D3551" s="75">
        <v>91.24</v>
      </c>
      <c r="E3551" s="75">
        <v>92</v>
      </c>
      <c r="F3551">
        <v>311.52</v>
      </c>
      <c r="G3551">
        <v>2227.0499999999997</v>
      </c>
      <c r="H3551">
        <v>3143</v>
      </c>
      <c r="I3551">
        <v>1383.5</v>
      </c>
      <c r="J3551">
        <v>7065.07</v>
      </c>
    </row>
    <row r="3552" spans="1:10" x14ac:dyDescent="0.35">
      <c r="A3552">
        <v>3536</v>
      </c>
      <c r="B3552" s="75">
        <v>89.600899999999996</v>
      </c>
      <c r="C3552" s="75">
        <v>99.096100000000007</v>
      </c>
      <c r="D3552" s="75">
        <v>94.501099999999994</v>
      </c>
      <c r="E3552" s="75">
        <v>93.859300000000005</v>
      </c>
      <c r="F3552">
        <v>-156.09</v>
      </c>
      <c r="G3552">
        <v>-1329.3</v>
      </c>
      <c r="H3552">
        <v>-3370</v>
      </c>
      <c r="I3552">
        <v>-478.7</v>
      </c>
      <c r="J3552">
        <v>-5334.0899999999992</v>
      </c>
    </row>
    <row r="3553" spans="1:10" x14ac:dyDescent="0.35">
      <c r="A3553">
        <v>3537</v>
      </c>
      <c r="B3553" s="75">
        <v>89.22</v>
      </c>
      <c r="C3553" s="75">
        <v>98.47</v>
      </c>
      <c r="D3553" s="75">
        <v>92.69</v>
      </c>
      <c r="E3553" s="75">
        <v>93.04</v>
      </c>
      <c r="F3553">
        <v>1108.8000000000002</v>
      </c>
      <c r="G3553">
        <v>-393.6</v>
      </c>
      <c r="H3553">
        <v>250.2</v>
      </c>
      <c r="I3553">
        <v>339</v>
      </c>
      <c r="J3553">
        <v>1304.4000000000001</v>
      </c>
    </row>
    <row r="3554" spans="1:10" x14ac:dyDescent="0.35">
      <c r="A3554">
        <v>3538</v>
      </c>
      <c r="B3554" s="75">
        <v>90.214399999999998</v>
      </c>
      <c r="C3554" s="75">
        <v>98.915700000000001</v>
      </c>
      <c r="D3554" s="75">
        <v>93.389799999999994</v>
      </c>
      <c r="E3554" s="75">
        <v>93.263900000000007</v>
      </c>
      <c r="F3554">
        <v>-2180.6400000000003</v>
      </c>
      <c r="G3554">
        <v>-1058.7</v>
      </c>
      <c r="H3554">
        <v>-1147.3999999999999</v>
      </c>
      <c r="I3554">
        <v>116.7</v>
      </c>
      <c r="J3554">
        <v>-4270.04</v>
      </c>
    </row>
    <row r="3555" spans="1:10" x14ac:dyDescent="0.35">
      <c r="A3555">
        <v>3539</v>
      </c>
      <c r="B3555" s="75">
        <v>89.3</v>
      </c>
      <c r="C3555" s="75">
        <v>98.26</v>
      </c>
      <c r="D3555" s="75">
        <v>91.95</v>
      </c>
      <c r="E3555" s="75">
        <v>92.58</v>
      </c>
      <c r="F3555">
        <v>821.7</v>
      </c>
      <c r="G3555">
        <v>-78</v>
      </c>
      <c r="H3555">
        <v>1725.6</v>
      </c>
      <c r="I3555">
        <v>797.6</v>
      </c>
      <c r="J3555">
        <v>3266.9</v>
      </c>
    </row>
    <row r="3556" spans="1:10" x14ac:dyDescent="0.35">
      <c r="A3556">
        <v>3540</v>
      </c>
      <c r="B3556" s="75">
        <v>89.472999999999999</v>
      </c>
      <c r="C3556" s="75">
        <v>97.603099999999998</v>
      </c>
      <c r="D3556" s="75">
        <v>93.959500000000006</v>
      </c>
      <c r="E3556" s="75">
        <v>91.907600000000002</v>
      </c>
      <c r="F3556">
        <v>265.98</v>
      </c>
      <c r="G3556">
        <v>910.2</v>
      </c>
      <c r="H3556">
        <v>-2286.7999999999997</v>
      </c>
      <c r="I3556">
        <v>1473</v>
      </c>
      <c r="J3556">
        <v>362.38000000000034</v>
      </c>
    </row>
    <row r="3557" spans="1:10" x14ac:dyDescent="0.35">
      <c r="A3557">
        <v>3541</v>
      </c>
      <c r="B3557" s="75">
        <v>89.16</v>
      </c>
      <c r="C3557" s="75">
        <v>99.23</v>
      </c>
      <c r="D3557" s="75">
        <v>91.82</v>
      </c>
      <c r="E3557" s="75">
        <v>94.46</v>
      </c>
      <c r="F3557">
        <v>1312.08</v>
      </c>
      <c r="G3557">
        <v>-1526.8500000000001</v>
      </c>
      <c r="H3557">
        <v>1999.2</v>
      </c>
      <c r="I3557">
        <v>-1082.5999999999999</v>
      </c>
      <c r="J3557">
        <v>701.82999999999993</v>
      </c>
    </row>
    <row r="3558" spans="1:10" x14ac:dyDescent="0.35">
      <c r="A3558">
        <v>3542</v>
      </c>
      <c r="B3558" s="75">
        <v>89.075199999999995</v>
      </c>
      <c r="C3558" s="75">
        <v>97.892899999999997</v>
      </c>
      <c r="D3558" s="75">
        <v>91.848699999999994</v>
      </c>
      <c r="E3558" s="75">
        <v>93.987300000000005</v>
      </c>
      <c r="F3558">
        <v>1578.72</v>
      </c>
      <c r="G3558">
        <v>475.5</v>
      </c>
      <c r="H3558">
        <v>1934.8000000000002</v>
      </c>
      <c r="I3558">
        <v>-606.70000000000005</v>
      </c>
      <c r="J3558">
        <v>3382.3200000000006</v>
      </c>
    </row>
    <row r="3559" spans="1:10" x14ac:dyDescent="0.35">
      <c r="A3559">
        <v>3543</v>
      </c>
      <c r="B3559" s="75">
        <v>89.75</v>
      </c>
      <c r="C3559" s="75">
        <v>97.6</v>
      </c>
      <c r="D3559" s="75">
        <v>94.05</v>
      </c>
      <c r="E3559" s="75">
        <v>91.61</v>
      </c>
      <c r="F3559">
        <v>-632.93999999999994</v>
      </c>
      <c r="G3559">
        <v>910.5</v>
      </c>
      <c r="H3559">
        <v>-2474.8000000000002</v>
      </c>
      <c r="I3559">
        <v>1770.8999999999999</v>
      </c>
      <c r="J3559">
        <v>-426.34000000000037</v>
      </c>
    </row>
    <row r="3560" spans="1:10" x14ac:dyDescent="0.35">
      <c r="A3560">
        <v>3544</v>
      </c>
      <c r="B3560" s="75">
        <v>89.880799999999994</v>
      </c>
      <c r="C3560" s="75">
        <v>97.990200000000002</v>
      </c>
      <c r="D3560" s="75">
        <v>94.469899999999996</v>
      </c>
      <c r="E3560" s="75">
        <v>93.602999999999994</v>
      </c>
      <c r="F3560">
        <v>-1079.76</v>
      </c>
      <c r="G3560">
        <v>329.55</v>
      </c>
      <c r="H3560">
        <v>-3307.6</v>
      </c>
      <c r="I3560">
        <v>-222.39999999999998</v>
      </c>
      <c r="J3560">
        <v>-4280.21</v>
      </c>
    </row>
    <row r="3561" spans="1:10" x14ac:dyDescent="0.35">
      <c r="A3561">
        <v>3545</v>
      </c>
      <c r="B3561" s="75">
        <v>90.14</v>
      </c>
      <c r="C3561" s="75">
        <v>97.75</v>
      </c>
      <c r="D3561" s="75">
        <v>95.97</v>
      </c>
      <c r="E3561" s="75">
        <v>94.89</v>
      </c>
      <c r="F3561">
        <v>-1926.87</v>
      </c>
      <c r="G3561">
        <v>685.05</v>
      </c>
      <c r="H3561">
        <v>-6307.4000000000005</v>
      </c>
      <c r="I3561">
        <v>-1506</v>
      </c>
      <c r="J3561">
        <v>-9055.2200000000012</v>
      </c>
    </row>
    <row r="3562" spans="1:10" x14ac:dyDescent="0.35">
      <c r="A3562">
        <v>3546</v>
      </c>
      <c r="B3562" s="75">
        <v>90.491200000000006</v>
      </c>
      <c r="C3562" s="75">
        <v>96.768699999999995</v>
      </c>
      <c r="D3562" s="75">
        <v>93.290400000000005</v>
      </c>
      <c r="E3562" s="75">
        <v>95.009399999999999</v>
      </c>
      <c r="F3562">
        <v>-3094.08</v>
      </c>
      <c r="G3562">
        <v>2161.8000000000002</v>
      </c>
      <c r="H3562">
        <v>-948.6</v>
      </c>
      <c r="I3562">
        <v>-1628.8</v>
      </c>
      <c r="J3562">
        <v>-3509.6799999999994</v>
      </c>
    </row>
    <row r="3563" spans="1:10" x14ac:dyDescent="0.35">
      <c r="A3563">
        <v>3547</v>
      </c>
      <c r="B3563" s="75">
        <v>89.65</v>
      </c>
      <c r="C3563" s="75">
        <v>98.51</v>
      </c>
      <c r="D3563" s="75">
        <v>91.71</v>
      </c>
      <c r="E3563" s="75">
        <v>92.63</v>
      </c>
      <c r="F3563">
        <v>-305.91000000000003</v>
      </c>
      <c r="G3563">
        <v>-451.35</v>
      </c>
      <c r="H3563">
        <v>2213.8000000000002</v>
      </c>
      <c r="I3563">
        <v>754.3</v>
      </c>
      <c r="J3563">
        <v>2210.84</v>
      </c>
    </row>
    <row r="3564" spans="1:10" x14ac:dyDescent="0.35">
      <c r="A3564">
        <v>3548</v>
      </c>
      <c r="B3564" s="75">
        <v>90.140500000000003</v>
      </c>
      <c r="C3564" s="75">
        <v>99.8827</v>
      </c>
      <c r="D3564" s="75">
        <v>91.949600000000004</v>
      </c>
      <c r="E3564" s="75">
        <v>94.607500000000002</v>
      </c>
      <c r="F3564">
        <v>-1936.77</v>
      </c>
      <c r="G3564">
        <v>-2509.2000000000003</v>
      </c>
      <c r="H3564">
        <v>1733</v>
      </c>
      <c r="I3564">
        <v>-1226.9000000000001</v>
      </c>
      <c r="J3564">
        <v>-3939.8700000000003</v>
      </c>
    </row>
    <row r="3565" spans="1:10" x14ac:dyDescent="0.35">
      <c r="A3565">
        <v>3549</v>
      </c>
      <c r="B3565" s="75">
        <v>89.68</v>
      </c>
      <c r="C3565" s="75">
        <v>97.45</v>
      </c>
      <c r="D3565" s="75">
        <v>93.74</v>
      </c>
      <c r="E3565" s="75">
        <v>91.62</v>
      </c>
      <c r="F3565">
        <v>-419.76000000000005</v>
      </c>
      <c r="G3565">
        <v>1144.8</v>
      </c>
      <c r="H3565">
        <v>-1852.2</v>
      </c>
      <c r="I3565">
        <v>1761.5</v>
      </c>
      <c r="J3565">
        <v>634.33999999999992</v>
      </c>
    </row>
    <row r="3566" spans="1:10" x14ac:dyDescent="0.35">
      <c r="A3566">
        <v>3550</v>
      </c>
      <c r="B3566" s="75">
        <v>88.807599999999994</v>
      </c>
      <c r="C3566" s="75">
        <v>99.354299999999995</v>
      </c>
      <c r="D3566" s="75">
        <v>92.711600000000004</v>
      </c>
      <c r="E3566" s="75">
        <v>96.163300000000007</v>
      </c>
      <c r="F3566">
        <v>2461.8000000000002</v>
      </c>
      <c r="G3566">
        <v>-1716.6000000000001</v>
      </c>
      <c r="H3566">
        <v>209</v>
      </c>
      <c r="I3566">
        <v>-2782.7000000000003</v>
      </c>
      <c r="J3566">
        <v>-1828.5000000000002</v>
      </c>
    </row>
    <row r="3567" spans="1:10" x14ac:dyDescent="0.35">
      <c r="A3567">
        <v>3551</v>
      </c>
      <c r="B3567" s="75">
        <v>90.08</v>
      </c>
      <c r="C3567" s="75">
        <v>97.97</v>
      </c>
      <c r="D3567" s="75">
        <v>92.06</v>
      </c>
      <c r="E3567" s="75">
        <v>90.71</v>
      </c>
      <c r="F3567">
        <v>-1720.9499999999998</v>
      </c>
      <c r="G3567">
        <v>359.1</v>
      </c>
      <c r="H3567">
        <v>1512.8</v>
      </c>
      <c r="I3567">
        <v>2670</v>
      </c>
      <c r="J3567">
        <v>2820.95</v>
      </c>
    </row>
    <row r="3568" spans="1:10" x14ac:dyDescent="0.35">
      <c r="A3568">
        <v>3552</v>
      </c>
      <c r="B3568" s="75">
        <v>89.868899999999996</v>
      </c>
      <c r="C3568" s="75">
        <v>99.170599999999993</v>
      </c>
      <c r="D3568" s="75">
        <v>92.362300000000005</v>
      </c>
      <c r="E3568" s="75">
        <v>94.180599999999998</v>
      </c>
      <c r="F3568">
        <v>-1040.49</v>
      </c>
      <c r="G3568">
        <v>-1441.05</v>
      </c>
      <c r="H3568">
        <v>907.59999999999991</v>
      </c>
      <c r="I3568">
        <v>-800</v>
      </c>
      <c r="J3568">
        <v>-2373.94</v>
      </c>
    </row>
    <row r="3569" spans="1:10" x14ac:dyDescent="0.35">
      <c r="A3569">
        <v>3553</v>
      </c>
      <c r="B3569" s="75">
        <v>90.11</v>
      </c>
      <c r="C3569" s="75">
        <v>97.63</v>
      </c>
      <c r="D3569" s="75">
        <v>93.06</v>
      </c>
      <c r="E3569" s="75">
        <v>93.72</v>
      </c>
      <c r="F3569">
        <v>-1829.19</v>
      </c>
      <c r="G3569">
        <v>865.64999999999986</v>
      </c>
      <c r="H3569">
        <v>-488.59999999999997</v>
      </c>
      <c r="I3569">
        <v>-336.6</v>
      </c>
      <c r="J3569">
        <v>-1788.7400000000002</v>
      </c>
    </row>
    <row r="3570" spans="1:10" x14ac:dyDescent="0.35">
      <c r="A3570">
        <v>3554</v>
      </c>
      <c r="B3570" s="75">
        <v>89.870199999999997</v>
      </c>
      <c r="C3570" s="75">
        <v>97.8583</v>
      </c>
      <c r="D3570" s="75">
        <v>91.590800000000002</v>
      </c>
      <c r="E3570" s="75">
        <v>94.282200000000003</v>
      </c>
      <c r="F3570">
        <v>-1044.78</v>
      </c>
      <c r="G3570">
        <v>527.40000000000009</v>
      </c>
      <c r="H3570">
        <v>2450.6</v>
      </c>
      <c r="I3570">
        <v>-901.59999999999991</v>
      </c>
      <c r="J3570">
        <v>1031.6200000000001</v>
      </c>
    </row>
    <row r="3571" spans="1:10" x14ac:dyDescent="0.35">
      <c r="A3571">
        <v>3555</v>
      </c>
      <c r="B3571" s="75">
        <v>89.7</v>
      </c>
      <c r="C3571" s="75">
        <v>97.83</v>
      </c>
      <c r="D3571" s="75">
        <v>91.05</v>
      </c>
      <c r="E3571" s="75">
        <v>93.85</v>
      </c>
      <c r="F3571">
        <v>-474.54</v>
      </c>
      <c r="G3571">
        <v>569.54999999999995</v>
      </c>
      <c r="H3571">
        <v>3530.6000000000004</v>
      </c>
      <c r="I3571">
        <v>-466.5</v>
      </c>
      <c r="J3571">
        <v>3159.11</v>
      </c>
    </row>
    <row r="3572" spans="1:10" x14ac:dyDescent="0.35">
      <c r="A3572">
        <v>3556</v>
      </c>
      <c r="B3572" s="75">
        <v>89.583299999999994</v>
      </c>
      <c r="C3572" s="75">
        <v>98.081699999999998</v>
      </c>
      <c r="D3572" s="75">
        <v>93.511600000000001</v>
      </c>
      <c r="E3572" s="75">
        <v>92.278000000000006</v>
      </c>
      <c r="F3572">
        <v>-98.01</v>
      </c>
      <c r="G3572">
        <v>192.3</v>
      </c>
      <c r="H3572">
        <v>-1391</v>
      </c>
      <c r="I3572">
        <v>1102.6000000000001</v>
      </c>
      <c r="J3572">
        <v>-194.1099999999999</v>
      </c>
    </row>
    <row r="3573" spans="1:10" x14ac:dyDescent="0.35">
      <c r="A3573">
        <v>3557</v>
      </c>
      <c r="B3573" s="75">
        <v>89.98</v>
      </c>
      <c r="C3573" s="75">
        <v>99.14</v>
      </c>
      <c r="D3573" s="75">
        <v>93.06</v>
      </c>
      <c r="E3573" s="75">
        <v>94.53</v>
      </c>
      <c r="F3573">
        <v>-1390.62</v>
      </c>
      <c r="G3573">
        <v>-1387.8</v>
      </c>
      <c r="H3573">
        <v>-482.8</v>
      </c>
      <c r="I3573">
        <v>-1151.8999999999999</v>
      </c>
      <c r="J3573">
        <v>-4413.12</v>
      </c>
    </row>
    <row r="3574" spans="1:10" x14ac:dyDescent="0.35">
      <c r="A3574">
        <v>3558</v>
      </c>
      <c r="B3574" s="75">
        <v>90.021600000000007</v>
      </c>
      <c r="C3574" s="75">
        <v>98.478700000000003</v>
      </c>
      <c r="D3574" s="75">
        <v>93.503900000000002</v>
      </c>
      <c r="E3574" s="75">
        <v>96.038200000000003</v>
      </c>
      <c r="F3574">
        <v>-1544.4</v>
      </c>
      <c r="G3574">
        <v>-403.2</v>
      </c>
      <c r="H3574">
        <v>-1375.6</v>
      </c>
      <c r="I3574">
        <v>-2657.6</v>
      </c>
      <c r="J3574">
        <v>-5980.7999999999993</v>
      </c>
    </row>
    <row r="3575" spans="1:10" x14ac:dyDescent="0.35">
      <c r="A3575">
        <v>3559</v>
      </c>
      <c r="B3575" s="75">
        <v>89.89</v>
      </c>
      <c r="C3575" s="75">
        <v>98.04</v>
      </c>
      <c r="D3575" s="75">
        <v>93.11</v>
      </c>
      <c r="E3575" s="75">
        <v>92.7</v>
      </c>
      <c r="F3575">
        <v>-1123.32</v>
      </c>
      <c r="G3575">
        <v>248.85</v>
      </c>
      <c r="H3575">
        <v>-581.79999999999995</v>
      </c>
      <c r="I3575">
        <v>683</v>
      </c>
      <c r="J3575">
        <v>-773.27</v>
      </c>
    </row>
    <row r="3576" spans="1:10" x14ac:dyDescent="0.35">
      <c r="A3576">
        <v>3560</v>
      </c>
      <c r="B3576" s="75">
        <v>89.400899999999993</v>
      </c>
      <c r="C3576" s="75">
        <v>99.644599999999997</v>
      </c>
      <c r="D3576" s="75">
        <v>91.998000000000005</v>
      </c>
      <c r="E3576" s="75">
        <v>93.848500000000001</v>
      </c>
      <c r="F3576">
        <v>503.91</v>
      </c>
      <c r="G3576">
        <v>-2152.0500000000002</v>
      </c>
      <c r="H3576">
        <v>1636.2</v>
      </c>
      <c r="I3576">
        <v>-467.9</v>
      </c>
      <c r="J3576">
        <v>-479.84000000000003</v>
      </c>
    </row>
    <row r="3577" spans="1:10" x14ac:dyDescent="0.35">
      <c r="A3577">
        <v>3561</v>
      </c>
      <c r="B3577" s="75">
        <v>89.59</v>
      </c>
      <c r="C3577" s="75">
        <v>97.93</v>
      </c>
      <c r="D3577" s="75">
        <v>91.8</v>
      </c>
      <c r="E3577" s="75">
        <v>93.95</v>
      </c>
      <c r="F3577">
        <v>-111.53999999999999</v>
      </c>
      <c r="G3577">
        <v>417.15000000000003</v>
      </c>
      <c r="H3577">
        <v>2026.8000000000002</v>
      </c>
      <c r="I3577">
        <v>-567.4</v>
      </c>
      <c r="J3577">
        <v>1765.0100000000002</v>
      </c>
    </row>
    <row r="3578" spans="1:10" x14ac:dyDescent="0.35">
      <c r="A3578">
        <v>3562</v>
      </c>
      <c r="B3578" s="75">
        <v>89.631399999999999</v>
      </c>
      <c r="C3578" s="75">
        <v>97.789400000000001</v>
      </c>
      <c r="D3578" s="75">
        <v>93.578800000000001</v>
      </c>
      <c r="E3578" s="75">
        <v>94.783100000000005</v>
      </c>
      <c r="F3578">
        <v>-256.74</v>
      </c>
      <c r="G3578">
        <v>630.75</v>
      </c>
      <c r="H3578">
        <v>-1525.4</v>
      </c>
      <c r="I3578">
        <v>-1402.5</v>
      </c>
      <c r="J3578">
        <v>-2553.8900000000003</v>
      </c>
    </row>
    <row r="3579" spans="1:10" x14ac:dyDescent="0.35">
      <c r="A3579">
        <v>3563</v>
      </c>
      <c r="B3579" s="75">
        <v>88.09</v>
      </c>
      <c r="C3579" s="75">
        <v>97.03</v>
      </c>
      <c r="D3579" s="75">
        <v>92.19</v>
      </c>
      <c r="E3579" s="75">
        <v>93.58</v>
      </c>
      <c r="F3579">
        <v>4839.12</v>
      </c>
      <c r="G3579">
        <v>1776.7500000000002</v>
      </c>
      <c r="H3579">
        <v>1245.4000000000001</v>
      </c>
      <c r="I3579">
        <v>-195.39999999999998</v>
      </c>
      <c r="J3579">
        <v>7665.8700000000008</v>
      </c>
    </row>
    <row r="3580" spans="1:10" x14ac:dyDescent="0.35">
      <c r="A3580">
        <v>3564</v>
      </c>
      <c r="B3580" s="75">
        <v>89.200299999999999</v>
      </c>
      <c r="C3580" s="75">
        <v>95.010199999999998</v>
      </c>
      <c r="D3580" s="75">
        <v>92.811800000000005</v>
      </c>
      <c r="E3580" s="75">
        <v>93.302499999999995</v>
      </c>
      <c r="F3580">
        <v>1165.8900000000001</v>
      </c>
      <c r="G3580">
        <v>4799.55</v>
      </c>
      <c r="H3580">
        <v>8.6</v>
      </c>
      <c r="I3580">
        <v>78.100000000000009</v>
      </c>
      <c r="J3580">
        <v>6052.1400000000012</v>
      </c>
    </row>
    <row r="3581" spans="1:10" x14ac:dyDescent="0.35">
      <c r="A3581">
        <v>3565</v>
      </c>
      <c r="B3581" s="75">
        <v>89.46</v>
      </c>
      <c r="C3581" s="75">
        <v>97</v>
      </c>
      <c r="D3581" s="75">
        <v>94.42</v>
      </c>
      <c r="E3581" s="75">
        <v>96.44</v>
      </c>
      <c r="F3581">
        <v>301.62</v>
      </c>
      <c r="G3581">
        <v>1819.2</v>
      </c>
      <c r="H3581">
        <v>-3213.8</v>
      </c>
      <c r="I3581">
        <v>-3058.2</v>
      </c>
      <c r="J3581">
        <v>-4151.18</v>
      </c>
    </row>
    <row r="3582" spans="1:10" x14ac:dyDescent="0.35">
      <c r="A3582">
        <v>3566</v>
      </c>
      <c r="B3582" s="75">
        <v>90.249399999999994</v>
      </c>
      <c r="C3582" s="75">
        <v>99.662999999999997</v>
      </c>
      <c r="D3582" s="75">
        <v>93.129300000000001</v>
      </c>
      <c r="E3582" s="75">
        <v>96.884299999999996</v>
      </c>
      <c r="F3582">
        <v>-2296.14</v>
      </c>
      <c r="G3582">
        <v>-2179.65</v>
      </c>
      <c r="H3582">
        <v>-626.4</v>
      </c>
      <c r="I3582">
        <v>-3503.7</v>
      </c>
      <c r="J3582">
        <v>-8605.89</v>
      </c>
    </row>
    <row r="3583" spans="1:10" x14ac:dyDescent="0.35">
      <c r="A3583">
        <v>3567</v>
      </c>
      <c r="B3583" s="75">
        <v>88.9</v>
      </c>
      <c r="C3583" s="75">
        <v>98.96</v>
      </c>
      <c r="D3583" s="75">
        <v>93.78</v>
      </c>
      <c r="E3583" s="75">
        <v>95.01</v>
      </c>
      <c r="F3583">
        <v>2145.9899999999998</v>
      </c>
      <c r="G3583">
        <v>-1125.9000000000001</v>
      </c>
      <c r="H3583">
        <v>-1919.8</v>
      </c>
      <c r="I3583">
        <v>-1630.2</v>
      </c>
      <c r="J3583">
        <v>-2529.9100000000003</v>
      </c>
    </row>
    <row r="3584" spans="1:10" x14ac:dyDescent="0.35">
      <c r="A3584">
        <v>3568</v>
      </c>
      <c r="B3584" s="75">
        <v>89.397800000000004</v>
      </c>
      <c r="C3584" s="75">
        <v>97.048299999999998</v>
      </c>
      <c r="D3584" s="75">
        <v>93.179000000000002</v>
      </c>
      <c r="E3584" s="75">
        <v>94.862499999999997</v>
      </c>
      <c r="F3584">
        <v>514.14</v>
      </c>
      <c r="G3584">
        <v>1742.3999999999999</v>
      </c>
      <c r="H3584">
        <v>-725.8</v>
      </c>
      <c r="I3584">
        <v>-1481.9</v>
      </c>
      <c r="J3584">
        <v>48.839999999999918</v>
      </c>
    </row>
    <row r="3585" spans="1:10" x14ac:dyDescent="0.35">
      <c r="A3585">
        <v>3569</v>
      </c>
      <c r="B3585" s="75">
        <v>89.68</v>
      </c>
      <c r="C3585" s="75">
        <v>98.35</v>
      </c>
      <c r="D3585" s="75">
        <v>92.07</v>
      </c>
      <c r="E3585" s="75">
        <v>95.79</v>
      </c>
      <c r="F3585">
        <v>-433.29</v>
      </c>
      <c r="G3585">
        <v>-212.1</v>
      </c>
      <c r="H3585">
        <v>1487.2</v>
      </c>
      <c r="I3585">
        <v>-2413.1</v>
      </c>
      <c r="J3585">
        <v>-1571.29</v>
      </c>
    </row>
    <row r="3586" spans="1:10" x14ac:dyDescent="0.35">
      <c r="A3586">
        <v>3570</v>
      </c>
      <c r="B3586" s="75">
        <v>88.887799999999999</v>
      </c>
      <c r="C3586" s="75">
        <v>98.256799999999998</v>
      </c>
      <c r="D3586" s="75">
        <v>92.281000000000006</v>
      </c>
      <c r="E3586" s="75">
        <v>90.794200000000004</v>
      </c>
      <c r="F3586">
        <v>2197.14</v>
      </c>
      <c r="G3586">
        <v>-70.349999999999994</v>
      </c>
      <c r="H3586">
        <v>1070.2</v>
      </c>
      <c r="I3586">
        <v>2586.3999999999996</v>
      </c>
      <c r="J3586">
        <v>5783.3899999999994</v>
      </c>
    </row>
    <row r="3587" spans="1:10" x14ac:dyDescent="0.35">
      <c r="A3587">
        <v>3571</v>
      </c>
      <c r="B3587" s="75">
        <v>90.57</v>
      </c>
      <c r="C3587" s="75">
        <v>97.67</v>
      </c>
      <c r="D3587" s="75">
        <v>93.58</v>
      </c>
      <c r="E3587" s="75">
        <v>92.4</v>
      </c>
      <c r="F3587">
        <v>-3337.6200000000003</v>
      </c>
      <c r="G3587">
        <v>811.35</v>
      </c>
      <c r="H3587">
        <v>-1530.8</v>
      </c>
      <c r="I3587">
        <v>979.9</v>
      </c>
      <c r="J3587">
        <v>-3077.1700000000005</v>
      </c>
    </row>
    <row r="3588" spans="1:10" x14ac:dyDescent="0.35">
      <c r="A3588">
        <v>3572</v>
      </c>
      <c r="B3588" s="75">
        <v>90.143799999999999</v>
      </c>
      <c r="C3588" s="75">
        <v>98.290999999999997</v>
      </c>
      <c r="D3588" s="75">
        <v>92.343900000000005</v>
      </c>
      <c r="E3588" s="75">
        <v>94.503600000000006</v>
      </c>
      <c r="F3588">
        <v>-1947.6599999999999</v>
      </c>
      <c r="G3588">
        <v>-121.65</v>
      </c>
      <c r="H3588">
        <v>944.4</v>
      </c>
      <c r="I3588">
        <v>-1123</v>
      </c>
      <c r="J3588">
        <v>-2247.91</v>
      </c>
    </row>
    <row r="3589" spans="1:10" x14ac:dyDescent="0.35">
      <c r="A3589">
        <v>3573</v>
      </c>
      <c r="B3589" s="75">
        <v>89.68</v>
      </c>
      <c r="C3589" s="75">
        <v>98.06</v>
      </c>
      <c r="D3589" s="75">
        <v>93.19</v>
      </c>
      <c r="E3589" s="75">
        <v>93.01</v>
      </c>
      <c r="F3589">
        <v>-426.36</v>
      </c>
      <c r="G3589">
        <v>221.85</v>
      </c>
      <c r="H3589">
        <v>-739.19999999999993</v>
      </c>
      <c r="I3589">
        <v>370.2</v>
      </c>
      <c r="J3589">
        <v>-573.51</v>
      </c>
    </row>
    <row r="3590" spans="1:10" x14ac:dyDescent="0.35">
      <c r="A3590">
        <v>3574</v>
      </c>
      <c r="B3590" s="75">
        <v>89.432500000000005</v>
      </c>
      <c r="C3590" s="75">
        <v>99.042100000000005</v>
      </c>
      <c r="D3590" s="75">
        <v>94.122</v>
      </c>
      <c r="E3590" s="75">
        <v>94.789100000000005</v>
      </c>
      <c r="F3590">
        <v>399.63</v>
      </c>
      <c r="G3590">
        <v>-1248.3000000000002</v>
      </c>
      <c r="H3590">
        <v>-2611.8000000000002</v>
      </c>
      <c r="I3590">
        <v>-1408.5</v>
      </c>
      <c r="J3590">
        <v>-4868.97</v>
      </c>
    </row>
    <row r="3591" spans="1:10" x14ac:dyDescent="0.35">
      <c r="A3591">
        <v>3575</v>
      </c>
      <c r="B3591" s="75">
        <v>89.47</v>
      </c>
      <c r="C3591" s="75">
        <v>96.69</v>
      </c>
      <c r="D3591" s="75">
        <v>92.32</v>
      </c>
      <c r="E3591" s="75">
        <v>88.99</v>
      </c>
      <c r="F3591">
        <v>291.39</v>
      </c>
      <c r="G3591">
        <v>2275.9500000000003</v>
      </c>
      <c r="H3591">
        <v>982.6</v>
      </c>
      <c r="I3591">
        <v>4387.6000000000004</v>
      </c>
      <c r="J3591">
        <v>7937.5400000000009</v>
      </c>
    </row>
    <row r="3592" spans="1:10" x14ac:dyDescent="0.35">
      <c r="A3592">
        <v>3576</v>
      </c>
      <c r="B3592" s="75">
        <v>89.522599999999997</v>
      </c>
      <c r="C3592" s="75">
        <v>98.089699999999993</v>
      </c>
      <c r="D3592" s="75">
        <v>93.448700000000002</v>
      </c>
      <c r="E3592" s="75">
        <v>93.180099999999996</v>
      </c>
      <c r="F3592">
        <v>102.3</v>
      </c>
      <c r="G3592">
        <v>180.3</v>
      </c>
      <c r="H3592">
        <v>-1265.2</v>
      </c>
      <c r="I3592">
        <v>200.5</v>
      </c>
      <c r="J3592">
        <v>-782.1</v>
      </c>
    </row>
    <row r="3593" spans="1:10" x14ac:dyDescent="0.35">
      <c r="A3593">
        <v>3577</v>
      </c>
      <c r="B3593" s="75">
        <v>90.2</v>
      </c>
      <c r="C3593" s="75">
        <v>96.49</v>
      </c>
      <c r="D3593" s="75">
        <v>92.03</v>
      </c>
      <c r="E3593" s="75">
        <v>93.83</v>
      </c>
      <c r="F3593">
        <v>-2142.36</v>
      </c>
      <c r="G3593">
        <v>2573.1</v>
      </c>
      <c r="H3593">
        <v>1573.1999999999998</v>
      </c>
      <c r="I3593">
        <v>-446.1</v>
      </c>
      <c r="J3593">
        <v>1557.8399999999997</v>
      </c>
    </row>
    <row r="3594" spans="1:10" x14ac:dyDescent="0.35">
      <c r="A3594">
        <v>3578</v>
      </c>
      <c r="B3594" s="75">
        <v>89.235100000000003</v>
      </c>
      <c r="C3594" s="75">
        <v>98.276600000000002</v>
      </c>
      <c r="D3594" s="75">
        <v>93.909499999999994</v>
      </c>
      <c r="E3594" s="75">
        <v>92.311199999999999</v>
      </c>
      <c r="F3594">
        <v>1051.05</v>
      </c>
      <c r="G3594">
        <v>-100.05</v>
      </c>
      <c r="H3594">
        <v>-2186.7999999999997</v>
      </c>
      <c r="I3594">
        <v>1069.3999999999999</v>
      </c>
      <c r="J3594">
        <v>-166.39999999999986</v>
      </c>
    </row>
    <row r="3595" spans="1:10" x14ac:dyDescent="0.35">
      <c r="A3595">
        <v>3579</v>
      </c>
      <c r="B3595" s="75">
        <v>89.57</v>
      </c>
      <c r="C3595" s="75">
        <v>98.18</v>
      </c>
      <c r="D3595" s="75">
        <v>91.87</v>
      </c>
      <c r="E3595" s="75">
        <v>91.47</v>
      </c>
      <c r="F3595">
        <v>-60.39</v>
      </c>
      <c r="G3595">
        <v>39.9</v>
      </c>
      <c r="H3595">
        <v>1885.3999999999999</v>
      </c>
      <c r="I3595">
        <v>1912.3000000000002</v>
      </c>
      <c r="J3595">
        <v>3777.21</v>
      </c>
    </row>
    <row r="3596" spans="1:10" x14ac:dyDescent="0.35">
      <c r="A3596">
        <v>3580</v>
      </c>
      <c r="B3596" s="75">
        <v>89.145799999999994</v>
      </c>
      <c r="C3596" s="75">
        <v>98.498699999999999</v>
      </c>
      <c r="D3596" s="75">
        <v>91.743099999999998</v>
      </c>
      <c r="E3596" s="75">
        <v>93.289400000000001</v>
      </c>
      <c r="F3596">
        <v>1345.74</v>
      </c>
      <c r="G3596">
        <v>-433.2</v>
      </c>
      <c r="H3596">
        <v>2146</v>
      </c>
      <c r="I3596">
        <v>91.2</v>
      </c>
      <c r="J3596">
        <v>3149.74</v>
      </c>
    </row>
    <row r="3597" spans="1:10" x14ac:dyDescent="0.35">
      <c r="A3597">
        <v>3581</v>
      </c>
      <c r="B3597" s="75">
        <v>90.55</v>
      </c>
      <c r="C3597" s="75">
        <v>98.6</v>
      </c>
      <c r="D3597" s="75">
        <v>93.62</v>
      </c>
      <c r="E3597" s="75">
        <v>93.73</v>
      </c>
      <c r="F3597">
        <v>-3278.55</v>
      </c>
      <c r="G3597">
        <v>-584.85</v>
      </c>
      <c r="H3597">
        <v>-1607</v>
      </c>
      <c r="I3597">
        <v>-350.4</v>
      </c>
      <c r="J3597">
        <v>-5820.7999999999993</v>
      </c>
    </row>
    <row r="3598" spans="1:10" x14ac:dyDescent="0.35">
      <c r="A3598">
        <v>3582</v>
      </c>
      <c r="B3598" s="75">
        <v>89.487200000000001</v>
      </c>
      <c r="C3598" s="75">
        <v>97.721699999999998</v>
      </c>
      <c r="D3598" s="75">
        <v>93.543400000000005</v>
      </c>
      <c r="E3598" s="75">
        <v>93.051699999999997</v>
      </c>
      <c r="F3598">
        <v>219.12</v>
      </c>
      <c r="G3598">
        <v>732.30000000000007</v>
      </c>
      <c r="H3598">
        <v>-1454.6</v>
      </c>
      <c r="I3598">
        <v>328.90000000000003</v>
      </c>
      <c r="J3598">
        <v>-174.2799999999998</v>
      </c>
    </row>
    <row r="3599" spans="1:10" x14ac:dyDescent="0.35">
      <c r="A3599">
        <v>3583</v>
      </c>
      <c r="B3599" s="75">
        <v>89.86</v>
      </c>
      <c r="C3599" s="75">
        <v>97.31</v>
      </c>
      <c r="D3599" s="75">
        <v>94.29</v>
      </c>
      <c r="E3599" s="75">
        <v>93.43</v>
      </c>
      <c r="F3599">
        <v>-997.2600000000001</v>
      </c>
      <c r="G3599">
        <v>1356.8999999999999</v>
      </c>
      <c r="H3599">
        <v>-2940.2</v>
      </c>
      <c r="I3599">
        <v>-50.5</v>
      </c>
      <c r="J3599">
        <v>-2631.06</v>
      </c>
    </row>
    <row r="3600" spans="1:10" x14ac:dyDescent="0.35">
      <c r="A3600">
        <v>3584</v>
      </c>
      <c r="B3600" s="75">
        <v>88.996700000000004</v>
      </c>
      <c r="C3600" s="75">
        <v>97.714699999999993</v>
      </c>
      <c r="D3600" s="75">
        <v>92.455699999999993</v>
      </c>
      <c r="E3600" s="75">
        <v>94.935599999999994</v>
      </c>
      <c r="F3600">
        <v>1837.7699999999998</v>
      </c>
      <c r="G3600">
        <v>742.8</v>
      </c>
      <c r="H3600">
        <v>720.8</v>
      </c>
      <c r="I3600">
        <v>-1555</v>
      </c>
      <c r="J3600">
        <v>1746.37</v>
      </c>
    </row>
    <row r="3601" spans="1:10" x14ac:dyDescent="0.35">
      <c r="A3601">
        <v>3585</v>
      </c>
      <c r="B3601" s="75">
        <v>90.39</v>
      </c>
      <c r="C3601" s="75">
        <v>98.01</v>
      </c>
      <c r="D3601" s="75">
        <v>92.18</v>
      </c>
      <c r="E3601" s="75">
        <v>95.86</v>
      </c>
      <c r="F3601">
        <v>-2744.61</v>
      </c>
      <c r="G3601">
        <v>303.45</v>
      </c>
      <c r="H3601">
        <v>1275.4000000000001</v>
      </c>
      <c r="I3601">
        <v>-2483.2999999999997</v>
      </c>
      <c r="J3601">
        <v>-3649.06</v>
      </c>
    </row>
    <row r="3602" spans="1:10" x14ac:dyDescent="0.35">
      <c r="A3602">
        <v>3586</v>
      </c>
      <c r="B3602" s="75">
        <v>88.897000000000006</v>
      </c>
      <c r="C3602" s="75">
        <v>98.325599999999994</v>
      </c>
      <c r="D3602" s="75">
        <v>92.818600000000004</v>
      </c>
      <c r="E3602" s="75">
        <v>92.007599999999996</v>
      </c>
      <c r="F3602">
        <v>2166.7799999999997</v>
      </c>
      <c r="G3602">
        <v>-173.54999999999998</v>
      </c>
      <c r="H3602">
        <v>-5</v>
      </c>
      <c r="I3602">
        <v>1373</v>
      </c>
      <c r="J3602">
        <v>3361.2299999999996</v>
      </c>
    </row>
    <row r="3603" spans="1:10" x14ac:dyDescent="0.35">
      <c r="A3603">
        <v>3587</v>
      </c>
      <c r="B3603" s="75">
        <v>89.9</v>
      </c>
      <c r="C3603" s="75">
        <v>96.99</v>
      </c>
      <c r="D3603" s="75">
        <v>93.02</v>
      </c>
      <c r="E3603" s="75">
        <v>90.65</v>
      </c>
      <c r="F3603">
        <v>-1128.6000000000001</v>
      </c>
      <c r="G3603">
        <v>1832.25</v>
      </c>
      <c r="H3603">
        <v>-402.2</v>
      </c>
      <c r="I3603">
        <v>2731.3</v>
      </c>
      <c r="J3603">
        <v>3032.75</v>
      </c>
    </row>
    <row r="3604" spans="1:10" x14ac:dyDescent="0.35">
      <c r="A3604">
        <v>3588</v>
      </c>
      <c r="B3604" s="75">
        <v>89.837699999999998</v>
      </c>
      <c r="C3604" s="75">
        <v>99.001800000000003</v>
      </c>
      <c r="D3604" s="75">
        <v>93.595399999999998</v>
      </c>
      <c r="E3604" s="75">
        <v>93.455699999999993</v>
      </c>
      <c r="F3604">
        <v>-937.53000000000009</v>
      </c>
      <c r="G3604">
        <v>-1187.8500000000001</v>
      </c>
      <c r="H3604">
        <v>-1558.6</v>
      </c>
      <c r="I3604">
        <v>-75.099999999999994</v>
      </c>
      <c r="J3604">
        <v>-3759.08</v>
      </c>
    </row>
    <row r="3605" spans="1:10" x14ac:dyDescent="0.35">
      <c r="A3605">
        <v>3589</v>
      </c>
      <c r="B3605" s="75">
        <v>89.86</v>
      </c>
      <c r="C3605" s="75">
        <v>96.64</v>
      </c>
      <c r="D3605" s="75">
        <v>93.16</v>
      </c>
      <c r="E3605" s="75">
        <v>92.4</v>
      </c>
      <c r="F3605">
        <v>-1026.6299999999999</v>
      </c>
      <c r="G3605">
        <v>2351.4</v>
      </c>
      <c r="H3605">
        <v>-680</v>
      </c>
      <c r="I3605">
        <v>981.7</v>
      </c>
      <c r="J3605">
        <v>1626.4700000000003</v>
      </c>
    </row>
    <row r="3606" spans="1:10" x14ac:dyDescent="0.35">
      <c r="A3606">
        <v>3590</v>
      </c>
      <c r="B3606" s="75">
        <v>89.616699999999994</v>
      </c>
      <c r="C3606" s="75">
        <v>96.909899999999993</v>
      </c>
      <c r="D3606" s="75">
        <v>93.4358</v>
      </c>
      <c r="E3606" s="75">
        <v>92.919700000000006</v>
      </c>
      <c r="F3606">
        <v>-208.23000000000002</v>
      </c>
      <c r="G3606">
        <v>1950</v>
      </c>
      <c r="H3606">
        <v>-1239.4000000000001</v>
      </c>
      <c r="I3606">
        <v>460.9</v>
      </c>
      <c r="J3606">
        <v>963.26999999999987</v>
      </c>
    </row>
    <row r="3607" spans="1:10" x14ac:dyDescent="0.35">
      <c r="A3607">
        <v>3591</v>
      </c>
      <c r="B3607" s="75">
        <v>89.6</v>
      </c>
      <c r="C3607" s="75">
        <v>97.57</v>
      </c>
      <c r="D3607" s="75">
        <v>92.66</v>
      </c>
      <c r="E3607" s="75">
        <v>94.02</v>
      </c>
      <c r="F3607">
        <v>-149.49</v>
      </c>
      <c r="G3607">
        <v>966.74999999999989</v>
      </c>
      <c r="H3607">
        <v>319</v>
      </c>
      <c r="I3607">
        <v>-638</v>
      </c>
      <c r="J3607">
        <v>498.25999999999976</v>
      </c>
    </row>
    <row r="3608" spans="1:10" x14ac:dyDescent="0.35">
      <c r="A3608">
        <v>3592</v>
      </c>
      <c r="B3608" s="75">
        <v>88.9833</v>
      </c>
      <c r="C3608" s="75">
        <v>98.350899999999996</v>
      </c>
      <c r="D3608" s="75">
        <v>92.104100000000003</v>
      </c>
      <c r="E3608" s="75">
        <v>95.244100000000003</v>
      </c>
      <c r="F3608">
        <v>1881.99</v>
      </c>
      <c r="G3608">
        <v>-211.49999999999997</v>
      </c>
      <c r="H3608">
        <v>1424</v>
      </c>
      <c r="I3608">
        <v>-1863.5</v>
      </c>
      <c r="J3608">
        <v>1230.9899999999998</v>
      </c>
    </row>
    <row r="3609" spans="1:10" x14ac:dyDescent="0.35">
      <c r="A3609">
        <v>3593</v>
      </c>
      <c r="B3609" s="75">
        <v>89.81</v>
      </c>
      <c r="C3609" s="75">
        <v>99.12</v>
      </c>
      <c r="D3609" s="75">
        <v>93.09</v>
      </c>
      <c r="E3609" s="75">
        <v>95.54</v>
      </c>
      <c r="F3609">
        <v>-833.91</v>
      </c>
      <c r="G3609">
        <v>-1357.8</v>
      </c>
      <c r="H3609">
        <v>-549</v>
      </c>
      <c r="I3609">
        <v>-2161.7000000000003</v>
      </c>
      <c r="J3609">
        <v>-4902.41</v>
      </c>
    </row>
    <row r="3610" spans="1:10" x14ac:dyDescent="0.35">
      <c r="A3610">
        <v>3594</v>
      </c>
      <c r="B3610" s="75">
        <v>90.079899999999995</v>
      </c>
      <c r="C3610" s="75">
        <v>98.049099999999996</v>
      </c>
      <c r="D3610" s="75">
        <v>94.154200000000003</v>
      </c>
      <c r="E3610" s="75">
        <v>92.599599999999995</v>
      </c>
      <c r="F3610">
        <v>-1736.79</v>
      </c>
      <c r="G3610">
        <v>241.2</v>
      </c>
      <c r="H3610">
        <v>-2676.2000000000003</v>
      </c>
      <c r="I3610">
        <v>781</v>
      </c>
      <c r="J3610">
        <v>-3390.79</v>
      </c>
    </row>
    <row r="3611" spans="1:10" x14ac:dyDescent="0.35">
      <c r="A3611">
        <v>3595</v>
      </c>
      <c r="B3611" s="75">
        <v>89.44</v>
      </c>
      <c r="C3611" s="75">
        <v>97.89</v>
      </c>
      <c r="D3611" s="75">
        <v>92.97</v>
      </c>
      <c r="E3611" s="75">
        <v>96.35</v>
      </c>
      <c r="F3611">
        <v>389.4</v>
      </c>
      <c r="G3611">
        <v>479.4</v>
      </c>
      <c r="H3611">
        <v>-317.59999999999997</v>
      </c>
      <c r="I3611">
        <v>-2965.1</v>
      </c>
      <c r="J3611">
        <v>-2413.8999999999996</v>
      </c>
    </row>
    <row r="3612" spans="1:10" x14ac:dyDescent="0.35">
      <c r="A3612">
        <v>3596</v>
      </c>
      <c r="B3612" s="75">
        <v>88.795199999999994</v>
      </c>
      <c r="C3612" s="75">
        <v>98.087599999999995</v>
      </c>
      <c r="D3612" s="75">
        <v>92.943600000000004</v>
      </c>
      <c r="E3612" s="75">
        <v>93.103300000000004</v>
      </c>
      <c r="F3612">
        <v>2502.7199999999998</v>
      </c>
      <c r="G3612">
        <v>183.45000000000002</v>
      </c>
      <c r="H3612">
        <v>-255</v>
      </c>
      <c r="I3612">
        <v>277.3</v>
      </c>
      <c r="J3612">
        <v>2708.47</v>
      </c>
    </row>
    <row r="3613" spans="1:10" x14ac:dyDescent="0.35">
      <c r="A3613">
        <v>3597</v>
      </c>
      <c r="B3613" s="75">
        <v>89.64</v>
      </c>
      <c r="C3613" s="75">
        <v>98.1</v>
      </c>
      <c r="D3613" s="75">
        <v>91.4</v>
      </c>
      <c r="E3613" s="75">
        <v>93.09</v>
      </c>
      <c r="F3613">
        <v>-274.56</v>
      </c>
      <c r="G3613">
        <v>172.35</v>
      </c>
      <c r="H3613">
        <v>2836</v>
      </c>
      <c r="I3613">
        <v>294</v>
      </c>
      <c r="J3613">
        <v>3027.79</v>
      </c>
    </row>
    <row r="3614" spans="1:10" x14ac:dyDescent="0.35">
      <c r="A3614">
        <v>3598</v>
      </c>
      <c r="B3614" s="75">
        <v>89.371499999999997</v>
      </c>
      <c r="C3614" s="75">
        <v>98.840299999999999</v>
      </c>
      <c r="D3614" s="75">
        <v>93.918700000000001</v>
      </c>
      <c r="E3614" s="75">
        <v>94.802899999999994</v>
      </c>
      <c r="F3614">
        <v>600.93000000000006</v>
      </c>
      <c r="G3614">
        <v>-945.59999999999991</v>
      </c>
      <c r="H3614">
        <v>-2205.2000000000003</v>
      </c>
      <c r="I3614">
        <v>-1422.3</v>
      </c>
      <c r="J3614">
        <v>-3972.17</v>
      </c>
    </row>
    <row r="3615" spans="1:10" x14ac:dyDescent="0.35">
      <c r="A3615">
        <v>3599</v>
      </c>
      <c r="B3615" s="75">
        <v>90.72</v>
      </c>
      <c r="C3615" s="75">
        <v>97.53</v>
      </c>
      <c r="D3615" s="75">
        <v>92.75</v>
      </c>
      <c r="E3615" s="75">
        <v>94.98</v>
      </c>
      <c r="F3615">
        <v>-3841.2</v>
      </c>
      <c r="G3615">
        <v>1026.5999999999999</v>
      </c>
      <c r="H3615">
        <v>133.20000000000002</v>
      </c>
      <c r="I3615">
        <v>-1601.1</v>
      </c>
      <c r="J3615">
        <v>-4282.5</v>
      </c>
    </row>
    <row r="3616" spans="1:10" x14ac:dyDescent="0.35">
      <c r="A3616">
        <v>3600</v>
      </c>
      <c r="B3616" s="75">
        <v>90.310100000000006</v>
      </c>
      <c r="C3616" s="75">
        <v>99.065600000000003</v>
      </c>
      <c r="D3616" s="75">
        <v>91.283900000000003</v>
      </c>
      <c r="E3616" s="75">
        <v>92.6083</v>
      </c>
      <c r="F3616">
        <v>-2496.4499999999998</v>
      </c>
      <c r="G3616">
        <v>-1283.55</v>
      </c>
      <c r="H3616">
        <v>3064.4</v>
      </c>
      <c r="I3616">
        <v>772.3</v>
      </c>
      <c r="J3616">
        <v>56.700000000000045</v>
      </c>
    </row>
    <row r="3617" spans="1:10" x14ac:dyDescent="0.35">
      <c r="A3617">
        <v>3601</v>
      </c>
      <c r="B3617" s="75">
        <v>90.19</v>
      </c>
      <c r="C3617" s="75">
        <v>96.85</v>
      </c>
      <c r="D3617" s="75">
        <v>91.87</v>
      </c>
      <c r="E3617" s="75">
        <v>97.37</v>
      </c>
      <c r="F3617">
        <v>-2092.1999999999998</v>
      </c>
      <c r="G3617">
        <v>2046.9</v>
      </c>
      <c r="H3617">
        <v>1891.2</v>
      </c>
      <c r="I3617">
        <v>-3985.1</v>
      </c>
      <c r="J3617">
        <v>-2139.1999999999998</v>
      </c>
    </row>
    <row r="3618" spans="1:10" x14ac:dyDescent="0.35">
      <c r="A3618">
        <v>3602</v>
      </c>
      <c r="B3618" s="75">
        <v>90.361800000000002</v>
      </c>
      <c r="C3618" s="75">
        <v>99.38</v>
      </c>
      <c r="D3618" s="75">
        <v>93.004000000000005</v>
      </c>
      <c r="E3618" s="75">
        <v>92.000299999999996</v>
      </c>
      <c r="F3618">
        <v>-2667.06</v>
      </c>
      <c r="G3618">
        <v>-1755.1499999999999</v>
      </c>
      <c r="H3618">
        <v>-375.8</v>
      </c>
      <c r="I3618">
        <v>1380.3000000000002</v>
      </c>
      <c r="J3618">
        <v>-3417.71</v>
      </c>
    </row>
    <row r="3619" spans="1:10" x14ac:dyDescent="0.35">
      <c r="A3619">
        <v>3603</v>
      </c>
      <c r="B3619" s="75">
        <v>89.27</v>
      </c>
      <c r="C3619" s="75">
        <v>96.67</v>
      </c>
      <c r="D3619" s="75">
        <v>93.5</v>
      </c>
      <c r="E3619" s="75">
        <v>92.11</v>
      </c>
      <c r="F3619">
        <v>947.09999999999991</v>
      </c>
      <c r="G3619">
        <v>2302.7999999999997</v>
      </c>
      <c r="H3619">
        <v>-1374.4</v>
      </c>
      <c r="I3619">
        <v>1274.8</v>
      </c>
      <c r="J3619">
        <v>3150.2999999999993</v>
      </c>
    </row>
    <row r="3620" spans="1:10" x14ac:dyDescent="0.35">
      <c r="A3620">
        <v>3604</v>
      </c>
      <c r="B3620" s="75">
        <v>89.446200000000005</v>
      </c>
      <c r="C3620" s="75">
        <v>98.647300000000001</v>
      </c>
      <c r="D3620" s="75">
        <v>93.932299999999998</v>
      </c>
      <c r="E3620" s="75">
        <v>92.866399999999999</v>
      </c>
      <c r="F3620">
        <v>354.41999999999996</v>
      </c>
      <c r="G3620">
        <v>-656.1</v>
      </c>
      <c r="H3620">
        <v>-2232.4</v>
      </c>
      <c r="I3620">
        <v>514.20000000000005</v>
      </c>
      <c r="J3620">
        <v>-2019.8799999999999</v>
      </c>
    </row>
    <row r="3621" spans="1:10" x14ac:dyDescent="0.35">
      <c r="A3621">
        <v>3605</v>
      </c>
      <c r="B3621" s="75">
        <v>89.66</v>
      </c>
      <c r="C3621" s="75">
        <v>98.93</v>
      </c>
      <c r="D3621" s="75">
        <v>93.63</v>
      </c>
      <c r="E3621" s="75">
        <v>91.42</v>
      </c>
      <c r="F3621">
        <v>-349.14000000000004</v>
      </c>
      <c r="G3621">
        <v>-1080.3</v>
      </c>
      <c r="H3621">
        <v>-1634.6000000000001</v>
      </c>
      <c r="I3621">
        <v>1958.7</v>
      </c>
      <c r="J3621">
        <v>-1105.3399999999999</v>
      </c>
    </row>
    <row r="3622" spans="1:10" x14ac:dyDescent="0.35">
      <c r="A3622">
        <v>3606</v>
      </c>
      <c r="B3622" s="75">
        <v>89.916899999999998</v>
      </c>
      <c r="C3622" s="75">
        <v>99.264300000000006</v>
      </c>
      <c r="D3622" s="75">
        <v>92.204599999999999</v>
      </c>
      <c r="E3622" s="75">
        <v>94.493499999999997</v>
      </c>
      <c r="F3622">
        <v>-1198.8900000000001</v>
      </c>
      <c r="G3622">
        <v>-1581.6</v>
      </c>
      <c r="H3622">
        <v>1223</v>
      </c>
      <c r="I3622">
        <v>-1112.9000000000001</v>
      </c>
      <c r="J3622">
        <v>-2670.39</v>
      </c>
    </row>
    <row r="3623" spans="1:10" x14ac:dyDescent="0.35">
      <c r="A3623">
        <v>3607</v>
      </c>
      <c r="B3623" s="75">
        <v>89.62</v>
      </c>
      <c r="C3623" s="75">
        <v>97.32</v>
      </c>
      <c r="D3623" s="75">
        <v>93.89</v>
      </c>
      <c r="E3623" s="75">
        <v>95.02</v>
      </c>
      <c r="F3623">
        <v>-212.52</v>
      </c>
      <c r="G3623">
        <v>1341.45</v>
      </c>
      <c r="H3623">
        <v>-2156.4</v>
      </c>
      <c r="I3623">
        <v>-1635.3</v>
      </c>
      <c r="J3623">
        <v>-2662.77</v>
      </c>
    </row>
    <row r="3624" spans="1:10" x14ac:dyDescent="0.35">
      <c r="A3624">
        <v>3608</v>
      </c>
      <c r="B3624" s="75">
        <v>89.962299999999999</v>
      </c>
      <c r="C3624" s="75">
        <v>97.5107</v>
      </c>
      <c r="D3624" s="75">
        <v>91.661900000000003</v>
      </c>
      <c r="E3624" s="75">
        <v>96.947000000000003</v>
      </c>
      <c r="F3624">
        <v>-1348.71</v>
      </c>
      <c r="G3624">
        <v>1048.8</v>
      </c>
      <c r="H3624">
        <v>2308.3999999999996</v>
      </c>
      <c r="I3624">
        <v>-3566.3999999999996</v>
      </c>
      <c r="J3624">
        <v>-1557.91</v>
      </c>
    </row>
    <row r="3625" spans="1:10" x14ac:dyDescent="0.35">
      <c r="A3625">
        <v>3609</v>
      </c>
      <c r="B3625" s="75">
        <v>88.69</v>
      </c>
      <c r="C3625" s="75">
        <v>98.64</v>
      </c>
      <c r="D3625" s="75">
        <v>91.61</v>
      </c>
      <c r="E3625" s="75">
        <v>94.38</v>
      </c>
      <c r="F3625">
        <v>2864.07</v>
      </c>
      <c r="G3625">
        <v>-650.70000000000005</v>
      </c>
      <c r="H3625">
        <v>2407.6</v>
      </c>
      <c r="I3625">
        <v>-999.6</v>
      </c>
      <c r="J3625">
        <v>3621.3699999999994</v>
      </c>
    </row>
    <row r="3626" spans="1:10" x14ac:dyDescent="0.35">
      <c r="A3626">
        <v>3610</v>
      </c>
      <c r="B3626" s="75">
        <v>90.030100000000004</v>
      </c>
      <c r="C3626" s="75">
        <v>98.284700000000001</v>
      </c>
      <c r="D3626" s="75">
        <v>91.977400000000003</v>
      </c>
      <c r="E3626" s="75">
        <v>91.5227</v>
      </c>
      <c r="F3626">
        <v>-1572.4499999999998</v>
      </c>
      <c r="G3626">
        <v>-112.2</v>
      </c>
      <c r="H3626">
        <v>1677.4</v>
      </c>
      <c r="I3626">
        <v>1857.9</v>
      </c>
      <c r="J3626">
        <v>1850.6500000000003</v>
      </c>
    </row>
    <row r="3627" spans="1:10" x14ac:dyDescent="0.35">
      <c r="A3627">
        <v>3611</v>
      </c>
      <c r="B3627" s="75">
        <v>89.29</v>
      </c>
      <c r="C3627" s="75">
        <v>98.29</v>
      </c>
      <c r="D3627" s="75">
        <v>92.79</v>
      </c>
      <c r="E3627" s="75">
        <v>92.83</v>
      </c>
      <c r="F3627">
        <v>863.28</v>
      </c>
      <c r="G3627">
        <v>-121.8</v>
      </c>
      <c r="H3627">
        <v>48.599999999999994</v>
      </c>
      <c r="I3627">
        <v>549.29999999999995</v>
      </c>
      <c r="J3627">
        <v>1339.38</v>
      </c>
    </row>
    <row r="3628" spans="1:10" x14ac:dyDescent="0.35">
      <c r="A3628">
        <v>3612</v>
      </c>
      <c r="B3628" s="75">
        <v>89.376999999999995</v>
      </c>
      <c r="C3628" s="75">
        <v>98.717500000000001</v>
      </c>
      <c r="D3628" s="75">
        <v>93.355099999999993</v>
      </c>
      <c r="E3628" s="75">
        <v>95.288399999999996</v>
      </c>
      <c r="F3628">
        <v>582.78</v>
      </c>
      <c r="G3628">
        <v>-761.40000000000009</v>
      </c>
      <c r="H3628">
        <v>-1078</v>
      </c>
      <c r="I3628">
        <v>-1907.8</v>
      </c>
      <c r="J3628">
        <v>-3164.42</v>
      </c>
    </row>
    <row r="3629" spans="1:10" x14ac:dyDescent="0.35">
      <c r="A3629">
        <v>3613</v>
      </c>
      <c r="B3629" s="75">
        <v>90.04</v>
      </c>
      <c r="C3629" s="75">
        <v>97.9</v>
      </c>
      <c r="D3629" s="75">
        <v>92.82</v>
      </c>
      <c r="E3629" s="75">
        <v>90.47</v>
      </c>
      <c r="F3629">
        <v>-1603.14</v>
      </c>
      <c r="G3629">
        <v>460.35</v>
      </c>
      <c r="H3629">
        <v>-15.6</v>
      </c>
      <c r="I3629">
        <v>2907.7999999999997</v>
      </c>
      <c r="J3629">
        <v>1749.4099999999999</v>
      </c>
    </row>
    <row r="3630" spans="1:10" x14ac:dyDescent="0.35">
      <c r="A3630">
        <v>3614</v>
      </c>
      <c r="B3630" s="75">
        <v>88.859899999999996</v>
      </c>
      <c r="C3630" s="75">
        <v>98.194900000000004</v>
      </c>
      <c r="D3630" s="75">
        <v>93.058199999999999</v>
      </c>
      <c r="E3630" s="75">
        <v>93.994699999999995</v>
      </c>
      <c r="F3630">
        <v>2289.21</v>
      </c>
      <c r="G3630">
        <v>22.5</v>
      </c>
      <c r="H3630">
        <v>-484.20000000000005</v>
      </c>
      <c r="I3630">
        <v>-614.1</v>
      </c>
      <c r="J3630">
        <v>1213.4099999999999</v>
      </c>
    </row>
    <row r="3631" spans="1:10" x14ac:dyDescent="0.35">
      <c r="A3631">
        <v>3615</v>
      </c>
      <c r="B3631" s="75">
        <v>89.76</v>
      </c>
      <c r="C3631" s="75">
        <v>98.26</v>
      </c>
      <c r="D3631" s="75">
        <v>94.32</v>
      </c>
      <c r="E3631" s="75">
        <v>89.24</v>
      </c>
      <c r="F3631">
        <v>-678.81</v>
      </c>
      <c r="G3631">
        <v>-69.900000000000006</v>
      </c>
      <c r="H3631">
        <v>-3013.6</v>
      </c>
      <c r="I3631">
        <v>4142.4000000000005</v>
      </c>
      <c r="J3631">
        <v>380.0900000000006</v>
      </c>
    </row>
    <row r="3632" spans="1:10" x14ac:dyDescent="0.35">
      <c r="A3632">
        <v>3616</v>
      </c>
      <c r="B3632" s="75">
        <v>89.160499999999999</v>
      </c>
      <c r="C3632" s="75">
        <v>98.508200000000002</v>
      </c>
      <c r="D3632" s="75">
        <v>93.839100000000002</v>
      </c>
      <c r="E3632" s="75">
        <v>94.784700000000001</v>
      </c>
      <c r="F3632">
        <v>1297.23</v>
      </c>
      <c r="G3632">
        <v>-447.45</v>
      </c>
      <c r="H3632">
        <v>-2045.9999999999998</v>
      </c>
      <c r="I3632">
        <v>-1404.1</v>
      </c>
      <c r="J3632">
        <v>-2600.3199999999997</v>
      </c>
    </row>
    <row r="3633" spans="1:10" x14ac:dyDescent="0.35">
      <c r="A3633">
        <v>3617</v>
      </c>
      <c r="B3633" s="75">
        <v>88.67</v>
      </c>
      <c r="C3633" s="75">
        <v>97.35</v>
      </c>
      <c r="D3633" s="75">
        <v>92.48</v>
      </c>
      <c r="E3633" s="75">
        <v>93.94</v>
      </c>
      <c r="F3633">
        <v>2906.31</v>
      </c>
      <c r="G3633">
        <v>1282.6499999999999</v>
      </c>
      <c r="H3633">
        <v>681.2</v>
      </c>
      <c r="I3633">
        <v>-554.69999999999993</v>
      </c>
      <c r="J3633">
        <v>4315.46</v>
      </c>
    </row>
    <row r="3634" spans="1:10" x14ac:dyDescent="0.35">
      <c r="A3634">
        <v>3618</v>
      </c>
      <c r="B3634" s="75">
        <v>89.458100000000002</v>
      </c>
      <c r="C3634" s="75">
        <v>99.296199999999999</v>
      </c>
      <c r="D3634" s="75">
        <v>90.395499999999998</v>
      </c>
      <c r="E3634" s="75">
        <v>91.887799999999999</v>
      </c>
      <c r="F3634">
        <v>315.14999999999998</v>
      </c>
      <c r="G3634">
        <v>-1629.45</v>
      </c>
      <c r="H3634">
        <v>4841.2</v>
      </c>
      <c r="I3634">
        <v>1492.8</v>
      </c>
      <c r="J3634">
        <v>5019.7</v>
      </c>
    </row>
    <row r="3635" spans="1:10" x14ac:dyDescent="0.35">
      <c r="A3635">
        <v>3619</v>
      </c>
      <c r="B3635" s="75">
        <v>89.78</v>
      </c>
      <c r="C3635" s="75">
        <v>98.86</v>
      </c>
      <c r="D3635" s="75">
        <v>92.74</v>
      </c>
      <c r="E3635" s="75">
        <v>94.09</v>
      </c>
      <c r="F3635">
        <v>-751.74</v>
      </c>
      <c r="G3635">
        <v>-978</v>
      </c>
      <c r="H3635">
        <v>149.19999999999999</v>
      </c>
      <c r="I3635">
        <v>-713.5</v>
      </c>
      <c r="J3635">
        <v>-2294.04</v>
      </c>
    </row>
    <row r="3636" spans="1:10" x14ac:dyDescent="0.35">
      <c r="A3636">
        <v>3620</v>
      </c>
      <c r="B3636" s="75">
        <v>90.3934</v>
      </c>
      <c r="C3636" s="75">
        <v>98.303799999999995</v>
      </c>
      <c r="D3636" s="75">
        <v>91.0167</v>
      </c>
      <c r="E3636" s="75">
        <v>95.360299999999995</v>
      </c>
      <c r="F3636">
        <v>-2771.34</v>
      </c>
      <c r="G3636">
        <v>-140.85</v>
      </c>
      <c r="H3636">
        <v>3598.8</v>
      </c>
      <c r="I3636">
        <v>-1979.7</v>
      </c>
      <c r="J3636">
        <v>-1293.0899999999999</v>
      </c>
    </row>
    <row r="3637" spans="1:10" x14ac:dyDescent="0.35">
      <c r="A3637">
        <v>3621</v>
      </c>
      <c r="B3637" s="75">
        <v>89.67</v>
      </c>
      <c r="C3637" s="75">
        <v>97.75</v>
      </c>
      <c r="D3637" s="75">
        <v>92.47</v>
      </c>
      <c r="E3637" s="75">
        <v>91.73</v>
      </c>
      <c r="F3637">
        <v>-395.34000000000003</v>
      </c>
      <c r="G3637">
        <v>684.75</v>
      </c>
      <c r="H3637">
        <v>694</v>
      </c>
      <c r="I3637">
        <v>1650.6000000000001</v>
      </c>
      <c r="J3637">
        <v>2634.01</v>
      </c>
    </row>
    <row r="3638" spans="1:10" x14ac:dyDescent="0.35">
      <c r="A3638">
        <v>3622</v>
      </c>
      <c r="B3638" s="75">
        <v>90.183000000000007</v>
      </c>
      <c r="C3638" s="75">
        <v>99.0886</v>
      </c>
      <c r="D3638" s="75">
        <v>93.291300000000007</v>
      </c>
      <c r="E3638" s="75">
        <v>93.364999999999995</v>
      </c>
      <c r="F3638">
        <v>-2077.02</v>
      </c>
      <c r="G3638">
        <v>-1318.05</v>
      </c>
      <c r="H3638">
        <v>-950.4</v>
      </c>
      <c r="I3638">
        <v>15.6</v>
      </c>
      <c r="J3638">
        <v>-4329.869999999999</v>
      </c>
    </row>
    <row r="3639" spans="1:10" x14ac:dyDescent="0.35">
      <c r="A3639">
        <v>3623</v>
      </c>
      <c r="B3639" s="75">
        <v>90.1</v>
      </c>
      <c r="C3639" s="75">
        <v>98.02</v>
      </c>
      <c r="D3639" s="75">
        <v>93.72</v>
      </c>
      <c r="E3639" s="75">
        <v>92.41</v>
      </c>
      <c r="F3639">
        <v>-1788.93</v>
      </c>
      <c r="G3639">
        <v>287.25</v>
      </c>
      <c r="H3639">
        <v>-1798.6</v>
      </c>
      <c r="I3639">
        <v>972.8</v>
      </c>
      <c r="J3639">
        <v>-2327.4799999999996</v>
      </c>
    </row>
    <row r="3640" spans="1:10" x14ac:dyDescent="0.35">
      <c r="A3640">
        <v>3624</v>
      </c>
      <c r="B3640" s="75">
        <v>90.010599999999997</v>
      </c>
      <c r="C3640" s="75">
        <v>98.117199999999997</v>
      </c>
      <c r="D3640" s="75">
        <v>94.086299999999994</v>
      </c>
      <c r="E3640" s="75">
        <v>94.197299999999998</v>
      </c>
      <c r="F3640">
        <v>-1508.1000000000001</v>
      </c>
      <c r="G3640">
        <v>139.05000000000001</v>
      </c>
      <c r="H3640">
        <v>-2540.4</v>
      </c>
      <c r="I3640">
        <v>-816.69999999999993</v>
      </c>
      <c r="J3640">
        <v>-4726.1500000000005</v>
      </c>
    </row>
    <row r="3641" spans="1:10" x14ac:dyDescent="0.35">
      <c r="A3641">
        <v>3625</v>
      </c>
      <c r="B3641" s="75">
        <v>89.6</v>
      </c>
      <c r="C3641" s="75">
        <v>98.42</v>
      </c>
      <c r="D3641" s="75">
        <v>91.8</v>
      </c>
      <c r="E3641" s="75">
        <v>96.71</v>
      </c>
      <c r="F3641">
        <v>-153.78</v>
      </c>
      <c r="G3641">
        <v>-311.55</v>
      </c>
      <c r="H3641">
        <v>2029.6</v>
      </c>
      <c r="I3641">
        <v>-3330.8</v>
      </c>
      <c r="J3641">
        <v>-1766.5300000000002</v>
      </c>
    </row>
    <row r="3642" spans="1:10" x14ac:dyDescent="0.35">
      <c r="A3642">
        <v>3626</v>
      </c>
      <c r="B3642" s="75">
        <v>89.865799999999993</v>
      </c>
      <c r="C3642" s="75">
        <v>98.095299999999995</v>
      </c>
      <c r="D3642" s="75">
        <v>94.783799999999999</v>
      </c>
      <c r="E3642" s="75">
        <v>91.789199999999994</v>
      </c>
      <c r="F3642">
        <v>-1030.26</v>
      </c>
      <c r="G3642">
        <v>171.89999999999998</v>
      </c>
      <c r="H3642">
        <v>-3935.4</v>
      </c>
      <c r="I3642">
        <v>1591.3999999999999</v>
      </c>
      <c r="J3642">
        <v>-3202.3600000000006</v>
      </c>
    </row>
    <row r="3643" spans="1:10" x14ac:dyDescent="0.35">
      <c r="A3643">
        <v>3627</v>
      </c>
      <c r="B3643" s="75">
        <v>89.65</v>
      </c>
      <c r="C3643" s="75">
        <v>97.62</v>
      </c>
      <c r="D3643" s="75">
        <v>93.29</v>
      </c>
      <c r="E3643" s="75">
        <v>93.3</v>
      </c>
      <c r="F3643">
        <v>-311.85000000000002</v>
      </c>
      <c r="G3643">
        <v>879.75</v>
      </c>
      <c r="H3643">
        <v>-944.4</v>
      </c>
      <c r="I3643">
        <v>79.399999999999991</v>
      </c>
      <c r="J3643">
        <v>-297.10000000000002</v>
      </c>
    </row>
    <row r="3644" spans="1:10" x14ac:dyDescent="0.35">
      <c r="A3644">
        <v>3628</v>
      </c>
      <c r="B3644" s="75">
        <v>88.853499999999997</v>
      </c>
      <c r="C3644" s="75">
        <v>99.5929</v>
      </c>
      <c r="D3644" s="75">
        <v>91.776200000000003</v>
      </c>
      <c r="E3644" s="75">
        <v>92.786299999999997</v>
      </c>
      <c r="F3644">
        <v>2310.33</v>
      </c>
      <c r="G3644">
        <v>-2074.5</v>
      </c>
      <c r="H3644">
        <v>2079.8000000000002</v>
      </c>
      <c r="I3644">
        <v>594.30000000000007</v>
      </c>
      <c r="J3644">
        <v>2909.9300000000003</v>
      </c>
    </row>
    <row r="3645" spans="1:10" x14ac:dyDescent="0.35">
      <c r="A3645">
        <v>3629</v>
      </c>
      <c r="B3645" s="75">
        <v>88.42</v>
      </c>
      <c r="C3645" s="75">
        <v>96.66</v>
      </c>
      <c r="D3645" s="75">
        <v>92.79</v>
      </c>
      <c r="E3645" s="75">
        <v>92.86</v>
      </c>
      <c r="F3645">
        <v>3752.43</v>
      </c>
      <c r="G3645">
        <v>2321.5500000000002</v>
      </c>
      <c r="H3645">
        <v>59.6</v>
      </c>
      <c r="I3645">
        <v>522.80000000000007</v>
      </c>
      <c r="J3645">
        <v>6656.38</v>
      </c>
    </row>
    <row r="3646" spans="1:10" x14ac:dyDescent="0.35">
      <c r="A3646">
        <v>3630</v>
      </c>
      <c r="B3646" s="75">
        <v>89.119600000000005</v>
      </c>
      <c r="C3646" s="75">
        <v>97.431600000000003</v>
      </c>
      <c r="D3646" s="75">
        <v>92.903800000000004</v>
      </c>
      <c r="E3646" s="75">
        <v>92.129499999999993</v>
      </c>
      <c r="F3646">
        <v>1432.2</v>
      </c>
      <c r="G3646">
        <v>1167.45</v>
      </c>
      <c r="H3646">
        <v>-175.4</v>
      </c>
      <c r="I3646">
        <v>1251.1000000000001</v>
      </c>
      <c r="J3646">
        <v>3675.3500000000004</v>
      </c>
    </row>
    <row r="3647" spans="1:10" x14ac:dyDescent="0.35">
      <c r="A3647">
        <v>3631</v>
      </c>
      <c r="B3647" s="75">
        <v>89.02</v>
      </c>
      <c r="C3647" s="75">
        <v>97.8</v>
      </c>
      <c r="D3647" s="75">
        <v>94.69</v>
      </c>
      <c r="E3647" s="75">
        <v>91.14</v>
      </c>
      <c r="F3647">
        <v>1775.73</v>
      </c>
      <c r="G3647">
        <v>619.5</v>
      </c>
      <c r="H3647">
        <v>-3742.2</v>
      </c>
      <c r="I3647">
        <v>2243.3000000000002</v>
      </c>
      <c r="J3647">
        <v>896.33000000000038</v>
      </c>
    </row>
    <row r="3648" spans="1:10" x14ac:dyDescent="0.35">
      <c r="A3648">
        <v>3632</v>
      </c>
      <c r="B3648" s="75">
        <v>88.664900000000003</v>
      </c>
      <c r="C3648" s="75">
        <v>98.068700000000007</v>
      </c>
      <c r="D3648" s="75">
        <v>92.451300000000003</v>
      </c>
      <c r="E3648" s="75">
        <v>95.0869</v>
      </c>
      <c r="F3648">
        <v>2932.71</v>
      </c>
      <c r="G3648">
        <v>211.79999999999998</v>
      </c>
      <c r="H3648">
        <v>729.6</v>
      </c>
      <c r="I3648">
        <v>-1706.3</v>
      </c>
      <c r="J3648">
        <v>2167.8100000000004</v>
      </c>
    </row>
    <row r="3649" spans="1:10" x14ac:dyDescent="0.35">
      <c r="A3649">
        <v>3633</v>
      </c>
      <c r="B3649" s="75">
        <v>89.65</v>
      </c>
      <c r="C3649" s="75">
        <v>98.42</v>
      </c>
      <c r="D3649" s="75">
        <v>92.55</v>
      </c>
      <c r="E3649" s="75">
        <v>90.95</v>
      </c>
      <c r="F3649">
        <v>-307.56</v>
      </c>
      <c r="G3649">
        <v>-310.35000000000002</v>
      </c>
      <c r="H3649">
        <v>532.80000000000007</v>
      </c>
      <c r="I3649">
        <v>2426.2000000000003</v>
      </c>
      <c r="J3649">
        <v>2341.09</v>
      </c>
    </row>
    <row r="3650" spans="1:10" x14ac:dyDescent="0.35">
      <c r="A3650">
        <v>3634</v>
      </c>
      <c r="B3650" s="75">
        <v>90.634600000000006</v>
      </c>
      <c r="C3650" s="75">
        <v>99.254999999999995</v>
      </c>
      <c r="D3650" s="75">
        <v>91.149699999999996</v>
      </c>
      <c r="E3650" s="75">
        <v>92.058700000000002</v>
      </c>
      <c r="F3650">
        <v>-3567.2999999999997</v>
      </c>
      <c r="G3650">
        <v>-1567.6499999999999</v>
      </c>
      <c r="H3650">
        <v>3332.8</v>
      </c>
      <c r="I3650">
        <v>1321.9</v>
      </c>
      <c r="J3650">
        <v>-480.24999999999955</v>
      </c>
    </row>
    <row r="3651" spans="1:10" x14ac:dyDescent="0.35">
      <c r="A3651">
        <v>3635</v>
      </c>
      <c r="B3651" s="75">
        <v>90.12</v>
      </c>
      <c r="C3651" s="75">
        <v>97.9</v>
      </c>
      <c r="D3651" s="75">
        <v>93.31</v>
      </c>
      <c r="E3651" s="75">
        <v>92.99</v>
      </c>
      <c r="F3651">
        <v>-1866.48</v>
      </c>
      <c r="G3651">
        <v>463.95000000000005</v>
      </c>
      <c r="H3651">
        <v>-995.19999999999993</v>
      </c>
      <c r="I3651">
        <v>394.5</v>
      </c>
      <c r="J3651">
        <v>-2003.23</v>
      </c>
    </row>
    <row r="3652" spans="1:10" x14ac:dyDescent="0.35">
      <c r="A3652">
        <v>3636</v>
      </c>
      <c r="B3652" s="75">
        <v>89.763800000000003</v>
      </c>
      <c r="C3652" s="75">
        <v>97.391900000000007</v>
      </c>
      <c r="D3652" s="75">
        <v>94.087500000000006</v>
      </c>
      <c r="E3652" s="75">
        <v>96.019499999999994</v>
      </c>
      <c r="F3652">
        <v>-693.66</v>
      </c>
      <c r="G3652">
        <v>1227</v>
      </c>
      <c r="H3652">
        <v>-2542.8000000000002</v>
      </c>
      <c r="I3652">
        <v>-2638.9</v>
      </c>
      <c r="J3652">
        <v>-4648.3600000000006</v>
      </c>
    </row>
    <row r="3653" spans="1:10" x14ac:dyDescent="0.35">
      <c r="A3653">
        <v>3637</v>
      </c>
      <c r="B3653" s="75">
        <v>89.75</v>
      </c>
      <c r="C3653" s="75">
        <v>98.63</v>
      </c>
      <c r="D3653" s="75">
        <v>93.59</v>
      </c>
      <c r="E3653" s="75">
        <v>93.31</v>
      </c>
      <c r="F3653">
        <v>-632.28</v>
      </c>
      <c r="G3653">
        <v>-625.35</v>
      </c>
      <c r="H3653">
        <v>-1551.6000000000001</v>
      </c>
      <c r="I3653">
        <v>71.400000000000006</v>
      </c>
      <c r="J3653">
        <v>-2737.8300000000004</v>
      </c>
    </row>
    <row r="3654" spans="1:10" x14ac:dyDescent="0.35">
      <c r="A3654">
        <v>3638</v>
      </c>
      <c r="B3654" s="75">
        <v>89.677700000000002</v>
      </c>
      <c r="C3654" s="75">
        <v>97.480099999999993</v>
      </c>
      <c r="D3654" s="75">
        <v>92.509699999999995</v>
      </c>
      <c r="E3654" s="75">
        <v>92.205799999999996</v>
      </c>
      <c r="F3654">
        <v>-409.53000000000003</v>
      </c>
      <c r="G3654">
        <v>1094.7</v>
      </c>
      <c r="H3654">
        <v>612.79999999999995</v>
      </c>
      <c r="I3654">
        <v>1174.8</v>
      </c>
      <c r="J3654">
        <v>2472.77</v>
      </c>
    </row>
    <row r="3655" spans="1:10" x14ac:dyDescent="0.35">
      <c r="A3655">
        <v>3639</v>
      </c>
      <c r="B3655" s="75">
        <v>89.3</v>
      </c>
      <c r="C3655" s="75">
        <v>97.54</v>
      </c>
      <c r="D3655" s="75">
        <v>94.39</v>
      </c>
      <c r="E3655" s="75">
        <v>94.53</v>
      </c>
      <c r="F3655">
        <v>828.3</v>
      </c>
      <c r="G3655">
        <v>1011.3000000000001</v>
      </c>
      <c r="H3655">
        <v>-3142.7999999999997</v>
      </c>
      <c r="I3655">
        <v>-1153</v>
      </c>
      <c r="J3655">
        <v>-2456.1999999999998</v>
      </c>
    </row>
    <row r="3656" spans="1:10" x14ac:dyDescent="0.35">
      <c r="A3656">
        <v>3640</v>
      </c>
      <c r="B3656" s="75">
        <v>88.967299999999994</v>
      </c>
      <c r="C3656" s="75">
        <v>99.1387</v>
      </c>
      <c r="D3656" s="75">
        <v>94.9315</v>
      </c>
      <c r="E3656" s="75">
        <v>93.693399999999997</v>
      </c>
      <c r="F3656">
        <v>1934.7900000000002</v>
      </c>
      <c r="G3656">
        <v>-1393.2</v>
      </c>
      <c r="H3656">
        <v>-4230.8</v>
      </c>
      <c r="I3656">
        <v>-312.8</v>
      </c>
      <c r="J3656">
        <v>-4002.01</v>
      </c>
    </row>
    <row r="3657" spans="1:10" x14ac:dyDescent="0.35">
      <c r="A3657">
        <v>3641</v>
      </c>
      <c r="B3657" s="75">
        <v>89.26</v>
      </c>
      <c r="C3657" s="75">
        <v>98.55</v>
      </c>
      <c r="D3657" s="75">
        <v>90.59</v>
      </c>
      <c r="E3657" s="75">
        <v>94.56</v>
      </c>
      <c r="F3657">
        <v>973.5</v>
      </c>
      <c r="G3657">
        <v>-516.29999999999995</v>
      </c>
      <c r="H3657">
        <v>4457.2000000000007</v>
      </c>
      <c r="I3657">
        <v>-1181.8</v>
      </c>
      <c r="J3657">
        <v>3732.6000000000004</v>
      </c>
    </row>
    <row r="3658" spans="1:10" x14ac:dyDescent="0.35">
      <c r="A3658">
        <v>3642</v>
      </c>
      <c r="B3658" s="75">
        <v>89.626999999999995</v>
      </c>
      <c r="C3658" s="75">
        <v>98.272800000000004</v>
      </c>
      <c r="D3658" s="75">
        <v>92.577600000000004</v>
      </c>
      <c r="E3658" s="75">
        <v>93.223399999999998</v>
      </c>
      <c r="F3658">
        <v>-242.22000000000003</v>
      </c>
      <c r="G3658">
        <v>-94.35</v>
      </c>
      <c r="H3658">
        <v>477</v>
      </c>
      <c r="I3658">
        <v>157.20000000000002</v>
      </c>
      <c r="J3658">
        <v>297.63</v>
      </c>
    </row>
    <row r="3659" spans="1:10" x14ac:dyDescent="0.35">
      <c r="A3659">
        <v>3643</v>
      </c>
      <c r="B3659" s="75">
        <v>89.91</v>
      </c>
      <c r="C3659" s="75">
        <v>99.11</v>
      </c>
      <c r="D3659" s="75">
        <v>91.94</v>
      </c>
      <c r="E3659" s="75">
        <v>93.31</v>
      </c>
      <c r="F3659">
        <v>-1182.0600000000002</v>
      </c>
      <c r="G3659">
        <v>-1347.6</v>
      </c>
      <c r="H3659">
        <v>1744</v>
      </c>
      <c r="I3659">
        <v>72.099999999999994</v>
      </c>
      <c r="J3659">
        <v>-713.55999999999983</v>
      </c>
    </row>
    <row r="3660" spans="1:10" x14ac:dyDescent="0.35">
      <c r="A3660">
        <v>3644</v>
      </c>
      <c r="B3660" s="75">
        <v>89.061599999999999</v>
      </c>
      <c r="C3660" s="75">
        <v>98.635800000000003</v>
      </c>
      <c r="D3660" s="75">
        <v>92.4696</v>
      </c>
      <c r="E3660" s="75">
        <v>91.1066</v>
      </c>
      <c r="F3660">
        <v>1623.6</v>
      </c>
      <c r="G3660">
        <v>-638.85</v>
      </c>
      <c r="H3660">
        <v>693</v>
      </c>
      <c r="I3660">
        <v>2274</v>
      </c>
      <c r="J3660">
        <v>3951.75</v>
      </c>
    </row>
    <row r="3661" spans="1:10" x14ac:dyDescent="0.35">
      <c r="A3661">
        <v>3645</v>
      </c>
      <c r="B3661" s="75">
        <v>89.09</v>
      </c>
      <c r="C3661" s="75">
        <v>98.1</v>
      </c>
      <c r="D3661" s="75">
        <v>93.07</v>
      </c>
      <c r="E3661" s="75">
        <v>92.04</v>
      </c>
      <c r="F3661">
        <v>1541.76</v>
      </c>
      <c r="G3661">
        <v>166.2</v>
      </c>
      <c r="H3661">
        <v>-512</v>
      </c>
      <c r="I3661">
        <v>1336</v>
      </c>
      <c r="J3661">
        <v>2531.96</v>
      </c>
    </row>
    <row r="3662" spans="1:10" x14ac:dyDescent="0.35">
      <c r="A3662">
        <v>3646</v>
      </c>
      <c r="B3662" s="75">
        <v>89.159000000000006</v>
      </c>
      <c r="C3662" s="75">
        <v>97.465900000000005</v>
      </c>
      <c r="D3662" s="75">
        <v>91.881</v>
      </c>
      <c r="E3662" s="75">
        <v>93.732699999999994</v>
      </c>
      <c r="F3662">
        <v>1302.18</v>
      </c>
      <c r="G3662">
        <v>1116</v>
      </c>
      <c r="H3662">
        <v>1870.2</v>
      </c>
      <c r="I3662">
        <v>-352.1</v>
      </c>
      <c r="J3662">
        <v>3936.28</v>
      </c>
    </row>
    <row r="3663" spans="1:10" x14ac:dyDescent="0.35">
      <c r="A3663">
        <v>3647</v>
      </c>
      <c r="B3663" s="75">
        <v>88.99</v>
      </c>
      <c r="C3663" s="75">
        <v>99.16</v>
      </c>
      <c r="D3663" s="75">
        <v>91.58</v>
      </c>
      <c r="E3663" s="75">
        <v>91.85</v>
      </c>
      <c r="F3663">
        <v>1873.08</v>
      </c>
      <c r="G3663">
        <v>-1424.1000000000001</v>
      </c>
      <c r="H3663">
        <v>2471.2000000000003</v>
      </c>
      <c r="I3663">
        <v>1532.7</v>
      </c>
      <c r="J3663">
        <v>4452.88</v>
      </c>
    </row>
    <row r="3664" spans="1:10" x14ac:dyDescent="0.35">
      <c r="A3664">
        <v>3648</v>
      </c>
      <c r="B3664" s="75">
        <v>89.202799999999996</v>
      </c>
      <c r="C3664" s="75">
        <v>97.112499999999997</v>
      </c>
      <c r="D3664" s="75">
        <v>92.552400000000006</v>
      </c>
      <c r="E3664" s="75">
        <v>92.436099999999996</v>
      </c>
      <c r="F3664">
        <v>1157.6400000000001</v>
      </c>
      <c r="G3664">
        <v>1646.1</v>
      </c>
      <c r="H3664">
        <v>527.4</v>
      </c>
      <c r="I3664">
        <v>944.5</v>
      </c>
      <c r="J3664">
        <v>4275.6399999999994</v>
      </c>
    </row>
    <row r="3665" spans="1:10" x14ac:dyDescent="0.35">
      <c r="A3665">
        <v>3649</v>
      </c>
      <c r="B3665" s="75">
        <v>89.74</v>
      </c>
      <c r="C3665" s="75">
        <v>99.91</v>
      </c>
      <c r="D3665" s="75">
        <v>93.24</v>
      </c>
      <c r="E3665" s="75">
        <v>92.01</v>
      </c>
      <c r="F3665">
        <v>-626.01</v>
      </c>
      <c r="G3665">
        <v>-2547.9</v>
      </c>
      <c r="H3665">
        <v>-850.19999999999993</v>
      </c>
      <c r="I3665">
        <v>1367.2</v>
      </c>
      <c r="J3665">
        <v>-2656.91</v>
      </c>
    </row>
    <row r="3666" spans="1:10" x14ac:dyDescent="0.35">
      <c r="A3666">
        <v>3650</v>
      </c>
      <c r="B3666" s="75">
        <v>88.594300000000004</v>
      </c>
      <c r="C3666" s="75">
        <v>99.088700000000003</v>
      </c>
      <c r="D3666" s="75">
        <v>93.793700000000001</v>
      </c>
      <c r="E3666" s="75">
        <v>91.859700000000004</v>
      </c>
      <c r="F3666">
        <v>3165.69</v>
      </c>
      <c r="G3666">
        <v>-1318.2</v>
      </c>
      <c r="H3666">
        <v>-1955.2</v>
      </c>
      <c r="I3666">
        <v>1520.8999999999999</v>
      </c>
      <c r="J3666">
        <v>1413.1899999999998</v>
      </c>
    </row>
    <row r="3667" spans="1:10" x14ac:dyDescent="0.35">
      <c r="A3667">
        <v>3651</v>
      </c>
      <c r="B3667" s="75">
        <v>89.15</v>
      </c>
      <c r="C3667" s="75">
        <v>97.12</v>
      </c>
      <c r="D3667" s="75">
        <v>94.94</v>
      </c>
      <c r="E3667" s="75">
        <v>96.77</v>
      </c>
      <c r="F3667">
        <v>1319.6699999999998</v>
      </c>
      <c r="G3667">
        <v>1641.6000000000001</v>
      </c>
      <c r="H3667">
        <v>-4255.6000000000004</v>
      </c>
      <c r="I3667">
        <v>-3392.9</v>
      </c>
      <c r="J3667">
        <v>-4687.2300000000005</v>
      </c>
    </row>
    <row r="3668" spans="1:10" x14ac:dyDescent="0.35">
      <c r="A3668">
        <v>3652</v>
      </c>
      <c r="B3668" s="75">
        <v>90.378500000000003</v>
      </c>
      <c r="C3668" s="75">
        <v>99.447500000000005</v>
      </c>
      <c r="D3668" s="75">
        <v>93.362899999999996</v>
      </c>
      <c r="E3668" s="75">
        <v>91.920900000000003</v>
      </c>
      <c r="F3668">
        <v>-2722.17</v>
      </c>
      <c r="G3668">
        <v>-1856.4</v>
      </c>
      <c r="H3668">
        <v>-1093.5999999999999</v>
      </c>
      <c r="I3668">
        <v>1459.7</v>
      </c>
      <c r="J3668">
        <v>-4212.47</v>
      </c>
    </row>
    <row r="3669" spans="1:10" x14ac:dyDescent="0.35">
      <c r="A3669">
        <v>3653</v>
      </c>
      <c r="B3669" s="75">
        <v>90.27</v>
      </c>
      <c r="C3669" s="75">
        <v>98.06</v>
      </c>
      <c r="D3669" s="75">
        <v>93.51</v>
      </c>
      <c r="E3669" s="75">
        <v>93.24</v>
      </c>
      <c r="F3669">
        <v>-2377.65</v>
      </c>
      <c r="G3669">
        <v>228.90000000000003</v>
      </c>
      <c r="H3669">
        <v>-1389.6</v>
      </c>
      <c r="I3669">
        <v>143.80000000000001</v>
      </c>
      <c r="J3669">
        <v>-3394.5499999999997</v>
      </c>
    </row>
    <row r="3670" spans="1:10" x14ac:dyDescent="0.35">
      <c r="A3670">
        <v>3654</v>
      </c>
      <c r="B3670" s="75">
        <v>89.861599999999996</v>
      </c>
      <c r="C3670" s="75">
        <v>98.262100000000004</v>
      </c>
      <c r="D3670" s="75">
        <v>93.207800000000006</v>
      </c>
      <c r="E3670" s="75">
        <v>95.292199999999994</v>
      </c>
      <c r="F3670">
        <v>-1016.4</v>
      </c>
      <c r="G3670">
        <v>-78.300000000000011</v>
      </c>
      <c r="H3670">
        <v>-783.4</v>
      </c>
      <c r="I3670">
        <v>-1911.6</v>
      </c>
      <c r="J3670">
        <v>-3789.7</v>
      </c>
    </row>
    <row r="3671" spans="1:10" x14ac:dyDescent="0.35">
      <c r="A3671">
        <v>3655</v>
      </c>
      <c r="B3671" s="75">
        <v>89.25</v>
      </c>
      <c r="C3671" s="75">
        <v>99.59</v>
      </c>
      <c r="D3671" s="75">
        <v>92.45</v>
      </c>
      <c r="E3671" s="75">
        <v>92.2</v>
      </c>
      <c r="F3671">
        <v>1008.4799999999999</v>
      </c>
      <c r="G3671">
        <v>-2074.65</v>
      </c>
      <c r="H3671">
        <v>723.19999999999993</v>
      </c>
      <c r="I3671">
        <v>1177.7</v>
      </c>
      <c r="J3671">
        <v>834.7299999999999</v>
      </c>
    </row>
    <row r="3672" spans="1:10" x14ac:dyDescent="0.35">
      <c r="A3672">
        <v>3656</v>
      </c>
      <c r="B3672" s="75">
        <v>89.555700000000002</v>
      </c>
      <c r="C3672" s="75">
        <v>99.553299999999993</v>
      </c>
      <c r="D3672" s="75">
        <v>92.168999999999997</v>
      </c>
      <c r="E3672" s="75">
        <v>93.099800000000002</v>
      </c>
      <c r="F3672">
        <v>-6.93</v>
      </c>
      <c r="G3672">
        <v>-2015.1</v>
      </c>
      <c r="H3672">
        <v>1294.2</v>
      </c>
      <c r="I3672">
        <v>280.8</v>
      </c>
      <c r="J3672">
        <v>-447.02999999999992</v>
      </c>
    </row>
    <row r="3673" spans="1:10" x14ac:dyDescent="0.35">
      <c r="A3673">
        <v>3657</v>
      </c>
      <c r="B3673" s="75">
        <v>89.64</v>
      </c>
      <c r="C3673" s="75">
        <v>99.11</v>
      </c>
      <c r="D3673" s="75">
        <v>92.21</v>
      </c>
      <c r="E3673" s="75">
        <v>96.08</v>
      </c>
      <c r="F3673">
        <v>-297.99</v>
      </c>
      <c r="G3673">
        <v>-1356</v>
      </c>
      <c r="H3673">
        <v>1203</v>
      </c>
      <c r="I3673">
        <v>-2703</v>
      </c>
      <c r="J3673">
        <v>-3153.99</v>
      </c>
    </row>
    <row r="3674" spans="1:10" x14ac:dyDescent="0.35">
      <c r="A3674">
        <v>3658</v>
      </c>
      <c r="B3674" s="75">
        <v>90.433099999999996</v>
      </c>
      <c r="C3674" s="75">
        <v>99.379400000000004</v>
      </c>
      <c r="D3674" s="75">
        <v>92.820099999999996</v>
      </c>
      <c r="E3674" s="75">
        <v>92.1995</v>
      </c>
      <c r="F3674">
        <v>-2902.35</v>
      </c>
      <c r="G3674">
        <v>-1754.25</v>
      </c>
      <c r="H3674">
        <v>-8</v>
      </c>
      <c r="I3674">
        <v>1181.1000000000001</v>
      </c>
      <c r="J3674">
        <v>-3483.5</v>
      </c>
    </row>
    <row r="3675" spans="1:10" x14ac:dyDescent="0.35">
      <c r="A3675">
        <v>3659</v>
      </c>
      <c r="B3675" s="75">
        <v>89.51</v>
      </c>
      <c r="C3675" s="75">
        <v>98.98</v>
      </c>
      <c r="D3675" s="75">
        <v>91.96</v>
      </c>
      <c r="E3675" s="75">
        <v>94.1</v>
      </c>
      <c r="F3675">
        <v>145.19999999999999</v>
      </c>
      <c r="G3675">
        <v>-1160.5500000000002</v>
      </c>
      <c r="H3675">
        <v>1721.8</v>
      </c>
      <c r="I3675">
        <v>-715.40000000000009</v>
      </c>
      <c r="J3675">
        <v>-8.9500000000002728</v>
      </c>
    </row>
    <row r="3676" spans="1:10" x14ac:dyDescent="0.35">
      <c r="A3676">
        <v>3660</v>
      </c>
      <c r="B3676" s="75">
        <v>89.333600000000004</v>
      </c>
      <c r="C3676" s="75">
        <v>98.162000000000006</v>
      </c>
      <c r="D3676" s="75">
        <v>90.917000000000002</v>
      </c>
      <c r="E3676" s="75">
        <v>94.084400000000002</v>
      </c>
      <c r="F3676">
        <v>726</v>
      </c>
      <c r="G3676">
        <v>71.849999999999994</v>
      </c>
      <c r="H3676">
        <v>3798.2</v>
      </c>
      <c r="I3676">
        <v>-703.8</v>
      </c>
      <c r="J3676">
        <v>3892.25</v>
      </c>
    </row>
    <row r="3677" spans="1:10" x14ac:dyDescent="0.35">
      <c r="A3677">
        <v>3661</v>
      </c>
      <c r="B3677" s="75">
        <v>89.91</v>
      </c>
      <c r="C3677" s="75">
        <v>98.12</v>
      </c>
      <c r="D3677" s="75">
        <v>91.72</v>
      </c>
      <c r="E3677" s="75">
        <v>92.88</v>
      </c>
      <c r="F3677">
        <v>-1183.71</v>
      </c>
      <c r="G3677">
        <v>137.1</v>
      </c>
      <c r="H3677">
        <v>2197.4</v>
      </c>
      <c r="I3677">
        <v>498.09999999999997</v>
      </c>
      <c r="J3677">
        <v>1648.8899999999999</v>
      </c>
    </row>
    <row r="3678" spans="1:10" x14ac:dyDescent="0.35">
      <c r="A3678">
        <v>3662</v>
      </c>
      <c r="B3678" s="75">
        <v>89.369600000000005</v>
      </c>
      <c r="C3678" s="75">
        <v>98.278499999999994</v>
      </c>
      <c r="D3678" s="75">
        <v>93.259299999999996</v>
      </c>
      <c r="E3678" s="75">
        <v>93.025499999999994</v>
      </c>
      <c r="F3678">
        <v>607.20000000000005</v>
      </c>
      <c r="G3678">
        <v>-102.89999999999999</v>
      </c>
      <c r="H3678">
        <v>-886.4</v>
      </c>
      <c r="I3678">
        <v>355.1</v>
      </c>
      <c r="J3678">
        <v>-26.999999999999886</v>
      </c>
    </row>
    <row r="3679" spans="1:10" x14ac:dyDescent="0.35">
      <c r="A3679">
        <v>3663</v>
      </c>
      <c r="B3679" s="75">
        <v>89.69</v>
      </c>
      <c r="C3679" s="75">
        <v>99.13</v>
      </c>
      <c r="D3679" s="75">
        <v>92.79</v>
      </c>
      <c r="E3679" s="75">
        <v>94.94</v>
      </c>
      <c r="F3679">
        <v>-447.15000000000003</v>
      </c>
      <c r="G3679">
        <v>-1386.8999999999999</v>
      </c>
      <c r="H3679">
        <v>55.599999999999994</v>
      </c>
      <c r="I3679">
        <v>-1560.8</v>
      </c>
      <c r="J3679">
        <v>-3339.25</v>
      </c>
    </row>
    <row r="3680" spans="1:10" x14ac:dyDescent="0.35">
      <c r="A3680">
        <v>3664</v>
      </c>
      <c r="B3680" s="75">
        <v>89.203100000000006</v>
      </c>
      <c r="C3680" s="75">
        <v>97.966099999999997</v>
      </c>
      <c r="D3680" s="75">
        <v>94.123099999999994</v>
      </c>
      <c r="E3680" s="75">
        <v>94.300299999999993</v>
      </c>
      <c r="F3680">
        <v>1156.6499999999999</v>
      </c>
      <c r="G3680">
        <v>365.7</v>
      </c>
      <c r="H3680">
        <v>-2614</v>
      </c>
      <c r="I3680">
        <v>-919.69999999999993</v>
      </c>
      <c r="J3680">
        <v>-2011.35</v>
      </c>
    </row>
    <row r="3681" spans="1:10" x14ac:dyDescent="0.35">
      <c r="A3681">
        <v>3665</v>
      </c>
      <c r="B3681" s="75">
        <v>89.84</v>
      </c>
      <c r="C3681" s="75">
        <v>98.23</v>
      </c>
      <c r="D3681" s="75">
        <v>93.23</v>
      </c>
      <c r="E3681" s="75">
        <v>89.3</v>
      </c>
      <c r="F3681">
        <v>-955.68000000000006</v>
      </c>
      <c r="G3681">
        <v>-34.200000000000003</v>
      </c>
      <c r="H3681">
        <v>-829</v>
      </c>
      <c r="I3681">
        <v>4078.7000000000003</v>
      </c>
      <c r="J3681">
        <v>2259.8200000000002</v>
      </c>
    </row>
    <row r="3682" spans="1:10" x14ac:dyDescent="0.35">
      <c r="A3682">
        <v>3666</v>
      </c>
      <c r="B3682" s="75">
        <v>89.207899999999995</v>
      </c>
      <c r="C3682" s="75">
        <v>99.138900000000007</v>
      </c>
      <c r="D3682" s="75">
        <v>93.150499999999994</v>
      </c>
      <c r="E3682" s="75">
        <v>91.923199999999994</v>
      </c>
      <c r="F3682">
        <v>1140.81</v>
      </c>
      <c r="G3682">
        <v>-1393.5</v>
      </c>
      <c r="H3682">
        <v>-668.8</v>
      </c>
      <c r="I3682">
        <v>1457.4</v>
      </c>
      <c r="J3682">
        <v>535.91000000000008</v>
      </c>
    </row>
    <row r="3683" spans="1:10" x14ac:dyDescent="0.35">
      <c r="A3683">
        <v>3667</v>
      </c>
      <c r="B3683" s="75">
        <v>88.51</v>
      </c>
      <c r="C3683" s="75">
        <v>98.56</v>
      </c>
      <c r="D3683" s="75">
        <v>94.6</v>
      </c>
      <c r="E3683" s="75">
        <v>90.02</v>
      </c>
      <c r="F3683">
        <v>3455.7599999999998</v>
      </c>
      <c r="G3683">
        <v>-523.5</v>
      </c>
      <c r="H3683">
        <v>-3558.8</v>
      </c>
      <c r="I3683">
        <v>3363.5</v>
      </c>
      <c r="J3683">
        <v>2736.9599999999996</v>
      </c>
    </row>
    <row r="3684" spans="1:10" x14ac:dyDescent="0.35">
      <c r="A3684">
        <v>3668</v>
      </c>
      <c r="B3684" s="75">
        <v>89.154499999999999</v>
      </c>
      <c r="C3684" s="75">
        <v>99.115700000000004</v>
      </c>
      <c r="D3684" s="75">
        <v>93.0809</v>
      </c>
      <c r="E3684" s="75">
        <v>92.505899999999997</v>
      </c>
      <c r="F3684">
        <v>1317.03</v>
      </c>
      <c r="G3684">
        <v>-1358.7</v>
      </c>
      <c r="H3684">
        <v>-529.59999999999991</v>
      </c>
      <c r="I3684">
        <v>874.7</v>
      </c>
      <c r="J3684">
        <v>303.43000000000006</v>
      </c>
    </row>
    <row r="3685" spans="1:10" x14ac:dyDescent="0.35">
      <c r="A3685">
        <v>3669</v>
      </c>
      <c r="B3685" s="75">
        <v>89.33</v>
      </c>
      <c r="C3685" s="75">
        <v>96.85</v>
      </c>
      <c r="D3685" s="75">
        <v>92.24</v>
      </c>
      <c r="E3685" s="75">
        <v>92.13</v>
      </c>
      <c r="F3685">
        <v>737.55000000000007</v>
      </c>
      <c r="G3685">
        <v>2039.8500000000001</v>
      </c>
      <c r="H3685">
        <v>1153.4000000000001</v>
      </c>
      <c r="I3685">
        <v>1252</v>
      </c>
      <c r="J3685">
        <v>5182.8</v>
      </c>
    </row>
    <row r="3686" spans="1:10" x14ac:dyDescent="0.35">
      <c r="A3686">
        <v>3670</v>
      </c>
      <c r="B3686" s="75">
        <v>88.771500000000003</v>
      </c>
      <c r="C3686" s="75">
        <v>97.736699999999999</v>
      </c>
      <c r="D3686" s="75">
        <v>92.328400000000002</v>
      </c>
      <c r="E3686" s="75">
        <v>93.319100000000006</v>
      </c>
      <c r="F3686">
        <v>2580.9299999999998</v>
      </c>
      <c r="G3686">
        <v>709.80000000000007</v>
      </c>
      <c r="H3686">
        <v>975.40000000000009</v>
      </c>
      <c r="I3686">
        <v>61.5</v>
      </c>
      <c r="J3686">
        <v>4327.63</v>
      </c>
    </row>
    <row r="3687" spans="1:10" x14ac:dyDescent="0.35">
      <c r="A3687">
        <v>3671</v>
      </c>
      <c r="B3687" s="75">
        <v>88.2</v>
      </c>
      <c r="C3687" s="75">
        <v>97.87</v>
      </c>
      <c r="D3687" s="75">
        <v>93.11</v>
      </c>
      <c r="E3687" s="75">
        <v>91.58</v>
      </c>
      <c r="F3687">
        <v>4460.9399999999996</v>
      </c>
      <c r="G3687">
        <v>504.00000000000006</v>
      </c>
      <c r="H3687">
        <v>-594.40000000000009</v>
      </c>
      <c r="I3687">
        <v>1798</v>
      </c>
      <c r="J3687">
        <v>6168.5399999999991</v>
      </c>
    </row>
    <row r="3688" spans="1:10" x14ac:dyDescent="0.35">
      <c r="A3688">
        <v>3672</v>
      </c>
      <c r="B3688" s="75">
        <v>90.184799999999996</v>
      </c>
      <c r="C3688" s="75">
        <v>99.225999999999999</v>
      </c>
      <c r="D3688" s="75">
        <v>90.5398</v>
      </c>
      <c r="E3688" s="75">
        <v>92.019800000000004</v>
      </c>
      <c r="F3688">
        <v>-2082.96</v>
      </c>
      <c r="G3688">
        <v>-1524.15</v>
      </c>
      <c r="H3688">
        <v>4552.6000000000004</v>
      </c>
      <c r="I3688">
        <v>1360.8</v>
      </c>
      <c r="J3688">
        <v>2306.29</v>
      </c>
    </row>
    <row r="3689" spans="1:10" x14ac:dyDescent="0.35">
      <c r="A3689">
        <v>3673</v>
      </c>
      <c r="B3689" s="75">
        <v>89.83</v>
      </c>
      <c r="C3689" s="75">
        <v>98.18</v>
      </c>
      <c r="D3689" s="75">
        <v>94.76</v>
      </c>
      <c r="E3689" s="75">
        <v>96.07</v>
      </c>
      <c r="F3689">
        <v>-913.11</v>
      </c>
      <c r="G3689">
        <v>47.849999999999994</v>
      </c>
      <c r="H3689">
        <v>-3881.4</v>
      </c>
      <c r="I3689">
        <v>-2689.5</v>
      </c>
      <c r="J3689">
        <v>-7436.16</v>
      </c>
    </row>
    <row r="3690" spans="1:10" x14ac:dyDescent="0.35">
      <c r="A3690">
        <v>3674</v>
      </c>
      <c r="B3690" s="75">
        <v>89.316999999999993</v>
      </c>
      <c r="C3690" s="75">
        <v>99.085999999999999</v>
      </c>
      <c r="D3690" s="75">
        <v>91.627700000000004</v>
      </c>
      <c r="E3690" s="75">
        <v>93.901600000000002</v>
      </c>
      <c r="F3690">
        <v>780.78</v>
      </c>
      <c r="G3690">
        <v>-1314.15</v>
      </c>
      <c r="H3690">
        <v>2376.7999999999997</v>
      </c>
      <c r="I3690">
        <v>-521</v>
      </c>
      <c r="J3690">
        <v>1322.4299999999996</v>
      </c>
    </row>
    <row r="3691" spans="1:10" x14ac:dyDescent="0.35">
      <c r="A3691">
        <v>3675</v>
      </c>
      <c r="B3691" s="75">
        <v>88.97</v>
      </c>
      <c r="C3691" s="75">
        <v>98.52</v>
      </c>
      <c r="D3691" s="75">
        <v>91.08</v>
      </c>
      <c r="E3691" s="75">
        <v>94.27</v>
      </c>
      <c r="F3691">
        <v>1932.15</v>
      </c>
      <c r="G3691">
        <v>-468.29999999999995</v>
      </c>
      <c r="H3691">
        <v>3479</v>
      </c>
      <c r="I3691">
        <v>-889.7</v>
      </c>
      <c r="J3691">
        <v>4053.1500000000005</v>
      </c>
    </row>
    <row r="3692" spans="1:10" x14ac:dyDescent="0.35">
      <c r="A3692">
        <v>3676</v>
      </c>
      <c r="B3692" s="75">
        <v>89.656000000000006</v>
      </c>
      <c r="C3692" s="75">
        <v>97.611400000000003</v>
      </c>
      <c r="D3692" s="75">
        <v>92.525300000000001</v>
      </c>
      <c r="E3692" s="75">
        <v>92.518199999999993</v>
      </c>
      <c r="F3692">
        <v>-337.92</v>
      </c>
      <c r="G3692">
        <v>897.75</v>
      </c>
      <c r="H3692">
        <v>581.6</v>
      </c>
      <c r="I3692">
        <v>862.40000000000009</v>
      </c>
      <c r="J3692">
        <v>2003.83</v>
      </c>
    </row>
    <row r="3693" spans="1:10" x14ac:dyDescent="0.35">
      <c r="A3693">
        <v>3677</v>
      </c>
      <c r="B3693" s="75">
        <v>89.18</v>
      </c>
      <c r="C3693" s="75">
        <v>98.06</v>
      </c>
      <c r="D3693" s="75">
        <v>93.68</v>
      </c>
      <c r="E3693" s="75">
        <v>95.01</v>
      </c>
      <c r="F3693">
        <v>1246.74</v>
      </c>
      <c r="G3693">
        <v>223.8</v>
      </c>
      <c r="H3693">
        <v>-1727.8</v>
      </c>
      <c r="I3693">
        <v>-1634.1000000000001</v>
      </c>
      <c r="J3693">
        <v>-1891.3600000000001</v>
      </c>
    </row>
    <row r="3694" spans="1:10" x14ac:dyDescent="0.35">
      <c r="A3694">
        <v>3678</v>
      </c>
      <c r="B3694" s="75">
        <v>89.325000000000003</v>
      </c>
      <c r="C3694" s="75">
        <v>97.858699999999999</v>
      </c>
      <c r="D3694" s="75">
        <v>91.932000000000002</v>
      </c>
      <c r="E3694" s="75">
        <v>95.019199999999998</v>
      </c>
      <c r="F3694">
        <v>754.38</v>
      </c>
      <c r="G3694">
        <v>526.80000000000007</v>
      </c>
      <c r="H3694">
        <v>1768.2</v>
      </c>
      <c r="I3694">
        <v>-1638.6000000000001</v>
      </c>
      <c r="J3694">
        <v>1410.78</v>
      </c>
    </row>
    <row r="3695" spans="1:10" x14ac:dyDescent="0.35">
      <c r="A3695">
        <v>3679</v>
      </c>
      <c r="B3695" s="75">
        <v>89.45</v>
      </c>
      <c r="C3695" s="75">
        <v>99.16</v>
      </c>
      <c r="D3695" s="75">
        <v>93.82</v>
      </c>
      <c r="E3695" s="75">
        <v>94.28</v>
      </c>
      <c r="F3695">
        <v>333.96</v>
      </c>
      <c r="G3695">
        <v>-1429.5</v>
      </c>
      <c r="H3695">
        <v>-2013</v>
      </c>
      <c r="I3695">
        <v>-904.2</v>
      </c>
      <c r="J3695">
        <v>-4012.74</v>
      </c>
    </row>
    <row r="3696" spans="1:10" x14ac:dyDescent="0.35">
      <c r="A3696">
        <v>3680</v>
      </c>
      <c r="B3696" s="75">
        <v>89.201300000000003</v>
      </c>
      <c r="C3696" s="75">
        <v>97.670100000000005</v>
      </c>
      <c r="D3696" s="75">
        <v>90.902900000000002</v>
      </c>
      <c r="E3696" s="75">
        <v>95.964200000000005</v>
      </c>
      <c r="F3696">
        <v>1162.5899999999999</v>
      </c>
      <c r="G3696">
        <v>809.69999999999993</v>
      </c>
      <c r="H3696">
        <v>3826.4</v>
      </c>
      <c r="I3696">
        <v>-2583.6</v>
      </c>
      <c r="J3696">
        <v>3215.0900000000006</v>
      </c>
    </row>
    <row r="3697" spans="1:10" x14ac:dyDescent="0.35">
      <c r="A3697">
        <v>3681</v>
      </c>
      <c r="B3697" s="75">
        <v>88.97</v>
      </c>
      <c r="C3697" s="75">
        <v>97.88</v>
      </c>
      <c r="D3697" s="75">
        <v>92.79</v>
      </c>
      <c r="E3697" s="75">
        <v>94.64</v>
      </c>
      <c r="F3697">
        <v>1915.98</v>
      </c>
      <c r="G3697">
        <v>488.55</v>
      </c>
      <c r="H3697">
        <v>55.4</v>
      </c>
      <c r="I3697">
        <v>-1260.6999999999998</v>
      </c>
      <c r="J3697">
        <v>1199.2300000000005</v>
      </c>
    </row>
    <row r="3698" spans="1:10" x14ac:dyDescent="0.35">
      <c r="A3698">
        <v>3682</v>
      </c>
      <c r="B3698" s="75">
        <v>89.944199999999995</v>
      </c>
      <c r="C3698" s="75">
        <v>98.668999999999997</v>
      </c>
      <c r="D3698" s="75">
        <v>92.660799999999995</v>
      </c>
      <c r="E3698" s="75">
        <v>96.851399999999998</v>
      </c>
      <c r="F3698">
        <v>-1288.98</v>
      </c>
      <c r="G3698">
        <v>-688.65</v>
      </c>
      <c r="H3698">
        <v>310.59999999999997</v>
      </c>
      <c r="I3698">
        <v>-3470.8</v>
      </c>
      <c r="J3698">
        <v>-5137.83</v>
      </c>
    </row>
    <row r="3699" spans="1:10" x14ac:dyDescent="0.35">
      <c r="A3699">
        <v>3683</v>
      </c>
      <c r="B3699" s="75">
        <v>88.7</v>
      </c>
      <c r="C3699" s="75">
        <v>96.02</v>
      </c>
      <c r="D3699" s="75">
        <v>94.04</v>
      </c>
      <c r="E3699" s="75">
        <v>93.32</v>
      </c>
      <c r="F3699">
        <v>2807.31</v>
      </c>
      <c r="G3699">
        <v>3282.15</v>
      </c>
      <c r="H3699">
        <v>-2451.6</v>
      </c>
      <c r="I3699">
        <v>59.2</v>
      </c>
      <c r="J3699">
        <v>3697.06</v>
      </c>
    </row>
    <row r="3700" spans="1:10" x14ac:dyDescent="0.35">
      <c r="A3700">
        <v>3684</v>
      </c>
      <c r="B3700" s="75">
        <v>89.630399999999995</v>
      </c>
      <c r="C3700" s="75">
        <v>97.7136</v>
      </c>
      <c r="D3700" s="75">
        <v>94.378699999999995</v>
      </c>
      <c r="E3700" s="75">
        <v>92.254300000000001</v>
      </c>
      <c r="F3700">
        <v>-253.43999999999997</v>
      </c>
      <c r="G3700">
        <v>744.45</v>
      </c>
      <c r="H3700">
        <v>-3125.2</v>
      </c>
      <c r="I3700">
        <v>1126.3000000000002</v>
      </c>
      <c r="J3700">
        <v>-1507.8899999999994</v>
      </c>
    </row>
    <row r="3701" spans="1:10" x14ac:dyDescent="0.35">
      <c r="A3701">
        <v>3685</v>
      </c>
      <c r="B3701" s="75">
        <v>89.78</v>
      </c>
      <c r="C3701" s="75">
        <v>97.15</v>
      </c>
      <c r="D3701" s="75">
        <v>91.82</v>
      </c>
      <c r="E3701" s="75">
        <v>94.69</v>
      </c>
      <c r="F3701">
        <v>-737.55000000000007</v>
      </c>
      <c r="G3701">
        <v>1595.1</v>
      </c>
      <c r="H3701">
        <v>1990.3999999999999</v>
      </c>
      <c r="I3701">
        <v>-1310.5999999999999</v>
      </c>
      <c r="J3701">
        <v>1537.35</v>
      </c>
    </row>
    <row r="3702" spans="1:10" x14ac:dyDescent="0.35">
      <c r="A3702">
        <v>3686</v>
      </c>
      <c r="B3702" s="75">
        <v>88.851900000000001</v>
      </c>
      <c r="C3702" s="75">
        <v>99.229399999999998</v>
      </c>
      <c r="D3702" s="75">
        <v>92.386700000000005</v>
      </c>
      <c r="E3702" s="75">
        <v>94.871700000000004</v>
      </c>
      <c r="F3702">
        <v>2315.61</v>
      </c>
      <c r="G3702">
        <v>-1529.25</v>
      </c>
      <c r="H3702">
        <v>858.8</v>
      </c>
      <c r="I3702">
        <v>-1491.1000000000001</v>
      </c>
      <c r="J3702">
        <v>154.05999999999995</v>
      </c>
    </row>
    <row r="3703" spans="1:10" x14ac:dyDescent="0.35">
      <c r="A3703">
        <v>3687</v>
      </c>
      <c r="B3703" s="75">
        <v>89.16</v>
      </c>
      <c r="C3703" s="75">
        <v>97.37</v>
      </c>
      <c r="D3703" s="75">
        <v>92.9</v>
      </c>
      <c r="E3703" s="75">
        <v>94.19</v>
      </c>
      <c r="F3703">
        <v>1285.68</v>
      </c>
      <c r="G3703">
        <v>1263.1499999999999</v>
      </c>
      <c r="H3703">
        <v>-160.39999999999998</v>
      </c>
      <c r="I3703">
        <v>-808.9</v>
      </c>
      <c r="J3703">
        <v>1579.5299999999997</v>
      </c>
    </row>
    <row r="3704" spans="1:10" x14ac:dyDescent="0.35">
      <c r="A3704">
        <v>3688</v>
      </c>
      <c r="B3704" s="75">
        <v>89.583699999999993</v>
      </c>
      <c r="C3704" s="75">
        <v>97.4131</v>
      </c>
      <c r="D3704" s="75">
        <v>92.707700000000003</v>
      </c>
      <c r="E3704" s="75">
        <v>94.693899999999999</v>
      </c>
      <c r="F3704">
        <v>-99.33</v>
      </c>
      <c r="G3704">
        <v>1195.1999999999998</v>
      </c>
      <c r="H3704">
        <v>216.79999999999998</v>
      </c>
      <c r="I3704">
        <v>-1313.3</v>
      </c>
      <c r="J3704">
        <v>-0.63000000000010914</v>
      </c>
    </row>
    <row r="3705" spans="1:10" x14ac:dyDescent="0.35">
      <c r="A3705">
        <v>3689</v>
      </c>
      <c r="B3705" s="75">
        <v>90.52</v>
      </c>
      <c r="C3705" s="75">
        <v>98.06</v>
      </c>
      <c r="D3705" s="75">
        <v>92.75</v>
      </c>
      <c r="E3705" s="75">
        <v>93.13</v>
      </c>
      <c r="F3705">
        <v>-3193.41</v>
      </c>
      <c r="G3705">
        <v>229.35000000000002</v>
      </c>
      <c r="H3705">
        <v>123.8</v>
      </c>
      <c r="I3705">
        <v>248</v>
      </c>
      <c r="J3705">
        <v>-2592.2599999999998</v>
      </c>
    </row>
    <row r="3706" spans="1:10" x14ac:dyDescent="0.35">
      <c r="A3706">
        <v>3690</v>
      </c>
      <c r="B3706" s="75">
        <v>89.285300000000007</v>
      </c>
      <c r="C3706" s="75">
        <v>98.137100000000004</v>
      </c>
      <c r="D3706" s="75">
        <v>92.835999999999999</v>
      </c>
      <c r="E3706" s="75">
        <v>90.158699999999996</v>
      </c>
      <c r="F3706">
        <v>885.39</v>
      </c>
      <c r="G3706">
        <v>109.2</v>
      </c>
      <c r="H3706">
        <v>-39.800000000000004</v>
      </c>
      <c r="I3706">
        <v>3221.9</v>
      </c>
      <c r="J3706">
        <v>4176.6900000000005</v>
      </c>
    </row>
    <row r="3707" spans="1:10" x14ac:dyDescent="0.35">
      <c r="A3707">
        <v>3691</v>
      </c>
      <c r="B3707" s="75">
        <v>89.04</v>
      </c>
      <c r="C3707" s="75">
        <v>98.01</v>
      </c>
      <c r="D3707" s="75">
        <v>92.83</v>
      </c>
      <c r="E3707" s="75">
        <v>93.63</v>
      </c>
      <c r="F3707">
        <v>1703.79</v>
      </c>
      <c r="G3707">
        <v>294.89999999999998</v>
      </c>
      <c r="H3707">
        <v>-35.6</v>
      </c>
      <c r="I3707">
        <v>-253.7</v>
      </c>
      <c r="J3707">
        <v>1709.39</v>
      </c>
    </row>
    <row r="3708" spans="1:10" x14ac:dyDescent="0.35">
      <c r="A3708">
        <v>3692</v>
      </c>
      <c r="B3708" s="75">
        <v>89.348699999999994</v>
      </c>
      <c r="C3708" s="75">
        <v>98.155199999999994</v>
      </c>
      <c r="D3708" s="75">
        <v>91.423000000000002</v>
      </c>
      <c r="E3708" s="75">
        <v>94.985399999999998</v>
      </c>
      <c r="F3708">
        <v>676.17</v>
      </c>
      <c r="G3708">
        <v>82.05</v>
      </c>
      <c r="H3708">
        <v>2786.2</v>
      </c>
      <c r="I3708">
        <v>-1604.8</v>
      </c>
      <c r="J3708">
        <v>1939.6199999999997</v>
      </c>
    </row>
    <row r="3709" spans="1:10" x14ac:dyDescent="0.35">
      <c r="A3709">
        <v>3693</v>
      </c>
      <c r="B3709" s="75">
        <v>89.77</v>
      </c>
      <c r="C3709" s="75">
        <v>97.74</v>
      </c>
      <c r="D3709" s="75">
        <v>92.51</v>
      </c>
      <c r="E3709" s="75">
        <v>92.34</v>
      </c>
      <c r="F3709">
        <v>-723.36</v>
      </c>
      <c r="G3709">
        <v>712.05000000000007</v>
      </c>
      <c r="H3709">
        <v>602.6</v>
      </c>
      <c r="I3709">
        <v>1044.5</v>
      </c>
      <c r="J3709">
        <v>1635.79</v>
      </c>
    </row>
    <row r="3710" spans="1:10" x14ac:dyDescent="0.35">
      <c r="A3710">
        <v>3694</v>
      </c>
      <c r="B3710" s="75">
        <v>89.703299999999999</v>
      </c>
      <c r="C3710" s="75">
        <v>99.528199999999998</v>
      </c>
      <c r="D3710" s="75">
        <v>92.081599999999995</v>
      </c>
      <c r="E3710" s="75">
        <v>95.659499999999994</v>
      </c>
      <c r="F3710">
        <v>-494.01</v>
      </c>
      <c r="G3710">
        <v>-1977.45</v>
      </c>
      <c r="H3710">
        <v>1469</v>
      </c>
      <c r="I3710">
        <v>-2278.9</v>
      </c>
      <c r="J3710">
        <v>-3281.36</v>
      </c>
    </row>
    <row r="3711" spans="1:10" x14ac:dyDescent="0.35">
      <c r="A3711">
        <v>3695</v>
      </c>
      <c r="B3711" s="75">
        <v>90.72</v>
      </c>
      <c r="C3711" s="75">
        <v>98.79</v>
      </c>
      <c r="D3711" s="75">
        <v>93.71</v>
      </c>
      <c r="E3711" s="75">
        <v>92.18</v>
      </c>
      <c r="F3711">
        <v>-3849.1200000000003</v>
      </c>
      <c r="G3711">
        <v>-865.80000000000007</v>
      </c>
      <c r="H3711">
        <v>-1784.4</v>
      </c>
      <c r="I3711">
        <v>1205.3</v>
      </c>
      <c r="J3711">
        <v>-5294.0199999999995</v>
      </c>
    </row>
    <row r="3712" spans="1:10" x14ac:dyDescent="0.35">
      <c r="A3712">
        <v>3696</v>
      </c>
      <c r="B3712" s="75">
        <v>89.610900000000001</v>
      </c>
      <c r="C3712" s="75">
        <v>98.4358</v>
      </c>
      <c r="D3712" s="75">
        <v>94.211799999999997</v>
      </c>
      <c r="E3712" s="75">
        <v>93.421599999999998</v>
      </c>
      <c r="F3712">
        <v>-189.09</v>
      </c>
      <c r="G3712">
        <v>-338.84999999999997</v>
      </c>
      <c r="H3712">
        <v>-2791.4</v>
      </c>
      <c r="I3712">
        <v>-41</v>
      </c>
      <c r="J3712">
        <v>-3360.34</v>
      </c>
    </row>
    <row r="3713" spans="1:10" x14ac:dyDescent="0.35">
      <c r="A3713">
        <v>3697</v>
      </c>
      <c r="B3713" s="75">
        <v>89.45</v>
      </c>
      <c r="C3713" s="75">
        <v>98.21</v>
      </c>
      <c r="D3713" s="75">
        <v>90.17</v>
      </c>
      <c r="E3713" s="75">
        <v>92.96</v>
      </c>
      <c r="F3713">
        <v>328.68</v>
      </c>
      <c r="G3713">
        <v>6.7499999999999991</v>
      </c>
      <c r="H3713">
        <v>5298.6</v>
      </c>
      <c r="I3713">
        <v>419.9</v>
      </c>
      <c r="J3713">
        <v>6053.93</v>
      </c>
    </row>
    <row r="3714" spans="1:10" x14ac:dyDescent="0.35">
      <c r="A3714">
        <v>3698</v>
      </c>
      <c r="B3714" s="75">
        <v>88.685699999999997</v>
      </c>
      <c r="C3714" s="75">
        <v>98.870800000000003</v>
      </c>
      <c r="D3714" s="75">
        <v>94.486999999999995</v>
      </c>
      <c r="E3714" s="75">
        <v>92.772300000000001</v>
      </c>
      <c r="F3714">
        <v>2864.07</v>
      </c>
      <c r="G3714">
        <v>-991.35</v>
      </c>
      <c r="H3714">
        <v>-3341.8</v>
      </c>
      <c r="I3714">
        <v>608.29999999999995</v>
      </c>
      <c r="J3714">
        <v>-860.78</v>
      </c>
    </row>
    <row r="3715" spans="1:10" x14ac:dyDescent="0.35">
      <c r="A3715">
        <v>3699</v>
      </c>
      <c r="B3715" s="75">
        <v>89.66</v>
      </c>
      <c r="C3715" s="75">
        <v>98.57</v>
      </c>
      <c r="D3715" s="75">
        <v>92.29</v>
      </c>
      <c r="E3715" s="75">
        <v>92.61</v>
      </c>
      <c r="F3715">
        <v>-335.94</v>
      </c>
      <c r="G3715">
        <v>-540.75</v>
      </c>
      <c r="H3715">
        <v>1062.2</v>
      </c>
      <c r="I3715">
        <v>769.3</v>
      </c>
      <c r="J3715">
        <v>954.81</v>
      </c>
    </row>
    <row r="3716" spans="1:10" x14ac:dyDescent="0.35">
      <c r="A3716">
        <v>3700</v>
      </c>
      <c r="B3716" s="75">
        <v>89.661100000000005</v>
      </c>
      <c r="C3716" s="75">
        <v>98.316400000000002</v>
      </c>
      <c r="D3716" s="75">
        <v>91.822599999999994</v>
      </c>
      <c r="E3716" s="75">
        <v>94.106800000000007</v>
      </c>
      <c r="F3716">
        <v>-354.75</v>
      </c>
      <c r="G3716">
        <v>-159.75</v>
      </c>
      <c r="H3716">
        <v>1987</v>
      </c>
      <c r="I3716">
        <v>-726.19999999999993</v>
      </c>
      <c r="J3716">
        <v>746.30000000000007</v>
      </c>
    </row>
    <row r="3717" spans="1:10" x14ac:dyDescent="0.35">
      <c r="A3717">
        <v>3701</v>
      </c>
      <c r="B3717" s="75">
        <v>89.27</v>
      </c>
      <c r="C3717" s="75">
        <v>97.28</v>
      </c>
      <c r="D3717" s="75">
        <v>93.03</v>
      </c>
      <c r="E3717" s="75">
        <v>96.25</v>
      </c>
      <c r="F3717">
        <v>933.56999999999994</v>
      </c>
      <c r="G3717">
        <v>1402.2</v>
      </c>
      <c r="H3717">
        <v>-437.59999999999997</v>
      </c>
      <c r="I3717">
        <v>-2869.6000000000004</v>
      </c>
      <c r="J3717">
        <v>-971.43000000000029</v>
      </c>
    </row>
    <row r="3718" spans="1:10" x14ac:dyDescent="0.35">
      <c r="A3718">
        <v>3702</v>
      </c>
      <c r="B3718" s="75">
        <v>89.988500000000002</v>
      </c>
      <c r="C3718" s="75">
        <v>96.815899999999999</v>
      </c>
      <c r="D3718" s="75">
        <v>94.137699999999995</v>
      </c>
      <c r="E3718" s="75">
        <v>94.203000000000003</v>
      </c>
      <c r="F3718">
        <v>-1435.17</v>
      </c>
      <c r="G3718">
        <v>2091</v>
      </c>
      <c r="H3718">
        <v>-2643.2000000000003</v>
      </c>
      <c r="I3718">
        <v>-822.4</v>
      </c>
      <c r="J3718">
        <v>-2809.7700000000004</v>
      </c>
    </row>
    <row r="3719" spans="1:10" x14ac:dyDescent="0.35">
      <c r="A3719">
        <v>3703</v>
      </c>
      <c r="B3719" s="75">
        <v>89.96</v>
      </c>
      <c r="C3719" s="75">
        <v>98.95</v>
      </c>
      <c r="D3719" s="75">
        <v>92.92</v>
      </c>
      <c r="E3719" s="75">
        <v>92.87</v>
      </c>
      <c r="F3719">
        <v>-1352.34</v>
      </c>
      <c r="G3719">
        <v>-1108.6499999999999</v>
      </c>
      <c r="H3719">
        <v>-201.2</v>
      </c>
      <c r="I3719">
        <v>509.1</v>
      </c>
      <c r="J3719">
        <v>-2153.0899999999997</v>
      </c>
    </row>
    <row r="3720" spans="1:10" x14ac:dyDescent="0.35">
      <c r="A3720">
        <v>3704</v>
      </c>
      <c r="B3720" s="75">
        <v>89.678899999999999</v>
      </c>
      <c r="C3720" s="75">
        <v>98.2273</v>
      </c>
      <c r="D3720" s="75">
        <v>93.980400000000003</v>
      </c>
      <c r="E3720" s="75">
        <v>93.768199999999993</v>
      </c>
      <c r="F3720">
        <v>-413.49</v>
      </c>
      <c r="G3720">
        <v>-26.099999999999998</v>
      </c>
      <c r="H3720">
        <v>-2328.6</v>
      </c>
      <c r="I3720">
        <v>-387.6</v>
      </c>
      <c r="J3720">
        <v>-3155.79</v>
      </c>
    </row>
    <row r="3721" spans="1:10" x14ac:dyDescent="0.35">
      <c r="A3721">
        <v>3705</v>
      </c>
      <c r="B3721" s="75">
        <v>89.23</v>
      </c>
      <c r="C3721" s="75">
        <v>97.24</v>
      </c>
      <c r="D3721" s="75">
        <v>92.15</v>
      </c>
      <c r="E3721" s="75">
        <v>93.87</v>
      </c>
      <c r="F3721">
        <v>1063.5899999999999</v>
      </c>
      <c r="G3721">
        <v>1450.8</v>
      </c>
      <c r="H3721">
        <v>1325.6</v>
      </c>
      <c r="I3721">
        <v>-487.09999999999997</v>
      </c>
      <c r="J3721">
        <v>3352.89</v>
      </c>
    </row>
    <row r="3722" spans="1:10" x14ac:dyDescent="0.35">
      <c r="A3722">
        <v>3706</v>
      </c>
      <c r="B3722" s="75">
        <v>90.115300000000005</v>
      </c>
      <c r="C3722" s="75">
        <v>97.688699999999997</v>
      </c>
      <c r="D3722" s="75">
        <v>92.696299999999994</v>
      </c>
      <c r="E3722" s="75">
        <v>90.761799999999994</v>
      </c>
      <c r="F3722">
        <v>-1853.61</v>
      </c>
      <c r="G3722">
        <v>781.8</v>
      </c>
      <c r="H3722">
        <v>239.6</v>
      </c>
      <c r="I3722">
        <v>2618.7999999999997</v>
      </c>
      <c r="J3722">
        <v>1786.5899999999997</v>
      </c>
    </row>
    <row r="3723" spans="1:10" x14ac:dyDescent="0.35">
      <c r="A3723">
        <v>3707</v>
      </c>
      <c r="B3723" s="75">
        <v>88.97</v>
      </c>
      <c r="C3723" s="75">
        <v>98.06</v>
      </c>
      <c r="D3723" s="75">
        <v>93.32</v>
      </c>
      <c r="E3723" s="75">
        <v>92.84</v>
      </c>
      <c r="F3723">
        <v>1915.65</v>
      </c>
      <c r="G3723">
        <v>230.85000000000002</v>
      </c>
      <c r="H3723">
        <v>-1015.4000000000001</v>
      </c>
      <c r="I3723">
        <v>543</v>
      </c>
      <c r="J3723">
        <v>1674.1</v>
      </c>
    </row>
    <row r="3724" spans="1:10" x14ac:dyDescent="0.35">
      <c r="A3724">
        <v>3708</v>
      </c>
      <c r="B3724" s="75">
        <v>89.277799999999999</v>
      </c>
      <c r="C3724" s="75">
        <v>98.264099999999999</v>
      </c>
      <c r="D3724" s="75">
        <v>94.385000000000005</v>
      </c>
      <c r="E3724" s="75">
        <v>91.061400000000006</v>
      </c>
      <c r="F3724">
        <v>910.14</v>
      </c>
      <c r="G3724">
        <v>-81.3</v>
      </c>
      <c r="H3724">
        <v>-3137.7999999999997</v>
      </c>
      <c r="I3724">
        <v>2319.1999999999998</v>
      </c>
      <c r="J3724">
        <v>10.240000000000236</v>
      </c>
    </row>
    <row r="3725" spans="1:10" x14ac:dyDescent="0.35">
      <c r="A3725">
        <v>3709</v>
      </c>
      <c r="B3725" s="75">
        <v>89.96</v>
      </c>
      <c r="C3725" s="75">
        <v>97.87</v>
      </c>
      <c r="D3725" s="75">
        <v>93.39</v>
      </c>
      <c r="E3725" s="75">
        <v>93.04</v>
      </c>
      <c r="F3725">
        <v>-1356.3</v>
      </c>
      <c r="G3725">
        <v>506.55</v>
      </c>
      <c r="H3725">
        <v>-1150</v>
      </c>
      <c r="I3725">
        <v>340</v>
      </c>
      <c r="J3725">
        <v>-1659.75</v>
      </c>
    </row>
    <row r="3726" spans="1:10" x14ac:dyDescent="0.35">
      <c r="A3726">
        <v>3710</v>
      </c>
      <c r="B3726" s="75">
        <v>89.7209</v>
      </c>
      <c r="C3726" s="75">
        <v>97.306899999999999</v>
      </c>
      <c r="D3726" s="75">
        <v>91.742099999999994</v>
      </c>
      <c r="E3726" s="75">
        <v>90.478800000000007</v>
      </c>
      <c r="F3726">
        <v>-552.09</v>
      </c>
      <c r="G3726">
        <v>1354.5</v>
      </c>
      <c r="H3726">
        <v>2148</v>
      </c>
      <c r="I3726">
        <v>2901.8</v>
      </c>
      <c r="J3726">
        <v>5852.21</v>
      </c>
    </row>
    <row r="3727" spans="1:10" x14ac:dyDescent="0.35">
      <c r="A3727">
        <v>3711</v>
      </c>
      <c r="B3727" s="75">
        <v>89.43</v>
      </c>
      <c r="C3727" s="75">
        <v>98.85</v>
      </c>
      <c r="D3727" s="75">
        <v>91.48</v>
      </c>
      <c r="E3727" s="75">
        <v>94.2</v>
      </c>
      <c r="F3727">
        <v>393.36</v>
      </c>
      <c r="G3727">
        <v>-956.55000000000007</v>
      </c>
      <c r="H3727">
        <v>2675.2</v>
      </c>
      <c r="I3727">
        <v>-821.5</v>
      </c>
      <c r="J3727">
        <v>1290.5099999999998</v>
      </c>
    </row>
    <row r="3728" spans="1:10" x14ac:dyDescent="0.35">
      <c r="A3728">
        <v>3712</v>
      </c>
      <c r="B3728" s="75">
        <v>89.368799999999993</v>
      </c>
      <c r="C3728" s="75">
        <v>98.053200000000004</v>
      </c>
      <c r="D3728" s="75">
        <v>93.120800000000003</v>
      </c>
      <c r="E3728" s="75">
        <v>91.429500000000004</v>
      </c>
      <c r="F3728">
        <v>609.83999999999992</v>
      </c>
      <c r="G3728">
        <v>235.05</v>
      </c>
      <c r="H3728">
        <v>-609.40000000000009</v>
      </c>
      <c r="I3728">
        <v>1951.1000000000001</v>
      </c>
      <c r="J3728">
        <v>2186.59</v>
      </c>
    </row>
    <row r="3729" spans="1:10" x14ac:dyDescent="0.35">
      <c r="A3729">
        <v>3713</v>
      </c>
      <c r="B3729" s="75">
        <v>89.66</v>
      </c>
      <c r="C3729" s="75">
        <v>98.81</v>
      </c>
      <c r="D3729" s="75">
        <v>94.23</v>
      </c>
      <c r="E3729" s="75">
        <v>93.39</v>
      </c>
      <c r="F3729">
        <v>-335.61</v>
      </c>
      <c r="G3729">
        <v>-895.5</v>
      </c>
      <c r="H3729">
        <v>-2820.3999999999996</v>
      </c>
      <c r="I3729">
        <v>-14.3</v>
      </c>
      <c r="J3729">
        <v>-4065.81</v>
      </c>
    </row>
    <row r="3730" spans="1:10" x14ac:dyDescent="0.35">
      <c r="A3730">
        <v>3714</v>
      </c>
      <c r="B3730" s="75">
        <v>90.376999999999995</v>
      </c>
      <c r="C3730" s="75">
        <v>98.402799999999999</v>
      </c>
      <c r="D3730" s="75">
        <v>92.909499999999994</v>
      </c>
      <c r="E3730" s="75">
        <v>93.727900000000005</v>
      </c>
      <c r="F3730">
        <v>-2717.2200000000003</v>
      </c>
      <c r="G3730">
        <v>-289.34999999999997</v>
      </c>
      <c r="H3730">
        <v>-186.79999999999998</v>
      </c>
      <c r="I3730">
        <v>-347.3</v>
      </c>
      <c r="J3730">
        <v>-3540.6700000000005</v>
      </c>
    </row>
    <row r="3731" spans="1:10" x14ac:dyDescent="0.35">
      <c r="A3731">
        <v>3715</v>
      </c>
      <c r="B3731" s="75">
        <v>89.57</v>
      </c>
      <c r="C3731" s="75">
        <v>96</v>
      </c>
      <c r="D3731" s="75">
        <v>94.9</v>
      </c>
      <c r="E3731" s="75">
        <v>91.45</v>
      </c>
      <c r="F3731">
        <v>-66.33</v>
      </c>
      <c r="G3731">
        <v>3312.9</v>
      </c>
      <c r="H3731">
        <v>-4173.6000000000004</v>
      </c>
      <c r="I3731">
        <v>1926.9</v>
      </c>
      <c r="J3731">
        <v>999.86999999999989</v>
      </c>
    </row>
    <row r="3732" spans="1:10" x14ac:dyDescent="0.35">
      <c r="A3732">
        <v>3716</v>
      </c>
      <c r="B3732" s="75">
        <v>89.430700000000002</v>
      </c>
      <c r="C3732" s="75">
        <v>97.728999999999999</v>
      </c>
      <c r="D3732" s="75">
        <v>94.236400000000003</v>
      </c>
      <c r="E3732" s="75">
        <v>91.137799999999999</v>
      </c>
      <c r="F3732">
        <v>405.57</v>
      </c>
      <c r="G3732">
        <v>721.35</v>
      </c>
      <c r="H3732">
        <v>-2840.6</v>
      </c>
      <c r="I3732">
        <v>2242.7999999999997</v>
      </c>
      <c r="J3732">
        <v>529.11999999999989</v>
      </c>
    </row>
    <row r="3733" spans="1:10" x14ac:dyDescent="0.35">
      <c r="A3733">
        <v>3717</v>
      </c>
      <c r="B3733" s="75">
        <v>89.34</v>
      </c>
      <c r="C3733" s="75">
        <v>98.09</v>
      </c>
      <c r="D3733" s="75">
        <v>94.75</v>
      </c>
      <c r="E3733" s="75">
        <v>91.79</v>
      </c>
      <c r="F3733">
        <v>707.85</v>
      </c>
      <c r="G3733">
        <v>175.5</v>
      </c>
      <c r="H3733">
        <v>-3865.8</v>
      </c>
      <c r="I3733">
        <v>1594.6</v>
      </c>
      <c r="J3733">
        <v>-1387.8500000000004</v>
      </c>
    </row>
    <row r="3734" spans="1:10" x14ac:dyDescent="0.35">
      <c r="A3734">
        <v>3718</v>
      </c>
      <c r="B3734" s="75">
        <v>88.864400000000003</v>
      </c>
      <c r="C3734" s="75">
        <v>99.688800000000001</v>
      </c>
      <c r="D3734" s="75">
        <v>94.892099999999999</v>
      </c>
      <c r="E3734" s="75">
        <v>94.715800000000002</v>
      </c>
      <c r="F3734">
        <v>2274.36</v>
      </c>
      <c r="G3734">
        <v>-2218.3500000000004</v>
      </c>
      <c r="H3734">
        <v>-4152</v>
      </c>
      <c r="I3734">
        <v>-1335.2</v>
      </c>
      <c r="J3734">
        <v>-5431.1900000000005</v>
      </c>
    </row>
    <row r="3735" spans="1:10" x14ac:dyDescent="0.35">
      <c r="A3735">
        <v>3719</v>
      </c>
      <c r="B3735" s="75">
        <v>88.97</v>
      </c>
      <c r="C3735" s="75">
        <v>97.93</v>
      </c>
      <c r="D3735" s="75">
        <v>94.59</v>
      </c>
      <c r="E3735" s="75">
        <v>93.84</v>
      </c>
      <c r="F3735">
        <v>1911.69</v>
      </c>
      <c r="G3735">
        <v>420.00000000000006</v>
      </c>
      <c r="H3735">
        <v>-3556.2</v>
      </c>
      <c r="I3735">
        <v>-456.5</v>
      </c>
      <c r="J3735">
        <v>-1681.0099999999998</v>
      </c>
    </row>
    <row r="3736" spans="1:10" x14ac:dyDescent="0.35">
      <c r="A3736">
        <v>3720</v>
      </c>
      <c r="B3736" s="75">
        <v>89.141099999999994</v>
      </c>
      <c r="C3736" s="75">
        <v>97.978800000000007</v>
      </c>
      <c r="D3736" s="75">
        <v>92.905000000000001</v>
      </c>
      <c r="E3736" s="75">
        <v>92.034099999999995</v>
      </c>
      <c r="F3736">
        <v>1361.25</v>
      </c>
      <c r="G3736">
        <v>346.65</v>
      </c>
      <c r="H3736">
        <v>-177.8</v>
      </c>
      <c r="I3736">
        <v>1346.5</v>
      </c>
      <c r="J3736">
        <v>2876.6000000000004</v>
      </c>
    </row>
    <row r="3737" spans="1:10" x14ac:dyDescent="0.35">
      <c r="A3737">
        <v>3721</v>
      </c>
      <c r="B3737" s="75">
        <v>89.65</v>
      </c>
      <c r="C3737" s="75">
        <v>99.42</v>
      </c>
      <c r="D3737" s="75">
        <v>93.37</v>
      </c>
      <c r="E3737" s="75">
        <v>95.28</v>
      </c>
      <c r="F3737">
        <v>-320.10000000000002</v>
      </c>
      <c r="G3737">
        <v>-1816.95</v>
      </c>
      <c r="H3737">
        <v>-1101.2</v>
      </c>
      <c r="I3737">
        <v>-1903.3</v>
      </c>
      <c r="J3737">
        <v>-5141.55</v>
      </c>
    </row>
    <row r="3738" spans="1:10" x14ac:dyDescent="0.35">
      <c r="A3738">
        <v>3722</v>
      </c>
      <c r="B3738" s="75">
        <v>89.675399999999996</v>
      </c>
      <c r="C3738" s="75">
        <v>98.052999999999997</v>
      </c>
      <c r="D3738" s="75">
        <v>95.623500000000007</v>
      </c>
      <c r="E3738" s="75">
        <v>95.204700000000003</v>
      </c>
      <c r="F3738">
        <v>-401.94</v>
      </c>
      <c r="G3738">
        <v>235.35000000000002</v>
      </c>
      <c r="H3738">
        <v>-5614.8</v>
      </c>
      <c r="I3738">
        <v>-1824.1000000000001</v>
      </c>
      <c r="J3738">
        <v>-7605.4900000000007</v>
      </c>
    </row>
    <row r="3739" spans="1:10" x14ac:dyDescent="0.35">
      <c r="A3739">
        <v>3723</v>
      </c>
      <c r="B3739" s="75">
        <v>89.4</v>
      </c>
      <c r="C3739" s="75">
        <v>98.89</v>
      </c>
      <c r="D3739" s="75">
        <v>96.2</v>
      </c>
      <c r="E3739" s="75">
        <v>94.1</v>
      </c>
      <c r="F3739">
        <v>515.13</v>
      </c>
      <c r="G3739">
        <v>-1018.1999999999999</v>
      </c>
      <c r="H3739">
        <v>-6773.7999999999993</v>
      </c>
      <c r="I3739">
        <v>-718.40000000000009</v>
      </c>
      <c r="J3739">
        <v>-7995.2699999999986</v>
      </c>
    </row>
    <row r="3740" spans="1:10" x14ac:dyDescent="0.35">
      <c r="A3740">
        <v>3724</v>
      </c>
      <c r="B3740" s="75">
        <v>89.755600000000001</v>
      </c>
      <c r="C3740" s="75">
        <v>98.864400000000003</v>
      </c>
      <c r="D3740" s="75">
        <v>93.614800000000002</v>
      </c>
      <c r="E3740" s="75">
        <v>93.729399999999998</v>
      </c>
      <c r="F3740">
        <v>-666.6</v>
      </c>
      <c r="G3740">
        <v>-981.75</v>
      </c>
      <c r="H3740">
        <v>-1597.3999999999999</v>
      </c>
      <c r="I3740">
        <v>-348.8</v>
      </c>
      <c r="J3740">
        <v>-3594.55</v>
      </c>
    </row>
    <row r="3741" spans="1:10" x14ac:dyDescent="0.35">
      <c r="A3741">
        <v>3725</v>
      </c>
      <c r="B3741" s="75">
        <v>89.09</v>
      </c>
      <c r="C3741" s="75">
        <v>98.14</v>
      </c>
      <c r="D3741" s="75">
        <v>91.72</v>
      </c>
      <c r="E3741" s="75">
        <v>94.28</v>
      </c>
      <c r="F3741">
        <v>1531.86</v>
      </c>
      <c r="G3741">
        <v>100.95</v>
      </c>
      <c r="H3741">
        <v>2187.1999999999998</v>
      </c>
      <c r="I3741">
        <v>-898.9</v>
      </c>
      <c r="J3741">
        <v>2921.1099999999997</v>
      </c>
    </row>
    <row r="3742" spans="1:10" x14ac:dyDescent="0.35">
      <c r="A3742">
        <v>3726</v>
      </c>
      <c r="B3742" s="75">
        <v>89.975999999999999</v>
      </c>
      <c r="C3742" s="75">
        <v>98.483599999999996</v>
      </c>
      <c r="D3742" s="75">
        <v>93.413499999999999</v>
      </c>
      <c r="E3742" s="75">
        <v>94.326700000000002</v>
      </c>
      <c r="F3742">
        <v>-1393.92</v>
      </c>
      <c r="G3742">
        <v>-410.55</v>
      </c>
      <c r="H3742">
        <v>-1194.8000000000002</v>
      </c>
      <c r="I3742">
        <v>-946.1</v>
      </c>
      <c r="J3742">
        <v>-3945.3700000000003</v>
      </c>
    </row>
    <row r="3743" spans="1:10" x14ac:dyDescent="0.35">
      <c r="A3743">
        <v>3727</v>
      </c>
      <c r="B3743" s="75">
        <v>89.99</v>
      </c>
      <c r="C3743" s="75">
        <v>97.7</v>
      </c>
      <c r="D3743" s="75">
        <v>93.06</v>
      </c>
      <c r="E3743" s="75">
        <v>93.7</v>
      </c>
      <c r="F3743">
        <v>-1429.23</v>
      </c>
      <c r="G3743">
        <v>765</v>
      </c>
      <c r="H3743">
        <v>-487.20000000000005</v>
      </c>
      <c r="I3743">
        <v>-320.2</v>
      </c>
      <c r="J3743">
        <v>-1471.63</v>
      </c>
    </row>
    <row r="3744" spans="1:10" x14ac:dyDescent="0.35">
      <c r="A3744">
        <v>3728</v>
      </c>
      <c r="B3744" s="75">
        <v>88.928299999999993</v>
      </c>
      <c r="C3744" s="75">
        <v>98.657499999999999</v>
      </c>
      <c r="D3744" s="75">
        <v>93.3947</v>
      </c>
      <c r="E3744" s="75">
        <v>94.067700000000002</v>
      </c>
      <c r="F3744">
        <v>2063.4899999999998</v>
      </c>
      <c r="G3744">
        <v>-671.4</v>
      </c>
      <c r="H3744">
        <v>-1157.2</v>
      </c>
      <c r="I3744">
        <v>-687.1</v>
      </c>
      <c r="J3744">
        <v>-452.21000000000038</v>
      </c>
    </row>
    <row r="3745" spans="1:10" x14ac:dyDescent="0.35">
      <c r="A3745">
        <v>3729</v>
      </c>
      <c r="B3745" s="75">
        <v>89.12</v>
      </c>
      <c r="C3745" s="75">
        <v>99.33</v>
      </c>
      <c r="D3745" s="75">
        <v>92.59</v>
      </c>
      <c r="E3745" s="75">
        <v>91.68</v>
      </c>
      <c r="F3745">
        <v>1417.35</v>
      </c>
      <c r="G3745">
        <v>-1680.75</v>
      </c>
      <c r="H3745">
        <v>445</v>
      </c>
      <c r="I3745">
        <v>1698.3999999999999</v>
      </c>
      <c r="J3745">
        <v>1879.9999999999998</v>
      </c>
    </row>
    <row r="3746" spans="1:10" x14ac:dyDescent="0.35">
      <c r="A3746">
        <v>3730</v>
      </c>
      <c r="B3746" s="75">
        <v>88.663300000000007</v>
      </c>
      <c r="C3746" s="75">
        <v>98.521299999999997</v>
      </c>
      <c r="D3746" s="75">
        <v>93.005899999999997</v>
      </c>
      <c r="E3746" s="75">
        <v>91.072400000000002</v>
      </c>
      <c r="F3746">
        <v>2937.99</v>
      </c>
      <c r="G3746">
        <v>-467.1</v>
      </c>
      <c r="H3746">
        <v>-379.59999999999997</v>
      </c>
      <c r="I3746">
        <v>2308.1999999999998</v>
      </c>
      <c r="J3746">
        <v>4399.49</v>
      </c>
    </row>
    <row r="3747" spans="1:10" x14ac:dyDescent="0.35">
      <c r="A3747">
        <v>3731</v>
      </c>
      <c r="B3747" s="75">
        <v>89.64</v>
      </c>
      <c r="C3747" s="75">
        <v>98.7</v>
      </c>
      <c r="D3747" s="75">
        <v>93.07</v>
      </c>
      <c r="E3747" s="75">
        <v>95.71</v>
      </c>
      <c r="F3747">
        <v>-280.17</v>
      </c>
      <c r="G3747">
        <v>-727.80000000000007</v>
      </c>
      <c r="H3747">
        <v>-512.80000000000007</v>
      </c>
      <c r="I3747">
        <v>-2324.5</v>
      </c>
      <c r="J3747">
        <v>-3845.27</v>
      </c>
    </row>
    <row r="3748" spans="1:10" x14ac:dyDescent="0.35">
      <c r="A3748">
        <v>3732</v>
      </c>
      <c r="B3748" s="75">
        <v>89.433899999999994</v>
      </c>
      <c r="C3748" s="75">
        <v>99.655500000000004</v>
      </c>
      <c r="D3748" s="75">
        <v>93.263599999999997</v>
      </c>
      <c r="E3748" s="75">
        <v>90.428799999999995</v>
      </c>
      <c r="F3748">
        <v>395.01</v>
      </c>
      <c r="G3748">
        <v>-2168.4</v>
      </c>
      <c r="H3748">
        <v>-895</v>
      </c>
      <c r="I3748">
        <v>2951.8</v>
      </c>
      <c r="J3748">
        <v>283.40999999999985</v>
      </c>
    </row>
    <row r="3749" spans="1:10" x14ac:dyDescent="0.35">
      <c r="A3749">
        <v>3733</v>
      </c>
      <c r="B3749" s="75">
        <v>89.51</v>
      </c>
      <c r="C3749" s="75">
        <v>97.12</v>
      </c>
      <c r="D3749" s="75">
        <v>93.26</v>
      </c>
      <c r="E3749" s="75">
        <v>90.46</v>
      </c>
      <c r="F3749">
        <v>144.87</v>
      </c>
      <c r="G3749">
        <v>1630.2</v>
      </c>
      <c r="H3749">
        <v>-897.4</v>
      </c>
      <c r="I3749">
        <v>2922.7</v>
      </c>
      <c r="J3749">
        <v>3800.37</v>
      </c>
    </row>
    <row r="3750" spans="1:10" x14ac:dyDescent="0.35">
      <c r="A3750">
        <v>3734</v>
      </c>
      <c r="B3750" s="75">
        <v>89.730999999999995</v>
      </c>
      <c r="C3750" s="75">
        <v>99.190399999999997</v>
      </c>
      <c r="D3750" s="75">
        <v>93.020700000000005</v>
      </c>
      <c r="E3750" s="75">
        <v>91.218000000000004</v>
      </c>
      <c r="F3750">
        <v>-585.41999999999996</v>
      </c>
      <c r="G3750">
        <v>-1470.75</v>
      </c>
      <c r="H3750">
        <v>-409.2</v>
      </c>
      <c r="I3750">
        <v>2162.6</v>
      </c>
      <c r="J3750">
        <v>-302.77</v>
      </c>
    </row>
    <row r="3751" spans="1:10" x14ac:dyDescent="0.35">
      <c r="A3751">
        <v>3735</v>
      </c>
      <c r="B3751" s="75">
        <v>89.94</v>
      </c>
      <c r="C3751" s="75">
        <v>99.48</v>
      </c>
      <c r="D3751" s="75">
        <v>93.56</v>
      </c>
      <c r="E3751" s="75">
        <v>94.92</v>
      </c>
      <c r="F3751">
        <v>-1267.53</v>
      </c>
      <c r="G3751">
        <v>-1900.95</v>
      </c>
      <c r="H3751">
        <v>-1484</v>
      </c>
      <c r="I3751">
        <v>-1536.8999999999999</v>
      </c>
      <c r="J3751">
        <v>-6189.3799999999992</v>
      </c>
    </row>
    <row r="3752" spans="1:10" x14ac:dyDescent="0.35">
      <c r="A3752">
        <v>3736</v>
      </c>
      <c r="B3752" s="75">
        <v>89.620599999999996</v>
      </c>
      <c r="C3752" s="75">
        <v>97.682100000000005</v>
      </c>
      <c r="D3752" s="75">
        <v>93.466200000000001</v>
      </c>
      <c r="E3752" s="75">
        <v>93.418499999999995</v>
      </c>
      <c r="F3752">
        <v>-221.10000000000002</v>
      </c>
      <c r="G3752">
        <v>791.7</v>
      </c>
      <c r="H3752">
        <v>-1300.2</v>
      </c>
      <c r="I3752">
        <v>-37.900000000000006</v>
      </c>
      <c r="J3752">
        <v>-767.5</v>
      </c>
    </row>
    <row r="3753" spans="1:10" x14ac:dyDescent="0.35">
      <c r="A3753">
        <v>3737</v>
      </c>
      <c r="B3753" s="75">
        <v>89.42</v>
      </c>
      <c r="C3753" s="75">
        <v>98.15</v>
      </c>
      <c r="D3753" s="75">
        <v>93.26</v>
      </c>
      <c r="E3753" s="75">
        <v>96.5</v>
      </c>
      <c r="F3753">
        <v>447.15000000000003</v>
      </c>
      <c r="G3753">
        <v>87</v>
      </c>
      <c r="H3753">
        <v>-896.59999999999991</v>
      </c>
      <c r="I3753">
        <v>-3116.8</v>
      </c>
      <c r="J3753">
        <v>-3479.25</v>
      </c>
    </row>
    <row r="3754" spans="1:10" x14ac:dyDescent="0.35">
      <c r="A3754">
        <v>3738</v>
      </c>
      <c r="B3754" s="75">
        <v>88.783699999999996</v>
      </c>
      <c r="C3754" s="75">
        <v>97.450800000000001</v>
      </c>
      <c r="D3754" s="75">
        <v>93.9983</v>
      </c>
      <c r="E3754" s="75">
        <v>93.343100000000007</v>
      </c>
      <c r="F3754">
        <v>2540.67</v>
      </c>
      <c r="G3754">
        <v>1138.6500000000001</v>
      </c>
      <c r="H3754">
        <v>-2364.3999999999996</v>
      </c>
      <c r="I3754">
        <v>37.5</v>
      </c>
      <c r="J3754">
        <v>1352.4200000000005</v>
      </c>
    </row>
    <row r="3755" spans="1:10" x14ac:dyDescent="0.35">
      <c r="A3755">
        <v>3739</v>
      </c>
      <c r="B3755" s="75">
        <v>89.73</v>
      </c>
      <c r="C3755" s="75">
        <v>98.36</v>
      </c>
      <c r="D3755" s="75">
        <v>92.09</v>
      </c>
      <c r="E3755" s="75">
        <v>93.02</v>
      </c>
      <c r="F3755">
        <v>-588.39</v>
      </c>
      <c r="G3755">
        <v>-220.04999999999998</v>
      </c>
      <c r="H3755">
        <v>1449.2</v>
      </c>
      <c r="I3755">
        <v>359.20000000000005</v>
      </c>
      <c r="J3755">
        <v>999.96000000000015</v>
      </c>
    </row>
    <row r="3756" spans="1:10" x14ac:dyDescent="0.35">
      <c r="A3756">
        <v>3740</v>
      </c>
      <c r="B3756" s="75">
        <v>89.76</v>
      </c>
      <c r="C3756" s="75">
        <v>98.450500000000005</v>
      </c>
      <c r="D3756" s="75">
        <v>92.167000000000002</v>
      </c>
      <c r="E3756" s="75">
        <v>94.669399999999996</v>
      </c>
      <c r="F3756">
        <v>-681.12</v>
      </c>
      <c r="G3756">
        <v>-360.90000000000003</v>
      </c>
      <c r="H3756">
        <v>1298.2</v>
      </c>
      <c r="I3756">
        <v>-1288.8</v>
      </c>
      <c r="J3756">
        <v>-1032.6199999999999</v>
      </c>
    </row>
    <row r="3757" spans="1:10" x14ac:dyDescent="0.35">
      <c r="A3757">
        <v>3741</v>
      </c>
      <c r="B3757" s="75">
        <v>89.51</v>
      </c>
      <c r="C3757" s="75">
        <v>99.39</v>
      </c>
      <c r="D3757" s="75">
        <v>93.95</v>
      </c>
      <c r="E3757" s="75">
        <v>93.2</v>
      </c>
      <c r="F3757">
        <v>134.31</v>
      </c>
      <c r="G3757">
        <v>-1765.2</v>
      </c>
      <c r="H3757">
        <v>-2271.1999999999998</v>
      </c>
      <c r="I3757">
        <v>185.4</v>
      </c>
      <c r="J3757">
        <v>-3716.69</v>
      </c>
    </row>
    <row r="3758" spans="1:10" x14ac:dyDescent="0.35">
      <c r="A3758">
        <v>3742</v>
      </c>
      <c r="B3758" s="75">
        <v>90.023600000000002</v>
      </c>
      <c r="C3758" s="75">
        <v>98.521100000000004</v>
      </c>
      <c r="D3758" s="75">
        <v>92.361000000000004</v>
      </c>
      <c r="E3758" s="75">
        <v>93.340199999999996</v>
      </c>
      <c r="F3758">
        <v>-1551</v>
      </c>
      <c r="G3758">
        <v>-466.79999999999995</v>
      </c>
      <c r="H3758">
        <v>910.2</v>
      </c>
      <c r="I3758">
        <v>40.4</v>
      </c>
      <c r="J3758">
        <v>-1067.1999999999998</v>
      </c>
    </row>
    <row r="3759" spans="1:10" x14ac:dyDescent="0.35">
      <c r="A3759">
        <v>3743</v>
      </c>
      <c r="B3759" s="75">
        <v>89.72</v>
      </c>
      <c r="C3759" s="75">
        <v>96.97</v>
      </c>
      <c r="D3759" s="75">
        <v>94.14</v>
      </c>
      <c r="E3759" s="75">
        <v>96.46</v>
      </c>
      <c r="F3759">
        <v>-558.03</v>
      </c>
      <c r="G3759">
        <v>1866.1499999999999</v>
      </c>
      <c r="H3759">
        <v>-2644.8</v>
      </c>
      <c r="I3759">
        <v>-3080.8</v>
      </c>
      <c r="J3759">
        <v>-4417.4800000000005</v>
      </c>
    </row>
    <row r="3760" spans="1:10" x14ac:dyDescent="0.35">
      <c r="A3760">
        <v>3744</v>
      </c>
      <c r="B3760" s="75">
        <v>89.587500000000006</v>
      </c>
      <c r="C3760" s="75">
        <v>98.285300000000007</v>
      </c>
      <c r="D3760" s="75">
        <v>93.056700000000006</v>
      </c>
      <c r="E3760" s="75">
        <v>92.470699999999994</v>
      </c>
      <c r="F3760">
        <v>-111.87</v>
      </c>
      <c r="G3760">
        <v>-113.1</v>
      </c>
      <c r="H3760">
        <v>-481.2</v>
      </c>
      <c r="I3760">
        <v>909.90000000000009</v>
      </c>
      <c r="J3760">
        <v>203.73000000000013</v>
      </c>
    </row>
    <row r="3761" spans="1:10" x14ac:dyDescent="0.35">
      <c r="A3761">
        <v>3745</v>
      </c>
      <c r="B3761" s="75">
        <v>90.35</v>
      </c>
      <c r="C3761" s="75">
        <v>98.9</v>
      </c>
      <c r="D3761" s="75">
        <v>94.01</v>
      </c>
      <c r="E3761" s="75">
        <v>92.26</v>
      </c>
      <c r="F3761">
        <v>-2626.14</v>
      </c>
      <c r="G3761">
        <v>-1040.1000000000001</v>
      </c>
      <c r="H3761">
        <v>-2383</v>
      </c>
      <c r="I3761">
        <v>1118.6000000000001</v>
      </c>
      <c r="J3761">
        <v>-4930.6399999999994</v>
      </c>
    </row>
    <row r="3762" spans="1:10" x14ac:dyDescent="0.35">
      <c r="A3762">
        <v>3746</v>
      </c>
      <c r="B3762" s="75">
        <v>89.655500000000004</v>
      </c>
      <c r="C3762" s="75">
        <v>97.4846</v>
      </c>
      <c r="D3762" s="75">
        <v>92.215400000000002</v>
      </c>
      <c r="E3762" s="75">
        <v>92.096000000000004</v>
      </c>
      <c r="F3762">
        <v>-336.27000000000004</v>
      </c>
      <c r="G3762">
        <v>1087.9499999999998</v>
      </c>
      <c r="H3762">
        <v>1201.4000000000001</v>
      </c>
      <c r="I3762">
        <v>1284.5999999999999</v>
      </c>
      <c r="J3762">
        <v>3237.68</v>
      </c>
    </row>
    <row r="3763" spans="1:10" x14ac:dyDescent="0.35">
      <c r="A3763">
        <v>3747</v>
      </c>
      <c r="B3763" s="75">
        <v>90.66</v>
      </c>
      <c r="C3763" s="75">
        <v>97.82</v>
      </c>
      <c r="D3763" s="75">
        <v>94.12</v>
      </c>
      <c r="E3763" s="75">
        <v>93.17</v>
      </c>
      <c r="F3763">
        <v>-3666.96</v>
      </c>
      <c r="G3763">
        <v>579</v>
      </c>
      <c r="H3763">
        <v>-2605</v>
      </c>
      <c r="I3763">
        <v>209.3</v>
      </c>
      <c r="J3763">
        <v>-5483.66</v>
      </c>
    </row>
    <row r="3764" spans="1:10" x14ac:dyDescent="0.35">
      <c r="A3764">
        <v>3748</v>
      </c>
      <c r="B3764" s="75">
        <v>90.141400000000004</v>
      </c>
      <c r="C3764" s="75">
        <v>98.5886</v>
      </c>
      <c r="D3764" s="75">
        <v>92.144800000000004</v>
      </c>
      <c r="E3764" s="75">
        <v>92.968699999999998</v>
      </c>
      <c r="F3764">
        <v>-1939.74</v>
      </c>
      <c r="G3764">
        <v>-568.04999999999995</v>
      </c>
      <c r="H3764">
        <v>1342.6</v>
      </c>
      <c r="I3764">
        <v>411.9</v>
      </c>
      <c r="J3764">
        <v>-753.29000000000008</v>
      </c>
    </row>
    <row r="3765" spans="1:10" x14ac:dyDescent="0.35">
      <c r="A3765">
        <v>3749</v>
      </c>
      <c r="B3765" s="75">
        <v>90.38</v>
      </c>
      <c r="C3765" s="75">
        <v>97.99</v>
      </c>
      <c r="D3765" s="75">
        <v>94.87</v>
      </c>
      <c r="E3765" s="75">
        <v>92.18</v>
      </c>
      <c r="F3765">
        <v>-2740.65</v>
      </c>
      <c r="G3765">
        <v>324.89999999999998</v>
      </c>
      <c r="H3765">
        <v>-4109.2000000000007</v>
      </c>
      <c r="I3765">
        <v>1198.3</v>
      </c>
      <c r="J3765">
        <v>-5326.6500000000005</v>
      </c>
    </row>
    <row r="3766" spans="1:10" x14ac:dyDescent="0.35">
      <c r="A3766">
        <v>3750</v>
      </c>
      <c r="B3766" s="75">
        <v>89.933700000000002</v>
      </c>
      <c r="C3766" s="75">
        <v>98.391800000000003</v>
      </c>
      <c r="D3766" s="75">
        <v>93.434299999999993</v>
      </c>
      <c r="E3766" s="75">
        <v>95.899199999999993</v>
      </c>
      <c r="F3766">
        <v>-1254.33</v>
      </c>
      <c r="G3766">
        <v>-272.85000000000002</v>
      </c>
      <c r="H3766">
        <v>-1236.3999999999999</v>
      </c>
      <c r="I3766">
        <v>-2518.6000000000004</v>
      </c>
      <c r="J3766">
        <v>-5282.18</v>
      </c>
    </row>
    <row r="3767" spans="1:10" x14ac:dyDescent="0.35">
      <c r="A3767">
        <v>3751</v>
      </c>
      <c r="B3767" s="75">
        <v>89.42</v>
      </c>
      <c r="C3767" s="75">
        <v>97.86</v>
      </c>
      <c r="D3767" s="75">
        <v>93.5</v>
      </c>
      <c r="E3767" s="75">
        <v>94.13</v>
      </c>
      <c r="F3767">
        <v>440.55</v>
      </c>
      <c r="G3767">
        <v>520.80000000000007</v>
      </c>
      <c r="H3767">
        <v>-1364.2</v>
      </c>
      <c r="I3767">
        <v>-750.7</v>
      </c>
      <c r="J3767">
        <v>-1153.55</v>
      </c>
    </row>
    <row r="3768" spans="1:10" x14ac:dyDescent="0.35">
      <c r="A3768">
        <v>3752</v>
      </c>
      <c r="B3768" s="75">
        <v>89.869299999999996</v>
      </c>
      <c r="C3768" s="75">
        <v>97.841899999999995</v>
      </c>
      <c r="D3768" s="75">
        <v>92.375299999999996</v>
      </c>
      <c r="E3768" s="75">
        <v>93.280799999999999</v>
      </c>
      <c r="F3768">
        <v>-1041.81</v>
      </c>
      <c r="G3768">
        <v>552</v>
      </c>
      <c r="H3768">
        <v>881.6</v>
      </c>
      <c r="I3768">
        <v>99.8</v>
      </c>
      <c r="J3768">
        <v>491.59000000000009</v>
      </c>
    </row>
    <row r="3769" spans="1:10" x14ac:dyDescent="0.35">
      <c r="A3769">
        <v>3753</v>
      </c>
      <c r="B3769" s="75">
        <v>88.9</v>
      </c>
      <c r="C3769" s="75">
        <v>100.3</v>
      </c>
      <c r="D3769" s="75">
        <v>92.29</v>
      </c>
      <c r="E3769" s="75">
        <v>96.01</v>
      </c>
      <c r="F3769">
        <v>2162.16</v>
      </c>
      <c r="G3769">
        <v>-3132.6</v>
      </c>
      <c r="H3769">
        <v>1046.5999999999999</v>
      </c>
      <c r="I3769">
        <v>-2633.1000000000004</v>
      </c>
      <c r="J3769">
        <v>-2556.9400000000005</v>
      </c>
    </row>
    <row r="3770" spans="1:10" x14ac:dyDescent="0.35">
      <c r="A3770">
        <v>3754</v>
      </c>
      <c r="B3770" s="75">
        <v>88.819699999999997</v>
      </c>
      <c r="C3770" s="75">
        <v>99.304400000000001</v>
      </c>
      <c r="D3770" s="75">
        <v>94.3078</v>
      </c>
      <c r="E3770" s="75">
        <v>90.684899999999999</v>
      </c>
      <c r="F3770">
        <v>2421.87</v>
      </c>
      <c r="G3770">
        <v>-1641.75</v>
      </c>
      <c r="H3770">
        <v>-2983.4</v>
      </c>
      <c r="I3770">
        <v>2695.7</v>
      </c>
      <c r="J3770">
        <v>492.41999999999962</v>
      </c>
    </row>
    <row r="3771" spans="1:10" x14ac:dyDescent="0.35">
      <c r="A3771">
        <v>3755</v>
      </c>
      <c r="B3771" s="75">
        <v>89.72</v>
      </c>
      <c r="C3771" s="75">
        <v>97.7</v>
      </c>
      <c r="D3771" s="75">
        <v>91.95</v>
      </c>
      <c r="E3771" s="75">
        <v>92.27</v>
      </c>
      <c r="F3771">
        <v>-549.12</v>
      </c>
      <c r="G3771">
        <v>760.65</v>
      </c>
      <c r="H3771">
        <v>1733.8</v>
      </c>
      <c r="I3771">
        <v>1111</v>
      </c>
      <c r="J3771">
        <v>3056.33</v>
      </c>
    </row>
    <row r="3772" spans="1:10" x14ac:dyDescent="0.35">
      <c r="A3772">
        <v>3756</v>
      </c>
      <c r="B3772" s="75">
        <v>90.011399999999995</v>
      </c>
      <c r="C3772" s="75">
        <v>97.164000000000001</v>
      </c>
      <c r="D3772" s="75">
        <v>92.371499999999997</v>
      </c>
      <c r="E3772" s="75">
        <v>91.403499999999994</v>
      </c>
      <c r="F3772">
        <v>-1510.74</v>
      </c>
      <c r="G3772">
        <v>1568.8500000000001</v>
      </c>
      <c r="H3772">
        <v>889.2</v>
      </c>
      <c r="I3772">
        <v>1977.1000000000001</v>
      </c>
      <c r="J3772">
        <v>2924.4100000000003</v>
      </c>
    </row>
    <row r="3773" spans="1:10" x14ac:dyDescent="0.35">
      <c r="A3773">
        <v>3757</v>
      </c>
      <c r="B3773" s="75">
        <v>90.21</v>
      </c>
      <c r="C3773" s="75">
        <v>98.48</v>
      </c>
      <c r="D3773" s="75">
        <v>93.67</v>
      </c>
      <c r="E3773" s="75">
        <v>92.42</v>
      </c>
      <c r="F3773">
        <v>-2156.2199999999998</v>
      </c>
      <c r="G3773">
        <v>-401.55</v>
      </c>
      <c r="H3773">
        <v>-1712.6</v>
      </c>
      <c r="I3773">
        <v>961.4</v>
      </c>
      <c r="J3773">
        <v>-3308.97</v>
      </c>
    </row>
    <row r="3774" spans="1:10" x14ac:dyDescent="0.35">
      <c r="A3774">
        <v>3758</v>
      </c>
      <c r="B3774" s="75">
        <v>90.108900000000006</v>
      </c>
      <c r="C3774" s="75">
        <v>97.880300000000005</v>
      </c>
      <c r="D3774" s="75">
        <v>92.746700000000004</v>
      </c>
      <c r="E3774" s="75">
        <v>96.397400000000005</v>
      </c>
      <c r="F3774">
        <v>-1832.49</v>
      </c>
      <c r="G3774">
        <v>494.40000000000003</v>
      </c>
      <c r="H3774">
        <v>138.80000000000001</v>
      </c>
      <c r="I3774">
        <v>-3016.7999999999997</v>
      </c>
      <c r="J3774">
        <v>-4216.09</v>
      </c>
    </row>
    <row r="3775" spans="1:10" x14ac:dyDescent="0.35">
      <c r="A3775">
        <v>3759</v>
      </c>
      <c r="B3775" s="75">
        <v>89.81</v>
      </c>
      <c r="C3775" s="75">
        <v>97.22</v>
      </c>
      <c r="D3775" s="75">
        <v>94.23</v>
      </c>
      <c r="E3775" s="75">
        <v>92.11</v>
      </c>
      <c r="F3775">
        <v>-848.76</v>
      </c>
      <c r="G3775">
        <v>1481.25</v>
      </c>
      <c r="H3775">
        <v>-2829</v>
      </c>
      <c r="I3775">
        <v>1266</v>
      </c>
      <c r="J3775">
        <v>-930.51000000000022</v>
      </c>
    </row>
    <row r="3776" spans="1:10" x14ac:dyDescent="0.35">
      <c r="A3776">
        <v>3760</v>
      </c>
      <c r="B3776" s="75">
        <v>89.109300000000005</v>
      </c>
      <c r="C3776" s="75">
        <v>97.9923</v>
      </c>
      <c r="D3776" s="75">
        <v>91.825400000000002</v>
      </c>
      <c r="E3776" s="75">
        <v>91.057400000000001</v>
      </c>
      <c r="F3776">
        <v>1466.1899999999998</v>
      </c>
      <c r="G3776">
        <v>326.39999999999998</v>
      </c>
      <c r="H3776">
        <v>1981.4</v>
      </c>
      <c r="I3776">
        <v>2323.1999999999998</v>
      </c>
      <c r="J3776">
        <v>6097.19</v>
      </c>
    </row>
    <row r="3777" spans="1:10" x14ac:dyDescent="0.35">
      <c r="A3777">
        <v>3761</v>
      </c>
      <c r="B3777" s="75">
        <v>89.31</v>
      </c>
      <c r="C3777" s="75">
        <v>96.94</v>
      </c>
      <c r="D3777" s="75">
        <v>94.75</v>
      </c>
      <c r="E3777" s="75">
        <v>92.33</v>
      </c>
      <c r="F3777">
        <v>807.51</v>
      </c>
      <c r="G3777">
        <v>1909.4999999999998</v>
      </c>
      <c r="H3777">
        <v>-3863.7999999999997</v>
      </c>
      <c r="I3777">
        <v>1050.4000000000001</v>
      </c>
      <c r="J3777">
        <v>-96.389999999999873</v>
      </c>
    </row>
    <row r="3778" spans="1:10" x14ac:dyDescent="0.35">
      <c r="A3778">
        <v>3762</v>
      </c>
      <c r="B3778" s="75">
        <v>89.643000000000001</v>
      </c>
      <c r="C3778" s="75">
        <v>100.0866</v>
      </c>
      <c r="D3778" s="75">
        <v>92.048199999999994</v>
      </c>
      <c r="E3778" s="75">
        <v>95.481200000000001</v>
      </c>
      <c r="F3778">
        <v>-295.02</v>
      </c>
      <c r="G3778">
        <v>-2815.05</v>
      </c>
      <c r="H3778">
        <v>1535.8</v>
      </c>
      <c r="I3778">
        <v>-2100.6</v>
      </c>
      <c r="J3778">
        <v>-3674.87</v>
      </c>
    </row>
    <row r="3779" spans="1:10" x14ac:dyDescent="0.35">
      <c r="A3779">
        <v>3763</v>
      </c>
      <c r="B3779" s="75">
        <v>89.16</v>
      </c>
      <c r="C3779" s="75">
        <v>98.36</v>
      </c>
      <c r="D3779" s="75">
        <v>90.79</v>
      </c>
      <c r="E3779" s="75">
        <v>95.2</v>
      </c>
      <c r="F3779">
        <v>1314.72</v>
      </c>
      <c r="G3779">
        <v>-229.95</v>
      </c>
      <c r="H3779">
        <v>4043.9999999999995</v>
      </c>
      <c r="I3779">
        <v>-1817.1999999999998</v>
      </c>
      <c r="J3779">
        <v>3311.5699999999997</v>
      </c>
    </row>
    <row r="3780" spans="1:10" x14ac:dyDescent="0.35">
      <c r="A3780">
        <v>3764</v>
      </c>
      <c r="B3780" s="75">
        <v>89.358000000000004</v>
      </c>
      <c r="C3780" s="75">
        <v>96.675200000000004</v>
      </c>
      <c r="D3780" s="75">
        <v>91.904700000000005</v>
      </c>
      <c r="E3780" s="75">
        <v>92.997600000000006</v>
      </c>
      <c r="F3780">
        <v>645.48</v>
      </c>
      <c r="G3780">
        <v>2302.0499999999997</v>
      </c>
      <c r="H3780">
        <v>1822.8</v>
      </c>
      <c r="I3780">
        <v>383</v>
      </c>
      <c r="J3780">
        <v>5153.33</v>
      </c>
    </row>
    <row r="3781" spans="1:10" x14ac:dyDescent="0.35">
      <c r="A3781">
        <v>3765</v>
      </c>
      <c r="B3781" s="75">
        <v>90.41</v>
      </c>
      <c r="C3781" s="75">
        <v>99.3</v>
      </c>
      <c r="D3781" s="75">
        <v>92.63</v>
      </c>
      <c r="E3781" s="75">
        <v>90.84</v>
      </c>
      <c r="F3781">
        <v>-2829.75</v>
      </c>
      <c r="G3781">
        <v>-1629.6000000000001</v>
      </c>
      <c r="H3781">
        <v>374.40000000000003</v>
      </c>
      <c r="I3781">
        <v>2537.6</v>
      </c>
      <c r="J3781">
        <v>-1547.3500000000004</v>
      </c>
    </row>
    <row r="3782" spans="1:10" x14ac:dyDescent="0.35">
      <c r="A3782">
        <v>3766</v>
      </c>
      <c r="B3782" s="75">
        <v>89.112799999999993</v>
      </c>
      <c r="C3782" s="75">
        <v>98.605800000000002</v>
      </c>
      <c r="D3782" s="75">
        <v>93.118700000000004</v>
      </c>
      <c r="E3782" s="75">
        <v>93.876000000000005</v>
      </c>
      <c r="F3782">
        <v>1454.64</v>
      </c>
      <c r="G3782">
        <v>-593.84999999999991</v>
      </c>
      <c r="H3782">
        <v>-605.19999999999993</v>
      </c>
      <c r="I3782">
        <v>-495.40000000000003</v>
      </c>
      <c r="J3782">
        <v>-239.80999999999977</v>
      </c>
    </row>
    <row r="3783" spans="1:10" x14ac:dyDescent="0.35">
      <c r="A3783">
        <v>3767</v>
      </c>
      <c r="B3783" s="75">
        <v>90.24</v>
      </c>
      <c r="C3783" s="75">
        <v>97.58</v>
      </c>
      <c r="D3783" s="75">
        <v>93.79</v>
      </c>
      <c r="E3783" s="75">
        <v>94.48</v>
      </c>
      <c r="F3783">
        <v>-2271.06</v>
      </c>
      <c r="G3783">
        <v>949.65</v>
      </c>
      <c r="H3783">
        <v>-1943.8</v>
      </c>
      <c r="I3783">
        <v>-1099.0999999999999</v>
      </c>
      <c r="J3783">
        <v>-4364.3099999999995</v>
      </c>
    </row>
    <row r="3784" spans="1:10" x14ac:dyDescent="0.35">
      <c r="A3784">
        <v>3768</v>
      </c>
      <c r="B3784" s="75">
        <v>89.099699999999999</v>
      </c>
      <c r="C3784" s="75">
        <v>97.234700000000004</v>
      </c>
      <c r="D3784" s="75">
        <v>92.264099999999999</v>
      </c>
      <c r="E3784" s="75">
        <v>92.555999999999997</v>
      </c>
      <c r="F3784">
        <v>1497.8700000000001</v>
      </c>
      <c r="G3784">
        <v>1462.8</v>
      </c>
      <c r="H3784">
        <v>1104</v>
      </c>
      <c r="I3784">
        <v>824.6</v>
      </c>
      <c r="J3784">
        <v>4889.2700000000004</v>
      </c>
    </row>
    <row r="3785" spans="1:10" x14ac:dyDescent="0.35">
      <c r="A3785">
        <v>3769</v>
      </c>
      <c r="B3785" s="75">
        <v>89.6</v>
      </c>
      <c r="C3785" s="75">
        <v>97.62</v>
      </c>
      <c r="D3785" s="75">
        <v>92.47</v>
      </c>
      <c r="E3785" s="75">
        <v>91.34</v>
      </c>
      <c r="F3785">
        <v>-162.03</v>
      </c>
      <c r="G3785">
        <v>889.5</v>
      </c>
      <c r="H3785">
        <v>683.6</v>
      </c>
      <c r="I3785">
        <v>2040.4</v>
      </c>
      <c r="J3785">
        <v>3451.4700000000003</v>
      </c>
    </row>
    <row r="3786" spans="1:10" x14ac:dyDescent="0.35">
      <c r="A3786">
        <v>3770</v>
      </c>
      <c r="B3786" s="75">
        <v>89.079800000000006</v>
      </c>
      <c r="C3786" s="75">
        <v>98.325100000000006</v>
      </c>
      <c r="D3786" s="75">
        <v>92.216499999999996</v>
      </c>
      <c r="E3786" s="75">
        <v>93.854900000000001</v>
      </c>
      <c r="F3786">
        <v>1563.54</v>
      </c>
      <c r="G3786">
        <v>-172.79999999999998</v>
      </c>
      <c r="H3786">
        <v>1199.2</v>
      </c>
      <c r="I3786">
        <v>-474.3</v>
      </c>
      <c r="J3786">
        <v>2115.64</v>
      </c>
    </row>
    <row r="3787" spans="1:10" x14ac:dyDescent="0.35">
      <c r="A3787">
        <v>3771</v>
      </c>
      <c r="B3787" s="75">
        <v>89.71</v>
      </c>
      <c r="C3787" s="75">
        <v>99.07</v>
      </c>
      <c r="D3787" s="75">
        <v>93.15</v>
      </c>
      <c r="E3787" s="75">
        <v>92.67</v>
      </c>
      <c r="F3787">
        <v>-504.23999999999995</v>
      </c>
      <c r="G3787">
        <v>-1295.55</v>
      </c>
      <c r="H3787">
        <v>-662.2</v>
      </c>
      <c r="I3787">
        <v>715.5</v>
      </c>
      <c r="J3787">
        <v>-1746.4899999999998</v>
      </c>
    </row>
    <row r="3788" spans="1:10" x14ac:dyDescent="0.35">
      <c r="A3788">
        <v>3772</v>
      </c>
      <c r="B3788" s="75">
        <v>90.027199999999993</v>
      </c>
      <c r="C3788" s="75">
        <v>97.366799999999998</v>
      </c>
      <c r="D3788" s="75">
        <v>92.047300000000007</v>
      </c>
      <c r="E3788" s="75">
        <v>92.047399999999996</v>
      </c>
      <c r="F3788">
        <v>-1562.88</v>
      </c>
      <c r="G3788">
        <v>1264.6499999999999</v>
      </c>
      <c r="H3788">
        <v>1537.6000000000001</v>
      </c>
      <c r="I3788">
        <v>1333.2</v>
      </c>
      <c r="J3788">
        <v>2572.5699999999997</v>
      </c>
    </row>
    <row r="3789" spans="1:10" x14ac:dyDescent="0.35">
      <c r="A3789">
        <v>3773</v>
      </c>
      <c r="B3789" s="75">
        <v>88.92</v>
      </c>
      <c r="C3789" s="75">
        <v>99.2</v>
      </c>
      <c r="D3789" s="75">
        <v>91.63</v>
      </c>
      <c r="E3789" s="75">
        <v>94.48</v>
      </c>
      <c r="F3789">
        <v>2102.1</v>
      </c>
      <c r="G3789">
        <v>-1491.75</v>
      </c>
      <c r="H3789">
        <v>2363.7999999999997</v>
      </c>
      <c r="I3789">
        <v>-1096.7</v>
      </c>
      <c r="J3789">
        <v>1877.4499999999996</v>
      </c>
    </row>
    <row r="3790" spans="1:10" x14ac:dyDescent="0.35">
      <c r="A3790">
        <v>3774</v>
      </c>
      <c r="B3790" s="75">
        <v>89.362899999999996</v>
      </c>
      <c r="C3790" s="75">
        <v>98.264600000000002</v>
      </c>
      <c r="D3790" s="75">
        <v>93.054900000000004</v>
      </c>
      <c r="E3790" s="75">
        <v>92.625</v>
      </c>
      <c r="F3790">
        <v>629.31000000000006</v>
      </c>
      <c r="G3790">
        <v>-82.05</v>
      </c>
      <c r="H3790">
        <v>-477.6</v>
      </c>
      <c r="I3790">
        <v>755.6</v>
      </c>
      <c r="J3790">
        <v>825.2600000000001</v>
      </c>
    </row>
    <row r="3791" spans="1:10" x14ac:dyDescent="0.35">
      <c r="A3791">
        <v>3775</v>
      </c>
      <c r="B3791" s="75">
        <v>89.6</v>
      </c>
      <c r="C3791" s="75">
        <v>99.39</v>
      </c>
      <c r="D3791" s="75">
        <v>94.12</v>
      </c>
      <c r="E3791" s="75">
        <v>94.32</v>
      </c>
      <c r="F3791">
        <v>-146.19</v>
      </c>
      <c r="G3791">
        <v>-1770.1499999999999</v>
      </c>
      <c r="H3791">
        <v>-2616.8000000000002</v>
      </c>
      <c r="I3791">
        <v>-939.69999999999993</v>
      </c>
      <c r="J3791">
        <v>-5472.84</v>
      </c>
    </row>
    <row r="3792" spans="1:10" x14ac:dyDescent="0.35">
      <c r="A3792">
        <v>3776</v>
      </c>
      <c r="B3792" s="75">
        <v>90.534899999999993</v>
      </c>
      <c r="C3792" s="75">
        <v>99.0839</v>
      </c>
      <c r="D3792" s="75">
        <v>92.907899999999998</v>
      </c>
      <c r="E3792" s="75">
        <v>94.784499999999994</v>
      </c>
      <c r="F3792">
        <v>-3238.29</v>
      </c>
      <c r="G3792">
        <v>-1311</v>
      </c>
      <c r="H3792">
        <v>-183.60000000000002</v>
      </c>
      <c r="I3792">
        <v>-1403.8999999999999</v>
      </c>
      <c r="J3792">
        <v>-6136.79</v>
      </c>
    </row>
    <row r="3793" spans="1:10" x14ac:dyDescent="0.35">
      <c r="A3793">
        <v>3777</v>
      </c>
      <c r="B3793" s="75">
        <v>89.32</v>
      </c>
      <c r="C3793" s="75">
        <v>97.25</v>
      </c>
      <c r="D3793" s="75">
        <v>93.24</v>
      </c>
      <c r="E3793" s="75">
        <v>96.17</v>
      </c>
      <c r="F3793">
        <v>774.84</v>
      </c>
      <c r="G3793">
        <v>1435.5</v>
      </c>
      <c r="H3793">
        <v>-848.19999999999993</v>
      </c>
      <c r="I3793">
        <v>-2791.7999999999997</v>
      </c>
      <c r="J3793">
        <v>-1429.6599999999994</v>
      </c>
    </row>
    <row r="3794" spans="1:10" x14ac:dyDescent="0.35">
      <c r="A3794">
        <v>3778</v>
      </c>
      <c r="B3794" s="75">
        <v>89.547499999999999</v>
      </c>
      <c r="C3794" s="75">
        <v>97.418999999999997</v>
      </c>
      <c r="D3794" s="75">
        <v>94.173199999999994</v>
      </c>
      <c r="E3794" s="75">
        <v>94.827100000000002</v>
      </c>
      <c r="F3794">
        <v>20.130000000000003</v>
      </c>
      <c r="G3794">
        <v>1186.3500000000001</v>
      </c>
      <c r="H3794">
        <v>-2714.2</v>
      </c>
      <c r="I3794">
        <v>-1446.5</v>
      </c>
      <c r="J3794">
        <v>-2954.2199999999993</v>
      </c>
    </row>
    <row r="3795" spans="1:10" x14ac:dyDescent="0.35">
      <c r="A3795">
        <v>3779</v>
      </c>
      <c r="B3795" s="75">
        <v>88.75</v>
      </c>
      <c r="C3795" s="75">
        <v>99.37</v>
      </c>
      <c r="D3795" s="75">
        <v>92.48</v>
      </c>
      <c r="E3795" s="75">
        <v>94.21</v>
      </c>
      <c r="F3795">
        <v>2646.6000000000004</v>
      </c>
      <c r="G3795">
        <v>-1734.7500000000002</v>
      </c>
      <c r="H3795">
        <v>669</v>
      </c>
      <c r="I3795">
        <v>-825.30000000000007</v>
      </c>
      <c r="J3795">
        <v>755.55000000000007</v>
      </c>
    </row>
    <row r="3796" spans="1:10" x14ac:dyDescent="0.35">
      <c r="A3796">
        <v>3780</v>
      </c>
      <c r="B3796" s="75">
        <v>89.275300000000001</v>
      </c>
      <c r="C3796" s="75">
        <v>99.979399999999998</v>
      </c>
      <c r="D3796" s="75">
        <v>92.396000000000001</v>
      </c>
      <c r="E3796" s="75">
        <v>92.514300000000006</v>
      </c>
      <c r="F3796">
        <v>918.39</v>
      </c>
      <c r="G3796">
        <v>-2654.25</v>
      </c>
      <c r="H3796">
        <v>840.19999999999993</v>
      </c>
      <c r="I3796">
        <v>866.3</v>
      </c>
      <c r="J3796">
        <v>-29.360000000000241</v>
      </c>
    </row>
    <row r="3797" spans="1:10" x14ac:dyDescent="0.35">
      <c r="A3797">
        <v>3781</v>
      </c>
      <c r="B3797" s="75">
        <v>90.57</v>
      </c>
      <c r="C3797" s="75">
        <v>99.16</v>
      </c>
      <c r="D3797" s="75">
        <v>92.28</v>
      </c>
      <c r="E3797" s="75">
        <v>93.73</v>
      </c>
      <c r="F3797">
        <v>-3367.65</v>
      </c>
      <c r="G3797">
        <v>-1425.3</v>
      </c>
      <c r="H3797">
        <v>1072.8</v>
      </c>
      <c r="I3797">
        <v>-345.4</v>
      </c>
      <c r="J3797">
        <v>-4065.5499999999997</v>
      </c>
    </row>
    <row r="3798" spans="1:10" x14ac:dyDescent="0.35">
      <c r="A3798">
        <v>3782</v>
      </c>
      <c r="B3798" s="75">
        <v>91.496499999999997</v>
      </c>
      <c r="C3798" s="75">
        <v>99.615499999999997</v>
      </c>
      <c r="D3798" s="75">
        <v>92.506200000000007</v>
      </c>
      <c r="E3798" s="75">
        <v>94.495800000000003</v>
      </c>
      <c r="F3798">
        <v>-6411.5700000000006</v>
      </c>
      <c r="G3798">
        <v>-2108.4</v>
      </c>
      <c r="H3798">
        <v>619.80000000000007</v>
      </c>
      <c r="I3798">
        <v>-1115.2</v>
      </c>
      <c r="J3798">
        <v>-9015.3700000000008</v>
      </c>
    </row>
    <row r="3799" spans="1:10" x14ac:dyDescent="0.35">
      <c r="A3799">
        <v>3783</v>
      </c>
      <c r="B3799" s="75">
        <v>89.59</v>
      </c>
      <c r="C3799" s="75">
        <v>98.69</v>
      </c>
      <c r="D3799" s="75">
        <v>93.95</v>
      </c>
      <c r="E3799" s="75">
        <v>93.88</v>
      </c>
      <c r="F3799">
        <v>-115.83</v>
      </c>
      <c r="G3799">
        <v>-716.55000000000007</v>
      </c>
      <c r="H3799">
        <v>-2266</v>
      </c>
      <c r="I3799">
        <v>-503</v>
      </c>
      <c r="J3799">
        <v>-3601.38</v>
      </c>
    </row>
    <row r="3800" spans="1:10" x14ac:dyDescent="0.35">
      <c r="A3800">
        <v>3784</v>
      </c>
      <c r="B3800" s="75">
        <v>90.350999999999999</v>
      </c>
      <c r="C3800" s="75">
        <v>99.596400000000003</v>
      </c>
      <c r="D3800" s="75">
        <v>92.676500000000004</v>
      </c>
      <c r="E3800" s="75">
        <v>95.149199999999993</v>
      </c>
      <c r="F3800">
        <v>-2631.42</v>
      </c>
      <c r="G3800">
        <v>-2079.75</v>
      </c>
      <c r="H3800">
        <v>279.2</v>
      </c>
      <c r="I3800">
        <v>-1768.6</v>
      </c>
      <c r="J3800">
        <v>-6200.57</v>
      </c>
    </row>
    <row r="3801" spans="1:10" x14ac:dyDescent="0.35">
      <c r="A3801">
        <v>3785</v>
      </c>
      <c r="B3801" s="75">
        <v>90.44</v>
      </c>
      <c r="C3801" s="75">
        <v>97.66</v>
      </c>
      <c r="D3801" s="75">
        <v>91.62</v>
      </c>
      <c r="E3801" s="75">
        <v>93.49</v>
      </c>
      <c r="F3801">
        <v>-2932.71</v>
      </c>
      <c r="G3801">
        <v>825.00000000000011</v>
      </c>
      <c r="H3801">
        <v>2388.7999999999997</v>
      </c>
      <c r="I3801">
        <v>-113.4</v>
      </c>
      <c r="J3801">
        <v>167.68999999999969</v>
      </c>
    </row>
    <row r="3802" spans="1:10" x14ac:dyDescent="0.35">
      <c r="A3802">
        <v>3786</v>
      </c>
      <c r="B3802" s="75">
        <v>91.183400000000006</v>
      </c>
      <c r="C3802" s="75">
        <v>96.917000000000002</v>
      </c>
      <c r="D3802" s="75">
        <v>91.971100000000007</v>
      </c>
      <c r="E3802" s="75">
        <v>92.635300000000001</v>
      </c>
      <c r="F3802">
        <v>-5378.34</v>
      </c>
      <c r="G3802">
        <v>1939.35</v>
      </c>
      <c r="H3802">
        <v>1690</v>
      </c>
      <c r="I3802">
        <v>745.3</v>
      </c>
      <c r="J3802">
        <v>-1003.6900000000003</v>
      </c>
    </row>
    <row r="3803" spans="1:10" x14ac:dyDescent="0.35">
      <c r="A3803">
        <v>3787</v>
      </c>
      <c r="B3803" s="75">
        <v>90.11</v>
      </c>
      <c r="C3803" s="75">
        <v>98.25</v>
      </c>
      <c r="D3803" s="75">
        <v>92.41</v>
      </c>
      <c r="E3803" s="75">
        <v>94.91</v>
      </c>
      <c r="F3803">
        <v>-1841.7300000000002</v>
      </c>
      <c r="G3803">
        <v>-58.349999999999994</v>
      </c>
      <c r="H3803">
        <v>806</v>
      </c>
      <c r="I3803">
        <v>-1532</v>
      </c>
      <c r="J3803">
        <v>-2626.08</v>
      </c>
    </row>
    <row r="3804" spans="1:10" x14ac:dyDescent="0.35">
      <c r="A3804">
        <v>3788</v>
      </c>
      <c r="B3804" s="75">
        <v>89.716800000000006</v>
      </c>
      <c r="C3804" s="75">
        <v>98.747399999999999</v>
      </c>
      <c r="D3804" s="75">
        <v>93.167299999999997</v>
      </c>
      <c r="E3804" s="75">
        <v>94.037099999999995</v>
      </c>
      <c r="F3804">
        <v>-538.56000000000006</v>
      </c>
      <c r="G3804">
        <v>-806.25</v>
      </c>
      <c r="H3804">
        <v>-702.4</v>
      </c>
      <c r="I3804">
        <v>-656.5</v>
      </c>
      <c r="J3804">
        <v>-2703.71</v>
      </c>
    </row>
    <row r="3805" spans="1:10" x14ac:dyDescent="0.35">
      <c r="A3805">
        <v>3789</v>
      </c>
      <c r="B3805" s="75">
        <v>88.81</v>
      </c>
      <c r="C3805" s="75">
        <v>98.46</v>
      </c>
      <c r="D3805" s="75">
        <v>91.69</v>
      </c>
      <c r="E3805" s="75">
        <v>94.94</v>
      </c>
      <c r="F3805">
        <v>2450.9100000000003</v>
      </c>
      <c r="G3805">
        <v>-381.45000000000005</v>
      </c>
      <c r="H3805">
        <v>2255</v>
      </c>
      <c r="I3805">
        <v>-1563.1</v>
      </c>
      <c r="J3805">
        <v>2761.36</v>
      </c>
    </row>
    <row r="3806" spans="1:10" x14ac:dyDescent="0.35">
      <c r="A3806">
        <v>3790</v>
      </c>
      <c r="B3806" s="75">
        <v>89.531300000000002</v>
      </c>
      <c r="C3806" s="75">
        <v>98.378600000000006</v>
      </c>
      <c r="D3806" s="75">
        <v>92.053399999999996</v>
      </c>
      <c r="E3806" s="75">
        <v>94.907899999999998</v>
      </c>
      <c r="F3806">
        <v>73.59</v>
      </c>
      <c r="G3806">
        <v>-253.04999999999998</v>
      </c>
      <c r="H3806">
        <v>1525.4</v>
      </c>
      <c r="I3806">
        <v>-1527.3000000000002</v>
      </c>
      <c r="J3806">
        <v>-181.36000000000013</v>
      </c>
    </row>
    <row r="3807" spans="1:10" x14ac:dyDescent="0.35">
      <c r="A3807">
        <v>3791</v>
      </c>
      <c r="B3807" s="75">
        <v>88.29</v>
      </c>
      <c r="C3807" s="75">
        <v>99.89</v>
      </c>
      <c r="D3807" s="75">
        <v>93.11</v>
      </c>
      <c r="E3807" s="75">
        <v>92.6</v>
      </c>
      <c r="F3807">
        <v>4160.3099999999995</v>
      </c>
      <c r="G3807">
        <v>-2516.85</v>
      </c>
      <c r="H3807">
        <v>-586.20000000000005</v>
      </c>
      <c r="I3807">
        <v>784.4</v>
      </c>
      <c r="J3807">
        <v>1841.6599999999994</v>
      </c>
    </row>
    <row r="3808" spans="1:10" x14ac:dyDescent="0.35">
      <c r="A3808">
        <v>3792</v>
      </c>
      <c r="B3808" s="75">
        <v>89.754800000000003</v>
      </c>
      <c r="C3808" s="75">
        <v>98.180899999999994</v>
      </c>
      <c r="D3808" s="75">
        <v>91.991600000000005</v>
      </c>
      <c r="E3808" s="75">
        <v>93.527299999999997</v>
      </c>
      <c r="F3808">
        <v>-663.95999999999992</v>
      </c>
      <c r="G3808">
        <v>43.5</v>
      </c>
      <c r="H3808">
        <v>1649</v>
      </c>
      <c r="I3808">
        <v>-146.69999999999999</v>
      </c>
      <c r="J3808">
        <v>881.83999999999992</v>
      </c>
    </row>
    <row r="3809" spans="1:10" x14ac:dyDescent="0.35">
      <c r="A3809">
        <v>3793</v>
      </c>
      <c r="B3809" s="75">
        <v>89.88</v>
      </c>
      <c r="C3809" s="75">
        <v>98.62</v>
      </c>
      <c r="D3809" s="75">
        <v>92.06</v>
      </c>
      <c r="E3809" s="75">
        <v>92.3</v>
      </c>
      <c r="F3809">
        <v>-1063.5899999999999</v>
      </c>
      <c r="G3809">
        <v>-615.9</v>
      </c>
      <c r="H3809">
        <v>1517.6000000000001</v>
      </c>
      <c r="I3809">
        <v>1083.9000000000001</v>
      </c>
      <c r="J3809">
        <v>922.01000000000045</v>
      </c>
    </row>
    <row r="3810" spans="1:10" x14ac:dyDescent="0.35">
      <c r="A3810">
        <v>3794</v>
      </c>
      <c r="B3810" s="75">
        <v>89.380700000000004</v>
      </c>
      <c r="C3810" s="75">
        <v>98.239099999999993</v>
      </c>
      <c r="D3810" s="75">
        <v>89.985299999999995</v>
      </c>
      <c r="E3810" s="75">
        <v>93.628799999999998</v>
      </c>
      <c r="F3810">
        <v>570.57000000000005</v>
      </c>
      <c r="G3810">
        <v>-43.8</v>
      </c>
      <c r="H3810">
        <v>5661.6</v>
      </c>
      <c r="I3810">
        <v>-248.20000000000002</v>
      </c>
      <c r="J3810">
        <v>5940.170000000001</v>
      </c>
    </row>
    <row r="3811" spans="1:10" x14ac:dyDescent="0.35">
      <c r="A3811">
        <v>3795</v>
      </c>
      <c r="B3811" s="75">
        <v>89.13</v>
      </c>
      <c r="C3811" s="75">
        <v>98.11</v>
      </c>
      <c r="D3811" s="75">
        <v>93.51</v>
      </c>
      <c r="E3811" s="75">
        <v>93.42</v>
      </c>
      <c r="F3811">
        <v>1391.6100000000001</v>
      </c>
      <c r="G3811">
        <v>155.85000000000002</v>
      </c>
      <c r="H3811">
        <v>-1395.6</v>
      </c>
      <c r="I3811">
        <v>-34.4</v>
      </c>
      <c r="J3811">
        <v>117.46000000000012</v>
      </c>
    </row>
    <row r="3812" spans="1:10" x14ac:dyDescent="0.35">
      <c r="A3812">
        <v>3796</v>
      </c>
      <c r="B3812" s="75">
        <v>89.545699999999997</v>
      </c>
      <c r="C3812" s="75">
        <v>97.104299999999995</v>
      </c>
      <c r="D3812" s="75">
        <v>92.296300000000002</v>
      </c>
      <c r="E3812" s="75">
        <v>92.500299999999996</v>
      </c>
      <c r="F3812">
        <v>26.070000000000004</v>
      </c>
      <c r="G3812">
        <v>1658.3999999999999</v>
      </c>
      <c r="H3812">
        <v>1039.6000000000001</v>
      </c>
      <c r="I3812">
        <v>880.3</v>
      </c>
      <c r="J3812">
        <v>3604.37</v>
      </c>
    </row>
    <row r="3813" spans="1:10" x14ac:dyDescent="0.35">
      <c r="A3813">
        <v>3797</v>
      </c>
      <c r="B3813" s="75">
        <v>88.93</v>
      </c>
      <c r="C3813" s="75">
        <v>98.89</v>
      </c>
      <c r="D3813" s="75">
        <v>91.58</v>
      </c>
      <c r="E3813" s="75">
        <v>94.75</v>
      </c>
      <c r="F3813">
        <v>2042.3700000000001</v>
      </c>
      <c r="G3813">
        <v>-1022.6999999999999</v>
      </c>
      <c r="H3813">
        <v>2473.1999999999998</v>
      </c>
      <c r="I3813">
        <v>-1369.5</v>
      </c>
      <c r="J3813">
        <v>2123.37</v>
      </c>
    </row>
    <row r="3814" spans="1:10" x14ac:dyDescent="0.35">
      <c r="A3814">
        <v>3798</v>
      </c>
      <c r="B3814" s="75">
        <v>90.241600000000005</v>
      </c>
      <c r="C3814" s="75">
        <v>97.879800000000003</v>
      </c>
      <c r="D3814" s="75">
        <v>93.148899999999998</v>
      </c>
      <c r="E3814" s="75">
        <v>92.881100000000004</v>
      </c>
      <c r="F3814">
        <v>-2270.3999999999996</v>
      </c>
      <c r="G3814">
        <v>495.15000000000003</v>
      </c>
      <c r="H3814">
        <v>-665.6</v>
      </c>
      <c r="I3814">
        <v>499.5</v>
      </c>
      <c r="J3814">
        <v>-1941.3499999999995</v>
      </c>
    </row>
    <row r="3815" spans="1:10" x14ac:dyDescent="0.35">
      <c r="A3815">
        <v>3799</v>
      </c>
      <c r="B3815" s="75">
        <v>89.73</v>
      </c>
      <c r="C3815" s="75">
        <v>97.71</v>
      </c>
      <c r="D3815" s="75">
        <v>93.69</v>
      </c>
      <c r="E3815" s="75">
        <v>91.34</v>
      </c>
      <c r="F3815">
        <v>-591.03000000000009</v>
      </c>
      <c r="G3815">
        <v>754.05000000000007</v>
      </c>
      <c r="H3815">
        <v>-1743.6000000000001</v>
      </c>
      <c r="I3815">
        <v>2044.1</v>
      </c>
      <c r="J3815">
        <v>463.51999999999975</v>
      </c>
    </row>
    <row r="3816" spans="1:10" x14ac:dyDescent="0.35">
      <c r="A3816">
        <v>3800</v>
      </c>
      <c r="B3816" s="75">
        <v>90.301400000000001</v>
      </c>
      <c r="C3816" s="75">
        <v>96.3095</v>
      </c>
      <c r="D3816" s="75">
        <v>94.043400000000005</v>
      </c>
      <c r="E3816" s="75">
        <v>91.536299999999997</v>
      </c>
      <c r="F3816">
        <v>-2467.7400000000002</v>
      </c>
      <c r="G3816">
        <v>2850.6</v>
      </c>
      <c r="H3816">
        <v>-2454.6</v>
      </c>
      <c r="I3816">
        <v>1844.3</v>
      </c>
      <c r="J3816">
        <v>-227.44000000000028</v>
      </c>
    </row>
    <row r="3817" spans="1:10" x14ac:dyDescent="0.35">
      <c r="A3817">
        <v>3801</v>
      </c>
      <c r="B3817" s="75">
        <v>89.61</v>
      </c>
      <c r="C3817" s="75">
        <v>97.18</v>
      </c>
      <c r="D3817" s="75">
        <v>92.77</v>
      </c>
      <c r="E3817" s="75">
        <v>95.57</v>
      </c>
      <c r="F3817">
        <v>-196.02</v>
      </c>
      <c r="G3817">
        <v>1547.7</v>
      </c>
      <c r="H3817">
        <v>86</v>
      </c>
      <c r="I3817">
        <v>-2187.1999999999998</v>
      </c>
      <c r="J3817">
        <v>-749.51999999999975</v>
      </c>
    </row>
    <row r="3818" spans="1:10" x14ac:dyDescent="0.35">
      <c r="A3818">
        <v>3802</v>
      </c>
      <c r="B3818" s="75">
        <v>89.859800000000007</v>
      </c>
      <c r="C3818" s="75">
        <v>96.982500000000002</v>
      </c>
      <c r="D3818" s="75">
        <v>92.371700000000004</v>
      </c>
      <c r="E3818" s="75">
        <v>93.099500000000006</v>
      </c>
      <c r="F3818">
        <v>-1010.46</v>
      </c>
      <c r="G3818">
        <v>1841.1000000000001</v>
      </c>
      <c r="H3818">
        <v>888.80000000000007</v>
      </c>
      <c r="I3818">
        <v>281.10000000000002</v>
      </c>
      <c r="J3818">
        <v>2000.54</v>
      </c>
    </row>
    <row r="3819" spans="1:10" x14ac:dyDescent="0.35">
      <c r="A3819">
        <v>3803</v>
      </c>
      <c r="B3819" s="75">
        <v>89.89</v>
      </c>
      <c r="C3819" s="75">
        <v>97.89</v>
      </c>
      <c r="D3819" s="75">
        <v>93.25</v>
      </c>
      <c r="E3819" s="75">
        <v>94.28</v>
      </c>
      <c r="F3819">
        <v>-1107.81</v>
      </c>
      <c r="G3819">
        <v>477.15</v>
      </c>
      <c r="H3819">
        <v>-864</v>
      </c>
      <c r="I3819">
        <v>-898.7</v>
      </c>
      <c r="J3819">
        <v>-2393.3599999999997</v>
      </c>
    </row>
    <row r="3820" spans="1:10" x14ac:dyDescent="0.35">
      <c r="A3820">
        <v>3804</v>
      </c>
      <c r="B3820" s="75">
        <v>88.915999999999997</v>
      </c>
      <c r="C3820" s="75">
        <v>97.999399999999994</v>
      </c>
      <c r="D3820" s="75">
        <v>91.268000000000001</v>
      </c>
      <c r="E3820" s="75">
        <v>92.231899999999996</v>
      </c>
      <c r="F3820">
        <v>2104.08</v>
      </c>
      <c r="G3820">
        <v>315.75</v>
      </c>
      <c r="H3820">
        <v>3096.2000000000003</v>
      </c>
      <c r="I3820">
        <v>1148.7</v>
      </c>
      <c r="J3820">
        <v>6664.7300000000005</v>
      </c>
    </row>
    <row r="3821" spans="1:10" x14ac:dyDescent="0.35">
      <c r="A3821">
        <v>3805</v>
      </c>
      <c r="B3821" s="75">
        <v>89.84</v>
      </c>
      <c r="C3821" s="75">
        <v>98.62</v>
      </c>
      <c r="D3821" s="75">
        <v>92.8</v>
      </c>
      <c r="E3821" s="75">
        <v>96.05</v>
      </c>
      <c r="F3821">
        <v>-950.4</v>
      </c>
      <c r="G3821">
        <v>-614.25</v>
      </c>
      <c r="H3821">
        <v>28</v>
      </c>
      <c r="I3821">
        <v>-2670.5</v>
      </c>
      <c r="J3821">
        <v>-4207.1499999999996</v>
      </c>
    </row>
    <row r="3822" spans="1:10" x14ac:dyDescent="0.35">
      <c r="A3822">
        <v>3806</v>
      </c>
      <c r="B3822" s="75">
        <v>89.946299999999994</v>
      </c>
      <c r="C3822" s="75">
        <v>97.849000000000004</v>
      </c>
      <c r="D3822" s="75">
        <v>91.247799999999998</v>
      </c>
      <c r="E3822" s="75">
        <v>93.770799999999994</v>
      </c>
      <c r="F3822">
        <v>-1295.9100000000001</v>
      </c>
      <c r="G3822">
        <v>541.35</v>
      </c>
      <c r="H3822">
        <v>3136.6</v>
      </c>
      <c r="I3822">
        <v>-390.2</v>
      </c>
      <c r="J3822">
        <v>1991.84</v>
      </c>
    </row>
    <row r="3823" spans="1:10" x14ac:dyDescent="0.35">
      <c r="A3823">
        <v>3807</v>
      </c>
      <c r="B3823" s="75">
        <v>90.03</v>
      </c>
      <c r="C3823" s="75">
        <v>98.15</v>
      </c>
      <c r="D3823" s="75">
        <v>93.87</v>
      </c>
      <c r="E3823" s="75">
        <v>93.95</v>
      </c>
      <c r="F3823">
        <v>-1583.67</v>
      </c>
      <c r="G3823">
        <v>88.8</v>
      </c>
      <c r="H3823">
        <v>-2113</v>
      </c>
      <c r="I3823">
        <v>-568.5</v>
      </c>
      <c r="J3823">
        <v>-4176.37</v>
      </c>
    </row>
    <row r="3824" spans="1:10" x14ac:dyDescent="0.35">
      <c r="A3824">
        <v>3808</v>
      </c>
      <c r="B3824" s="75">
        <v>89.456199999999995</v>
      </c>
      <c r="C3824" s="75">
        <v>98.846900000000005</v>
      </c>
      <c r="D3824" s="75">
        <v>92.535399999999996</v>
      </c>
      <c r="E3824" s="75">
        <v>93.294700000000006</v>
      </c>
      <c r="F3824">
        <v>321.42</v>
      </c>
      <c r="G3824">
        <v>-955.5</v>
      </c>
      <c r="H3824">
        <v>561.4</v>
      </c>
      <c r="I3824">
        <v>85.9</v>
      </c>
      <c r="J3824">
        <v>13.220000000000056</v>
      </c>
    </row>
    <row r="3825" spans="1:10" x14ac:dyDescent="0.35">
      <c r="A3825">
        <v>3809</v>
      </c>
      <c r="B3825" s="75">
        <v>88.86</v>
      </c>
      <c r="C3825" s="75">
        <v>99</v>
      </c>
      <c r="D3825" s="75">
        <v>92.47</v>
      </c>
      <c r="E3825" s="75">
        <v>91.59</v>
      </c>
      <c r="F3825">
        <v>2303.0699999999997</v>
      </c>
      <c r="G3825">
        <v>-1190.55</v>
      </c>
      <c r="H3825">
        <v>693.6</v>
      </c>
      <c r="I3825">
        <v>1789</v>
      </c>
      <c r="J3825">
        <v>3595.12</v>
      </c>
    </row>
    <row r="3826" spans="1:10" x14ac:dyDescent="0.35">
      <c r="A3826">
        <v>3810</v>
      </c>
      <c r="B3826" s="75">
        <v>89.310199999999995</v>
      </c>
      <c r="C3826" s="75">
        <v>98.655799999999999</v>
      </c>
      <c r="D3826" s="75">
        <v>92.270600000000002</v>
      </c>
      <c r="E3826" s="75">
        <v>95.412899999999993</v>
      </c>
      <c r="F3826">
        <v>803.22</v>
      </c>
      <c r="G3826">
        <v>-668.85</v>
      </c>
      <c r="H3826">
        <v>1091</v>
      </c>
      <c r="I3826">
        <v>-2032.3000000000002</v>
      </c>
      <c r="J3826">
        <v>-806.93000000000029</v>
      </c>
    </row>
    <row r="3827" spans="1:10" x14ac:dyDescent="0.35">
      <c r="A3827">
        <v>3811</v>
      </c>
      <c r="B3827" s="75">
        <v>89.91</v>
      </c>
      <c r="C3827" s="75">
        <v>98.92</v>
      </c>
      <c r="D3827" s="75">
        <v>92.09</v>
      </c>
      <c r="E3827" s="75">
        <v>93.48</v>
      </c>
      <c r="F3827">
        <v>-1166.22</v>
      </c>
      <c r="G3827">
        <v>-1060.95</v>
      </c>
      <c r="H3827">
        <v>1457.4</v>
      </c>
      <c r="I3827">
        <v>-96.199999999999989</v>
      </c>
      <c r="J3827">
        <v>-865.97</v>
      </c>
    </row>
    <row r="3828" spans="1:10" x14ac:dyDescent="0.35">
      <c r="A3828">
        <v>3812</v>
      </c>
      <c r="B3828" s="75">
        <v>90.780799999999999</v>
      </c>
      <c r="C3828" s="75">
        <v>97.3125</v>
      </c>
      <c r="D3828" s="75">
        <v>95.275499999999994</v>
      </c>
      <c r="E3828" s="75">
        <v>96.099800000000002</v>
      </c>
      <c r="F3828">
        <v>-4049.76</v>
      </c>
      <c r="G3828">
        <v>1346.1</v>
      </c>
      <c r="H3828">
        <v>-4918.8</v>
      </c>
      <c r="I3828">
        <v>-2719.2</v>
      </c>
      <c r="J3828">
        <v>-10341.66</v>
      </c>
    </row>
    <row r="3829" spans="1:10" x14ac:dyDescent="0.35">
      <c r="A3829">
        <v>3813</v>
      </c>
      <c r="B3829" s="75">
        <v>89.38</v>
      </c>
      <c r="C3829" s="75">
        <v>98.2</v>
      </c>
      <c r="D3829" s="75">
        <v>93.33</v>
      </c>
      <c r="E3829" s="75">
        <v>91.49</v>
      </c>
      <c r="F3829">
        <v>558.69000000000005</v>
      </c>
      <c r="G3829">
        <v>13.049999999999999</v>
      </c>
      <c r="H3829">
        <v>-1020</v>
      </c>
      <c r="I3829">
        <v>1890.1</v>
      </c>
      <c r="J3829">
        <v>1441.84</v>
      </c>
    </row>
    <row r="3830" spans="1:10" x14ac:dyDescent="0.35">
      <c r="A3830">
        <v>3814</v>
      </c>
      <c r="B3830" s="75">
        <v>90.156499999999994</v>
      </c>
      <c r="C3830" s="75">
        <v>97.856399999999994</v>
      </c>
      <c r="D3830" s="75">
        <v>93.009900000000002</v>
      </c>
      <c r="E3830" s="75">
        <v>97.354399999999998</v>
      </c>
      <c r="F3830">
        <v>-1989.57</v>
      </c>
      <c r="G3830">
        <v>530.25</v>
      </c>
      <c r="H3830">
        <v>-387.6</v>
      </c>
      <c r="I3830">
        <v>-3973.8</v>
      </c>
      <c r="J3830">
        <v>-5820.72</v>
      </c>
    </row>
    <row r="3831" spans="1:10" x14ac:dyDescent="0.35">
      <c r="A3831">
        <v>3815</v>
      </c>
      <c r="B3831" s="75">
        <v>90.49</v>
      </c>
      <c r="C3831" s="75">
        <v>98.94</v>
      </c>
      <c r="D3831" s="75">
        <v>92.92</v>
      </c>
      <c r="E3831" s="75">
        <v>94.64</v>
      </c>
      <c r="F3831">
        <v>-3101.67</v>
      </c>
      <c r="G3831">
        <v>-1095.9000000000001</v>
      </c>
      <c r="H3831">
        <v>-209.4</v>
      </c>
      <c r="I3831">
        <v>-1258.6999999999998</v>
      </c>
      <c r="J3831">
        <v>-5665.6699999999992</v>
      </c>
    </row>
    <row r="3832" spans="1:10" x14ac:dyDescent="0.35">
      <c r="A3832">
        <v>3816</v>
      </c>
      <c r="B3832" s="75">
        <v>88.599199999999996</v>
      </c>
      <c r="C3832" s="75">
        <v>97.461299999999994</v>
      </c>
      <c r="D3832" s="75">
        <v>92.497399999999999</v>
      </c>
      <c r="E3832" s="75">
        <v>93.863299999999995</v>
      </c>
      <c r="F3832">
        <v>3149.52</v>
      </c>
      <c r="G3832">
        <v>1122.9000000000001</v>
      </c>
      <c r="H3832">
        <v>637.4</v>
      </c>
      <c r="I3832">
        <v>-482.70000000000005</v>
      </c>
      <c r="J3832">
        <v>4427.12</v>
      </c>
    </row>
    <row r="3833" spans="1:10" x14ac:dyDescent="0.35">
      <c r="A3833">
        <v>3817</v>
      </c>
      <c r="B3833" s="75">
        <v>88.18</v>
      </c>
      <c r="C3833" s="75">
        <v>97.26</v>
      </c>
      <c r="D3833" s="75">
        <v>93.79</v>
      </c>
      <c r="E3833" s="75">
        <v>90.67</v>
      </c>
      <c r="F3833">
        <v>4528.92</v>
      </c>
      <c r="G3833">
        <v>1425.75</v>
      </c>
      <c r="H3833">
        <v>-1949.6</v>
      </c>
      <c r="I3833">
        <v>2708.2999999999997</v>
      </c>
      <c r="J3833">
        <v>6713.37</v>
      </c>
    </row>
    <row r="3834" spans="1:10" x14ac:dyDescent="0.35">
      <c r="A3834">
        <v>3818</v>
      </c>
      <c r="B3834" s="75">
        <v>89.139499999999998</v>
      </c>
      <c r="C3834" s="75">
        <v>97.756200000000007</v>
      </c>
      <c r="D3834" s="75">
        <v>91.8643</v>
      </c>
      <c r="E3834" s="75">
        <v>91.917599999999993</v>
      </c>
      <c r="F3834">
        <v>1366.53</v>
      </c>
      <c r="G3834">
        <v>680.55</v>
      </c>
      <c r="H3834">
        <v>1903.6</v>
      </c>
      <c r="I3834">
        <v>1463</v>
      </c>
      <c r="J3834">
        <v>5413.68</v>
      </c>
    </row>
    <row r="3835" spans="1:10" x14ac:dyDescent="0.35">
      <c r="A3835">
        <v>3819</v>
      </c>
      <c r="B3835" s="75">
        <v>90.41</v>
      </c>
      <c r="C3835" s="75">
        <v>98.8</v>
      </c>
      <c r="D3835" s="75">
        <v>91.62</v>
      </c>
      <c r="E3835" s="75">
        <v>92.97</v>
      </c>
      <c r="F3835">
        <v>-2812.5899999999997</v>
      </c>
      <c r="G3835">
        <v>-886.35</v>
      </c>
      <c r="H3835">
        <v>2397.6000000000004</v>
      </c>
      <c r="I3835">
        <v>413.1</v>
      </c>
      <c r="J3835">
        <v>-888.23999999999921</v>
      </c>
    </row>
    <row r="3836" spans="1:10" x14ac:dyDescent="0.35">
      <c r="A3836">
        <v>3820</v>
      </c>
      <c r="B3836" s="75">
        <v>89.168400000000005</v>
      </c>
      <c r="C3836" s="75">
        <v>97.867000000000004</v>
      </c>
      <c r="D3836" s="75">
        <v>92.390699999999995</v>
      </c>
      <c r="E3836" s="75">
        <v>95.723799999999997</v>
      </c>
      <c r="F3836">
        <v>1271.1599999999999</v>
      </c>
      <c r="G3836">
        <v>514.35</v>
      </c>
      <c r="H3836">
        <v>850.8</v>
      </c>
      <c r="I3836">
        <v>-2343.1999999999998</v>
      </c>
      <c r="J3836">
        <v>293.10999999999967</v>
      </c>
    </row>
    <row r="3837" spans="1:10" x14ac:dyDescent="0.35">
      <c r="A3837">
        <v>3821</v>
      </c>
      <c r="B3837" s="75">
        <v>90.09</v>
      </c>
      <c r="C3837" s="75">
        <v>97.01</v>
      </c>
      <c r="D3837" s="75">
        <v>91.5</v>
      </c>
      <c r="E3837" s="75">
        <v>94.82</v>
      </c>
      <c r="F3837">
        <v>-1775.73</v>
      </c>
      <c r="G3837">
        <v>1793.25</v>
      </c>
      <c r="H3837">
        <v>2629.2</v>
      </c>
      <c r="I3837">
        <v>-1435.3</v>
      </c>
      <c r="J3837">
        <v>1211.4199999999998</v>
      </c>
    </row>
    <row r="3838" spans="1:10" x14ac:dyDescent="0.35">
      <c r="A3838">
        <v>3822</v>
      </c>
      <c r="B3838" s="75">
        <v>89.136499999999998</v>
      </c>
      <c r="C3838" s="75">
        <v>99.553700000000006</v>
      </c>
      <c r="D3838" s="75">
        <v>92.156000000000006</v>
      </c>
      <c r="E3838" s="75">
        <v>92.008300000000006</v>
      </c>
      <c r="F3838">
        <v>1376.43</v>
      </c>
      <c r="G3838">
        <v>-2015.7</v>
      </c>
      <c r="H3838">
        <v>1320.2</v>
      </c>
      <c r="I3838">
        <v>1372.3000000000002</v>
      </c>
      <c r="J3838">
        <v>2053.2300000000005</v>
      </c>
    </row>
    <row r="3839" spans="1:10" x14ac:dyDescent="0.35">
      <c r="A3839">
        <v>3823</v>
      </c>
      <c r="B3839" s="75">
        <v>89.41</v>
      </c>
      <c r="C3839" s="75">
        <v>97.73</v>
      </c>
      <c r="D3839" s="75">
        <v>91.42</v>
      </c>
      <c r="E3839" s="75">
        <v>93.66</v>
      </c>
      <c r="F3839">
        <v>487.73999999999995</v>
      </c>
      <c r="G3839">
        <v>721.05000000000007</v>
      </c>
      <c r="H3839">
        <v>2795</v>
      </c>
      <c r="I3839">
        <v>-281.2</v>
      </c>
      <c r="J3839">
        <v>3722.59</v>
      </c>
    </row>
    <row r="3840" spans="1:10" x14ac:dyDescent="0.35">
      <c r="A3840">
        <v>3824</v>
      </c>
      <c r="B3840" s="75">
        <v>89.833100000000002</v>
      </c>
      <c r="C3840" s="75">
        <v>100.54179999999999</v>
      </c>
      <c r="D3840" s="75">
        <v>93.732699999999994</v>
      </c>
      <c r="E3840" s="75">
        <v>93.769800000000004</v>
      </c>
      <c r="F3840">
        <v>-922.35000000000014</v>
      </c>
      <c r="G3840">
        <v>-3497.85</v>
      </c>
      <c r="H3840">
        <v>-1833.2</v>
      </c>
      <c r="I3840">
        <v>-389.2</v>
      </c>
      <c r="J3840">
        <v>-6642.5999999999995</v>
      </c>
    </row>
    <row r="3841" spans="1:10" x14ac:dyDescent="0.35">
      <c r="A3841">
        <v>3825</v>
      </c>
      <c r="B3841" s="75">
        <v>89.51</v>
      </c>
      <c r="C3841" s="75">
        <v>98.13</v>
      </c>
      <c r="D3841" s="75">
        <v>92.53</v>
      </c>
      <c r="E3841" s="75">
        <v>93.99</v>
      </c>
      <c r="F3841">
        <v>154.44</v>
      </c>
      <c r="G3841">
        <v>114.75</v>
      </c>
      <c r="H3841">
        <v>581.79999999999995</v>
      </c>
      <c r="I3841">
        <v>-611.1</v>
      </c>
      <c r="J3841">
        <v>239.89</v>
      </c>
    </row>
    <row r="3842" spans="1:10" x14ac:dyDescent="0.35">
      <c r="A3842">
        <v>3826</v>
      </c>
      <c r="B3842" s="75">
        <v>88.842600000000004</v>
      </c>
      <c r="C3842" s="75">
        <v>97.274699999999996</v>
      </c>
      <c r="D3842" s="75">
        <v>92.811599999999999</v>
      </c>
      <c r="E3842" s="75">
        <v>92.772599999999997</v>
      </c>
      <c r="F3842">
        <v>2346.2999999999997</v>
      </c>
      <c r="G3842">
        <v>1402.8</v>
      </c>
      <c r="H3842">
        <v>9</v>
      </c>
      <c r="I3842">
        <v>608</v>
      </c>
      <c r="J3842">
        <v>4366.0999999999995</v>
      </c>
    </row>
    <row r="3843" spans="1:10" x14ac:dyDescent="0.35">
      <c r="A3843">
        <v>3827</v>
      </c>
      <c r="B3843" s="75">
        <v>89.33</v>
      </c>
      <c r="C3843" s="75">
        <v>98.87</v>
      </c>
      <c r="D3843" s="75">
        <v>93.69</v>
      </c>
      <c r="E3843" s="75">
        <v>93.51</v>
      </c>
      <c r="F3843">
        <v>739.53</v>
      </c>
      <c r="G3843">
        <v>-994.05</v>
      </c>
      <c r="H3843">
        <v>-1757.6000000000001</v>
      </c>
      <c r="I3843">
        <v>-131.5</v>
      </c>
      <c r="J3843">
        <v>-2143.62</v>
      </c>
    </row>
    <row r="3844" spans="1:10" x14ac:dyDescent="0.35">
      <c r="A3844">
        <v>3828</v>
      </c>
      <c r="B3844" s="75">
        <v>89.278199999999998</v>
      </c>
      <c r="C3844" s="75">
        <v>98.991200000000006</v>
      </c>
      <c r="D3844" s="75">
        <v>93.958799999999997</v>
      </c>
      <c r="E3844" s="75">
        <v>94.841800000000006</v>
      </c>
      <c r="F3844">
        <v>908.81999999999994</v>
      </c>
      <c r="G3844">
        <v>-1171.95</v>
      </c>
      <c r="H3844">
        <v>-2285.4</v>
      </c>
      <c r="I3844">
        <v>-1461.2</v>
      </c>
      <c r="J3844">
        <v>-4009.7300000000005</v>
      </c>
    </row>
    <row r="3845" spans="1:10" x14ac:dyDescent="0.35">
      <c r="A3845">
        <v>3829</v>
      </c>
      <c r="B3845" s="75">
        <v>89.82</v>
      </c>
      <c r="C3845" s="75">
        <v>98.25</v>
      </c>
      <c r="D3845" s="75">
        <v>91.74</v>
      </c>
      <c r="E3845" s="75">
        <v>92.98</v>
      </c>
      <c r="F3845">
        <v>-876.81</v>
      </c>
      <c r="G3845">
        <v>-58.95</v>
      </c>
      <c r="H3845">
        <v>2157.6</v>
      </c>
      <c r="I3845">
        <v>400.6</v>
      </c>
      <c r="J3845">
        <v>1622.44</v>
      </c>
    </row>
    <row r="3846" spans="1:10" x14ac:dyDescent="0.35">
      <c r="A3846">
        <v>3830</v>
      </c>
      <c r="B3846" s="75">
        <v>89.593699999999998</v>
      </c>
      <c r="C3846" s="75">
        <v>98.742199999999997</v>
      </c>
      <c r="D3846" s="75">
        <v>91.909400000000005</v>
      </c>
      <c r="E3846" s="75">
        <v>96.233699999999999</v>
      </c>
      <c r="F3846">
        <v>-132.32999999999998</v>
      </c>
      <c r="G3846">
        <v>-798.45</v>
      </c>
      <c r="H3846">
        <v>1813.3999999999999</v>
      </c>
      <c r="I3846">
        <v>-2853.1</v>
      </c>
      <c r="J3846">
        <v>-1970.48</v>
      </c>
    </row>
    <row r="3847" spans="1:10" x14ac:dyDescent="0.35">
      <c r="A3847">
        <v>3831</v>
      </c>
      <c r="B3847" s="75">
        <v>88.7</v>
      </c>
      <c r="C3847" s="75">
        <v>97.54</v>
      </c>
      <c r="D3847" s="75">
        <v>91.66</v>
      </c>
      <c r="E3847" s="75">
        <v>92.9</v>
      </c>
      <c r="F3847">
        <v>2808.2999999999997</v>
      </c>
      <c r="G3847">
        <v>1006.1999999999999</v>
      </c>
      <c r="H3847">
        <v>2309</v>
      </c>
      <c r="I3847">
        <v>477.2</v>
      </c>
      <c r="J3847">
        <v>6600.7</v>
      </c>
    </row>
    <row r="3848" spans="1:10" x14ac:dyDescent="0.35">
      <c r="A3848">
        <v>3832</v>
      </c>
      <c r="B3848" s="75">
        <v>89.528199999999998</v>
      </c>
      <c r="C3848" s="75">
        <v>97.681100000000001</v>
      </c>
      <c r="D3848" s="75">
        <v>93.932400000000001</v>
      </c>
      <c r="E3848" s="75">
        <v>91.184899999999999</v>
      </c>
      <c r="F3848">
        <v>83.82</v>
      </c>
      <c r="G3848">
        <v>793.2</v>
      </c>
      <c r="H3848">
        <v>-2232.6000000000004</v>
      </c>
      <c r="I3848">
        <v>2195.6999999999998</v>
      </c>
      <c r="J3848">
        <v>840.11999999999944</v>
      </c>
    </row>
    <row r="3849" spans="1:10" x14ac:dyDescent="0.35">
      <c r="A3849">
        <v>3833</v>
      </c>
      <c r="B3849" s="75">
        <v>90.19</v>
      </c>
      <c r="C3849" s="75">
        <v>99.69</v>
      </c>
      <c r="D3849" s="75">
        <v>93.89</v>
      </c>
      <c r="E3849" s="75">
        <v>92.9</v>
      </c>
      <c r="F3849">
        <v>-2084.2800000000002</v>
      </c>
      <c r="G3849">
        <v>-2224.9500000000003</v>
      </c>
      <c r="H3849">
        <v>-2152.4</v>
      </c>
      <c r="I3849">
        <v>483.09999999999997</v>
      </c>
      <c r="J3849">
        <v>-5978.5300000000007</v>
      </c>
    </row>
    <row r="3850" spans="1:10" x14ac:dyDescent="0.35">
      <c r="A3850">
        <v>3834</v>
      </c>
      <c r="B3850" s="75">
        <v>89.414400000000001</v>
      </c>
      <c r="C3850" s="75">
        <v>97.951300000000003</v>
      </c>
      <c r="D3850" s="75">
        <v>94.168300000000002</v>
      </c>
      <c r="E3850" s="75">
        <v>95.134900000000002</v>
      </c>
      <c r="F3850">
        <v>459.35999999999996</v>
      </c>
      <c r="G3850">
        <v>387.9</v>
      </c>
      <c r="H3850">
        <v>-2704.4</v>
      </c>
      <c r="I3850">
        <v>-1754.3</v>
      </c>
      <c r="J3850">
        <v>-3611.44</v>
      </c>
    </row>
    <row r="3851" spans="1:10" x14ac:dyDescent="0.35">
      <c r="A3851">
        <v>3835</v>
      </c>
      <c r="B3851" s="75">
        <v>90.12</v>
      </c>
      <c r="C3851" s="75">
        <v>96.62</v>
      </c>
      <c r="D3851" s="75">
        <v>90.62</v>
      </c>
      <c r="E3851" s="75">
        <v>94.7</v>
      </c>
      <c r="F3851">
        <v>-1878.3600000000001</v>
      </c>
      <c r="G3851">
        <v>2385.6</v>
      </c>
      <c r="H3851">
        <v>4389.5999999999995</v>
      </c>
      <c r="I3851">
        <v>-1314.6</v>
      </c>
      <c r="J3851">
        <v>3582.2399999999993</v>
      </c>
    </row>
    <row r="3852" spans="1:10" x14ac:dyDescent="0.35">
      <c r="A3852">
        <v>3836</v>
      </c>
      <c r="B3852" s="75">
        <v>89.557900000000004</v>
      </c>
      <c r="C3852" s="75">
        <v>99.364000000000004</v>
      </c>
      <c r="D3852" s="75">
        <v>91.119799999999998</v>
      </c>
      <c r="E3852" s="75">
        <v>92.040400000000005</v>
      </c>
      <c r="F3852">
        <v>-14.19</v>
      </c>
      <c r="G3852">
        <v>-1731.1499999999999</v>
      </c>
      <c r="H3852">
        <v>3392.6</v>
      </c>
      <c r="I3852">
        <v>1340.2</v>
      </c>
      <c r="J3852">
        <v>2987.46</v>
      </c>
    </row>
    <row r="3853" spans="1:10" x14ac:dyDescent="0.35">
      <c r="A3853">
        <v>3837</v>
      </c>
      <c r="B3853" s="75">
        <v>89.25</v>
      </c>
      <c r="C3853" s="75">
        <v>99.79</v>
      </c>
      <c r="D3853" s="75">
        <v>93.43</v>
      </c>
      <c r="E3853" s="75">
        <v>93.82</v>
      </c>
      <c r="F3853">
        <v>1018.05</v>
      </c>
      <c r="G3853">
        <v>-2368.65</v>
      </c>
      <c r="H3853">
        <v>-1229</v>
      </c>
      <c r="I3853">
        <v>-444.1</v>
      </c>
      <c r="J3853">
        <v>-3023.7000000000003</v>
      </c>
    </row>
    <row r="3854" spans="1:10" x14ac:dyDescent="0.35">
      <c r="A3854">
        <v>3838</v>
      </c>
      <c r="B3854" s="75">
        <v>90.007199999999997</v>
      </c>
      <c r="C3854" s="75">
        <v>97.190799999999996</v>
      </c>
      <c r="D3854" s="75">
        <v>92.902799999999999</v>
      </c>
      <c r="E3854" s="75">
        <v>95.197500000000005</v>
      </c>
      <c r="F3854">
        <v>-1496.88</v>
      </c>
      <c r="G3854">
        <v>1528.6499999999999</v>
      </c>
      <c r="H3854">
        <v>-173.4</v>
      </c>
      <c r="I3854">
        <v>-1816.8999999999999</v>
      </c>
      <c r="J3854">
        <v>-1958.5300000000002</v>
      </c>
    </row>
    <row r="3855" spans="1:10" x14ac:dyDescent="0.35">
      <c r="A3855">
        <v>3839</v>
      </c>
      <c r="B3855" s="75">
        <v>89.23</v>
      </c>
      <c r="C3855" s="75">
        <v>96.08</v>
      </c>
      <c r="D3855" s="75">
        <v>92.7</v>
      </c>
      <c r="E3855" s="75">
        <v>95.23</v>
      </c>
      <c r="F3855">
        <v>1067.8800000000001</v>
      </c>
      <c r="G3855">
        <v>3189.2999999999997</v>
      </c>
      <c r="H3855">
        <v>230.4</v>
      </c>
      <c r="I3855">
        <v>-1848.2</v>
      </c>
      <c r="J3855">
        <v>2639.38</v>
      </c>
    </row>
    <row r="3856" spans="1:10" x14ac:dyDescent="0.35">
      <c r="A3856">
        <v>3840</v>
      </c>
      <c r="B3856" s="75">
        <v>89.193799999999996</v>
      </c>
      <c r="C3856" s="75">
        <v>97.174400000000006</v>
      </c>
      <c r="D3856" s="75">
        <v>93.028000000000006</v>
      </c>
      <c r="E3856" s="75">
        <v>91.875299999999996</v>
      </c>
      <c r="F3856">
        <v>1187.3399999999999</v>
      </c>
      <c r="G3856">
        <v>1553.2500000000002</v>
      </c>
      <c r="H3856">
        <v>-423.8</v>
      </c>
      <c r="I3856">
        <v>1505.3000000000002</v>
      </c>
      <c r="J3856">
        <v>3822.09</v>
      </c>
    </row>
    <row r="3857" spans="1:10" x14ac:dyDescent="0.35">
      <c r="A3857">
        <v>3841</v>
      </c>
      <c r="B3857" s="75">
        <v>90.53</v>
      </c>
      <c r="C3857" s="75">
        <v>98.71</v>
      </c>
      <c r="D3857" s="75">
        <v>93.33</v>
      </c>
      <c r="E3857" s="75">
        <v>92.55</v>
      </c>
      <c r="F3857">
        <v>-3220.14</v>
      </c>
      <c r="G3857">
        <v>-752.24999999999989</v>
      </c>
      <c r="H3857">
        <v>-1028.8</v>
      </c>
      <c r="I3857">
        <v>832.4</v>
      </c>
      <c r="J3857">
        <v>-4168.79</v>
      </c>
    </row>
    <row r="3858" spans="1:10" x14ac:dyDescent="0.35">
      <c r="A3858">
        <v>3842</v>
      </c>
      <c r="B3858" s="75">
        <v>88.822500000000005</v>
      </c>
      <c r="C3858" s="75">
        <v>98.378500000000003</v>
      </c>
      <c r="D3858" s="75">
        <v>93.010900000000007</v>
      </c>
      <c r="E3858" s="75">
        <v>96.193799999999996</v>
      </c>
      <c r="F3858">
        <v>2412.63</v>
      </c>
      <c r="G3858">
        <v>-252.9</v>
      </c>
      <c r="H3858">
        <v>-389.6</v>
      </c>
      <c r="I3858">
        <v>-2813.2000000000003</v>
      </c>
      <c r="J3858">
        <v>-1043.0700000000002</v>
      </c>
    </row>
    <row r="3859" spans="1:10" x14ac:dyDescent="0.35">
      <c r="A3859">
        <v>3843</v>
      </c>
      <c r="B3859" s="75">
        <v>90.38</v>
      </c>
      <c r="C3859" s="75">
        <v>97.29</v>
      </c>
      <c r="D3859" s="75">
        <v>93.67</v>
      </c>
      <c r="E3859" s="75">
        <v>95.64</v>
      </c>
      <c r="F3859">
        <v>-2740.65</v>
      </c>
      <c r="G3859">
        <v>1377.6</v>
      </c>
      <c r="H3859">
        <v>-1716.3999999999999</v>
      </c>
      <c r="I3859">
        <v>-2258.3000000000002</v>
      </c>
      <c r="J3859">
        <v>-5337.75</v>
      </c>
    </row>
    <row r="3860" spans="1:10" x14ac:dyDescent="0.35">
      <c r="A3860">
        <v>3844</v>
      </c>
      <c r="B3860" s="75">
        <v>89.910700000000006</v>
      </c>
      <c r="C3860" s="75">
        <v>98.333699999999993</v>
      </c>
      <c r="D3860" s="75">
        <v>92.4756</v>
      </c>
      <c r="E3860" s="75">
        <v>90.655299999999997</v>
      </c>
      <c r="F3860">
        <v>-1178.4299999999998</v>
      </c>
      <c r="G3860">
        <v>-185.7</v>
      </c>
      <c r="H3860">
        <v>681</v>
      </c>
      <c r="I3860">
        <v>2725.2999999999997</v>
      </c>
      <c r="J3860">
        <v>2042.1699999999998</v>
      </c>
    </row>
    <row r="3861" spans="1:10" x14ac:dyDescent="0.35">
      <c r="A3861">
        <v>3845</v>
      </c>
      <c r="B3861" s="75">
        <v>89.57</v>
      </c>
      <c r="C3861" s="75">
        <v>98.11</v>
      </c>
      <c r="D3861" s="75">
        <v>92.39</v>
      </c>
      <c r="E3861" s="75">
        <v>94.35</v>
      </c>
      <c r="F3861">
        <v>-59.730000000000004</v>
      </c>
      <c r="G3861">
        <v>149.39999999999998</v>
      </c>
      <c r="H3861">
        <v>845</v>
      </c>
      <c r="I3861">
        <v>-965</v>
      </c>
      <c r="J3861">
        <v>-30.330000000000041</v>
      </c>
    </row>
    <row r="3862" spans="1:10" x14ac:dyDescent="0.35">
      <c r="A3862">
        <v>3846</v>
      </c>
      <c r="B3862" s="75">
        <v>89.119900000000001</v>
      </c>
      <c r="C3862" s="75">
        <v>98.358599999999996</v>
      </c>
      <c r="D3862" s="75">
        <v>91.426000000000002</v>
      </c>
      <c r="E3862" s="75">
        <v>93.160499999999999</v>
      </c>
      <c r="F3862">
        <v>1431.2099999999998</v>
      </c>
      <c r="G3862">
        <v>-223.05</v>
      </c>
      <c r="H3862">
        <v>2780.2</v>
      </c>
      <c r="I3862">
        <v>220.1</v>
      </c>
      <c r="J3862">
        <v>4208.46</v>
      </c>
    </row>
    <row r="3863" spans="1:10" x14ac:dyDescent="0.35">
      <c r="A3863">
        <v>3847</v>
      </c>
      <c r="B3863" s="75">
        <v>89.36</v>
      </c>
      <c r="C3863" s="75">
        <v>98.87</v>
      </c>
      <c r="D3863" s="75">
        <v>93.02</v>
      </c>
      <c r="E3863" s="75">
        <v>94.97</v>
      </c>
      <c r="F3863">
        <v>626.67000000000007</v>
      </c>
      <c r="G3863">
        <v>-984.15</v>
      </c>
      <c r="H3863">
        <v>-400.6</v>
      </c>
      <c r="I3863">
        <v>-1591.3999999999999</v>
      </c>
      <c r="J3863">
        <v>-2349.4799999999996</v>
      </c>
    </row>
    <row r="3864" spans="1:10" x14ac:dyDescent="0.35">
      <c r="A3864">
        <v>3848</v>
      </c>
      <c r="B3864" s="75">
        <v>88.434100000000001</v>
      </c>
      <c r="C3864" s="75">
        <v>98.977699999999999</v>
      </c>
      <c r="D3864" s="75">
        <v>92.568600000000004</v>
      </c>
      <c r="E3864" s="75">
        <v>93.768500000000003</v>
      </c>
      <c r="F3864">
        <v>3694.35</v>
      </c>
      <c r="G3864">
        <v>-1151.7</v>
      </c>
      <c r="H3864">
        <v>495</v>
      </c>
      <c r="I3864">
        <v>-387.90000000000003</v>
      </c>
      <c r="J3864">
        <v>2649.7499999999995</v>
      </c>
    </row>
    <row r="3865" spans="1:10" x14ac:dyDescent="0.35">
      <c r="A3865">
        <v>3849</v>
      </c>
      <c r="B3865" s="75">
        <v>89.08</v>
      </c>
      <c r="C3865" s="75">
        <v>95.96</v>
      </c>
      <c r="D3865" s="75">
        <v>95.13</v>
      </c>
      <c r="E3865" s="75">
        <v>95.54</v>
      </c>
      <c r="F3865">
        <v>1576.0800000000002</v>
      </c>
      <c r="G3865">
        <v>3378.45</v>
      </c>
      <c r="H3865">
        <v>-4622.2000000000007</v>
      </c>
      <c r="I3865">
        <v>-2157.7000000000003</v>
      </c>
      <c r="J3865">
        <v>-1825.3700000000013</v>
      </c>
    </row>
    <row r="3866" spans="1:10" x14ac:dyDescent="0.35">
      <c r="A3866">
        <v>3850</v>
      </c>
      <c r="B3866" s="75">
        <v>89.4345</v>
      </c>
      <c r="C3866" s="75">
        <v>97.790899999999993</v>
      </c>
      <c r="D3866" s="75">
        <v>91.150199999999998</v>
      </c>
      <c r="E3866" s="75">
        <v>95.035899999999998</v>
      </c>
      <c r="F3866">
        <v>393.03</v>
      </c>
      <c r="G3866">
        <v>628.5</v>
      </c>
      <c r="H3866">
        <v>3331.7999999999997</v>
      </c>
      <c r="I3866">
        <v>-1655.3</v>
      </c>
      <c r="J3866">
        <v>2698.0299999999997</v>
      </c>
    </row>
    <row r="3867" spans="1:10" x14ac:dyDescent="0.35">
      <c r="A3867">
        <v>3851</v>
      </c>
      <c r="B3867" s="75">
        <v>90.3</v>
      </c>
      <c r="C3867" s="75">
        <v>97.75</v>
      </c>
      <c r="D3867" s="75">
        <v>93.01</v>
      </c>
      <c r="E3867" s="75">
        <v>91.66</v>
      </c>
      <c r="F3867">
        <v>-2464.77</v>
      </c>
      <c r="G3867">
        <v>689.84999999999991</v>
      </c>
      <c r="H3867">
        <v>-382.40000000000003</v>
      </c>
      <c r="I3867">
        <v>1724.9</v>
      </c>
      <c r="J3867">
        <v>-432.42000000000007</v>
      </c>
    </row>
    <row r="3868" spans="1:10" x14ac:dyDescent="0.35">
      <c r="A3868">
        <v>3852</v>
      </c>
      <c r="B3868" s="75">
        <v>89.027900000000002</v>
      </c>
      <c r="C3868" s="75">
        <v>97.717600000000004</v>
      </c>
      <c r="D3868" s="75">
        <v>92.923100000000005</v>
      </c>
      <c r="E3868" s="75">
        <v>95.619900000000001</v>
      </c>
      <c r="F3868">
        <v>1734.8099999999997</v>
      </c>
      <c r="G3868">
        <v>738.45</v>
      </c>
      <c r="H3868">
        <v>-214</v>
      </c>
      <c r="I3868">
        <v>-2239.3000000000002</v>
      </c>
      <c r="J3868">
        <v>19.959999999999582</v>
      </c>
    </row>
    <row r="3869" spans="1:10" x14ac:dyDescent="0.35">
      <c r="A3869">
        <v>3853</v>
      </c>
      <c r="B3869" s="75">
        <v>89.01</v>
      </c>
      <c r="C3869" s="75">
        <v>99.71</v>
      </c>
      <c r="D3869" s="75">
        <v>93.29</v>
      </c>
      <c r="E3869" s="75">
        <v>94.88</v>
      </c>
      <c r="F3869">
        <v>1779.69</v>
      </c>
      <c r="G3869">
        <v>-2247.6</v>
      </c>
      <c r="H3869">
        <v>-940</v>
      </c>
      <c r="I3869">
        <v>-1503.1000000000001</v>
      </c>
      <c r="J3869">
        <v>-2911.01</v>
      </c>
    </row>
    <row r="3870" spans="1:10" x14ac:dyDescent="0.35">
      <c r="A3870">
        <v>3854</v>
      </c>
      <c r="B3870" s="75">
        <v>89.590999999999994</v>
      </c>
      <c r="C3870" s="75">
        <v>98.118399999999994</v>
      </c>
      <c r="D3870" s="75">
        <v>94.063699999999997</v>
      </c>
      <c r="E3870" s="75">
        <v>90.892799999999994</v>
      </c>
      <c r="F3870">
        <v>-123.42000000000002</v>
      </c>
      <c r="G3870">
        <v>137.25</v>
      </c>
      <c r="H3870">
        <v>-2495.2000000000003</v>
      </c>
      <c r="I3870">
        <v>2487.8000000000002</v>
      </c>
      <c r="J3870">
        <v>6.4299999999998363</v>
      </c>
    </row>
    <row r="3871" spans="1:10" x14ac:dyDescent="0.35">
      <c r="A3871">
        <v>3855</v>
      </c>
      <c r="B3871" s="75">
        <v>90.59</v>
      </c>
      <c r="C3871" s="75">
        <v>99.87</v>
      </c>
      <c r="D3871" s="75">
        <v>92.31</v>
      </c>
      <c r="E3871" s="75">
        <v>93.7</v>
      </c>
      <c r="F3871">
        <v>-3433.32</v>
      </c>
      <c r="G3871">
        <v>-2492.6999999999998</v>
      </c>
      <c r="H3871">
        <v>1011.2</v>
      </c>
      <c r="I3871">
        <v>-314.40000000000003</v>
      </c>
      <c r="J3871">
        <v>-5229.22</v>
      </c>
    </row>
    <row r="3872" spans="1:10" x14ac:dyDescent="0.35">
      <c r="A3872">
        <v>3856</v>
      </c>
      <c r="B3872" s="75">
        <v>89.429900000000004</v>
      </c>
      <c r="C3872" s="75">
        <v>97.8416</v>
      </c>
      <c r="D3872" s="75">
        <v>94.680199999999999</v>
      </c>
      <c r="E3872" s="75">
        <v>94.802899999999994</v>
      </c>
      <c r="F3872">
        <v>408.21000000000004</v>
      </c>
      <c r="G3872">
        <v>552.45000000000005</v>
      </c>
      <c r="H3872">
        <v>-3728.2000000000003</v>
      </c>
      <c r="I3872">
        <v>-1422.3</v>
      </c>
      <c r="J3872">
        <v>-4189.84</v>
      </c>
    </row>
    <row r="3873" spans="1:10" x14ac:dyDescent="0.35">
      <c r="A3873">
        <v>3857</v>
      </c>
      <c r="B3873" s="75">
        <v>89.6</v>
      </c>
      <c r="C3873" s="75">
        <v>97.35</v>
      </c>
      <c r="D3873" s="75">
        <v>93.52</v>
      </c>
      <c r="E3873" s="75">
        <v>92.69</v>
      </c>
      <c r="F3873">
        <v>-163.35</v>
      </c>
      <c r="G3873">
        <v>1283.25</v>
      </c>
      <c r="H3873">
        <v>-1404.8</v>
      </c>
      <c r="I3873">
        <v>693.8</v>
      </c>
      <c r="J3873">
        <v>408.90000000000009</v>
      </c>
    </row>
    <row r="3874" spans="1:10" x14ac:dyDescent="0.35">
      <c r="A3874">
        <v>3858</v>
      </c>
      <c r="B3874" s="75">
        <v>89.362499999999997</v>
      </c>
      <c r="C3874" s="75">
        <v>99.429000000000002</v>
      </c>
      <c r="D3874" s="75">
        <v>94.289299999999997</v>
      </c>
      <c r="E3874" s="75">
        <v>97.587599999999995</v>
      </c>
      <c r="F3874">
        <v>630.63</v>
      </c>
      <c r="G3874">
        <v>-1828.65</v>
      </c>
      <c r="H3874">
        <v>-2946.4</v>
      </c>
      <c r="I3874">
        <v>-4207</v>
      </c>
      <c r="J3874">
        <v>-8351.42</v>
      </c>
    </row>
    <row r="3875" spans="1:10" x14ac:dyDescent="0.35">
      <c r="A3875">
        <v>3859</v>
      </c>
      <c r="B3875" s="75">
        <v>90.22</v>
      </c>
      <c r="C3875" s="75">
        <v>99.6</v>
      </c>
      <c r="D3875" s="75">
        <v>92.54</v>
      </c>
      <c r="E3875" s="75">
        <v>92.05</v>
      </c>
      <c r="F3875">
        <v>-2203.08</v>
      </c>
      <c r="G3875">
        <v>-2089.35</v>
      </c>
      <c r="H3875">
        <v>550.79999999999995</v>
      </c>
      <c r="I3875">
        <v>1333.3</v>
      </c>
      <c r="J3875">
        <v>-2408.33</v>
      </c>
    </row>
    <row r="3876" spans="1:10" x14ac:dyDescent="0.35">
      <c r="A3876">
        <v>3860</v>
      </c>
      <c r="B3876" s="75">
        <v>89.505300000000005</v>
      </c>
      <c r="C3876" s="75">
        <v>98.471800000000002</v>
      </c>
      <c r="D3876" s="75">
        <v>93.141900000000007</v>
      </c>
      <c r="E3876" s="75">
        <v>93.658100000000005</v>
      </c>
      <c r="F3876">
        <v>159.39000000000001</v>
      </c>
      <c r="G3876">
        <v>-392.85</v>
      </c>
      <c r="H3876">
        <v>-651.59999999999991</v>
      </c>
      <c r="I3876">
        <v>-277.5</v>
      </c>
      <c r="J3876">
        <v>-1162.56</v>
      </c>
    </row>
    <row r="3877" spans="1:10" x14ac:dyDescent="0.35">
      <c r="A3877">
        <v>3861</v>
      </c>
      <c r="B3877" s="75">
        <v>90.4</v>
      </c>
      <c r="C3877" s="75">
        <v>97.94</v>
      </c>
      <c r="D3877" s="75">
        <v>93.78</v>
      </c>
      <c r="E3877" s="75">
        <v>93.57</v>
      </c>
      <c r="F3877">
        <v>-2792.1299999999997</v>
      </c>
      <c r="G3877">
        <v>409.65000000000003</v>
      </c>
      <c r="H3877">
        <v>-1936.8000000000002</v>
      </c>
      <c r="I3877">
        <v>-189.29999999999998</v>
      </c>
      <c r="J3877">
        <v>-4508.58</v>
      </c>
    </row>
    <row r="3878" spans="1:10" x14ac:dyDescent="0.35">
      <c r="A3878">
        <v>3862</v>
      </c>
      <c r="B3878" s="75">
        <v>89.966399999999993</v>
      </c>
      <c r="C3878" s="75">
        <v>98.639700000000005</v>
      </c>
      <c r="D3878" s="75">
        <v>93.471500000000006</v>
      </c>
      <c r="E3878" s="75">
        <v>92.298900000000003</v>
      </c>
      <c r="F3878">
        <v>-1362.24</v>
      </c>
      <c r="G3878">
        <v>-644.70000000000005</v>
      </c>
      <c r="H3878">
        <v>-1310.8</v>
      </c>
      <c r="I3878">
        <v>1081.7</v>
      </c>
      <c r="J3878">
        <v>-2236.04</v>
      </c>
    </row>
    <row r="3879" spans="1:10" x14ac:dyDescent="0.35">
      <c r="A3879">
        <v>3863</v>
      </c>
      <c r="B3879" s="75">
        <v>89.56</v>
      </c>
      <c r="C3879" s="75">
        <v>100.18</v>
      </c>
      <c r="D3879" s="75">
        <v>93.73</v>
      </c>
      <c r="E3879" s="75">
        <v>92.78</v>
      </c>
      <c r="F3879">
        <v>-20.79</v>
      </c>
      <c r="G3879">
        <v>-2948.85</v>
      </c>
      <c r="H3879">
        <v>-1834.8</v>
      </c>
      <c r="I3879">
        <v>597.79999999999995</v>
      </c>
      <c r="J3879">
        <v>-4206.6399999999994</v>
      </c>
    </row>
    <row r="3880" spans="1:10" x14ac:dyDescent="0.35">
      <c r="A3880">
        <v>3864</v>
      </c>
      <c r="B3880" s="75">
        <v>89.685100000000006</v>
      </c>
      <c r="C3880" s="75">
        <v>96.770899999999997</v>
      </c>
      <c r="D3880" s="75">
        <v>93.852999999999994</v>
      </c>
      <c r="E3880" s="75">
        <v>90.9619</v>
      </c>
      <c r="F3880">
        <v>-433.95000000000005</v>
      </c>
      <c r="G3880">
        <v>2158.5</v>
      </c>
      <c r="H3880">
        <v>-2073.7999999999997</v>
      </c>
      <c r="I3880">
        <v>2418.6999999999998</v>
      </c>
      <c r="J3880">
        <v>2069.4499999999998</v>
      </c>
    </row>
    <row r="3881" spans="1:10" x14ac:dyDescent="0.35">
      <c r="A3881">
        <v>3865</v>
      </c>
      <c r="B3881" s="75">
        <v>89.46</v>
      </c>
      <c r="C3881" s="75">
        <v>98.28</v>
      </c>
      <c r="D3881" s="75">
        <v>92.62</v>
      </c>
      <c r="E3881" s="75">
        <v>93.98</v>
      </c>
      <c r="F3881">
        <v>302.94</v>
      </c>
      <c r="G3881">
        <v>-99.75</v>
      </c>
      <c r="H3881">
        <v>391.40000000000003</v>
      </c>
      <c r="I3881">
        <v>-601.29999999999995</v>
      </c>
      <c r="J3881">
        <v>-6.7099999999999227</v>
      </c>
    </row>
    <row r="3882" spans="1:10" x14ac:dyDescent="0.35">
      <c r="A3882">
        <v>3866</v>
      </c>
      <c r="B3882" s="75">
        <v>89.316800000000001</v>
      </c>
      <c r="C3882" s="75">
        <v>99.391400000000004</v>
      </c>
      <c r="D3882" s="75">
        <v>91.486800000000002</v>
      </c>
      <c r="E3882" s="75">
        <v>96.148700000000005</v>
      </c>
      <c r="F3882">
        <v>781.44</v>
      </c>
      <c r="G3882">
        <v>-1772.25</v>
      </c>
      <c r="H3882">
        <v>2658.6</v>
      </c>
      <c r="I3882">
        <v>-2768.1</v>
      </c>
      <c r="J3882">
        <v>-1100.31</v>
      </c>
    </row>
    <row r="3883" spans="1:10" x14ac:dyDescent="0.35">
      <c r="A3883">
        <v>3867</v>
      </c>
      <c r="B3883" s="75">
        <v>89.7</v>
      </c>
      <c r="C3883" s="75">
        <v>97.93</v>
      </c>
      <c r="D3883" s="75">
        <v>92.59</v>
      </c>
      <c r="E3883" s="75">
        <v>93.49</v>
      </c>
      <c r="F3883">
        <v>-466.62</v>
      </c>
      <c r="G3883">
        <v>425.40000000000003</v>
      </c>
      <c r="H3883">
        <v>447.40000000000003</v>
      </c>
      <c r="I3883">
        <v>-111.10000000000001</v>
      </c>
      <c r="J3883">
        <v>295.08000000000004</v>
      </c>
    </row>
    <row r="3884" spans="1:10" x14ac:dyDescent="0.35">
      <c r="A3884">
        <v>3868</v>
      </c>
      <c r="B3884" s="75">
        <v>88.255600000000001</v>
      </c>
      <c r="C3884" s="75">
        <v>98.979100000000003</v>
      </c>
      <c r="D3884" s="75">
        <v>94.010300000000001</v>
      </c>
      <c r="E3884" s="75">
        <v>92.385599999999997</v>
      </c>
      <c r="F3884">
        <v>4283.4000000000005</v>
      </c>
      <c r="G3884">
        <v>-1153.8</v>
      </c>
      <c r="H3884">
        <v>-2388.3999999999996</v>
      </c>
      <c r="I3884">
        <v>995</v>
      </c>
      <c r="J3884">
        <v>1736.2000000000007</v>
      </c>
    </row>
    <row r="3885" spans="1:10" x14ac:dyDescent="0.35">
      <c r="A3885">
        <v>3869</v>
      </c>
      <c r="B3885" s="75">
        <v>89.36</v>
      </c>
      <c r="C3885" s="75">
        <v>97.18</v>
      </c>
      <c r="D3885" s="75">
        <v>90.66</v>
      </c>
      <c r="E3885" s="75">
        <v>93.57</v>
      </c>
      <c r="F3885">
        <v>636.24</v>
      </c>
      <c r="G3885">
        <v>1551.45</v>
      </c>
      <c r="H3885">
        <v>4302.3999999999996</v>
      </c>
      <c r="I3885">
        <v>-189</v>
      </c>
      <c r="J3885">
        <v>6301.09</v>
      </c>
    </row>
    <row r="3886" spans="1:10" x14ac:dyDescent="0.35">
      <c r="A3886">
        <v>3870</v>
      </c>
      <c r="B3886" s="75">
        <v>89.652799999999999</v>
      </c>
      <c r="C3886" s="75">
        <v>99.030900000000003</v>
      </c>
      <c r="D3886" s="75">
        <v>92.099400000000003</v>
      </c>
      <c r="E3886" s="75">
        <v>91.3643</v>
      </c>
      <c r="F3886">
        <v>-327.36</v>
      </c>
      <c r="G3886">
        <v>-1231.5</v>
      </c>
      <c r="H3886">
        <v>1433.4</v>
      </c>
      <c r="I3886">
        <v>2016.3000000000002</v>
      </c>
      <c r="J3886">
        <v>1890.8400000000001</v>
      </c>
    </row>
    <row r="3887" spans="1:10" x14ac:dyDescent="0.35">
      <c r="A3887">
        <v>3871</v>
      </c>
      <c r="B3887" s="75">
        <v>90.13</v>
      </c>
      <c r="C3887" s="75">
        <v>96.44</v>
      </c>
      <c r="D3887" s="75">
        <v>93.34</v>
      </c>
      <c r="E3887" s="75">
        <v>92.77</v>
      </c>
      <c r="F3887">
        <v>-1886.9399999999998</v>
      </c>
      <c r="G3887">
        <v>2656.5</v>
      </c>
      <c r="H3887">
        <v>-1044.5999999999999</v>
      </c>
      <c r="I3887">
        <v>606.19999999999993</v>
      </c>
      <c r="J3887">
        <v>331.1600000000002</v>
      </c>
    </row>
    <row r="3888" spans="1:10" x14ac:dyDescent="0.35">
      <c r="A3888">
        <v>3872</v>
      </c>
      <c r="B3888" s="75">
        <v>88.500699999999995</v>
      </c>
      <c r="C3888" s="75">
        <v>98.176699999999997</v>
      </c>
      <c r="D3888" s="75">
        <v>92.206599999999995</v>
      </c>
      <c r="E3888" s="75">
        <v>93.550700000000006</v>
      </c>
      <c r="F3888">
        <v>3474.5699999999997</v>
      </c>
      <c r="G3888">
        <v>49.8</v>
      </c>
      <c r="H3888">
        <v>1219</v>
      </c>
      <c r="I3888">
        <v>-170.1</v>
      </c>
      <c r="J3888">
        <v>4573.2699999999995</v>
      </c>
    </row>
    <row r="3889" spans="1:10" x14ac:dyDescent="0.35">
      <c r="A3889">
        <v>3873</v>
      </c>
      <c r="B3889" s="75">
        <v>89.41</v>
      </c>
      <c r="C3889" s="75">
        <v>98.07</v>
      </c>
      <c r="D3889" s="75">
        <v>93.93</v>
      </c>
      <c r="E3889" s="75">
        <v>92.17</v>
      </c>
      <c r="F3889">
        <v>489.39</v>
      </c>
      <c r="G3889">
        <v>205.65</v>
      </c>
      <c r="H3889">
        <v>-2219.1999999999998</v>
      </c>
      <c r="I3889">
        <v>1215.5</v>
      </c>
      <c r="J3889">
        <v>-308.65999999999985</v>
      </c>
    </row>
    <row r="3890" spans="1:10" x14ac:dyDescent="0.35">
      <c r="A3890">
        <v>3874</v>
      </c>
      <c r="B3890" s="75">
        <v>90.128500000000003</v>
      </c>
      <c r="C3890" s="75">
        <v>99.388300000000001</v>
      </c>
      <c r="D3890" s="75">
        <v>94.495699999999999</v>
      </c>
      <c r="E3890" s="75">
        <v>91.763599999999997</v>
      </c>
      <c r="F3890">
        <v>-1897.1699999999998</v>
      </c>
      <c r="G3890">
        <v>-1767.6</v>
      </c>
      <c r="H3890">
        <v>-3359.2</v>
      </c>
      <c r="I3890">
        <v>1617</v>
      </c>
      <c r="J3890">
        <v>-5406.9699999999993</v>
      </c>
    </row>
    <row r="3891" spans="1:10" x14ac:dyDescent="0.35">
      <c r="A3891">
        <v>3875</v>
      </c>
      <c r="B3891" s="75">
        <v>89.99</v>
      </c>
      <c r="C3891" s="75">
        <v>99.7</v>
      </c>
      <c r="D3891" s="75">
        <v>91.56</v>
      </c>
      <c r="E3891" s="75">
        <v>93.32</v>
      </c>
      <c r="F3891">
        <v>-1447.71</v>
      </c>
      <c r="G3891">
        <v>-2236.65</v>
      </c>
      <c r="H3891">
        <v>2515.2000000000003</v>
      </c>
      <c r="I3891">
        <v>64.199999999999989</v>
      </c>
      <c r="J3891">
        <v>-1104.9599999999998</v>
      </c>
    </row>
    <row r="3892" spans="1:10" x14ac:dyDescent="0.35">
      <c r="A3892">
        <v>3876</v>
      </c>
      <c r="B3892" s="75">
        <v>90.102999999999994</v>
      </c>
      <c r="C3892" s="75">
        <v>99.663399999999996</v>
      </c>
      <c r="D3892" s="75">
        <v>92.4512</v>
      </c>
      <c r="E3892" s="75">
        <v>92.792000000000002</v>
      </c>
      <c r="F3892">
        <v>-1813.02</v>
      </c>
      <c r="G3892">
        <v>-2180.25</v>
      </c>
      <c r="H3892">
        <v>729.8</v>
      </c>
      <c r="I3892">
        <v>588.6</v>
      </c>
      <c r="J3892">
        <v>-2674.8700000000003</v>
      </c>
    </row>
    <row r="3893" spans="1:10" x14ac:dyDescent="0.35">
      <c r="A3893">
        <v>3877</v>
      </c>
      <c r="B3893" s="75">
        <v>89.66</v>
      </c>
      <c r="C3893" s="75">
        <v>96.99</v>
      </c>
      <c r="D3893" s="75">
        <v>94.03</v>
      </c>
      <c r="E3893" s="75">
        <v>91.08</v>
      </c>
      <c r="F3893">
        <v>-346.83</v>
      </c>
      <c r="G3893">
        <v>1827.3</v>
      </c>
      <c r="H3893">
        <v>-2419.6</v>
      </c>
      <c r="I3893">
        <v>2298.4</v>
      </c>
      <c r="J3893">
        <v>1359.2700000000002</v>
      </c>
    </row>
    <row r="3894" spans="1:10" x14ac:dyDescent="0.35">
      <c r="A3894">
        <v>3878</v>
      </c>
      <c r="B3894" s="75">
        <v>88.860699999999994</v>
      </c>
      <c r="C3894" s="75">
        <v>98.156199999999998</v>
      </c>
      <c r="D3894" s="75">
        <v>90.698700000000002</v>
      </c>
      <c r="E3894" s="75">
        <v>95.6036</v>
      </c>
      <c r="F3894">
        <v>2286.5699999999997</v>
      </c>
      <c r="G3894">
        <v>80.55</v>
      </c>
      <c r="H3894">
        <v>4234.8</v>
      </c>
      <c r="I3894">
        <v>-2223</v>
      </c>
      <c r="J3894">
        <v>4378.92</v>
      </c>
    </row>
    <row r="3895" spans="1:10" x14ac:dyDescent="0.35">
      <c r="A3895">
        <v>3879</v>
      </c>
      <c r="B3895" s="75">
        <v>89.32</v>
      </c>
      <c r="C3895" s="75">
        <v>97.57</v>
      </c>
      <c r="D3895" s="75">
        <v>92.44</v>
      </c>
      <c r="E3895" s="75">
        <v>92.46</v>
      </c>
      <c r="F3895">
        <v>759</v>
      </c>
      <c r="G3895">
        <v>956.7</v>
      </c>
      <c r="H3895">
        <v>743.6</v>
      </c>
      <c r="I3895">
        <v>924.1</v>
      </c>
      <c r="J3895">
        <v>3383.4</v>
      </c>
    </row>
    <row r="3896" spans="1:10" x14ac:dyDescent="0.35">
      <c r="A3896">
        <v>3880</v>
      </c>
      <c r="B3896" s="75">
        <v>90.033299999999997</v>
      </c>
      <c r="C3896" s="75">
        <v>97.961100000000002</v>
      </c>
      <c r="D3896" s="75">
        <v>92.273300000000006</v>
      </c>
      <c r="E3896" s="75">
        <v>91.386600000000001</v>
      </c>
      <c r="F3896">
        <v>-1583.01</v>
      </c>
      <c r="G3896">
        <v>373.2</v>
      </c>
      <c r="H3896">
        <v>1085.5999999999999</v>
      </c>
      <c r="I3896">
        <v>1994</v>
      </c>
      <c r="J3896">
        <v>1869.79</v>
      </c>
    </row>
    <row r="3897" spans="1:10" x14ac:dyDescent="0.35">
      <c r="A3897">
        <v>3881</v>
      </c>
      <c r="B3897" s="75">
        <v>90.69</v>
      </c>
      <c r="C3897" s="75">
        <v>97.67</v>
      </c>
      <c r="D3897" s="75">
        <v>91.68</v>
      </c>
      <c r="E3897" s="75">
        <v>94.61</v>
      </c>
      <c r="F3897">
        <v>-3744.51</v>
      </c>
      <c r="G3897">
        <v>817.35</v>
      </c>
      <c r="H3897">
        <v>2274.1999999999998</v>
      </c>
      <c r="I3897">
        <v>-1228.5999999999999</v>
      </c>
      <c r="J3897">
        <v>-1881.5600000000004</v>
      </c>
    </row>
    <row r="3898" spans="1:10" x14ac:dyDescent="0.35">
      <c r="A3898">
        <v>3882</v>
      </c>
      <c r="B3898" s="75">
        <v>89.2136</v>
      </c>
      <c r="C3898" s="75">
        <v>99.257999999999996</v>
      </c>
      <c r="D3898" s="75">
        <v>93.125900000000001</v>
      </c>
      <c r="E3898" s="75">
        <v>94.467799999999997</v>
      </c>
      <c r="F3898">
        <v>1122</v>
      </c>
      <c r="G3898">
        <v>-1572.15</v>
      </c>
      <c r="H3898">
        <v>-619.6</v>
      </c>
      <c r="I3898">
        <v>-1087.2</v>
      </c>
      <c r="J3898">
        <v>-2156.9499999999998</v>
      </c>
    </row>
    <row r="3899" spans="1:10" x14ac:dyDescent="0.35">
      <c r="A3899">
        <v>3883</v>
      </c>
      <c r="B3899" s="75">
        <v>90.42</v>
      </c>
      <c r="C3899" s="75">
        <v>96.99</v>
      </c>
      <c r="D3899" s="75">
        <v>94.76</v>
      </c>
      <c r="E3899" s="75">
        <v>93.05</v>
      </c>
      <c r="F3899">
        <v>-2862.75</v>
      </c>
      <c r="G3899">
        <v>1835.25</v>
      </c>
      <c r="H3899">
        <v>-3879.2</v>
      </c>
      <c r="I3899">
        <v>326.40000000000003</v>
      </c>
      <c r="J3899">
        <v>-4580.3</v>
      </c>
    </row>
    <row r="3900" spans="1:10" x14ac:dyDescent="0.35">
      <c r="A3900">
        <v>3884</v>
      </c>
      <c r="B3900" s="75">
        <v>89.470200000000006</v>
      </c>
      <c r="C3900" s="75">
        <v>98.392799999999994</v>
      </c>
      <c r="D3900" s="75">
        <v>92.035200000000003</v>
      </c>
      <c r="E3900" s="75">
        <v>94.194100000000006</v>
      </c>
      <c r="F3900">
        <v>275.22000000000003</v>
      </c>
      <c r="G3900">
        <v>-274.35000000000002</v>
      </c>
      <c r="H3900">
        <v>1561.8000000000002</v>
      </c>
      <c r="I3900">
        <v>-813.5</v>
      </c>
      <c r="J3900">
        <v>749.17000000000007</v>
      </c>
    </row>
    <row r="3901" spans="1:10" x14ac:dyDescent="0.35">
      <c r="A3901">
        <v>3885</v>
      </c>
      <c r="B3901" s="75">
        <v>89.26</v>
      </c>
      <c r="C3901" s="75">
        <v>98.75</v>
      </c>
      <c r="D3901" s="75">
        <v>92.82</v>
      </c>
      <c r="E3901" s="75">
        <v>93.03</v>
      </c>
      <c r="F3901">
        <v>967.56000000000006</v>
      </c>
      <c r="G3901">
        <v>-804.9</v>
      </c>
      <c r="H3901">
        <v>-1.4</v>
      </c>
      <c r="I3901">
        <v>349.5</v>
      </c>
      <c r="J3901">
        <v>510.7600000000001</v>
      </c>
    </row>
    <row r="3902" spans="1:10" x14ac:dyDescent="0.35">
      <c r="A3902">
        <v>3886</v>
      </c>
      <c r="B3902" s="75">
        <v>89.136399999999995</v>
      </c>
      <c r="C3902" s="75">
        <v>99.599800000000002</v>
      </c>
      <c r="D3902" s="75">
        <v>92.084699999999998</v>
      </c>
      <c r="E3902" s="75">
        <v>95.274699999999996</v>
      </c>
      <c r="F3902">
        <v>1376.76</v>
      </c>
      <c r="G3902">
        <v>-2084.85</v>
      </c>
      <c r="H3902">
        <v>1462.8000000000002</v>
      </c>
      <c r="I3902">
        <v>-1894.1</v>
      </c>
      <c r="J3902">
        <v>-1139.3899999999996</v>
      </c>
    </row>
    <row r="3903" spans="1:10" x14ac:dyDescent="0.35">
      <c r="A3903">
        <v>3887</v>
      </c>
      <c r="B3903" s="75">
        <v>90.33</v>
      </c>
      <c r="C3903" s="75">
        <v>97.63</v>
      </c>
      <c r="D3903" s="75">
        <v>93.91</v>
      </c>
      <c r="E3903" s="75">
        <v>94.21</v>
      </c>
      <c r="F3903">
        <v>-2566.08</v>
      </c>
      <c r="G3903">
        <v>875.84999999999991</v>
      </c>
      <c r="H3903">
        <v>-2181.4</v>
      </c>
      <c r="I3903">
        <v>-834.2</v>
      </c>
      <c r="J3903">
        <v>-4705.83</v>
      </c>
    </row>
    <row r="3904" spans="1:10" x14ac:dyDescent="0.35">
      <c r="A3904">
        <v>3888</v>
      </c>
      <c r="B3904" s="75">
        <v>88.783100000000005</v>
      </c>
      <c r="C3904" s="75">
        <v>98.111900000000006</v>
      </c>
      <c r="D3904" s="75">
        <v>92.687299999999993</v>
      </c>
      <c r="E3904" s="75">
        <v>96.315399999999997</v>
      </c>
      <c r="F3904">
        <v>2542.65</v>
      </c>
      <c r="G3904">
        <v>147</v>
      </c>
      <c r="H3904">
        <v>257.60000000000002</v>
      </c>
      <c r="I3904">
        <v>-2934.8</v>
      </c>
      <c r="J3904">
        <v>12.449999999999818</v>
      </c>
    </row>
    <row r="3905" spans="1:10" x14ac:dyDescent="0.35">
      <c r="A3905">
        <v>3889</v>
      </c>
      <c r="B3905" s="75">
        <v>89.6</v>
      </c>
      <c r="C3905" s="75">
        <v>97.66</v>
      </c>
      <c r="D3905" s="75">
        <v>91.89</v>
      </c>
      <c r="E3905" s="75">
        <v>92.02</v>
      </c>
      <c r="F3905">
        <v>-149.49</v>
      </c>
      <c r="G3905">
        <v>830.69999999999993</v>
      </c>
      <c r="H3905">
        <v>1842.4</v>
      </c>
      <c r="I3905">
        <v>1360.2</v>
      </c>
      <c r="J3905">
        <v>3883.8100000000004</v>
      </c>
    </row>
    <row r="3906" spans="1:10" x14ac:dyDescent="0.35">
      <c r="A3906">
        <v>3890</v>
      </c>
      <c r="B3906" s="75">
        <v>89.354699999999994</v>
      </c>
      <c r="C3906" s="75">
        <v>97.418300000000002</v>
      </c>
      <c r="D3906" s="75">
        <v>93.205500000000001</v>
      </c>
      <c r="E3906" s="75">
        <v>93.412199999999999</v>
      </c>
      <c r="F3906">
        <v>656.37</v>
      </c>
      <c r="G3906">
        <v>1187.3999999999999</v>
      </c>
      <c r="H3906">
        <v>-778.80000000000007</v>
      </c>
      <c r="I3906">
        <v>-31.6</v>
      </c>
      <c r="J3906">
        <v>1033.3699999999999</v>
      </c>
    </row>
    <row r="3907" spans="1:10" x14ac:dyDescent="0.35">
      <c r="A3907">
        <v>3891</v>
      </c>
      <c r="B3907" s="75">
        <v>89.07</v>
      </c>
      <c r="C3907" s="75">
        <v>97.1</v>
      </c>
      <c r="D3907" s="75">
        <v>92.48</v>
      </c>
      <c r="E3907" s="75">
        <v>91.59</v>
      </c>
      <c r="F3907">
        <v>1600.83</v>
      </c>
      <c r="G3907">
        <v>1669.95</v>
      </c>
      <c r="H3907">
        <v>680</v>
      </c>
      <c r="I3907">
        <v>1786.3</v>
      </c>
      <c r="J3907">
        <v>5737.08</v>
      </c>
    </row>
    <row r="3908" spans="1:10" x14ac:dyDescent="0.35">
      <c r="A3908">
        <v>3892</v>
      </c>
      <c r="B3908" s="75">
        <v>89.370199999999997</v>
      </c>
      <c r="C3908" s="75">
        <v>98.967100000000002</v>
      </c>
      <c r="D3908" s="75">
        <v>92.317599999999999</v>
      </c>
      <c r="E3908" s="75">
        <v>93.684899999999999</v>
      </c>
      <c r="F3908">
        <v>605.22</v>
      </c>
      <c r="G3908">
        <v>-1135.8</v>
      </c>
      <c r="H3908">
        <v>997</v>
      </c>
      <c r="I3908">
        <v>-304.3</v>
      </c>
      <c r="J3908">
        <v>162.12000000000006</v>
      </c>
    </row>
    <row r="3909" spans="1:10" x14ac:dyDescent="0.35">
      <c r="A3909">
        <v>3893</v>
      </c>
      <c r="B3909" s="75">
        <v>90.43</v>
      </c>
      <c r="C3909" s="75">
        <v>97.35</v>
      </c>
      <c r="D3909" s="75">
        <v>93.96</v>
      </c>
      <c r="E3909" s="75">
        <v>92.64</v>
      </c>
      <c r="F3909">
        <v>-2905.6499999999996</v>
      </c>
      <c r="G3909">
        <v>1290</v>
      </c>
      <c r="H3909">
        <v>-2290</v>
      </c>
      <c r="I3909">
        <v>737.3</v>
      </c>
      <c r="J3909">
        <v>-3168.3499999999995</v>
      </c>
    </row>
    <row r="3910" spans="1:10" x14ac:dyDescent="0.35">
      <c r="A3910">
        <v>3894</v>
      </c>
      <c r="B3910" s="75">
        <v>88.620800000000003</v>
      </c>
      <c r="C3910" s="75">
        <v>98.144199999999998</v>
      </c>
      <c r="D3910" s="75">
        <v>95.582400000000007</v>
      </c>
      <c r="E3910" s="75">
        <v>91.005600000000001</v>
      </c>
      <c r="F3910">
        <v>3078.24</v>
      </c>
      <c r="G3910">
        <v>98.55</v>
      </c>
      <c r="H3910">
        <v>-5532.6</v>
      </c>
      <c r="I3910">
        <v>2375</v>
      </c>
      <c r="J3910">
        <v>19.1899999999996</v>
      </c>
    </row>
    <row r="3911" spans="1:10" x14ac:dyDescent="0.35">
      <c r="A3911">
        <v>3895</v>
      </c>
      <c r="B3911" s="75">
        <v>89.81</v>
      </c>
      <c r="C3911" s="75">
        <v>99.01</v>
      </c>
      <c r="D3911" s="75">
        <v>95.45</v>
      </c>
      <c r="E3911" s="75">
        <v>95.49</v>
      </c>
      <c r="F3911">
        <v>-852.06</v>
      </c>
      <c r="G3911">
        <v>-1205.3999999999999</v>
      </c>
      <c r="H3911">
        <v>-5269</v>
      </c>
      <c r="I3911">
        <v>-2112.5</v>
      </c>
      <c r="J3911">
        <v>-9438.9599999999991</v>
      </c>
    </row>
    <row r="3912" spans="1:10" x14ac:dyDescent="0.35">
      <c r="A3912">
        <v>3896</v>
      </c>
      <c r="B3912" s="75">
        <v>89.830799999999996</v>
      </c>
      <c r="C3912" s="75">
        <v>98.779300000000006</v>
      </c>
      <c r="D3912" s="75">
        <v>91.719300000000004</v>
      </c>
      <c r="E3912" s="75">
        <v>95.796499999999995</v>
      </c>
      <c r="F3912">
        <v>-914.76</v>
      </c>
      <c r="G3912">
        <v>-854.1</v>
      </c>
      <c r="H3912">
        <v>2193.6</v>
      </c>
      <c r="I3912">
        <v>-2415.9</v>
      </c>
      <c r="J3912">
        <v>-1991.1600000000003</v>
      </c>
    </row>
    <row r="3913" spans="1:10" x14ac:dyDescent="0.35">
      <c r="A3913">
        <v>3897</v>
      </c>
      <c r="B3913" s="75">
        <v>89.83</v>
      </c>
      <c r="C3913" s="75">
        <v>98.05</v>
      </c>
      <c r="D3913" s="75">
        <v>92.99</v>
      </c>
      <c r="E3913" s="75">
        <v>92.58</v>
      </c>
      <c r="F3913">
        <v>-927.63000000000011</v>
      </c>
      <c r="G3913">
        <v>240.14999999999998</v>
      </c>
      <c r="H3913">
        <v>-355.6</v>
      </c>
      <c r="I3913">
        <v>799.69999999999993</v>
      </c>
      <c r="J3913">
        <v>-243.38000000000022</v>
      </c>
    </row>
    <row r="3914" spans="1:10" x14ac:dyDescent="0.35">
      <c r="A3914">
        <v>3898</v>
      </c>
      <c r="B3914" s="75">
        <v>90.300299999999993</v>
      </c>
      <c r="C3914" s="75">
        <v>100.0111</v>
      </c>
      <c r="D3914" s="75">
        <v>93.882999999999996</v>
      </c>
      <c r="E3914" s="75">
        <v>93.344700000000003</v>
      </c>
      <c r="F3914">
        <v>-2464.11</v>
      </c>
      <c r="G3914">
        <v>-2701.7999999999997</v>
      </c>
      <c r="H3914">
        <v>-2133.7999999999997</v>
      </c>
      <c r="I3914">
        <v>35.9</v>
      </c>
      <c r="J3914">
        <v>-7263.8099999999995</v>
      </c>
    </row>
    <row r="3915" spans="1:10" x14ac:dyDescent="0.35">
      <c r="A3915">
        <v>3899</v>
      </c>
      <c r="B3915" s="75">
        <v>89.97</v>
      </c>
      <c r="C3915" s="75">
        <v>97.3</v>
      </c>
      <c r="D3915" s="75">
        <v>93.7</v>
      </c>
      <c r="E3915" s="75">
        <v>90.84</v>
      </c>
      <c r="F3915">
        <v>-1369.17</v>
      </c>
      <c r="G3915">
        <v>1358.8500000000001</v>
      </c>
      <c r="H3915">
        <v>-1765.8</v>
      </c>
      <c r="I3915">
        <v>2544.4</v>
      </c>
      <c r="J3915">
        <v>768.2800000000002</v>
      </c>
    </row>
    <row r="3916" spans="1:10" x14ac:dyDescent="0.35">
      <c r="A3916">
        <v>3900</v>
      </c>
      <c r="B3916" s="75">
        <v>90.226900000000001</v>
      </c>
      <c r="C3916" s="75">
        <v>99.246899999999997</v>
      </c>
      <c r="D3916" s="75">
        <v>91.974100000000007</v>
      </c>
      <c r="E3916" s="75">
        <v>92.507000000000005</v>
      </c>
      <c r="F3916">
        <v>-2221.89</v>
      </c>
      <c r="G3916">
        <v>-1555.4999999999998</v>
      </c>
      <c r="H3916">
        <v>1684</v>
      </c>
      <c r="I3916">
        <v>873.6</v>
      </c>
      <c r="J3916">
        <v>-1219.7899999999995</v>
      </c>
    </row>
    <row r="3917" spans="1:10" x14ac:dyDescent="0.35">
      <c r="A3917">
        <v>3901</v>
      </c>
      <c r="B3917" s="75">
        <v>89.53</v>
      </c>
      <c r="C3917" s="75">
        <v>97.5</v>
      </c>
      <c r="D3917" s="75">
        <v>92.58</v>
      </c>
      <c r="E3917" s="75">
        <v>94.19</v>
      </c>
      <c r="F3917">
        <v>90.42</v>
      </c>
      <c r="G3917">
        <v>1059.1499999999999</v>
      </c>
      <c r="H3917">
        <v>479.8</v>
      </c>
      <c r="I3917">
        <v>-809.4</v>
      </c>
      <c r="J3917">
        <v>819.96999999999991</v>
      </c>
    </row>
    <row r="3918" spans="1:10" x14ac:dyDescent="0.35">
      <c r="A3918">
        <v>3902</v>
      </c>
      <c r="B3918" s="75">
        <v>89.063900000000004</v>
      </c>
      <c r="C3918" s="75">
        <v>97.279499999999999</v>
      </c>
      <c r="D3918" s="75">
        <v>92.396900000000002</v>
      </c>
      <c r="E3918" s="75">
        <v>93.121200000000002</v>
      </c>
      <c r="F3918">
        <v>1616.01</v>
      </c>
      <c r="G3918">
        <v>1395.6</v>
      </c>
      <c r="H3918">
        <v>838.40000000000009</v>
      </c>
      <c r="I3918">
        <v>259.40000000000003</v>
      </c>
      <c r="J3918">
        <v>4109.41</v>
      </c>
    </row>
    <row r="3919" spans="1:10" x14ac:dyDescent="0.35">
      <c r="A3919">
        <v>3903</v>
      </c>
      <c r="B3919" s="75">
        <v>90.36</v>
      </c>
      <c r="C3919" s="75">
        <v>97.14</v>
      </c>
      <c r="D3919" s="75">
        <v>94.44</v>
      </c>
      <c r="E3919" s="75">
        <v>93.46</v>
      </c>
      <c r="F3919">
        <v>-2669.7000000000003</v>
      </c>
      <c r="G3919">
        <v>1601.4</v>
      </c>
      <c r="H3919">
        <v>-3240.6000000000004</v>
      </c>
      <c r="I3919">
        <v>-78</v>
      </c>
      <c r="J3919">
        <v>-4386.9000000000005</v>
      </c>
    </row>
    <row r="3920" spans="1:10" x14ac:dyDescent="0.35">
      <c r="A3920">
        <v>3904</v>
      </c>
      <c r="B3920" s="75">
        <v>89.853999999999999</v>
      </c>
      <c r="C3920" s="75">
        <v>97.275099999999995</v>
      </c>
      <c r="D3920" s="75">
        <v>91.084400000000002</v>
      </c>
      <c r="E3920" s="75">
        <v>94.328500000000005</v>
      </c>
      <c r="F3920">
        <v>-991.32</v>
      </c>
      <c r="G3920">
        <v>1402.2</v>
      </c>
      <c r="H3920">
        <v>3463.4</v>
      </c>
      <c r="I3920">
        <v>-947.9</v>
      </c>
      <c r="J3920">
        <v>2926.38</v>
      </c>
    </row>
    <row r="3921" spans="1:10" x14ac:dyDescent="0.35">
      <c r="A3921">
        <v>3905</v>
      </c>
      <c r="B3921" s="75">
        <v>88.72</v>
      </c>
      <c r="C3921" s="75">
        <v>97.63</v>
      </c>
      <c r="D3921" s="75">
        <v>93.25</v>
      </c>
      <c r="E3921" s="75">
        <v>94.26</v>
      </c>
      <c r="F3921">
        <v>2755.5</v>
      </c>
      <c r="G3921">
        <v>864.75</v>
      </c>
      <c r="H3921">
        <v>-861.19999999999993</v>
      </c>
      <c r="I3921">
        <v>-882</v>
      </c>
      <c r="J3921">
        <v>1877.0500000000002</v>
      </c>
    </row>
    <row r="3922" spans="1:10" x14ac:dyDescent="0.35">
      <c r="A3922">
        <v>3906</v>
      </c>
      <c r="B3922" s="75">
        <v>89.114900000000006</v>
      </c>
      <c r="C3922" s="75">
        <v>97.951300000000003</v>
      </c>
      <c r="D3922" s="75">
        <v>90.409000000000006</v>
      </c>
      <c r="E3922" s="75">
        <v>95.631299999999996</v>
      </c>
      <c r="F3922">
        <v>1447.71</v>
      </c>
      <c r="G3922">
        <v>387.9</v>
      </c>
      <c r="H3922">
        <v>4814.2</v>
      </c>
      <c r="I3922">
        <v>-2250.7000000000003</v>
      </c>
      <c r="J3922">
        <v>4399.1099999999988</v>
      </c>
    </row>
    <row r="3923" spans="1:10" x14ac:dyDescent="0.35">
      <c r="A3923">
        <v>3907</v>
      </c>
      <c r="B3923" s="75">
        <v>88.81</v>
      </c>
      <c r="C3923" s="75">
        <v>98.4</v>
      </c>
      <c r="D3923" s="75">
        <v>93.02</v>
      </c>
      <c r="E3923" s="75">
        <v>94.92</v>
      </c>
      <c r="F3923">
        <v>2445.63</v>
      </c>
      <c r="G3923">
        <v>-280.8</v>
      </c>
      <c r="H3923">
        <v>-411.6</v>
      </c>
      <c r="I3923">
        <v>-1541.4</v>
      </c>
      <c r="J3923">
        <v>211.82999999999993</v>
      </c>
    </row>
    <row r="3924" spans="1:10" x14ac:dyDescent="0.35">
      <c r="A3924">
        <v>3908</v>
      </c>
      <c r="B3924" s="75">
        <v>89.638599999999997</v>
      </c>
      <c r="C3924" s="75">
        <v>97.518900000000002</v>
      </c>
      <c r="D3924" s="75">
        <v>93.340999999999994</v>
      </c>
      <c r="E3924" s="75">
        <v>91.898499999999999</v>
      </c>
      <c r="F3924">
        <v>-280.5</v>
      </c>
      <c r="G3924">
        <v>1036.5</v>
      </c>
      <c r="H3924">
        <v>-1049.8</v>
      </c>
      <c r="I3924">
        <v>1482.1</v>
      </c>
      <c r="J3924">
        <v>1188.3</v>
      </c>
    </row>
    <row r="3925" spans="1:10" x14ac:dyDescent="0.35">
      <c r="A3925">
        <v>3909</v>
      </c>
      <c r="B3925" s="75">
        <v>89.26</v>
      </c>
      <c r="C3925" s="75">
        <v>98.15</v>
      </c>
      <c r="D3925" s="75">
        <v>92.79</v>
      </c>
      <c r="E3925" s="75">
        <v>94.18</v>
      </c>
      <c r="F3925">
        <v>981.42</v>
      </c>
      <c r="G3925">
        <v>93.6</v>
      </c>
      <c r="H3925">
        <v>48.800000000000004</v>
      </c>
      <c r="I3925">
        <v>-798.69999999999993</v>
      </c>
      <c r="J3925">
        <v>325.12</v>
      </c>
    </row>
    <row r="3926" spans="1:10" x14ac:dyDescent="0.35">
      <c r="A3926">
        <v>3910</v>
      </c>
      <c r="B3926" s="75">
        <v>89.116500000000002</v>
      </c>
      <c r="C3926" s="75">
        <v>98.652900000000002</v>
      </c>
      <c r="D3926" s="75">
        <v>92.524000000000001</v>
      </c>
      <c r="E3926" s="75">
        <v>92.778700000000001</v>
      </c>
      <c r="F3926">
        <v>1442.43</v>
      </c>
      <c r="G3926">
        <v>-664.5</v>
      </c>
      <c r="H3926">
        <v>584.20000000000005</v>
      </c>
      <c r="I3926">
        <v>601.9</v>
      </c>
      <c r="J3926">
        <v>1964.0300000000002</v>
      </c>
    </row>
    <row r="3927" spans="1:10" x14ac:dyDescent="0.35">
      <c r="A3927">
        <v>3911</v>
      </c>
      <c r="B3927" s="75">
        <v>89.58</v>
      </c>
      <c r="C3927" s="75">
        <v>98.22</v>
      </c>
      <c r="D3927" s="75">
        <v>93.19</v>
      </c>
      <c r="E3927" s="75">
        <v>90.27</v>
      </c>
      <c r="F3927">
        <v>-99.660000000000011</v>
      </c>
      <c r="G3927">
        <v>-17.399999999999999</v>
      </c>
      <c r="H3927">
        <v>-744</v>
      </c>
      <c r="I3927">
        <v>3113.4</v>
      </c>
      <c r="J3927">
        <v>2252.34</v>
      </c>
    </row>
    <row r="3928" spans="1:10" x14ac:dyDescent="0.35">
      <c r="A3928">
        <v>3912</v>
      </c>
      <c r="B3928" s="75">
        <v>89.950999999999993</v>
      </c>
      <c r="C3928" s="75">
        <v>98.177899999999994</v>
      </c>
      <c r="D3928" s="75">
        <v>91.843699999999998</v>
      </c>
      <c r="E3928" s="75">
        <v>93.019000000000005</v>
      </c>
      <c r="F3928">
        <v>-1311.4199999999998</v>
      </c>
      <c r="G3928">
        <v>48</v>
      </c>
      <c r="H3928">
        <v>1944.8000000000002</v>
      </c>
      <c r="I3928">
        <v>361.59999999999997</v>
      </c>
      <c r="J3928">
        <v>1042.9800000000002</v>
      </c>
    </row>
    <row r="3929" spans="1:10" x14ac:dyDescent="0.35">
      <c r="A3929">
        <v>3913</v>
      </c>
      <c r="B3929" s="75">
        <v>89.41</v>
      </c>
      <c r="C3929" s="75">
        <v>98.58</v>
      </c>
      <c r="D3929" s="75">
        <v>91.83</v>
      </c>
      <c r="E3929" s="75">
        <v>92.24</v>
      </c>
      <c r="F3929">
        <v>464.30999999999995</v>
      </c>
      <c r="G3929">
        <v>-551.85</v>
      </c>
      <c r="H3929">
        <v>1965.8</v>
      </c>
      <c r="I3929">
        <v>1136.7</v>
      </c>
      <c r="J3929">
        <v>3014.96</v>
      </c>
    </row>
    <row r="3930" spans="1:10" x14ac:dyDescent="0.35">
      <c r="A3930">
        <v>3914</v>
      </c>
      <c r="B3930" s="75">
        <v>89.559700000000007</v>
      </c>
      <c r="C3930" s="75">
        <v>95.780600000000007</v>
      </c>
      <c r="D3930" s="75">
        <v>94.109200000000001</v>
      </c>
      <c r="E3930" s="75">
        <v>94.353999999999999</v>
      </c>
      <c r="F3930">
        <v>-20.130000000000003</v>
      </c>
      <c r="G3930">
        <v>3643.95</v>
      </c>
      <c r="H3930">
        <v>-2586.1999999999998</v>
      </c>
      <c r="I3930">
        <v>-973.40000000000009</v>
      </c>
      <c r="J3930">
        <v>64.2199999999998</v>
      </c>
    </row>
    <row r="3931" spans="1:10" x14ac:dyDescent="0.35">
      <c r="A3931">
        <v>3915</v>
      </c>
      <c r="B3931" s="75">
        <v>89.99</v>
      </c>
      <c r="C3931" s="75">
        <v>97.01</v>
      </c>
      <c r="D3931" s="75">
        <v>93.06</v>
      </c>
      <c r="E3931" s="75">
        <v>93.54</v>
      </c>
      <c r="F3931">
        <v>-1447.3799999999999</v>
      </c>
      <c r="G3931">
        <v>1800.6</v>
      </c>
      <c r="H3931">
        <v>-495.40000000000003</v>
      </c>
      <c r="I3931">
        <v>-160.6</v>
      </c>
      <c r="J3931">
        <v>-302.77999999999997</v>
      </c>
    </row>
    <row r="3932" spans="1:10" x14ac:dyDescent="0.35">
      <c r="A3932">
        <v>3916</v>
      </c>
      <c r="B3932" s="75">
        <v>91.003600000000006</v>
      </c>
      <c r="C3932" s="75">
        <v>98.325199999999995</v>
      </c>
      <c r="D3932" s="75">
        <v>93.938900000000004</v>
      </c>
      <c r="E3932" s="75">
        <v>93.827100000000002</v>
      </c>
      <c r="F3932">
        <v>-4785</v>
      </c>
      <c r="G3932">
        <v>-172.95</v>
      </c>
      <c r="H3932">
        <v>-2245.6</v>
      </c>
      <c r="I3932">
        <v>-446.5</v>
      </c>
      <c r="J3932">
        <v>-7650.0499999999993</v>
      </c>
    </row>
    <row r="3933" spans="1:10" x14ac:dyDescent="0.35">
      <c r="A3933">
        <v>3917</v>
      </c>
      <c r="B3933" s="75">
        <v>89.04</v>
      </c>
      <c r="C3933" s="75">
        <v>97.79</v>
      </c>
      <c r="D3933" s="75">
        <v>90.13</v>
      </c>
      <c r="E3933" s="75">
        <v>90.96</v>
      </c>
      <c r="F3933">
        <v>1691.58</v>
      </c>
      <c r="G3933">
        <v>628.65</v>
      </c>
      <c r="H3933">
        <v>5365.2</v>
      </c>
      <c r="I3933">
        <v>2419.2999999999997</v>
      </c>
      <c r="J3933">
        <v>10104.73</v>
      </c>
    </row>
    <row r="3934" spans="1:10" x14ac:dyDescent="0.35">
      <c r="A3934">
        <v>3918</v>
      </c>
      <c r="B3934" s="75">
        <v>89.132099999999994</v>
      </c>
      <c r="C3934" s="75">
        <v>100.1922</v>
      </c>
      <c r="D3934" s="75">
        <v>93.183499999999995</v>
      </c>
      <c r="E3934" s="75">
        <v>93.305599999999998</v>
      </c>
      <c r="F3934">
        <v>1390.95</v>
      </c>
      <c r="G3934">
        <v>-2973.45</v>
      </c>
      <c r="H3934">
        <v>-734.8</v>
      </c>
      <c r="I3934">
        <v>75</v>
      </c>
      <c r="J3934">
        <v>-2242.2999999999997</v>
      </c>
    </row>
    <row r="3935" spans="1:10" x14ac:dyDescent="0.35">
      <c r="A3935">
        <v>3919</v>
      </c>
      <c r="B3935" s="75">
        <v>89.35</v>
      </c>
      <c r="C3935" s="75">
        <v>97.99</v>
      </c>
      <c r="D3935" s="75">
        <v>93.81</v>
      </c>
      <c r="E3935" s="75">
        <v>92.48</v>
      </c>
      <c r="F3935">
        <v>662.64</v>
      </c>
      <c r="G3935">
        <v>333.75</v>
      </c>
      <c r="H3935">
        <v>-1988.6</v>
      </c>
      <c r="I3935">
        <v>901.1</v>
      </c>
      <c r="J3935">
        <v>-91.1099999999999</v>
      </c>
    </row>
    <row r="3936" spans="1:10" x14ac:dyDescent="0.35">
      <c r="A3936">
        <v>3920</v>
      </c>
      <c r="B3936" s="75">
        <v>89.485900000000001</v>
      </c>
      <c r="C3936" s="75">
        <v>98.165099999999995</v>
      </c>
      <c r="D3936" s="75">
        <v>92.672799999999995</v>
      </c>
      <c r="E3936" s="75">
        <v>92.118799999999993</v>
      </c>
      <c r="F3936">
        <v>223.41</v>
      </c>
      <c r="G3936">
        <v>67.2</v>
      </c>
      <c r="H3936">
        <v>286.60000000000002</v>
      </c>
      <c r="I3936">
        <v>1261.8</v>
      </c>
      <c r="J3936">
        <v>1839.01</v>
      </c>
    </row>
    <row r="3937" spans="1:10" x14ac:dyDescent="0.35">
      <c r="A3937">
        <v>3921</v>
      </c>
      <c r="B3937" s="75">
        <v>89.18</v>
      </c>
      <c r="C3937" s="75">
        <v>97.66</v>
      </c>
      <c r="D3937" s="75">
        <v>94.39</v>
      </c>
      <c r="E3937" s="75">
        <v>92.31</v>
      </c>
      <c r="F3937">
        <v>1227.27</v>
      </c>
      <c r="G3937">
        <v>832.19999999999993</v>
      </c>
      <c r="H3937">
        <v>-3144.2000000000003</v>
      </c>
      <c r="I3937">
        <v>1072.8999999999999</v>
      </c>
      <c r="J3937">
        <v>-11.830000000000609</v>
      </c>
    </row>
    <row r="3938" spans="1:10" x14ac:dyDescent="0.35">
      <c r="A3938">
        <v>3922</v>
      </c>
      <c r="B3938" s="75">
        <v>89.582999999999998</v>
      </c>
      <c r="C3938" s="75">
        <v>98.749899999999997</v>
      </c>
      <c r="D3938" s="75">
        <v>94.096800000000002</v>
      </c>
      <c r="E3938" s="75">
        <v>96.016499999999994</v>
      </c>
      <c r="F3938">
        <v>-97.02</v>
      </c>
      <c r="G3938">
        <v>-810</v>
      </c>
      <c r="H3938">
        <v>-2561.4</v>
      </c>
      <c r="I3938">
        <v>-2635.9</v>
      </c>
      <c r="J3938">
        <v>-6104.32</v>
      </c>
    </row>
    <row r="3939" spans="1:10" x14ac:dyDescent="0.35">
      <c r="A3939">
        <v>3923</v>
      </c>
      <c r="B3939" s="75">
        <v>89.13</v>
      </c>
      <c r="C3939" s="75">
        <v>97.41</v>
      </c>
      <c r="D3939" s="75">
        <v>93.61</v>
      </c>
      <c r="E3939" s="75">
        <v>93.22</v>
      </c>
      <c r="F3939">
        <v>1403.82</v>
      </c>
      <c r="G3939">
        <v>1195.95</v>
      </c>
      <c r="H3939">
        <v>-1583.2</v>
      </c>
      <c r="I3939">
        <v>161.39999999999998</v>
      </c>
      <c r="J3939">
        <v>1177.9699999999998</v>
      </c>
    </row>
    <row r="3940" spans="1:10" x14ac:dyDescent="0.35">
      <c r="A3940">
        <v>3924</v>
      </c>
      <c r="B3940" s="75">
        <v>89.816999999999993</v>
      </c>
      <c r="C3940" s="75">
        <v>99.6</v>
      </c>
      <c r="D3940" s="75">
        <v>92.656300000000002</v>
      </c>
      <c r="E3940" s="75">
        <v>94.404499999999999</v>
      </c>
      <c r="F3940">
        <v>-869.22</v>
      </c>
      <c r="G3940">
        <v>-2085.1499999999996</v>
      </c>
      <c r="H3940">
        <v>319.60000000000002</v>
      </c>
      <c r="I3940">
        <v>-1023.9</v>
      </c>
      <c r="J3940">
        <v>-3658.67</v>
      </c>
    </row>
    <row r="3941" spans="1:10" x14ac:dyDescent="0.35">
      <c r="A3941">
        <v>3925</v>
      </c>
      <c r="B3941" s="75">
        <v>89.18</v>
      </c>
      <c r="C3941" s="75">
        <v>98.58</v>
      </c>
      <c r="D3941" s="75">
        <v>93.33</v>
      </c>
      <c r="E3941" s="75">
        <v>92.54</v>
      </c>
      <c r="F3941">
        <v>1241.46</v>
      </c>
      <c r="G3941">
        <v>-562.20000000000005</v>
      </c>
      <c r="H3941">
        <v>-1030</v>
      </c>
      <c r="I3941">
        <v>842.30000000000007</v>
      </c>
      <c r="J3941">
        <v>491.56000000000006</v>
      </c>
    </row>
    <row r="3942" spans="1:10" x14ac:dyDescent="0.35">
      <c r="A3942">
        <v>3926</v>
      </c>
      <c r="B3942" s="75">
        <v>88.889600000000002</v>
      </c>
      <c r="C3942" s="75">
        <v>98.2761</v>
      </c>
      <c r="D3942" s="75">
        <v>93.908799999999999</v>
      </c>
      <c r="E3942" s="75">
        <v>94.6828</v>
      </c>
      <c r="F3942">
        <v>2191.2000000000003</v>
      </c>
      <c r="G3942">
        <v>-99.3</v>
      </c>
      <c r="H3942">
        <v>-2185.4</v>
      </c>
      <c r="I3942">
        <v>-1302.2</v>
      </c>
      <c r="J3942">
        <v>-1395.7</v>
      </c>
    </row>
    <row r="3943" spans="1:10" x14ac:dyDescent="0.35">
      <c r="A3943">
        <v>3927</v>
      </c>
      <c r="B3943" s="75">
        <v>89.34</v>
      </c>
      <c r="C3943" s="75">
        <v>98.22</v>
      </c>
      <c r="D3943" s="75">
        <v>92.1</v>
      </c>
      <c r="E3943" s="75">
        <v>90.1</v>
      </c>
      <c r="F3943">
        <v>694.65</v>
      </c>
      <c r="G3943">
        <v>-19.05</v>
      </c>
      <c r="H3943">
        <v>1430</v>
      </c>
      <c r="I3943">
        <v>3280.2</v>
      </c>
      <c r="J3943">
        <v>5385.7999999999993</v>
      </c>
    </row>
    <row r="3944" spans="1:10" x14ac:dyDescent="0.35">
      <c r="A3944">
        <v>3928</v>
      </c>
      <c r="B3944" s="75">
        <v>89.559100000000001</v>
      </c>
      <c r="C3944" s="75">
        <v>97.115399999999994</v>
      </c>
      <c r="D3944" s="75">
        <v>94.835099999999997</v>
      </c>
      <c r="E3944" s="75">
        <v>92.907799999999995</v>
      </c>
      <c r="F3944">
        <v>-18.149999999999999</v>
      </c>
      <c r="G3944">
        <v>1641.75</v>
      </c>
      <c r="H3944">
        <v>-4038.0000000000005</v>
      </c>
      <c r="I3944">
        <v>472.8</v>
      </c>
      <c r="J3944">
        <v>-1941.6000000000006</v>
      </c>
    </row>
    <row r="3945" spans="1:10" x14ac:dyDescent="0.35">
      <c r="A3945">
        <v>3929</v>
      </c>
      <c r="B3945" s="75">
        <v>89.43</v>
      </c>
      <c r="C3945" s="75">
        <v>98.52</v>
      </c>
      <c r="D3945" s="75">
        <v>91.42</v>
      </c>
      <c r="E3945" s="75">
        <v>94.25</v>
      </c>
      <c r="F3945">
        <v>421.08</v>
      </c>
      <c r="G3945">
        <v>-460.65</v>
      </c>
      <c r="H3945">
        <v>2789.4</v>
      </c>
      <c r="I3945">
        <v>-870.19999999999993</v>
      </c>
      <c r="J3945">
        <v>1879.63</v>
      </c>
    </row>
    <row r="3946" spans="1:10" x14ac:dyDescent="0.35">
      <c r="A3946">
        <v>3930</v>
      </c>
      <c r="B3946" s="75">
        <v>90.254999999999995</v>
      </c>
      <c r="C3946" s="75">
        <v>97.632800000000003</v>
      </c>
      <c r="D3946" s="75">
        <v>93.292100000000005</v>
      </c>
      <c r="E3946" s="75">
        <v>93.294600000000003</v>
      </c>
      <c r="F3946">
        <v>-2314.62</v>
      </c>
      <c r="G3946">
        <v>865.64999999999986</v>
      </c>
      <c r="H3946">
        <v>-952</v>
      </c>
      <c r="I3946">
        <v>86</v>
      </c>
      <c r="J3946">
        <v>-2314.9700000000003</v>
      </c>
    </row>
    <row r="3947" spans="1:10" x14ac:dyDescent="0.35">
      <c r="A3947">
        <v>3931</v>
      </c>
      <c r="B3947" s="75">
        <v>89.71</v>
      </c>
      <c r="C3947" s="75">
        <v>97.55</v>
      </c>
      <c r="D3947" s="75">
        <v>92.11</v>
      </c>
      <c r="E3947" s="75">
        <v>92.98</v>
      </c>
      <c r="F3947">
        <v>-523.71</v>
      </c>
      <c r="G3947">
        <v>987.45</v>
      </c>
      <c r="H3947">
        <v>1403</v>
      </c>
      <c r="I3947">
        <v>404.3</v>
      </c>
      <c r="J3947">
        <v>2271.04</v>
      </c>
    </row>
    <row r="3948" spans="1:10" x14ac:dyDescent="0.35">
      <c r="A3948">
        <v>3932</v>
      </c>
      <c r="B3948" s="75">
        <v>90.494299999999996</v>
      </c>
      <c r="C3948" s="75">
        <v>97.778199999999998</v>
      </c>
      <c r="D3948" s="75">
        <v>93.642399999999995</v>
      </c>
      <c r="E3948" s="75">
        <v>95.491900000000001</v>
      </c>
      <c r="F3948">
        <v>-3104.31</v>
      </c>
      <c r="G3948">
        <v>647.54999999999995</v>
      </c>
      <c r="H3948">
        <v>-1652.6000000000001</v>
      </c>
      <c r="I3948">
        <v>-2111.3000000000002</v>
      </c>
      <c r="J3948">
        <v>-6220.6600000000008</v>
      </c>
    </row>
    <row r="3949" spans="1:10" x14ac:dyDescent="0.35">
      <c r="A3949">
        <v>3933</v>
      </c>
      <c r="B3949" s="75">
        <v>89.04</v>
      </c>
      <c r="C3949" s="75">
        <v>99.7</v>
      </c>
      <c r="D3949" s="75">
        <v>91.19</v>
      </c>
      <c r="E3949" s="75">
        <v>94.58</v>
      </c>
      <c r="F3949">
        <v>1685.3100000000002</v>
      </c>
      <c r="G3949">
        <v>-2241.75</v>
      </c>
      <c r="H3949">
        <v>3248.8</v>
      </c>
      <c r="I3949">
        <v>-1198.5</v>
      </c>
      <c r="J3949">
        <v>1493.8600000000006</v>
      </c>
    </row>
    <row r="3950" spans="1:10" x14ac:dyDescent="0.35">
      <c r="A3950">
        <v>3934</v>
      </c>
      <c r="B3950" s="75">
        <v>89.763499999999993</v>
      </c>
      <c r="C3950" s="75">
        <v>97.360100000000003</v>
      </c>
      <c r="D3950" s="75">
        <v>91.4542</v>
      </c>
      <c r="E3950" s="75">
        <v>93.6434</v>
      </c>
      <c r="F3950">
        <v>-692.67</v>
      </c>
      <c r="G3950">
        <v>1274.7</v>
      </c>
      <c r="H3950">
        <v>2723.8</v>
      </c>
      <c r="I3950">
        <v>-262.79999999999995</v>
      </c>
      <c r="J3950">
        <v>3043.0300000000007</v>
      </c>
    </row>
    <row r="3951" spans="1:10" x14ac:dyDescent="0.35">
      <c r="A3951">
        <v>3935</v>
      </c>
      <c r="B3951" s="75">
        <v>90.01</v>
      </c>
      <c r="C3951" s="75">
        <v>97.39</v>
      </c>
      <c r="D3951" s="75">
        <v>94.95</v>
      </c>
      <c r="E3951" s="75">
        <v>93.26</v>
      </c>
      <c r="F3951">
        <v>-1514.04</v>
      </c>
      <c r="G3951">
        <v>1236.9000000000001</v>
      </c>
      <c r="H3951">
        <v>-4263</v>
      </c>
      <c r="I3951">
        <v>120.80000000000001</v>
      </c>
      <c r="J3951">
        <v>-4419.3399999999992</v>
      </c>
    </row>
    <row r="3952" spans="1:10" x14ac:dyDescent="0.35">
      <c r="A3952">
        <v>3936</v>
      </c>
      <c r="B3952" s="75">
        <v>89.041700000000006</v>
      </c>
      <c r="C3952" s="75">
        <v>98.706500000000005</v>
      </c>
      <c r="D3952" s="75">
        <v>92.464600000000004</v>
      </c>
      <c r="E3952" s="75">
        <v>90.961500000000001</v>
      </c>
      <c r="F3952">
        <v>1689.27</v>
      </c>
      <c r="G3952">
        <v>-744.9</v>
      </c>
      <c r="H3952">
        <v>703</v>
      </c>
      <c r="I3952">
        <v>2419.1</v>
      </c>
      <c r="J3952">
        <v>4066.47</v>
      </c>
    </row>
    <row r="3953" spans="1:10" x14ac:dyDescent="0.35">
      <c r="A3953">
        <v>3937</v>
      </c>
      <c r="B3953" s="75">
        <v>88.79</v>
      </c>
      <c r="C3953" s="75">
        <v>97.83</v>
      </c>
      <c r="D3953" s="75">
        <v>92.68</v>
      </c>
      <c r="E3953" s="75">
        <v>92.97</v>
      </c>
      <c r="F3953">
        <v>2508.66</v>
      </c>
      <c r="G3953">
        <v>568.95000000000005</v>
      </c>
      <c r="H3953">
        <v>272.60000000000002</v>
      </c>
      <c r="I3953">
        <v>413.6</v>
      </c>
      <c r="J3953">
        <v>3763.8099999999995</v>
      </c>
    </row>
    <row r="3954" spans="1:10" x14ac:dyDescent="0.35">
      <c r="A3954">
        <v>3938</v>
      </c>
      <c r="B3954" s="75">
        <v>89.596400000000003</v>
      </c>
      <c r="C3954" s="75">
        <v>96.610600000000005</v>
      </c>
      <c r="D3954" s="75">
        <v>92.500200000000007</v>
      </c>
      <c r="E3954" s="75">
        <v>91.143199999999993</v>
      </c>
      <c r="F3954">
        <v>-141.23999999999998</v>
      </c>
      <c r="G3954">
        <v>2398.9499999999998</v>
      </c>
      <c r="H3954">
        <v>631.80000000000007</v>
      </c>
      <c r="I3954">
        <v>2237.4</v>
      </c>
      <c r="J3954">
        <v>5126.91</v>
      </c>
    </row>
    <row r="3955" spans="1:10" x14ac:dyDescent="0.35">
      <c r="A3955">
        <v>3939</v>
      </c>
      <c r="B3955" s="75">
        <v>90.01</v>
      </c>
      <c r="C3955" s="75">
        <v>95.99</v>
      </c>
      <c r="D3955" s="75">
        <v>93.54</v>
      </c>
      <c r="E3955" s="75">
        <v>91.89</v>
      </c>
      <c r="F3955">
        <v>-1495.56</v>
      </c>
      <c r="G3955">
        <v>3324.15</v>
      </c>
      <c r="H3955">
        <v>-1450.2</v>
      </c>
      <c r="I3955">
        <v>1486.6999999999998</v>
      </c>
      <c r="J3955">
        <v>1865.09</v>
      </c>
    </row>
    <row r="3956" spans="1:10" x14ac:dyDescent="0.35">
      <c r="A3956">
        <v>3940</v>
      </c>
      <c r="B3956" s="75">
        <v>90.041799999999995</v>
      </c>
      <c r="C3956" s="75">
        <v>98.501300000000001</v>
      </c>
      <c r="D3956" s="75">
        <v>92.468599999999995</v>
      </c>
      <c r="E3956" s="75">
        <v>95.805199999999999</v>
      </c>
      <c r="F3956">
        <v>-1611.0600000000002</v>
      </c>
      <c r="G3956">
        <v>-437.09999999999997</v>
      </c>
      <c r="H3956">
        <v>695</v>
      </c>
      <c r="I3956">
        <v>-2424.6</v>
      </c>
      <c r="J3956">
        <v>-3777.76</v>
      </c>
    </row>
    <row r="3957" spans="1:10" x14ac:dyDescent="0.35">
      <c r="A3957">
        <v>3941</v>
      </c>
      <c r="B3957" s="75">
        <v>89.12</v>
      </c>
      <c r="C3957" s="75">
        <v>99.18</v>
      </c>
      <c r="D3957" s="75">
        <v>92.54</v>
      </c>
      <c r="E3957" s="75">
        <v>93.42</v>
      </c>
      <c r="F3957">
        <v>1426.92</v>
      </c>
      <c r="G3957">
        <v>-1459.8</v>
      </c>
      <c r="H3957">
        <v>555.4</v>
      </c>
      <c r="I3957">
        <v>-44</v>
      </c>
      <c r="J3957">
        <v>478.5200000000001</v>
      </c>
    </row>
    <row r="3958" spans="1:10" x14ac:dyDescent="0.35">
      <c r="A3958">
        <v>3942</v>
      </c>
      <c r="B3958" s="75">
        <v>88.450900000000004</v>
      </c>
      <c r="C3958" s="75">
        <v>98.566500000000005</v>
      </c>
      <c r="D3958" s="75">
        <v>92.483900000000006</v>
      </c>
      <c r="E3958" s="75">
        <v>92.396799999999999</v>
      </c>
      <c r="F3958">
        <v>3638.91</v>
      </c>
      <c r="G3958">
        <v>-534.9</v>
      </c>
      <c r="H3958">
        <v>664.4</v>
      </c>
      <c r="I3958">
        <v>983.8</v>
      </c>
      <c r="J3958">
        <v>4752.21</v>
      </c>
    </row>
    <row r="3959" spans="1:10" x14ac:dyDescent="0.35">
      <c r="A3959">
        <v>3943</v>
      </c>
      <c r="B3959" s="75">
        <v>89.96</v>
      </c>
      <c r="C3959" s="75">
        <v>99.09</v>
      </c>
      <c r="D3959" s="75">
        <v>93.15</v>
      </c>
      <c r="E3959" s="75">
        <v>96.46</v>
      </c>
      <c r="F3959">
        <v>-1345.74</v>
      </c>
      <c r="G3959">
        <v>-1319.55</v>
      </c>
      <c r="H3959">
        <v>-666.2</v>
      </c>
      <c r="I3959">
        <v>-3083.4</v>
      </c>
      <c r="J3959">
        <v>-6414.8899999999994</v>
      </c>
    </row>
    <row r="3960" spans="1:10" x14ac:dyDescent="0.35">
      <c r="A3960">
        <v>3944</v>
      </c>
      <c r="B3960" s="75">
        <v>89.593800000000002</v>
      </c>
      <c r="C3960" s="75">
        <v>98.242000000000004</v>
      </c>
      <c r="D3960" s="75">
        <v>91.739900000000006</v>
      </c>
      <c r="E3960" s="75">
        <v>95.352400000000003</v>
      </c>
      <c r="F3960">
        <v>-132.66</v>
      </c>
      <c r="G3960">
        <v>-48.149999999999991</v>
      </c>
      <c r="H3960">
        <v>2152.4</v>
      </c>
      <c r="I3960">
        <v>-1971.8</v>
      </c>
      <c r="J3960">
        <v>-0.20999999999980901</v>
      </c>
    </row>
    <row r="3961" spans="1:10" x14ac:dyDescent="0.35">
      <c r="A3961">
        <v>3945</v>
      </c>
      <c r="B3961" s="75">
        <v>90.08</v>
      </c>
      <c r="C3961" s="75">
        <v>97.12</v>
      </c>
      <c r="D3961" s="75">
        <v>92.46</v>
      </c>
      <c r="E3961" s="75">
        <v>93.24</v>
      </c>
      <c r="F3961">
        <v>-1743.06</v>
      </c>
      <c r="G3961">
        <v>1638.45</v>
      </c>
      <c r="H3961">
        <v>713</v>
      </c>
      <c r="I3961">
        <v>145.6</v>
      </c>
      <c r="J3961">
        <v>753.99000000000012</v>
      </c>
    </row>
    <row r="3962" spans="1:10" x14ac:dyDescent="0.35">
      <c r="A3962">
        <v>3946</v>
      </c>
      <c r="B3962" s="75">
        <v>89.844999999999999</v>
      </c>
      <c r="C3962" s="75">
        <v>97.292299999999997</v>
      </c>
      <c r="D3962" s="75">
        <v>93.371399999999994</v>
      </c>
      <c r="E3962" s="75">
        <v>92.189400000000006</v>
      </c>
      <c r="F3962">
        <v>-961.62</v>
      </c>
      <c r="G3962">
        <v>1376.3999999999999</v>
      </c>
      <c r="H3962">
        <v>-1110.6000000000001</v>
      </c>
      <c r="I3962">
        <v>1191.2</v>
      </c>
      <c r="J3962">
        <v>495.37999999999977</v>
      </c>
    </row>
    <row r="3963" spans="1:10" x14ac:dyDescent="0.35">
      <c r="A3963">
        <v>3947</v>
      </c>
      <c r="B3963" s="75">
        <v>88.81</v>
      </c>
      <c r="C3963" s="75">
        <v>97.8</v>
      </c>
      <c r="D3963" s="75">
        <v>93.09</v>
      </c>
      <c r="E3963" s="75">
        <v>96.36</v>
      </c>
      <c r="F3963">
        <v>2461.8000000000002</v>
      </c>
      <c r="G3963">
        <v>618.30000000000007</v>
      </c>
      <c r="H3963">
        <v>-549.4</v>
      </c>
      <c r="I3963">
        <v>-2981.3</v>
      </c>
      <c r="J3963">
        <v>-450.59999999999991</v>
      </c>
    </row>
    <row r="3964" spans="1:10" x14ac:dyDescent="0.35">
      <c r="A3964">
        <v>3948</v>
      </c>
      <c r="B3964" s="75">
        <v>88.920299999999997</v>
      </c>
      <c r="C3964" s="75">
        <v>97.167599999999993</v>
      </c>
      <c r="D3964" s="75">
        <v>92.8095</v>
      </c>
      <c r="E3964" s="75">
        <v>94.208799999999997</v>
      </c>
      <c r="F3964">
        <v>2089.89</v>
      </c>
      <c r="G3964">
        <v>1563.45</v>
      </c>
      <c r="H3964">
        <v>13.2</v>
      </c>
      <c r="I3964">
        <v>-828.2</v>
      </c>
      <c r="J3964">
        <v>2838.34</v>
      </c>
    </row>
    <row r="3965" spans="1:10" x14ac:dyDescent="0.35">
      <c r="A3965">
        <v>3949</v>
      </c>
      <c r="B3965" s="75">
        <v>89.49</v>
      </c>
      <c r="C3965" s="75">
        <v>97.39</v>
      </c>
      <c r="D3965" s="75">
        <v>92.42</v>
      </c>
      <c r="E3965" s="75">
        <v>93.85</v>
      </c>
      <c r="F3965">
        <v>223.41</v>
      </c>
      <c r="G3965">
        <v>1234.5</v>
      </c>
      <c r="H3965">
        <v>797.6</v>
      </c>
      <c r="I3965">
        <v>-471.9</v>
      </c>
      <c r="J3965">
        <v>1783.6100000000001</v>
      </c>
    </row>
    <row r="3966" spans="1:10" x14ac:dyDescent="0.35">
      <c r="A3966">
        <v>3950</v>
      </c>
      <c r="B3966" s="75">
        <v>89.412499999999994</v>
      </c>
      <c r="C3966" s="75">
        <v>98.008399999999995</v>
      </c>
      <c r="D3966" s="75">
        <v>91.113500000000002</v>
      </c>
      <c r="E3966" s="75">
        <v>91.609300000000005</v>
      </c>
      <c r="F3966">
        <v>465.63</v>
      </c>
      <c r="G3966">
        <v>302.25</v>
      </c>
      <c r="H3966">
        <v>3405.2</v>
      </c>
      <c r="I3966">
        <v>1771.3000000000002</v>
      </c>
      <c r="J3966">
        <v>5944.38</v>
      </c>
    </row>
    <row r="3967" spans="1:10" x14ac:dyDescent="0.35">
      <c r="A3967">
        <v>3951</v>
      </c>
      <c r="B3967" s="75">
        <v>89.2</v>
      </c>
      <c r="C3967" s="75">
        <v>97.87</v>
      </c>
      <c r="D3967" s="75">
        <v>93.35</v>
      </c>
      <c r="E3967" s="75">
        <v>96.4</v>
      </c>
      <c r="F3967">
        <v>1178.76</v>
      </c>
      <c r="G3967">
        <v>514.04999999999995</v>
      </c>
      <c r="H3967">
        <v>-1069.1999999999998</v>
      </c>
      <c r="I3967">
        <v>-3015.6</v>
      </c>
      <c r="J3967">
        <v>-2391.9899999999998</v>
      </c>
    </row>
    <row r="3968" spans="1:10" x14ac:dyDescent="0.35">
      <c r="A3968">
        <v>3952</v>
      </c>
      <c r="B3968" s="75">
        <v>89.292500000000004</v>
      </c>
      <c r="C3968" s="75">
        <v>98.154899999999998</v>
      </c>
      <c r="D3968" s="75">
        <v>91.750299999999996</v>
      </c>
      <c r="E3968" s="75">
        <v>95.014799999999994</v>
      </c>
      <c r="F3968">
        <v>861.63</v>
      </c>
      <c r="G3968">
        <v>82.5</v>
      </c>
      <c r="H3968">
        <v>2131.6000000000004</v>
      </c>
      <c r="I3968">
        <v>-1634.2</v>
      </c>
      <c r="J3968">
        <v>1441.5300000000004</v>
      </c>
    </row>
    <row r="3969" spans="1:10" x14ac:dyDescent="0.35">
      <c r="A3969">
        <v>3953</v>
      </c>
      <c r="B3969" s="75">
        <v>89.68</v>
      </c>
      <c r="C3969" s="75">
        <v>97.21</v>
      </c>
      <c r="D3969" s="75">
        <v>94.15</v>
      </c>
      <c r="E3969" s="75">
        <v>89.37</v>
      </c>
      <c r="F3969">
        <v>-410.19</v>
      </c>
      <c r="G3969">
        <v>1502.7</v>
      </c>
      <c r="H3969">
        <v>-2657.7999999999997</v>
      </c>
      <c r="I3969">
        <v>4010.3999999999996</v>
      </c>
      <c r="J3969">
        <v>2445.1099999999997</v>
      </c>
    </row>
    <row r="3970" spans="1:10" x14ac:dyDescent="0.35">
      <c r="A3970">
        <v>3954</v>
      </c>
      <c r="B3970" s="75">
        <v>89.250299999999996</v>
      </c>
      <c r="C3970" s="75">
        <v>99.443700000000007</v>
      </c>
      <c r="D3970" s="75">
        <v>92.400099999999995</v>
      </c>
      <c r="E3970" s="75">
        <v>93.464299999999994</v>
      </c>
      <c r="F3970">
        <v>1000.8900000000001</v>
      </c>
      <c r="G3970">
        <v>-1850.7</v>
      </c>
      <c r="H3970">
        <v>832</v>
      </c>
      <c r="I3970">
        <v>-83.7</v>
      </c>
      <c r="J3970">
        <v>-101.50999999999995</v>
      </c>
    </row>
    <row r="3971" spans="1:10" x14ac:dyDescent="0.35">
      <c r="A3971">
        <v>3955</v>
      </c>
      <c r="B3971" s="75">
        <v>88.97</v>
      </c>
      <c r="C3971" s="75">
        <v>98.68</v>
      </c>
      <c r="D3971" s="75">
        <v>92.22</v>
      </c>
      <c r="E3971" s="75">
        <v>95.71</v>
      </c>
      <c r="F3971">
        <v>1923.24</v>
      </c>
      <c r="G3971">
        <v>-702.45</v>
      </c>
      <c r="H3971">
        <v>1199.5999999999999</v>
      </c>
      <c r="I3971">
        <v>-2330.2999999999997</v>
      </c>
      <c r="J3971">
        <v>90.090000000000146</v>
      </c>
    </row>
    <row r="3972" spans="1:10" x14ac:dyDescent="0.35">
      <c r="A3972">
        <v>3956</v>
      </c>
      <c r="B3972" s="75">
        <v>89.122100000000003</v>
      </c>
      <c r="C3972" s="75">
        <v>97.572299999999998</v>
      </c>
      <c r="D3972" s="75">
        <v>94.034499999999994</v>
      </c>
      <c r="E3972" s="75">
        <v>92.242699999999999</v>
      </c>
      <c r="F3972">
        <v>1423.95</v>
      </c>
      <c r="G3972">
        <v>956.39999999999986</v>
      </c>
      <c r="H3972">
        <v>-2436.7999999999997</v>
      </c>
      <c r="I3972">
        <v>1137.8999999999999</v>
      </c>
      <c r="J3972">
        <v>1081.45</v>
      </c>
    </row>
    <row r="3973" spans="1:10" x14ac:dyDescent="0.35">
      <c r="A3973">
        <v>3957</v>
      </c>
      <c r="B3973" s="75">
        <v>89.6</v>
      </c>
      <c r="C3973" s="75">
        <v>98.68</v>
      </c>
      <c r="D3973" s="75">
        <v>91.56</v>
      </c>
      <c r="E3973" s="75">
        <v>94.7</v>
      </c>
      <c r="F3973">
        <v>-162.36000000000001</v>
      </c>
      <c r="G3973">
        <v>-711.75</v>
      </c>
      <c r="H3973">
        <v>2521.6</v>
      </c>
      <c r="I3973">
        <v>-1319.6000000000001</v>
      </c>
      <c r="J3973">
        <v>327.88999999999965</v>
      </c>
    </row>
    <row r="3974" spans="1:10" x14ac:dyDescent="0.35">
      <c r="A3974">
        <v>3958</v>
      </c>
      <c r="B3974" s="75">
        <v>89.2864</v>
      </c>
      <c r="C3974" s="75">
        <v>98.554599999999994</v>
      </c>
      <c r="D3974" s="75">
        <v>94.524299999999997</v>
      </c>
      <c r="E3974" s="75">
        <v>93.404700000000005</v>
      </c>
      <c r="F3974">
        <v>881.76</v>
      </c>
      <c r="G3974">
        <v>-517.04999999999995</v>
      </c>
      <c r="H3974">
        <v>-3416.4</v>
      </c>
      <c r="I3974">
        <v>-24.1</v>
      </c>
      <c r="J3974">
        <v>-3075.79</v>
      </c>
    </row>
    <row r="3975" spans="1:10" x14ac:dyDescent="0.35">
      <c r="A3975">
        <v>3959</v>
      </c>
      <c r="B3975" s="75">
        <v>90.35</v>
      </c>
      <c r="C3975" s="75">
        <v>97.74</v>
      </c>
      <c r="D3975" s="75">
        <v>92.96</v>
      </c>
      <c r="E3975" s="75">
        <v>91.42</v>
      </c>
      <c r="F3975">
        <v>-2618.88</v>
      </c>
      <c r="G3975">
        <v>702.9</v>
      </c>
      <c r="H3975">
        <v>-278.2</v>
      </c>
      <c r="I3975">
        <v>1957.8999999999999</v>
      </c>
      <c r="J3975">
        <v>-236.27999999999997</v>
      </c>
    </row>
    <row r="3976" spans="1:10" x14ac:dyDescent="0.35">
      <c r="A3976">
        <v>3960</v>
      </c>
      <c r="B3976" s="75">
        <v>89.624300000000005</v>
      </c>
      <c r="C3976" s="75">
        <v>98.830299999999994</v>
      </c>
      <c r="D3976" s="75">
        <v>92.611599999999996</v>
      </c>
      <c r="E3976" s="75">
        <v>94.757300000000001</v>
      </c>
      <c r="F3976">
        <v>-233.31</v>
      </c>
      <c r="G3976">
        <v>-930.59999999999991</v>
      </c>
      <c r="H3976">
        <v>409</v>
      </c>
      <c r="I3976">
        <v>-1376.7</v>
      </c>
      <c r="J3976">
        <v>-2131.6099999999997</v>
      </c>
    </row>
    <row r="3977" spans="1:10" x14ac:dyDescent="0.35">
      <c r="A3977">
        <v>3961</v>
      </c>
      <c r="B3977" s="75">
        <v>89.54</v>
      </c>
      <c r="C3977" s="75">
        <v>97.8</v>
      </c>
      <c r="D3977" s="75">
        <v>94.27</v>
      </c>
      <c r="E3977" s="75">
        <v>92.4</v>
      </c>
      <c r="F3977">
        <v>60.06</v>
      </c>
      <c r="G3977">
        <v>621.45000000000005</v>
      </c>
      <c r="H3977">
        <v>-2917</v>
      </c>
      <c r="I3977">
        <v>976.7</v>
      </c>
      <c r="J3977">
        <v>-1258.7899999999997</v>
      </c>
    </row>
    <row r="3978" spans="1:10" x14ac:dyDescent="0.35">
      <c r="A3978">
        <v>3962</v>
      </c>
      <c r="B3978" s="75">
        <v>88.9422</v>
      </c>
      <c r="C3978" s="75">
        <v>97.622500000000002</v>
      </c>
      <c r="D3978" s="75">
        <v>95.624700000000004</v>
      </c>
      <c r="E3978" s="75">
        <v>94.502399999999994</v>
      </c>
      <c r="F3978">
        <v>2017.6200000000001</v>
      </c>
      <c r="G3978">
        <v>881.1</v>
      </c>
      <c r="H3978">
        <v>-5617.2000000000007</v>
      </c>
      <c r="I3978">
        <v>-1121.8</v>
      </c>
      <c r="J3978">
        <v>-3840.2800000000007</v>
      </c>
    </row>
    <row r="3979" spans="1:10" x14ac:dyDescent="0.35">
      <c r="A3979">
        <v>3963</v>
      </c>
      <c r="B3979" s="75">
        <v>90.45</v>
      </c>
      <c r="C3979" s="75">
        <v>99.65</v>
      </c>
      <c r="D3979" s="75">
        <v>93.6</v>
      </c>
      <c r="E3979" s="75">
        <v>97.46</v>
      </c>
      <c r="F3979">
        <v>-2955.81</v>
      </c>
      <c r="G3979">
        <v>-2163.9</v>
      </c>
      <c r="H3979">
        <v>-1558.2</v>
      </c>
      <c r="I3979">
        <v>-4083.4</v>
      </c>
      <c r="J3979">
        <v>-10761.31</v>
      </c>
    </row>
    <row r="3980" spans="1:10" x14ac:dyDescent="0.35">
      <c r="A3980">
        <v>3964</v>
      </c>
      <c r="B3980" s="75">
        <v>89.517300000000006</v>
      </c>
      <c r="C3980" s="75">
        <v>98.421300000000002</v>
      </c>
      <c r="D3980" s="75">
        <v>91.717600000000004</v>
      </c>
      <c r="E3980" s="75">
        <v>92.9435</v>
      </c>
      <c r="F3980">
        <v>119.78999999999999</v>
      </c>
      <c r="G3980">
        <v>-317.10000000000002</v>
      </c>
      <c r="H3980">
        <v>2197</v>
      </c>
      <c r="I3980">
        <v>437.09999999999997</v>
      </c>
      <c r="J3980">
        <v>2436.79</v>
      </c>
    </row>
    <row r="3981" spans="1:10" x14ac:dyDescent="0.35">
      <c r="A3981">
        <v>3965</v>
      </c>
      <c r="B3981" s="75">
        <v>89.99</v>
      </c>
      <c r="C3981" s="75">
        <v>97.38</v>
      </c>
      <c r="D3981" s="75">
        <v>92.55</v>
      </c>
      <c r="E3981" s="75">
        <v>91.48</v>
      </c>
      <c r="F3981">
        <v>-1438.47</v>
      </c>
      <c r="G3981">
        <v>1250.4000000000001</v>
      </c>
      <c r="H3981">
        <v>524</v>
      </c>
      <c r="I3981">
        <v>1901.6</v>
      </c>
      <c r="J3981">
        <v>2237.5299999999997</v>
      </c>
    </row>
    <row r="3982" spans="1:10" x14ac:dyDescent="0.35">
      <c r="A3982">
        <v>3966</v>
      </c>
      <c r="B3982" s="75">
        <v>89.335400000000007</v>
      </c>
      <c r="C3982" s="75">
        <v>98.383600000000001</v>
      </c>
      <c r="D3982" s="75">
        <v>92.1173</v>
      </c>
      <c r="E3982" s="75">
        <v>97.982100000000003</v>
      </c>
      <c r="F3982">
        <v>720.06000000000006</v>
      </c>
      <c r="G3982">
        <v>-260.55</v>
      </c>
      <c r="H3982">
        <v>1397.6</v>
      </c>
      <c r="I3982">
        <v>-4601.5</v>
      </c>
      <c r="J3982">
        <v>-2744.3900000000003</v>
      </c>
    </row>
    <row r="3983" spans="1:10" x14ac:dyDescent="0.35">
      <c r="A3983">
        <v>3967</v>
      </c>
      <c r="B3983" s="75">
        <v>89.62</v>
      </c>
      <c r="C3983" s="75">
        <v>96.64</v>
      </c>
      <c r="D3983" s="75">
        <v>92.01</v>
      </c>
      <c r="E3983" s="75">
        <v>91.32</v>
      </c>
      <c r="F3983">
        <v>-217.14</v>
      </c>
      <c r="G3983">
        <v>2353.5</v>
      </c>
      <c r="H3983">
        <v>1612.6000000000001</v>
      </c>
      <c r="I3983">
        <v>2056.5</v>
      </c>
      <c r="J3983">
        <v>5805.46</v>
      </c>
    </row>
    <row r="3984" spans="1:10" x14ac:dyDescent="0.35">
      <c r="A3984">
        <v>3968</v>
      </c>
      <c r="B3984" s="75">
        <v>89.047300000000007</v>
      </c>
      <c r="C3984" s="75">
        <v>98.539900000000003</v>
      </c>
      <c r="D3984" s="75">
        <v>90.603899999999996</v>
      </c>
      <c r="E3984" s="75">
        <v>93.645499999999998</v>
      </c>
      <c r="F3984">
        <v>1670.79</v>
      </c>
      <c r="G3984">
        <v>-495</v>
      </c>
      <c r="H3984">
        <v>4424.4000000000005</v>
      </c>
      <c r="I3984">
        <v>-264.90000000000003</v>
      </c>
      <c r="J3984">
        <v>5335.2900000000009</v>
      </c>
    </row>
    <row r="3985" spans="1:10" x14ac:dyDescent="0.35">
      <c r="A3985">
        <v>3969</v>
      </c>
      <c r="B3985" s="75">
        <v>89.99</v>
      </c>
      <c r="C3985" s="75">
        <v>96.5</v>
      </c>
      <c r="D3985" s="75">
        <v>91.6</v>
      </c>
      <c r="E3985" s="75">
        <v>94.35</v>
      </c>
      <c r="F3985">
        <v>-1438.8</v>
      </c>
      <c r="G3985">
        <v>2564.1</v>
      </c>
      <c r="H3985">
        <v>2422.4</v>
      </c>
      <c r="I3985">
        <v>-973.40000000000009</v>
      </c>
      <c r="J3985">
        <v>2574.2999999999997</v>
      </c>
    </row>
    <row r="3986" spans="1:10" x14ac:dyDescent="0.35">
      <c r="A3986">
        <v>3970</v>
      </c>
      <c r="B3986" s="75">
        <v>89.003100000000003</v>
      </c>
      <c r="C3986" s="75">
        <v>98.666300000000007</v>
      </c>
      <c r="D3986" s="75">
        <v>91.356700000000004</v>
      </c>
      <c r="E3986" s="75">
        <v>93.4589</v>
      </c>
      <c r="F3986">
        <v>1816.6499999999999</v>
      </c>
      <c r="G3986">
        <v>-684.59999999999991</v>
      </c>
      <c r="H3986">
        <v>2918.8</v>
      </c>
      <c r="I3986">
        <v>-78.3</v>
      </c>
      <c r="J3986">
        <v>3972.55</v>
      </c>
    </row>
    <row r="3987" spans="1:10" x14ac:dyDescent="0.35">
      <c r="A3987">
        <v>3971</v>
      </c>
      <c r="B3987" s="75">
        <v>89.98</v>
      </c>
      <c r="C3987" s="75">
        <v>98.17</v>
      </c>
      <c r="D3987" s="75">
        <v>92.67</v>
      </c>
      <c r="E3987" s="75">
        <v>93.62</v>
      </c>
      <c r="F3987">
        <v>-1421.3100000000002</v>
      </c>
      <c r="G3987">
        <v>53.249999999999993</v>
      </c>
      <c r="H3987">
        <v>282.60000000000002</v>
      </c>
      <c r="I3987">
        <v>-235.1</v>
      </c>
      <c r="J3987">
        <v>-1320.56</v>
      </c>
    </row>
    <row r="3988" spans="1:10" x14ac:dyDescent="0.35">
      <c r="A3988">
        <v>3972</v>
      </c>
      <c r="B3988" s="75">
        <v>89.868300000000005</v>
      </c>
      <c r="C3988" s="75">
        <v>98.897800000000004</v>
      </c>
      <c r="D3988" s="75">
        <v>91.965100000000007</v>
      </c>
      <c r="E3988" s="75">
        <v>93.718100000000007</v>
      </c>
      <c r="F3988">
        <v>-1038.51</v>
      </c>
      <c r="G3988">
        <v>-1031.8499999999999</v>
      </c>
      <c r="H3988">
        <v>1702</v>
      </c>
      <c r="I3988">
        <v>-337.5</v>
      </c>
      <c r="J3988">
        <v>-705.85999999999967</v>
      </c>
    </row>
    <row r="3989" spans="1:10" x14ac:dyDescent="0.35">
      <c r="A3989">
        <v>3973</v>
      </c>
      <c r="B3989" s="75">
        <v>89.75</v>
      </c>
      <c r="C3989" s="75">
        <v>99.77</v>
      </c>
      <c r="D3989" s="75">
        <v>93.38</v>
      </c>
      <c r="E3989" s="75">
        <v>93.36</v>
      </c>
      <c r="F3989">
        <v>-663.95999999999992</v>
      </c>
      <c r="G3989">
        <v>-2338.0500000000002</v>
      </c>
      <c r="H3989">
        <v>-1123.3999999999999</v>
      </c>
      <c r="I3989">
        <v>20.9</v>
      </c>
      <c r="J3989">
        <v>-4104.51</v>
      </c>
    </row>
    <row r="3990" spans="1:10" x14ac:dyDescent="0.35">
      <c r="A3990">
        <v>3974</v>
      </c>
      <c r="B3990" s="75">
        <v>89.822199999999995</v>
      </c>
      <c r="C3990" s="75">
        <v>98.772999999999996</v>
      </c>
      <c r="D3990" s="75">
        <v>92.404399999999995</v>
      </c>
      <c r="E3990" s="75">
        <v>99.228800000000007</v>
      </c>
      <c r="F3990">
        <v>-886.38</v>
      </c>
      <c r="G3990">
        <v>-844.65000000000009</v>
      </c>
      <c r="H3990">
        <v>823.4</v>
      </c>
      <c r="I3990">
        <v>-5848.2000000000007</v>
      </c>
      <c r="J3990">
        <v>-6755.8300000000008</v>
      </c>
    </row>
    <row r="3991" spans="1:10" x14ac:dyDescent="0.35">
      <c r="A3991">
        <v>3975</v>
      </c>
      <c r="B3991" s="75">
        <v>89.92</v>
      </c>
      <c r="C3991" s="75">
        <v>98.82</v>
      </c>
      <c r="D3991" s="75">
        <v>93.29</v>
      </c>
      <c r="E3991" s="75">
        <v>95.44</v>
      </c>
      <c r="F3991">
        <v>-1192.95</v>
      </c>
      <c r="G3991">
        <v>-909.44999999999993</v>
      </c>
      <c r="H3991">
        <v>-942.4</v>
      </c>
      <c r="I3991">
        <v>-2057.4</v>
      </c>
      <c r="J3991">
        <v>-5102.2000000000007</v>
      </c>
    </row>
    <row r="3992" spans="1:10" x14ac:dyDescent="0.35">
      <c r="A3992">
        <v>3976</v>
      </c>
      <c r="B3992" s="75">
        <v>89.849100000000007</v>
      </c>
      <c r="C3992" s="75">
        <v>98.480900000000005</v>
      </c>
      <c r="D3992" s="75">
        <v>93.4803</v>
      </c>
      <c r="E3992" s="75">
        <v>92.297600000000003</v>
      </c>
      <c r="F3992">
        <v>-975.15</v>
      </c>
      <c r="G3992">
        <v>-406.5</v>
      </c>
      <c r="H3992">
        <v>-1328.4</v>
      </c>
      <c r="I3992">
        <v>1083</v>
      </c>
      <c r="J3992">
        <v>-1627.0500000000002</v>
      </c>
    </row>
    <row r="3993" spans="1:10" x14ac:dyDescent="0.35">
      <c r="A3993">
        <v>3977</v>
      </c>
      <c r="B3993" s="75">
        <v>89.1</v>
      </c>
      <c r="C3993" s="75">
        <v>97.6</v>
      </c>
      <c r="D3993" s="75">
        <v>92.91</v>
      </c>
      <c r="E3993" s="75">
        <v>95.31</v>
      </c>
      <c r="F3993">
        <v>1509.75</v>
      </c>
      <c r="G3993">
        <v>919.94999999999993</v>
      </c>
      <c r="H3993">
        <v>-183.4</v>
      </c>
      <c r="I3993">
        <v>-1933.4</v>
      </c>
      <c r="J3993">
        <v>312.89999999999964</v>
      </c>
    </row>
    <row r="3994" spans="1:10" x14ac:dyDescent="0.35">
      <c r="A3994">
        <v>3978</v>
      </c>
      <c r="B3994" s="75">
        <v>90.139099999999999</v>
      </c>
      <c r="C3994" s="75">
        <v>97.404600000000002</v>
      </c>
      <c r="D3994" s="75">
        <v>94.190600000000003</v>
      </c>
      <c r="E3994" s="75">
        <v>91.8018</v>
      </c>
      <c r="F3994">
        <v>-1932.15</v>
      </c>
      <c r="G3994">
        <v>1207.95</v>
      </c>
      <c r="H3994">
        <v>-2749</v>
      </c>
      <c r="I3994">
        <v>1578.8</v>
      </c>
      <c r="J3994">
        <v>-1894.3999999999999</v>
      </c>
    </row>
    <row r="3995" spans="1:10" x14ac:dyDescent="0.35">
      <c r="A3995">
        <v>3979</v>
      </c>
      <c r="B3995" s="75">
        <v>89.71</v>
      </c>
      <c r="C3995" s="75">
        <v>99.79</v>
      </c>
      <c r="D3995" s="75">
        <v>93.06</v>
      </c>
      <c r="E3995" s="75">
        <v>95.48</v>
      </c>
      <c r="F3995">
        <v>-522.06000000000006</v>
      </c>
      <c r="G3995">
        <v>-2370.15</v>
      </c>
      <c r="H3995">
        <v>-491.20000000000005</v>
      </c>
      <c r="I3995">
        <v>-2100.8000000000002</v>
      </c>
      <c r="J3995">
        <v>-5484.21</v>
      </c>
    </row>
    <row r="3996" spans="1:10" x14ac:dyDescent="0.35">
      <c r="A3996">
        <v>3980</v>
      </c>
      <c r="B3996" s="75">
        <v>90.429299999999998</v>
      </c>
      <c r="C3996" s="75">
        <v>99.300299999999993</v>
      </c>
      <c r="D3996" s="75">
        <v>93.164299999999997</v>
      </c>
      <c r="E3996" s="75">
        <v>90.864000000000004</v>
      </c>
      <c r="F3996">
        <v>-2889.81</v>
      </c>
      <c r="G3996">
        <v>-1635.6000000000001</v>
      </c>
      <c r="H3996">
        <v>-696.4</v>
      </c>
      <c r="I3996">
        <v>2516.6</v>
      </c>
      <c r="J3996">
        <v>-2705.2099999999996</v>
      </c>
    </row>
    <row r="3997" spans="1:10" x14ac:dyDescent="0.35">
      <c r="A3997">
        <v>3981</v>
      </c>
      <c r="B3997" s="75">
        <v>90.52</v>
      </c>
      <c r="C3997" s="75">
        <v>98.28</v>
      </c>
      <c r="D3997" s="75">
        <v>92.35</v>
      </c>
      <c r="E3997" s="75">
        <v>89.62</v>
      </c>
      <c r="F3997">
        <v>-3205.29</v>
      </c>
      <c r="G3997">
        <v>-107.99999999999999</v>
      </c>
      <c r="H3997">
        <v>925.6</v>
      </c>
      <c r="I3997">
        <v>3756.7</v>
      </c>
      <c r="J3997">
        <v>1369.0099999999998</v>
      </c>
    </row>
    <row r="3998" spans="1:10" x14ac:dyDescent="0.35">
      <c r="A3998">
        <v>3982</v>
      </c>
      <c r="B3998" s="75">
        <v>90.208600000000004</v>
      </c>
      <c r="C3998" s="75">
        <v>99.035899999999998</v>
      </c>
      <c r="D3998" s="75">
        <v>91.203400000000002</v>
      </c>
      <c r="E3998" s="75">
        <v>96.221800000000002</v>
      </c>
      <c r="F3998">
        <v>-2161.5</v>
      </c>
      <c r="G3998">
        <v>-1239</v>
      </c>
      <c r="H3998">
        <v>3225.4</v>
      </c>
      <c r="I3998">
        <v>-2841.2000000000003</v>
      </c>
      <c r="J3998">
        <v>-3016.3</v>
      </c>
    </row>
    <row r="3999" spans="1:10" x14ac:dyDescent="0.35">
      <c r="A3999">
        <v>3983</v>
      </c>
      <c r="B3999" s="75">
        <v>88.99</v>
      </c>
      <c r="C3999" s="75">
        <v>98.9</v>
      </c>
      <c r="D3999" s="75">
        <v>94.41</v>
      </c>
      <c r="E3999" s="75">
        <v>94.28</v>
      </c>
      <c r="F3999">
        <v>1864.8300000000002</v>
      </c>
      <c r="G3999">
        <v>-1041.45</v>
      </c>
      <c r="H3999">
        <v>-3184</v>
      </c>
      <c r="I3999">
        <v>-898.9</v>
      </c>
      <c r="J3999">
        <v>-3259.52</v>
      </c>
    </row>
    <row r="4000" spans="1:10" x14ac:dyDescent="0.35">
      <c r="A4000">
        <v>3984</v>
      </c>
      <c r="B4000" s="75">
        <v>89.562799999999996</v>
      </c>
      <c r="C4000" s="75">
        <v>98.400400000000005</v>
      </c>
      <c r="D4000" s="75">
        <v>93.323599999999999</v>
      </c>
      <c r="E4000" s="75">
        <v>93.554199999999994</v>
      </c>
      <c r="F4000">
        <v>-30.36</v>
      </c>
      <c r="G4000">
        <v>-285.75</v>
      </c>
      <c r="H4000">
        <v>-1014.9999999999999</v>
      </c>
      <c r="I4000">
        <v>-173.6</v>
      </c>
      <c r="J4000">
        <v>-1504.7099999999998</v>
      </c>
    </row>
    <row r="4001" spans="1:10" x14ac:dyDescent="0.35">
      <c r="A4001">
        <v>3985</v>
      </c>
      <c r="B4001" s="75">
        <v>89.13</v>
      </c>
      <c r="C4001" s="75">
        <v>97.63</v>
      </c>
      <c r="D4001" s="75">
        <v>92.8</v>
      </c>
      <c r="E4001" s="75">
        <v>94.29</v>
      </c>
      <c r="F4001">
        <v>1395.8999999999999</v>
      </c>
      <c r="G4001">
        <v>874.95</v>
      </c>
      <c r="H4001">
        <v>22.4</v>
      </c>
      <c r="I4001">
        <v>-908.1</v>
      </c>
      <c r="J4001">
        <v>1385.15</v>
      </c>
    </row>
    <row r="4002" spans="1:10" x14ac:dyDescent="0.35">
      <c r="A4002">
        <v>3986</v>
      </c>
      <c r="B4002" s="75">
        <v>89.981999999999999</v>
      </c>
      <c r="C4002" s="75">
        <v>99.143199999999993</v>
      </c>
      <c r="D4002" s="75">
        <v>92.165199999999999</v>
      </c>
      <c r="E4002" s="75">
        <v>91.956500000000005</v>
      </c>
      <c r="F4002">
        <v>-1413.72</v>
      </c>
      <c r="G4002">
        <v>-1399.95</v>
      </c>
      <c r="H4002">
        <v>1301.8000000000002</v>
      </c>
      <c r="I4002">
        <v>1424.1</v>
      </c>
      <c r="J4002">
        <v>-87.769999999999982</v>
      </c>
    </row>
    <row r="4003" spans="1:10" x14ac:dyDescent="0.35">
      <c r="A4003">
        <v>3987</v>
      </c>
      <c r="B4003" s="75">
        <v>90.16</v>
      </c>
      <c r="C4003" s="75">
        <v>99.44</v>
      </c>
      <c r="D4003" s="75">
        <v>93.37</v>
      </c>
      <c r="E4003" s="75">
        <v>91.79</v>
      </c>
      <c r="F4003">
        <v>-1988.2500000000002</v>
      </c>
      <c r="G4003">
        <v>-1848.75</v>
      </c>
      <c r="H4003">
        <v>-1110.4000000000001</v>
      </c>
      <c r="I4003">
        <v>1586.4</v>
      </c>
      <c r="J4003">
        <v>-3360.9999999999995</v>
      </c>
    </row>
    <row r="4004" spans="1:10" x14ac:dyDescent="0.35">
      <c r="A4004">
        <v>3988</v>
      </c>
      <c r="B4004" s="75">
        <v>90.113</v>
      </c>
      <c r="C4004" s="75">
        <v>97.695800000000006</v>
      </c>
      <c r="D4004" s="75">
        <v>91.766800000000003</v>
      </c>
      <c r="E4004" s="75">
        <v>94.236900000000006</v>
      </c>
      <c r="F4004">
        <v>-1846.02</v>
      </c>
      <c r="G4004">
        <v>771.15</v>
      </c>
      <c r="H4004">
        <v>2098.6</v>
      </c>
      <c r="I4004">
        <v>-856.3</v>
      </c>
      <c r="J4004">
        <v>167.43000000000006</v>
      </c>
    </row>
    <row r="4005" spans="1:10" x14ac:dyDescent="0.35">
      <c r="A4005">
        <v>3989</v>
      </c>
      <c r="B4005" s="75">
        <v>89.16</v>
      </c>
      <c r="C4005" s="75">
        <v>99.64</v>
      </c>
      <c r="D4005" s="75">
        <v>93.88</v>
      </c>
      <c r="E4005" s="75">
        <v>95.14</v>
      </c>
      <c r="F4005">
        <v>1289.31</v>
      </c>
      <c r="G4005">
        <v>-2141.4</v>
      </c>
      <c r="H4005">
        <v>-2125.6</v>
      </c>
      <c r="I4005">
        <v>-1763.7</v>
      </c>
      <c r="J4005">
        <v>-4741.3900000000003</v>
      </c>
    </row>
    <row r="4006" spans="1:10" x14ac:dyDescent="0.35">
      <c r="A4006">
        <v>3990</v>
      </c>
      <c r="B4006" s="75">
        <v>89.849800000000002</v>
      </c>
      <c r="C4006" s="75">
        <v>98.993399999999994</v>
      </c>
      <c r="D4006" s="75">
        <v>92.818399999999997</v>
      </c>
      <c r="E4006" s="75">
        <v>92.560299999999998</v>
      </c>
      <c r="F4006">
        <v>-977.46</v>
      </c>
      <c r="G4006">
        <v>-1175.25</v>
      </c>
      <c r="H4006">
        <v>-4.5999999999999996</v>
      </c>
      <c r="I4006">
        <v>820.30000000000007</v>
      </c>
      <c r="J4006">
        <v>-1337.0099999999998</v>
      </c>
    </row>
    <row r="4007" spans="1:10" x14ac:dyDescent="0.35">
      <c r="A4007">
        <v>3991</v>
      </c>
      <c r="B4007" s="75">
        <v>90.16</v>
      </c>
      <c r="C4007" s="75">
        <v>97.26</v>
      </c>
      <c r="D4007" s="75">
        <v>93.74</v>
      </c>
      <c r="E4007" s="75">
        <v>93.22</v>
      </c>
      <c r="F4007">
        <v>-1990.2299999999998</v>
      </c>
      <c r="G4007">
        <v>1421.55</v>
      </c>
      <c r="H4007">
        <v>-1853.8</v>
      </c>
      <c r="I4007">
        <v>158</v>
      </c>
      <c r="J4007">
        <v>-2264.4799999999996</v>
      </c>
    </row>
    <row r="4008" spans="1:10" x14ac:dyDescent="0.35">
      <c r="A4008">
        <v>3992</v>
      </c>
      <c r="B4008" s="75">
        <v>90.107299999999995</v>
      </c>
      <c r="C4008" s="75">
        <v>98.238600000000005</v>
      </c>
      <c r="D4008" s="75">
        <v>92.4435</v>
      </c>
      <c r="E4008" s="75">
        <v>93.921499999999995</v>
      </c>
      <c r="F4008">
        <v>-1827.2099999999998</v>
      </c>
      <c r="G4008">
        <v>-43.05</v>
      </c>
      <c r="H4008">
        <v>745.19999999999993</v>
      </c>
      <c r="I4008">
        <v>-540.90000000000009</v>
      </c>
      <c r="J4008">
        <v>-1665.96</v>
      </c>
    </row>
    <row r="4009" spans="1:10" x14ac:dyDescent="0.35">
      <c r="A4009">
        <v>3993</v>
      </c>
      <c r="B4009" s="75">
        <v>89.47</v>
      </c>
      <c r="C4009" s="75">
        <v>97.05</v>
      </c>
      <c r="D4009" s="75">
        <v>92.95</v>
      </c>
      <c r="E4009" s="75">
        <v>91.82</v>
      </c>
      <c r="F4009">
        <v>278.19</v>
      </c>
      <c r="G4009">
        <v>1746.9</v>
      </c>
      <c r="H4009">
        <v>-270.8</v>
      </c>
      <c r="I4009">
        <v>1555.8000000000002</v>
      </c>
      <c r="J4009">
        <v>3310.09</v>
      </c>
    </row>
    <row r="4010" spans="1:10" x14ac:dyDescent="0.35">
      <c r="A4010">
        <v>3994</v>
      </c>
      <c r="B4010" s="75">
        <v>89.863699999999994</v>
      </c>
      <c r="C4010" s="75">
        <v>97.686300000000003</v>
      </c>
      <c r="D4010" s="75">
        <v>93.017200000000003</v>
      </c>
      <c r="E4010" s="75">
        <v>93.514799999999994</v>
      </c>
      <c r="F4010">
        <v>-1023.3299999999999</v>
      </c>
      <c r="G4010">
        <v>785.4</v>
      </c>
      <c r="H4010">
        <v>-402.2</v>
      </c>
      <c r="I4010">
        <v>-134.20000000000002</v>
      </c>
      <c r="J4010">
        <v>-774.32999999999993</v>
      </c>
    </row>
    <row r="4011" spans="1:10" x14ac:dyDescent="0.35">
      <c r="A4011">
        <v>3995</v>
      </c>
      <c r="B4011" s="75">
        <v>88.57</v>
      </c>
      <c r="C4011" s="75">
        <v>98.15</v>
      </c>
      <c r="D4011" s="75">
        <v>92.64</v>
      </c>
      <c r="E4011" s="75">
        <v>92.87</v>
      </c>
      <c r="F4011">
        <v>3248.52</v>
      </c>
      <c r="G4011">
        <v>91.8</v>
      </c>
      <c r="H4011">
        <v>354.4</v>
      </c>
      <c r="I4011">
        <v>512</v>
      </c>
      <c r="J4011">
        <v>4206.72</v>
      </c>
    </row>
    <row r="4012" spans="1:10" x14ac:dyDescent="0.35">
      <c r="A4012">
        <v>3996</v>
      </c>
      <c r="B4012" s="75">
        <v>89.811199999999999</v>
      </c>
      <c r="C4012" s="75">
        <v>98.046599999999998</v>
      </c>
      <c r="D4012" s="75">
        <v>93.733900000000006</v>
      </c>
      <c r="E4012" s="75">
        <v>92.337500000000006</v>
      </c>
      <c r="F4012">
        <v>-850.08</v>
      </c>
      <c r="G4012">
        <v>244.95</v>
      </c>
      <c r="H4012">
        <v>-1835.6</v>
      </c>
      <c r="I4012">
        <v>1043.0999999999999</v>
      </c>
      <c r="J4012">
        <v>-1397.63</v>
      </c>
    </row>
    <row r="4013" spans="1:10" x14ac:dyDescent="0.35">
      <c r="A4013">
        <v>3997</v>
      </c>
      <c r="B4013" s="75">
        <v>89.38</v>
      </c>
      <c r="C4013" s="75">
        <v>97.66</v>
      </c>
      <c r="D4013" s="75">
        <v>93.37</v>
      </c>
      <c r="E4013" s="75">
        <v>95.09</v>
      </c>
      <c r="F4013">
        <v>560.01</v>
      </c>
      <c r="G4013">
        <v>823.19999999999993</v>
      </c>
      <c r="H4013">
        <v>-1111.3999999999999</v>
      </c>
      <c r="I4013">
        <v>-1708.1</v>
      </c>
      <c r="J4013">
        <v>-1436.2899999999997</v>
      </c>
    </row>
    <row r="4014" spans="1:10" x14ac:dyDescent="0.35">
      <c r="A4014">
        <v>3998</v>
      </c>
      <c r="B4014" s="75">
        <v>89.792299999999997</v>
      </c>
      <c r="C4014" s="75">
        <v>97.591499999999996</v>
      </c>
      <c r="D4014" s="75">
        <v>93.733800000000002</v>
      </c>
      <c r="E4014" s="75">
        <v>94.286500000000004</v>
      </c>
      <c r="F4014">
        <v>-787.71</v>
      </c>
      <c r="G4014">
        <v>927.59999999999991</v>
      </c>
      <c r="H4014">
        <v>-1835.3999999999999</v>
      </c>
      <c r="I4014">
        <v>-905.90000000000009</v>
      </c>
      <c r="J4014">
        <v>-2601.41</v>
      </c>
    </row>
    <row r="4015" spans="1:10" x14ac:dyDescent="0.35">
      <c r="A4015">
        <v>3999</v>
      </c>
      <c r="B4015" s="75">
        <v>89.54</v>
      </c>
      <c r="C4015" s="75">
        <v>97.95</v>
      </c>
      <c r="D4015" s="75">
        <v>90.41</v>
      </c>
      <c r="E4015" s="75">
        <v>95.73</v>
      </c>
      <c r="F4015">
        <v>44.55</v>
      </c>
      <c r="G4015">
        <v>388.04999999999995</v>
      </c>
      <c r="H4015">
        <v>4809.5999999999995</v>
      </c>
      <c r="I4015">
        <v>-2353.8000000000002</v>
      </c>
      <c r="J4015">
        <v>2888.3999999999996</v>
      </c>
    </row>
    <row r="4016" spans="1:10" x14ac:dyDescent="0.35">
      <c r="A4016">
        <v>4000</v>
      </c>
      <c r="B4016" s="75">
        <v>89.7727</v>
      </c>
      <c r="C4016" s="75">
        <v>99.584500000000006</v>
      </c>
      <c r="D4016" s="75">
        <v>91.810400000000001</v>
      </c>
      <c r="E4016" s="75">
        <v>93.595699999999994</v>
      </c>
      <c r="F4016">
        <v>-723.03</v>
      </c>
      <c r="G4016">
        <v>-2061.9</v>
      </c>
      <c r="H4016">
        <v>2011.4</v>
      </c>
      <c r="I4016">
        <v>-215.10000000000002</v>
      </c>
      <c r="J4016">
        <v>-988.63000000000022</v>
      </c>
    </row>
    <row r="4017" spans="1:10" x14ac:dyDescent="0.35">
      <c r="A4017">
        <v>4001</v>
      </c>
      <c r="B4017" s="75">
        <v>89.33</v>
      </c>
      <c r="C4017" s="75">
        <v>96.65</v>
      </c>
      <c r="D4017" s="75">
        <v>91.14</v>
      </c>
      <c r="E4017" s="75">
        <v>94.77</v>
      </c>
      <c r="F4017">
        <v>724.35</v>
      </c>
      <c r="G4017">
        <v>2332.7999999999997</v>
      </c>
      <c r="H4017">
        <v>3350.6</v>
      </c>
      <c r="I4017">
        <v>-1385.5</v>
      </c>
      <c r="J4017">
        <v>5022.25</v>
      </c>
    </row>
    <row r="4018" spans="1:10" x14ac:dyDescent="0.35">
      <c r="A4018">
        <v>4002</v>
      </c>
      <c r="B4018" s="75">
        <v>89.793800000000005</v>
      </c>
      <c r="C4018" s="75">
        <v>96.714500000000001</v>
      </c>
      <c r="D4018" s="75">
        <v>93.419399999999996</v>
      </c>
      <c r="E4018" s="75">
        <v>91.127200000000002</v>
      </c>
      <c r="F4018">
        <v>-792.66</v>
      </c>
      <c r="G4018">
        <v>2243.1</v>
      </c>
      <c r="H4018">
        <v>-1206.5999999999999</v>
      </c>
      <c r="I4018">
        <v>2253.4</v>
      </c>
      <c r="J4018">
        <v>2497.2400000000002</v>
      </c>
    </row>
    <row r="4019" spans="1:10" x14ac:dyDescent="0.35">
      <c r="A4019">
        <v>4003</v>
      </c>
      <c r="B4019" s="75">
        <v>89.01</v>
      </c>
      <c r="C4019" s="75">
        <v>98.69</v>
      </c>
      <c r="D4019" s="75">
        <v>91.84</v>
      </c>
      <c r="E4019" s="75">
        <v>92.02</v>
      </c>
      <c r="F4019">
        <v>1786.62</v>
      </c>
      <c r="G4019">
        <v>-721.5</v>
      </c>
      <c r="H4019">
        <v>1954.6</v>
      </c>
      <c r="I4019">
        <v>1357.6999999999998</v>
      </c>
      <c r="J4019">
        <v>4377.42</v>
      </c>
    </row>
    <row r="4020" spans="1:10" x14ac:dyDescent="0.35">
      <c r="A4020">
        <v>4004</v>
      </c>
      <c r="B4020" s="75">
        <v>89.911000000000001</v>
      </c>
      <c r="C4020" s="75">
        <v>99.131799999999998</v>
      </c>
      <c r="D4020" s="75">
        <v>91.613600000000005</v>
      </c>
      <c r="E4020" s="75">
        <v>95.204899999999995</v>
      </c>
      <c r="F4020">
        <v>-1179.42</v>
      </c>
      <c r="G4020">
        <v>-1382.8500000000001</v>
      </c>
      <c r="H4020">
        <v>2405</v>
      </c>
      <c r="I4020">
        <v>-1824.3</v>
      </c>
      <c r="J4020">
        <v>-1981.5700000000004</v>
      </c>
    </row>
    <row r="4021" spans="1:10" x14ac:dyDescent="0.35">
      <c r="A4021">
        <v>4005</v>
      </c>
      <c r="B4021" s="75">
        <v>89.46</v>
      </c>
      <c r="C4021" s="75">
        <v>97.69</v>
      </c>
      <c r="D4021" s="75">
        <v>92.71</v>
      </c>
      <c r="E4021" s="75">
        <v>92.32</v>
      </c>
      <c r="F4021">
        <v>320.76</v>
      </c>
      <c r="G4021">
        <v>774.3</v>
      </c>
      <c r="H4021">
        <v>215.2</v>
      </c>
      <c r="I4021">
        <v>1060</v>
      </c>
      <c r="J4021">
        <v>2370.2600000000002</v>
      </c>
    </row>
    <row r="4022" spans="1:10" x14ac:dyDescent="0.35">
      <c r="A4022">
        <v>4006</v>
      </c>
      <c r="B4022" s="75">
        <v>89.853899999999996</v>
      </c>
      <c r="C4022" s="75">
        <v>97.934600000000003</v>
      </c>
      <c r="D4022" s="75">
        <v>91.839500000000001</v>
      </c>
      <c r="E4022" s="75">
        <v>91.210899999999995</v>
      </c>
      <c r="F4022">
        <v>-990.99</v>
      </c>
      <c r="G4022">
        <v>412.95</v>
      </c>
      <c r="H4022">
        <v>1953.2</v>
      </c>
      <c r="I4022">
        <v>2169.7000000000003</v>
      </c>
      <c r="J4022">
        <v>3544.8600000000006</v>
      </c>
    </row>
    <row r="4023" spans="1:10" x14ac:dyDescent="0.35">
      <c r="A4023">
        <v>4007</v>
      </c>
      <c r="B4023" s="75">
        <v>89.87</v>
      </c>
      <c r="C4023" s="75">
        <v>97.57</v>
      </c>
      <c r="D4023" s="75">
        <v>91.7</v>
      </c>
      <c r="E4023" s="75">
        <v>90.19</v>
      </c>
      <c r="F4023">
        <v>-1031.58</v>
      </c>
      <c r="G4023">
        <v>960.15</v>
      </c>
      <c r="H4023">
        <v>2225.2000000000003</v>
      </c>
      <c r="I4023">
        <v>3187</v>
      </c>
      <c r="J4023">
        <v>5340.77</v>
      </c>
    </row>
    <row r="4024" spans="1:10" x14ac:dyDescent="0.35">
      <c r="A4024">
        <v>4008</v>
      </c>
      <c r="B4024" s="75">
        <v>89.806100000000001</v>
      </c>
      <c r="C4024" s="75">
        <v>98.790199999999999</v>
      </c>
      <c r="D4024" s="75">
        <v>93.432100000000005</v>
      </c>
      <c r="E4024" s="75">
        <v>92.671899999999994</v>
      </c>
      <c r="F4024">
        <v>-833.25</v>
      </c>
      <c r="G4024">
        <v>-870.45</v>
      </c>
      <c r="H4024">
        <v>-1232</v>
      </c>
      <c r="I4024">
        <v>708.7</v>
      </c>
      <c r="J4024">
        <v>-2227</v>
      </c>
    </row>
    <row r="4025" spans="1:10" x14ac:dyDescent="0.35">
      <c r="A4025">
        <v>4009</v>
      </c>
      <c r="B4025" s="75">
        <v>89.76</v>
      </c>
      <c r="C4025" s="75">
        <v>97.2</v>
      </c>
      <c r="D4025" s="75">
        <v>93.18</v>
      </c>
      <c r="E4025" s="75">
        <v>92.77</v>
      </c>
      <c r="F4025">
        <v>-667.92</v>
      </c>
      <c r="G4025">
        <v>1516.95</v>
      </c>
      <c r="H4025">
        <v>-732</v>
      </c>
      <c r="I4025">
        <v>609.6</v>
      </c>
      <c r="J4025">
        <v>726.63000000000011</v>
      </c>
    </row>
    <row r="4026" spans="1:10" x14ac:dyDescent="0.35">
      <c r="A4026">
        <v>4010</v>
      </c>
      <c r="B4026" s="75">
        <v>89.975999999999999</v>
      </c>
      <c r="C4026" s="75">
        <v>96.803799999999995</v>
      </c>
      <c r="D4026" s="75">
        <v>91.896199999999993</v>
      </c>
      <c r="E4026" s="75">
        <v>92.385099999999994</v>
      </c>
      <c r="F4026">
        <v>-1393.92</v>
      </c>
      <c r="G4026">
        <v>2109.1499999999996</v>
      </c>
      <c r="H4026">
        <v>1839.8000000000002</v>
      </c>
      <c r="I4026">
        <v>995.5</v>
      </c>
      <c r="J4026">
        <v>3550.5299999999997</v>
      </c>
    </row>
    <row r="4027" spans="1:10" x14ac:dyDescent="0.35">
      <c r="A4027">
        <v>4011</v>
      </c>
      <c r="B4027" s="75">
        <v>90.68</v>
      </c>
      <c r="C4027" s="75">
        <v>98.28</v>
      </c>
      <c r="D4027" s="75">
        <v>94.25</v>
      </c>
      <c r="E4027" s="75">
        <v>92.68</v>
      </c>
      <c r="F4027">
        <v>-3700.95</v>
      </c>
      <c r="G4027">
        <v>-106.64999999999999</v>
      </c>
      <c r="H4027">
        <v>-2858</v>
      </c>
      <c r="I4027">
        <v>696.8</v>
      </c>
      <c r="J4027">
        <v>-5968.8</v>
      </c>
    </row>
    <row r="4028" spans="1:10" x14ac:dyDescent="0.35">
      <c r="A4028">
        <v>4012</v>
      </c>
      <c r="B4028" s="75">
        <v>90.205299999999994</v>
      </c>
      <c r="C4028" s="75">
        <v>96.590599999999995</v>
      </c>
      <c r="D4028" s="75">
        <v>91.400099999999995</v>
      </c>
      <c r="E4028" s="75">
        <v>91.669300000000007</v>
      </c>
      <c r="F4028">
        <v>-2150.6099999999997</v>
      </c>
      <c r="G4028">
        <v>2428.9499999999998</v>
      </c>
      <c r="H4028">
        <v>2832</v>
      </c>
      <c r="I4028">
        <v>1711.3</v>
      </c>
      <c r="J4028">
        <v>4821.6400000000003</v>
      </c>
    </row>
    <row r="4029" spans="1:10" x14ac:dyDescent="0.35">
      <c r="A4029">
        <v>4013</v>
      </c>
      <c r="B4029" s="75">
        <v>89.75</v>
      </c>
      <c r="C4029" s="75">
        <v>97.64</v>
      </c>
      <c r="D4029" s="75">
        <v>92.7</v>
      </c>
      <c r="E4029" s="75">
        <v>92.56</v>
      </c>
      <c r="F4029">
        <v>-636.9</v>
      </c>
      <c r="G4029">
        <v>858.9</v>
      </c>
      <c r="H4029">
        <v>242</v>
      </c>
      <c r="I4029">
        <v>822</v>
      </c>
      <c r="J4029">
        <v>1286</v>
      </c>
    </row>
    <row r="4030" spans="1:10" x14ac:dyDescent="0.35">
      <c r="A4030">
        <v>4014</v>
      </c>
      <c r="B4030" s="75">
        <v>89.902100000000004</v>
      </c>
      <c r="C4030" s="75">
        <v>97.043499999999995</v>
      </c>
      <c r="D4030" s="75">
        <v>89.924700000000001</v>
      </c>
      <c r="E4030" s="75">
        <v>92.513199999999998</v>
      </c>
      <c r="F4030">
        <v>-1150.05</v>
      </c>
      <c r="G4030">
        <v>1749.6000000000001</v>
      </c>
      <c r="H4030">
        <v>5782.8</v>
      </c>
      <c r="I4030">
        <v>867.4</v>
      </c>
      <c r="J4030">
        <v>7249.75</v>
      </c>
    </row>
    <row r="4031" spans="1:10" x14ac:dyDescent="0.35">
      <c r="A4031">
        <v>4015</v>
      </c>
      <c r="B4031" s="75">
        <v>89.77</v>
      </c>
      <c r="C4031" s="75">
        <v>97.57</v>
      </c>
      <c r="D4031" s="75">
        <v>93.51</v>
      </c>
      <c r="E4031" s="75">
        <v>97.8</v>
      </c>
      <c r="F4031">
        <v>-726.99</v>
      </c>
      <c r="G4031">
        <v>964.2</v>
      </c>
      <c r="H4031">
        <v>-1390.8</v>
      </c>
      <c r="I4031">
        <v>-4419.2</v>
      </c>
      <c r="J4031">
        <v>-5572.79</v>
      </c>
    </row>
    <row r="4032" spans="1:10" x14ac:dyDescent="0.35">
      <c r="A4032">
        <v>4016</v>
      </c>
      <c r="B4032" s="75">
        <v>89.156999999999996</v>
      </c>
      <c r="C4032" s="75">
        <v>98.018799999999999</v>
      </c>
      <c r="D4032" s="75">
        <v>94.550600000000003</v>
      </c>
      <c r="E4032" s="75">
        <v>93.864500000000007</v>
      </c>
      <c r="F4032">
        <v>1308.78</v>
      </c>
      <c r="G4032">
        <v>286.64999999999998</v>
      </c>
      <c r="H4032">
        <v>-3469</v>
      </c>
      <c r="I4032">
        <v>-483.9</v>
      </c>
      <c r="J4032">
        <v>-2357.4700000000003</v>
      </c>
    </row>
    <row r="4033" spans="1:10" x14ac:dyDescent="0.35">
      <c r="A4033">
        <v>4017</v>
      </c>
      <c r="B4033" s="75">
        <v>90.32</v>
      </c>
      <c r="C4033" s="75">
        <v>98.57</v>
      </c>
      <c r="D4033" s="75">
        <v>92.79</v>
      </c>
      <c r="E4033" s="75">
        <v>95.74</v>
      </c>
      <c r="F4033">
        <v>-2513.61</v>
      </c>
      <c r="G4033">
        <v>-536.1</v>
      </c>
      <c r="H4033">
        <v>45.199999999999996</v>
      </c>
      <c r="I4033">
        <v>-2358.6</v>
      </c>
      <c r="J4033">
        <v>-5363.1100000000006</v>
      </c>
    </row>
    <row r="4034" spans="1:10" x14ac:dyDescent="0.35">
      <c r="A4034">
        <v>4018</v>
      </c>
      <c r="B4034" s="75">
        <v>90.026200000000003</v>
      </c>
      <c r="C4034" s="75">
        <v>98.573599999999999</v>
      </c>
      <c r="D4034" s="75">
        <v>93.847099999999998</v>
      </c>
      <c r="E4034" s="75">
        <v>95.145799999999994</v>
      </c>
      <c r="F4034">
        <v>-1559.5800000000002</v>
      </c>
      <c r="G4034">
        <v>-545.55000000000007</v>
      </c>
      <c r="H4034">
        <v>-2062</v>
      </c>
      <c r="I4034">
        <v>-1765.2</v>
      </c>
      <c r="J4034">
        <v>-5932.33</v>
      </c>
    </row>
    <row r="4035" spans="1:10" x14ac:dyDescent="0.35">
      <c r="A4035">
        <v>4019</v>
      </c>
      <c r="B4035" s="75">
        <v>90.39</v>
      </c>
      <c r="C4035" s="75">
        <v>98.01</v>
      </c>
      <c r="D4035" s="75">
        <v>91.92</v>
      </c>
      <c r="E4035" s="75">
        <v>94.72</v>
      </c>
      <c r="F4035">
        <v>-2752.86</v>
      </c>
      <c r="G4035">
        <v>302.55</v>
      </c>
      <c r="H4035">
        <v>1801.8000000000002</v>
      </c>
      <c r="I4035">
        <v>-1342.4</v>
      </c>
      <c r="J4035">
        <v>-1990.9099999999999</v>
      </c>
    </row>
    <row r="4036" spans="1:10" x14ac:dyDescent="0.35">
      <c r="A4036">
        <v>4020</v>
      </c>
      <c r="B4036" s="75">
        <v>89.625900000000001</v>
      </c>
      <c r="C4036" s="75">
        <v>97.905600000000007</v>
      </c>
      <c r="D4036" s="75">
        <v>93.254999999999995</v>
      </c>
      <c r="E4036" s="75">
        <v>90.965400000000002</v>
      </c>
      <c r="F4036">
        <v>-238.59</v>
      </c>
      <c r="G4036">
        <v>456.45000000000005</v>
      </c>
      <c r="H4036">
        <v>-877.80000000000007</v>
      </c>
      <c r="I4036">
        <v>2415.1999999999998</v>
      </c>
      <c r="J4036">
        <v>1755.2599999999998</v>
      </c>
    </row>
    <row r="4037" spans="1:10" x14ac:dyDescent="0.35">
      <c r="A4037">
        <v>4021</v>
      </c>
      <c r="B4037" s="75">
        <v>90.1</v>
      </c>
      <c r="C4037" s="75">
        <v>98.31</v>
      </c>
      <c r="D4037" s="75">
        <v>92.72</v>
      </c>
      <c r="E4037" s="75">
        <v>92.52</v>
      </c>
      <c r="F4037">
        <v>-1810.3799999999999</v>
      </c>
      <c r="G4037">
        <v>-146.69999999999999</v>
      </c>
      <c r="H4037">
        <v>184.6</v>
      </c>
      <c r="I4037">
        <v>855.7</v>
      </c>
      <c r="J4037">
        <v>-916.78</v>
      </c>
    </row>
    <row r="4038" spans="1:10" x14ac:dyDescent="0.35">
      <c r="A4038">
        <v>4022</v>
      </c>
      <c r="B4038" s="75">
        <v>89.332999999999998</v>
      </c>
      <c r="C4038" s="75">
        <v>98.590100000000007</v>
      </c>
      <c r="D4038" s="75">
        <v>93.043000000000006</v>
      </c>
      <c r="E4038" s="75">
        <v>93.965199999999996</v>
      </c>
      <c r="F4038">
        <v>727.98</v>
      </c>
      <c r="G4038">
        <v>-570.29999999999995</v>
      </c>
      <c r="H4038">
        <v>-453.79999999999995</v>
      </c>
      <c r="I4038">
        <v>-584.6</v>
      </c>
      <c r="J4038">
        <v>-880.71999999999991</v>
      </c>
    </row>
    <row r="4039" spans="1:10" x14ac:dyDescent="0.35">
      <c r="A4039">
        <v>4023</v>
      </c>
      <c r="B4039" s="75">
        <v>88.5</v>
      </c>
      <c r="C4039" s="75">
        <v>97.45</v>
      </c>
      <c r="D4039" s="75">
        <v>93.07</v>
      </c>
      <c r="E4039" s="75">
        <v>93.98</v>
      </c>
      <c r="F4039">
        <v>3480.18</v>
      </c>
      <c r="G4039">
        <v>1136.8500000000001</v>
      </c>
      <c r="H4039">
        <v>-504.6</v>
      </c>
      <c r="I4039">
        <v>-595</v>
      </c>
      <c r="J4039">
        <v>3517.4299999999994</v>
      </c>
    </row>
    <row r="4040" spans="1:10" x14ac:dyDescent="0.35">
      <c r="A4040">
        <v>4024</v>
      </c>
      <c r="B4040" s="75">
        <v>90.541600000000003</v>
      </c>
      <c r="C4040" s="75">
        <v>96.541300000000007</v>
      </c>
      <c r="D4040" s="75">
        <v>94.342299999999994</v>
      </c>
      <c r="E4040" s="75">
        <v>90.264499999999998</v>
      </c>
      <c r="F4040">
        <v>-3260.4</v>
      </c>
      <c r="G4040">
        <v>2502.9</v>
      </c>
      <c r="H4040">
        <v>-3052.4</v>
      </c>
      <c r="I4040">
        <v>3116.1</v>
      </c>
      <c r="J4040">
        <v>-693.80000000000018</v>
      </c>
    </row>
    <row r="4041" spans="1:10" x14ac:dyDescent="0.35">
      <c r="A4041">
        <v>4025</v>
      </c>
      <c r="B4041" s="75">
        <v>90.17</v>
      </c>
      <c r="C4041" s="75">
        <v>97.06</v>
      </c>
      <c r="D4041" s="75">
        <v>93.02</v>
      </c>
      <c r="E4041" s="75">
        <v>95.82</v>
      </c>
      <c r="F4041">
        <v>-2036.76</v>
      </c>
      <c r="G4041">
        <v>1726.65</v>
      </c>
      <c r="H4041">
        <v>-400</v>
      </c>
      <c r="I4041">
        <v>-2438.8000000000002</v>
      </c>
      <c r="J4041">
        <v>-3148.91</v>
      </c>
    </row>
    <row r="4042" spans="1:10" x14ac:dyDescent="0.35">
      <c r="A4042">
        <v>4026</v>
      </c>
      <c r="B4042" s="75">
        <v>88.327399999999997</v>
      </c>
      <c r="C4042" s="75">
        <v>99.838499999999996</v>
      </c>
      <c r="D4042" s="75">
        <v>93.778300000000002</v>
      </c>
      <c r="E4042" s="75">
        <v>95.535700000000006</v>
      </c>
      <c r="F4042">
        <v>4046.46</v>
      </c>
      <c r="G4042">
        <v>-2442.9</v>
      </c>
      <c r="H4042">
        <v>-1924.4</v>
      </c>
      <c r="I4042">
        <v>-2155.1</v>
      </c>
      <c r="J4042">
        <v>-2475.94</v>
      </c>
    </row>
    <row r="4043" spans="1:10" x14ac:dyDescent="0.35">
      <c r="A4043">
        <v>4027</v>
      </c>
      <c r="B4043" s="75">
        <v>89.42</v>
      </c>
      <c r="C4043" s="75">
        <v>97.11</v>
      </c>
      <c r="D4043" s="75">
        <v>93.16</v>
      </c>
      <c r="E4043" s="75">
        <v>91.11</v>
      </c>
      <c r="F4043">
        <v>453.41999999999996</v>
      </c>
      <c r="G4043">
        <v>1655.8500000000001</v>
      </c>
      <c r="H4043">
        <v>-694</v>
      </c>
      <c r="I4043">
        <v>2274.4</v>
      </c>
      <c r="J4043">
        <v>3689.67</v>
      </c>
    </row>
    <row r="4044" spans="1:10" x14ac:dyDescent="0.35">
      <c r="A4044">
        <v>4028</v>
      </c>
      <c r="B4044" s="75">
        <v>89.018500000000003</v>
      </c>
      <c r="C4044" s="75">
        <v>97.548199999999994</v>
      </c>
      <c r="D4044" s="75">
        <v>90.236999999999995</v>
      </c>
      <c r="E4044" s="75">
        <v>95.201599999999999</v>
      </c>
      <c r="F4044">
        <v>1765.8300000000002</v>
      </c>
      <c r="G4044">
        <v>992.55</v>
      </c>
      <c r="H4044">
        <v>5158.2</v>
      </c>
      <c r="I4044">
        <v>-1821</v>
      </c>
      <c r="J4044">
        <v>6095.58</v>
      </c>
    </row>
    <row r="4045" spans="1:10" x14ac:dyDescent="0.35">
      <c r="A4045">
        <v>4029</v>
      </c>
      <c r="B4045" s="75">
        <v>90.39</v>
      </c>
      <c r="C4045" s="75">
        <v>97.01</v>
      </c>
      <c r="D4045" s="75">
        <v>92.46</v>
      </c>
      <c r="E4045" s="75">
        <v>90.94</v>
      </c>
      <c r="F4045">
        <v>-2759.1299999999997</v>
      </c>
      <c r="G4045">
        <v>1799.7</v>
      </c>
      <c r="H4045">
        <v>708.4</v>
      </c>
      <c r="I4045">
        <v>2444.9</v>
      </c>
      <c r="J4045">
        <v>2193.8700000000003</v>
      </c>
    </row>
    <row r="4046" spans="1:10" x14ac:dyDescent="0.35">
      <c r="A4046">
        <v>4030</v>
      </c>
      <c r="B4046" s="75">
        <v>90.633200000000002</v>
      </c>
      <c r="C4046" s="75">
        <v>96.434299999999993</v>
      </c>
      <c r="D4046" s="75">
        <v>93.587800000000001</v>
      </c>
      <c r="E4046" s="75">
        <v>91.754199999999997</v>
      </c>
      <c r="F4046">
        <v>-3562.68</v>
      </c>
      <c r="G4046">
        <v>2663.4</v>
      </c>
      <c r="H4046">
        <v>-1543.4</v>
      </c>
      <c r="I4046">
        <v>1626.4</v>
      </c>
      <c r="J4046">
        <v>-816.27999999999975</v>
      </c>
    </row>
    <row r="4047" spans="1:10" x14ac:dyDescent="0.35">
      <c r="A4047">
        <v>4031</v>
      </c>
      <c r="B4047" s="75">
        <v>90.05</v>
      </c>
      <c r="C4047" s="75">
        <v>96.7</v>
      </c>
      <c r="D4047" s="75">
        <v>94.28</v>
      </c>
      <c r="E4047" s="75">
        <v>94.99</v>
      </c>
      <c r="F4047">
        <v>-1647.36</v>
      </c>
      <c r="G4047">
        <v>2257.5</v>
      </c>
      <c r="H4047">
        <v>-2932.4</v>
      </c>
      <c r="I4047">
        <v>-1607.9</v>
      </c>
      <c r="J4047">
        <v>-3930.1600000000003</v>
      </c>
    </row>
    <row r="4048" spans="1:10" x14ac:dyDescent="0.35">
      <c r="A4048">
        <v>4032</v>
      </c>
      <c r="B4048" s="75">
        <v>89.591399999999993</v>
      </c>
      <c r="C4048" s="75">
        <v>99.41</v>
      </c>
      <c r="D4048" s="75">
        <v>94.174000000000007</v>
      </c>
      <c r="E4048" s="75">
        <v>91.356899999999996</v>
      </c>
      <c r="F4048">
        <v>-124.74</v>
      </c>
      <c r="G4048">
        <v>-1800.1499999999999</v>
      </c>
      <c r="H4048">
        <v>-2715.8</v>
      </c>
      <c r="I4048">
        <v>2023.6999999999998</v>
      </c>
      <c r="J4048">
        <v>-2616.9900000000007</v>
      </c>
    </row>
    <row r="4049" spans="1:10" x14ac:dyDescent="0.35">
      <c r="A4049">
        <v>4033</v>
      </c>
      <c r="B4049" s="75">
        <v>91.21</v>
      </c>
      <c r="C4049" s="75">
        <v>99.57</v>
      </c>
      <c r="D4049" s="75">
        <v>93.86</v>
      </c>
      <c r="E4049" s="75">
        <v>93.86</v>
      </c>
      <c r="F4049">
        <v>-5482.29</v>
      </c>
      <c r="G4049">
        <v>-2035.2</v>
      </c>
      <c r="H4049">
        <v>-2082.6</v>
      </c>
      <c r="I4049">
        <v>-482.59999999999997</v>
      </c>
      <c r="J4049">
        <v>-10082.69</v>
      </c>
    </row>
    <row r="4050" spans="1:10" x14ac:dyDescent="0.35">
      <c r="A4050">
        <v>4034</v>
      </c>
      <c r="B4050" s="75">
        <v>88.8767</v>
      </c>
      <c r="C4050" s="75">
        <v>97.952799999999996</v>
      </c>
      <c r="D4050" s="75">
        <v>92.083500000000001</v>
      </c>
      <c r="E4050" s="75">
        <v>93.393100000000004</v>
      </c>
      <c r="F4050">
        <v>2233.77</v>
      </c>
      <c r="G4050">
        <v>385.65</v>
      </c>
      <c r="H4050">
        <v>1465.2</v>
      </c>
      <c r="I4050">
        <v>-12.5</v>
      </c>
      <c r="J4050">
        <v>4072.12</v>
      </c>
    </row>
    <row r="4051" spans="1:10" x14ac:dyDescent="0.35">
      <c r="A4051">
        <v>4035</v>
      </c>
      <c r="B4051" s="75">
        <v>90</v>
      </c>
      <c r="C4051" s="75">
        <v>98.6</v>
      </c>
      <c r="D4051" s="75">
        <v>92.56</v>
      </c>
      <c r="E4051" s="75">
        <v>97.43</v>
      </c>
      <c r="F4051">
        <v>-1469.49</v>
      </c>
      <c r="G4051">
        <v>-579.44999999999993</v>
      </c>
      <c r="H4051">
        <v>519.20000000000005</v>
      </c>
      <c r="I4051">
        <v>-4052.2999999999997</v>
      </c>
      <c r="J4051">
        <v>-5582.04</v>
      </c>
    </row>
    <row r="4052" spans="1:10" x14ac:dyDescent="0.35">
      <c r="A4052">
        <v>4036</v>
      </c>
      <c r="B4052" s="75">
        <v>90.031199999999998</v>
      </c>
      <c r="C4052" s="75">
        <v>100.5694</v>
      </c>
      <c r="D4052" s="75">
        <v>91.257099999999994</v>
      </c>
      <c r="E4052" s="75">
        <v>92.5625</v>
      </c>
      <c r="F4052">
        <v>-1576.0800000000002</v>
      </c>
      <c r="G4052">
        <v>-3539.2500000000005</v>
      </c>
      <c r="H4052">
        <v>3118</v>
      </c>
      <c r="I4052">
        <v>818.1</v>
      </c>
      <c r="J4052">
        <v>-1179.2300000000009</v>
      </c>
    </row>
    <row r="4053" spans="1:10" x14ac:dyDescent="0.35">
      <c r="A4053">
        <v>4037</v>
      </c>
      <c r="B4053" s="75">
        <v>89.38</v>
      </c>
      <c r="C4053" s="75">
        <v>99.89</v>
      </c>
      <c r="D4053" s="75">
        <v>91.08</v>
      </c>
      <c r="E4053" s="75">
        <v>92.92</v>
      </c>
      <c r="F4053">
        <v>557.70000000000005</v>
      </c>
      <c r="G4053">
        <v>-2523.9</v>
      </c>
      <c r="H4053">
        <v>3467.6</v>
      </c>
      <c r="I4053">
        <v>462.2</v>
      </c>
      <c r="J4053">
        <v>1963.6</v>
      </c>
    </row>
    <row r="4054" spans="1:10" x14ac:dyDescent="0.35">
      <c r="A4054">
        <v>4038</v>
      </c>
      <c r="B4054" s="75">
        <v>89.6023</v>
      </c>
      <c r="C4054" s="75">
        <v>97.470600000000005</v>
      </c>
      <c r="D4054" s="75">
        <v>93.443899999999999</v>
      </c>
      <c r="E4054" s="75">
        <v>94.922600000000003</v>
      </c>
      <c r="F4054">
        <v>-160.71</v>
      </c>
      <c r="G4054">
        <v>1108.95</v>
      </c>
      <c r="H4054">
        <v>-1255.6000000000001</v>
      </c>
      <c r="I4054">
        <v>-1542</v>
      </c>
      <c r="J4054">
        <v>-1849.3600000000001</v>
      </c>
    </row>
    <row r="4055" spans="1:10" x14ac:dyDescent="0.35">
      <c r="A4055">
        <v>4039</v>
      </c>
      <c r="B4055" s="75">
        <v>88.6</v>
      </c>
      <c r="C4055" s="75">
        <v>96.83</v>
      </c>
      <c r="D4055" s="75">
        <v>93.36</v>
      </c>
      <c r="E4055" s="75">
        <v>91.62</v>
      </c>
      <c r="F4055">
        <v>3152.82</v>
      </c>
      <c r="G4055">
        <v>2067.75</v>
      </c>
      <c r="H4055">
        <v>-1083.5999999999999</v>
      </c>
      <c r="I4055">
        <v>1763.3000000000002</v>
      </c>
      <c r="J4055">
        <v>5900.2699999999995</v>
      </c>
    </row>
    <row r="4056" spans="1:10" x14ac:dyDescent="0.35">
      <c r="A4056">
        <v>4040</v>
      </c>
      <c r="B4056" s="75">
        <v>89.423000000000002</v>
      </c>
      <c r="C4056" s="75">
        <v>97.877300000000005</v>
      </c>
      <c r="D4056" s="75">
        <v>93.477900000000005</v>
      </c>
      <c r="E4056" s="75">
        <v>93.698499999999996</v>
      </c>
      <c r="F4056">
        <v>430.97999999999996</v>
      </c>
      <c r="G4056">
        <v>498.90000000000003</v>
      </c>
      <c r="H4056">
        <v>-1323.6000000000001</v>
      </c>
      <c r="I4056">
        <v>-317.90000000000003</v>
      </c>
      <c r="J4056">
        <v>-711.62000000000012</v>
      </c>
    </row>
    <row r="4057" spans="1:10" x14ac:dyDescent="0.35">
      <c r="A4057">
        <v>4041</v>
      </c>
      <c r="B4057" s="75">
        <v>89.14</v>
      </c>
      <c r="C4057" s="75">
        <v>97.54</v>
      </c>
      <c r="D4057" s="75">
        <v>93.14</v>
      </c>
      <c r="E4057" s="75">
        <v>94.36</v>
      </c>
      <c r="F4057">
        <v>1376.1</v>
      </c>
      <c r="G4057">
        <v>1010.4</v>
      </c>
      <c r="H4057">
        <v>-637.80000000000007</v>
      </c>
      <c r="I4057">
        <v>-978.40000000000009</v>
      </c>
      <c r="J4057">
        <v>770.29999999999973</v>
      </c>
    </row>
    <row r="4058" spans="1:10" x14ac:dyDescent="0.35">
      <c r="A4058">
        <v>4042</v>
      </c>
      <c r="B4058" s="75">
        <v>90.698899999999995</v>
      </c>
      <c r="C4058" s="75">
        <v>98.747299999999996</v>
      </c>
      <c r="D4058" s="75">
        <v>92.062799999999996</v>
      </c>
      <c r="E4058" s="75">
        <v>91.697000000000003</v>
      </c>
      <c r="F4058">
        <v>-3779.49</v>
      </c>
      <c r="G4058">
        <v>-806.1</v>
      </c>
      <c r="H4058">
        <v>1506.6</v>
      </c>
      <c r="I4058">
        <v>1683.6</v>
      </c>
      <c r="J4058">
        <v>-1395.3900000000003</v>
      </c>
    </row>
    <row r="4059" spans="1:10" x14ac:dyDescent="0.35">
      <c r="A4059">
        <v>4043</v>
      </c>
      <c r="B4059" s="75">
        <v>89.85</v>
      </c>
      <c r="C4059" s="75">
        <v>97.66</v>
      </c>
      <c r="D4059" s="75">
        <v>94.12</v>
      </c>
      <c r="E4059" s="75">
        <v>92.85</v>
      </c>
      <c r="F4059">
        <v>-970.19999999999993</v>
      </c>
      <c r="G4059">
        <v>832.05</v>
      </c>
      <c r="H4059">
        <v>-2612.2000000000003</v>
      </c>
      <c r="I4059">
        <v>534.90000000000009</v>
      </c>
      <c r="J4059">
        <v>-2215.4500000000003</v>
      </c>
    </row>
    <row r="4060" spans="1:10" x14ac:dyDescent="0.35">
      <c r="A4060">
        <v>4044</v>
      </c>
      <c r="B4060" s="75">
        <v>90.512900000000002</v>
      </c>
      <c r="C4060" s="75">
        <v>96.821200000000005</v>
      </c>
      <c r="D4060" s="75">
        <v>93.988399999999999</v>
      </c>
      <c r="E4060" s="75">
        <v>93.2029</v>
      </c>
      <c r="F4060">
        <v>-3165.69</v>
      </c>
      <c r="G4060">
        <v>2083.0500000000002</v>
      </c>
      <c r="H4060">
        <v>-2344.6</v>
      </c>
      <c r="I4060">
        <v>177.7</v>
      </c>
      <c r="J4060">
        <v>-3249.54</v>
      </c>
    </row>
    <row r="4061" spans="1:10" x14ac:dyDescent="0.35">
      <c r="A4061">
        <v>4045</v>
      </c>
      <c r="B4061" s="75">
        <v>89.65</v>
      </c>
      <c r="C4061" s="75">
        <v>99.3</v>
      </c>
      <c r="D4061" s="75">
        <v>93.97</v>
      </c>
      <c r="E4061" s="75">
        <v>93.5</v>
      </c>
      <c r="F4061">
        <v>-326.37</v>
      </c>
      <c r="G4061">
        <v>-1633.6499999999999</v>
      </c>
      <c r="H4061">
        <v>-2314.1999999999998</v>
      </c>
      <c r="I4061">
        <v>-119.7</v>
      </c>
      <c r="J4061">
        <v>-4393.9199999999992</v>
      </c>
    </row>
    <row r="4062" spans="1:10" x14ac:dyDescent="0.35">
      <c r="A4062">
        <v>4046</v>
      </c>
      <c r="B4062" s="75">
        <v>89.765100000000004</v>
      </c>
      <c r="C4062" s="75">
        <v>99.106899999999996</v>
      </c>
      <c r="D4062" s="75">
        <v>93.739800000000002</v>
      </c>
      <c r="E4062" s="75">
        <v>91.726900000000001</v>
      </c>
      <c r="F4062">
        <v>-697.94999999999993</v>
      </c>
      <c r="G4062">
        <v>-1345.5</v>
      </c>
      <c r="H4062">
        <v>-1847.3999999999999</v>
      </c>
      <c r="I4062">
        <v>1653.7</v>
      </c>
      <c r="J4062">
        <v>-2237.1499999999996</v>
      </c>
    </row>
    <row r="4063" spans="1:10" x14ac:dyDescent="0.35">
      <c r="A4063">
        <v>4047</v>
      </c>
      <c r="B4063" s="75">
        <v>90.41</v>
      </c>
      <c r="C4063" s="75">
        <v>97.97</v>
      </c>
      <c r="D4063" s="75">
        <v>93.18</v>
      </c>
      <c r="E4063" s="75">
        <v>92.37</v>
      </c>
      <c r="F4063">
        <v>-2815.89</v>
      </c>
      <c r="G4063">
        <v>364.5</v>
      </c>
      <c r="H4063">
        <v>-732.6</v>
      </c>
      <c r="I4063">
        <v>1014.3</v>
      </c>
      <c r="J4063">
        <v>-2169.6899999999996</v>
      </c>
    </row>
    <row r="4064" spans="1:10" x14ac:dyDescent="0.35">
      <c r="A4064">
        <v>4048</v>
      </c>
      <c r="B4064" s="75">
        <v>89.845500000000001</v>
      </c>
      <c r="C4064" s="75">
        <v>97.906099999999995</v>
      </c>
      <c r="D4064" s="75">
        <v>91.521699999999996</v>
      </c>
      <c r="E4064" s="75">
        <v>92.774699999999996</v>
      </c>
      <c r="F4064">
        <v>-963.27</v>
      </c>
      <c r="G4064">
        <v>455.70000000000005</v>
      </c>
      <c r="H4064">
        <v>2588.8000000000002</v>
      </c>
      <c r="I4064">
        <v>605.9</v>
      </c>
      <c r="J4064">
        <v>2687.1300000000006</v>
      </c>
    </row>
    <row r="4065" spans="1:10" x14ac:dyDescent="0.35">
      <c r="A4065">
        <v>4049</v>
      </c>
      <c r="B4065" s="75">
        <v>89.26</v>
      </c>
      <c r="C4065" s="75">
        <v>97.81</v>
      </c>
      <c r="D4065" s="75">
        <v>92.35</v>
      </c>
      <c r="E4065" s="75">
        <v>95.45</v>
      </c>
      <c r="F4065">
        <v>957.33</v>
      </c>
      <c r="G4065">
        <v>605.85</v>
      </c>
      <c r="H4065">
        <v>922.4</v>
      </c>
      <c r="I4065">
        <v>-2073.4</v>
      </c>
      <c r="J4065">
        <v>412.17999999999984</v>
      </c>
    </row>
    <row r="4066" spans="1:10" x14ac:dyDescent="0.35">
      <c r="A4066">
        <v>4050</v>
      </c>
      <c r="B4066" s="75">
        <v>89.064099999999996</v>
      </c>
      <c r="C4066" s="75">
        <v>98.337000000000003</v>
      </c>
      <c r="D4066" s="75">
        <v>94.166300000000007</v>
      </c>
      <c r="E4066" s="75">
        <v>94.605699999999999</v>
      </c>
      <c r="F4066">
        <v>1615.35</v>
      </c>
      <c r="G4066">
        <v>-190.64999999999998</v>
      </c>
      <c r="H4066">
        <v>-2700.4</v>
      </c>
      <c r="I4066">
        <v>-1225.1000000000001</v>
      </c>
      <c r="J4066">
        <v>-2500.8000000000002</v>
      </c>
    </row>
    <row r="4067" spans="1:10" x14ac:dyDescent="0.35">
      <c r="A4067">
        <v>4051</v>
      </c>
      <c r="B4067" s="75">
        <v>89.52</v>
      </c>
      <c r="C4067" s="75">
        <v>98.52</v>
      </c>
      <c r="D4067" s="75">
        <v>93.03</v>
      </c>
      <c r="E4067" s="75">
        <v>95.89</v>
      </c>
      <c r="F4067">
        <v>115.17</v>
      </c>
      <c r="G4067">
        <v>-464.4</v>
      </c>
      <c r="H4067">
        <v>-433.59999999999997</v>
      </c>
      <c r="I4067">
        <v>-2511.5</v>
      </c>
      <c r="J4067">
        <v>-3294.33</v>
      </c>
    </row>
    <row r="4068" spans="1:10" x14ac:dyDescent="0.35">
      <c r="A4068">
        <v>4052</v>
      </c>
      <c r="B4068" s="75">
        <v>89.832999999999998</v>
      </c>
      <c r="C4068" s="75">
        <v>98.324799999999996</v>
      </c>
      <c r="D4068" s="75">
        <v>94.265500000000003</v>
      </c>
      <c r="E4068" s="75">
        <v>96.970399999999998</v>
      </c>
      <c r="F4068">
        <v>-922.02</v>
      </c>
      <c r="G4068">
        <v>-172.35</v>
      </c>
      <c r="H4068">
        <v>-2898.8</v>
      </c>
      <c r="I4068">
        <v>-3589.7999999999997</v>
      </c>
      <c r="J4068">
        <v>-7582.9699999999993</v>
      </c>
    </row>
    <row r="4069" spans="1:10" x14ac:dyDescent="0.35">
      <c r="A4069">
        <v>4053</v>
      </c>
      <c r="B4069" s="75">
        <v>89.04</v>
      </c>
      <c r="C4069" s="75">
        <v>98.45</v>
      </c>
      <c r="D4069" s="75">
        <v>93.1</v>
      </c>
      <c r="E4069" s="75">
        <v>93.42</v>
      </c>
      <c r="F4069">
        <v>1705.1100000000001</v>
      </c>
      <c r="G4069">
        <v>-356.25</v>
      </c>
      <c r="H4069">
        <v>-571.6</v>
      </c>
      <c r="I4069">
        <v>-36.5</v>
      </c>
      <c r="J4069">
        <v>740.7600000000001</v>
      </c>
    </row>
    <row r="4070" spans="1:10" x14ac:dyDescent="0.35">
      <c r="A4070">
        <v>4054</v>
      </c>
      <c r="B4070" s="75">
        <v>89.343500000000006</v>
      </c>
      <c r="C4070" s="75">
        <v>97.965000000000003</v>
      </c>
      <c r="D4070" s="75">
        <v>90.328900000000004</v>
      </c>
      <c r="E4070" s="75">
        <v>91.796700000000001</v>
      </c>
      <c r="F4070">
        <v>693.33</v>
      </c>
      <c r="G4070">
        <v>367.35</v>
      </c>
      <c r="H4070">
        <v>4974.4000000000005</v>
      </c>
      <c r="I4070">
        <v>1583.9</v>
      </c>
      <c r="J4070">
        <v>7618.9800000000014</v>
      </c>
    </row>
    <row r="4071" spans="1:10" x14ac:dyDescent="0.35">
      <c r="A4071">
        <v>4055</v>
      </c>
      <c r="B4071" s="75">
        <v>89.29</v>
      </c>
      <c r="C4071" s="75">
        <v>97.42</v>
      </c>
      <c r="D4071" s="75">
        <v>93.02</v>
      </c>
      <c r="E4071" s="75">
        <v>91.55</v>
      </c>
      <c r="F4071">
        <v>875.16</v>
      </c>
      <c r="G4071">
        <v>1179.5999999999999</v>
      </c>
      <c r="H4071">
        <v>-416.6</v>
      </c>
      <c r="I4071">
        <v>1827.2</v>
      </c>
      <c r="J4071">
        <v>3465.3599999999997</v>
      </c>
    </row>
    <row r="4072" spans="1:10" x14ac:dyDescent="0.35">
      <c r="A4072">
        <v>4056</v>
      </c>
      <c r="B4072" s="75">
        <v>90.049800000000005</v>
      </c>
      <c r="C4072" s="75">
        <v>98.687700000000007</v>
      </c>
      <c r="D4072" s="75">
        <v>94.561000000000007</v>
      </c>
      <c r="E4072" s="75">
        <v>96.998400000000004</v>
      </c>
      <c r="F4072">
        <v>-1637.4599999999998</v>
      </c>
      <c r="G4072">
        <v>-716.7</v>
      </c>
      <c r="H4072">
        <v>-3489.7999999999997</v>
      </c>
      <c r="I4072">
        <v>-3617.7999999999997</v>
      </c>
      <c r="J4072">
        <v>-9461.7599999999984</v>
      </c>
    </row>
    <row r="4073" spans="1:10" x14ac:dyDescent="0.35">
      <c r="A4073">
        <v>4057</v>
      </c>
      <c r="B4073" s="75">
        <v>90.29</v>
      </c>
      <c r="C4073" s="75">
        <v>98.51</v>
      </c>
      <c r="D4073" s="75">
        <v>93.75</v>
      </c>
      <c r="E4073" s="75">
        <v>94.87</v>
      </c>
      <c r="F4073">
        <v>-2436.39</v>
      </c>
      <c r="G4073">
        <v>-447.75</v>
      </c>
      <c r="H4073">
        <v>-1876.8</v>
      </c>
      <c r="I4073">
        <v>-1489.8</v>
      </c>
      <c r="J4073">
        <v>-6250.74</v>
      </c>
    </row>
    <row r="4074" spans="1:10" x14ac:dyDescent="0.35">
      <c r="A4074">
        <v>4058</v>
      </c>
      <c r="B4074" s="75">
        <v>89.665199999999999</v>
      </c>
      <c r="C4074" s="75">
        <v>97.081500000000005</v>
      </c>
      <c r="D4074" s="75">
        <v>93.684899999999999</v>
      </c>
      <c r="E4074" s="75">
        <v>93.637200000000007</v>
      </c>
      <c r="F4074">
        <v>-368.28000000000003</v>
      </c>
      <c r="G4074">
        <v>1692.6000000000001</v>
      </c>
      <c r="H4074">
        <v>-1737.6000000000001</v>
      </c>
      <c r="I4074">
        <v>-256.60000000000002</v>
      </c>
      <c r="J4074">
        <v>-669.88</v>
      </c>
    </row>
    <row r="4075" spans="1:10" x14ac:dyDescent="0.35">
      <c r="A4075">
        <v>4059</v>
      </c>
      <c r="B4075" s="75">
        <v>89.38</v>
      </c>
      <c r="C4075" s="75">
        <v>98.35</v>
      </c>
      <c r="D4075" s="75">
        <v>92.27</v>
      </c>
      <c r="E4075" s="75">
        <v>95.27</v>
      </c>
      <c r="F4075">
        <v>568.91999999999996</v>
      </c>
      <c r="G4075">
        <v>-207.9</v>
      </c>
      <c r="H4075">
        <v>1089</v>
      </c>
      <c r="I4075">
        <v>-1888.3000000000002</v>
      </c>
      <c r="J4075">
        <v>-438.2800000000002</v>
      </c>
    </row>
    <row r="4076" spans="1:10" x14ac:dyDescent="0.35">
      <c r="A4076">
        <v>4060</v>
      </c>
      <c r="B4076" s="75">
        <v>88.273300000000006</v>
      </c>
      <c r="C4076" s="75">
        <v>98.014200000000002</v>
      </c>
      <c r="D4076" s="75">
        <v>94.997100000000003</v>
      </c>
      <c r="E4076" s="75">
        <v>97.233900000000006</v>
      </c>
      <c r="F4076">
        <v>4224.99</v>
      </c>
      <c r="G4076">
        <v>293.55</v>
      </c>
      <c r="H4076">
        <v>-4362</v>
      </c>
      <c r="I4076">
        <v>-3853.2999999999997</v>
      </c>
      <c r="J4076">
        <v>-3696.7599999999998</v>
      </c>
    </row>
    <row r="4077" spans="1:10" x14ac:dyDescent="0.35">
      <c r="A4077">
        <v>4061</v>
      </c>
      <c r="B4077" s="75">
        <v>88.53</v>
      </c>
      <c r="C4077" s="75">
        <v>98.48</v>
      </c>
      <c r="D4077" s="75">
        <v>92.47</v>
      </c>
      <c r="E4077" s="75">
        <v>93.85</v>
      </c>
      <c r="F4077">
        <v>3381.18</v>
      </c>
      <c r="G4077">
        <v>-402.15000000000003</v>
      </c>
      <c r="H4077">
        <v>682.6</v>
      </c>
      <c r="I4077">
        <v>-466</v>
      </c>
      <c r="J4077">
        <v>3195.6299999999997</v>
      </c>
    </row>
    <row r="4078" spans="1:10" x14ac:dyDescent="0.35">
      <c r="A4078">
        <v>4062</v>
      </c>
      <c r="B4078" s="75">
        <v>89.657899999999998</v>
      </c>
      <c r="C4078" s="75">
        <v>97.839200000000005</v>
      </c>
      <c r="D4078" s="75">
        <v>92.954800000000006</v>
      </c>
      <c r="E4078" s="75">
        <v>94.009600000000006</v>
      </c>
      <c r="F4078">
        <v>-344.19</v>
      </c>
      <c r="G4078">
        <v>556.04999999999995</v>
      </c>
      <c r="H4078">
        <v>-277.39999999999998</v>
      </c>
      <c r="I4078">
        <v>-629</v>
      </c>
      <c r="J4078">
        <v>-694.54</v>
      </c>
    </row>
    <row r="4079" spans="1:10" x14ac:dyDescent="0.35">
      <c r="A4079">
        <v>4063</v>
      </c>
      <c r="B4079" s="75">
        <v>89.42</v>
      </c>
      <c r="C4079" s="75">
        <v>97.85</v>
      </c>
      <c r="D4079" s="75">
        <v>93.55</v>
      </c>
      <c r="E4079" s="75">
        <v>91.08</v>
      </c>
      <c r="F4079">
        <v>433.61999999999995</v>
      </c>
      <c r="G4079">
        <v>540.6</v>
      </c>
      <c r="H4079">
        <v>-1458</v>
      </c>
      <c r="I4079">
        <v>2296.1</v>
      </c>
      <c r="J4079">
        <v>1812.32</v>
      </c>
    </row>
    <row r="4080" spans="1:10" x14ac:dyDescent="0.35">
      <c r="A4080">
        <v>4064</v>
      </c>
      <c r="B4080" s="75">
        <v>89.718500000000006</v>
      </c>
      <c r="C4080" s="75">
        <v>98.918199999999999</v>
      </c>
      <c r="D4080" s="75">
        <v>92.279899999999998</v>
      </c>
      <c r="E4080" s="75">
        <v>92.851299999999995</v>
      </c>
      <c r="F4080">
        <v>-544.16999999999996</v>
      </c>
      <c r="G4080">
        <v>-1062.45</v>
      </c>
      <c r="H4080">
        <v>1072.4000000000001</v>
      </c>
      <c r="I4080">
        <v>529.29999999999995</v>
      </c>
      <c r="J4080">
        <v>-4.9199999999998454</v>
      </c>
    </row>
    <row r="4081" spans="1:10" x14ac:dyDescent="0.35">
      <c r="A4081">
        <v>4065</v>
      </c>
      <c r="B4081" s="75">
        <v>89.63</v>
      </c>
      <c r="C4081" s="75">
        <v>98.14</v>
      </c>
      <c r="D4081" s="75">
        <v>92.8</v>
      </c>
      <c r="E4081" s="75">
        <v>93.53</v>
      </c>
      <c r="F4081">
        <v>-265.65000000000003</v>
      </c>
      <c r="G4081">
        <v>110.39999999999999</v>
      </c>
      <c r="H4081">
        <v>30.8</v>
      </c>
      <c r="I4081">
        <v>-148.60000000000002</v>
      </c>
      <c r="J4081">
        <v>-273.05000000000007</v>
      </c>
    </row>
    <row r="4082" spans="1:10" x14ac:dyDescent="0.35">
      <c r="A4082">
        <v>4066</v>
      </c>
      <c r="B4082" s="75">
        <v>90.331400000000002</v>
      </c>
      <c r="C4082" s="75">
        <v>99.531199999999998</v>
      </c>
      <c r="D4082" s="75">
        <v>91.378500000000003</v>
      </c>
      <c r="E4082" s="75">
        <v>95.621600000000001</v>
      </c>
      <c r="F4082">
        <v>-2566.7400000000002</v>
      </c>
      <c r="G4082">
        <v>-1981.9499999999998</v>
      </c>
      <c r="H4082">
        <v>2875.2</v>
      </c>
      <c r="I4082">
        <v>-2241</v>
      </c>
      <c r="J4082">
        <v>-3914.4900000000007</v>
      </c>
    </row>
    <row r="4083" spans="1:10" x14ac:dyDescent="0.35">
      <c r="A4083">
        <v>4067</v>
      </c>
      <c r="B4083" s="75">
        <v>89.55</v>
      </c>
      <c r="C4083" s="75">
        <v>97.82</v>
      </c>
      <c r="D4083" s="75">
        <v>94.48</v>
      </c>
      <c r="E4083" s="75">
        <v>94.93</v>
      </c>
      <c r="F4083">
        <v>2.31</v>
      </c>
      <c r="G4083">
        <v>582.75</v>
      </c>
      <c r="H4083">
        <v>-3329.6</v>
      </c>
      <c r="I4083">
        <v>-1544.7</v>
      </c>
      <c r="J4083">
        <v>-4289.24</v>
      </c>
    </row>
    <row r="4084" spans="1:10" x14ac:dyDescent="0.35">
      <c r="A4084">
        <v>4068</v>
      </c>
      <c r="B4084" s="75">
        <v>90.174000000000007</v>
      </c>
      <c r="C4084" s="75">
        <v>98.399100000000004</v>
      </c>
      <c r="D4084" s="75">
        <v>92.696700000000007</v>
      </c>
      <c r="E4084" s="75">
        <v>93.598500000000001</v>
      </c>
      <c r="F4084">
        <v>-2047.32</v>
      </c>
      <c r="G4084">
        <v>-283.8</v>
      </c>
      <c r="H4084">
        <v>238.8</v>
      </c>
      <c r="I4084">
        <v>-217.9</v>
      </c>
      <c r="J4084">
        <v>-2310.2199999999998</v>
      </c>
    </row>
    <row r="4085" spans="1:10" x14ac:dyDescent="0.35">
      <c r="A4085">
        <v>4069</v>
      </c>
      <c r="B4085" s="75">
        <v>89.67</v>
      </c>
      <c r="C4085" s="75">
        <v>97.24</v>
      </c>
      <c r="D4085" s="75">
        <v>92.2</v>
      </c>
      <c r="E4085" s="75">
        <v>92.66</v>
      </c>
      <c r="F4085">
        <v>-396</v>
      </c>
      <c r="G4085">
        <v>1452.3</v>
      </c>
      <c r="H4085">
        <v>1236.3999999999999</v>
      </c>
      <c r="I4085">
        <v>719.7</v>
      </c>
      <c r="J4085">
        <v>3012.3999999999996</v>
      </c>
    </row>
    <row r="4086" spans="1:10" x14ac:dyDescent="0.35">
      <c r="A4086">
        <v>4070</v>
      </c>
      <c r="B4086" s="75">
        <v>89.556700000000006</v>
      </c>
      <c r="C4086" s="75">
        <v>99.442899999999995</v>
      </c>
      <c r="D4086" s="75">
        <v>93.929699999999997</v>
      </c>
      <c r="E4086" s="75">
        <v>93.900599999999997</v>
      </c>
      <c r="F4086">
        <v>-10.23</v>
      </c>
      <c r="G4086">
        <v>-1849.5000000000002</v>
      </c>
      <c r="H4086">
        <v>-2227.1999999999998</v>
      </c>
      <c r="I4086">
        <v>-520</v>
      </c>
      <c r="J4086">
        <v>-4606.93</v>
      </c>
    </row>
    <row r="4087" spans="1:10" x14ac:dyDescent="0.35">
      <c r="A4087">
        <v>4071</v>
      </c>
      <c r="B4087" s="75">
        <v>89.76</v>
      </c>
      <c r="C4087" s="75">
        <v>98.79</v>
      </c>
      <c r="D4087" s="75">
        <v>93.18</v>
      </c>
      <c r="E4087" s="75">
        <v>93.27</v>
      </c>
      <c r="F4087">
        <v>-691.35</v>
      </c>
      <c r="G4087">
        <v>-866.25</v>
      </c>
      <c r="H4087">
        <v>-731.19999999999993</v>
      </c>
      <c r="I4087">
        <v>108.10000000000001</v>
      </c>
      <c r="J4087">
        <v>-2180.6999999999998</v>
      </c>
    </row>
    <row r="4088" spans="1:10" x14ac:dyDescent="0.35">
      <c r="A4088">
        <v>4072</v>
      </c>
      <c r="B4088" s="75">
        <v>89.474500000000006</v>
      </c>
      <c r="C4088" s="75">
        <v>98.346299999999999</v>
      </c>
      <c r="D4088" s="75">
        <v>92.278499999999994</v>
      </c>
      <c r="E4088" s="75">
        <v>94.715199999999996</v>
      </c>
      <c r="F4088">
        <v>261.03000000000003</v>
      </c>
      <c r="G4088">
        <v>-204.6</v>
      </c>
      <c r="H4088">
        <v>1075.2</v>
      </c>
      <c r="I4088">
        <v>-1334.6</v>
      </c>
      <c r="J4088">
        <v>-202.9699999999998</v>
      </c>
    </row>
    <row r="4089" spans="1:10" x14ac:dyDescent="0.35">
      <c r="A4089">
        <v>4073</v>
      </c>
      <c r="B4089" s="75">
        <v>89.26</v>
      </c>
      <c r="C4089" s="75">
        <v>97.87</v>
      </c>
      <c r="D4089" s="75">
        <v>94.87</v>
      </c>
      <c r="E4089" s="75">
        <v>93.8</v>
      </c>
      <c r="F4089">
        <v>984.39</v>
      </c>
      <c r="G4089">
        <v>513.75</v>
      </c>
      <c r="H4089">
        <v>-4106</v>
      </c>
      <c r="I4089">
        <v>-418</v>
      </c>
      <c r="J4089">
        <v>-3025.86</v>
      </c>
    </row>
    <row r="4090" spans="1:10" x14ac:dyDescent="0.35">
      <c r="A4090">
        <v>4074</v>
      </c>
      <c r="B4090" s="75">
        <v>89.533699999999996</v>
      </c>
      <c r="C4090" s="75">
        <v>97.036900000000003</v>
      </c>
      <c r="D4090" s="75">
        <v>93.256200000000007</v>
      </c>
      <c r="E4090" s="75">
        <v>94.108800000000002</v>
      </c>
      <c r="F4090">
        <v>65.67</v>
      </c>
      <c r="G4090">
        <v>1759.5</v>
      </c>
      <c r="H4090">
        <v>-880.19999999999993</v>
      </c>
      <c r="I4090">
        <v>-728.19999999999993</v>
      </c>
      <c r="J4090">
        <v>216.77000000000021</v>
      </c>
    </row>
    <row r="4091" spans="1:10" x14ac:dyDescent="0.35">
      <c r="A4091">
        <v>4075</v>
      </c>
      <c r="B4091" s="75">
        <v>89.05</v>
      </c>
      <c r="C4091" s="75">
        <v>98.65</v>
      </c>
      <c r="D4091" s="75">
        <v>93.08</v>
      </c>
      <c r="E4091" s="75">
        <v>89.89</v>
      </c>
      <c r="F4091">
        <v>1657.59</v>
      </c>
      <c r="G4091">
        <v>-665.25</v>
      </c>
      <c r="H4091">
        <v>-527.59999999999991</v>
      </c>
      <c r="I4091">
        <v>3486.1</v>
      </c>
      <c r="J4091">
        <v>3950.84</v>
      </c>
    </row>
    <row r="4092" spans="1:10" x14ac:dyDescent="0.35">
      <c r="A4092">
        <v>4076</v>
      </c>
      <c r="B4092" s="75">
        <v>88.984999999999999</v>
      </c>
      <c r="C4092" s="75">
        <v>98.089100000000002</v>
      </c>
      <c r="D4092" s="75">
        <v>92.778700000000001</v>
      </c>
      <c r="E4092" s="75">
        <v>93.259</v>
      </c>
      <c r="F4092">
        <v>1876.3799999999999</v>
      </c>
      <c r="G4092">
        <v>181.20000000000002</v>
      </c>
      <c r="H4092">
        <v>74.800000000000011</v>
      </c>
      <c r="I4092">
        <v>121.6</v>
      </c>
      <c r="J4092">
        <v>2253.98</v>
      </c>
    </row>
    <row r="4093" spans="1:10" x14ac:dyDescent="0.35">
      <c r="A4093">
        <v>4077</v>
      </c>
      <c r="B4093" s="75">
        <v>88.98</v>
      </c>
      <c r="C4093" s="75">
        <v>98.66</v>
      </c>
      <c r="D4093" s="75">
        <v>94.18</v>
      </c>
      <c r="E4093" s="75">
        <v>95.36</v>
      </c>
      <c r="F4093">
        <v>1897.83</v>
      </c>
      <c r="G4093">
        <v>-670.65</v>
      </c>
      <c r="H4093">
        <v>-2737.4</v>
      </c>
      <c r="I4093">
        <v>-1981.5</v>
      </c>
      <c r="J4093">
        <v>-3491.7200000000003</v>
      </c>
    </row>
    <row r="4094" spans="1:10" x14ac:dyDescent="0.35">
      <c r="A4094">
        <v>4078</v>
      </c>
      <c r="B4094" s="75">
        <v>89.856099999999998</v>
      </c>
      <c r="C4094" s="75">
        <v>97.573899999999995</v>
      </c>
      <c r="D4094" s="75">
        <v>93.602000000000004</v>
      </c>
      <c r="E4094" s="75">
        <v>94.234700000000004</v>
      </c>
      <c r="F4094">
        <v>-998.25</v>
      </c>
      <c r="G4094">
        <v>954</v>
      </c>
      <c r="H4094">
        <v>-1571.8000000000002</v>
      </c>
      <c r="I4094">
        <v>-854.1</v>
      </c>
      <c r="J4094">
        <v>-2470.15</v>
      </c>
    </row>
    <row r="4095" spans="1:10" x14ac:dyDescent="0.35">
      <c r="A4095">
        <v>4079</v>
      </c>
      <c r="B4095" s="75">
        <v>89.57</v>
      </c>
      <c r="C4095" s="75">
        <v>98.76</v>
      </c>
      <c r="D4095" s="75">
        <v>91.19</v>
      </c>
      <c r="E4095" s="75">
        <v>93.04</v>
      </c>
      <c r="F4095">
        <v>-68.31</v>
      </c>
      <c r="G4095">
        <v>-824.69999999999993</v>
      </c>
      <c r="H4095">
        <v>3261</v>
      </c>
      <c r="I4095">
        <v>345.5</v>
      </c>
      <c r="J4095">
        <v>2713.49</v>
      </c>
    </row>
    <row r="4096" spans="1:10" x14ac:dyDescent="0.35">
      <c r="A4096">
        <v>4080</v>
      </c>
      <c r="B4096" s="75">
        <v>88.940399999999997</v>
      </c>
      <c r="C4096" s="75">
        <v>97.218900000000005</v>
      </c>
      <c r="D4096" s="75">
        <v>95.002399999999994</v>
      </c>
      <c r="E4096" s="75">
        <v>96.453500000000005</v>
      </c>
      <c r="F4096">
        <v>2023.56</v>
      </c>
      <c r="G4096">
        <v>1486.5</v>
      </c>
      <c r="H4096">
        <v>-4372.6000000000004</v>
      </c>
      <c r="I4096">
        <v>-3072.9</v>
      </c>
      <c r="J4096">
        <v>-3935.4400000000005</v>
      </c>
    </row>
    <row r="4097" spans="1:10" x14ac:dyDescent="0.35">
      <c r="A4097">
        <v>4081</v>
      </c>
      <c r="B4097" s="75">
        <v>90.03</v>
      </c>
      <c r="C4097" s="75">
        <v>98.51</v>
      </c>
      <c r="D4097" s="75">
        <v>92.2</v>
      </c>
      <c r="E4097" s="75">
        <v>91.44</v>
      </c>
      <c r="F4097">
        <v>-1581.3600000000001</v>
      </c>
      <c r="G4097">
        <v>-443.85</v>
      </c>
      <c r="H4097">
        <v>1224.5999999999999</v>
      </c>
      <c r="I4097">
        <v>1939.5</v>
      </c>
      <c r="J4097">
        <v>1138.8899999999999</v>
      </c>
    </row>
    <row r="4098" spans="1:10" x14ac:dyDescent="0.35">
      <c r="A4098">
        <v>4082</v>
      </c>
      <c r="B4098" s="75">
        <v>89.257099999999994</v>
      </c>
      <c r="C4098" s="75">
        <v>98.778400000000005</v>
      </c>
      <c r="D4098" s="75">
        <v>91.838399999999993</v>
      </c>
      <c r="E4098" s="75">
        <v>92.627499999999998</v>
      </c>
      <c r="F4098">
        <v>978.44999999999993</v>
      </c>
      <c r="G4098">
        <v>-852.75</v>
      </c>
      <c r="H4098">
        <v>1955.4</v>
      </c>
      <c r="I4098">
        <v>753.1</v>
      </c>
      <c r="J4098">
        <v>2834.2</v>
      </c>
    </row>
    <row r="4099" spans="1:10" x14ac:dyDescent="0.35">
      <c r="A4099">
        <v>4083</v>
      </c>
      <c r="B4099" s="75">
        <v>89.98</v>
      </c>
      <c r="C4099" s="75">
        <v>99.43</v>
      </c>
      <c r="D4099" s="75">
        <v>93.06</v>
      </c>
      <c r="E4099" s="75">
        <v>91.93</v>
      </c>
      <c r="F4099">
        <v>-1405.47</v>
      </c>
      <c r="G4099">
        <v>-1823.85</v>
      </c>
      <c r="H4099">
        <v>-479.2</v>
      </c>
      <c r="I4099">
        <v>1455.6</v>
      </c>
      <c r="J4099">
        <v>-2252.9199999999996</v>
      </c>
    </row>
    <row r="4100" spans="1:10" x14ac:dyDescent="0.35">
      <c r="A4100">
        <v>4084</v>
      </c>
      <c r="B4100" s="75">
        <v>89.652500000000003</v>
      </c>
      <c r="C4100" s="75">
        <v>99.259200000000007</v>
      </c>
      <c r="D4100" s="75">
        <v>93.992599999999996</v>
      </c>
      <c r="E4100" s="75">
        <v>94.049199999999999</v>
      </c>
      <c r="F4100">
        <v>-326.37</v>
      </c>
      <c r="G4100">
        <v>-1573.9499999999998</v>
      </c>
      <c r="H4100">
        <v>-2353</v>
      </c>
      <c r="I4100">
        <v>-668.6</v>
      </c>
      <c r="J4100">
        <v>-4921.92</v>
      </c>
    </row>
    <row r="4101" spans="1:10" x14ac:dyDescent="0.35">
      <c r="A4101">
        <v>4085</v>
      </c>
      <c r="B4101" s="75">
        <v>89.09</v>
      </c>
      <c r="C4101" s="75">
        <v>99.16</v>
      </c>
      <c r="D4101" s="75">
        <v>92.15</v>
      </c>
      <c r="E4101" s="75">
        <v>93.76</v>
      </c>
      <c r="F4101">
        <v>1522.62</v>
      </c>
      <c r="G4101">
        <v>-1432.2</v>
      </c>
      <c r="H4101">
        <v>1336.4</v>
      </c>
      <c r="I4101">
        <v>-376.2</v>
      </c>
      <c r="J4101">
        <v>1050.6199999999999</v>
      </c>
    </row>
    <row r="4102" spans="1:10" x14ac:dyDescent="0.35">
      <c r="A4102">
        <v>4086</v>
      </c>
      <c r="B4102" s="75">
        <v>89.1053</v>
      </c>
      <c r="C4102" s="75">
        <v>100.0044</v>
      </c>
      <c r="D4102" s="75">
        <v>93.032200000000003</v>
      </c>
      <c r="E4102" s="75">
        <v>94.581000000000003</v>
      </c>
      <c r="F4102">
        <v>1479.3899999999999</v>
      </c>
      <c r="G4102">
        <v>-2691.75</v>
      </c>
      <c r="H4102">
        <v>-432.2</v>
      </c>
      <c r="I4102">
        <v>-1200.3999999999999</v>
      </c>
      <c r="J4102">
        <v>-2844.96</v>
      </c>
    </row>
    <row r="4103" spans="1:10" x14ac:dyDescent="0.35">
      <c r="A4103">
        <v>4087</v>
      </c>
      <c r="B4103" s="75">
        <v>88.54</v>
      </c>
      <c r="C4103" s="75">
        <v>97.95</v>
      </c>
      <c r="D4103" s="75">
        <v>91.67</v>
      </c>
      <c r="E4103" s="75">
        <v>92.45</v>
      </c>
      <c r="F4103">
        <v>3345.21</v>
      </c>
      <c r="G4103">
        <v>396</v>
      </c>
      <c r="H4103">
        <v>2286</v>
      </c>
      <c r="I4103">
        <v>933.5</v>
      </c>
      <c r="J4103">
        <v>6960.71</v>
      </c>
    </row>
    <row r="4104" spans="1:10" x14ac:dyDescent="0.35">
      <c r="A4104">
        <v>4088</v>
      </c>
      <c r="B4104" s="75">
        <v>89.453299999999999</v>
      </c>
      <c r="C4104" s="75">
        <v>100.2199</v>
      </c>
      <c r="D4104" s="75">
        <v>93.039599999999993</v>
      </c>
      <c r="E4104" s="75">
        <v>93.458699999999993</v>
      </c>
      <c r="F4104">
        <v>330.99</v>
      </c>
      <c r="G4104">
        <v>-3014.9999999999995</v>
      </c>
      <c r="H4104">
        <v>-447</v>
      </c>
      <c r="I4104">
        <v>-78.100000000000009</v>
      </c>
      <c r="J4104">
        <v>-3209.1099999999992</v>
      </c>
    </row>
    <row r="4105" spans="1:10" x14ac:dyDescent="0.35">
      <c r="A4105">
        <v>4089</v>
      </c>
      <c r="B4105" s="75">
        <v>89.34</v>
      </c>
      <c r="C4105" s="75">
        <v>97.71</v>
      </c>
      <c r="D4105" s="75">
        <v>92.58</v>
      </c>
      <c r="E4105" s="75">
        <v>95.1</v>
      </c>
      <c r="F4105">
        <v>715.11</v>
      </c>
      <c r="G4105">
        <v>743.7</v>
      </c>
      <c r="H4105">
        <v>480.6</v>
      </c>
      <c r="I4105">
        <v>-1719.8</v>
      </c>
      <c r="J4105">
        <v>219.6099999999999</v>
      </c>
    </row>
    <row r="4106" spans="1:10" x14ac:dyDescent="0.35">
      <c r="A4106">
        <v>4090</v>
      </c>
      <c r="B4106" s="75">
        <v>88.891199999999998</v>
      </c>
      <c r="C4106" s="75">
        <v>97.644000000000005</v>
      </c>
      <c r="D4106" s="75">
        <v>92.548400000000001</v>
      </c>
      <c r="E4106" s="75">
        <v>93.388400000000004</v>
      </c>
      <c r="F4106">
        <v>2185.92</v>
      </c>
      <c r="G4106">
        <v>848.84999999999991</v>
      </c>
      <c r="H4106">
        <v>535.4</v>
      </c>
      <c r="I4106">
        <v>-7.8</v>
      </c>
      <c r="J4106">
        <v>3562.37</v>
      </c>
    </row>
    <row r="4107" spans="1:10" x14ac:dyDescent="0.35">
      <c r="A4107">
        <v>4091</v>
      </c>
      <c r="B4107" s="75">
        <v>88.94</v>
      </c>
      <c r="C4107" s="75">
        <v>97.8</v>
      </c>
      <c r="D4107" s="75">
        <v>93.79</v>
      </c>
      <c r="E4107" s="75">
        <v>94.03</v>
      </c>
      <c r="F4107">
        <v>2037.4199999999998</v>
      </c>
      <c r="G4107">
        <v>610.79999999999995</v>
      </c>
      <c r="H4107">
        <v>-1953.8</v>
      </c>
      <c r="I4107">
        <v>-648.70000000000005</v>
      </c>
      <c r="J4107">
        <v>45.7199999999998</v>
      </c>
    </row>
    <row r="4108" spans="1:10" x14ac:dyDescent="0.35">
      <c r="A4108">
        <v>4092</v>
      </c>
      <c r="B4108" s="75">
        <v>89.311400000000006</v>
      </c>
      <c r="C4108" s="75">
        <v>99.046099999999996</v>
      </c>
      <c r="D4108" s="75">
        <v>92.2423</v>
      </c>
      <c r="E4108" s="75">
        <v>93.631399999999999</v>
      </c>
      <c r="F4108">
        <v>799.26</v>
      </c>
      <c r="G4108">
        <v>-1254.3000000000002</v>
      </c>
      <c r="H4108">
        <v>1147.5999999999999</v>
      </c>
      <c r="I4108">
        <v>-250.8</v>
      </c>
      <c r="J4108">
        <v>441.75999999999971</v>
      </c>
    </row>
    <row r="4109" spans="1:10" x14ac:dyDescent="0.35">
      <c r="A4109">
        <v>4093</v>
      </c>
      <c r="B4109" s="75">
        <v>89.56</v>
      </c>
      <c r="C4109" s="75">
        <v>98.04</v>
      </c>
      <c r="D4109" s="75">
        <v>94.2</v>
      </c>
      <c r="E4109" s="75">
        <v>94.98</v>
      </c>
      <c r="F4109">
        <v>-33.660000000000004</v>
      </c>
      <c r="G4109">
        <v>249.45000000000002</v>
      </c>
      <c r="H4109">
        <v>-2776.4</v>
      </c>
      <c r="I4109">
        <v>-1601.8</v>
      </c>
      <c r="J4109">
        <v>-4162.41</v>
      </c>
    </row>
    <row r="4110" spans="1:10" x14ac:dyDescent="0.35">
      <c r="A4110">
        <v>4094</v>
      </c>
      <c r="B4110" s="75">
        <v>89.514200000000002</v>
      </c>
      <c r="C4110" s="75">
        <v>98.390500000000003</v>
      </c>
      <c r="D4110" s="75">
        <v>91.110200000000006</v>
      </c>
      <c r="E4110" s="75">
        <v>93.698899999999995</v>
      </c>
      <c r="F4110">
        <v>130.01999999999998</v>
      </c>
      <c r="G4110">
        <v>-270.90000000000003</v>
      </c>
      <c r="H4110">
        <v>3411.7999999999997</v>
      </c>
      <c r="I4110">
        <v>-318.3</v>
      </c>
      <c r="J4110">
        <v>2952.6199999999994</v>
      </c>
    </row>
    <row r="4111" spans="1:10" x14ac:dyDescent="0.35">
      <c r="A4111">
        <v>4095</v>
      </c>
      <c r="B4111" s="75">
        <v>89.89</v>
      </c>
      <c r="C4111" s="75">
        <v>97.33</v>
      </c>
      <c r="D4111" s="75">
        <v>92.18</v>
      </c>
      <c r="E4111" s="75">
        <v>92.26</v>
      </c>
      <c r="F4111">
        <v>-1106.49</v>
      </c>
      <c r="G4111">
        <v>1317.15</v>
      </c>
      <c r="H4111">
        <v>1275.8</v>
      </c>
      <c r="I4111">
        <v>1121.2</v>
      </c>
      <c r="J4111">
        <v>2607.66</v>
      </c>
    </row>
    <row r="4112" spans="1:10" x14ac:dyDescent="0.35">
      <c r="A4112">
        <v>4096</v>
      </c>
      <c r="B4112" s="75">
        <v>89.644300000000001</v>
      </c>
      <c r="C4112" s="75">
        <v>97.094300000000004</v>
      </c>
      <c r="D4112" s="75">
        <v>93.423199999999994</v>
      </c>
      <c r="E4112" s="75">
        <v>92.569699999999997</v>
      </c>
      <c r="F4112">
        <v>-299.31</v>
      </c>
      <c r="G4112">
        <v>1673.3999999999999</v>
      </c>
      <c r="H4112">
        <v>-1214.2</v>
      </c>
      <c r="I4112">
        <v>810.9</v>
      </c>
      <c r="J4112">
        <v>970.78999999999985</v>
      </c>
    </row>
    <row r="4113" spans="1:10" x14ac:dyDescent="0.35">
      <c r="A4113">
        <v>4097</v>
      </c>
      <c r="B4113" s="75">
        <v>90.27</v>
      </c>
      <c r="C4113" s="75">
        <v>97.88</v>
      </c>
      <c r="D4113" s="75">
        <v>93.23</v>
      </c>
      <c r="E4113" s="75">
        <v>93.01</v>
      </c>
      <c r="F4113">
        <v>-2363.1299999999997</v>
      </c>
      <c r="G4113">
        <v>489</v>
      </c>
      <c r="H4113">
        <v>-825</v>
      </c>
      <c r="I4113">
        <v>368.8</v>
      </c>
      <c r="J4113">
        <v>-2330.3299999999995</v>
      </c>
    </row>
    <row r="4114" spans="1:10" x14ac:dyDescent="0.35">
      <c r="A4114">
        <v>4098</v>
      </c>
      <c r="B4114" s="75">
        <v>90.075999999999993</v>
      </c>
      <c r="C4114" s="75">
        <v>99.137200000000007</v>
      </c>
      <c r="D4114" s="75">
        <v>91.182599999999994</v>
      </c>
      <c r="E4114" s="75">
        <v>93.797300000000007</v>
      </c>
      <c r="F4114">
        <v>-1723.9199999999998</v>
      </c>
      <c r="G4114">
        <v>-1390.95</v>
      </c>
      <c r="H4114">
        <v>3267</v>
      </c>
      <c r="I4114">
        <v>-416.7</v>
      </c>
      <c r="J4114">
        <v>-264.56999999999988</v>
      </c>
    </row>
    <row r="4115" spans="1:10" x14ac:dyDescent="0.35">
      <c r="A4115">
        <v>4099</v>
      </c>
      <c r="B4115" s="75">
        <v>90.14</v>
      </c>
      <c r="C4115" s="75">
        <v>98.81</v>
      </c>
      <c r="D4115" s="75">
        <v>89.73</v>
      </c>
      <c r="E4115" s="75">
        <v>92.53</v>
      </c>
      <c r="F4115">
        <v>-1948.3200000000002</v>
      </c>
      <c r="G4115">
        <v>-903.44999999999993</v>
      </c>
      <c r="H4115">
        <v>6171.8</v>
      </c>
      <c r="I4115">
        <v>854.6</v>
      </c>
      <c r="J4115">
        <v>4174.63</v>
      </c>
    </row>
    <row r="4116" spans="1:10" x14ac:dyDescent="0.35">
      <c r="A4116">
        <v>4100</v>
      </c>
      <c r="B4116" s="75">
        <v>88.742099999999994</v>
      </c>
      <c r="C4116" s="75">
        <v>97.814099999999996</v>
      </c>
      <c r="D4116" s="75">
        <v>93.642799999999994</v>
      </c>
      <c r="E4116" s="75">
        <v>93.178799999999995</v>
      </c>
      <c r="F4116">
        <v>2677.95</v>
      </c>
      <c r="G4116">
        <v>593.69999999999993</v>
      </c>
      <c r="H4116">
        <v>-1653.4</v>
      </c>
      <c r="I4116">
        <v>201.8</v>
      </c>
      <c r="J4116">
        <v>1820.0499999999995</v>
      </c>
    </row>
    <row r="4117" spans="1:10" x14ac:dyDescent="0.35">
      <c r="A4117">
        <v>4101</v>
      </c>
      <c r="B4117" s="75">
        <v>89.74</v>
      </c>
      <c r="C4117" s="75">
        <v>98.43</v>
      </c>
      <c r="D4117" s="75">
        <v>92.21</v>
      </c>
      <c r="E4117" s="75">
        <v>93.28</v>
      </c>
      <c r="F4117">
        <v>-616.11</v>
      </c>
      <c r="G4117">
        <v>-332.1</v>
      </c>
      <c r="H4117">
        <v>1205.2</v>
      </c>
      <c r="I4117">
        <v>105.1</v>
      </c>
      <c r="J4117">
        <v>362.09000000000003</v>
      </c>
    </row>
    <row r="4118" spans="1:10" x14ac:dyDescent="0.35">
      <c r="A4118">
        <v>4102</v>
      </c>
      <c r="B4118" s="75">
        <v>89.518199999999993</v>
      </c>
      <c r="C4118" s="75">
        <v>98.590299999999999</v>
      </c>
      <c r="D4118" s="75">
        <v>91.575800000000001</v>
      </c>
      <c r="E4118" s="75">
        <v>94.070899999999995</v>
      </c>
      <c r="F4118">
        <v>116.82000000000001</v>
      </c>
      <c r="G4118">
        <v>-570.6</v>
      </c>
      <c r="H4118">
        <v>2480.6</v>
      </c>
      <c r="I4118">
        <v>-690.30000000000007</v>
      </c>
      <c r="J4118">
        <v>1336.52</v>
      </c>
    </row>
    <row r="4119" spans="1:10" x14ac:dyDescent="0.35">
      <c r="A4119">
        <v>4103</v>
      </c>
      <c r="B4119" s="75">
        <v>89.67</v>
      </c>
      <c r="C4119" s="75">
        <v>97.6</v>
      </c>
      <c r="D4119" s="75">
        <v>93.61</v>
      </c>
      <c r="E4119" s="75">
        <v>92.67</v>
      </c>
      <c r="F4119">
        <v>-371.90999999999997</v>
      </c>
      <c r="G4119">
        <v>909.15</v>
      </c>
      <c r="H4119">
        <v>-1584.8</v>
      </c>
      <c r="I4119">
        <v>714.9</v>
      </c>
      <c r="J4119">
        <v>-332.65999999999997</v>
      </c>
    </row>
    <row r="4120" spans="1:10" x14ac:dyDescent="0.35">
      <c r="A4120">
        <v>4104</v>
      </c>
      <c r="B4120" s="75">
        <v>88.790499999999994</v>
      </c>
      <c r="C4120" s="75">
        <v>98.939300000000003</v>
      </c>
      <c r="D4120" s="75">
        <v>92.921199999999999</v>
      </c>
      <c r="E4120" s="75">
        <v>93.699100000000001</v>
      </c>
      <c r="F4120">
        <v>2518.23</v>
      </c>
      <c r="G4120">
        <v>-1094.1000000000001</v>
      </c>
      <c r="H4120">
        <v>-210.2</v>
      </c>
      <c r="I4120">
        <v>-318.5</v>
      </c>
      <c r="J4120">
        <v>895.42999999999984</v>
      </c>
    </row>
    <row r="4121" spans="1:10" x14ac:dyDescent="0.35">
      <c r="A4121">
        <v>4105</v>
      </c>
      <c r="B4121" s="75">
        <v>89.01</v>
      </c>
      <c r="C4121" s="75">
        <v>98.01</v>
      </c>
      <c r="D4121" s="75">
        <v>92.66</v>
      </c>
      <c r="E4121" s="75">
        <v>91.33</v>
      </c>
      <c r="F4121">
        <v>1781.0099999999998</v>
      </c>
      <c r="G4121">
        <v>301.34999999999997</v>
      </c>
      <c r="H4121">
        <v>306.39999999999998</v>
      </c>
      <c r="I4121">
        <v>2053.4</v>
      </c>
      <c r="J4121">
        <v>4442.16</v>
      </c>
    </row>
    <row r="4122" spans="1:10" x14ac:dyDescent="0.35">
      <c r="A4122">
        <v>4106</v>
      </c>
      <c r="B4122" s="75">
        <v>89.091700000000003</v>
      </c>
      <c r="C4122" s="75">
        <v>98.944800000000001</v>
      </c>
      <c r="D4122" s="75">
        <v>94.413399999999996</v>
      </c>
      <c r="E4122" s="75">
        <v>93.832300000000004</v>
      </c>
      <c r="F4122">
        <v>1524.27</v>
      </c>
      <c r="G4122">
        <v>-1102.3499999999999</v>
      </c>
      <c r="H4122">
        <v>-3194.6</v>
      </c>
      <c r="I4122">
        <v>-451.7</v>
      </c>
      <c r="J4122">
        <v>-3224.3799999999997</v>
      </c>
    </row>
    <row r="4123" spans="1:10" x14ac:dyDescent="0.35">
      <c r="A4123">
        <v>4107</v>
      </c>
      <c r="B4123" s="75">
        <v>88.5</v>
      </c>
      <c r="C4123" s="75">
        <v>97.83</v>
      </c>
      <c r="D4123" s="75">
        <v>92.57</v>
      </c>
      <c r="E4123" s="75">
        <v>92.01</v>
      </c>
      <c r="F4123">
        <v>3476.55</v>
      </c>
      <c r="G4123">
        <v>576.9</v>
      </c>
      <c r="H4123">
        <v>483.4</v>
      </c>
      <c r="I4123">
        <v>1372.4</v>
      </c>
      <c r="J4123">
        <v>5909.25</v>
      </c>
    </row>
    <row r="4124" spans="1:10" x14ac:dyDescent="0.35">
      <c r="A4124">
        <v>4108</v>
      </c>
      <c r="B4124" s="75">
        <v>90.4465</v>
      </c>
      <c r="C4124" s="75">
        <v>98.220299999999995</v>
      </c>
      <c r="D4124" s="75">
        <v>93.323899999999995</v>
      </c>
      <c r="E4124" s="75">
        <v>92.8369</v>
      </c>
      <c r="F4124">
        <v>-2946.57</v>
      </c>
      <c r="G4124">
        <v>-15.6</v>
      </c>
      <c r="H4124">
        <v>-1015.6</v>
      </c>
      <c r="I4124">
        <v>543.69999999999993</v>
      </c>
      <c r="J4124">
        <v>-3434.07</v>
      </c>
    </row>
    <row r="4125" spans="1:10" x14ac:dyDescent="0.35">
      <c r="A4125">
        <v>4109</v>
      </c>
      <c r="B4125" s="75">
        <v>90.04</v>
      </c>
      <c r="C4125" s="75">
        <v>99.33</v>
      </c>
      <c r="D4125" s="75">
        <v>93.59</v>
      </c>
      <c r="E4125" s="75">
        <v>94.77</v>
      </c>
      <c r="F4125">
        <v>-1620.3</v>
      </c>
      <c r="G4125">
        <v>-1681.95</v>
      </c>
      <c r="H4125">
        <v>-1548.6</v>
      </c>
      <c r="I4125">
        <v>-1391</v>
      </c>
      <c r="J4125">
        <v>-6241.85</v>
      </c>
    </row>
    <row r="4126" spans="1:10" x14ac:dyDescent="0.35">
      <c r="A4126">
        <v>4110</v>
      </c>
      <c r="B4126" s="75">
        <v>90.458600000000004</v>
      </c>
      <c r="C4126" s="75">
        <v>99.314499999999995</v>
      </c>
      <c r="D4126" s="75">
        <v>92.617199999999997</v>
      </c>
      <c r="E4126" s="75">
        <v>90.968199999999996</v>
      </c>
      <c r="F4126">
        <v>-2986.5</v>
      </c>
      <c r="G4126">
        <v>-1656.9</v>
      </c>
      <c r="H4126">
        <v>397.8</v>
      </c>
      <c r="I4126">
        <v>2412.4</v>
      </c>
      <c r="J4126">
        <v>-1833.1999999999994</v>
      </c>
    </row>
    <row r="4127" spans="1:10" x14ac:dyDescent="0.35">
      <c r="A4127">
        <v>4111</v>
      </c>
      <c r="B4127" s="75">
        <v>88.94</v>
      </c>
      <c r="C4127" s="75">
        <v>97.56</v>
      </c>
      <c r="D4127" s="75">
        <v>91.18</v>
      </c>
      <c r="E4127" s="75">
        <v>91.78</v>
      </c>
      <c r="F4127">
        <v>2010.03</v>
      </c>
      <c r="G4127">
        <v>981.15</v>
      </c>
      <c r="H4127">
        <v>3263</v>
      </c>
      <c r="I4127">
        <v>1597.8000000000002</v>
      </c>
      <c r="J4127">
        <v>7851.9800000000005</v>
      </c>
    </row>
    <row r="4128" spans="1:10" x14ac:dyDescent="0.35">
      <c r="A4128">
        <v>4112</v>
      </c>
      <c r="B4128" s="75">
        <v>89.867699999999999</v>
      </c>
      <c r="C4128" s="75">
        <v>97.543899999999994</v>
      </c>
      <c r="D4128" s="75">
        <v>93.580799999999996</v>
      </c>
      <c r="E4128" s="75">
        <v>92.304599999999994</v>
      </c>
      <c r="F4128">
        <v>-1036.53</v>
      </c>
      <c r="G4128">
        <v>999</v>
      </c>
      <c r="H4128">
        <v>-1529.4</v>
      </c>
      <c r="I4128">
        <v>1076</v>
      </c>
      <c r="J4128">
        <v>-490.93000000000006</v>
      </c>
    </row>
    <row r="4129" spans="1:10" x14ac:dyDescent="0.35">
      <c r="A4129">
        <v>4113</v>
      </c>
      <c r="B4129" s="75">
        <v>89.39</v>
      </c>
      <c r="C4129" s="75">
        <v>100.02</v>
      </c>
      <c r="D4129" s="75">
        <v>94.25</v>
      </c>
      <c r="E4129" s="75">
        <v>93</v>
      </c>
      <c r="F4129">
        <v>538.89</v>
      </c>
      <c r="G4129">
        <v>-2721.15</v>
      </c>
      <c r="H4129">
        <v>-2862.2000000000003</v>
      </c>
      <c r="I4129">
        <v>380.90000000000003</v>
      </c>
      <c r="J4129">
        <v>-4663.5600000000013</v>
      </c>
    </row>
    <row r="4130" spans="1:10" x14ac:dyDescent="0.35">
      <c r="A4130">
        <v>4114</v>
      </c>
      <c r="B4130" s="75">
        <v>89.495400000000004</v>
      </c>
      <c r="C4130" s="75">
        <v>98.498999999999995</v>
      </c>
      <c r="D4130" s="75">
        <v>93.716399999999993</v>
      </c>
      <c r="E4130" s="75">
        <v>94.427800000000005</v>
      </c>
      <c r="F4130">
        <v>192.06</v>
      </c>
      <c r="G4130">
        <v>-433.65000000000003</v>
      </c>
      <c r="H4130">
        <v>-1800.6</v>
      </c>
      <c r="I4130">
        <v>-1047.1999999999998</v>
      </c>
      <c r="J4130">
        <v>-3089.39</v>
      </c>
    </row>
    <row r="4131" spans="1:10" x14ac:dyDescent="0.35">
      <c r="A4131">
        <v>4115</v>
      </c>
      <c r="B4131" s="75">
        <v>89.71</v>
      </c>
      <c r="C4131" s="75">
        <v>99.39</v>
      </c>
      <c r="D4131" s="75">
        <v>92.06</v>
      </c>
      <c r="E4131" s="75">
        <v>93.04</v>
      </c>
      <c r="F4131">
        <v>-525.03</v>
      </c>
      <c r="G4131">
        <v>-1772.25</v>
      </c>
      <c r="H4131">
        <v>1517</v>
      </c>
      <c r="I4131">
        <v>336.8</v>
      </c>
      <c r="J4131">
        <v>-443.47999999999973</v>
      </c>
    </row>
    <row r="4132" spans="1:10" x14ac:dyDescent="0.35">
      <c r="A4132">
        <v>4116</v>
      </c>
      <c r="B4132" s="75">
        <v>90.152600000000007</v>
      </c>
      <c r="C4132" s="75">
        <v>97.590400000000002</v>
      </c>
      <c r="D4132" s="75">
        <v>93.147999999999996</v>
      </c>
      <c r="E4132" s="75">
        <v>91.822900000000004</v>
      </c>
      <c r="F4132">
        <v>-1976.6999999999998</v>
      </c>
      <c r="G4132">
        <v>929.25000000000011</v>
      </c>
      <c r="H4132">
        <v>-663.8</v>
      </c>
      <c r="I4132">
        <v>1557.7</v>
      </c>
      <c r="J4132">
        <v>-153.54999999999973</v>
      </c>
    </row>
    <row r="4133" spans="1:10" x14ac:dyDescent="0.35">
      <c r="A4133">
        <v>4117</v>
      </c>
      <c r="B4133" s="75">
        <v>88.89</v>
      </c>
      <c r="C4133" s="75">
        <v>96.97</v>
      </c>
      <c r="D4133" s="75">
        <v>92.92</v>
      </c>
      <c r="E4133" s="75">
        <v>96.03</v>
      </c>
      <c r="F4133">
        <v>2185.2600000000002</v>
      </c>
      <c r="G4133">
        <v>1862.85</v>
      </c>
      <c r="H4133">
        <v>-212.60000000000002</v>
      </c>
      <c r="I4133">
        <v>-2649.9</v>
      </c>
      <c r="J4133">
        <v>1185.6100000000001</v>
      </c>
    </row>
    <row r="4134" spans="1:10" x14ac:dyDescent="0.35">
      <c r="A4134">
        <v>4118</v>
      </c>
      <c r="B4134" s="75">
        <v>90.311199999999999</v>
      </c>
      <c r="C4134" s="75">
        <v>98.038600000000002</v>
      </c>
      <c r="D4134" s="75">
        <v>90.394000000000005</v>
      </c>
      <c r="E4134" s="75">
        <v>94.637699999999995</v>
      </c>
      <c r="F4134">
        <v>-2500.0800000000004</v>
      </c>
      <c r="G4134">
        <v>256.95</v>
      </c>
      <c r="H4134">
        <v>4844.2</v>
      </c>
      <c r="I4134">
        <v>-1257.1000000000001</v>
      </c>
      <c r="J4134">
        <v>1343.9699999999991</v>
      </c>
    </row>
    <row r="4135" spans="1:10" x14ac:dyDescent="0.35">
      <c r="A4135">
        <v>4119</v>
      </c>
      <c r="B4135" s="75">
        <v>89.3</v>
      </c>
      <c r="C4135" s="75">
        <v>98.3</v>
      </c>
      <c r="D4135" s="75">
        <v>91.13</v>
      </c>
      <c r="E4135" s="75">
        <v>94.01</v>
      </c>
      <c r="F4135">
        <v>831.93</v>
      </c>
      <c r="G4135">
        <v>-138.9</v>
      </c>
      <c r="H4135">
        <v>3381.4</v>
      </c>
      <c r="I4135">
        <v>-634</v>
      </c>
      <c r="J4135">
        <v>3440.4300000000003</v>
      </c>
    </row>
    <row r="4136" spans="1:10" x14ac:dyDescent="0.35">
      <c r="A4136">
        <v>4120</v>
      </c>
      <c r="B4136" s="75">
        <v>89.688900000000004</v>
      </c>
      <c r="C4136" s="75">
        <v>97.683999999999997</v>
      </c>
      <c r="D4136" s="75">
        <v>93.012</v>
      </c>
      <c r="E4136" s="75">
        <v>92.054699999999997</v>
      </c>
      <c r="F4136">
        <v>-446.49</v>
      </c>
      <c r="G4136">
        <v>788.85</v>
      </c>
      <c r="H4136">
        <v>-391.79999999999995</v>
      </c>
      <c r="I4136">
        <v>1325.9</v>
      </c>
      <c r="J4136">
        <v>1276.46</v>
      </c>
    </row>
    <row r="4137" spans="1:10" x14ac:dyDescent="0.35">
      <c r="A4137">
        <v>4121</v>
      </c>
      <c r="B4137" s="75">
        <v>89.06</v>
      </c>
      <c r="C4137" s="75">
        <v>97.75</v>
      </c>
      <c r="D4137" s="75">
        <v>91.18</v>
      </c>
      <c r="E4137" s="75">
        <v>94.43</v>
      </c>
      <c r="F4137">
        <v>1636.47</v>
      </c>
      <c r="G4137">
        <v>694.5</v>
      </c>
      <c r="H4137">
        <v>3275.6</v>
      </c>
      <c r="I4137">
        <v>-1053.5</v>
      </c>
      <c r="J4137">
        <v>4553.07</v>
      </c>
    </row>
    <row r="4138" spans="1:10" x14ac:dyDescent="0.35">
      <c r="A4138">
        <v>4122</v>
      </c>
      <c r="B4138" s="75">
        <v>88.999300000000005</v>
      </c>
      <c r="C4138" s="75">
        <v>96.867599999999996</v>
      </c>
      <c r="D4138" s="75">
        <v>92.357399999999998</v>
      </c>
      <c r="E4138" s="75">
        <v>91.158500000000004</v>
      </c>
      <c r="F4138">
        <v>1829.19</v>
      </c>
      <c r="G4138">
        <v>2013.45</v>
      </c>
      <c r="H4138">
        <v>917.4</v>
      </c>
      <c r="I4138">
        <v>2222.1000000000004</v>
      </c>
      <c r="J4138">
        <v>6982.14</v>
      </c>
    </row>
    <row r="4139" spans="1:10" x14ac:dyDescent="0.35">
      <c r="A4139">
        <v>4123</v>
      </c>
      <c r="B4139" s="75">
        <v>89.57</v>
      </c>
      <c r="C4139" s="75">
        <v>98.33</v>
      </c>
      <c r="D4139" s="75">
        <v>91.24</v>
      </c>
      <c r="E4139" s="75">
        <v>95.16</v>
      </c>
      <c r="F4139">
        <v>-68.97</v>
      </c>
      <c r="G4139">
        <v>-186.45</v>
      </c>
      <c r="H4139">
        <v>3152.6</v>
      </c>
      <c r="I4139">
        <v>-1781</v>
      </c>
      <c r="J4139">
        <v>1116.1799999999998</v>
      </c>
    </row>
    <row r="4140" spans="1:10" x14ac:dyDescent="0.35">
      <c r="A4140">
        <v>4124</v>
      </c>
      <c r="B4140" s="75">
        <v>90.530500000000004</v>
      </c>
      <c r="C4140" s="75">
        <v>98.764200000000002</v>
      </c>
      <c r="D4140" s="75">
        <v>91.166300000000007</v>
      </c>
      <c r="E4140" s="75">
        <v>93.953400000000002</v>
      </c>
      <c r="F4140">
        <v>-3223.77</v>
      </c>
      <c r="G4140">
        <v>-831.45</v>
      </c>
      <c r="H4140">
        <v>3299.6</v>
      </c>
      <c r="I4140">
        <v>-572.79999999999995</v>
      </c>
      <c r="J4140">
        <v>-1328.4200000000003</v>
      </c>
    </row>
    <row r="4141" spans="1:10" x14ac:dyDescent="0.35">
      <c r="A4141">
        <v>4125</v>
      </c>
      <c r="B4141" s="75">
        <v>90.13</v>
      </c>
      <c r="C4141" s="75">
        <v>98.06</v>
      </c>
      <c r="D4141" s="75">
        <v>93.08</v>
      </c>
      <c r="E4141" s="75">
        <v>90.61</v>
      </c>
      <c r="F4141">
        <v>-1891.89</v>
      </c>
      <c r="G4141">
        <v>228.15</v>
      </c>
      <c r="H4141">
        <v>-531.80000000000007</v>
      </c>
      <c r="I4141">
        <v>2772</v>
      </c>
      <c r="J4141">
        <v>576.46</v>
      </c>
    </row>
    <row r="4142" spans="1:10" x14ac:dyDescent="0.35">
      <c r="A4142">
        <v>4126</v>
      </c>
      <c r="B4142" s="75">
        <v>89.716899999999995</v>
      </c>
      <c r="C4142" s="75">
        <v>96.785899999999998</v>
      </c>
      <c r="D4142" s="75">
        <v>91.004900000000006</v>
      </c>
      <c r="E4142" s="75">
        <v>93.355699999999999</v>
      </c>
      <c r="F4142">
        <v>-538.89</v>
      </c>
      <c r="G4142">
        <v>2136</v>
      </c>
      <c r="H4142">
        <v>3622.3999999999996</v>
      </c>
      <c r="I4142">
        <v>24.9</v>
      </c>
      <c r="J4142">
        <v>5244.41</v>
      </c>
    </row>
    <row r="4143" spans="1:10" x14ac:dyDescent="0.35">
      <c r="A4143">
        <v>4127</v>
      </c>
      <c r="B4143" s="75">
        <v>89.15</v>
      </c>
      <c r="C4143" s="75">
        <v>98.47</v>
      </c>
      <c r="D4143" s="75">
        <v>93.53</v>
      </c>
      <c r="E4143" s="75">
        <v>91.61</v>
      </c>
      <c r="F4143">
        <v>1340.13</v>
      </c>
      <c r="G4143">
        <v>-390.75</v>
      </c>
      <c r="H4143">
        <v>-1433</v>
      </c>
      <c r="I4143">
        <v>1773.4</v>
      </c>
      <c r="J4143">
        <v>1289.7800000000002</v>
      </c>
    </row>
    <row r="4144" spans="1:10" x14ac:dyDescent="0.35">
      <c r="A4144">
        <v>4128</v>
      </c>
      <c r="B4144" s="75">
        <v>89.860399999999998</v>
      </c>
      <c r="C4144" s="75">
        <v>97.932500000000005</v>
      </c>
      <c r="D4144" s="75">
        <v>94.223500000000001</v>
      </c>
      <c r="E4144" s="75">
        <v>92.563100000000006</v>
      </c>
      <c r="F4144">
        <v>-1012.44</v>
      </c>
      <c r="G4144">
        <v>416.09999999999997</v>
      </c>
      <c r="H4144">
        <v>-2814.8</v>
      </c>
      <c r="I4144">
        <v>817.5</v>
      </c>
      <c r="J4144">
        <v>-2593.6400000000003</v>
      </c>
    </row>
    <row r="4145" spans="1:10" x14ac:dyDescent="0.35">
      <c r="A4145">
        <v>4129</v>
      </c>
      <c r="B4145" s="75">
        <v>89.36</v>
      </c>
      <c r="C4145" s="75">
        <v>99.28</v>
      </c>
      <c r="D4145" s="75">
        <v>93.18</v>
      </c>
      <c r="E4145" s="75">
        <v>94.93</v>
      </c>
      <c r="F4145">
        <v>627.66000000000008</v>
      </c>
      <c r="G4145">
        <v>-1602.75</v>
      </c>
      <c r="H4145">
        <v>-733.19999999999993</v>
      </c>
      <c r="I4145">
        <v>-1553.1</v>
      </c>
      <c r="J4145">
        <v>-3261.39</v>
      </c>
    </row>
    <row r="4146" spans="1:10" x14ac:dyDescent="0.35">
      <c r="A4146">
        <v>4130</v>
      </c>
      <c r="B4146" s="75">
        <v>90.553299999999993</v>
      </c>
      <c r="C4146" s="75">
        <v>97.456500000000005</v>
      </c>
      <c r="D4146" s="75">
        <v>91.8249</v>
      </c>
      <c r="E4146" s="75">
        <v>97.706599999999995</v>
      </c>
      <c r="F4146">
        <v>-3299.01</v>
      </c>
      <c r="G4146">
        <v>1130.0999999999999</v>
      </c>
      <c r="H4146">
        <v>1982.3999999999999</v>
      </c>
      <c r="I4146">
        <v>-4326</v>
      </c>
      <c r="J4146">
        <v>-4512.51</v>
      </c>
    </row>
    <row r="4147" spans="1:10" x14ac:dyDescent="0.35">
      <c r="A4147">
        <v>4131</v>
      </c>
      <c r="B4147" s="75">
        <v>90.83</v>
      </c>
      <c r="C4147" s="75">
        <v>96.91</v>
      </c>
      <c r="D4147" s="75">
        <v>93.91</v>
      </c>
      <c r="E4147" s="75">
        <v>91.17</v>
      </c>
      <c r="F4147">
        <v>-4217.3999999999996</v>
      </c>
      <c r="G4147">
        <v>1945.1999999999998</v>
      </c>
      <c r="H4147">
        <v>-2182</v>
      </c>
      <c r="I4147">
        <v>2208.1</v>
      </c>
      <c r="J4147">
        <v>-2246.1</v>
      </c>
    </row>
    <row r="4148" spans="1:10" x14ac:dyDescent="0.35">
      <c r="A4148">
        <v>4132</v>
      </c>
      <c r="B4148" s="75">
        <v>88.734099999999998</v>
      </c>
      <c r="C4148" s="75">
        <v>97.689700000000002</v>
      </c>
      <c r="D4148" s="75">
        <v>95.416600000000003</v>
      </c>
      <c r="E4148" s="75">
        <v>92.296999999999997</v>
      </c>
      <c r="F4148">
        <v>2704.35</v>
      </c>
      <c r="G4148">
        <v>780.3</v>
      </c>
      <c r="H4148">
        <v>-5201</v>
      </c>
      <c r="I4148">
        <v>1083.5999999999999</v>
      </c>
      <c r="J4148">
        <v>-632.75000000000045</v>
      </c>
    </row>
    <row r="4149" spans="1:10" x14ac:dyDescent="0.35">
      <c r="A4149">
        <v>4133</v>
      </c>
      <c r="B4149" s="75">
        <v>89.6</v>
      </c>
      <c r="C4149" s="75">
        <v>97.21</v>
      </c>
      <c r="D4149" s="75">
        <v>92.81</v>
      </c>
      <c r="E4149" s="75">
        <v>93.76</v>
      </c>
      <c r="F4149">
        <v>-156.41999999999999</v>
      </c>
      <c r="G4149">
        <v>1493.55</v>
      </c>
      <c r="H4149">
        <v>18</v>
      </c>
      <c r="I4149">
        <v>-379.2</v>
      </c>
      <c r="J4149">
        <v>975.92999999999984</v>
      </c>
    </row>
    <row r="4150" spans="1:10" x14ac:dyDescent="0.35">
      <c r="A4150">
        <v>4134</v>
      </c>
      <c r="B4150" s="75">
        <v>89.177400000000006</v>
      </c>
      <c r="C4150" s="75">
        <v>96.964600000000004</v>
      </c>
      <c r="D4150" s="75">
        <v>92.151700000000005</v>
      </c>
      <c r="E4150" s="75">
        <v>94.689599999999999</v>
      </c>
      <c r="F4150">
        <v>1241.46</v>
      </c>
      <c r="G4150">
        <v>1867.95</v>
      </c>
      <c r="H4150">
        <v>1328.8</v>
      </c>
      <c r="I4150">
        <v>-1309</v>
      </c>
      <c r="J4150">
        <v>3129.21</v>
      </c>
    </row>
    <row r="4151" spans="1:10" x14ac:dyDescent="0.35">
      <c r="A4151">
        <v>4135</v>
      </c>
      <c r="B4151" s="75">
        <v>89.16</v>
      </c>
      <c r="C4151" s="75">
        <v>98.93</v>
      </c>
      <c r="D4151" s="75">
        <v>92.97</v>
      </c>
      <c r="E4151" s="75">
        <v>90.4</v>
      </c>
      <c r="F4151">
        <v>1293.6000000000001</v>
      </c>
      <c r="G4151">
        <v>-1082.25</v>
      </c>
      <c r="H4151">
        <v>-305.59999999999997</v>
      </c>
      <c r="I4151">
        <v>2982.6000000000004</v>
      </c>
      <c r="J4151">
        <v>2888.3500000000004</v>
      </c>
    </row>
    <row r="4152" spans="1:10" x14ac:dyDescent="0.35">
      <c r="A4152">
        <v>4136</v>
      </c>
      <c r="B4152" s="75">
        <v>89.052300000000002</v>
      </c>
      <c r="C4152" s="75">
        <v>98.921599999999998</v>
      </c>
      <c r="D4152" s="75">
        <v>93.521299999999997</v>
      </c>
      <c r="E4152" s="75">
        <v>92.679100000000005</v>
      </c>
      <c r="F4152">
        <v>1654.29</v>
      </c>
      <c r="G4152">
        <v>-1067.55</v>
      </c>
      <c r="H4152">
        <v>-1410.4</v>
      </c>
      <c r="I4152">
        <v>701.5</v>
      </c>
      <c r="J4152">
        <v>-122.16000000000008</v>
      </c>
    </row>
    <row r="4153" spans="1:10" x14ac:dyDescent="0.35">
      <c r="A4153">
        <v>4137</v>
      </c>
      <c r="B4153" s="75">
        <v>88.85</v>
      </c>
      <c r="C4153" s="75">
        <v>100.02</v>
      </c>
      <c r="D4153" s="75">
        <v>92.55</v>
      </c>
      <c r="E4153" s="75">
        <v>91.36</v>
      </c>
      <c r="F4153">
        <v>2306.6999999999998</v>
      </c>
      <c r="G4153">
        <v>-2710.2</v>
      </c>
      <c r="H4153">
        <v>522.4</v>
      </c>
      <c r="I4153">
        <v>2024.9</v>
      </c>
      <c r="J4153">
        <v>2143.8000000000002</v>
      </c>
    </row>
    <row r="4154" spans="1:10" x14ac:dyDescent="0.35">
      <c r="A4154">
        <v>4138</v>
      </c>
      <c r="B4154" s="75">
        <v>90.597300000000004</v>
      </c>
      <c r="C4154" s="75">
        <v>98.411000000000001</v>
      </c>
      <c r="D4154" s="75">
        <v>93.751099999999994</v>
      </c>
      <c r="E4154" s="75">
        <v>93.343999999999994</v>
      </c>
      <c r="F4154">
        <v>-3444.21</v>
      </c>
      <c r="G4154">
        <v>-301.64999999999998</v>
      </c>
      <c r="H4154">
        <v>-1870</v>
      </c>
      <c r="I4154">
        <v>36.6</v>
      </c>
      <c r="J4154">
        <v>-5579.26</v>
      </c>
    </row>
    <row r="4155" spans="1:10" x14ac:dyDescent="0.35">
      <c r="A4155">
        <v>4139</v>
      </c>
      <c r="B4155" s="75">
        <v>88.41</v>
      </c>
      <c r="C4155" s="75">
        <v>97.74</v>
      </c>
      <c r="D4155" s="75">
        <v>92.13</v>
      </c>
      <c r="E4155" s="75">
        <v>93.54</v>
      </c>
      <c r="F4155">
        <v>3783.4500000000003</v>
      </c>
      <c r="G4155">
        <v>710.1</v>
      </c>
      <c r="H4155">
        <v>1373.6</v>
      </c>
      <c r="I4155">
        <v>-160.5</v>
      </c>
      <c r="J4155">
        <v>5706.65</v>
      </c>
    </row>
    <row r="4156" spans="1:10" x14ac:dyDescent="0.35">
      <c r="A4156">
        <v>4140</v>
      </c>
      <c r="B4156" s="75">
        <v>89.447999999999993</v>
      </c>
      <c r="C4156" s="75">
        <v>98.351299999999995</v>
      </c>
      <c r="D4156" s="75">
        <v>93.5137</v>
      </c>
      <c r="E4156" s="75">
        <v>90.596999999999994</v>
      </c>
      <c r="F4156">
        <v>348.48</v>
      </c>
      <c r="G4156">
        <v>-212.1</v>
      </c>
      <c r="H4156">
        <v>-1395.2</v>
      </c>
      <c r="I4156">
        <v>2783.6</v>
      </c>
      <c r="J4156">
        <v>1524.78</v>
      </c>
    </row>
    <row r="4157" spans="1:10" x14ac:dyDescent="0.35">
      <c r="A4157">
        <v>4141</v>
      </c>
      <c r="B4157" s="75">
        <v>89.15</v>
      </c>
      <c r="C4157" s="75">
        <v>98.24</v>
      </c>
      <c r="D4157" s="75">
        <v>94.05</v>
      </c>
      <c r="E4157" s="75">
        <v>92.94</v>
      </c>
      <c r="F4157">
        <v>1324.62</v>
      </c>
      <c r="G4157">
        <v>-38.1</v>
      </c>
      <c r="H4157">
        <v>-2476</v>
      </c>
      <c r="I4157">
        <v>439.40000000000003</v>
      </c>
      <c r="J4157">
        <v>-750.07999999999993</v>
      </c>
    </row>
    <row r="4158" spans="1:10" x14ac:dyDescent="0.35">
      <c r="A4158">
        <v>4142</v>
      </c>
      <c r="B4158" s="75">
        <v>88.441599999999994</v>
      </c>
      <c r="C4158" s="75">
        <v>98.570499999999996</v>
      </c>
      <c r="D4158" s="75">
        <v>92.729900000000001</v>
      </c>
      <c r="E4158" s="75">
        <v>94.234300000000005</v>
      </c>
      <c r="F4158">
        <v>3669.6000000000004</v>
      </c>
      <c r="G4158">
        <v>-540.9</v>
      </c>
      <c r="H4158">
        <v>172.4</v>
      </c>
      <c r="I4158">
        <v>-853.7</v>
      </c>
      <c r="J4158">
        <v>2447.4000000000005</v>
      </c>
    </row>
    <row r="4159" spans="1:10" x14ac:dyDescent="0.35">
      <c r="A4159">
        <v>4143</v>
      </c>
      <c r="B4159" s="75">
        <v>89.09</v>
      </c>
      <c r="C4159" s="75">
        <v>97.12</v>
      </c>
      <c r="D4159" s="75">
        <v>90.95</v>
      </c>
      <c r="E4159" s="75">
        <v>94.37</v>
      </c>
      <c r="F4159">
        <v>1516.3500000000001</v>
      </c>
      <c r="G4159">
        <v>1627.9499999999998</v>
      </c>
      <c r="H4159">
        <v>3732.4</v>
      </c>
      <c r="I4159">
        <v>-988.6</v>
      </c>
      <c r="J4159">
        <v>5888.1</v>
      </c>
    </row>
    <row r="4160" spans="1:10" x14ac:dyDescent="0.35">
      <c r="A4160">
        <v>4144</v>
      </c>
      <c r="B4160" s="75">
        <v>88.8887</v>
      </c>
      <c r="C4160" s="75">
        <v>97.539599999999993</v>
      </c>
      <c r="D4160" s="75">
        <v>92.147300000000001</v>
      </c>
      <c r="E4160" s="75">
        <v>94.053299999999993</v>
      </c>
      <c r="F4160">
        <v>2194.17</v>
      </c>
      <c r="G4160">
        <v>1005.45</v>
      </c>
      <c r="H4160">
        <v>1337.6</v>
      </c>
      <c r="I4160">
        <v>-672.69999999999993</v>
      </c>
      <c r="J4160">
        <v>3864.5199999999995</v>
      </c>
    </row>
    <row r="4161" spans="1:10" x14ac:dyDescent="0.35">
      <c r="A4161">
        <v>4145</v>
      </c>
      <c r="B4161" s="75">
        <v>89.41</v>
      </c>
      <c r="C4161" s="75">
        <v>98.54</v>
      </c>
      <c r="D4161" s="75">
        <v>91.6</v>
      </c>
      <c r="E4161" s="75">
        <v>93.91</v>
      </c>
      <c r="F4161">
        <v>478.49999999999994</v>
      </c>
      <c r="G4161">
        <v>-490.05</v>
      </c>
      <c r="H4161">
        <v>2431.1999999999998</v>
      </c>
      <c r="I4161">
        <v>-528.80000000000007</v>
      </c>
      <c r="J4161">
        <v>1890.8499999999995</v>
      </c>
    </row>
    <row r="4162" spans="1:10" x14ac:dyDescent="0.35">
      <c r="A4162">
        <v>4146</v>
      </c>
      <c r="B4162" s="75">
        <v>89.629800000000003</v>
      </c>
      <c r="C4162" s="75">
        <v>96.775099999999995</v>
      </c>
      <c r="D4162" s="75">
        <v>94.084900000000005</v>
      </c>
      <c r="E4162" s="75">
        <v>93.921400000000006</v>
      </c>
      <c r="F4162">
        <v>-251.46</v>
      </c>
      <c r="G4162">
        <v>2152.2000000000003</v>
      </c>
      <c r="H4162">
        <v>-2537.6</v>
      </c>
      <c r="I4162">
        <v>-540.79999999999995</v>
      </c>
      <c r="J4162">
        <v>-1177.6599999999996</v>
      </c>
    </row>
    <row r="4163" spans="1:10" x14ac:dyDescent="0.35">
      <c r="A4163">
        <v>4147</v>
      </c>
      <c r="B4163" s="75">
        <v>89.78</v>
      </c>
      <c r="C4163" s="75">
        <v>97.94</v>
      </c>
      <c r="D4163" s="75">
        <v>93.97</v>
      </c>
      <c r="E4163" s="75">
        <v>94.91</v>
      </c>
      <c r="F4163">
        <v>-750.42</v>
      </c>
      <c r="G4163">
        <v>399.15</v>
      </c>
      <c r="H4163">
        <v>-2306.4</v>
      </c>
      <c r="I4163">
        <v>-1528.6</v>
      </c>
      <c r="J4163">
        <v>-4186.2700000000004</v>
      </c>
    </row>
    <row r="4164" spans="1:10" x14ac:dyDescent="0.35">
      <c r="A4164">
        <v>4148</v>
      </c>
      <c r="B4164" s="75">
        <v>89.467600000000004</v>
      </c>
      <c r="C4164" s="75">
        <v>98.329599999999999</v>
      </c>
      <c r="D4164" s="75">
        <v>92.406800000000004</v>
      </c>
      <c r="E4164" s="75">
        <v>93.500200000000007</v>
      </c>
      <c r="F4164">
        <v>283.79999999999995</v>
      </c>
      <c r="G4164">
        <v>-179.55</v>
      </c>
      <c r="H4164">
        <v>818.6</v>
      </c>
      <c r="I4164">
        <v>-119.6</v>
      </c>
      <c r="J4164">
        <v>803.24999999999989</v>
      </c>
    </row>
    <row r="4165" spans="1:10" x14ac:dyDescent="0.35">
      <c r="A4165">
        <v>4149</v>
      </c>
      <c r="B4165" s="75">
        <v>89.97</v>
      </c>
      <c r="C4165" s="75">
        <v>98.69</v>
      </c>
      <c r="D4165" s="75">
        <v>93.45</v>
      </c>
      <c r="E4165" s="75">
        <v>92.72</v>
      </c>
      <c r="F4165">
        <v>-1386.66</v>
      </c>
      <c r="G4165">
        <v>-722.1</v>
      </c>
      <c r="H4165">
        <v>-1268</v>
      </c>
      <c r="I4165">
        <v>655.80000000000007</v>
      </c>
      <c r="J4165">
        <v>-2720.96</v>
      </c>
    </row>
    <row r="4166" spans="1:10" x14ac:dyDescent="0.35">
      <c r="A4166">
        <v>4150</v>
      </c>
      <c r="B4166" s="75">
        <v>89.8673</v>
      </c>
      <c r="C4166" s="75">
        <v>99.133099999999999</v>
      </c>
      <c r="D4166" s="75">
        <v>92.491799999999998</v>
      </c>
      <c r="E4166" s="75">
        <v>92.776600000000002</v>
      </c>
      <c r="F4166">
        <v>-1035.21</v>
      </c>
      <c r="G4166">
        <v>-1384.8</v>
      </c>
      <c r="H4166">
        <v>648.59999999999991</v>
      </c>
      <c r="I4166">
        <v>604</v>
      </c>
      <c r="J4166">
        <v>-1167.4100000000003</v>
      </c>
    </row>
    <row r="4167" spans="1:10" x14ac:dyDescent="0.35">
      <c r="A4167">
        <v>4151</v>
      </c>
      <c r="B4167" s="75">
        <v>89.45</v>
      </c>
      <c r="C4167" s="75">
        <v>97.9</v>
      </c>
      <c r="D4167" s="75">
        <v>93.15</v>
      </c>
      <c r="E4167" s="75">
        <v>94</v>
      </c>
      <c r="F4167">
        <v>329.01</v>
      </c>
      <c r="G4167">
        <v>459.30000000000007</v>
      </c>
      <c r="H4167">
        <v>-674</v>
      </c>
      <c r="I4167">
        <v>-616.70000000000005</v>
      </c>
      <c r="J4167">
        <v>-502.39</v>
      </c>
    </row>
    <row r="4168" spans="1:10" x14ac:dyDescent="0.35">
      <c r="A4168">
        <v>4152</v>
      </c>
      <c r="B4168" s="75">
        <v>89.371799999999993</v>
      </c>
      <c r="C4168" s="75">
        <v>98.503699999999995</v>
      </c>
      <c r="D4168" s="75">
        <v>91.912899999999993</v>
      </c>
      <c r="E4168" s="75">
        <v>92.072800000000001</v>
      </c>
      <c r="F4168">
        <v>599.93999999999994</v>
      </c>
      <c r="G4168">
        <v>-440.7</v>
      </c>
      <c r="H4168">
        <v>1806.4</v>
      </c>
      <c r="I4168">
        <v>1307.8000000000002</v>
      </c>
      <c r="J4168">
        <v>3273.4400000000005</v>
      </c>
    </row>
    <row r="4169" spans="1:10" x14ac:dyDescent="0.35">
      <c r="A4169">
        <v>4153</v>
      </c>
      <c r="B4169" s="75">
        <v>89.23</v>
      </c>
      <c r="C4169" s="75">
        <v>98.21</v>
      </c>
      <c r="D4169" s="75">
        <v>92.65</v>
      </c>
      <c r="E4169" s="75">
        <v>93.18</v>
      </c>
      <c r="F4169">
        <v>1053.03</v>
      </c>
      <c r="G4169">
        <v>0.89999999999999991</v>
      </c>
      <c r="H4169">
        <v>340.2</v>
      </c>
      <c r="I4169">
        <v>200</v>
      </c>
      <c r="J4169">
        <v>1594.13</v>
      </c>
    </row>
    <row r="4170" spans="1:10" x14ac:dyDescent="0.35">
      <c r="A4170">
        <v>4154</v>
      </c>
      <c r="B4170" s="75">
        <v>89.279300000000006</v>
      </c>
      <c r="C4170" s="75">
        <v>97.364099999999993</v>
      </c>
      <c r="D4170" s="75">
        <v>92.579499999999996</v>
      </c>
      <c r="E4170" s="75">
        <v>96.178200000000004</v>
      </c>
      <c r="F4170">
        <v>905.18999999999994</v>
      </c>
      <c r="G4170">
        <v>1268.7</v>
      </c>
      <c r="H4170">
        <v>473.2</v>
      </c>
      <c r="I4170">
        <v>-2797.6</v>
      </c>
      <c r="J4170">
        <v>-150.51000000000022</v>
      </c>
    </row>
    <row r="4171" spans="1:10" x14ac:dyDescent="0.35">
      <c r="A4171">
        <v>4155</v>
      </c>
      <c r="B4171" s="75">
        <v>90.05</v>
      </c>
      <c r="C4171" s="75">
        <v>97.08</v>
      </c>
      <c r="D4171" s="75">
        <v>91.2</v>
      </c>
      <c r="E4171" s="75">
        <v>94.07</v>
      </c>
      <c r="F4171">
        <v>-1651.32</v>
      </c>
      <c r="G4171">
        <v>1693.8</v>
      </c>
      <c r="H4171">
        <v>3223</v>
      </c>
      <c r="I4171">
        <v>-685.9</v>
      </c>
      <c r="J4171">
        <v>2579.58</v>
      </c>
    </row>
    <row r="4172" spans="1:10" x14ac:dyDescent="0.35">
      <c r="A4172">
        <v>4156</v>
      </c>
      <c r="B4172" s="75">
        <v>88.645600000000002</v>
      </c>
      <c r="C4172" s="75">
        <v>98.194199999999995</v>
      </c>
      <c r="D4172" s="75">
        <v>92.888000000000005</v>
      </c>
      <c r="E4172" s="75">
        <v>95.211799999999997</v>
      </c>
      <c r="F4172">
        <v>2996.4</v>
      </c>
      <c r="G4172">
        <v>23.549999999999997</v>
      </c>
      <c r="H4172">
        <v>-143.80000000000001</v>
      </c>
      <c r="I4172">
        <v>-1831.2</v>
      </c>
      <c r="J4172">
        <v>1044.95</v>
      </c>
    </row>
    <row r="4173" spans="1:10" x14ac:dyDescent="0.35">
      <c r="A4173">
        <v>4157</v>
      </c>
      <c r="B4173" s="75">
        <v>89.71</v>
      </c>
      <c r="C4173" s="75">
        <v>99.15</v>
      </c>
      <c r="D4173" s="75">
        <v>90.67</v>
      </c>
      <c r="E4173" s="75">
        <v>94.5</v>
      </c>
      <c r="F4173">
        <v>-529.31999999999994</v>
      </c>
      <c r="G4173">
        <v>-1407.6</v>
      </c>
      <c r="H4173">
        <v>4289.3999999999996</v>
      </c>
      <c r="I4173">
        <v>-1118.8</v>
      </c>
      <c r="J4173">
        <v>1233.6799999999996</v>
      </c>
    </row>
    <row r="4174" spans="1:10" x14ac:dyDescent="0.35">
      <c r="A4174">
        <v>4158</v>
      </c>
      <c r="B4174" s="75">
        <v>89.224000000000004</v>
      </c>
      <c r="C4174" s="75">
        <v>98.416300000000007</v>
      </c>
      <c r="D4174" s="75">
        <v>92.955699999999993</v>
      </c>
      <c r="E4174" s="75">
        <v>92.196700000000007</v>
      </c>
      <c r="F4174">
        <v>1087.68</v>
      </c>
      <c r="G4174">
        <v>-309.60000000000002</v>
      </c>
      <c r="H4174">
        <v>-279.2</v>
      </c>
      <c r="I4174">
        <v>1183.8999999999999</v>
      </c>
      <c r="J4174">
        <v>1682.78</v>
      </c>
    </row>
    <row r="4175" spans="1:10" x14ac:dyDescent="0.35">
      <c r="A4175">
        <v>4159</v>
      </c>
      <c r="B4175" s="75">
        <v>90.23</v>
      </c>
      <c r="C4175" s="75">
        <v>97.8</v>
      </c>
      <c r="D4175" s="75">
        <v>92.94</v>
      </c>
      <c r="E4175" s="75">
        <v>94.36</v>
      </c>
      <c r="F4175">
        <v>-2219.58</v>
      </c>
      <c r="G4175">
        <v>622.35</v>
      </c>
      <c r="H4175">
        <v>-251.4</v>
      </c>
      <c r="I4175">
        <v>-974.40000000000009</v>
      </c>
      <c r="J4175">
        <v>-2823.03</v>
      </c>
    </row>
    <row r="4176" spans="1:10" x14ac:dyDescent="0.35">
      <c r="A4176">
        <v>4160</v>
      </c>
      <c r="B4176" s="75">
        <v>90.0017</v>
      </c>
      <c r="C4176" s="75">
        <v>98.409499999999994</v>
      </c>
      <c r="D4176" s="75">
        <v>92.270899999999997</v>
      </c>
      <c r="E4176" s="75">
        <v>93.310400000000001</v>
      </c>
      <c r="F4176">
        <v>-1478.73</v>
      </c>
      <c r="G4176">
        <v>-299.39999999999998</v>
      </c>
      <c r="H4176">
        <v>1090.4000000000001</v>
      </c>
      <c r="I4176">
        <v>70.2</v>
      </c>
      <c r="J4176">
        <v>-617.53</v>
      </c>
    </row>
    <row r="4177" spans="1:10" x14ac:dyDescent="0.35">
      <c r="A4177">
        <v>4161</v>
      </c>
      <c r="B4177" s="75">
        <v>89.02</v>
      </c>
      <c r="C4177" s="75">
        <v>98.58</v>
      </c>
      <c r="D4177" s="75">
        <v>92.12</v>
      </c>
      <c r="E4177" s="75">
        <v>89.34</v>
      </c>
      <c r="F4177">
        <v>1748.67</v>
      </c>
      <c r="G4177">
        <v>-558</v>
      </c>
      <c r="H4177">
        <v>1399.4</v>
      </c>
      <c r="I4177">
        <v>4041.2</v>
      </c>
      <c r="J4177">
        <v>6631.27</v>
      </c>
    </row>
    <row r="4178" spans="1:10" x14ac:dyDescent="0.35">
      <c r="A4178">
        <v>4162</v>
      </c>
      <c r="B4178" s="75">
        <v>89.238299999999995</v>
      </c>
      <c r="C4178" s="75">
        <v>96.397800000000004</v>
      </c>
      <c r="D4178" s="75">
        <v>92.567800000000005</v>
      </c>
      <c r="E4178" s="75">
        <v>94.620999999999995</v>
      </c>
      <c r="F4178">
        <v>1040.49</v>
      </c>
      <c r="G4178">
        <v>2718.15</v>
      </c>
      <c r="H4178">
        <v>496.59999999999997</v>
      </c>
      <c r="I4178">
        <v>-1240.3999999999999</v>
      </c>
      <c r="J4178">
        <v>3014.8400000000011</v>
      </c>
    </row>
    <row r="4179" spans="1:10" x14ac:dyDescent="0.35">
      <c r="A4179">
        <v>4163</v>
      </c>
      <c r="B4179" s="75">
        <v>89.25</v>
      </c>
      <c r="C4179" s="75">
        <v>96.36</v>
      </c>
      <c r="D4179" s="75">
        <v>93.77</v>
      </c>
      <c r="E4179" s="75">
        <v>94.39</v>
      </c>
      <c r="F4179">
        <v>990.32999999999993</v>
      </c>
      <c r="G4179">
        <v>2767.95</v>
      </c>
      <c r="H4179">
        <v>-1898.6000000000001</v>
      </c>
      <c r="I4179">
        <v>-1009.3000000000001</v>
      </c>
      <c r="J4179">
        <v>850.37999999999954</v>
      </c>
    </row>
    <row r="4180" spans="1:10" x14ac:dyDescent="0.35">
      <c r="A4180">
        <v>4164</v>
      </c>
      <c r="B4180" s="75">
        <v>89.639499999999998</v>
      </c>
      <c r="C4180" s="75">
        <v>98.152600000000007</v>
      </c>
      <c r="D4180" s="75">
        <v>95.2958</v>
      </c>
      <c r="E4180" s="75">
        <v>94.607900000000001</v>
      </c>
      <c r="F4180">
        <v>-283.47000000000003</v>
      </c>
      <c r="G4180">
        <v>85.949999999999989</v>
      </c>
      <c r="H4180">
        <v>-4959.3999999999996</v>
      </c>
      <c r="I4180">
        <v>-1227.3</v>
      </c>
      <c r="J4180">
        <v>-6384.22</v>
      </c>
    </row>
    <row r="4181" spans="1:10" x14ac:dyDescent="0.35">
      <c r="A4181">
        <v>4165</v>
      </c>
      <c r="B4181" s="75">
        <v>89.3</v>
      </c>
      <c r="C4181" s="75">
        <v>98.76</v>
      </c>
      <c r="D4181" s="75">
        <v>93.22</v>
      </c>
      <c r="E4181" s="75">
        <v>90.47</v>
      </c>
      <c r="F4181">
        <v>852.38999999999987</v>
      </c>
      <c r="G4181">
        <v>-824.4</v>
      </c>
      <c r="H4181">
        <v>-805.8</v>
      </c>
      <c r="I4181">
        <v>2906.8999999999996</v>
      </c>
      <c r="J4181">
        <v>2129.0899999999997</v>
      </c>
    </row>
    <row r="4182" spans="1:10" x14ac:dyDescent="0.35">
      <c r="A4182">
        <v>4166</v>
      </c>
      <c r="B4182" s="75">
        <v>88.723399999999998</v>
      </c>
      <c r="C4182" s="75">
        <v>98.410899999999998</v>
      </c>
      <c r="D4182" s="75">
        <v>91.866500000000002</v>
      </c>
      <c r="E4182" s="75">
        <v>94.23</v>
      </c>
      <c r="F4182">
        <v>2739.6600000000003</v>
      </c>
      <c r="G4182">
        <v>-301.5</v>
      </c>
      <c r="H4182">
        <v>1899.2</v>
      </c>
      <c r="I4182">
        <v>-849.40000000000009</v>
      </c>
      <c r="J4182">
        <v>3487.9600000000005</v>
      </c>
    </row>
    <row r="4183" spans="1:10" x14ac:dyDescent="0.35">
      <c r="A4183">
        <v>4167</v>
      </c>
      <c r="B4183" s="75">
        <v>90.21</v>
      </c>
      <c r="C4183" s="75">
        <v>99.1</v>
      </c>
      <c r="D4183" s="75">
        <v>95.17</v>
      </c>
      <c r="E4183" s="75">
        <v>94.66</v>
      </c>
      <c r="F4183">
        <v>-2167.44</v>
      </c>
      <c r="G4183">
        <v>-1342.0500000000002</v>
      </c>
      <c r="H4183">
        <v>-4710.8</v>
      </c>
      <c r="I4183">
        <v>-1279.8</v>
      </c>
      <c r="J4183">
        <v>-9500.09</v>
      </c>
    </row>
    <row r="4184" spans="1:10" x14ac:dyDescent="0.35">
      <c r="A4184">
        <v>4168</v>
      </c>
      <c r="B4184" s="75">
        <v>89.880300000000005</v>
      </c>
      <c r="C4184" s="75">
        <v>95.919300000000007</v>
      </c>
      <c r="D4184" s="75">
        <v>92.983900000000006</v>
      </c>
      <c r="E4184" s="75">
        <v>94.081299999999999</v>
      </c>
      <c r="F4184">
        <v>-1078.1099999999999</v>
      </c>
      <c r="G4184">
        <v>3435.9</v>
      </c>
      <c r="H4184">
        <v>-335.6</v>
      </c>
      <c r="I4184">
        <v>-700.7</v>
      </c>
      <c r="J4184">
        <v>1321.49</v>
      </c>
    </row>
    <row r="4185" spans="1:10" x14ac:dyDescent="0.35">
      <c r="A4185">
        <v>4169</v>
      </c>
      <c r="B4185" s="75">
        <v>88.89</v>
      </c>
      <c r="C4185" s="75">
        <v>96.21</v>
      </c>
      <c r="D4185" s="75">
        <v>93.83</v>
      </c>
      <c r="E4185" s="75">
        <v>95.54</v>
      </c>
      <c r="F4185">
        <v>2184.9300000000003</v>
      </c>
      <c r="G4185">
        <v>2994.6</v>
      </c>
      <c r="H4185">
        <v>-2029.7999999999997</v>
      </c>
      <c r="I4185">
        <v>-2157.1</v>
      </c>
      <c r="J4185">
        <v>992.63000000000102</v>
      </c>
    </row>
    <row r="4186" spans="1:10" x14ac:dyDescent="0.35">
      <c r="A4186">
        <v>4170</v>
      </c>
      <c r="B4186" s="75">
        <v>89.499200000000002</v>
      </c>
      <c r="C4186" s="75">
        <v>96.849100000000007</v>
      </c>
      <c r="D4186" s="75">
        <v>92.293199999999999</v>
      </c>
      <c r="E4186" s="75">
        <v>94.298699999999997</v>
      </c>
      <c r="F4186">
        <v>179.51999999999998</v>
      </c>
      <c r="G4186">
        <v>2041.2</v>
      </c>
      <c r="H4186">
        <v>1045.8</v>
      </c>
      <c r="I4186">
        <v>-918.1</v>
      </c>
      <c r="J4186">
        <v>2348.4200000000005</v>
      </c>
    </row>
    <row r="4187" spans="1:10" x14ac:dyDescent="0.35">
      <c r="A4187">
        <v>4171</v>
      </c>
      <c r="B4187" s="75">
        <v>90.78</v>
      </c>
      <c r="C4187" s="75">
        <v>98.89</v>
      </c>
      <c r="D4187" s="75">
        <v>93.13</v>
      </c>
      <c r="E4187" s="75">
        <v>94.86</v>
      </c>
      <c r="F4187">
        <v>-4051.08</v>
      </c>
      <c r="G4187">
        <v>-1019.55</v>
      </c>
      <c r="H4187">
        <v>-630</v>
      </c>
      <c r="I4187">
        <v>-1475.1000000000001</v>
      </c>
      <c r="J4187">
        <v>-7175.7300000000005</v>
      </c>
    </row>
    <row r="4188" spans="1:10" x14ac:dyDescent="0.35">
      <c r="A4188">
        <v>4172</v>
      </c>
      <c r="B4188" s="75">
        <v>89.898300000000006</v>
      </c>
      <c r="C4188" s="75">
        <v>97.242999999999995</v>
      </c>
      <c r="D4188" s="75">
        <v>93.042000000000002</v>
      </c>
      <c r="E4188" s="75">
        <v>94.743899999999996</v>
      </c>
      <c r="F4188">
        <v>-1137.51</v>
      </c>
      <c r="G4188">
        <v>1450.35</v>
      </c>
      <c r="H4188">
        <v>-451.79999999999995</v>
      </c>
      <c r="I4188">
        <v>-1363.3</v>
      </c>
      <c r="J4188">
        <v>-1502.26</v>
      </c>
    </row>
    <row r="4189" spans="1:10" x14ac:dyDescent="0.35">
      <c r="A4189">
        <v>4173</v>
      </c>
      <c r="B4189" s="75">
        <v>89.38</v>
      </c>
      <c r="C4189" s="75">
        <v>97.53</v>
      </c>
      <c r="D4189" s="75">
        <v>91.76</v>
      </c>
      <c r="E4189" s="75">
        <v>95.34</v>
      </c>
      <c r="F4189">
        <v>569.58000000000004</v>
      </c>
      <c r="G4189">
        <v>1016.6999999999999</v>
      </c>
      <c r="H4189">
        <v>2115.4</v>
      </c>
      <c r="I4189">
        <v>-1963.2</v>
      </c>
      <c r="J4189">
        <v>1738.4800000000002</v>
      </c>
    </row>
    <row r="4190" spans="1:10" x14ac:dyDescent="0.35">
      <c r="A4190">
        <v>4174</v>
      </c>
      <c r="B4190" s="75">
        <v>91.127799999999993</v>
      </c>
      <c r="C4190" s="75">
        <v>98.068399999999997</v>
      </c>
      <c r="D4190" s="75">
        <v>93.098600000000005</v>
      </c>
      <c r="E4190" s="75">
        <v>91.343100000000007</v>
      </c>
      <c r="F4190">
        <v>-5194.8600000000006</v>
      </c>
      <c r="G4190">
        <v>212.24999999999997</v>
      </c>
      <c r="H4190">
        <v>-565</v>
      </c>
      <c r="I4190">
        <v>2037.5</v>
      </c>
      <c r="J4190">
        <v>-3510.1100000000006</v>
      </c>
    </row>
    <row r="4191" spans="1:10" x14ac:dyDescent="0.35">
      <c r="A4191">
        <v>4175</v>
      </c>
      <c r="B4191" s="75">
        <v>90.46</v>
      </c>
      <c r="C4191" s="75">
        <v>98.28</v>
      </c>
      <c r="D4191" s="75">
        <v>92.88</v>
      </c>
      <c r="E4191" s="75">
        <v>92.72</v>
      </c>
      <c r="F4191">
        <v>-3003</v>
      </c>
      <c r="G4191">
        <v>-105.3</v>
      </c>
      <c r="H4191">
        <v>-118.4</v>
      </c>
      <c r="I4191">
        <v>661.5</v>
      </c>
      <c r="J4191">
        <v>-2565.2000000000003</v>
      </c>
    </row>
    <row r="4192" spans="1:10" x14ac:dyDescent="0.35">
      <c r="A4192">
        <v>4176</v>
      </c>
      <c r="B4192" s="75">
        <v>89.1387</v>
      </c>
      <c r="C4192" s="75">
        <v>98.550600000000003</v>
      </c>
      <c r="D4192" s="75">
        <v>93.113399999999999</v>
      </c>
      <c r="E4192" s="75">
        <v>95.867599999999996</v>
      </c>
      <c r="F4192">
        <v>1369.17</v>
      </c>
      <c r="G4192">
        <v>-511.05</v>
      </c>
      <c r="H4192">
        <v>-594.6</v>
      </c>
      <c r="I4192">
        <v>-2487</v>
      </c>
      <c r="J4192">
        <v>-2223.48</v>
      </c>
    </row>
    <row r="4193" spans="1:10" x14ac:dyDescent="0.35">
      <c r="A4193">
        <v>4177</v>
      </c>
      <c r="B4193" s="75">
        <v>88.72</v>
      </c>
      <c r="C4193" s="75">
        <v>98.37</v>
      </c>
      <c r="D4193" s="75">
        <v>92.54</v>
      </c>
      <c r="E4193" s="75">
        <v>93.96</v>
      </c>
      <c r="F4193">
        <v>2746.59</v>
      </c>
      <c r="G4193">
        <v>-237.3</v>
      </c>
      <c r="H4193">
        <v>549.20000000000005</v>
      </c>
      <c r="I4193">
        <v>-579.5</v>
      </c>
      <c r="J4193">
        <v>2478.9899999999998</v>
      </c>
    </row>
    <row r="4194" spans="1:10" x14ac:dyDescent="0.35">
      <c r="A4194">
        <v>4178</v>
      </c>
      <c r="B4194" s="75">
        <v>90.528199999999998</v>
      </c>
      <c r="C4194" s="75">
        <v>99.291399999999996</v>
      </c>
      <c r="D4194" s="75">
        <v>93.652100000000004</v>
      </c>
      <c r="E4194" s="75">
        <v>90.451400000000007</v>
      </c>
      <c r="F4194">
        <v>-3216.1800000000003</v>
      </c>
      <c r="G4194">
        <v>-1622.2499999999998</v>
      </c>
      <c r="H4194">
        <v>-1672</v>
      </c>
      <c r="I4194">
        <v>2929.2</v>
      </c>
      <c r="J4194">
        <v>-3581.2300000000005</v>
      </c>
    </row>
    <row r="4195" spans="1:10" x14ac:dyDescent="0.35">
      <c r="A4195">
        <v>4179</v>
      </c>
      <c r="B4195" s="75">
        <v>90.01</v>
      </c>
      <c r="C4195" s="75">
        <v>98.56</v>
      </c>
      <c r="D4195" s="75">
        <v>92.68</v>
      </c>
      <c r="E4195" s="75">
        <v>92.2</v>
      </c>
      <c r="F4195">
        <v>-1500.84</v>
      </c>
      <c r="G4195">
        <v>-519.15</v>
      </c>
      <c r="H4195">
        <v>275.8</v>
      </c>
      <c r="I4195">
        <v>1180.6000000000001</v>
      </c>
      <c r="J4195">
        <v>-563.58999999999969</v>
      </c>
    </row>
    <row r="4196" spans="1:10" x14ac:dyDescent="0.35">
      <c r="A4196">
        <v>4180</v>
      </c>
      <c r="B4196" s="75">
        <v>90.004900000000006</v>
      </c>
      <c r="C4196" s="75">
        <v>97.569400000000002</v>
      </c>
      <c r="D4196" s="75">
        <v>91.940299999999993</v>
      </c>
      <c r="E4196" s="75">
        <v>95.031400000000005</v>
      </c>
      <c r="F4196">
        <v>-1489.29</v>
      </c>
      <c r="G4196">
        <v>960.74999999999989</v>
      </c>
      <c r="H4196">
        <v>1751.6000000000001</v>
      </c>
      <c r="I4196">
        <v>-1650.8</v>
      </c>
      <c r="J4196">
        <v>-427.74</v>
      </c>
    </row>
    <row r="4197" spans="1:10" x14ac:dyDescent="0.35">
      <c r="A4197">
        <v>4181</v>
      </c>
      <c r="B4197" s="75">
        <v>89.86</v>
      </c>
      <c r="C4197" s="75">
        <v>97.61</v>
      </c>
      <c r="D4197" s="75">
        <v>92.99</v>
      </c>
      <c r="E4197" s="75">
        <v>94.56</v>
      </c>
      <c r="F4197">
        <v>-1019.37</v>
      </c>
      <c r="G4197">
        <v>900.75</v>
      </c>
      <c r="H4197">
        <v>-342.6</v>
      </c>
      <c r="I4197">
        <v>-1175.5</v>
      </c>
      <c r="J4197">
        <v>-1636.72</v>
      </c>
    </row>
    <row r="4198" spans="1:10" x14ac:dyDescent="0.35">
      <c r="A4198">
        <v>4182</v>
      </c>
      <c r="B4198" s="75">
        <v>89.747</v>
      </c>
      <c r="C4198" s="75">
        <v>98.716499999999996</v>
      </c>
      <c r="D4198" s="75">
        <v>93.2898</v>
      </c>
      <c r="E4198" s="75">
        <v>94.7363</v>
      </c>
      <c r="F4198">
        <v>-638.21999999999991</v>
      </c>
      <c r="G4198">
        <v>-759.90000000000009</v>
      </c>
      <c r="H4198">
        <v>-947.4</v>
      </c>
      <c r="I4198">
        <v>-1355.6999999999998</v>
      </c>
      <c r="J4198">
        <v>-3701.22</v>
      </c>
    </row>
    <row r="4199" spans="1:10" x14ac:dyDescent="0.35">
      <c r="A4199">
        <v>4183</v>
      </c>
      <c r="B4199" s="75">
        <v>89.32</v>
      </c>
      <c r="C4199" s="75">
        <v>98.29</v>
      </c>
      <c r="D4199" s="75">
        <v>93.46</v>
      </c>
      <c r="E4199" s="75">
        <v>98.22</v>
      </c>
      <c r="F4199">
        <v>773.84999999999991</v>
      </c>
      <c r="G4199">
        <v>-123.15</v>
      </c>
      <c r="H4199">
        <v>-1278</v>
      </c>
      <c r="I4199">
        <v>-4836.5</v>
      </c>
      <c r="J4199">
        <v>-5463.8</v>
      </c>
    </row>
    <row r="4200" spans="1:10" x14ac:dyDescent="0.35">
      <c r="A4200">
        <v>4184</v>
      </c>
      <c r="B4200" s="75">
        <v>88.956299999999999</v>
      </c>
      <c r="C4200" s="75">
        <v>97.213999999999999</v>
      </c>
      <c r="D4200" s="75">
        <v>92.608199999999997</v>
      </c>
      <c r="E4200" s="75">
        <v>94.158299999999997</v>
      </c>
      <c r="F4200">
        <v>1971.0900000000001</v>
      </c>
      <c r="G4200">
        <v>1493.85</v>
      </c>
      <c r="H4200">
        <v>415.8</v>
      </c>
      <c r="I4200">
        <v>-777.69999999999993</v>
      </c>
      <c r="J4200">
        <v>3103.0400000000004</v>
      </c>
    </row>
    <row r="4201" spans="1:10" x14ac:dyDescent="0.35">
      <c r="A4201">
        <v>4185</v>
      </c>
      <c r="B4201" s="75">
        <v>89.3</v>
      </c>
      <c r="C4201" s="75">
        <v>96.5</v>
      </c>
      <c r="D4201" s="75">
        <v>92.49</v>
      </c>
      <c r="E4201" s="75">
        <v>94.27</v>
      </c>
      <c r="F4201">
        <v>827.31</v>
      </c>
      <c r="G4201">
        <v>2569.9500000000003</v>
      </c>
      <c r="H4201">
        <v>659</v>
      </c>
      <c r="I4201">
        <v>-889</v>
      </c>
      <c r="J4201">
        <v>3167.26</v>
      </c>
    </row>
    <row r="4202" spans="1:10" x14ac:dyDescent="0.35">
      <c r="A4202">
        <v>4186</v>
      </c>
      <c r="B4202" s="75">
        <v>89.755099999999999</v>
      </c>
      <c r="C4202" s="75">
        <v>97.630300000000005</v>
      </c>
      <c r="D4202" s="75">
        <v>91.4666</v>
      </c>
      <c r="E4202" s="75">
        <v>94.241900000000001</v>
      </c>
      <c r="F4202">
        <v>-664.95</v>
      </c>
      <c r="G4202">
        <v>869.4</v>
      </c>
      <c r="H4202">
        <v>2699</v>
      </c>
      <c r="I4202">
        <v>-861.3</v>
      </c>
      <c r="J4202">
        <v>2042.1499999999999</v>
      </c>
    </row>
    <row r="4203" spans="1:10" x14ac:dyDescent="0.35">
      <c r="A4203">
        <v>4187</v>
      </c>
      <c r="B4203" s="75">
        <v>89.49</v>
      </c>
      <c r="C4203" s="75">
        <v>98.37</v>
      </c>
      <c r="D4203" s="75">
        <v>92.31</v>
      </c>
      <c r="E4203" s="75">
        <v>91.55</v>
      </c>
      <c r="F4203">
        <v>198.66</v>
      </c>
      <c r="G4203">
        <v>-241.5</v>
      </c>
      <c r="H4203">
        <v>1008.8</v>
      </c>
      <c r="I4203">
        <v>1831.6</v>
      </c>
      <c r="J4203">
        <v>2797.56</v>
      </c>
    </row>
    <row r="4204" spans="1:10" x14ac:dyDescent="0.35">
      <c r="A4204">
        <v>4188</v>
      </c>
      <c r="B4204" s="75">
        <v>89.886300000000006</v>
      </c>
      <c r="C4204" s="75">
        <v>98.6708</v>
      </c>
      <c r="D4204" s="75">
        <v>92.707400000000007</v>
      </c>
      <c r="E4204" s="75">
        <v>93.082999999999998</v>
      </c>
      <c r="F4204">
        <v>-1097.9100000000001</v>
      </c>
      <c r="G4204">
        <v>-691.34999999999991</v>
      </c>
      <c r="H4204">
        <v>217.4</v>
      </c>
      <c r="I4204">
        <v>297.59999999999997</v>
      </c>
      <c r="J4204">
        <v>-1274.26</v>
      </c>
    </row>
    <row r="4205" spans="1:10" x14ac:dyDescent="0.35">
      <c r="A4205">
        <v>4189</v>
      </c>
      <c r="B4205" s="75">
        <v>89.53</v>
      </c>
      <c r="C4205" s="75">
        <v>98.04</v>
      </c>
      <c r="D4205" s="75">
        <v>92.55</v>
      </c>
      <c r="E4205" s="75">
        <v>92.36</v>
      </c>
      <c r="F4205">
        <v>92.4</v>
      </c>
      <c r="G4205">
        <v>255.45000000000002</v>
      </c>
      <c r="H4205">
        <v>522.4</v>
      </c>
      <c r="I4205">
        <v>1022.2</v>
      </c>
      <c r="J4205">
        <v>1892.45</v>
      </c>
    </row>
    <row r="4206" spans="1:10" x14ac:dyDescent="0.35">
      <c r="A4206">
        <v>4190</v>
      </c>
      <c r="B4206" s="75">
        <v>90.2346</v>
      </c>
      <c r="C4206" s="75">
        <v>98.105500000000006</v>
      </c>
      <c r="D4206" s="75">
        <v>93.63</v>
      </c>
      <c r="E4206" s="75">
        <v>94.365899999999996</v>
      </c>
      <c r="F4206">
        <v>-2247.3000000000002</v>
      </c>
      <c r="G4206">
        <v>156.60000000000002</v>
      </c>
      <c r="H4206">
        <v>-1627.8</v>
      </c>
      <c r="I4206">
        <v>-985.3</v>
      </c>
      <c r="J4206">
        <v>-4703.8</v>
      </c>
    </row>
    <row r="4207" spans="1:10" x14ac:dyDescent="0.35">
      <c r="A4207">
        <v>4191</v>
      </c>
      <c r="B4207" s="75">
        <v>88.84</v>
      </c>
      <c r="C4207" s="75">
        <v>99.75</v>
      </c>
      <c r="D4207" s="75">
        <v>92.31</v>
      </c>
      <c r="E4207" s="75">
        <v>93.36</v>
      </c>
      <c r="F4207">
        <v>2343.6600000000003</v>
      </c>
      <c r="G4207">
        <v>-2302.9500000000003</v>
      </c>
      <c r="H4207">
        <v>1011.8000000000001</v>
      </c>
      <c r="I4207">
        <v>18.100000000000001</v>
      </c>
      <c r="J4207">
        <v>1070.6100000000001</v>
      </c>
    </row>
    <row r="4208" spans="1:10" x14ac:dyDescent="0.35">
      <c r="A4208">
        <v>4192</v>
      </c>
      <c r="B4208" s="75">
        <v>89.118200000000002</v>
      </c>
      <c r="C4208" s="75">
        <v>98.499600000000001</v>
      </c>
      <c r="D4208" s="75">
        <v>91.317700000000002</v>
      </c>
      <c r="E4208" s="75">
        <v>93.517600000000002</v>
      </c>
      <c r="F4208">
        <v>1436.82</v>
      </c>
      <c r="G4208">
        <v>-434.55</v>
      </c>
      <c r="H4208">
        <v>2996.7999999999997</v>
      </c>
      <c r="I4208">
        <v>-137</v>
      </c>
      <c r="J4208">
        <v>3862.0699999999997</v>
      </c>
    </row>
    <row r="4209" spans="1:10" x14ac:dyDescent="0.35">
      <c r="A4209">
        <v>4193</v>
      </c>
      <c r="B4209" s="75">
        <v>89.72</v>
      </c>
      <c r="C4209" s="75">
        <v>98.27</v>
      </c>
      <c r="D4209" s="75">
        <v>94.24</v>
      </c>
      <c r="E4209" s="75">
        <v>95.52</v>
      </c>
      <c r="F4209">
        <v>-564.63</v>
      </c>
      <c r="G4209">
        <v>-82.95</v>
      </c>
      <c r="H4209">
        <v>-2852.2</v>
      </c>
      <c r="I4209">
        <v>-2140.6999999999998</v>
      </c>
      <c r="J4209">
        <v>-5640.48</v>
      </c>
    </row>
    <row r="4210" spans="1:10" x14ac:dyDescent="0.35">
      <c r="A4210">
        <v>4194</v>
      </c>
      <c r="B4210" s="75">
        <v>88.983699999999999</v>
      </c>
      <c r="C4210" s="75">
        <v>96.794200000000004</v>
      </c>
      <c r="D4210" s="75">
        <v>91.251000000000005</v>
      </c>
      <c r="E4210" s="75">
        <v>92.656599999999997</v>
      </c>
      <c r="F4210">
        <v>1880.6699999999998</v>
      </c>
      <c r="G4210">
        <v>2123.5499999999997</v>
      </c>
      <c r="H4210">
        <v>3130.2</v>
      </c>
      <c r="I4210">
        <v>724</v>
      </c>
      <c r="J4210">
        <v>7858.4199999999992</v>
      </c>
    </row>
    <row r="4211" spans="1:10" x14ac:dyDescent="0.35">
      <c r="A4211">
        <v>4195</v>
      </c>
      <c r="B4211" s="75">
        <v>88.78</v>
      </c>
      <c r="C4211" s="75">
        <v>98.28</v>
      </c>
      <c r="D4211" s="75">
        <v>92.01</v>
      </c>
      <c r="E4211" s="75">
        <v>93.15</v>
      </c>
      <c r="F4211">
        <v>2542.65</v>
      </c>
      <c r="G4211">
        <v>-109.05</v>
      </c>
      <c r="H4211">
        <v>1618.6000000000001</v>
      </c>
      <c r="I4211">
        <v>233.4</v>
      </c>
      <c r="J4211">
        <v>4285.5999999999995</v>
      </c>
    </row>
    <row r="4212" spans="1:10" x14ac:dyDescent="0.35">
      <c r="A4212">
        <v>4196</v>
      </c>
      <c r="B4212" s="75">
        <v>89.022800000000004</v>
      </c>
      <c r="C4212" s="75">
        <v>97.926100000000005</v>
      </c>
      <c r="D4212" s="75">
        <v>92.825500000000005</v>
      </c>
      <c r="E4212" s="75">
        <v>95.159899999999993</v>
      </c>
      <c r="F4212">
        <v>1751.64</v>
      </c>
      <c r="G4212">
        <v>425.7</v>
      </c>
      <c r="H4212">
        <v>-18.8</v>
      </c>
      <c r="I4212">
        <v>-1779.3000000000002</v>
      </c>
      <c r="J4212">
        <v>379.23999999999978</v>
      </c>
    </row>
    <row r="4213" spans="1:10" x14ac:dyDescent="0.35">
      <c r="A4213">
        <v>4197</v>
      </c>
      <c r="B4213" s="75">
        <v>90.37</v>
      </c>
      <c r="C4213" s="75">
        <v>98.03</v>
      </c>
      <c r="D4213" s="75">
        <v>93.33</v>
      </c>
      <c r="E4213" s="75">
        <v>92.18</v>
      </c>
      <c r="F4213">
        <v>-2681.91</v>
      </c>
      <c r="G4213">
        <v>263.70000000000005</v>
      </c>
      <c r="H4213">
        <v>-1018</v>
      </c>
      <c r="I4213">
        <v>1196.8000000000002</v>
      </c>
      <c r="J4213">
        <v>-2239.41</v>
      </c>
    </row>
    <row r="4214" spans="1:10" x14ac:dyDescent="0.35">
      <c r="A4214">
        <v>4198</v>
      </c>
      <c r="B4214" s="75">
        <v>89.790199999999999</v>
      </c>
      <c r="C4214" s="75">
        <v>97.864400000000003</v>
      </c>
      <c r="D4214" s="75">
        <v>93.564400000000006</v>
      </c>
      <c r="E4214" s="75">
        <v>96.298100000000005</v>
      </c>
      <c r="F4214">
        <v>-780.78</v>
      </c>
      <c r="G4214">
        <v>518.25</v>
      </c>
      <c r="H4214">
        <v>-1496.6</v>
      </c>
      <c r="I4214">
        <v>-2917.5</v>
      </c>
      <c r="J4214">
        <v>-4676.63</v>
      </c>
    </row>
    <row r="4215" spans="1:10" x14ac:dyDescent="0.35">
      <c r="A4215">
        <v>4199</v>
      </c>
      <c r="B4215" s="75">
        <v>89.04</v>
      </c>
      <c r="C4215" s="75">
        <v>100.23</v>
      </c>
      <c r="D4215" s="75">
        <v>93.47</v>
      </c>
      <c r="E4215" s="75">
        <v>92.19</v>
      </c>
      <c r="F4215">
        <v>1686.96</v>
      </c>
      <c r="G4215">
        <v>-3025.05</v>
      </c>
      <c r="H4215">
        <v>-1312.6</v>
      </c>
      <c r="I4215">
        <v>1189.8999999999999</v>
      </c>
      <c r="J4215">
        <v>-1460.7900000000002</v>
      </c>
    </row>
    <row r="4216" spans="1:10" x14ac:dyDescent="0.35">
      <c r="A4216">
        <v>4200</v>
      </c>
      <c r="B4216" s="75">
        <v>89.312200000000004</v>
      </c>
      <c r="C4216" s="75">
        <v>97.5946</v>
      </c>
      <c r="D4216" s="75">
        <v>92.334999999999994</v>
      </c>
      <c r="E4216" s="75">
        <v>92.600700000000003</v>
      </c>
      <c r="F4216">
        <v>796.62</v>
      </c>
      <c r="G4216">
        <v>922.94999999999993</v>
      </c>
      <c r="H4216">
        <v>962.2</v>
      </c>
      <c r="I4216">
        <v>779.90000000000009</v>
      </c>
      <c r="J4216">
        <v>3461.67</v>
      </c>
    </row>
    <row r="4217" spans="1:10" x14ac:dyDescent="0.35">
      <c r="A4217">
        <v>4201</v>
      </c>
      <c r="B4217" s="75">
        <v>89.93</v>
      </c>
      <c r="C4217" s="75">
        <v>98.61</v>
      </c>
      <c r="D4217" s="75">
        <v>93.85</v>
      </c>
      <c r="E4217" s="75">
        <v>94.81</v>
      </c>
      <c r="F4217">
        <v>-1247.73</v>
      </c>
      <c r="G4217">
        <v>-599.4</v>
      </c>
      <c r="H4217">
        <v>-2062.3999999999996</v>
      </c>
      <c r="I4217">
        <v>-1427.8</v>
      </c>
      <c r="J4217">
        <v>-5337.33</v>
      </c>
    </row>
    <row r="4218" spans="1:10" x14ac:dyDescent="0.35">
      <c r="A4218">
        <v>4202</v>
      </c>
      <c r="B4218" s="75">
        <v>89.364999999999995</v>
      </c>
      <c r="C4218" s="75">
        <v>97.719300000000004</v>
      </c>
      <c r="D4218" s="75">
        <v>91.904300000000006</v>
      </c>
      <c r="E4218" s="75">
        <v>92.648099999999999</v>
      </c>
      <c r="F4218">
        <v>622.38</v>
      </c>
      <c r="G4218">
        <v>735.9</v>
      </c>
      <c r="H4218">
        <v>1823.6000000000001</v>
      </c>
      <c r="I4218">
        <v>732.5</v>
      </c>
      <c r="J4218">
        <v>3914.38</v>
      </c>
    </row>
    <row r="4219" spans="1:10" x14ac:dyDescent="0.35">
      <c r="A4219">
        <v>4203</v>
      </c>
      <c r="B4219" s="75">
        <v>90.06</v>
      </c>
      <c r="C4219" s="75">
        <v>97.26</v>
      </c>
      <c r="D4219" s="75">
        <v>91.53</v>
      </c>
      <c r="E4219" s="75">
        <v>92.01</v>
      </c>
      <c r="F4219">
        <v>-1677.3899999999999</v>
      </c>
      <c r="G4219">
        <v>1422.45</v>
      </c>
      <c r="H4219">
        <v>2573.1999999999998</v>
      </c>
      <c r="I4219">
        <v>1373.5</v>
      </c>
      <c r="J4219">
        <v>3691.76</v>
      </c>
    </row>
    <row r="4220" spans="1:10" x14ac:dyDescent="0.35">
      <c r="A4220">
        <v>4204</v>
      </c>
      <c r="B4220" s="75">
        <v>89.556700000000006</v>
      </c>
      <c r="C4220" s="75">
        <v>97.1494</v>
      </c>
      <c r="D4220" s="75">
        <v>92.963800000000006</v>
      </c>
      <c r="E4220" s="75">
        <v>90.339500000000001</v>
      </c>
      <c r="F4220">
        <v>-10.23</v>
      </c>
      <c r="G4220">
        <v>1590.75</v>
      </c>
      <c r="H4220">
        <v>-295.39999999999998</v>
      </c>
      <c r="I4220">
        <v>3041.1000000000004</v>
      </c>
      <c r="J4220">
        <v>4326.22</v>
      </c>
    </row>
    <row r="4221" spans="1:10" x14ac:dyDescent="0.35">
      <c r="A4221">
        <v>4205</v>
      </c>
      <c r="B4221" s="75">
        <v>89.66</v>
      </c>
      <c r="C4221" s="75">
        <v>98.42</v>
      </c>
      <c r="D4221" s="75">
        <v>92.59</v>
      </c>
      <c r="E4221" s="75">
        <v>92.62</v>
      </c>
      <c r="F4221">
        <v>-340.56</v>
      </c>
      <c r="G4221">
        <v>-310.05</v>
      </c>
      <c r="H4221">
        <v>455.79999999999995</v>
      </c>
      <c r="I4221">
        <v>758.5</v>
      </c>
      <c r="J4221">
        <v>563.68999999999994</v>
      </c>
    </row>
    <row r="4222" spans="1:10" x14ac:dyDescent="0.35">
      <c r="A4222">
        <v>4206</v>
      </c>
      <c r="B4222" s="75">
        <v>89.769800000000004</v>
      </c>
      <c r="C4222" s="75">
        <v>99.485500000000002</v>
      </c>
      <c r="D4222" s="75">
        <v>92.150499999999994</v>
      </c>
      <c r="E4222" s="75">
        <v>90.791600000000003</v>
      </c>
      <c r="F4222">
        <v>-713.46</v>
      </c>
      <c r="G4222">
        <v>-1913.4</v>
      </c>
      <c r="H4222">
        <v>1331.2</v>
      </c>
      <c r="I4222">
        <v>2589</v>
      </c>
      <c r="J4222">
        <v>1293.3399999999999</v>
      </c>
    </row>
    <row r="4223" spans="1:10" x14ac:dyDescent="0.35">
      <c r="A4223">
        <v>4207</v>
      </c>
      <c r="B4223" s="75">
        <v>89.75</v>
      </c>
      <c r="C4223" s="75">
        <v>98.93</v>
      </c>
      <c r="D4223" s="75">
        <v>93.47</v>
      </c>
      <c r="E4223" s="75">
        <v>93.08</v>
      </c>
      <c r="F4223">
        <v>-656.7</v>
      </c>
      <c r="G4223">
        <v>-1075.2</v>
      </c>
      <c r="H4223">
        <v>-1312.8</v>
      </c>
      <c r="I4223">
        <v>296.3</v>
      </c>
      <c r="J4223">
        <v>-2748.3999999999996</v>
      </c>
    </row>
    <row r="4224" spans="1:10" x14ac:dyDescent="0.35">
      <c r="A4224">
        <v>4208</v>
      </c>
      <c r="B4224" s="75">
        <v>88.812899999999999</v>
      </c>
      <c r="C4224" s="75">
        <v>98.852800000000002</v>
      </c>
      <c r="D4224" s="75">
        <v>93.045699999999997</v>
      </c>
      <c r="E4224" s="75">
        <v>90.194400000000002</v>
      </c>
      <c r="F4224">
        <v>2444.31</v>
      </c>
      <c r="G4224">
        <v>-964.35</v>
      </c>
      <c r="H4224">
        <v>-459.2</v>
      </c>
      <c r="I4224">
        <v>3186.2</v>
      </c>
      <c r="J4224">
        <v>4206.96</v>
      </c>
    </row>
    <row r="4225" spans="1:10" x14ac:dyDescent="0.35">
      <c r="A4225">
        <v>4209</v>
      </c>
      <c r="B4225" s="75">
        <v>90.05</v>
      </c>
      <c r="C4225" s="75">
        <v>98.86</v>
      </c>
      <c r="D4225" s="75">
        <v>91.92</v>
      </c>
      <c r="E4225" s="75">
        <v>93.83</v>
      </c>
      <c r="F4225">
        <v>-1627.5600000000002</v>
      </c>
      <c r="G4225">
        <v>-977.25</v>
      </c>
      <c r="H4225">
        <v>1792.2</v>
      </c>
      <c r="I4225">
        <v>-452</v>
      </c>
      <c r="J4225">
        <v>-1264.6100000000004</v>
      </c>
    </row>
    <row r="4226" spans="1:10" x14ac:dyDescent="0.35">
      <c r="A4226">
        <v>4210</v>
      </c>
      <c r="B4226" s="75">
        <v>89.7547</v>
      </c>
      <c r="C4226" s="75">
        <v>99.3506</v>
      </c>
      <c r="D4226" s="75">
        <v>91.006500000000003</v>
      </c>
      <c r="E4226" s="75">
        <v>93.559799999999996</v>
      </c>
      <c r="F4226">
        <v>-663.63</v>
      </c>
      <c r="G4226">
        <v>-1711.0500000000002</v>
      </c>
      <c r="H4226">
        <v>3619.2000000000003</v>
      </c>
      <c r="I4226">
        <v>-179.2</v>
      </c>
      <c r="J4226">
        <v>1065.32</v>
      </c>
    </row>
    <row r="4227" spans="1:10" x14ac:dyDescent="0.35">
      <c r="A4227">
        <v>4211</v>
      </c>
      <c r="B4227" s="75">
        <v>90.7</v>
      </c>
      <c r="C4227" s="75">
        <v>99.69</v>
      </c>
      <c r="D4227" s="75">
        <v>93.21</v>
      </c>
      <c r="E4227" s="75">
        <v>93.76</v>
      </c>
      <c r="F4227">
        <v>-3794.9999999999995</v>
      </c>
      <c r="G4227">
        <v>-2215.1999999999998</v>
      </c>
      <c r="H4227">
        <v>-792.2</v>
      </c>
      <c r="I4227">
        <v>-378.5</v>
      </c>
      <c r="J4227">
        <v>-7180.8999999999987</v>
      </c>
    </row>
    <row r="4228" spans="1:10" x14ac:dyDescent="0.35">
      <c r="A4228">
        <v>4212</v>
      </c>
      <c r="B4228" s="75">
        <v>88.811099999999996</v>
      </c>
      <c r="C4228" s="75">
        <v>98.019900000000007</v>
      </c>
      <c r="D4228" s="75">
        <v>92.198999999999998</v>
      </c>
      <c r="E4228" s="75">
        <v>91.953699999999998</v>
      </c>
      <c r="F4228">
        <v>2450.25</v>
      </c>
      <c r="G4228">
        <v>285</v>
      </c>
      <c r="H4228">
        <v>1234.2</v>
      </c>
      <c r="I4228">
        <v>1426.9</v>
      </c>
      <c r="J4228">
        <v>5396.35</v>
      </c>
    </row>
    <row r="4229" spans="1:10" x14ac:dyDescent="0.35">
      <c r="A4229">
        <v>4213</v>
      </c>
      <c r="B4229" s="75">
        <v>89.17</v>
      </c>
      <c r="C4229" s="75">
        <v>97.34</v>
      </c>
      <c r="D4229" s="75">
        <v>94.39</v>
      </c>
      <c r="E4229" s="75">
        <v>95.51</v>
      </c>
      <c r="F4229">
        <v>1270.5</v>
      </c>
      <c r="G4229">
        <v>1297.5</v>
      </c>
      <c r="H4229">
        <v>-3151.4</v>
      </c>
      <c r="I4229">
        <v>-2132.2999999999997</v>
      </c>
      <c r="J4229">
        <v>-2715.7</v>
      </c>
    </row>
    <row r="4230" spans="1:10" x14ac:dyDescent="0.35">
      <c r="A4230">
        <v>4214</v>
      </c>
      <c r="B4230" s="75">
        <v>89.267700000000005</v>
      </c>
      <c r="C4230" s="75">
        <v>98.322500000000005</v>
      </c>
      <c r="D4230" s="75">
        <v>92.251099999999994</v>
      </c>
      <c r="E4230" s="75">
        <v>91.995500000000007</v>
      </c>
      <c r="F4230">
        <v>943.46999999999991</v>
      </c>
      <c r="G4230">
        <v>-168.9</v>
      </c>
      <c r="H4230">
        <v>1130</v>
      </c>
      <c r="I4230">
        <v>1385.1</v>
      </c>
      <c r="J4230">
        <v>3289.67</v>
      </c>
    </row>
    <row r="4231" spans="1:10" x14ac:dyDescent="0.35">
      <c r="A4231">
        <v>4215</v>
      </c>
      <c r="B4231" s="75">
        <v>90.12</v>
      </c>
      <c r="C4231" s="75">
        <v>97.97</v>
      </c>
      <c r="D4231" s="75">
        <v>92.75</v>
      </c>
      <c r="E4231" s="75">
        <v>94.28</v>
      </c>
      <c r="F4231">
        <v>-1854.2699999999998</v>
      </c>
      <c r="G4231">
        <v>363.90000000000003</v>
      </c>
      <c r="H4231">
        <v>138.80000000000001</v>
      </c>
      <c r="I4231">
        <v>-898</v>
      </c>
      <c r="J4231">
        <v>-2249.5699999999997</v>
      </c>
    </row>
    <row r="4232" spans="1:10" x14ac:dyDescent="0.35">
      <c r="A4232">
        <v>4216</v>
      </c>
      <c r="B4232" s="75">
        <v>89.781400000000005</v>
      </c>
      <c r="C4232" s="75">
        <v>98.840199999999996</v>
      </c>
      <c r="D4232" s="75">
        <v>92.936000000000007</v>
      </c>
      <c r="E4232" s="75">
        <v>93.316999999999993</v>
      </c>
      <c r="F4232">
        <v>-751.74</v>
      </c>
      <c r="G4232">
        <v>-945.44999999999993</v>
      </c>
      <c r="H4232">
        <v>-239.8</v>
      </c>
      <c r="I4232">
        <v>63.6</v>
      </c>
      <c r="J4232">
        <v>-1873.39</v>
      </c>
    </row>
    <row r="4233" spans="1:10" x14ac:dyDescent="0.35">
      <c r="A4233">
        <v>4217</v>
      </c>
      <c r="B4233" s="75">
        <v>90.04</v>
      </c>
      <c r="C4233" s="75">
        <v>99.69</v>
      </c>
      <c r="D4233" s="75">
        <v>89.7</v>
      </c>
      <c r="E4233" s="75">
        <v>94.57</v>
      </c>
      <c r="F4233">
        <v>-1593.24</v>
      </c>
      <c r="G4233">
        <v>-2226</v>
      </c>
      <c r="H4233">
        <v>6237.2</v>
      </c>
      <c r="I4233">
        <v>-1193.4000000000001</v>
      </c>
      <c r="J4233">
        <v>1224.56</v>
      </c>
    </row>
    <row r="4234" spans="1:10" x14ac:dyDescent="0.35">
      <c r="A4234">
        <v>4218</v>
      </c>
      <c r="B4234" s="75">
        <v>88.768199999999993</v>
      </c>
      <c r="C4234" s="75">
        <v>97.486199999999997</v>
      </c>
      <c r="D4234" s="75">
        <v>92.581000000000003</v>
      </c>
      <c r="E4234" s="75">
        <v>95.535300000000007</v>
      </c>
      <c r="F4234">
        <v>2591.8200000000002</v>
      </c>
      <c r="G4234">
        <v>1085.55</v>
      </c>
      <c r="H4234">
        <v>470.2</v>
      </c>
      <c r="I4234">
        <v>-2154.7000000000003</v>
      </c>
      <c r="J4234">
        <v>1992.8699999999994</v>
      </c>
    </row>
    <row r="4235" spans="1:10" x14ac:dyDescent="0.35">
      <c r="A4235">
        <v>4219</v>
      </c>
      <c r="B4235" s="75">
        <v>89.58</v>
      </c>
      <c r="C4235" s="75">
        <v>98.18</v>
      </c>
      <c r="D4235" s="75">
        <v>93.31</v>
      </c>
      <c r="E4235" s="75">
        <v>96.14</v>
      </c>
      <c r="F4235">
        <v>-79.53</v>
      </c>
      <c r="G4235">
        <v>47.849999999999994</v>
      </c>
      <c r="H4235">
        <v>-986.8</v>
      </c>
      <c r="I4235">
        <v>-2755.7</v>
      </c>
      <c r="J4235">
        <v>-3774.18</v>
      </c>
    </row>
    <row r="4236" spans="1:10" x14ac:dyDescent="0.35">
      <c r="A4236">
        <v>4220</v>
      </c>
      <c r="B4236" s="75">
        <v>89.494500000000002</v>
      </c>
      <c r="C4236" s="75">
        <v>98.374799999999993</v>
      </c>
      <c r="D4236" s="75">
        <v>91.576300000000003</v>
      </c>
      <c r="E4236" s="75">
        <v>94.893600000000006</v>
      </c>
      <c r="F4236">
        <v>195.03</v>
      </c>
      <c r="G4236">
        <v>-247.35</v>
      </c>
      <c r="H4236">
        <v>2479.6</v>
      </c>
      <c r="I4236">
        <v>-1513</v>
      </c>
      <c r="J4236">
        <v>914.27999999999975</v>
      </c>
    </row>
    <row r="4237" spans="1:10" x14ac:dyDescent="0.35">
      <c r="A4237">
        <v>4221</v>
      </c>
      <c r="B4237" s="75">
        <v>89.48</v>
      </c>
      <c r="C4237" s="75">
        <v>98.01</v>
      </c>
      <c r="D4237" s="75">
        <v>92.77</v>
      </c>
      <c r="E4237" s="75">
        <v>92.04</v>
      </c>
      <c r="F4237">
        <v>236.61</v>
      </c>
      <c r="G4237">
        <v>295.5</v>
      </c>
      <c r="H4237">
        <v>89.2</v>
      </c>
      <c r="I4237">
        <v>1340.4</v>
      </c>
      <c r="J4237">
        <v>1961.71</v>
      </c>
    </row>
    <row r="4238" spans="1:10" x14ac:dyDescent="0.35">
      <c r="A4238">
        <v>4222</v>
      </c>
      <c r="B4238" s="75">
        <v>89.067300000000003</v>
      </c>
      <c r="C4238" s="75">
        <v>96.721199999999996</v>
      </c>
      <c r="D4238" s="75">
        <v>92.869699999999995</v>
      </c>
      <c r="E4238" s="75">
        <v>95.270200000000003</v>
      </c>
      <c r="F4238">
        <v>1604.79</v>
      </c>
      <c r="G4238">
        <v>2233.0499999999997</v>
      </c>
      <c r="H4238">
        <v>-107.2</v>
      </c>
      <c r="I4238">
        <v>-1889.6</v>
      </c>
      <c r="J4238">
        <v>1841.04</v>
      </c>
    </row>
    <row r="4239" spans="1:10" x14ac:dyDescent="0.35">
      <c r="A4239">
        <v>4223</v>
      </c>
      <c r="B4239" s="75">
        <v>88.95</v>
      </c>
      <c r="C4239" s="75">
        <v>99.63</v>
      </c>
      <c r="D4239" s="75">
        <v>92.33</v>
      </c>
      <c r="E4239" s="75">
        <v>93.72</v>
      </c>
      <c r="F4239">
        <v>1986.6</v>
      </c>
      <c r="G4239">
        <v>-2135.6999999999998</v>
      </c>
      <c r="H4239">
        <v>976.40000000000009</v>
      </c>
      <c r="I4239">
        <v>-344.3</v>
      </c>
      <c r="J4239">
        <v>483.00000000000017</v>
      </c>
    </row>
    <row r="4240" spans="1:10" x14ac:dyDescent="0.35">
      <c r="A4240">
        <v>4224</v>
      </c>
      <c r="B4240" s="75">
        <v>89.840999999999994</v>
      </c>
      <c r="C4240" s="75">
        <v>99.037000000000006</v>
      </c>
      <c r="D4240" s="75">
        <v>92.908799999999999</v>
      </c>
      <c r="E4240" s="75">
        <v>97.144499999999994</v>
      </c>
      <c r="F4240">
        <v>-948.42</v>
      </c>
      <c r="G4240">
        <v>-1240.6499999999999</v>
      </c>
      <c r="H4240">
        <v>-185.4</v>
      </c>
      <c r="I4240">
        <v>-3763.9</v>
      </c>
      <c r="J4240">
        <v>-6138.37</v>
      </c>
    </row>
    <row r="4241" spans="1:10" x14ac:dyDescent="0.35">
      <c r="A4241">
        <v>4225</v>
      </c>
      <c r="B4241" s="75">
        <v>89.36</v>
      </c>
      <c r="C4241" s="75">
        <v>96.93</v>
      </c>
      <c r="D4241" s="75">
        <v>90.91</v>
      </c>
      <c r="E4241" s="75">
        <v>91.61</v>
      </c>
      <c r="F4241">
        <v>645.81000000000006</v>
      </c>
      <c r="G4241">
        <v>1927.05</v>
      </c>
      <c r="H4241">
        <v>3822</v>
      </c>
      <c r="I4241">
        <v>1774.1</v>
      </c>
      <c r="J4241">
        <v>8168.9600000000009</v>
      </c>
    </row>
    <row r="4242" spans="1:10" x14ac:dyDescent="0.35">
      <c r="A4242">
        <v>4226</v>
      </c>
      <c r="B4242" s="75">
        <v>89.251800000000003</v>
      </c>
      <c r="C4242" s="75">
        <v>97.375399999999999</v>
      </c>
      <c r="D4242" s="75">
        <v>93.157600000000002</v>
      </c>
      <c r="E4242" s="75">
        <v>94.115200000000002</v>
      </c>
      <c r="F4242">
        <v>995.94</v>
      </c>
      <c r="G4242">
        <v>1251.75</v>
      </c>
      <c r="H4242">
        <v>-683</v>
      </c>
      <c r="I4242">
        <v>-734.6</v>
      </c>
      <c r="J4242">
        <v>830.09</v>
      </c>
    </row>
    <row r="4243" spans="1:10" x14ac:dyDescent="0.35">
      <c r="A4243">
        <v>4227</v>
      </c>
      <c r="B4243" s="75">
        <v>89.49</v>
      </c>
      <c r="C4243" s="75">
        <v>97.64</v>
      </c>
      <c r="D4243" s="75">
        <v>93.35</v>
      </c>
      <c r="E4243" s="75">
        <v>94.84</v>
      </c>
      <c r="F4243">
        <v>219.12</v>
      </c>
      <c r="G4243">
        <v>849.6</v>
      </c>
      <c r="H4243">
        <v>-1061.1999999999998</v>
      </c>
      <c r="I4243">
        <v>-1459.3</v>
      </c>
      <c r="J4243">
        <v>-1451.7799999999997</v>
      </c>
    </row>
    <row r="4244" spans="1:10" x14ac:dyDescent="0.35">
      <c r="A4244">
        <v>4228</v>
      </c>
      <c r="B4244" s="75">
        <v>89.983099999999993</v>
      </c>
      <c r="C4244" s="75">
        <v>99.283000000000001</v>
      </c>
      <c r="D4244" s="75">
        <v>93.674899999999994</v>
      </c>
      <c r="E4244" s="75">
        <v>93.516499999999994</v>
      </c>
      <c r="F4244">
        <v>-1417.35</v>
      </c>
      <c r="G4244">
        <v>-1609.6499999999999</v>
      </c>
      <c r="H4244">
        <v>-1717.6</v>
      </c>
      <c r="I4244">
        <v>-135.9</v>
      </c>
      <c r="J4244">
        <v>-4880.5</v>
      </c>
    </row>
    <row r="4245" spans="1:10" x14ac:dyDescent="0.35">
      <c r="A4245">
        <v>4229</v>
      </c>
      <c r="B4245" s="75">
        <v>89.79</v>
      </c>
      <c r="C4245" s="75">
        <v>98.67</v>
      </c>
      <c r="D4245" s="75">
        <v>94.84</v>
      </c>
      <c r="E4245" s="75">
        <v>94.95</v>
      </c>
      <c r="F4245">
        <v>-782.76</v>
      </c>
      <c r="G4245">
        <v>-684.75</v>
      </c>
      <c r="H4245">
        <v>-4055.2000000000003</v>
      </c>
      <c r="I4245">
        <v>-1569.7</v>
      </c>
      <c r="J4245">
        <v>-7092.41</v>
      </c>
    </row>
    <row r="4246" spans="1:10" x14ac:dyDescent="0.35">
      <c r="A4246">
        <v>4230</v>
      </c>
      <c r="B4246" s="75">
        <v>89.672700000000006</v>
      </c>
      <c r="C4246" s="75">
        <v>96.585999999999999</v>
      </c>
      <c r="D4246" s="75">
        <v>94.006399999999999</v>
      </c>
      <c r="E4246" s="75">
        <v>94.061099999999996</v>
      </c>
      <c r="F4246">
        <v>-393.03</v>
      </c>
      <c r="G4246">
        <v>2435.85</v>
      </c>
      <c r="H4246">
        <v>-2380.6</v>
      </c>
      <c r="I4246">
        <v>-680.5</v>
      </c>
      <c r="J4246">
        <v>-1018.28</v>
      </c>
    </row>
    <row r="4247" spans="1:10" x14ac:dyDescent="0.35">
      <c r="A4247">
        <v>4231</v>
      </c>
      <c r="B4247" s="75">
        <v>89.46</v>
      </c>
      <c r="C4247" s="75">
        <v>98.69</v>
      </c>
      <c r="D4247" s="75">
        <v>92.61</v>
      </c>
      <c r="E4247" s="75">
        <v>91.29</v>
      </c>
      <c r="F4247">
        <v>314.82</v>
      </c>
      <c r="G4247">
        <v>-716.40000000000009</v>
      </c>
      <c r="H4247">
        <v>408.2</v>
      </c>
      <c r="I4247">
        <v>2087</v>
      </c>
      <c r="J4247">
        <v>2093.62</v>
      </c>
    </row>
    <row r="4248" spans="1:10" x14ac:dyDescent="0.35">
      <c r="A4248">
        <v>4232</v>
      </c>
      <c r="B4248" s="75">
        <v>89.242500000000007</v>
      </c>
      <c r="C4248" s="75">
        <v>98.510900000000007</v>
      </c>
      <c r="D4248" s="75">
        <v>93.106399999999994</v>
      </c>
      <c r="E4248" s="75">
        <v>91.438000000000002</v>
      </c>
      <c r="F4248">
        <v>1026.6299999999999</v>
      </c>
      <c r="G4248">
        <v>-451.5</v>
      </c>
      <c r="H4248">
        <v>-580.6</v>
      </c>
      <c r="I4248">
        <v>1942.6000000000001</v>
      </c>
      <c r="J4248">
        <v>1937.13</v>
      </c>
    </row>
    <row r="4249" spans="1:10" x14ac:dyDescent="0.35">
      <c r="A4249">
        <v>4233</v>
      </c>
      <c r="B4249" s="75">
        <v>89.46</v>
      </c>
      <c r="C4249" s="75">
        <v>97.65</v>
      </c>
      <c r="D4249" s="75">
        <v>93.82</v>
      </c>
      <c r="E4249" s="75">
        <v>94.44</v>
      </c>
      <c r="F4249">
        <v>313.17</v>
      </c>
      <c r="G4249">
        <v>838.19999999999993</v>
      </c>
      <c r="H4249">
        <v>-2009</v>
      </c>
      <c r="I4249">
        <v>-1062.4000000000001</v>
      </c>
      <c r="J4249">
        <v>-1920.0300000000002</v>
      </c>
    </row>
    <row r="4250" spans="1:10" x14ac:dyDescent="0.35">
      <c r="A4250">
        <v>4234</v>
      </c>
      <c r="B4250" s="75">
        <v>90.189499999999995</v>
      </c>
      <c r="C4250" s="75">
        <v>98.181600000000003</v>
      </c>
      <c r="D4250" s="75">
        <v>92.714399999999998</v>
      </c>
      <c r="E4250" s="75">
        <v>92.118499999999997</v>
      </c>
      <c r="F4250">
        <v>-2098.4700000000003</v>
      </c>
      <c r="G4250">
        <v>42.449999999999996</v>
      </c>
      <c r="H4250">
        <v>203.4</v>
      </c>
      <c r="I4250">
        <v>1262.0999999999999</v>
      </c>
      <c r="J4250">
        <v>-590.52000000000044</v>
      </c>
    </row>
    <row r="4251" spans="1:10" x14ac:dyDescent="0.35">
      <c r="A4251">
        <v>4235</v>
      </c>
      <c r="B4251" s="75">
        <v>89.13</v>
      </c>
      <c r="C4251" s="75">
        <v>98.33</v>
      </c>
      <c r="D4251" s="75">
        <v>92.3</v>
      </c>
      <c r="E4251" s="75">
        <v>92.19</v>
      </c>
      <c r="F4251">
        <v>1386.66</v>
      </c>
      <c r="G4251">
        <v>-185.4</v>
      </c>
      <c r="H4251">
        <v>1029</v>
      </c>
      <c r="I4251">
        <v>1195.4000000000001</v>
      </c>
      <c r="J4251">
        <v>3425.6600000000003</v>
      </c>
    </row>
    <row r="4252" spans="1:10" x14ac:dyDescent="0.35">
      <c r="A4252">
        <v>4236</v>
      </c>
      <c r="B4252" s="75">
        <v>89.956999999999994</v>
      </c>
      <c r="C4252" s="75">
        <v>98.216999999999999</v>
      </c>
      <c r="D4252" s="75">
        <v>92.395799999999994</v>
      </c>
      <c r="E4252" s="75">
        <v>93.622799999999998</v>
      </c>
      <c r="F4252">
        <v>-1331.22</v>
      </c>
      <c r="G4252">
        <v>-10.65</v>
      </c>
      <c r="H4252">
        <v>840.6</v>
      </c>
      <c r="I4252">
        <v>-242.2</v>
      </c>
      <c r="J4252">
        <v>-743.47</v>
      </c>
    </row>
    <row r="4253" spans="1:10" x14ac:dyDescent="0.35">
      <c r="A4253">
        <v>4237</v>
      </c>
      <c r="B4253" s="75">
        <v>89.57</v>
      </c>
      <c r="C4253" s="75">
        <v>98</v>
      </c>
      <c r="D4253" s="75">
        <v>95.26</v>
      </c>
      <c r="E4253" s="75">
        <v>94.2</v>
      </c>
      <c r="F4253">
        <v>-66.989999999999995</v>
      </c>
      <c r="G4253">
        <v>322.35000000000002</v>
      </c>
      <c r="H4253">
        <v>-4878.2</v>
      </c>
      <c r="I4253">
        <v>-823.8</v>
      </c>
      <c r="J4253">
        <v>-5446.64</v>
      </c>
    </row>
    <row r="4254" spans="1:10" x14ac:dyDescent="0.35">
      <c r="A4254">
        <v>4238</v>
      </c>
      <c r="B4254" s="75">
        <v>89.192499999999995</v>
      </c>
      <c r="C4254" s="75">
        <v>98.031099999999995</v>
      </c>
      <c r="D4254" s="75">
        <v>91.689700000000002</v>
      </c>
      <c r="E4254" s="75">
        <v>94.180599999999998</v>
      </c>
      <c r="F4254">
        <v>1191.6299999999999</v>
      </c>
      <c r="G4254">
        <v>268.2</v>
      </c>
      <c r="H4254">
        <v>2252.8000000000002</v>
      </c>
      <c r="I4254">
        <v>-800</v>
      </c>
      <c r="J4254">
        <v>2912.63</v>
      </c>
    </row>
    <row r="4255" spans="1:10" x14ac:dyDescent="0.35">
      <c r="A4255">
        <v>4239</v>
      </c>
      <c r="B4255" s="75">
        <v>89.61</v>
      </c>
      <c r="C4255" s="75">
        <v>98.19</v>
      </c>
      <c r="D4255" s="75">
        <v>92.44</v>
      </c>
      <c r="E4255" s="75">
        <v>95.27</v>
      </c>
      <c r="F4255">
        <v>-193.05</v>
      </c>
      <c r="G4255">
        <v>27.9</v>
      </c>
      <c r="H4255">
        <v>755.19999999999993</v>
      </c>
      <c r="I4255">
        <v>-1888.1</v>
      </c>
      <c r="J4255">
        <v>-1298.05</v>
      </c>
    </row>
    <row r="4256" spans="1:10" x14ac:dyDescent="0.35">
      <c r="A4256">
        <v>4240</v>
      </c>
      <c r="B4256" s="75">
        <v>89.264899999999997</v>
      </c>
      <c r="C4256" s="75">
        <v>97.122100000000003</v>
      </c>
      <c r="D4256" s="75">
        <v>92.948800000000006</v>
      </c>
      <c r="E4256" s="75">
        <v>92.671099999999996</v>
      </c>
      <c r="F4256">
        <v>952.71</v>
      </c>
      <c r="G4256">
        <v>1631.7</v>
      </c>
      <c r="H4256">
        <v>-265.40000000000003</v>
      </c>
      <c r="I4256">
        <v>709.5</v>
      </c>
      <c r="J4256">
        <v>3028.5099999999998</v>
      </c>
    </row>
    <row r="4257" spans="1:10" x14ac:dyDescent="0.35">
      <c r="A4257">
        <v>4241</v>
      </c>
      <c r="B4257" s="75">
        <v>89.25</v>
      </c>
      <c r="C4257" s="75">
        <v>97.27</v>
      </c>
      <c r="D4257" s="75">
        <v>92.9</v>
      </c>
      <c r="E4257" s="75">
        <v>93.2</v>
      </c>
      <c r="F4257">
        <v>1015.0799999999999</v>
      </c>
      <c r="G4257">
        <v>1412.7</v>
      </c>
      <c r="H4257">
        <v>-167.4</v>
      </c>
      <c r="I4257">
        <v>177.5</v>
      </c>
      <c r="J4257">
        <v>2437.8799999999997</v>
      </c>
    </row>
    <row r="4258" spans="1:10" x14ac:dyDescent="0.35">
      <c r="A4258">
        <v>4242</v>
      </c>
      <c r="B4258" s="75">
        <v>90.556700000000006</v>
      </c>
      <c r="C4258" s="75">
        <v>99.373900000000006</v>
      </c>
      <c r="D4258" s="75">
        <v>93.345399999999998</v>
      </c>
      <c r="E4258" s="75">
        <v>92.135999999999996</v>
      </c>
      <c r="F4258">
        <v>-3310.2300000000005</v>
      </c>
      <c r="G4258">
        <v>-1745.9999999999998</v>
      </c>
      <c r="H4258">
        <v>-1058.5999999999999</v>
      </c>
      <c r="I4258">
        <v>1244.5999999999999</v>
      </c>
      <c r="J4258">
        <v>-4870.2299999999996</v>
      </c>
    </row>
    <row r="4259" spans="1:10" x14ac:dyDescent="0.35">
      <c r="A4259">
        <v>4243</v>
      </c>
      <c r="B4259" s="75">
        <v>89.44</v>
      </c>
      <c r="C4259" s="75">
        <v>99.63</v>
      </c>
      <c r="D4259" s="75">
        <v>92.59</v>
      </c>
      <c r="E4259" s="75">
        <v>93.03</v>
      </c>
      <c r="F4259">
        <v>363</v>
      </c>
      <c r="G4259">
        <v>-2124.9</v>
      </c>
      <c r="H4259">
        <v>449.79999999999995</v>
      </c>
      <c r="I4259">
        <v>348.9</v>
      </c>
      <c r="J4259">
        <v>-963.20000000000016</v>
      </c>
    </row>
    <row r="4260" spans="1:10" x14ac:dyDescent="0.35">
      <c r="A4260">
        <v>4244</v>
      </c>
      <c r="B4260" s="75">
        <v>90.7</v>
      </c>
      <c r="C4260" s="75">
        <v>98.108999999999995</v>
      </c>
      <c r="D4260" s="75">
        <v>94.065600000000003</v>
      </c>
      <c r="E4260" s="75">
        <v>94.164500000000004</v>
      </c>
      <c r="F4260">
        <v>-3783.1200000000003</v>
      </c>
      <c r="G4260">
        <v>151.35</v>
      </c>
      <c r="H4260">
        <v>-2499</v>
      </c>
      <c r="I4260">
        <v>-783.90000000000009</v>
      </c>
      <c r="J4260">
        <v>-6914.67</v>
      </c>
    </row>
    <row r="4261" spans="1:10" x14ac:dyDescent="0.35">
      <c r="A4261">
        <v>4245</v>
      </c>
      <c r="B4261" s="75">
        <v>89.91</v>
      </c>
      <c r="C4261" s="75">
        <v>97.93</v>
      </c>
      <c r="D4261" s="75">
        <v>92.47</v>
      </c>
      <c r="E4261" s="75">
        <v>93.63</v>
      </c>
      <c r="F4261">
        <v>-1188.99</v>
      </c>
      <c r="G4261">
        <v>418.8</v>
      </c>
      <c r="H4261">
        <v>690.4</v>
      </c>
      <c r="I4261">
        <v>-246.10000000000002</v>
      </c>
      <c r="J4261">
        <v>-325.8900000000001</v>
      </c>
    </row>
    <row r="4262" spans="1:10" x14ac:dyDescent="0.35">
      <c r="A4262">
        <v>4246</v>
      </c>
      <c r="B4262" s="75">
        <v>89.478300000000004</v>
      </c>
      <c r="C4262" s="75">
        <v>96.703599999999994</v>
      </c>
      <c r="D4262" s="75">
        <v>93.261899999999997</v>
      </c>
      <c r="E4262" s="75">
        <v>94.0518</v>
      </c>
      <c r="F4262">
        <v>248.49</v>
      </c>
      <c r="G4262">
        <v>2259.4499999999998</v>
      </c>
      <c r="H4262">
        <v>-891.59999999999991</v>
      </c>
      <c r="I4262">
        <v>-671.2</v>
      </c>
      <c r="J4262">
        <v>945.13999999999965</v>
      </c>
    </row>
    <row r="4263" spans="1:10" x14ac:dyDescent="0.35">
      <c r="A4263">
        <v>4247</v>
      </c>
      <c r="B4263" s="75">
        <v>89.4</v>
      </c>
      <c r="C4263" s="75">
        <v>98.02</v>
      </c>
      <c r="D4263" s="75">
        <v>93.59</v>
      </c>
      <c r="E4263" s="75">
        <v>94.01</v>
      </c>
      <c r="F4263">
        <v>492.68999999999994</v>
      </c>
      <c r="G4263">
        <v>291.75</v>
      </c>
      <c r="H4263">
        <v>-1555</v>
      </c>
      <c r="I4263">
        <v>-632.1</v>
      </c>
      <c r="J4263">
        <v>-1402.66</v>
      </c>
    </row>
    <row r="4264" spans="1:10" x14ac:dyDescent="0.35">
      <c r="A4264">
        <v>4248</v>
      </c>
      <c r="B4264" s="75">
        <v>90.162999999999997</v>
      </c>
      <c r="C4264" s="75">
        <v>97.875600000000006</v>
      </c>
      <c r="D4264" s="75">
        <v>91.293300000000002</v>
      </c>
      <c r="E4264" s="75">
        <v>95.5745</v>
      </c>
      <c r="F4264">
        <v>-2011.0200000000002</v>
      </c>
      <c r="G4264">
        <v>501.45</v>
      </c>
      <c r="H4264">
        <v>3045.6</v>
      </c>
      <c r="I4264">
        <v>-2193.9</v>
      </c>
      <c r="J4264">
        <v>-657.87000000000035</v>
      </c>
    </row>
    <row r="4265" spans="1:10" x14ac:dyDescent="0.35">
      <c r="A4265">
        <v>4249</v>
      </c>
      <c r="B4265" s="75">
        <v>88.92</v>
      </c>
      <c r="C4265" s="75">
        <v>97.15</v>
      </c>
      <c r="D4265" s="75">
        <v>93.98</v>
      </c>
      <c r="E4265" s="75">
        <v>94.31</v>
      </c>
      <c r="F4265">
        <v>2075.6999999999998</v>
      </c>
      <c r="G4265">
        <v>1584.8999999999999</v>
      </c>
      <c r="H4265">
        <v>-2324.6000000000004</v>
      </c>
      <c r="I4265">
        <v>-931.6</v>
      </c>
      <c r="J4265">
        <v>404.39999999999907</v>
      </c>
    </row>
    <row r="4266" spans="1:10" x14ac:dyDescent="0.35">
      <c r="A4266">
        <v>4250</v>
      </c>
      <c r="B4266" s="75">
        <v>88.934399999999997</v>
      </c>
      <c r="C4266" s="75">
        <v>97.262500000000003</v>
      </c>
      <c r="D4266" s="75">
        <v>91.33</v>
      </c>
      <c r="E4266" s="75">
        <v>95.707400000000007</v>
      </c>
      <c r="F4266">
        <v>2043.36</v>
      </c>
      <c r="G4266">
        <v>1421.1000000000001</v>
      </c>
      <c r="H4266">
        <v>2972.2</v>
      </c>
      <c r="I4266">
        <v>-2326.8000000000002</v>
      </c>
      <c r="J4266">
        <v>4109.8599999999997</v>
      </c>
    </row>
    <row r="4267" spans="1:10" x14ac:dyDescent="0.35">
      <c r="A4267">
        <v>4251</v>
      </c>
      <c r="B4267" s="75">
        <v>90.23</v>
      </c>
      <c r="C4267" s="75">
        <v>99.56</v>
      </c>
      <c r="D4267" s="75">
        <v>92.61</v>
      </c>
      <c r="E4267" s="75">
        <v>95.61</v>
      </c>
      <c r="F4267">
        <v>-2241.36</v>
      </c>
      <c r="G4267">
        <v>-2027.3999999999999</v>
      </c>
      <c r="H4267">
        <v>412.8</v>
      </c>
      <c r="I4267">
        <v>-2225.6</v>
      </c>
      <c r="J4267">
        <v>-6081.5599999999995</v>
      </c>
    </row>
    <row r="4268" spans="1:10" x14ac:dyDescent="0.35">
      <c r="A4268">
        <v>4252</v>
      </c>
      <c r="B4268" s="75">
        <v>90.207499999999996</v>
      </c>
      <c r="C4268" s="75">
        <v>98.211600000000004</v>
      </c>
      <c r="D4268" s="75">
        <v>93.757199999999997</v>
      </c>
      <c r="E4268" s="75">
        <v>91.281800000000004</v>
      </c>
      <c r="F4268">
        <v>-2157.8700000000003</v>
      </c>
      <c r="G4268">
        <v>-2.5499999999999998</v>
      </c>
      <c r="H4268">
        <v>-1882.2</v>
      </c>
      <c r="I4268">
        <v>2098.8000000000002</v>
      </c>
      <c r="J4268">
        <v>-1943.8200000000006</v>
      </c>
    </row>
    <row r="4269" spans="1:10" x14ac:dyDescent="0.35">
      <c r="A4269">
        <v>4253</v>
      </c>
      <c r="B4269" s="75">
        <v>88.35</v>
      </c>
      <c r="C4269" s="75">
        <v>97.7</v>
      </c>
      <c r="D4269" s="75">
        <v>92.4</v>
      </c>
      <c r="E4269" s="75">
        <v>95.13</v>
      </c>
      <c r="F4269">
        <v>3981.7799999999997</v>
      </c>
      <c r="G4269">
        <v>771.74999999999989</v>
      </c>
      <c r="H4269">
        <v>824.4</v>
      </c>
      <c r="I4269">
        <v>-1745.6000000000001</v>
      </c>
      <c r="J4269">
        <v>3832.329999999999</v>
      </c>
    </row>
    <row r="4270" spans="1:10" x14ac:dyDescent="0.35">
      <c r="A4270">
        <v>4254</v>
      </c>
      <c r="B4270" s="75">
        <v>90.162899999999993</v>
      </c>
      <c r="C4270" s="75">
        <v>96.947699999999998</v>
      </c>
      <c r="D4270" s="75">
        <v>93.466399999999993</v>
      </c>
      <c r="E4270" s="75">
        <v>93.935900000000004</v>
      </c>
      <c r="F4270">
        <v>-2010.6899999999998</v>
      </c>
      <c r="G4270">
        <v>1893.3</v>
      </c>
      <c r="H4270">
        <v>-1300.5999999999999</v>
      </c>
      <c r="I4270">
        <v>-555.30000000000007</v>
      </c>
      <c r="J4270">
        <v>-1973.29</v>
      </c>
    </row>
    <row r="4271" spans="1:10" x14ac:dyDescent="0.35">
      <c r="A4271">
        <v>4255</v>
      </c>
      <c r="B4271" s="75">
        <v>90.16</v>
      </c>
      <c r="C4271" s="75">
        <v>98.47</v>
      </c>
      <c r="D4271" s="75">
        <v>92.54</v>
      </c>
      <c r="E4271" s="75">
        <v>95.1</v>
      </c>
      <c r="F4271">
        <v>-2011.3500000000001</v>
      </c>
      <c r="G4271">
        <v>-395.1</v>
      </c>
      <c r="H4271">
        <v>544</v>
      </c>
      <c r="I4271">
        <v>-1722.5</v>
      </c>
      <c r="J4271">
        <v>-3584.9500000000003</v>
      </c>
    </row>
    <row r="4272" spans="1:10" x14ac:dyDescent="0.35">
      <c r="A4272">
        <v>4256</v>
      </c>
      <c r="B4272" s="75">
        <v>90.744299999999996</v>
      </c>
      <c r="C4272" s="75">
        <v>98.571600000000004</v>
      </c>
      <c r="D4272" s="75">
        <v>92.108599999999996</v>
      </c>
      <c r="E4272" s="75">
        <v>95.721299999999999</v>
      </c>
      <c r="F4272">
        <v>-3929.3100000000004</v>
      </c>
      <c r="G4272">
        <v>-542.55000000000007</v>
      </c>
      <c r="H4272">
        <v>1415</v>
      </c>
      <c r="I4272">
        <v>-2340.6999999999998</v>
      </c>
      <c r="J4272">
        <v>-5397.56</v>
      </c>
    </row>
    <row r="4273" spans="1:10" x14ac:dyDescent="0.35">
      <c r="A4273">
        <v>4257</v>
      </c>
      <c r="B4273" s="75">
        <v>90.14</v>
      </c>
      <c r="C4273" s="75">
        <v>99.38</v>
      </c>
      <c r="D4273" s="75">
        <v>93.51</v>
      </c>
      <c r="E4273" s="75">
        <v>93.31</v>
      </c>
      <c r="F4273">
        <v>-1928.19</v>
      </c>
      <c r="G4273">
        <v>-1761.4499999999998</v>
      </c>
      <c r="H4273">
        <v>-1396.8</v>
      </c>
      <c r="I4273">
        <v>72</v>
      </c>
      <c r="J4273">
        <v>-5014.4399999999996</v>
      </c>
    </row>
    <row r="4274" spans="1:10" x14ac:dyDescent="0.35">
      <c r="A4274">
        <v>4258</v>
      </c>
      <c r="B4274" s="75">
        <v>89.525800000000004</v>
      </c>
      <c r="C4274" s="75">
        <v>98.962100000000007</v>
      </c>
      <c r="D4274" s="75">
        <v>94.493399999999994</v>
      </c>
      <c r="E4274" s="75">
        <v>92.157899999999998</v>
      </c>
      <c r="F4274">
        <v>91.74</v>
      </c>
      <c r="G4274">
        <v>-1128.3</v>
      </c>
      <c r="H4274">
        <v>-3354.6</v>
      </c>
      <c r="I4274">
        <v>1222.6999999999998</v>
      </c>
      <c r="J4274">
        <v>-3168.46</v>
      </c>
    </row>
    <row r="4275" spans="1:10" x14ac:dyDescent="0.35">
      <c r="A4275">
        <v>4259</v>
      </c>
      <c r="B4275" s="75">
        <v>88.82</v>
      </c>
      <c r="C4275" s="75">
        <v>97.93</v>
      </c>
      <c r="D4275" s="75">
        <v>93.24</v>
      </c>
      <c r="E4275" s="75">
        <v>92.45</v>
      </c>
      <c r="F4275">
        <v>2419.23</v>
      </c>
      <c r="G4275">
        <v>426.90000000000003</v>
      </c>
      <c r="H4275">
        <v>-851.8</v>
      </c>
      <c r="I4275">
        <v>932.8</v>
      </c>
      <c r="J4275">
        <v>2927.13</v>
      </c>
    </row>
    <row r="4276" spans="1:10" x14ac:dyDescent="0.35">
      <c r="A4276">
        <v>4260</v>
      </c>
      <c r="B4276" s="75">
        <v>89.078000000000003</v>
      </c>
      <c r="C4276" s="75">
        <v>99.900599999999997</v>
      </c>
      <c r="D4276" s="75">
        <v>93.869</v>
      </c>
      <c r="E4276" s="75">
        <v>94.436099999999996</v>
      </c>
      <c r="F4276">
        <v>1569.48</v>
      </c>
      <c r="G4276">
        <v>-2536.0500000000002</v>
      </c>
      <c r="H4276">
        <v>-2105.7999999999997</v>
      </c>
      <c r="I4276">
        <v>-1055.5</v>
      </c>
      <c r="J4276">
        <v>-4127.87</v>
      </c>
    </row>
    <row r="4277" spans="1:10" x14ac:dyDescent="0.35">
      <c r="A4277">
        <v>4261</v>
      </c>
      <c r="B4277" s="75">
        <v>89.72</v>
      </c>
      <c r="C4277" s="75">
        <v>97.92</v>
      </c>
      <c r="D4277" s="75">
        <v>93.56</v>
      </c>
      <c r="E4277" s="75">
        <v>95.61</v>
      </c>
      <c r="F4277">
        <v>-545.81999999999994</v>
      </c>
      <c r="G4277">
        <v>437.25</v>
      </c>
      <c r="H4277">
        <v>-1484.8</v>
      </c>
      <c r="I4277">
        <v>-2227.7999999999997</v>
      </c>
      <c r="J4277">
        <v>-3821.1699999999996</v>
      </c>
    </row>
    <row r="4278" spans="1:10" x14ac:dyDescent="0.35">
      <c r="A4278">
        <v>4262</v>
      </c>
      <c r="B4278" s="75">
        <v>89.627499999999998</v>
      </c>
      <c r="C4278" s="75">
        <v>97.414100000000005</v>
      </c>
      <c r="D4278" s="75">
        <v>92.037000000000006</v>
      </c>
      <c r="E4278" s="75">
        <v>93.168700000000001</v>
      </c>
      <c r="F4278">
        <v>-243.86999999999998</v>
      </c>
      <c r="G4278">
        <v>1193.6999999999998</v>
      </c>
      <c r="H4278">
        <v>1558.2</v>
      </c>
      <c r="I4278">
        <v>211.9</v>
      </c>
      <c r="J4278">
        <v>2719.93</v>
      </c>
    </row>
    <row r="4279" spans="1:10" x14ac:dyDescent="0.35">
      <c r="A4279">
        <v>4263</v>
      </c>
      <c r="B4279" s="75">
        <v>90.24</v>
      </c>
      <c r="C4279" s="75">
        <v>98.24</v>
      </c>
      <c r="D4279" s="75">
        <v>93.48</v>
      </c>
      <c r="E4279" s="75">
        <v>92.65</v>
      </c>
      <c r="F4279">
        <v>-2258.19</v>
      </c>
      <c r="G4279">
        <v>-37.65</v>
      </c>
      <c r="H4279">
        <v>-1327.2</v>
      </c>
      <c r="I4279">
        <v>730.8</v>
      </c>
      <c r="J4279">
        <v>-2892.24</v>
      </c>
    </row>
    <row r="4280" spans="1:10" x14ac:dyDescent="0.35">
      <c r="A4280">
        <v>4264</v>
      </c>
      <c r="B4280" s="75">
        <v>89.3827</v>
      </c>
      <c r="C4280" s="75">
        <v>97.326899999999995</v>
      </c>
      <c r="D4280" s="75">
        <v>93.046999999999997</v>
      </c>
      <c r="E4280" s="75">
        <v>91.617099999999994</v>
      </c>
      <c r="F4280">
        <v>563.97</v>
      </c>
      <c r="G4280">
        <v>1324.5</v>
      </c>
      <c r="H4280">
        <v>-461.8</v>
      </c>
      <c r="I4280">
        <v>1763.5</v>
      </c>
      <c r="J4280">
        <v>3190.17</v>
      </c>
    </row>
    <row r="4281" spans="1:10" x14ac:dyDescent="0.35">
      <c r="A4281">
        <v>4265</v>
      </c>
      <c r="B4281" s="75">
        <v>88.51</v>
      </c>
      <c r="C4281" s="75">
        <v>97.3</v>
      </c>
      <c r="D4281" s="75">
        <v>93.82</v>
      </c>
      <c r="E4281" s="75">
        <v>92.64</v>
      </c>
      <c r="F4281">
        <v>3447.8399999999997</v>
      </c>
      <c r="G4281">
        <v>1368</v>
      </c>
      <c r="H4281">
        <v>-2000.6</v>
      </c>
      <c r="I4281">
        <v>738</v>
      </c>
      <c r="J4281">
        <v>3553.2400000000002</v>
      </c>
    </row>
    <row r="4282" spans="1:10" x14ac:dyDescent="0.35">
      <c r="A4282">
        <v>4266</v>
      </c>
      <c r="B4282" s="75">
        <v>90.009600000000006</v>
      </c>
      <c r="C4282" s="75">
        <v>98.744699999999995</v>
      </c>
      <c r="D4282" s="75">
        <v>92.807400000000001</v>
      </c>
      <c r="E4282" s="75">
        <v>92.289199999999994</v>
      </c>
      <c r="F4282">
        <v>-1504.8</v>
      </c>
      <c r="G4282">
        <v>-802.2</v>
      </c>
      <c r="H4282">
        <v>17.399999999999999</v>
      </c>
      <c r="I4282">
        <v>1091.3999999999999</v>
      </c>
      <c r="J4282">
        <v>-1198.2</v>
      </c>
    </row>
    <row r="4283" spans="1:10" x14ac:dyDescent="0.35">
      <c r="A4283">
        <v>4267</v>
      </c>
      <c r="B4283" s="75">
        <v>89.4</v>
      </c>
      <c r="C4283" s="75">
        <v>97.55</v>
      </c>
      <c r="D4283" s="75">
        <v>91.82</v>
      </c>
      <c r="E4283" s="75">
        <v>89.17</v>
      </c>
      <c r="F4283">
        <v>501.27000000000004</v>
      </c>
      <c r="G4283">
        <v>985.2</v>
      </c>
      <c r="H4283">
        <v>1985</v>
      </c>
      <c r="I4283">
        <v>4205.8999999999996</v>
      </c>
      <c r="J4283">
        <v>7677.37</v>
      </c>
    </row>
    <row r="4284" spans="1:10" x14ac:dyDescent="0.35">
      <c r="A4284">
        <v>4268</v>
      </c>
      <c r="B4284" s="75">
        <v>90.361999999999995</v>
      </c>
      <c r="C4284" s="75">
        <v>97.202500000000001</v>
      </c>
      <c r="D4284" s="75">
        <v>92.959100000000007</v>
      </c>
      <c r="E4284" s="75">
        <v>92.530699999999996</v>
      </c>
      <c r="F4284">
        <v>-2667.72</v>
      </c>
      <c r="G4284">
        <v>1511.1000000000001</v>
      </c>
      <c r="H4284">
        <v>-286</v>
      </c>
      <c r="I4284">
        <v>849.9</v>
      </c>
      <c r="J4284">
        <v>-592.71999999999969</v>
      </c>
    </row>
    <row r="4285" spans="1:10" x14ac:dyDescent="0.35">
      <c r="A4285">
        <v>4269</v>
      </c>
      <c r="B4285" s="75">
        <v>89.85</v>
      </c>
      <c r="C4285" s="75">
        <v>99.78</v>
      </c>
      <c r="D4285" s="75">
        <v>91.29</v>
      </c>
      <c r="E4285" s="75">
        <v>92.61</v>
      </c>
      <c r="F4285">
        <v>-994.29000000000008</v>
      </c>
      <c r="G4285">
        <v>-2347.7999999999997</v>
      </c>
      <c r="H4285">
        <v>3050.3999999999996</v>
      </c>
      <c r="I4285">
        <v>768.59999999999991</v>
      </c>
      <c r="J4285">
        <v>476.90999999999985</v>
      </c>
    </row>
    <row r="4286" spans="1:10" x14ac:dyDescent="0.35">
      <c r="A4286">
        <v>4270</v>
      </c>
      <c r="B4286" s="75">
        <v>90.323099999999997</v>
      </c>
      <c r="C4286" s="75">
        <v>98.006200000000007</v>
      </c>
      <c r="D4286" s="75">
        <v>93.290899999999993</v>
      </c>
      <c r="E4286" s="75">
        <v>93.9602</v>
      </c>
      <c r="F4286">
        <v>-2539.35</v>
      </c>
      <c r="G4286">
        <v>305.55</v>
      </c>
      <c r="H4286">
        <v>-949.6</v>
      </c>
      <c r="I4286">
        <v>-579.6</v>
      </c>
      <c r="J4286">
        <v>-3762.9999999999995</v>
      </c>
    </row>
    <row r="4287" spans="1:10" x14ac:dyDescent="0.35">
      <c r="A4287">
        <v>4271</v>
      </c>
      <c r="B4287" s="75">
        <v>89.38</v>
      </c>
      <c r="C4287" s="75">
        <v>97.7</v>
      </c>
      <c r="D4287" s="75">
        <v>94.28</v>
      </c>
      <c r="E4287" s="75">
        <v>91.55</v>
      </c>
      <c r="F4287">
        <v>560.66999999999996</v>
      </c>
      <c r="G4287">
        <v>765.15</v>
      </c>
      <c r="H4287">
        <v>-2925</v>
      </c>
      <c r="I4287">
        <v>1833</v>
      </c>
      <c r="J4287">
        <v>233.81999999999994</v>
      </c>
    </row>
    <row r="4288" spans="1:10" x14ac:dyDescent="0.35">
      <c r="A4288">
        <v>4272</v>
      </c>
      <c r="B4288" s="75">
        <v>89.775999999999996</v>
      </c>
      <c r="C4288" s="75">
        <v>97.528499999999994</v>
      </c>
      <c r="D4288" s="75">
        <v>93.506799999999998</v>
      </c>
      <c r="E4288" s="75">
        <v>94.1751</v>
      </c>
      <c r="F4288">
        <v>-733.92</v>
      </c>
      <c r="G4288">
        <v>1022.1</v>
      </c>
      <c r="H4288">
        <v>-1381.3999999999999</v>
      </c>
      <c r="I4288">
        <v>-794.5</v>
      </c>
      <c r="J4288">
        <v>-1887.7199999999998</v>
      </c>
    </row>
    <row r="4289" spans="1:10" x14ac:dyDescent="0.35">
      <c r="A4289">
        <v>4273</v>
      </c>
      <c r="B4289" s="75">
        <v>89.76</v>
      </c>
      <c r="C4289" s="75">
        <v>97.46</v>
      </c>
      <c r="D4289" s="75">
        <v>93.27</v>
      </c>
      <c r="E4289" s="75">
        <v>92.53</v>
      </c>
      <c r="F4289">
        <v>-664.95</v>
      </c>
      <c r="G4289">
        <v>1126.6500000000001</v>
      </c>
      <c r="H4289">
        <v>-909.80000000000007</v>
      </c>
      <c r="I4289">
        <v>847.19999999999993</v>
      </c>
      <c r="J4289">
        <v>399.09999999999991</v>
      </c>
    </row>
    <row r="4290" spans="1:10" x14ac:dyDescent="0.35">
      <c r="A4290">
        <v>4274</v>
      </c>
      <c r="B4290" s="75">
        <v>89.479699999999994</v>
      </c>
      <c r="C4290" s="75">
        <v>97.632800000000003</v>
      </c>
      <c r="D4290" s="75">
        <v>91.533100000000005</v>
      </c>
      <c r="E4290" s="75">
        <v>92.952299999999994</v>
      </c>
      <c r="F4290">
        <v>243.86999999999998</v>
      </c>
      <c r="G4290">
        <v>865.64999999999986</v>
      </c>
      <c r="H4290">
        <v>2566</v>
      </c>
      <c r="I4290">
        <v>428.3</v>
      </c>
      <c r="J4290">
        <v>4103.82</v>
      </c>
    </row>
    <row r="4291" spans="1:10" x14ac:dyDescent="0.35">
      <c r="A4291">
        <v>4275</v>
      </c>
      <c r="B4291" s="75">
        <v>89.53</v>
      </c>
      <c r="C4291" s="75">
        <v>99.02</v>
      </c>
      <c r="D4291" s="75">
        <v>93.63</v>
      </c>
      <c r="E4291" s="75">
        <v>94.47</v>
      </c>
      <c r="F4291">
        <v>61.710000000000008</v>
      </c>
      <c r="G4291">
        <v>-1219.8</v>
      </c>
      <c r="H4291">
        <v>-1633.2</v>
      </c>
      <c r="I4291">
        <v>-1090.1000000000001</v>
      </c>
      <c r="J4291">
        <v>-3881.3900000000003</v>
      </c>
    </row>
    <row r="4292" spans="1:10" x14ac:dyDescent="0.35">
      <c r="A4292">
        <v>4276</v>
      </c>
      <c r="B4292" s="75">
        <v>90.317899999999995</v>
      </c>
      <c r="C4292" s="75">
        <v>97.469700000000003</v>
      </c>
      <c r="D4292" s="75">
        <v>93.774199999999993</v>
      </c>
      <c r="E4292" s="75">
        <v>93.563100000000006</v>
      </c>
      <c r="F4292">
        <v>-2522.19</v>
      </c>
      <c r="G4292">
        <v>1110.3</v>
      </c>
      <c r="H4292">
        <v>-1916.1999999999998</v>
      </c>
      <c r="I4292">
        <v>-182.5</v>
      </c>
      <c r="J4292">
        <v>-3510.59</v>
      </c>
    </row>
    <row r="4293" spans="1:10" x14ac:dyDescent="0.35">
      <c r="A4293">
        <v>4277</v>
      </c>
      <c r="B4293" s="75">
        <v>89.07</v>
      </c>
      <c r="C4293" s="75">
        <v>97.51</v>
      </c>
      <c r="D4293" s="75">
        <v>93.32</v>
      </c>
      <c r="E4293" s="75">
        <v>92.59</v>
      </c>
      <c r="F4293">
        <v>1586.31</v>
      </c>
      <c r="G4293">
        <v>1052.4000000000001</v>
      </c>
      <c r="H4293">
        <v>-1014.2</v>
      </c>
      <c r="I4293">
        <v>795.5</v>
      </c>
      <c r="J4293">
        <v>2420.0100000000002</v>
      </c>
    </row>
    <row r="4294" spans="1:10" x14ac:dyDescent="0.35">
      <c r="A4294">
        <v>4278</v>
      </c>
      <c r="B4294" s="75">
        <v>90.039400000000001</v>
      </c>
      <c r="C4294" s="75">
        <v>99.149900000000002</v>
      </c>
      <c r="D4294" s="75">
        <v>91.744699999999995</v>
      </c>
      <c r="E4294" s="75">
        <v>95.536299999999997</v>
      </c>
      <c r="F4294">
        <v>-1603.14</v>
      </c>
      <c r="G4294">
        <v>-1410</v>
      </c>
      <c r="H4294">
        <v>2142.7999999999997</v>
      </c>
      <c r="I4294">
        <v>-2155.6999999999998</v>
      </c>
      <c r="J4294">
        <v>-3026.0400000000004</v>
      </c>
    </row>
    <row r="4295" spans="1:10" x14ac:dyDescent="0.35">
      <c r="A4295">
        <v>4279</v>
      </c>
      <c r="B4295" s="75">
        <v>90.26</v>
      </c>
      <c r="C4295" s="75">
        <v>98.22</v>
      </c>
      <c r="D4295" s="75">
        <v>92.41</v>
      </c>
      <c r="E4295" s="75">
        <v>93.49</v>
      </c>
      <c r="F4295">
        <v>-2331.12</v>
      </c>
      <c r="G4295">
        <v>-13.799999999999999</v>
      </c>
      <c r="H4295">
        <v>813.8</v>
      </c>
      <c r="I4295">
        <v>-108.7</v>
      </c>
      <c r="J4295">
        <v>-1639.8200000000002</v>
      </c>
    </row>
    <row r="4296" spans="1:10" x14ac:dyDescent="0.35">
      <c r="A4296">
        <v>4280</v>
      </c>
      <c r="B4296" s="75">
        <v>89.396600000000007</v>
      </c>
      <c r="C4296" s="75">
        <v>98.509299999999996</v>
      </c>
      <c r="D4296" s="75">
        <v>92.378200000000007</v>
      </c>
      <c r="E4296" s="75">
        <v>94.748599999999996</v>
      </c>
      <c r="F4296">
        <v>518.1</v>
      </c>
      <c r="G4296">
        <v>-449.1</v>
      </c>
      <c r="H4296">
        <v>875.80000000000007</v>
      </c>
      <c r="I4296">
        <v>-1368</v>
      </c>
      <c r="J4296">
        <v>-423.19999999999993</v>
      </c>
    </row>
    <row r="4297" spans="1:10" x14ac:dyDescent="0.35">
      <c r="A4297">
        <v>4281</v>
      </c>
      <c r="B4297" s="75">
        <v>88.82</v>
      </c>
      <c r="C4297" s="75">
        <v>97.56</v>
      </c>
      <c r="D4297" s="75">
        <v>91.39</v>
      </c>
      <c r="E4297" s="75">
        <v>96.58</v>
      </c>
      <c r="F4297">
        <v>2414.94</v>
      </c>
      <c r="G4297">
        <v>979.2</v>
      </c>
      <c r="H4297">
        <v>2846.2000000000003</v>
      </c>
      <c r="I4297">
        <v>-3198</v>
      </c>
      <c r="J4297">
        <v>3042.34</v>
      </c>
    </row>
    <row r="4298" spans="1:10" x14ac:dyDescent="0.35">
      <c r="A4298">
        <v>4282</v>
      </c>
      <c r="B4298" s="75">
        <v>89.127399999999994</v>
      </c>
      <c r="C4298" s="75">
        <v>98.624399999999994</v>
      </c>
      <c r="D4298" s="75">
        <v>92.961399999999998</v>
      </c>
      <c r="E4298" s="75">
        <v>92.724599999999995</v>
      </c>
      <c r="F4298">
        <v>1406.46</v>
      </c>
      <c r="G4298">
        <v>-621.75</v>
      </c>
      <c r="H4298">
        <v>-290.60000000000002</v>
      </c>
      <c r="I4298">
        <v>656</v>
      </c>
      <c r="J4298">
        <v>1150.1100000000001</v>
      </c>
    </row>
    <row r="4299" spans="1:10" x14ac:dyDescent="0.35">
      <c r="A4299">
        <v>4283</v>
      </c>
      <c r="B4299" s="75">
        <v>88.7</v>
      </c>
      <c r="C4299" s="75">
        <v>98.84</v>
      </c>
      <c r="D4299" s="75">
        <v>94.48</v>
      </c>
      <c r="E4299" s="75">
        <v>96.38</v>
      </c>
      <c r="F4299">
        <v>2811.27</v>
      </c>
      <c r="G4299">
        <v>-946.35</v>
      </c>
      <c r="H4299">
        <v>-3333.8</v>
      </c>
      <c r="I4299">
        <v>-2999.8</v>
      </c>
      <c r="J4299">
        <v>-4468.68</v>
      </c>
    </row>
    <row r="4300" spans="1:10" x14ac:dyDescent="0.35">
      <c r="A4300">
        <v>4284</v>
      </c>
      <c r="B4300" s="75">
        <v>89.459900000000005</v>
      </c>
      <c r="C4300" s="75">
        <v>98.946799999999996</v>
      </c>
      <c r="D4300" s="75">
        <v>93.536699999999996</v>
      </c>
      <c r="E4300" s="75">
        <v>92.504499999999993</v>
      </c>
      <c r="F4300">
        <v>309.21000000000004</v>
      </c>
      <c r="G4300">
        <v>-1105.3499999999999</v>
      </c>
      <c r="H4300">
        <v>-1441.2</v>
      </c>
      <c r="I4300">
        <v>876.1</v>
      </c>
      <c r="J4300">
        <v>-1361.2400000000002</v>
      </c>
    </row>
    <row r="4301" spans="1:10" x14ac:dyDescent="0.35">
      <c r="A4301">
        <v>4285</v>
      </c>
      <c r="B4301" s="75">
        <v>89.45</v>
      </c>
      <c r="C4301" s="75">
        <v>98.45</v>
      </c>
      <c r="D4301" s="75">
        <v>92.91</v>
      </c>
      <c r="E4301" s="75">
        <v>93.35</v>
      </c>
      <c r="F4301">
        <v>355.08</v>
      </c>
      <c r="G4301">
        <v>-353.55</v>
      </c>
      <c r="H4301">
        <v>-193.6</v>
      </c>
      <c r="I4301">
        <v>26.9</v>
      </c>
      <c r="J4301">
        <v>-165.17000000000002</v>
      </c>
    </row>
    <row r="4302" spans="1:10" x14ac:dyDescent="0.35">
      <c r="A4302">
        <v>4286</v>
      </c>
      <c r="B4302" s="75">
        <v>89.200900000000004</v>
      </c>
      <c r="C4302" s="75">
        <v>95.956199999999995</v>
      </c>
      <c r="D4302" s="75">
        <v>92.922799999999995</v>
      </c>
      <c r="E4302" s="75">
        <v>90.296300000000002</v>
      </c>
      <c r="F4302">
        <v>1163.9100000000001</v>
      </c>
      <c r="G4302">
        <v>3380.5499999999997</v>
      </c>
      <c r="H4302">
        <v>-213.4</v>
      </c>
      <c r="I4302">
        <v>3084.2999999999997</v>
      </c>
      <c r="J4302">
        <v>7415.3600000000006</v>
      </c>
    </row>
    <row r="4303" spans="1:10" x14ac:dyDescent="0.35">
      <c r="A4303">
        <v>4287</v>
      </c>
      <c r="B4303" s="75">
        <v>89.22</v>
      </c>
      <c r="C4303" s="75">
        <v>98.44</v>
      </c>
      <c r="D4303" s="75">
        <v>93.9</v>
      </c>
      <c r="E4303" s="75">
        <v>92.25</v>
      </c>
      <c r="F4303">
        <v>1108.1399999999999</v>
      </c>
      <c r="G4303">
        <v>-338.09999999999997</v>
      </c>
      <c r="H4303">
        <v>-2176</v>
      </c>
      <c r="I4303">
        <v>1128</v>
      </c>
      <c r="J4303">
        <v>-277.96000000000004</v>
      </c>
    </row>
    <row r="4304" spans="1:10" x14ac:dyDescent="0.35">
      <c r="A4304">
        <v>4288</v>
      </c>
      <c r="B4304" s="75">
        <v>90.301199999999994</v>
      </c>
      <c r="C4304" s="75">
        <v>97.292100000000005</v>
      </c>
      <c r="D4304" s="75">
        <v>90.328500000000005</v>
      </c>
      <c r="E4304" s="75">
        <v>92.244399999999999</v>
      </c>
      <c r="F4304">
        <v>-2467.08</v>
      </c>
      <c r="G4304">
        <v>1376.6999999999998</v>
      </c>
      <c r="H4304">
        <v>4975.2</v>
      </c>
      <c r="I4304">
        <v>1136.2</v>
      </c>
      <c r="J4304">
        <v>5021.0199999999995</v>
      </c>
    </row>
    <row r="4305" spans="1:10" x14ac:dyDescent="0.35">
      <c r="A4305">
        <v>4289</v>
      </c>
      <c r="B4305" s="75">
        <v>88.94</v>
      </c>
      <c r="C4305" s="75">
        <v>100.27</v>
      </c>
      <c r="D4305" s="75">
        <v>93.01</v>
      </c>
      <c r="E4305" s="75">
        <v>91.98</v>
      </c>
      <c r="F4305">
        <v>2039.07</v>
      </c>
      <c r="G4305">
        <v>-3092.55</v>
      </c>
      <c r="H4305">
        <v>-385.6</v>
      </c>
      <c r="I4305">
        <v>1398.3000000000002</v>
      </c>
      <c r="J4305">
        <v>-40.7800000000002</v>
      </c>
    </row>
    <row r="4306" spans="1:10" x14ac:dyDescent="0.35">
      <c r="A4306">
        <v>4290</v>
      </c>
      <c r="B4306" s="75">
        <v>89.404899999999998</v>
      </c>
      <c r="C4306" s="75">
        <v>98.477699999999999</v>
      </c>
      <c r="D4306" s="75">
        <v>92.195400000000006</v>
      </c>
      <c r="E4306" s="75">
        <v>92.380200000000002</v>
      </c>
      <c r="F4306">
        <v>490.71</v>
      </c>
      <c r="G4306">
        <v>-401.7</v>
      </c>
      <c r="H4306">
        <v>1241.4000000000001</v>
      </c>
      <c r="I4306">
        <v>1000.4</v>
      </c>
      <c r="J4306">
        <v>2330.81</v>
      </c>
    </row>
    <row r="4307" spans="1:10" x14ac:dyDescent="0.35">
      <c r="A4307">
        <v>4291</v>
      </c>
      <c r="B4307" s="75">
        <v>88.68</v>
      </c>
      <c r="C4307" s="75">
        <v>97.95</v>
      </c>
      <c r="D4307" s="75">
        <v>91.42</v>
      </c>
      <c r="E4307" s="75">
        <v>91.16</v>
      </c>
      <c r="F4307">
        <v>2881.23</v>
      </c>
      <c r="G4307">
        <v>383.25</v>
      </c>
      <c r="H4307">
        <v>2798.6</v>
      </c>
      <c r="I4307">
        <v>2216.8000000000002</v>
      </c>
      <c r="J4307">
        <v>8279.880000000001</v>
      </c>
    </row>
    <row r="4308" spans="1:10" x14ac:dyDescent="0.35">
      <c r="A4308">
        <v>4292</v>
      </c>
      <c r="B4308" s="75">
        <v>89.402100000000004</v>
      </c>
      <c r="C4308" s="75">
        <v>97.959100000000007</v>
      </c>
      <c r="D4308" s="75">
        <v>91.403499999999994</v>
      </c>
      <c r="E4308" s="75">
        <v>95.112799999999993</v>
      </c>
      <c r="F4308">
        <v>499.95</v>
      </c>
      <c r="G4308">
        <v>376.20000000000005</v>
      </c>
      <c r="H4308">
        <v>2825.2000000000003</v>
      </c>
      <c r="I4308">
        <v>-1732.2</v>
      </c>
      <c r="J4308">
        <v>1969.1500000000003</v>
      </c>
    </row>
    <row r="4309" spans="1:10" x14ac:dyDescent="0.35">
      <c r="A4309">
        <v>4293</v>
      </c>
      <c r="B4309" s="75">
        <v>89.52</v>
      </c>
      <c r="C4309" s="75">
        <v>97.09</v>
      </c>
      <c r="D4309" s="75">
        <v>93.1</v>
      </c>
      <c r="E4309" s="75">
        <v>92.24</v>
      </c>
      <c r="F4309">
        <v>99.33</v>
      </c>
      <c r="G4309">
        <v>1677.15</v>
      </c>
      <c r="H4309">
        <v>-574.4</v>
      </c>
      <c r="I4309">
        <v>1140.0999999999999</v>
      </c>
      <c r="J4309">
        <v>2342.1799999999998</v>
      </c>
    </row>
    <row r="4310" spans="1:10" x14ac:dyDescent="0.35">
      <c r="A4310">
        <v>4294</v>
      </c>
      <c r="B4310" s="75">
        <v>90.325100000000006</v>
      </c>
      <c r="C4310" s="75">
        <v>96.625799999999998</v>
      </c>
      <c r="D4310" s="75">
        <v>90.740799999999993</v>
      </c>
      <c r="E4310" s="75">
        <v>95.036799999999999</v>
      </c>
      <c r="F4310">
        <v>-2545.9499999999998</v>
      </c>
      <c r="G4310">
        <v>2376.15</v>
      </c>
      <c r="H4310">
        <v>4150.5999999999995</v>
      </c>
      <c r="I4310">
        <v>-1656.1999999999998</v>
      </c>
      <c r="J4310">
        <v>2324.6</v>
      </c>
    </row>
    <row r="4311" spans="1:10" x14ac:dyDescent="0.35">
      <c r="A4311">
        <v>4295</v>
      </c>
      <c r="B4311" s="75">
        <v>89.98</v>
      </c>
      <c r="C4311" s="75">
        <v>97</v>
      </c>
      <c r="D4311" s="75">
        <v>92.02</v>
      </c>
      <c r="E4311" s="75">
        <v>92.76</v>
      </c>
      <c r="F4311">
        <v>-1398.21</v>
      </c>
      <c r="G4311">
        <v>1810.65</v>
      </c>
      <c r="H4311">
        <v>1599</v>
      </c>
      <c r="I4311">
        <v>617.5</v>
      </c>
      <c r="J4311">
        <v>2628.94</v>
      </c>
    </row>
    <row r="4312" spans="1:10" x14ac:dyDescent="0.35">
      <c r="A4312">
        <v>4296</v>
      </c>
      <c r="B4312" s="75">
        <v>89.2376</v>
      </c>
      <c r="C4312" s="75">
        <v>98.581199999999995</v>
      </c>
      <c r="D4312" s="75">
        <v>93.564999999999998</v>
      </c>
      <c r="E4312" s="75">
        <v>94.7941</v>
      </c>
      <c r="F4312">
        <v>1042.8</v>
      </c>
      <c r="G4312">
        <v>-556.95000000000005</v>
      </c>
      <c r="H4312">
        <v>-1497.8</v>
      </c>
      <c r="I4312">
        <v>-1413.5</v>
      </c>
      <c r="J4312">
        <v>-2425.4499999999998</v>
      </c>
    </row>
    <row r="4313" spans="1:10" x14ac:dyDescent="0.35">
      <c r="A4313">
        <v>4297</v>
      </c>
      <c r="B4313" s="75">
        <v>89.73</v>
      </c>
      <c r="C4313" s="75">
        <v>97.51</v>
      </c>
      <c r="D4313" s="75">
        <v>92.71</v>
      </c>
      <c r="E4313" s="75">
        <v>95.4</v>
      </c>
      <c r="F4313">
        <v>-578.82000000000005</v>
      </c>
      <c r="G4313">
        <v>1049.4000000000001</v>
      </c>
      <c r="H4313">
        <v>216.20000000000002</v>
      </c>
      <c r="I4313">
        <v>-2024.2</v>
      </c>
      <c r="J4313">
        <v>-1337.42</v>
      </c>
    </row>
    <row r="4314" spans="1:10" x14ac:dyDescent="0.35">
      <c r="A4314">
        <v>4298</v>
      </c>
      <c r="B4314" s="75">
        <v>89.795299999999997</v>
      </c>
      <c r="C4314" s="75">
        <v>99.537400000000005</v>
      </c>
      <c r="D4314" s="75">
        <v>92.332899999999995</v>
      </c>
      <c r="E4314" s="75">
        <v>94.808400000000006</v>
      </c>
      <c r="F4314">
        <v>-797.61</v>
      </c>
      <c r="G4314">
        <v>-1991.2499999999998</v>
      </c>
      <c r="H4314">
        <v>966.40000000000009</v>
      </c>
      <c r="I4314">
        <v>-1427.8</v>
      </c>
      <c r="J4314">
        <v>-3250.2599999999993</v>
      </c>
    </row>
    <row r="4315" spans="1:10" x14ac:dyDescent="0.35">
      <c r="A4315">
        <v>4299</v>
      </c>
      <c r="B4315" s="75">
        <v>89.46</v>
      </c>
      <c r="C4315" s="75">
        <v>98.57</v>
      </c>
      <c r="D4315" s="75">
        <v>93.51</v>
      </c>
      <c r="E4315" s="75">
        <v>94.58</v>
      </c>
      <c r="F4315">
        <v>298.32</v>
      </c>
      <c r="G4315">
        <v>-544.65</v>
      </c>
      <c r="H4315">
        <v>-1386</v>
      </c>
      <c r="I4315">
        <v>-1194.9000000000001</v>
      </c>
      <c r="J4315">
        <v>-2827.23</v>
      </c>
    </row>
    <row r="4316" spans="1:10" x14ac:dyDescent="0.35">
      <c r="A4316">
        <v>4300</v>
      </c>
      <c r="B4316" s="75">
        <v>89.145899999999997</v>
      </c>
      <c r="C4316" s="75">
        <v>98.156400000000005</v>
      </c>
      <c r="D4316" s="75">
        <v>93.748599999999996</v>
      </c>
      <c r="E4316" s="75">
        <v>92.420599999999993</v>
      </c>
      <c r="F4316">
        <v>1345.41</v>
      </c>
      <c r="G4316">
        <v>80.25</v>
      </c>
      <c r="H4316">
        <v>-1865</v>
      </c>
      <c r="I4316">
        <v>960</v>
      </c>
      <c r="J4316">
        <v>520.66000000000008</v>
      </c>
    </row>
    <row r="4317" spans="1:10" x14ac:dyDescent="0.35">
      <c r="A4317">
        <v>4301</v>
      </c>
      <c r="B4317" s="75">
        <v>89.86</v>
      </c>
      <c r="C4317" s="75">
        <v>96.9</v>
      </c>
      <c r="D4317" s="75">
        <v>91.67</v>
      </c>
      <c r="E4317" s="75">
        <v>94.94</v>
      </c>
      <c r="F4317">
        <v>-1017.72</v>
      </c>
      <c r="G4317">
        <v>1971.15</v>
      </c>
      <c r="H4317">
        <v>2288.6000000000004</v>
      </c>
      <c r="I4317">
        <v>-1561.5</v>
      </c>
      <c r="J4317">
        <v>1680.5300000000007</v>
      </c>
    </row>
    <row r="4318" spans="1:10" x14ac:dyDescent="0.35">
      <c r="A4318">
        <v>4302</v>
      </c>
      <c r="B4318" s="75">
        <v>89.137900000000002</v>
      </c>
      <c r="C4318" s="75">
        <v>97.412499999999994</v>
      </c>
      <c r="D4318" s="75">
        <v>92.317099999999996</v>
      </c>
      <c r="E4318" s="75">
        <v>91.143000000000001</v>
      </c>
      <c r="F4318">
        <v>1371.81</v>
      </c>
      <c r="G4318">
        <v>1196.0999999999999</v>
      </c>
      <c r="H4318">
        <v>998</v>
      </c>
      <c r="I4318">
        <v>2237.6</v>
      </c>
      <c r="J4318">
        <v>5803.51</v>
      </c>
    </row>
    <row r="4319" spans="1:10" x14ac:dyDescent="0.35">
      <c r="A4319">
        <v>4303</v>
      </c>
      <c r="B4319" s="75">
        <v>89.77</v>
      </c>
      <c r="C4319" s="75">
        <v>97.21</v>
      </c>
      <c r="D4319" s="75">
        <v>91.84</v>
      </c>
      <c r="E4319" s="75">
        <v>93.81</v>
      </c>
      <c r="F4319">
        <v>-721.71</v>
      </c>
      <c r="G4319">
        <v>1504.95</v>
      </c>
      <c r="H4319">
        <v>1943.6</v>
      </c>
      <c r="I4319">
        <v>-424.9</v>
      </c>
      <c r="J4319">
        <v>2301.94</v>
      </c>
    </row>
    <row r="4320" spans="1:10" x14ac:dyDescent="0.35">
      <c r="A4320">
        <v>4304</v>
      </c>
      <c r="B4320" s="75">
        <v>90.0762</v>
      </c>
      <c r="C4320" s="75">
        <v>99.458799999999997</v>
      </c>
      <c r="D4320" s="75">
        <v>94.1524</v>
      </c>
      <c r="E4320" s="75">
        <v>90.764099999999999</v>
      </c>
      <c r="F4320">
        <v>-1724.58</v>
      </c>
      <c r="G4320">
        <v>-1873.35</v>
      </c>
      <c r="H4320">
        <v>-2672.6</v>
      </c>
      <c r="I4320">
        <v>2616.5</v>
      </c>
      <c r="J4320">
        <v>-3654.0299999999997</v>
      </c>
    </row>
    <row r="4321" spans="1:10" x14ac:dyDescent="0.35">
      <c r="A4321">
        <v>4305</v>
      </c>
      <c r="B4321" s="75">
        <v>89.13</v>
      </c>
      <c r="C4321" s="75">
        <v>97.82</v>
      </c>
      <c r="D4321" s="75">
        <v>94.56</v>
      </c>
      <c r="E4321" s="75">
        <v>92.31</v>
      </c>
      <c r="F4321">
        <v>1387.6499999999999</v>
      </c>
      <c r="G4321">
        <v>588</v>
      </c>
      <c r="H4321">
        <v>-3477.7999999999997</v>
      </c>
      <c r="I4321">
        <v>1071</v>
      </c>
      <c r="J4321">
        <v>-431.14999999999986</v>
      </c>
    </row>
    <row r="4322" spans="1:10" x14ac:dyDescent="0.35">
      <c r="A4322">
        <v>4306</v>
      </c>
      <c r="B4322" s="75">
        <v>89.113200000000006</v>
      </c>
      <c r="C4322" s="75">
        <v>97.468999999999994</v>
      </c>
      <c r="D4322" s="75">
        <v>94.428100000000001</v>
      </c>
      <c r="E4322" s="75">
        <v>94.269199999999998</v>
      </c>
      <c r="F4322">
        <v>1453.32</v>
      </c>
      <c r="G4322">
        <v>1111.3499999999999</v>
      </c>
      <c r="H4322">
        <v>-3224</v>
      </c>
      <c r="I4322">
        <v>-888.59999999999991</v>
      </c>
      <c r="J4322">
        <v>-1547.9299999999998</v>
      </c>
    </row>
    <row r="4323" spans="1:10" x14ac:dyDescent="0.35">
      <c r="A4323">
        <v>4307</v>
      </c>
      <c r="B4323" s="75">
        <v>90.1</v>
      </c>
      <c r="C4323" s="75">
        <v>97.7</v>
      </c>
      <c r="D4323" s="75">
        <v>91.84</v>
      </c>
      <c r="E4323" s="75">
        <v>96.05</v>
      </c>
      <c r="F4323">
        <v>-1789.92</v>
      </c>
      <c r="G4323">
        <v>764.85</v>
      </c>
      <c r="H4323">
        <v>1951.6</v>
      </c>
      <c r="I4323">
        <v>-2667.5</v>
      </c>
      <c r="J4323">
        <v>-1740.9700000000003</v>
      </c>
    </row>
    <row r="4324" spans="1:10" x14ac:dyDescent="0.35">
      <c r="A4324">
        <v>4308</v>
      </c>
      <c r="B4324" s="75">
        <v>89.263999999999996</v>
      </c>
      <c r="C4324" s="75">
        <v>97.216700000000003</v>
      </c>
      <c r="D4324" s="75">
        <v>93.539199999999994</v>
      </c>
      <c r="E4324" s="75">
        <v>91.198899999999995</v>
      </c>
      <c r="F4324">
        <v>955.68000000000006</v>
      </c>
      <c r="G4324">
        <v>1489.8</v>
      </c>
      <c r="H4324">
        <v>-1446.1999999999998</v>
      </c>
      <c r="I4324">
        <v>2181.7000000000003</v>
      </c>
      <c r="J4324">
        <v>3180.9800000000005</v>
      </c>
    </row>
    <row r="4325" spans="1:10" x14ac:dyDescent="0.35">
      <c r="A4325">
        <v>4309</v>
      </c>
      <c r="B4325" s="75">
        <v>89.78</v>
      </c>
      <c r="C4325" s="75">
        <v>97.87</v>
      </c>
      <c r="D4325" s="75">
        <v>90.86</v>
      </c>
      <c r="E4325" s="75">
        <v>91.64</v>
      </c>
      <c r="F4325">
        <v>-760.31999999999994</v>
      </c>
      <c r="G4325">
        <v>508.50000000000006</v>
      </c>
      <c r="H4325">
        <v>3910.2000000000003</v>
      </c>
      <c r="I4325">
        <v>1742.8999999999999</v>
      </c>
      <c r="J4325">
        <v>5401.2800000000007</v>
      </c>
    </row>
    <row r="4326" spans="1:10" x14ac:dyDescent="0.35">
      <c r="A4326">
        <v>4310</v>
      </c>
      <c r="B4326" s="75">
        <v>90.360699999999994</v>
      </c>
      <c r="C4326" s="75">
        <v>96.623099999999994</v>
      </c>
      <c r="D4326" s="75">
        <v>92.688400000000001</v>
      </c>
      <c r="E4326" s="75">
        <v>93.281800000000004</v>
      </c>
      <c r="F4326">
        <v>-2663.4300000000003</v>
      </c>
      <c r="G4326">
        <v>2380.1999999999998</v>
      </c>
      <c r="H4326">
        <v>255.4</v>
      </c>
      <c r="I4326">
        <v>98.8</v>
      </c>
      <c r="J4326">
        <v>70.96999999999953</v>
      </c>
    </row>
    <row r="4327" spans="1:10" x14ac:dyDescent="0.35">
      <c r="A4327">
        <v>4311</v>
      </c>
      <c r="B4327" s="75">
        <v>88.93</v>
      </c>
      <c r="C4327" s="75">
        <v>98.02</v>
      </c>
      <c r="D4327" s="75">
        <v>92.3</v>
      </c>
      <c r="E4327" s="75">
        <v>89.92</v>
      </c>
      <c r="F4327">
        <v>2070.0899999999997</v>
      </c>
      <c r="G4327">
        <v>278.7</v>
      </c>
      <c r="H4327">
        <v>1024.5999999999999</v>
      </c>
      <c r="I4327">
        <v>3458.7</v>
      </c>
      <c r="J4327">
        <v>6832.0899999999992</v>
      </c>
    </row>
    <row r="4328" spans="1:10" x14ac:dyDescent="0.35">
      <c r="A4328">
        <v>4312</v>
      </c>
      <c r="B4328" s="75">
        <v>89.392799999999994</v>
      </c>
      <c r="C4328" s="75">
        <v>96.702600000000004</v>
      </c>
      <c r="D4328" s="75">
        <v>93.3078</v>
      </c>
      <c r="E4328" s="75">
        <v>90.3232</v>
      </c>
      <c r="F4328">
        <v>530.64</v>
      </c>
      <c r="G4328">
        <v>2260.9500000000003</v>
      </c>
      <c r="H4328">
        <v>-983.40000000000009</v>
      </c>
      <c r="I4328">
        <v>3057.4</v>
      </c>
      <c r="J4328">
        <v>4865.59</v>
      </c>
    </row>
    <row r="4329" spans="1:10" x14ac:dyDescent="0.35">
      <c r="A4329">
        <v>4313</v>
      </c>
      <c r="B4329" s="75">
        <v>89.14</v>
      </c>
      <c r="C4329" s="75">
        <v>98.57</v>
      </c>
      <c r="D4329" s="75">
        <v>92.94</v>
      </c>
      <c r="E4329" s="75">
        <v>93.01</v>
      </c>
      <c r="F4329">
        <v>1375.1100000000001</v>
      </c>
      <c r="G4329">
        <v>-544.5</v>
      </c>
      <c r="H4329">
        <v>-247.6</v>
      </c>
      <c r="I4329">
        <v>367.59999999999997</v>
      </c>
      <c r="J4329">
        <v>950.61000000000013</v>
      </c>
    </row>
    <row r="4330" spans="1:10" x14ac:dyDescent="0.35">
      <c r="A4330">
        <v>4314</v>
      </c>
      <c r="B4330" s="75">
        <v>89.600300000000004</v>
      </c>
      <c r="C4330" s="75">
        <v>98.587900000000005</v>
      </c>
      <c r="D4330" s="75">
        <v>93.238399999999999</v>
      </c>
      <c r="E4330" s="75">
        <v>96.327699999999993</v>
      </c>
      <c r="F4330">
        <v>-154.10999999999999</v>
      </c>
      <c r="G4330">
        <v>-567</v>
      </c>
      <c r="H4330">
        <v>-844.6</v>
      </c>
      <c r="I4330">
        <v>-2947.1</v>
      </c>
      <c r="J4330">
        <v>-4512.8099999999995</v>
      </c>
    </row>
    <row r="4331" spans="1:10" x14ac:dyDescent="0.35">
      <c r="A4331">
        <v>4315</v>
      </c>
      <c r="B4331" s="75">
        <v>90.09</v>
      </c>
      <c r="C4331" s="75">
        <v>98.8</v>
      </c>
      <c r="D4331" s="75">
        <v>93.33</v>
      </c>
      <c r="E4331" s="75">
        <v>92.87</v>
      </c>
      <c r="F4331">
        <v>-1774.08</v>
      </c>
      <c r="G4331">
        <v>-891.6</v>
      </c>
      <c r="H4331">
        <v>-1027.8</v>
      </c>
      <c r="I4331">
        <v>511.49999999999994</v>
      </c>
      <c r="J4331">
        <v>-3181.9799999999996</v>
      </c>
    </row>
    <row r="4332" spans="1:10" x14ac:dyDescent="0.35">
      <c r="A4332">
        <v>4316</v>
      </c>
      <c r="B4332" s="75">
        <v>89.471500000000006</v>
      </c>
      <c r="C4332" s="75">
        <v>97.260400000000004</v>
      </c>
      <c r="D4332" s="75">
        <v>93.358800000000002</v>
      </c>
      <c r="E4332" s="75">
        <v>94.356700000000004</v>
      </c>
      <c r="F4332">
        <v>270.93</v>
      </c>
      <c r="G4332">
        <v>1424.25</v>
      </c>
      <c r="H4332">
        <v>-1085.3999999999999</v>
      </c>
      <c r="I4332">
        <v>-976.1</v>
      </c>
      <c r="J4332">
        <v>-366.31999999999982</v>
      </c>
    </row>
    <row r="4333" spans="1:10" x14ac:dyDescent="0.35">
      <c r="A4333">
        <v>4317</v>
      </c>
      <c r="B4333" s="75">
        <v>89.7</v>
      </c>
      <c r="C4333" s="75">
        <v>98.36</v>
      </c>
      <c r="D4333" s="75">
        <v>93.56</v>
      </c>
      <c r="E4333" s="75">
        <v>93.07</v>
      </c>
      <c r="F4333">
        <v>-495.98999999999995</v>
      </c>
      <c r="G4333">
        <v>-225.60000000000002</v>
      </c>
      <c r="H4333">
        <v>-1494.2</v>
      </c>
      <c r="I4333">
        <v>309.8</v>
      </c>
      <c r="J4333">
        <v>-1905.99</v>
      </c>
    </row>
    <row r="4334" spans="1:10" x14ac:dyDescent="0.35">
      <c r="A4334">
        <v>4318</v>
      </c>
      <c r="B4334" s="75">
        <v>89.039000000000001</v>
      </c>
      <c r="C4334" s="75">
        <v>99.4251</v>
      </c>
      <c r="D4334" s="75">
        <v>93.788499999999999</v>
      </c>
      <c r="E4334" s="75">
        <v>89.764099999999999</v>
      </c>
      <c r="F4334">
        <v>1698.1799999999998</v>
      </c>
      <c r="G4334">
        <v>-1822.8000000000002</v>
      </c>
      <c r="H4334">
        <v>-1944.8000000000002</v>
      </c>
      <c r="I4334">
        <v>3616.5</v>
      </c>
      <c r="J4334">
        <v>1547.0799999999995</v>
      </c>
    </row>
    <row r="4335" spans="1:10" x14ac:dyDescent="0.35">
      <c r="A4335">
        <v>4319</v>
      </c>
      <c r="B4335" s="75">
        <v>88.9</v>
      </c>
      <c r="C4335" s="75">
        <v>96.71</v>
      </c>
      <c r="D4335" s="75">
        <v>92.55</v>
      </c>
      <c r="E4335" s="75">
        <v>94.21</v>
      </c>
      <c r="F4335">
        <v>2168.1</v>
      </c>
      <c r="G4335">
        <v>2253.15</v>
      </c>
      <c r="H4335">
        <v>528</v>
      </c>
      <c r="I4335">
        <v>-833.2</v>
      </c>
      <c r="J4335">
        <v>4116.05</v>
      </c>
    </row>
    <row r="4336" spans="1:10" x14ac:dyDescent="0.35">
      <c r="A4336">
        <v>4320</v>
      </c>
      <c r="B4336" s="75">
        <v>89.948599999999999</v>
      </c>
      <c r="C4336" s="75">
        <v>98.482200000000006</v>
      </c>
      <c r="D4336" s="75">
        <v>93.111099999999993</v>
      </c>
      <c r="E4336" s="75">
        <v>95.667000000000002</v>
      </c>
      <c r="F4336">
        <v>-1303.5</v>
      </c>
      <c r="G4336">
        <v>-408.45</v>
      </c>
      <c r="H4336">
        <v>-590</v>
      </c>
      <c r="I4336">
        <v>-2286.4</v>
      </c>
      <c r="J4336">
        <v>-4588.3500000000004</v>
      </c>
    </row>
    <row r="4337" spans="1:10" x14ac:dyDescent="0.35">
      <c r="A4337">
        <v>4321</v>
      </c>
      <c r="B4337" s="75">
        <v>89.92</v>
      </c>
      <c r="C4337" s="75">
        <v>98.56</v>
      </c>
      <c r="D4337" s="75">
        <v>94.7</v>
      </c>
      <c r="E4337" s="75">
        <v>94.47</v>
      </c>
      <c r="F4337">
        <v>-1192.6199999999999</v>
      </c>
      <c r="G4337">
        <v>-522.6</v>
      </c>
      <c r="H4337">
        <v>-3761</v>
      </c>
      <c r="I4337">
        <v>-1093.8000000000002</v>
      </c>
      <c r="J4337">
        <v>-6570.0199999999995</v>
      </c>
    </row>
    <row r="4338" spans="1:10" x14ac:dyDescent="0.35">
      <c r="A4338">
        <v>4322</v>
      </c>
      <c r="B4338" s="75">
        <v>89.924000000000007</v>
      </c>
      <c r="C4338" s="75">
        <v>98.718199999999996</v>
      </c>
      <c r="D4338" s="75">
        <v>93.239500000000007</v>
      </c>
      <c r="E4338" s="75">
        <v>91.209400000000002</v>
      </c>
      <c r="F4338">
        <v>-1222.32</v>
      </c>
      <c r="G4338">
        <v>-762.44999999999993</v>
      </c>
      <c r="H4338">
        <v>-846.8</v>
      </c>
      <c r="I4338">
        <v>2171.1999999999998</v>
      </c>
      <c r="J4338">
        <v>-660.36999999999989</v>
      </c>
    </row>
    <row r="4339" spans="1:10" x14ac:dyDescent="0.35">
      <c r="A4339">
        <v>4323</v>
      </c>
      <c r="B4339" s="75">
        <v>90.04</v>
      </c>
      <c r="C4339" s="75">
        <v>97.06</v>
      </c>
      <c r="D4339" s="75">
        <v>92.59</v>
      </c>
      <c r="E4339" s="75">
        <v>93.89</v>
      </c>
      <c r="F4339">
        <v>-1610.73</v>
      </c>
      <c r="G4339">
        <v>1729.5</v>
      </c>
      <c r="H4339">
        <v>449.6</v>
      </c>
      <c r="I4339">
        <v>-509.70000000000005</v>
      </c>
      <c r="J4339">
        <v>58.669999999999959</v>
      </c>
    </row>
    <row r="4340" spans="1:10" x14ac:dyDescent="0.35">
      <c r="A4340">
        <v>4324</v>
      </c>
      <c r="B4340" s="75">
        <v>90.144400000000005</v>
      </c>
      <c r="C4340" s="75">
        <v>99.247</v>
      </c>
      <c r="D4340" s="75">
        <v>92.887799999999999</v>
      </c>
      <c r="E4340" s="75">
        <v>93.842299999999994</v>
      </c>
      <c r="F4340">
        <v>-1949.6399999999999</v>
      </c>
      <c r="G4340">
        <v>-1555.6499999999999</v>
      </c>
      <c r="H4340">
        <v>-143.4</v>
      </c>
      <c r="I4340">
        <v>-461.7</v>
      </c>
      <c r="J4340">
        <v>-4110.3900000000003</v>
      </c>
    </row>
    <row r="4341" spans="1:10" x14ac:dyDescent="0.35">
      <c r="A4341">
        <v>4325</v>
      </c>
      <c r="B4341" s="75">
        <v>89.68</v>
      </c>
      <c r="C4341" s="75">
        <v>99.21</v>
      </c>
      <c r="D4341" s="75">
        <v>93.77</v>
      </c>
      <c r="E4341" s="75">
        <v>92.13</v>
      </c>
      <c r="F4341">
        <v>-423.06</v>
      </c>
      <c r="G4341">
        <v>-1506.6</v>
      </c>
      <c r="H4341">
        <v>-1915</v>
      </c>
      <c r="I4341">
        <v>1254.6999999999998</v>
      </c>
      <c r="J4341">
        <v>-2589.96</v>
      </c>
    </row>
    <row r="4342" spans="1:10" x14ac:dyDescent="0.35">
      <c r="A4342">
        <v>4326</v>
      </c>
      <c r="B4342" s="75">
        <v>89.599199999999996</v>
      </c>
      <c r="C4342" s="75">
        <v>98.005300000000005</v>
      </c>
      <c r="D4342" s="75">
        <v>93.432100000000005</v>
      </c>
      <c r="E4342" s="75">
        <v>93.802300000000002</v>
      </c>
      <c r="F4342">
        <v>-150.48000000000002</v>
      </c>
      <c r="G4342">
        <v>306.90000000000003</v>
      </c>
      <c r="H4342">
        <v>-1232</v>
      </c>
      <c r="I4342">
        <v>-421.70000000000005</v>
      </c>
      <c r="J4342">
        <v>-1497.28</v>
      </c>
    </row>
    <row r="4343" spans="1:10" x14ac:dyDescent="0.35">
      <c r="A4343">
        <v>4327</v>
      </c>
      <c r="B4343" s="75">
        <v>90.23</v>
      </c>
      <c r="C4343" s="75">
        <v>98.39</v>
      </c>
      <c r="D4343" s="75">
        <v>94.39</v>
      </c>
      <c r="E4343" s="75">
        <v>94.25</v>
      </c>
      <c r="F4343">
        <v>-2247.63</v>
      </c>
      <c r="G4343">
        <v>-276.3</v>
      </c>
      <c r="H4343">
        <v>-3138.3999999999996</v>
      </c>
      <c r="I4343">
        <v>-868.1</v>
      </c>
      <c r="J4343">
        <v>-6530.43</v>
      </c>
    </row>
    <row r="4344" spans="1:10" x14ac:dyDescent="0.35">
      <c r="A4344">
        <v>4328</v>
      </c>
      <c r="B4344" s="75">
        <v>89.661299999999997</v>
      </c>
      <c r="C4344" s="75">
        <v>96.953400000000002</v>
      </c>
      <c r="D4344" s="75">
        <v>92.487799999999993</v>
      </c>
      <c r="E4344" s="75">
        <v>93.7714</v>
      </c>
      <c r="F4344">
        <v>-355.41</v>
      </c>
      <c r="G4344">
        <v>1884.75</v>
      </c>
      <c r="H4344">
        <v>656.59999999999991</v>
      </c>
      <c r="I4344">
        <v>-390.79999999999995</v>
      </c>
      <c r="J4344">
        <v>1795.1399999999996</v>
      </c>
    </row>
    <row r="4345" spans="1:10" x14ac:dyDescent="0.35">
      <c r="A4345">
        <v>4329</v>
      </c>
      <c r="B4345" s="75">
        <v>89.78</v>
      </c>
      <c r="C4345" s="75">
        <v>99.28</v>
      </c>
      <c r="D4345" s="75">
        <v>93.66</v>
      </c>
      <c r="E4345" s="75">
        <v>94.14</v>
      </c>
      <c r="F4345">
        <v>-753.06</v>
      </c>
      <c r="G4345">
        <v>-1603.5</v>
      </c>
      <c r="H4345">
        <v>-1687.8</v>
      </c>
      <c r="I4345">
        <v>-760.7</v>
      </c>
      <c r="J4345">
        <v>-4805.0599999999995</v>
      </c>
    </row>
    <row r="4346" spans="1:10" x14ac:dyDescent="0.35">
      <c r="A4346">
        <v>4330</v>
      </c>
      <c r="B4346" s="75">
        <v>90.312399999999997</v>
      </c>
      <c r="C4346" s="75">
        <v>98.449600000000004</v>
      </c>
      <c r="D4346" s="75">
        <v>92.273799999999994</v>
      </c>
      <c r="E4346" s="75">
        <v>93.273700000000005</v>
      </c>
      <c r="F4346">
        <v>-2504.04</v>
      </c>
      <c r="G4346">
        <v>-359.55</v>
      </c>
      <c r="H4346">
        <v>1084.5999999999999</v>
      </c>
      <c r="I4346">
        <v>106.89999999999999</v>
      </c>
      <c r="J4346">
        <v>-1672.0900000000001</v>
      </c>
    </row>
    <row r="4347" spans="1:10" x14ac:dyDescent="0.35">
      <c r="A4347">
        <v>4331</v>
      </c>
      <c r="B4347" s="75">
        <v>89.2</v>
      </c>
      <c r="C4347" s="75">
        <v>98.57</v>
      </c>
      <c r="D4347" s="75">
        <v>91.88</v>
      </c>
      <c r="E4347" s="75">
        <v>90.85</v>
      </c>
      <c r="F4347">
        <v>1169.8499999999999</v>
      </c>
      <c r="G4347">
        <v>-547.35</v>
      </c>
      <c r="H4347">
        <v>1866.2</v>
      </c>
      <c r="I4347">
        <v>2529.3000000000002</v>
      </c>
      <c r="J4347">
        <v>5018</v>
      </c>
    </row>
    <row r="4348" spans="1:10" x14ac:dyDescent="0.35">
      <c r="A4348">
        <v>4332</v>
      </c>
      <c r="B4348" s="75">
        <v>88.841899999999995</v>
      </c>
      <c r="C4348" s="75">
        <v>97.151899999999998</v>
      </c>
      <c r="D4348" s="75">
        <v>91.811700000000002</v>
      </c>
      <c r="E4348" s="75">
        <v>92.375100000000003</v>
      </c>
      <c r="F4348">
        <v>2348.61</v>
      </c>
      <c r="G4348">
        <v>1587</v>
      </c>
      <c r="H4348">
        <v>2008.8</v>
      </c>
      <c r="I4348">
        <v>1005.5000000000001</v>
      </c>
      <c r="J4348">
        <v>6949.91</v>
      </c>
    </row>
    <row r="4349" spans="1:10" x14ac:dyDescent="0.35">
      <c r="A4349">
        <v>4333</v>
      </c>
      <c r="B4349" s="75">
        <v>90.2</v>
      </c>
      <c r="C4349" s="75">
        <v>98.24</v>
      </c>
      <c r="D4349" s="75">
        <v>91.5</v>
      </c>
      <c r="E4349" s="75">
        <v>93.24</v>
      </c>
      <c r="F4349">
        <v>-2128.17</v>
      </c>
      <c r="G4349">
        <v>-39.9</v>
      </c>
      <c r="H4349">
        <v>2640.4</v>
      </c>
      <c r="I4349">
        <v>145.1</v>
      </c>
      <c r="J4349">
        <v>617.42999999999995</v>
      </c>
    </row>
    <row r="4350" spans="1:10" x14ac:dyDescent="0.35">
      <c r="A4350">
        <v>4334</v>
      </c>
      <c r="B4350" s="75">
        <v>89.364699999999999</v>
      </c>
      <c r="C4350" s="75">
        <v>97.5548</v>
      </c>
      <c r="D4350" s="75">
        <v>92.541700000000006</v>
      </c>
      <c r="E4350" s="75">
        <v>92.743200000000002</v>
      </c>
      <c r="F4350">
        <v>623.37</v>
      </c>
      <c r="G4350">
        <v>982.65</v>
      </c>
      <c r="H4350">
        <v>548.79999999999995</v>
      </c>
      <c r="I4350">
        <v>637.4</v>
      </c>
      <c r="J4350">
        <v>2792.22</v>
      </c>
    </row>
    <row r="4351" spans="1:10" x14ac:dyDescent="0.35">
      <c r="A4351">
        <v>4335</v>
      </c>
      <c r="B4351" s="75">
        <v>89.38</v>
      </c>
      <c r="C4351" s="75">
        <v>97.26</v>
      </c>
      <c r="D4351" s="75">
        <v>93.16</v>
      </c>
      <c r="E4351" s="75">
        <v>86.45</v>
      </c>
      <c r="F4351">
        <v>575.19000000000005</v>
      </c>
      <c r="G4351">
        <v>1424.1000000000001</v>
      </c>
      <c r="H4351">
        <v>-681.4</v>
      </c>
      <c r="I4351">
        <v>6931.2</v>
      </c>
      <c r="J4351">
        <v>8249.09</v>
      </c>
    </row>
    <row r="4352" spans="1:10" x14ac:dyDescent="0.35">
      <c r="A4352">
        <v>4336</v>
      </c>
      <c r="B4352" s="75">
        <v>88.682199999999995</v>
      </c>
      <c r="C4352" s="75">
        <v>98.735100000000003</v>
      </c>
      <c r="D4352" s="75">
        <v>92.597499999999997</v>
      </c>
      <c r="E4352" s="75">
        <v>95.003900000000002</v>
      </c>
      <c r="F4352">
        <v>2875.62</v>
      </c>
      <c r="G4352">
        <v>-787.8</v>
      </c>
      <c r="H4352">
        <v>437.2</v>
      </c>
      <c r="I4352">
        <v>-1623.3</v>
      </c>
      <c r="J4352">
        <v>901.71999999999957</v>
      </c>
    </row>
    <row r="4353" spans="1:10" x14ac:dyDescent="0.35">
      <c r="A4353">
        <v>4337</v>
      </c>
      <c r="B4353" s="75">
        <v>89.48</v>
      </c>
      <c r="C4353" s="75">
        <v>98.03</v>
      </c>
      <c r="D4353" s="75">
        <v>94.43</v>
      </c>
      <c r="E4353" s="75">
        <v>94.71</v>
      </c>
      <c r="F4353">
        <v>228.02999999999997</v>
      </c>
      <c r="G4353">
        <v>267.45</v>
      </c>
      <c r="H4353">
        <v>-3231.6</v>
      </c>
      <c r="I4353">
        <v>-1325.3999999999999</v>
      </c>
      <c r="J4353">
        <v>-4061.5199999999995</v>
      </c>
    </row>
    <row r="4354" spans="1:10" x14ac:dyDescent="0.35">
      <c r="A4354">
        <v>4338</v>
      </c>
      <c r="B4354" s="75">
        <v>90.869399999999999</v>
      </c>
      <c r="C4354" s="75">
        <v>98.662999999999997</v>
      </c>
      <c r="D4354" s="75">
        <v>92.794700000000006</v>
      </c>
      <c r="E4354" s="75">
        <v>93.131699999999995</v>
      </c>
      <c r="F4354">
        <v>-4342.1400000000003</v>
      </c>
      <c r="G4354">
        <v>-679.65</v>
      </c>
      <c r="H4354">
        <v>42.8</v>
      </c>
      <c r="I4354">
        <v>248.9</v>
      </c>
      <c r="J4354">
        <v>-4730.09</v>
      </c>
    </row>
    <row r="4355" spans="1:10" x14ac:dyDescent="0.35">
      <c r="A4355">
        <v>4339</v>
      </c>
      <c r="B4355" s="75">
        <v>89.67</v>
      </c>
      <c r="C4355" s="75">
        <v>97.73</v>
      </c>
      <c r="D4355" s="75">
        <v>94.49</v>
      </c>
      <c r="E4355" s="75">
        <v>95.53</v>
      </c>
      <c r="F4355">
        <v>-384.78</v>
      </c>
      <c r="G4355">
        <v>727.2</v>
      </c>
      <c r="H4355">
        <v>-3357.6000000000004</v>
      </c>
      <c r="I4355">
        <v>-2145.6</v>
      </c>
      <c r="J4355">
        <v>-5160.7800000000007</v>
      </c>
    </row>
    <row r="4356" spans="1:10" x14ac:dyDescent="0.35">
      <c r="A4356">
        <v>4340</v>
      </c>
      <c r="B4356" s="75">
        <v>90.569000000000003</v>
      </c>
      <c r="C4356" s="75">
        <v>98.591300000000004</v>
      </c>
      <c r="D4356" s="75">
        <v>94.602199999999996</v>
      </c>
      <c r="E4356" s="75">
        <v>92.940700000000007</v>
      </c>
      <c r="F4356">
        <v>-3350.82</v>
      </c>
      <c r="G4356">
        <v>-572.1</v>
      </c>
      <c r="H4356">
        <v>-3572.2</v>
      </c>
      <c r="I4356">
        <v>439.90000000000003</v>
      </c>
      <c r="J4356">
        <v>-7055.22</v>
      </c>
    </row>
    <row r="4357" spans="1:10" x14ac:dyDescent="0.35">
      <c r="A4357">
        <v>4341</v>
      </c>
      <c r="B4357" s="75">
        <v>89.37</v>
      </c>
      <c r="C4357" s="75">
        <v>99.54</v>
      </c>
      <c r="D4357" s="75">
        <v>93</v>
      </c>
      <c r="E4357" s="75">
        <v>95.47</v>
      </c>
      <c r="F4357">
        <v>600.93000000000006</v>
      </c>
      <c r="G4357">
        <v>-1996.5</v>
      </c>
      <c r="H4357">
        <v>-374.2</v>
      </c>
      <c r="I4357">
        <v>-2087.8000000000002</v>
      </c>
      <c r="J4357">
        <v>-3857.57</v>
      </c>
    </row>
    <row r="4358" spans="1:10" x14ac:dyDescent="0.35">
      <c r="A4358">
        <v>4342</v>
      </c>
      <c r="B4358" s="75">
        <v>88.930800000000005</v>
      </c>
      <c r="C4358" s="75">
        <v>98.639399999999995</v>
      </c>
      <c r="D4358" s="75">
        <v>91.997399999999999</v>
      </c>
      <c r="E4358" s="75">
        <v>94.722700000000003</v>
      </c>
      <c r="F4358">
        <v>2055.2400000000002</v>
      </c>
      <c r="G4358">
        <v>-644.25</v>
      </c>
      <c r="H4358">
        <v>1637.3999999999999</v>
      </c>
      <c r="I4358">
        <v>-1342.1000000000001</v>
      </c>
      <c r="J4358">
        <v>1706.2900000000002</v>
      </c>
    </row>
    <row r="4359" spans="1:10" x14ac:dyDescent="0.35">
      <c r="A4359">
        <v>4343</v>
      </c>
      <c r="B4359" s="75">
        <v>89.23</v>
      </c>
      <c r="C4359" s="75">
        <v>97.58</v>
      </c>
      <c r="D4359" s="75">
        <v>91.98</v>
      </c>
      <c r="E4359" s="75">
        <v>94.7</v>
      </c>
      <c r="F4359">
        <v>1076.46</v>
      </c>
      <c r="G4359">
        <v>945.59999999999991</v>
      </c>
      <c r="H4359">
        <v>1673.6</v>
      </c>
      <c r="I4359">
        <v>-1316.8</v>
      </c>
      <c r="J4359">
        <v>2378.8599999999997</v>
      </c>
    </row>
    <row r="4360" spans="1:10" x14ac:dyDescent="0.35">
      <c r="A4360">
        <v>4344</v>
      </c>
      <c r="B4360" s="75">
        <v>89.296199999999999</v>
      </c>
      <c r="C4360" s="75">
        <v>98.170900000000003</v>
      </c>
      <c r="D4360" s="75">
        <v>91.661100000000005</v>
      </c>
      <c r="E4360" s="75">
        <v>91.822900000000004</v>
      </c>
      <c r="F4360">
        <v>849.42000000000007</v>
      </c>
      <c r="G4360">
        <v>58.5</v>
      </c>
      <c r="H4360">
        <v>2310</v>
      </c>
      <c r="I4360">
        <v>1557.7</v>
      </c>
      <c r="J4360">
        <v>4775.62</v>
      </c>
    </row>
    <row r="4361" spans="1:10" x14ac:dyDescent="0.35">
      <c r="A4361">
        <v>4345</v>
      </c>
      <c r="B4361" s="75">
        <v>89.67</v>
      </c>
      <c r="C4361" s="75">
        <v>96.89</v>
      </c>
      <c r="D4361" s="75">
        <v>93.61</v>
      </c>
      <c r="E4361" s="75">
        <v>94.05</v>
      </c>
      <c r="F4361">
        <v>-394.02000000000004</v>
      </c>
      <c r="G4361">
        <v>1986.9</v>
      </c>
      <c r="H4361">
        <v>-1593</v>
      </c>
      <c r="I4361">
        <v>-666.1</v>
      </c>
      <c r="J4361">
        <v>-666.21999999999991</v>
      </c>
    </row>
    <row r="4362" spans="1:10" x14ac:dyDescent="0.35">
      <c r="A4362">
        <v>4346</v>
      </c>
      <c r="B4362" s="75">
        <v>89.687700000000007</v>
      </c>
      <c r="C4362" s="75">
        <v>98.208500000000001</v>
      </c>
      <c r="D4362" s="75">
        <v>91.383700000000005</v>
      </c>
      <c r="E4362" s="75">
        <v>92.963899999999995</v>
      </c>
      <c r="F4362">
        <v>-442.53</v>
      </c>
      <c r="G4362">
        <v>2.1</v>
      </c>
      <c r="H4362">
        <v>2864.7999999999997</v>
      </c>
      <c r="I4362">
        <v>416.7</v>
      </c>
      <c r="J4362">
        <v>2841.0699999999997</v>
      </c>
    </row>
    <row r="4363" spans="1:10" x14ac:dyDescent="0.35">
      <c r="A4363">
        <v>4347</v>
      </c>
      <c r="B4363" s="75">
        <v>88.4</v>
      </c>
      <c r="C4363" s="75">
        <v>99.15</v>
      </c>
      <c r="D4363" s="75">
        <v>89.97</v>
      </c>
      <c r="E4363" s="75">
        <v>94.58</v>
      </c>
      <c r="F4363">
        <v>3798.3</v>
      </c>
      <c r="G4363">
        <v>-1408.05</v>
      </c>
      <c r="H4363">
        <v>5690.2</v>
      </c>
      <c r="I4363">
        <v>-1198.7</v>
      </c>
      <c r="J4363">
        <v>6881.75</v>
      </c>
    </row>
    <row r="4364" spans="1:10" x14ac:dyDescent="0.35">
      <c r="A4364">
        <v>4348</v>
      </c>
      <c r="B4364" s="75">
        <v>89.838300000000004</v>
      </c>
      <c r="C4364" s="75">
        <v>98.849299999999999</v>
      </c>
      <c r="D4364" s="75">
        <v>92.304199999999994</v>
      </c>
      <c r="E4364" s="75">
        <v>93.914900000000003</v>
      </c>
      <c r="F4364">
        <v>-939.51</v>
      </c>
      <c r="G4364">
        <v>-959.09999999999991</v>
      </c>
      <c r="H4364">
        <v>1023.8000000000001</v>
      </c>
      <c r="I4364">
        <v>-534.29999999999995</v>
      </c>
      <c r="J4364">
        <v>-1409.1099999999997</v>
      </c>
    </row>
    <row r="4365" spans="1:10" x14ac:dyDescent="0.35">
      <c r="A4365">
        <v>4349</v>
      </c>
      <c r="B4365" s="75">
        <v>90.26</v>
      </c>
      <c r="C4365" s="75">
        <v>97.25</v>
      </c>
      <c r="D4365" s="75">
        <v>92</v>
      </c>
      <c r="E4365" s="75">
        <v>92.7</v>
      </c>
      <c r="F4365">
        <v>-2339.37</v>
      </c>
      <c r="G4365">
        <v>1440.3000000000002</v>
      </c>
      <c r="H4365">
        <v>1624.4</v>
      </c>
      <c r="I4365">
        <v>679.8</v>
      </c>
      <c r="J4365">
        <v>1405.1300000000003</v>
      </c>
    </row>
    <row r="4366" spans="1:10" x14ac:dyDescent="0.35">
      <c r="A4366">
        <v>4350</v>
      </c>
      <c r="B4366" s="75">
        <v>89.502399999999994</v>
      </c>
      <c r="C4366" s="75">
        <v>99.0959</v>
      </c>
      <c r="D4366" s="75">
        <v>91.665800000000004</v>
      </c>
      <c r="E4366" s="75">
        <v>96.115099999999998</v>
      </c>
      <c r="F4366">
        <v>168.96</v>
      </c>
      <c r="G4366">
        <v>-1329</v>
      </c>
      <c r="H4366">
        <v>2300.6000000000004</v>
      </c>
      <c r="I4366">
        <v>-2734.5</v>
      </c>
      <c r="J4366">
        <v>-1593.9399999999996</v>
      </c>
    </row>
    <row r="4367" spans="1:10" x14ac:dyDescent="0.35">
      <c r="A4367">
        <v>4351</v>
      </c>
      <c r="B4367" s="75">
        <v>90.44</v>
      </c>
      <c r="C4367" s="75">
        <v>98.75</v>
      </c>
      <c r="D4367" s="75">
        <v>93.98</v>
      </c>
      <c r="E4367" s="75">
        <v>92.23</v>
      </c>
      <c r="F4367">
        <v>-2931.39</v>
      </c>
      <c r="G4367">
        <v>-814.35</v>
      </c>
      <c r="H4367">
        <v>-2328</v>
      </c>
      <c r="I4367">
        <v>1152.5</v>
      </c>
      <c r="J4367">
        <v>-4921.24</v>
      </c>
    </row>
    <row r="4368" spans="1:10" x14ac:dyDescent="0.35">
      <c r="A4368">
        <v>4352</v>
      </c>
      <c r="B4368" s="75">
        <v>89.593299999999999</v>
      </c>
      <c r="C4368" s="75">
        <v>96.375399999999999</v>
      </c>
      <c r="D4368" s="75">
        <v>92.741100000000003</v>
      </c>
      <c r="E4368" s="75">
        <v>94.383099999999999</v>
      </c>
      <c r="F4368">
        <v>-131.01</v>
      </c>
      <c r="G4368">
        <v>2751.75</v>
      </c>
      <c r="H4368">
        <v>150</v>
      </c>
      <c r="I4368">
        <v>-1002.5</v>
      </c>
      <c r="J4368">
        <v>1768.2399999999998</v>
      </c>
    </row>
    <row r="4369" spans="1:10" x14ac:dyDescent="0.35">
      <c r="A4369">
        <v>4353</v>
      </c>
      <c r="B4369" s="75">
        <v>89.2</v>
      </c>
      <c r="C4369" s="75">
        <v>97.46</v>
      </c>
      <c r="D4369" s="75">
        <v>92.79</v>
      </c>
      <c r="E4369" s="75">
        <v>94.34</v>
      </c>
      <c r="F4369">
        <v>1178.76</v>
      </c>
      <c r="G4369">
        <v>1122.3</v>
      </c>
      <c r="H4369">
        <v>52.400000000000006</v>
      </c>
      <c r="I4369">
        <v>-956.2</v>
      </c>
      <c r="J4369">
        <v>1397.26</v>
      </c>
    </row>
    <row r="4370" spans="1:10" x14ac:dyDescent="0.35">
      <c r="A4370">
        <v>4354</v>
      </c>
      <c r="B4370" s="75">
        <v>89.568200000000004</v>
      </c>
      <c r="C4370" s="75">
        <v>100.9552</v>
      </c>
      <c r="D4370" s="75">
        <v>92.388800000000003</v>
      </c>
      <c r="E4370" s="75">
        <v>95.229299999999995</v>
      </c>
      <c r="F4370">
        <v>-48.18</v>
      </c>
      <c r="G4370">
        <v>-4117.95</v>
      </c>
      <c r="H4370">
        <v>854.6</v>
      </c>
      <c r="I4370">
        <v>-1848.7</v>
      </c>
      <c r="J4370">
        <v>-5160.2300000000005</v>
      </c>
    </row>
    <row r="4371" spans="1:10" x14ac:dyDescent="0.35">
      <c r="A4371">
        <v>4355</v>
      </c>
      <c r="B4371" s="75">
        <v>88.95</v>
      </c>
      <c r="C4371" s="75">
        <v>97.83</v>
      </c>
      <c r="D4371" s="75">
        <v>93.28</v>
      </c>
      <c r="E4371" s="75">
        <v>91.64</v>
      </c>
      <c r="F4371">
        <v>1979.01</v>
      </c>
      <c r="G4371">
        <v>568.35</v>
      </c>
      <c r="H4371">
        <v>-929.8</v>
      </c>
      <c r="I4371">
        <v>1742.6</v>
      </c>
      <c r="J4371">
        <v>3360.16</v>
      </c>
    </row>
    <row r="4372" spans="1:10" x14ac:dyDescent="0.35">
      <c r="A4372">
        <v>4356</v>
      </c>
      <c r="B4372" s="75">
        <v>89.800200000000004</v>
      </c>
      <c r="C4372" s="75">
        <v>97.868200000000002</v>
      </c>
      <c r="D4372" s="75">
        <v>92.083500000000001</v>
      </c>
      <c r="E4372" s="75">
        <v>92.749099999999999</v>
      </c>
      <c r="F4372">
        <v>-813.78000000000009</v>
      </c>
      <c r="G4372">
        <v>512.54999999999995</v>
      </c>
      <c r="H4372">
        <v>1465.2</v>
      </c>
      <c r="I4372">
        <v>631.5</v>
      </c>
      <c r="J4372">
        <v>1795.4699999999998</v>
      </c>
    </row>
    <row r="4373" spans="1:10" x14ac:dyDescent="0.35">
      <c r="A4373">
        <v>4357</v>
      </c>
      <c r="B4373" s="75">
        <v>89.24</v>
      </c>
      <c r="C4373" s="75">
        <v>98.61</v>
      </c>
      <c r="D4373" s="75">
        <v>93.16</v>
      </c>
      <c r="E4373" s="75">
        <v>89.33</v>
      </c>
      <c r="F4373">
        <v>1020.69</v>
      </c>
      <c r="G4373">
        <v>-605.4</v>
      </c>
      <c r="H4373">
        <v>-696.4</v>
      </c>
      <c r="I4373">
        <v>4048.4</v>
      </c>
      <c r="J4373">
        <v>3767.29</v>
      </c>
    </row>
    <row r="4374" spans="1:10" x14ac:dyDescent="0.35">
      <c r="A4374">
        <v>4358</v>
      </c>
      <c r="B4374" s="75">
        <v>89.454700000000003</v>
      </c>
      <c r="C4374" s="75">
        <v>97.970799999999997</v>
      </c>
      <c r="D4374" s="75">
        <v>93.097200000000001</v>
      </c>
      <c r="E4374" s="75">
        <v>91.335099999999997</v>
      </c>
      <c r="F4374">
        <v>326.37</v>
      </c>
      <c r="G4374">
        <v>358.65000000000003</v>
      </c>
      <c r="H4374">
        <v>-562.20000000000005</v>
      </c>
      <c r="I4374">
        <v>2045.5</v>
      </c>
      <c r="J4374">
        <v>2168.3199999999997</v>
      </c>
    </row>
    <row r="4375" spans="1:10" x14ac:dyDescent="0.35">
      <c r="A4375">
        <v>4359</v>
      </c>
      <c r="B4375" s="75">
        <v>90.36</v>
      </c>
      <c r="C4375" s="75">
        <v>98.56</v>
      </c>
      <c r="D4375" s="75">
        <v>92.56</v>
      </c>
      <c r="E4375" s="75">
        <v>91.09</v>
      </c>
      <c r="F4375">
        <v>-2645.6099999999997</v>
      </c>
      <c r="G4375">
        <v>-519</v>
      </c>
      <c r="H4375">
        <v>517.59999999999991</v>
      </c>
      <c r="I4375">
        <v>2293.8999999999996</v>
      </c>
      <c r="J4375">
        <v>-353.11000000000013</v>
      </c>
    </row>
    <row r="4376" spans="1:10" x14ac:dyDescent="0.35">
      <c r="A4376">
        <v>4360</v>
      </c>
      <c r="B4376" s="75">
        <v>88.947400000000002</v>
      </c>
      <c r="C4376" s="75">
        <v>98.965699999999998</v>
      </c>
      <c r="D4376" s="75">
        <v>94.580399999999997</v>
      </c>
      <c r="E4376" s="75">
        <v>94.413399999999996</v>
      </c>
      <c r="F4376">
        <v>2000.4599999999998</v>
      </c>
      <c r="G4376">
        <v>-1133.7</v>
      </c>
      <c r="H4376">
        <v>-3528.6</v>
      </c>
      <c r="I4376">
        <v>-1032.8</v>
      </c>
      <c r="J4376">
        <v>-3694.6400000000003</v>
      </c>
    </row>
    <row r="4377" spans="1:10" x14ac:dyDescent="0.35">
      <c r="A4377">
        <v>4361</v>
      </c>
      <c r="B4377" s="75">
        <v>89.37</v>
      </c>
      <c r="C4377" s="75">
        <v>98.08</v>
      </c>
      <c r="D4377" s="75">
        <v>92.06</v>
      </c>
      <c r="E4377" s="75">
        <v>94.38</v>
      </c>
      <c r="F4377">
        <v>595.98</v>
      </c>
      <c r="G4377">
        <v>188.39999999999998</v>
      </c>
      <c r="H4377">
        <v>1522.2</v>
      </c>
      <c r="I4377">
        <v>-1003.4000000000001</v>
      </c>
      <c r="J4377">
        <v>1303.1799999999998</v>
      </c>
    </row>
    <row r="4378" spans="1:10" x14ac:dyDescent="0.35">
      <c r="A4378">
        <v>4362</v>
      </c>
      <c r="B4378" s="75">
        <v>89.792699999999996</v>
      </c>
      <c r="C4378" s="75">
        <v>99.045299999999997</v>
      </c>
      <c r="D4378" s="75">
        <v>93.993399999999994</v>
      </c>
      <c r="E4378" s="75">
        <v>93.673900000000003</v>
      </c>
      <c r="F4378">
        <v>-789.03</v>
      </c>
      <c r="G4378">
        <v>-1253.1000000000001</v>
      </c>
      <c r="H4378">
        <v>-2354.6</v>
      </c>
      <c r="I4378">
        <v>-293.3</v>
      </c>
      <c r="J4378">
        <v>-4690.03</v>
      </c>
    </row>
    <row r="4379" spans="1:10" x14ac:dyDescent="0.35">
      <c r="A4379">
        <v>4363</v>
      </c>
      <c r="B4379" s="75">
        <v>89.66</v>
      </c>
      <c r="C4379" s="75">
        <v>98.39</v>
      </c>
      <c r="D4379" s="75">
        <v>93.82</v>
      </c>
      <c r="E4379" s="75">
        <v>91.73</v>
      </c>
      <c r="F4379">
        <v>-342.87</v>
      </c>
      <c r="G4379">
        <v>-270.45</v>
      </c>
      <c r="H4379">
        <v>-2005.6</v>
      </c>
      <c r="I4379">
        <v>1652.1999999999998</v>
      </c>
      <c r="J4379">
        <v>-966.72000000000025</v>
      </c>
    </row>
    <row r="4380" spans="1:10" x14ac:dyDescent="0.35">
      <c r="A4380">
        <v>4364</v>
      </c>
      <c r="B4380" s="75">
        <v>89.990899999999996</v>
      </c>
      <c r="C4380" s="75">
        <v>99.356800000000007</v>
      </c>
      <c r="D4380" s="75">
        <v>92.631299999999996</v>
      </c>
      <c r="E4380" s="75">
        <v>92.264799999999994</v>
      </c>
      <c r="F4380">
        <v>-1443.0900000000001</v>
      </c>
      <c r="G4380">
        <v>-1720.3500000000001</v>
      </c>
      <c r="H4380">
        <v>369.59999999999997</v>
      </c>
      <c r="I4380">
        <v>1115.8</v>
      </c>
      <c r="J4380">
        <v>-1678.0400000000006</v>
      </c>
    </row>
    <row r="4381" spans="1:10" x14ac:dyDescent="0.35">
      <c r="A4381">
        <v>4365</v>
      </c>
      <c r="B4381" s="75">
        <v>89.69</v>
      </c>
      <c r="C4381" s="75">
        <v>98.12</v>
      </c>
      <c r="D4381" s="75">
        <v>91.37</v>
      </c>
      <c r="E4381" s="75">
        <v>93.22</v>
      </c>
      <c r="F4381">
        <v>-463.65000000000003</v>
      </c>
      <c r="G4381">
        <v>128.25</v>
      </c>
      <c r="H4381">
        <v>2886.2000000000003</v>
      </c>
      <c r="I4381">
        <v>164.8</v>
      </c>
      <c r="J4381">
        <v>2715.6000000000004</v>
      </c>
    </row>
    <row r="4382" spans="1:10" x14ac:dyDescent="0.35">
      <c r="A4382">
        <v>4366</v>
      </c>
      <c r="B4382" s="75">
        <v>89.279399999999995</v>
      </c>
      <c r="C4382" s="75">
        <v>97.587100000000007</v>
      </c>
      <c r="D4382" s="75">
        <v>90.907600000000002</v>
      </c>
      <c r="E4382" s="75">
        <v>94.601900000000001</v>
      </c>
      <c r="F4382">
        <v>904.86</v>
      </c>
      <c r="G4382">
        <v>934.2</v>
      </c>
      <c r="H4382">
        <v>3817</v>
      </c>
      <c r="I4382">
        <v>-1221.3</v>
      </c>
      <c r="J4382">
        <v>4434.7599999999993</v>
      </c>
    </row>
    <row r="4383" spans="1:10" x14ac:dyDescent="0.35">
      <c r="A4383">
        <v>4367</v>
      </c>
      <c r="B4383" s="75">
        <v>89.23</v>
      </c>
      <c r="C4383" s="75">
        <v>97.55</v>
      </c>
      <c r="D4383" s="75">
        <v>93.7</v>
      </c>
      <c r="E4383" s="75">
        <v>94.22</v>
      </c>
      <c r="F4383">
        <v>1062.27</v>
      </c>
      <c r="G4383">
        <v>992.1</v>
      </c>
      <c r="H4383">
        <v>-1776.4</v>
      </c>
      <c r="I4383">
        <v>-835.6</v>
      </c>
      <c r="J4383">
        <v>-557.63000000000022</v>
      </c>
    </row>
    <row r="4384" spans="1:10" x14ac:dyDescent="0.35">
      <c r="A4384">
        <v>4368</v>
      </c>
      <c r="B4384" s="75">
        <v>89.647000000000006</v>
      </c>
      <c r="C4384" s="75">
        <v>99.013599999999997</v>
      </c>
      <c r="D4384" s="75">
        <v>94.078199999999995</v>
      </c>
      <c r="E4384" s="75">
        <v>93.682000000000002</v>
      </c>
      <c r="F4384">
        <v>-308.21999999999997</v>
      </c>
      <c r="G4384">
        <v>-1205.55</v>
      </c>
      <c r="H4384">
        <v>-2524.1999999999998</v>
      </c>
      <c r="I4384">
        <v>-301.39999999999998</v>
      </c>
      <c r="J4384">
        <v>-4339.37</v>
      </c>
    </row>
    <row r="4385" spans="1:10" x14ac:dyDescent="0.35">
      <c r="A4385">
        <v>4369</v>
      </c>
      <c r="B4385" s="75">
        <v>88.79</v>
      </c>
      <c r="C4385" s="75">
        <v>97.8</v>
      </c>
      <c r="D4385" s="75">
        <v>93.26</v>
      </c>
      <c r="E4385" s="75">
        <v>95.69</v>
      </c>
      <c r="F4385">
        <v>2523.5100000000002</v>
      </c>
      <c r="G4385">
        <v>616.95000000000005</v>
      </c>
      <c r="H4385">
        <v>-878.80000000000007</v>
      </c>
      <c r="I4385">
        <v>-2312.9</v>
      </c>
      <c r="J4385">
        <v>-51.240000000000236</v>
      </c>
    </row>
    <row r="4386" spans="1:10" x14ac:dyDescent="0.35">
      <c r="A4386">
        <v>4370</v>
      </c>
      <c r="B4386" s="75">
        <v>89.087299999999999</v>
      </c>
      <c r="C4386" s="75">
        <v>98.661500000000004</v>
      </c>
      <c r="D4386" s="75">
        <v>93.958500000000001</v>
      </c>
      <c r="E4386" s="75">
        <v>94.247699999999995</v>
      </c>
      <c r="F4386">
        <v>1538.79</v>
      </c>
      <c r="G4386">
        <v>-677.4</v>
      </c>
      <c r="H4386">
        <v>-2284.8000000000002</v>
      </c>
      <c r="I4386">
        <v>-867.1</v>
      </c>
      <c r="J4386">
        <v>-2290.5100000000002</v>
      </c>
    </row>
    <row r="4387" spans="1:10" x14ac:dyDescent="0.35">
      <c r="A4387">
        <v>4371</v>
      </c>
      <c r="B4387" s="75">
        <v>89.58</v>
      </c>
      <c r="C4387" s="75">
        <v>99.27</v>
      </c>
      <c r="D4387" s="75">
        <v>92.65</v>
      </c>
      <c r="E4387" s="75">
        <v>93.03</v>
      </c>
      <c r="F4387">
        <v>-101.97</v>
      </c>
      <c r="G4387">
        <v>-1597.2</v>
      </c>
      <c r="H4387">
        <v>339.6</v>
      </c>
      <c r="I4387">
        <v>346.9</v>
      </c>
      <c r="J4387">
        <v>-1012.6700000000002</v>
      </c>
    </row>
    <row r="4388" spans="1:10" x14ac:dyDescent="0.35">
      <c r="A4388">
        <v>4372</v>
      </c>
      <c r="B4388" s="75">
        <v>89.634200000000007</v>
      </c>
      <c r="C4388" s="75">
        <v>99.358800000000002</v>
      </c>
      <c r="D4388" s="75">
        <v>93.273300000000006</v>
      </c>
      <c r="E4388" s="75">
        <v>95.617699999999999</v>
      </c>
      <c r="F4388">
        <v>-265.98</v>
      </c>
      <c r="G4388">
        <v>-1723.3500000000001</v>
      </c>
      <c r="H4388">
        <v>-914.4</v>
      </c>
      <c r="I4388">
        <v>-2237.1</v>
      </c>
      <c r="J4388">
        <v>-5140.83</v>
      </c>
    </row>
    <row r="4389" spans="1:10" x14ac:dyDescent="0.35">
      <c r="A4389">
        <v>4373</v>
      </c>
      <c r="B4389" s="75">
        <v>89.95</v>
      </c>
      <c r="C4389" s="75">
        <v>97.91</v>
      </c>
      <c r="D4389" s="75">
        <v>94.6</v>
      </c>
      <c r="E4389" s="75">
        <v>92.77</v>
      </c>
      <c r="F4389">
        <v>-1320.99</v>
      </c>
      <c r="G4389">
        <v>444.45</v>
      </c>
      <c r="H4389">
        <v>-3559.6</v>
      </c>
      <c r="I4389">
        <v>607</v>
      </c>
      <c r="J4389">
        <v>-3829.1399999999994</v>
      </c>
    </row>
    <row r="4390" spans="1:10" x14ac:dyDescent="0.35">
      <c r="A4390">
        <v>4374</v>
      </c>
      <c r="B4390" s="75">
        <v>89.98</v>
      </c>
      <c r="C4390" s="75">
        <v>97.822900000000004</v>
      </c>
      <c r="D4390" s="75">
        <v>90.967299999999994</v>
      </c>
      <c r="E4390" s="75">
        <v>94.783500000000004</v>
      </c>
      <c r="F4390">
        <v>-1407.12</v>
      </c>
      <c r="G4390">
        <v>580.5</v>
      </c>
      <c r="H4390">
        <v>3697.6</v>
      </c>
      <c r="I4390">
        <v>-1402.9</v>
      </c>
      <c r="J4390">
        <v>1468.08</v>
      </c>
    </row>
    <row r="4391" spans="1:10" x14ac:dyDescent="0.35">
      <c r="A4391">
        <v>4375</v>
      </c>
      <c r="B4391" s="75">
        <v>89.23</v>
      </c>
      <c r="C4391" s="75">
        <v>98.47</v>
      </c>
      <c r="D4391" s="75">
        <v>93.69</v>
      </c>
      <c r="E4391" s="75">
        <v>90.33</v>
      </c>
      <c r="F4391">
        <v>1055.3399999999999</v>
      </c>
      <c r="G4391">
        <v>-396.3</v>
      </c>
      <c r="H4391">
        <v>-1737.8</v>
      </c>
      <c r="I4391">
        <v>3048.6</v>
      </c>
      <c r="J4391">
        <v>1969.84</v>
      </c>
    </row>
    <row r="4392" spans="1:10" x14ac:dyDescent="0.35">
      <c r="A4392">
        <v>4376</v>
      </c>
      <c r="B4392" s="75">
        <v>88.9208</v>
      </c>
      <c r="C4392" s="75">
        <v>98.946899999999999</v>
      </c>
      <c r="D4392" s="75">
        <v>92.414699999999996</v>
      </c>
      <c r="E4392" s="75">
        <v>93.499799999999993</v>
      </c>
      <c r="F4392">
        <v>2088.2400000000002</v>
      </c>
      <c r="G4392">
        <v>-1105.5</v>
      </c>
      <c r="H4392">
        <v>802.8</v>
      </c>
      <c r="I4392">
        <v>-119.2</v>
      </c>
      <c r="J4392">
        <v>1666.3400000000001</v>
      </c>
    </row>
    <row r="4393" spans="1:10" x14ac:dyDescent="0.35">
      <c r="A4393">
        <v>4377</v>
      </c>
      <c r="B4393" s="75">
        <v>89.45</v>
      </c>
      <c r="C4393" s="75">
        <v>97.53</v>
      </c>
      <c r="D4393" s="75">
        <v>93.41</v>
      </c>
      <c r="E4393" s="75">
        <v>92.32</v>
      </c>
      <c r="F4393">
        <v>353.09999999999997</v>
      </c>
      <c r="G4393">
        <v>1027.05</v>
      </c>
      <c r="H4393">
        <v>-1193.2</v>
      </c>
      <c r="I4393">
        <v>1065.0999999999999</v>
      </c>
      <c r="J4393">
        <v>1252.0499999999997</v>
      </c>
    </row>
    <row r="4394" spans="1:10" x14ac:dyDescent="0.35">
      <c r="A4394">
        <v>4378</v>
      </c>
      <c r="B4394" s="75">
        <v>90.161100000000005</v>
      </c>
      <c r="C4394" s="75">
        <v>99.420299999999997</v>
      </c>
      <c r="D4394" s="75">
        <v>93.153800000000004</v>
      </c>
      <c r="E4394" s="75">
        <v>92.420500000000004</v>
      </c>
      <c r="F4394">
        <v>-2004.7500000000002</v>
      </c>
      <c r="G4394">
        <v>-1815.6</v>
      </c>
      <c r="H4394">
        <v>-675.4</v>
      </c>
      <c r="I4394">
        <v>960.09999999999991</v>
      </c>
      <c r="J4394">
        <v>-3535.65</v>
      </c>
    </row>
    <row r="4395" spans="1:10" x14ac:dyDescent="0.35">
      <c r="A4395">
        <v>4379</v>
      </c>
      <c r="B4395" s="75">
        <v>90.38</v>
      </c>
      <c r="C4395" s="75">
        <v>99.39</v>
      </c>
      <c r="D4395" s="75">
        <v>92.52</v>
      </c>
      <c r="E4395" s="75">
        <v>94.22</v>
      </c>
      <c r="F4395">
        <v>-2725.7999999999997</v>
      </c>
      <c r="G4395">
        <v>-1773.7500000000002</v>
      </c>
      <c r="H4395">
        <v>589.79999999999995</v>
      </c>
      <c r="I4395">
        <v>-841.40000000000009</v>
      </c>
      <c r="J4395">
        <v>-4751.1499999999996</v>
      </c>
    </row>
    <row r="4396" spans="1:10" x14ac:dyDescent="0.35">
      <c r="A4396">
        <v>4380</v>
      </c>
      <c r="B4396" s="75">
        <v>89.977999999999994</v>
      </c>
      <c r="C4396" s="75">
        <v>98.0124</v>
      </c>
      <c r="D4396" s="75">
        <v>94.053399999999996</v>
      </c>
      <c r="E4396" s="75">
        <v>94.7166</v>
      </c>
      <c r="F4396">
        <v>-1400.52</v>
      </c>
      <c r="G4396">
        <v>296.25</v>
      </c>
      <c r="H4396">
        <v>-2474.6</v>
      </c>
      <c r="I4396">
        <v>-1336</v>
      </c>
      <c r="J4396">
        <v>-4914.87</v>
      </c>
    </row>
    <row r="4397" spans="1:10" x14ac:dyDescent="0.35">
      <c r="A4397">
        <v>4381</v>
      </c>
      <c r="B4397" s="75">
        <v>88.81</v>
      </c>
      <c r="C4397" s="75">
        <v>97.48</v>
      </c>
      <c r="D4397" s="75">
        <v>94.3</v>
      </c>
      <c r="E4397" s="75">
        <v>92.87</v>
      </c>
      <c r="F4397">
        <v>2457.5100000000002</v>
      </c>
      <c r="G4397">
        <v>1096.9499999999998</v>
      </c>
      <c r="H4397">
        <v>-2958</v>
      </c>
      <c r="I4397">
        <v>515.5</v>
      </c>
      <c r="J4397">
        <v>1111.96</v>
      </c>
    </row>
    <row r="4398" spans="1:10" x14ac:dyDescent="0.35">
      <c r="A4398">
        <v>4382</v>
      </c>
      <c r="B4398" s="75">
        <v>89.250600000000006</v>
      </c>
      <c r="C4398" s="75">
        <v>98.240399999999994</v>
      </c>
      <c r="D4398" s="75">
        <v>92.255600000000001</v>
      </c>
      <c r="E4398" s="75">
        <v>91.647400000000005</v>
      </c>
      <c r="F4398">
        <v>999.9</v>
      </c>
      <c r="G4398">
        <v>-45.75</v>
      </c>
      <c r="H4398">
        <v>1121</v>
      </c>
      <c r="I4398">
        <v>1733.2</v>
      </c>
      <c r="J4398">
        <v>3808.3500000000004</v>
      </c>
    </row>
    <row r="4399" spans="1:10" x14ac:dyDescent="0.35">
      <c r="A4399">
        <v>4383</v>
      </c>
      <c r="B4399" s="75">
        <v>88.88</v>
      </c>
      <c r="C4399" s="75">
        <v>98.32</v>
      </c>
      <c r="D4399" s="75">
        <v>94.69</v>
      </c>
      <c r="E4399" s="75">
        <v>93.41</v>
      </c>
      <c r="F4399">
        <v>2212.65</v>
      </c>
      <c r="G4399">
        <v>-165.45</v>
      </c>
      <c r="H4399">
        <v>-3754.2</v>
      </c>
      <c r="I4399">
        <v>-32.5</v>
      </c>
      <c r="J4399">
        <v>-1739.4999999999998</v>
      </c>
    </row>
    <row r="4400" spans="1:10" x14ac:dyDescent="0.35">
      <c r="A4400">
        <v>4384</v>
      </c>
      <c r="B4400" s="75">
        <v>89.1785</v>
      </c>
      <c r="C4400" s="75">
        <v>99.561199999999999</v>
      </c>
      <c r="D4400" s="75">
        <v>93.982500000000002</v>
      </c>
      <c r="E4400" s="75">
        <v>91.882800000000003</v>
      </c>
      <c r="F4400">
        <v>1237.83</v>
      </c>
      <c r="G4400">
        <v>-2026.9499999999998</v>
      </c>
      <c r="H4400">
        <v>-2332.8000000000002</v>
      </c>
      <c r="I4400">
        <v>1497.8</v>
      </c>
      <c r="J4400">
        <v>-1624.1200000000001</v>
      </c>
    </row>
    <row r="4401" spans="1:10" x14ac:dyDescent="0.35">
      <c r="A4401">
        <v>4385</v>
      </c>
      <c r="B4401" s="75">
        <v>88.29</v>
      </c>
      <c r="C4401" s="75">
        <v>98.95</v>
      </c>
      <c r="D4401" s="75">
        <v>91.71</v>
      </c>
      <c r="E4401" s="75">
        <v>91.31</v>
      </c>
      <c r="F4401">
        <v>4174.83</v>
      </c>
      <c r="G4401">
        <v>-1110</v>
      </c>
      <c r="H4401">
        <v>2211</v>
      </c>
      <c r="I4401">
        <v>2073</v>
      </c>
      <c r="J4401">
        <v>7348.83</v>
      </c>
    </row>
    <row r="4402" spans="1:10" x14ac:dyDescent="0.35">
      <c r="A4402">
        <v>4386</v>
      </c>
      <c r="B4402" s="75">
        <v>89.806799999999996</v>
      </c>
      <c r="C4402" s="75">
        <v>100.9615</v>
      </c>
      <c r="D4402" s="75">
        <v>91.545400000000001</v>
      </c>
      <c r="E4402" s="75">
        <v>94.137600000000006</v>
      </c>
      <c r="F4402">
        <v>-835.56</v>
      </c>
      <c r="G4402">
        <v>-4127.3999999999996</v>
      </c>
      <c r="H4402">
        <v>2541.4</v>
      </c>
      <c r="I4402">
        <v>-757</v>
      </c>
      <c r="J4402">
        <v>-3178.559999999999</v>
      </c>
    </row>
    <row r="4403" spans="1:10" x14ac:dyDescent="0.35">
      <c r="A4403">
        <v>4387</v>
      </c>
      <c r="B4403" s="75">
        <v>89.46</v>
      </c>
      <c r="C4403" s="75">
        <v>97.59</v>
      </c>
      <c r="D4403" s="75">
        <v>91.31</v>
      </c>
      <c r="E4403" s="75">
        <v>93.48</v>
      </c>
      <c r="F4403">
        <v>297.33</v>
      </c>
      <c r="G4403">
        <v>929.55000000000007</v>
      </c>
      <c r="H4403">
        <v>3007.8</v>
      </c>
      <c r="I4403">
        <v>-102.3</v>
      </c>
      <c r="J4403">
        <v>4132.38</v>
      </c>
    </row>
    <row r="4404" spans="1:10" x14ac:dyDescent="0.35">
      <c r="A4404">
        <v>4388</v>
      </c>
      <c r="B4404" s="75">
        <v>89.600800000000007</v>
      </c>
      <c r="C4404" s="75">
        <v>99.436199999999999</v>
      </c>
      <c r="D4404" s="75">
        <v>90.551400000000001</v>
      </c>
      <c r="E4404" s="75">
        <v>91.668499999999995</v>
      </c>
      <c r="F4404">
        <v>-155.76</v>
      </c>
      <c r="G4404">
        <v>-1839.4499999999998</v>
      </c>
      <c r="H4404">
        <v>4529.3999999999996</v>
      </c>
      <c r="I4404">
        <v>1712.1</v>
      </c>
      <c r="J4404">
        <v>4246.2899999999991</v>
      </c>
    </row>
    <row r="4405" spans="1:10" x14ac:dyDescent="0.35">
      <c r="A4405">
        <v>4389</v>
      </c>
      <c r="B4405" s="75">
        <v>89.77</v>
      </c>
      <c r="C4405" s="75">
        <v>98.25</v>
      </c>
      <c r="D4405" s="75">
        <v>95.18</v>
      </c>
      <c r="E4405" s="75">
        <v>95.85</v>
      </c>
      <c r="F4405">
        <v>-712.47</v>
      </c>
      <c r="G4405">
        <v>-63.000000000000007</v>
      </c>
      <c r="H4405">
        <v>-4719</v>
      </c>
      <c r="I4405">
        <v>-2470.5</v>
      </c>
      <c r="J4405">
        <v>-7964.97</v>
      </c>
    </row>
    <row r="4406" spans="1:10" x14ac:dyDescent="0.35">
      <c r="A4406">
        <v>4390</v>
      </c>
      <c r="B4406" s="75">
        <v>90.081599999999995</v>
      </c>
      <c r="C4406" s="75">
        <v>98.176900000000003</v>
      </c>
      <c r="D4406" s="75">
        <v>94.460400000000007</v>
      </c>
      <c r="E4406" s="75">
        <v>93.289199999999994</v>
      </c>
      <c r="F4406">
        <v>-1742.4</v>
      </c>
      <c r="G4406">
        <v>49.5</v>
      </c>
      <c r="H4406">
        <v>-3288.6000000000004</v>
      </c>
      <c r="I4406">
        <v>91.399999999999991</v>
      </c>
      <c r="J4406">
        <v>-4890.1000000000004</v>
      </c>
    </row>
    <row r="4407" spans="1:10" x14ac:dyDescent="0.35">
      <c r="A4407">
        <v>4391</v>
      </c>
      <c r="B4407" s="75">
        <v>89.89</v>
      </c>
      <c r="C4407" s="75">
        <v>98.21</v>
      </c>
      <c r="D4407" s="75">
        <v>93.78</v>
      </c>
      <c r="E4407" s="75">
        <v>97.08</v>
      </c>
      <c r="F4407">
        <v>-1114.4100000000001</v>
      </c>
      <c r="G4407">
        <v>-4.3499999999999996</v>
      </c>
      <c r="H4407">
        <v>-1926.8000000000002</v>
      </c>
      <c r="I4407">
        <v>-3695.9</v>
      </c>
      <c r="J4407">
        <v>-6741.4600000000009</v>
      </c>
    </row>
    <row r="4408" spans="1:10" x14ac:dyDescent="0.35">
      <c r="A4408">
        <v>4392</v>
      </c>
      <c r="B4408" s="75">
        <v>89.642899999999997</v>
      </c>
      <c r="C4408" s="75">
        <v>99.165300000000002</v>
      </c>
      <c r="D4408" s="75">
        <v>92.034700000000001</v>
      </c>
      <c r="E4408" s="75">
        <v>92.885599999999997</v>
      </c>
      <c r="F4408">
        <v>-294.69</v>
      </c>
      <c r="G4408">
        <v>-1433.1000000000001</v>
      </c>
      <c r="H4408">
        <v>1562.8</v>
      </c>
      <c r="I4408">
        <v>495</v>
      </c>
      <c r="J4408">
        <v>330.00999999999976</v>
      </c>
    </row>
    <row r="4409" spans="1:10" x14ac:dyDescent="0.35">
      <c r="A4409">
        <v>4393</v>
      </c>
      <c r="B4409" s="75">
        <v>89.26</v>
      </c>
      <c r="C4409" s="75">
        <v>99.68</v>
      </c>
      <c r="D4409" s="75">
        <v>93.48</v>
      </c>
      <c r="E4409" s="75">
        <v>94.93</v>
      </c>
      <c r="F4409">
        <v>983.07</v>
      </c>
      <c r="G4409">
        <v>-2205.4499999999998</v>
      </c>
      <c r="H4409">
        <v>-1334</v>
      </c>
      <c r="I4409">
        <v>-1545.5</v>
      </c>
      <c r="J4409">
        <v>-4101.8799999999992</v>
      </c>
    </row>
    <row r="4410" spans="1:10" x14ac:dyDescent="0.35">
      <c r="A4410">
        <v>4394</v>
      </c>
      <c r="B4410" s="75">
        <v>89.684100000000001</v>
      </c>
      <c r="C4410" s="75">
        <v>97.131200000000007</v>
      </c>
      <c r="D4410" s="75">
        <v>92.007999999999996</v>
      </c>
      <c r="E4410" s="75">
        <v>94.541899999999998</v>
      </c>
      <c r="F4410">
        <v>-430.65000000000003</v>
      </c>
      <c r="G4410">
        <v>1618.05</v>
      </c>
      <c r="H4410">
        <v>1616.2</v>
      </c>
      <c r="I4410">
        <v>-1161.3</v>
      </c>
      <c r="J4410">
        <v>1642.3</v>
      </c>
    </row>
    <row r="4411" spans="1:10" x14ac:dyDescent="0.35">
      <c r="A4411">
        <v>4395</v>
      </c>
      <c r="B4411" s="75">
        <v>89.3</v>
      </c>
      <c r="C4411" s="75">
        <v>98.07</v>
      </c>
      <c r="D4411" s="75">
        <v>94.16</v>
      </c>
      <c r="E4411" s="75">
        <v>94</v>
      </c>
      <c r="F4411">
        <v>835.8900000000001</v>
      </c>
      <c r="G4411">
        <v>211.79999999999998</v>
      </c>
      <c r="H4411">
        <v>-2695.6000000000004</v>
      </c>
      <c r="I4411">
        <v>-615.19999999999993</v>
      </c>
      <c r="J4411">
        <v>-2263.11</v>
      </c>
    </row>
    <row r="4412" spans="1:10" x14ac:dyDescent="0.35">
      <c r="A4412">
        <v>4396</v>
      </c>
      <c r="B4412" s="75">
        <v>89.834500000000006</v>
      </c>
      <c r="C4412" s="75">
        <v>98.9709</v>
      </c>
      <c r="D4412" s="75">
        <v>95.195899999999995</v>
      </c>
      <c r="E4412" s="75">
        <v>93.493099999999998</v>
      </c>
      <c r="F4412">
        <v>-926.96999999999991</v>
      </c>
      <c r="G4412">
        <v>-1141.5</v>
      </c>
      <c r="H4412">
        <v>-4759.5999999999995</v>
      </c>
      <c r="I4412">
        <v>-112.5</v>
      </c>
      <c r="J4412">
        <v>-6940.57</v>
      </c>
    </row>
    <row r="4413" spans="1:10" x14ac:dyDescent="0.35">
      <c r="A4413">
        <v>4397</v>
      </c>
      <c r="B4413" s="75">
        <v>89.39</v>
      </c>
      <c r="C4413" s="75">
        <v>98.73</v>
      </c>
      <c r="D4413" s="75">
        <v>93.59</v>
      </c>
      <c r="E4413" s="75">
        <v>94.18</v>
      </c>
      <c r="F4413">
        <v>546.48</v>
      </c>
      <c r="G4413">
        <v>-782.4</v>
      </c>
      <c r="H4413">
        <v>-1539.6000000000001</v>
      </c>
      <c r="I4413">
        <v>-803.6</v>
      </c>
      <c r="J4413">
        <v>-2579.12</v>
      </c>
    </row>
    <row r="4414" spans="1:10" x14ac:dyDescent="0.35">
      <c r="A4414">
        <v>4398</v>
      </c>
      <c r="B4414" s="75">
        <v>89.102800000000002</v>
      </c>
      <c r="C4414" s="75">
        <v>96.540999999999997</v>
      </c>
      <c r="D4414" s="75">
        <v>94.290300000000002</v>
      </c>
      <c r="E4414" s="75">
        <v>92.303700000000006</v>
      </c>
      <c r="F4414">
        <v>1487.6399999999999</v>
      </c>
      <c r="G4414">
        <v>2503.35</v>
      </c>
      <c r="H4414">
        <v>-2948.4</v>
      </c>
      <c r="I4414">
        <v>1076.8999999999999</v>
      </c>
      <c r="J4414">
        <v>2119.4899999999998</v>
      </c>
    </row>
    <row r="4415" spans="1:10" x14ac:dyDescent="0.35">
      <c r="A4415">
        <v>4399</v>
      </c>
      <c r="B4415" s="75">
        <v>90.18</v>
      </c>
      <c r="C4415" s="75">
        <v>98.08</v>
      </c>
      <c r="D4415" s="75">
        <v>92.76</v>
      </c>
      <c r="E4415" s="75">
        <v>97.45</v>
      </c>
      <c r="F4415">
        <v>-2050.9500000000003</v>
      </c>
      <c r="G4415">
        <v>198.9</v>
      </c>
      <c r="H4415">
        <v>109.2</v>
      </c>
      <c r="I4415">
        <v>-4066.0999999999995</v>
      </c>
      <c r="J4415">
        <v>-5808.95</v>
      </c>
    </row>
    <row r="4416" spans="1:10" x14ac:dyDescent="0.35">
      <c r="A4416">
        <v>4400</v>
      </c>
      <c r="B4416" s="75">
        <v>89.645799999999994</v>
      </c>
      <c r="C4416" s="75">
        <v>97.243499999999997</v>
      </c>
      <c r="D4416" s="75">
        <v>92.244900000000001</v>
      </c>
      <c r="E4416" s="75">
        <v>94.925799999999995</v>
      </c>
      <c r="F4416">
        <v>-304.26</v>
      </c>
      <c r="G4416">
        <v>1449.6000000000001</v>
      </c>
      <c r="H4416">
        <v>1142.4000000000001</v>
      </c>
      <c r="I4416">
        <v>-1545.1999999999998</v>
      </c>
      <c r="J4416">
        <v>742.54000000000042</v>
      </c>
    </row>
    <row r="4417" spans="1:10" x14ac:dyDescent="0.35">
      <c r="A4417">
        <v>4401</v>
      </c>
      <c r="B4417" s="75">
        <v>88.94</v>
      </c>
      <c r="C4417" s="75">
        <v>97.72</v>
      </c>
      <c r="D4417" s="75">
        <v>90.82</v>
      </c>
      <c r="E4417" s="75">
        <v>92.78</v>
      </c>
      <c r="F4417">
        <v>2038.41</v>
      </c>
      <c r="G4417">
        <v>732.15</v>
      </c>
      <c r="H4417">
        <v>3985</v>
      </c>
      <c r="I4417">
        <v>605.6</v>
      </c>
      <c r="J4417">
        <v>7361.16</v>
      </c>
    </row>
    <row r="4418" spans="1:10" x14ac:dyDescent="0.35">
      <c r="A4418">
        <v>4402</v>
      </c>
      <c r="B4418" s="75">
        <v>90.157300000000006</v>
      </c>
      <c r="C4418" s="75">
        <v>97.820599999999999</v>
      </c>
      <c r="D4418" s="75">
        <v>92.704899999999995</v>
      </c>
      <c r="E4418" s="75">
        <v>93.623000000000005</v>
      </c>
      <c r="F4418">
        <v>-1992.21</v>
      </c>
      <c r="G4418">
        <v>583.94999999999993</v>
      </c>
      <c r="H4418">
        <v>222.39999999999998</v>
      </c>
      <c r="I4418">
        <v>-242.4</v>
      </c>
      <c r="J4418">
        <v>-1428.2600000000002</v>
      </c>
    </row>
    <row r="4419" spans="1:10" x14ac:dyDescent="0.35">
      <c r="A4419">
        <v>4403</v>
      </c>
      <c r="B4419" s="75">
        <v>90</v>
      </c>
      <c r="C4419" s="75">
        <v>98.93</v>
      </c>
      <c r="D4419" s="75">
        <v>93.82</v>
      </c>
      <c r="E4419" s="75">
        <v>94.35</v>
      </c>
      <c r="F4419">
        <v>-1474.77</v>
      </c>
      <c r="G4419">
        <v>-1087.5</v>
      </c>
      <c r="H4419">
        <v>-2006.6000000000001</v>
      </c>
      <c r="I4419">
        <v>-970.8</v>
      </c>
      <c r="J4419">
        <v>-5539.67</v>
      </c>
    </row>
    <row r="4420" spans="1:10" x14ac:dyDescent="0.35">
      <c r="A4420">
        <v>4404</v>
      </c>
      <c r="B4420" s="75">
        <v>89.805400000000006</v>
      </c>
      <c r="C4420" s="75">
        <v>97.390500000000003</v>
      </c>
      <c r="D4420" s="75">
        <v>93.171199999999999</v>
      </c>
      <c r="E4420" s="75">
        <v>92.384299999999996</v>
      </c>
      <c r="F4420">
        <v>-830.94</v>
      </c>
      <c r="G4420">
        <v>1229.1000000000001</v>
      </c>
      <c r="H4420">
        <v>-710.2</v>
      </c>
      <c r="I4420">
        <v>996.3</v>
      </c>
      <c r="J4420">
        <v>684.26</v>
      </c>
    </row>
    <row r="4421" spans="1:10" x14ac:dyDescent="0.35">
      <c r="A4421">
        <v>4405</v>
      </c>
      <c r="B4421" s="75">
        <v>89.68</v>
      </c>
      <c r="C4421" s="75">
        <v>98.49</v>
      </c>
      <c r="D4421" s="75">
        <v>94.85</v>
      </c>
      <c r="E4421" s="75">
        <v>91.28</v>
      </c>
      <c r="F4421">
        <v>-409.86</v>
      </c>
      <c r="G4421">
        <v>-424.05</v>
      </c>
      <c r="H4421">
        <v>-4059.5999999999995</v>
      </c>
      <c r="I4421">
        <v>2104.8000000000002</v>
      </c>
      <c r="J4421">
        <v>-2788.7099999999991</v>
      </c>
    </row>
    <row r="4422" spans="1:10" x14ac:dyDescent="0.35">
      <c r="A4422">
        <v>4406</v>
      </c>
      <c r="B4422" s="75">
        <v>89.248900000000006</v>
      </c>
      <c r="C4422" s="75">
        <v>97.314700000000002</v>
      </c>
      <c r="D4422" s="75">
        <v>93.910399999999996</v>
      </c>
      <c r="E4422" s="75">
        <v>93.552999999999997</v>
      </c>
      <c r="F4422">
        <v>1005.5100000000001</v>
      </c>
      <c r="G4422">
        <v>1342.8</v>
      </c>
      <c r="H4422">
        <v>-2188.6</v>
      </c>
      <c r="I4422">
        <v>-172.4</v>
      </c>
      <c r="J4422">
        <v>-12.689999999999969</v>
      </c>
    </row>
    <row r="4423" spans="1:10" x14ac:dyDescent="0.35">
      <c r="A4423">
        <v>4407</v>
      </c>
      <c r="B4423" s="75">
        <v>89.53</v>
      </c>
      <c r="C4423" s="75">
        <v>97.87</v>
      </c>
      <c r="D4423" s="75">
        <v>92.83</v>
      </c>
      <c r="E4423" s="75">
        <v>95.68</v>
      </c>
      <c r="F4423">
        <v>65.34</v>
      </c>
      <c r="G4423">
        <v>515.4</v>
      </c>
      <c r="H4423">
        <v>-23.599999999999998</v>
      </c>
      <c r="I4423">
        <v>-2298.9</v>
      </c>
      <c r="J4423">
        <v>-1741.7600000000002</v>
      </c>
    </row>
    <row r="4424" spans="1:10" x14ac:dyDescent="0.35">
      <c r="A4424">
        <v>4408</v>
      </c>
      <c r="B4424" s="75">
        <v>90.126800000000003</v>
      </c>
      <c r="C4424" s="75">
        <v>99.526300000000006</v>
      </c>
      <c r="D4424" s="75">
        <v>92.382599999999996</v>
      </c>
      <c r="E4424" s="75">
        <v>94.451700000000002</v>
      </c>
      <c r="F4424">
        <v>-1891.5600000000002</v>
      </c>
      <c r="G4424">
        <v>-1974.6</v>
      </c>
      <c r="H4424">
        <v>867</v>
      </c>
      <c r="I4424">
        <v>-1071.0999999999999</v>
      </c>
      <c r="J4424">
        <v>-4070.2599999999998</v>
      </c>
    </row>
    <row r="4425" spans="1:10" x14ac:dyDescent="0.35">
      <c r="A4425">
        <v>4409</v>
      </c>
      <c r="B4425" s="75">
        <v>89.55</v>
      </c>
      <c r="C4425" s="75">
        <v>97.11</v>
      </c>
      <c r="D4425" s="75">
        <v>93.12</v>
      </c>
      <c r="E4425" s="75">
        <v>93.62</v>
      </c>
      <c r="F4425">
        <v>4.95</v>
      </c>
      <c r="G4425">
        <v>1644.15</v>
      </c>
      <c r="H4425">
        <v>-602</v>
      </c>
      <c r="I4425">
        <v>-243.10000000000002</v>
      </c>
      <c r="J4425">
        <v>804.00000000000011</v>
      </c>
    </row>
    <row r="4426" spans="1:10" x14ac:dyDescent="0.35">
      <c r="A4426">
        <v>4410</v>
      </c>
      <c r="B4426" s="75">
        <v>89.178100000000001</v>
      </c>
      <c r="C4426" s="75">
        <v>98.9709</v>
      </c>
      <c r="D4426" s="75">
        <v>89.679500000000004</v>
      </c>
      <c r="E4426" s="75">
        <v>94.315200000000004</v>
      </c>
      <c r="F4426">
        <v>1239.1500000000001</v>
      </c>
      <c r="G4426">
        <v>-1141.5</v>
      </c>
      <c r="H4426">
        <v>6273.2</v>
      </c>
      <c r="I4426">
        <v>-934.6</v>
      </c>
      <c r="J4426">
        <v>5436.25</v>
      </c>
    </row>
    <row r="4427" spans="1:10" x14ac:dyDescent="0.35">
      <c r="A4427">
        <v>4411</v>
      </c>
      <c r="B4427" s="75">
        <v>89.72</v>
      </c>
      <c r="C4427" s="75">
        <v>97.86</v>
      </c>
      <c r="D4427" s="75">
        <v>92.58</v>
      </c>
      <c r="E4427" s="75">
        <v>91.86</v>
      </c>
      <c r="F4427">
        <v>-554.40000000000009</v>
      </c>
      <c r="G4427">
        <v>522</v>
      </c>
      <c r="H4427">
        <v>482</v>
      </c>
      <c r="I4427">
        <v>1517</v>
      </c>
      <c r="J4427">
        <v>1966.6</v>
      </c>
    </row>
    <row r="4428" spans="1:10" x14ac:dyDescent="0.35">
      <c r="A4428">
        <v>4412</v>
      </c>
      <c r="B4428" s="75">
        <v>89.251999999999995</v>
      </c>
      <c r="C4428" s="75">
        <v>98.334199999999996</v>
      </c>
      <c r="D4428" s="75">
        <v>92.956299999999999</v>
      </c>
      <c r="E4428" s="75">
        <v>90.795299999999997</v>
      </c>
      <c r="F4428">
        <v>995.28</v>
      </c>
      <c r="G4428">
        <v>-186.45</v>
      </c>
      <c r="H4428">
        <v>-280.39999999999998</v>
      </c>
      <c r="I4428">
        <v>2585.3000000000002</v>
      </c>
      <c r="J4428">
        <v>3113.73</v>
      </c>
    </row>
    <row r="4429" spans="1:10" x14ac:dyDescent="0.35">
      <c r="A4429">
        <v>4413</v>
      </c>
      <c r="B4429" s="75">
        <v>89.68</v>
      </c>
      <c r="C4429" s="75">
        <v>99.09</v>
      </c>
      <c r="D4429" s="75">
        <v>92.59</v>
      </c>
      <c r="E4429" s="75">
        <v>93.48</v>
      </c>
      <c r="F4429">
        <v>-409.53000000000003</v>
      </c>
      <c r="G4429">
        <v>-1323.6</v>
      </c>
      <c r="H4429">
        <v>443</v>
      </c>
      <c r="I4429">
        <v>-101</v>
      </c>
      <c r="J4429">
        <v>-1391.1299999999999</v>
      </c>
    </row>
    <row r="4430" spans="1:10" x14ac:dyDescent="0.35">
      <c r="A4430">
        <v>4414</v>
      </c>
      <c r="B4430" s="75">
        <v>89.424199999999999</v>
      </c>
      <c r="C4430" s="75">
        <v>97.284700000000001</v>
      </c>
      <c r="D4430" s="75">
        <v>94.327699999999993</v>
      </c>
      <c r="E4430" s="75">
        <v>94.413899999999998</v>
      </c>
      <c r="F4430">
        <v>427.02</v>
      </c>
      <c r="G4430">
        <v>1387.8</v>
      </c>
      <c r="H4430">
        <v>-3023.2000000000003</v>
      </c>
      <c r="I4430">
        <v>-1033.3000000000002</v>
      </c>
      <c r="J4430">
        <v>-2241.6800000000003</v>
      </c>
    </row>
    <row r="4431" spans="1:10" x14ac:dyDescent="0.35">
      <c r="A4431">
        <v>4415</v>
      </c>
      <c r="B4431" s="75">
        <v>89.45</v>
      </c>
      <c r="C4431" s="75">
        <v>97.02</v>
      </c>
      <c r="D4431" s="75">
        <v>92.88</v>
      </c>
      <c r="E4431" s="75">
        <v>93.93</v>
      </c>
      <c r="F4431">
        <v>356.73</v>
      </c>
      <c r="G4431">
        <v>1787.4</v>
      </c>
      <c r="H4431">
        <v>-125</v>
      </c>
      <c r="I4431">
        <v>-553.69999999999993</v>
      </c>
      <c r="J4431">
        <v>1465.4300000000003</v>
      </c>
    </row>
    <row r="4432" spans="1:10" x14ac:dyDescent="0.35">
      <c r="A4432">
        <v>4416</v>
      </c>
      <c r="B4432" s="75">
        <v>89.039000000000001</v>
      </c>
      <c r="C4432" s="75">
        <v>99.594499999999996</v>
      </c>
      <c r="D4432" s="75">
        <v>93.669700000000006</v>
      </c>
      <c r="E4432" s="75">
        <v>91.542100000000005</v>
      </c>
      <c r="F4432">
        <v>1698.1799999999998</v>
      </c>
      <c r="G4432">
        <v>-2076.9</v>
      </c>
      <c r="H4432">
        <v>-1707.2</v>
      </c>
      <c r="I4432">
        <v>1838.5</v>
      </c>
      <c r="J4432">
        <v>-247.42000000000007</v>
      </c>
    </row>
    <row r="4433" spans="1:10" x14ac:dyDescent="0.35">
      <c r="A4433">
        <v>4417</v>
      </c>
      <c r="B4433" s="75">
        <v>89.64</v>
      </c>
      <c r="C4433" s="75">
        <v>97.66</v>
      </c>
      <c r="D4433" s="75">
        <v>92.01</v>
      </c>
      <c r="E4433" s="75">
        <v>91.74</v>
      </c>
      <c r="F4433">
        <v>-280.83</v>
      </c>
      <c r="G4433">
        <v>831.75</v>
      </c>
      <c r="H4433">
        <v>1620.8</v>
      </c>
      <c r="I4433">
        <v>1645.3999999999999</v>
      </c>
      <c r="J4433">
        <v>3817.12</v>
      </c>
    </row>
    <row r="4434" spans="1:10" x14ac:dyDescent="0.35">
      <c r="A4434">
        <v>4418</v>
      </c>
      <c r="B4434" s="75">
        <v>89.456100000000006</v>
      </c>
      <c r="C4434" s="75">
        <v>96.911000000000001</v>
      </c>
      <c r="D4434" s="75">
        <v>92.581999999999994</v>
      </c>
      <c r="E4434" s="75">
        <v>94.356200000000001</v>
      </c>
      <c r="F4434">
        <v>321.75</v>
      </c>
      <c r="G4434">
        <v>1948.35</v>
      </c>
      <c r="H4434">
        <v>468.2</v>
      </c>
      <c r="I4434">
        <v>-975.6</v>
      </c>
      <c r="J4434">
        <v>1762.6999999999998</v>
      </c>
    </row>
    <row r="4435" spans="1:10" x14ac:dyDescent="0.35">
      <c r="A4435">
        <v>4419</v>
      </c>
      <c r="B4435" s="75">
        <v>89.47</v>
      </c>
      <c r="C4435" s="75">
        <v>97.18</v>
      </c>
      <c r="D4435" s="75">
        <v>93.95</v>
      </c>
      <c r="E4435" s="75">
        <v>93.34</v>
      </c>
      <c r="F4435">
        <v>277.86</v>
      </c>
      <c r="G4435">
        <v>1543.95</v>
      </c>
      <c r="H4435">
        <v>-2272.4</v>
      </c>
      <c r="I4435">
        <v>40.700000000000003</v>
      </c>
      <c r="J4435">
        <v>-409.89000000000016</v>
      </c>
    </row>
    <row r="4436" spans="1:10" x14ac:dyDescent="0.35">
      <c r="A4436">
        <v>4420</v>
      </c>
      <c r="B4436" s="75">
        <v>90.026799999999994</v>
      </c>
      <c r="C4436" s="75">
        <v>97.755700000000004</v>
      </c>
      <c r="D4436" s="75">
        <v>92.973699999999994</v>
      </c>
      <c r="E4436" s="75">
        <v>92.241</v>
      </c>
      <c r="F4436">
        <v>-1561.56</v>
      </c>
      <c r="G4436">
        <v>681.3</v>
      </c>
      <c r="H4436">
        <v>-315.2</v>
      </c>
      <c r="I4436">
        <v>1139.5999999999999</v>
      </c>
      <c r="J4436">
        <v>-55.860000000000127</v>
      </c>
    </row>
    <row r="4437" spans="1:10" x14ac:dyDescent="0.35">
      <c r="A4437">
        <v>4421</v>
      </c>
      <c r="B4437" s="75">
        <v>89.83</v>
      </c>
      <c r="C4437" s="75">
        <v>98.25</v>
      </c>
      <c r="D4437" s="75">
        <v>92.46</v>
      </c>
      <c r="E4437" s="75">
        <v>95.28</v>
      </c>
      <c r="F4437">
        <v>-899.25000000000011</v>
      </c>
      <c r="G4437">
        <v>-60.75</v>
      </c>
      <c r="H4437">
        <v>714.40000000000009</v>
      </c>
      <c r="I4437">
        <v>-1895.8999999999999</v>
      </c>
      <c r="J4437">
        <v>-2141.5</v>
      </c>
    </row>
    <row r="4438" spans="1:10" x14ac:dyDescent="0.35">
      <c r="A4438">
        <v>4422</v>
      </c>
      <c r="B4438" s="75">
        <v>90.253299999999996</v>
      </c>
      <c r="C4438" s="75">
        <v>97.685599999999994</v>
      </c>
      <c r="D4438" s="75">
        <v>93.487300000000005</v>
      </c>
      <c r="E4438" s="75">
        <v>93.239000000000004</v>
      </c>
      <c r="F4438">
        <v>-2309.0099999999998</v>
      </c>
      <c r="G4438">
        <v>786.44999999999993</v>
      </c>
      <c r="H4438">
        <v>-1342.4</v>
      </c>
      <c r="I4438">
        <v>141.6</v>
      </c>
      <c r="J4438">
        <v>-2723.36</v>
      </c>
    </row>
    <row r="4439" spans="1:10" x14ac:dyDescent="0.35">
      <c r="A4439">
        <v>4423</v>
      </c>
      <c r="B4439" s="75">
        <v>90.03</v>
      </c>
      <c r="C4439" s="75">
        <v>96.65</v>
      </c>
      <c r="D4439" s="75">
        <v>92.35</v>
      </c>
      <c r="E4439" s="75">
        <v>93.96</v>
      </c>
      <c r="F4439">
        <v>-1565.85</v>
      </c>
      <c r="G4439">
        <v>2334.9</v>
      </c>
      <c r="H4439">
        <v>922.4</v>
      </c>
      <c r="I4439">
        <v>-576.79999999999995</v>
      </c>
      <c r="J4439">
        <v>1114.6500000000003</v>
      </c>
    </row>
    <row r="4440" spans="1:10" x14ac:dyDescent="0.35">
      <c r="A4440">
        <v>4424</v>
      </c>
      <c r="B4440" s="75">
        <v>89.488799999999998</v>
      </c>
      <c r="C4440" s="75">
        <v>98.138999999999996</v>
      </c>
      <c r="D4440" s="75">
        <v>94.6113</v>
      </c>
      <c r="E4440" s="75">
        <v>95.610600000000005</v>
      </c>
      <c r="F4440">
        <v>213.83999999999997</v>
      </c>
      <c r="G4440">
        <v>106.35000000000001</v>
      </c>
      <c r="H4440">
        <v>-3590.3999999999996</v>
      </c>
      <c r="I4440">
        <v>-2230</v>
      </c>
      <c r="J4440">
        <v>-5500.2099999999991</v>
      </c>
    </row>
    <row r="4441" spans="1:10" x14ac:dyDescent="0.35">
      <c r="A4441">
        <v>4425</v>
      </c>
      <c r="B4441" s="75">
        <v>89.7</v>
      </c>
      <c r="C4441" s="75">
        <v>97.29</v>
      </c>
      <c r="D4441" s="75">
        <v>93.41</v>
      </c>
      <c r="E4441" s="75">
        <v>95.55</v>
      </c>
      <c r="F4441">
        <v>-492.68999999999994</v>
      </c>
      <c r="G4441">
        <v>1385.25</v>
      </c>
      <c r="H4441">
        <v>-1180.8000000000002</v>
      </c>
      <c r="I4441">
        <v>-2167.1999999999998</v>
      </c>
      <c r="J4441">
        <v>-2455.44</v>
      </c>
    </row>
    <row r="4442" spans="1:10" x14ac:dyDescent="0.35">
      <c r="A4442">
        <v>4426</v>
      </c>
      <c r="B4442" s="75">
        <v>90.103200000000001</v>
      </c>
      <c r="C4442" s="75">
        <v>97.277199999999993</v>
      </c>
      <c r="D4442" s="75">
        <v>93.810100000000006</v>
      </c>
      <c r="E4442" s="75">
        <v>92.476699999999994</v>
      </c>
      <c r="F4442">
        <v>-1813.6799999999998</v>
      </c>
      <c r="G4442">
        <v>1399.05</v>
      </c>
      <c r="H4442">
        <v>-1988</v>
      </c>
      <c r="I4442">
        <v>903.90000000000009</v>
      </c>
      <c r="J4442">
        <v>-1498.73</v>
      </c>
    </row>
    <row r="4443" spans="1:10" x14ac:dyDescent="0.35">
      <c r="A4443">
        <v>4427</v>
      </c>
      <c r="B4443" s="75">
        <v>89.62</v>
      </c>
      <c r="C4443" s="75">
        <v>98.82</v>
      </c>
      <c r="D4443" s="75">
        <v>92.41</v>
      </c>
      <c r="E4443" s="75">
        <v>94.82</v>
      </c>
      <c r="F4443">
        <v>-213.51</v>
      </c>
      <c r="G4443">
        <v>-912.3</v>
      </c>
      <c r="H4443">
        <v>822.2</v>
      </c>
      <c r="I4443">
        <v>-1439.8</v>
      </c>
      <c r="J4443">
        <v>-1743.4099999999999</v>
      </c>
    </row>
    <row r="4444" spans="1:10" x14ac:dyDescent="0.35">
      <c r="A4444">
        <v>4428</v>
      </c>
      <c r="B4444" s="75">
        <v>89.6738</v>
      </c>
      <c r="C4444" s="75">
        <v>98.299000000000007</v>
      </c>
      <c r="D4444" s="75">
        <v>94.6965</v>
      </c>
      <c r="E4444" s="75">
        <v>91.712299999999999</v>
      </c>
      <c r="F4444">
        <v>-396.66</v>
      </c>
      <c r="G4444">
        <v>-133.65</v>
      </c>
      <c r="H4444">
        <v>-3760.8</v>
      </c>
      <c r="I4444">
        <v>1668.3</v>
      </c>
      <c r="J4444">
        <v>-2622.8100000000004</v>
      </c>
    </row>
    <row r="4445" spans="1:10" x14ac:dyDescent="0.35">
      <c r="A4445">
        <v>4429</v>
      </c>
      <c r="B4445" s="75">
        <v>89.94</v>
      </c>
      <c r="C4445" s="75">
        <v>98.27</v>
      </c>
      <c r="D4445" s="75">
        <v>91.01</v>
      </c>
      <c r="E4445" s="75">
        <v>92.79</v>
      </c>
      <c r="F4445">
        <v>-1281.06</v>
      </c>
      <c r="G4445">
        <v>-93.75</v>
      </c>
      <c r="H4445">
        <v>3620.8</v>
      </c>
      <c r="I4445">
        <v>594.40000000000009</v>
      </c>
      <c r="J4445">
        <v>2840.3900000000003</v>
      </c>
    </row>
    <row r="4446" spans="1:10" x14ac:dyDescent="0.35">
      <c r="A4446">
        <v>4430</v>
      </c>
      <c r="B4446" s="75">
        <v>89.290300000000002</v>
      </c>
      <c r="C4446" s="75">
        <v>98.837199999999996</v>
      </c>
      <c r="D4446" s="75">
        <v>94.094700000000003</v>
      </c>
      <c r="E4446" s="75">
        <v>92.037400000000005</v>
      </c>
      <c r="F4446">
        <v>868.88999999999987</v>
      </c>
      <c r="G4446">
        <v>-940.94999999999993</v>
      </c>
      <c r="H4446">
        <v>-2557.1999999999998</v>
      </c>
      <c r="I4446">
        <v>1343.2</v>
      </c>
      <c r="J4446">
        <v>-1286.0599999999997</v>
      </c>
    </row>
    <row r="4447" spans="1:10" x14ac:dyDescent="0.35">
      <c r="A4447">
        <v>4431</v>
      </c>
      <c r="B4447" s="75">
        <v>89.93</v>
      </c>
      <c r="C4447" s="75">
        <v>99.16</v>
      </c>
      <c r="D4447" s="75">
        <v>93.95</v>
      </c>
      <c r="E4447" s="75">
        <v>95.01</v>
      </c>
      <c r="F4447">
        <v>-1235.52</v>
      </c>
      <c r="G4447">
        <v>-1426.6499999999999</v>
      </c>
      <c r="H4447">
        <v>-2264.2000000000003</v>
      </c>
      <c r="I4447">
        <v>-1628.6000000000001</v>
      </c>
      <c r="J4447">
        <v>-6554.9700000000012</v>
      </c>
    </row>
    <row r="4448" spans="1:10" x14ac:dyDescent="0.35">
      <c r="A4448">
        <v>4432</v>
      </c>
      <c r="B4448" s="75">
        <v>89.178700000000006</v>
      </c>
      <c r="C4448" s="75">
        <v>98.313599999999994</v>
      </c>
      <c r="D4448" s="75">
        <v>93.774299999999997</v>
      </c>
      <c r="E4448" s="75">
        <v>93.616500000000002</v>
      </c>
      <c r="F4448">
        <v>1237.17</v>
      </c>
      <c r="G4448">
        <v>-155.55000000000001</v>
      </c>
      <c r="H4448">
        <v>-1916.4</v>
      </c>
      <c r="I4448">
        <v>-235.9</v>
      </c>
      <c r="J4448">
        <v>-1070.68</v>
      </c>
    </row>
    <row r="4449" spans="1:10" x14ac:dyDescent="0.35">
      <c r="A4449">
        <v>4433</v>
      </c>
      <c r="B4449" s="75">
        <v>89.14</v>
      </c>
      <c r="C4449" s="75">
        <v>98.6</v>
      </c>
      <c r="D4449" s="75">
        <v>92.68</v>
      </c>
      <c r="E4449" s="75">
        <v>94.16</v>
      </c>
      <c r="F4449">
        <v>1368.51</v>
      </c>
      <c r="G4449">
        <v>-585.29999999999995</v>
      </c>
      <c r="H4449">
        <v>272.2</v>
      </c>
      <c r="I4449">
        <v>-781.4</v>
      </c>
      <c r="J4449">
        <v>274.0100000000001</v>
      </c>
    </row>
    <row r="4450" spans="1:10" x14ac:dyDescent="0.35">
      <c r="A4450">
        <v>4434</v>
      </c>
      <c r="B4450" s="75">
        <v>89.779499999999999</v>
      </c>
      <c r="C4450" s="75">
        <v>96.405500000000004</v>
      </c>
      <c r="D4450" s="75">
        <v>91.7</v>
      </c>
      <c r="E4450" s="75">
        <v>93.162000000000006</v>
      </c>
      <c r="F4450">
        <v>-745.46999999999991</v>
      </c>
      <c r="G4450">
        <v>2706.6</v>
      </c>
      <c r="H4450">
        <v>2232.2000000000003</v>
      </c>
      <c r="I4450">
        <v>218.6</v>
      </c>
      <c r="J4450">
        <v>4411.93</v>
      </c>
    </row>
    <row r="4451" spans="1:10" x14ac:dyDescent="0.35">
      <c r="A4451">
        <v>4435</v>
      </c>
      <c r="B4451" s="75">
        <v>89.41</v>
      </c>
      <c r="C4451" s="75">
        <v>96.75</v>
      </c>
      <c r="D4451" s="75">
        <v>92.76</v>
      </c>
      <c r="E4451" s="75">
        <v>93.44</v>
      </c>
      <c r="F4451">
        <v>485.09999999999997</v>
      </c>
      <c r="G4451">
        <v>2197.2000000000003</v>
      </c>
      <c r="H4451">
        <v>108.2</v>
      </c>
      <c r="I4451">
        <v>-57.8</v>
      </c>
      <c r="J4451">
        <v>2732.7</v>
      </c>
    </row>
    <row r="4452" spans="1:10" x14ac:dyDescent="0.35">
      <c r="A4452">
        <v>4436</v>
      </c>
      <c r="B4452" s="75">
        <v>89.342600000000004</v>
      </c>
      <c r="C4452" s="75">
        <v>96.974599999999995</v>
      </c>
      <c r="D4452" s="75">
        <v>93.168599999999998</v>
      </c>
      <c r="E4452" s="75">
        <v>93.037599999999998</v>
      </c>
      <c r="F4452">
        <v>696.3</v>
      </c>
      <c r="G4452">
        <v>1852.95</v>
      </c>
      <c r="H4452">
        <v>-705</v>
      </c>
      <c r="I4452">
        <v>343</v>
      </c>
      <c r="J4452">
        <v>2187.25</v>
      </c>
    </row>
    <row r="4453" spans="1:10" x14ac:dyDescent="0.35">
      <c r="A4453">
        <v>4437</v>
      </c>
      <c r="B4453" s="75">
        <v>89.82</v>
      </c>
      <c r="C4453" s="75">
        <v>98.33</v>
      </c>
      <c r="D4453" s="75">
        <v>92.58</v>
      </c>
      <c r="E4453" s="75">
        <v>94.78</v>
      </c>
      <c r="F4453">
        <v>-867.57</v>
      </c>
      <c r="G4453">
        <v>-178.20000000000002</v>
      </c>
      <c r="H4453">
        <v>467.8</v>
      </c>
      <c r="I4453">
        <v>-1396.7</v>
      </c>
      <c r="J4453">
        <v>-1974.67</v>
      </c>
    </row>
    <row r="4454" spans="1:10" x14ac:dyDescent="0.35">
      <c r="A4454">
        <v>4438</v>
      </c>
      <c r="B4454" s="75">
        <v>89.525599999999997</v>
      </c>
      <c r="C4454" s="75">
        <v>97.087000000000003</v>
      </c>
      <c r="D4454" s="75">
        <v>92.200599999999994</v>
      </c>
      <c r="E4454" s="75">
        <v>92.135800000000003</v>
      </c>
      <c r="F4454">
        <v>92.4</v>
      </c>
      <c r="G4454">
        <v>1684.35</v>
      </c>
      <c r="H4454">
        <v>1231</v>
      </c>
      <c r="I4454">
        <v>1244.8</v>
      </c>
      <c r="J4454">
        <v>4252.55</v>
      </c>
    </row>
    <row r="4455" spans="1:10" x14ac:dyDescent="0.35">
      <c r="A4455">
        <v>4439</v>
      </c>
      <c r="B4455" s="75">
        <v>90.09</v>
      </c>
      <c r="C4455" s="75">
        <v>97.86</v>
      </c>
      <c r="D4455" s="75">
        <v>91.51</v>
      </c>
      <c r="E4455" s="75">
        <v>96.56</v>
      </c>
      <c r="F4455">
        <v>-1780.02</v>
      </c>
      <c r="G4455">
        <v>529.80000000000007</v>
      </c>
      <c r="H4455">
        <v>2605.7999999999997</v>
      </c>
      <c r="I4455">
        <v>-3180.4</v>
      </c>
      <c r="J4455">
        <v>-1824.8200000000002</v>
      </c>
    </row>
    <row r="4456" spans="1:10" x14ac:dyDescent="0.35">
      <c r="A4456">
        <v>4440</v>
      </c>
      <c r="B4456" s="75">
        <v>89.347099999999998</v>
      </c>
      <c r="C4456" s="75">
        <v>98.899600000000007</v>
      </c>
      <c r="D4456" s="75">
        <v>91.399500000000003</v>
      </c>
      <c r="E4456" s="75">
        <v>95.743600000000001</v>
      </c>
      <c r="F4456">
        <v>681.44999999999993</v>
      </c>
      <c r="G4456">
        <v>-1034.55</v>
      </c>
      <c r="H4456">
        <v>2833.2000000000003</v>
      </c>
      <c r="I4456">
        <v>-2363</v>
      </c>
      <c r="J4456">
        <v>117.10000000000036</v>
      </c>
    </row>
    <row r="4457" spans="1:10" x14ac:dyDescent="0.35">
      <c r="A4457">
        <v>4441</v>
      </c>
      <c r="B4457" s="75">
        <v>89.59</v>
      </c>
      <c r="C4457" s="75">
        <v>97.57</v>
      </c>
      <c r="D4457" s="75">
        <v>91.84</v>
      </c>
      <c r="E4457" s="75">
        <v>92.81</v>
      </c>
      <c r="F4457">
        <v>-126.39</v>
      </c>
      <c r="G4457">
        <v>964.94999999999993</v>
      </c>
      <c r="H4457">
        <v>1947.4</v>
      </c>
      <c r="I4457">
        <v>568.20000000000005</v>
      </c>
      <c r="J4457">
        <v>3354.16</v>
      </c>
    </row>
    <row r="4458" spans="1:10" x14ac:dyDescent="0.35">
      <c r="A4458">
        <v>4442</v>
      </c>
      <c r="B4458" s="75">
        <v>89.709699999999998</v>
      </c>
      <c r="C4458" s="75">
        <v>98.252200000000002</v>
      </c>
      <c r="D4458" s="75">
        <v>91.200800000000001</v>
      </c>
      <c r="E4458" s="75">
        <v>93.533100000000005</v>
      </c>
      <c r="F4458">
        <v>-515.13</v>
      </c>
      <c r="G4458">
        <v>-63.449999999999996</v>
      </c>
      <c r="H4458">
        <v>3230.6</v>
      </c>
      <c r="I4458">
        <v>-152.5</v>
      </c>
      <c r="J4458">
        <v>2499.52</v>
      </c>
    </row>
    <row r="4459" spans="1:10" x14ac:dyDescent="0.35">
      <c r="A4459">
        <v>4443</v>
      </c>
      <c r="B4459" s="75">
        <v>89.38</v>
      </c>
      <c r="C4459" s="75">
        <v>97.73</v>
      </c>
      <c r="D4459" s="75">
        <v>95.96</v>
      </c>
      <c r="E4459" s="75">
        <v>93.02</v>
      </c>
      <c r="F4459">
        <v>573.54000000000008</v>
      </c>
      <c r="G4459">
        <v>722.1</v>
      </c>
      <c r="H4459">
        <v>-6292</v>
      </c>
      <c r="I4459">
        <v>361.8</v>
      </c>
      <c r="J4459">
        <v>-4634.5599999999995</v>
      </c>
    </row>
    <row r="4460" spans="1:10" x14ac:dyDescent="0.35">
      <c r="A4460">
        <v>4444</v>
      </c>
      <c r="B4460" s="75">
        <v>88.883799999999994</v>
      </c>
      <c r="C4460" s="75">
        <v>97.497200000000007</v>
      </c>
      <c r="D4460" s="75">
        <v>93.789500000000004</v>
      </c>
      <c r="E4460" s="75">
        <v>93.124499999999998</v>
      </c>
      <c r="F4460">
        <v>2210.3399999999997</v>
      </c>
      <c r="G4460">
        <v>1069.05</v>
      </c>
      <c r="H4460">
        <v>-1946.8000000000002</v>
      </c>
      <c r="I4460">
        <v>256.10000000000002</v>
      </c>
      <c r="J4460">
        <v>1588.6899999999991</v>
      </c>
    </row>
    <row r="4461" spans="1:10" x14ac:dyDescent="0.35">
      <c r="A4461">
        <v>4445</v>
      </c>
      <c r="B4461" s="75">
        <v>90.28</v>
      </c>
      <c r="C4461" s="75">
        <v>98.17</v>
      </c>
      <c r="D4461" s="75">
        <v>94.32</v>
      </c>
      <c r="E4461" s="75">
        <v>94.58</v>
      </c>
      <c r="F4461">
        <v>-2398.11</v>
      </c>
      <c r="G4461">
        <v>55.8</v>
      </c>
      <c r="H4461">
        <v>-3009.3999999999996</v>
      </c>
      <c r="I4461">
        <v>-1201.8999999999999</v>
      </c>
      <c r="J4461">
        <v>-6553.6099999999988</v>
      </c>
    </row>
    <row r="4462" spans="1:10" x14ac:dyDescent="0.35">
      <c r="A4462">
        <v>4446</v>
      </c>
      <c r="B4462" s="75">
        <v>89.743700000000004</v>
      </c>
      <c r="C4462" s="75">
        <v>96.834900000000005</v>
      </c>
      <c r="D4462" s="75">
        <v>92.589500000000001</v>
      </c>
      <c r="E4462" s="75">
        <v>96.697199999999995</v>
      </c>
      <c r="F4462">
        <v>-627.32999999999993</v>
      </c>
      <c r="G4462">
        <v>2062.5</v>
      </c>
      <c r="H4462">
        <v>453.2</v>
      </c>
      <c r="I4462">
        <v>-3316.6000000000004</v>
      </c>
      <c r="J4462">
        <v>-1428.2300000000002</v>
      </c>
    </row>
    <row r="4463" spans="1:10" x14ac:dyDescent="0.35">
      <c r="A4463">
        <v>4447</v>
      </c>
      <c r="B4463" s="75">
        <v>90.37</v>
      </c>
      <c r="C4463" s="75">
        <v>97.99</v>
      </c>
      <c r="D4463" s="75">
        <v>93.95</v>
      </c>
      <c r="E4463" s="75">
        <v>95.67</v>
      </c>
      <c r="F4463">
        <v>-2691.15</v>
      </c>
      <c r="G4463">
        <v>330.75</v>
      </c>
      <c r="H4463">
        <v>-2275.4</v>
      </c>
      <c r="I4463">
        <v>-2287.9</v>
      </c>
      <c r="J4463">
        <v>-6923.7000000000007</v>
      </c>
    </row>
    <row r="4464" spans="1:10" x14ac:dyDescent="0.35">
      <c r="A4464">
        <v>4448</v>
      </c>
      <c r="B4464" s="75">
        <v>89.062200000000004</v>
      </c>
      <c r="C4464" s="75">
        <v>97.389099999999999</v>
      </c>
      <c r="D4464" s="75">
        <v>92.864400000000003</v>
      </c>
      <c r="E4464" s="75">
        <v>94.231399999999994</v>
      </c>
      <c r="F4464">
        <v>1621.6200000000001</v>
      </c>
      <c r="G4464">
        <v>1231.2</v>
      </c>
      <c r="H4464">
        <v>-96.600000000000009</v>
      </c>
      <c r="I4464">
        <v>-850.8</v>
      </c>
      <c r="J4464">
        <v>1905.4200000000003</v>
      </c>
    </row>
    <row r="4465" spans="1:10" x14ac:dyDescent="0.35">
      <c r="A4465">
        <v>4449</v>
      </c>
      <c r="B4465" s="75">
        <v>89.57</v>
      </c>
      <c r="C4465" s="75">
        <v>96.41</v>
      </c>
      <c r="D4465" s="75">
        <v>92.86</v>
      </c>
      <c r="E4465" s="75">
        <v>95.49</v>
      </c>
      <c r="F4465">
        <v>-39.6</v>
      </c>
      <c r="G4465">
        <v>2700.9</v>
      </c>
      <c r="H4465">
        <v>-86.8</v>
      </c>
      <c r="I4465">
        <v>-2109</v>
      </c>
      <c r="J4465">
        <v>465.5</v>
      </c>
    </row>
    <row r="4466" spans="1:10" x14ac:dyDescent="0.35">
      <c r="A4466">
        <v>4450</v>
      </c>
      <c r="B4466" s="75">
        <v>89.797600000000003</v>
      </c>
      <c r="C4466" s="75">
        <v>98.341499999999996</v>
      </c>
      <c r="D4466" s="75">
        <v>93.922600000000003</v>
      </c>
      <c r="E4466" s="75">
        <v>91.293400000000005</v>
      </c>
      <c r="F4466">
        <v>-805.19999999999993</v>
      </c>
      <c r="G4466">
        <v>-197.4</v>
      </c>
      <c r="H4466">
        <v>-2213</v>
      </c>
      <c r="I4466">
        <v>2087.2000000000003</v>
      </c>
      <c r="J4466">
        <v>-1128.3999999999996</v>
      </c>
    </row>
    <row r="4467" spans="1:10" x14ac:dyDescent="0.35">
      <c r="A4467">
        <v>4451</v>
      </c>
      <c r="B4467" s="75">
        <v>90.3</v>
      </c>
      <c r="C4467" s="75">
        <v>97.81</v>
      </c>
      <c r="D4467" s="75">
        <v>95.18</v>
      </c>
      <c r="E4467" s="75">
        <v>92.34</v>
      </c>
      <c r="F4467">
        <v>-2465.7599999999998</v>
      </c>
      <c r="G4467">
        <v>599.25</v>
      </c>
      <c r="H4467">
        <v>-4731.8</v>
      </c>
      <c r="I4467">
        <v>1044.7</v>
      </c>
      <c r="J4467">
        <v>-5553.61</v>
      </c>
    </row>
    <row r="4468" spans="1:10" x14ac:dyDescent="0.35">
      <c r="A4468">
        <v>4452</v>
      </c>
      <c r="B4468" s="75">
        <v>89.022599999999997</v>
      </c>
      <c r="C4468" s="75">
        <v>98.8309</v>
      </c>
      <c r="D4468" s="75">
        <v>91.845200000000006</v>
      </c>
      <c r="E4468" s="75">
        <v>93.160899999999998</v>
      </c>
      <c r="F4468">
        <v>1752.3000000000002</v>
      </c>
      <c r="G4468">
        <v>-931.5</v>
      </c>
      <c r="H4468">
        <v>1941.8</v>
      </c>
      <c r="I4468">
        <v>219.70000000000002</v>
      </c>
      <c r="J4468">
        <v>2982.3</v>
      </c>
    </row>
    <row r="4469" spans="1:10" x14ac:dyDescent="0.35">
      <c r="A4469">
        <v>4453</v>
      </c>
      <c r="B4469" s="75">
        <v>90.29</v>
      </c>
      <c r="C4469" s="75">
        <v>98.41</v>
      </c>
      <c r="D4469" s="75">
        <v>94.39</v>
      </c>
      <c r="E4469" s="75">
        <v>94.39</v>
      </c>
      <c r="F4469">
        <v>-2423.8500000000004</v>
      </c>
      <c r="G4469">
        <v>-295.2</v>
      </c>
      <c r="H4469">
        <v>-3142.6</v>
      </c>
      <c r="I4469">
        <v>-1007.5000000000001</v>
      </c>
      <c r="J4469">
        <v>-6869.15</v>
      </c>
    </row>
    <row r="4470" spans="1:10" x14ac:dyDescent="0.35">
      <c r="A4470">
        <v>4454</v>
      </c>
      <c r="B4470" s="75">
        <v>88.569400000000002</v>
      </c>
      <c r="C4470" s="75">
        <v>99.825000000000003</v>
      </c>
      <c r="D4470" s="75">
        <v>94.527699999999996</v>
      </c>
      <c r="E4470" s="75">
        <v>91.811599999999999</v>
      </c>
      <c r="F4470">
        <v>3247.8599999999997</v>
      </c>
      <c r="G4470">
        <v>-2422.65</v>
      </c>
      <c r="H4470">
        <v>-3423.2</v>
      </c>
      <c r="I4470">
        <v>1569</v>
      </c>
      <c r="J4470">
        <v>-1028.9900000000002</v>
      </c>
    </row>
    <row r="4471" spans="1:10" x14ac:dyDescent="0.35">
      <c r="A4471">
        <v>4455</v>
      </c>
      <c r="B4471" s="75">
        <v>89.64</v>
      </c>
      <c r="C4471" s="75">
        <v>97.42</v>
      </c>
      <c r="D4471" s="75">
        <v>93.89</v>
      </c>
      <c r="E4471" s="75">
        <v>92.4</v>
      </c>
      <c r="F4471">
        <v>-271.92</v>
      </c>
      <c r="G4471">
        <v>1190.25</v>
      </c>
      <c r="H4471">
        <v>-2154.1999999999998</v>
      </c>
      <c r="I4471">
        <v>982.40000000000009</v>
      </c>
      <c r="J4471">
        <v>-253.4699999999998</v>
      </c>
    </row>
    <row r="4472" spans="1:10" x14ac:dyDescent="0.35">
      <c r="A4472">
        <v>4456</v>
      </c>
      <c r="B4472" s="75">
        <v>89.901300000000006</v>
      </c>
      <c r="C4472" s="75">
        <v>98.387299999999996</v>
      </c>
      <c r="D4472" s="75">
        <v>93.253</v>
      </c>
      <c r="E4472" s="75">
        <v>91.369100000000003</v>
      </c>
      <c r="F4472">
        <v>-1147.4100000000001</v>
      </c>
      <c r="G4472">
        <v>-266.10000000000002</v>
      </c>
      <c r="H4472">
        <v>-873.80000000000007</v>
      </c>
      <c r="I4472">
        <v>2011.4999999999998</v>
      </c>
      <c r="J4472">
        <v>-275.81000000000063</v>
      </c>
    </row>
    <row r="4473" spans="1:10" x14ac:dyDescent="0.35">
      <c r="A4473">
        <v>4457</v>
      </c>
      <c r="B4473" s="75">
        <v>89.16</v>
      </c>
      <c r="C4473" s="75">
        <v>98.16</v>
      </c>
      <c r="D4473" s="75">
        <v>93.46</v>
      </c>
      <c r="E4473" s="75">
        <v>92.97</v>
      </c>
      <c r="F4473">
        <v>1296.9000000000001</v>
      </c>
      <c r="G4473">
        <v>79.5</v>
      </c>
      <c r="H4473">
        <v>-1285</v>
      </c>
      <c r="I4473">
        <v>412.4</v>
      </c>
      <c r="J4473">
        <v>503.80000000000007</v>
      </c>
    </row>
    <row r="4474" spans="1:10" x14ac:dyDescent="0.35">
      <c r="A4474">
        <v>4458</v>
      </c>
      <c r="B4474" s="75">
        <v>89.769099999999995</v>
      </c>
      <c r="C4474" s="75">
        <v>99.203500000000005</v>
      </c>
      <c r="D4474" s="75">
        <v>93.259500000000003</v>
      </c>
      <c r="E4474" s="75">
        <v>94.532200000000003</v>
      </c>
      <c r="F4474">
        <v>-711.15</v>
      </c>
      <c r="G4474">
        <v>-1490.4</v>
      </c>
      <c r="H4474">
        <v>-886.80000000000007</v>
      </c>
      <c r="I4474">
        <v>-1151.5999999999999</v>
      </c>
      <c r="J4474">
        <v>-4239.9500000000007</v>
      </c>
    </row>
    <row r="4475" spans="1:10" x14ac:dyDescent="0.35">
      <c r="A4475">
        <v>4459</v>
      </c>
      <c r="B4475" s="75">
        <v>89.17</v>
      </c>
      <c r="C4475" s="75">
        <v>97.34</v>
      </c>
      <c r="D4475" s="75">
        <v>92.46</v>
      </c>
      <c r="E4475" s="75">
        <v>94.66</v>
      </c>
      <c r="F4475">
        <v>1280.0700000000002</v>
      </c>
      <c r="G4475">
        <v>1301.8499999999999</v>
      </c>
      <c r="H4475">
        <v>714.6</v>
      </c>
      <c r="I4475">
        <v>-1275.3000000000002</v>
      </c>
      <c r="J4475">
        <v>2021.2199999999998</v>
      </c>
    </row>
    <row r="4476" spans="1:10" x14ac:dyDescent="0.35">
      <c r="A4476">
        <v>4460</v>
      </c>
      <c r="B4476" s="75">
        <v>88.500600000000006</v>
      </c>
      <c r="C4476" s="75">
        <v>98.861599999999996</v>
      </c>
      <c r="D4476" s="75">
        <v>93.420500000000004</v>
      </c>
      <c r="E4476" s="75">
        <v>95.104500000000002</v>
      </c>
      <c r="F4476">
        <v>3474.8999999999996</v>
      </c>
      <c r="G4476">
        <v>-977.55</v>
      </c>
      <c r="H4476">
        <v>-1208.8000000000002</v>
      </c>
      <c r="I4476">
        <v>-1723.9</v>
      </c>
      <c r="J4476">
        <v>-435.35000000000082</v>
      </c>
    </row>
    <row r="4477" spans="1:10" x14ac:dyDescent="0.35">
      <c r="A4477">
        <v>4461</v>
      </c>
      <c r="B4477" s="75">
        <v>89.54</v>
      </c>
      <c r="C4477" s="75">
        <v>97.75</v>
      </c>
      <c r="D4477" s="75">
        <v>91.72</v>
      </c>
      <c r="E4477" s="75">
        <v>95.22</v>
      </c>
      <c r="F4477">
        <v>61.05</v>
      </c>
      <c r="G4477">
        <v>684.15</v>
      </c>
      <c r="H4477">
        <v>2198</v>
      </c>
      <c r="I4477">
        <v>-1838.6</v>
      </c>
      <c r="J4477">
        <v>1104.5999999999999</v>
      </c>
    </row>
    <row r="4478" spans="1:10" x14ac:dyDescent="0.35">
      <c r="A4478">
        <v>4462</v>
      </c>
      <c r="B4478" s="75">
        <v>89.472899999999996</v>
      </c>
      <c r="C4478" s="75">
        <v>98.822800000000001</v>
      </c>
      <c r="D4478" s="75">
        <v>91.736599999999996</v>
      </c>
      <c r="E4478" s="75">
        <v>94.304400000000001</v>
      </c>
      <c r="F4478">
        <v>266.31</v>
      </c>
      <c r="G4478">
        <v>-919.35</v>
      </c>
      <c r="H4478">
        <v>2159</v>
      </c>
      <c r="I4478">
        <v>-923.8</v>
      </c>
      <c r="J4478">
        <v>582.16000000000008</v>
      </c>
    </row>
    <row r="4479" spans="1:10" x14ac:dyDescent="0.35">
      <c r="A4479">
        <v>4463</v>
      </c>
      <c r="B4479" s="75">
        <v>88.56</v>
      </c>
      <c r="C4479" s="75">
        <v>98.29</v>
      </c>
      <c r="D4479" s="75">
        <v>93.86</v>
      </c>
      <c r="E4479" s="75">
        <v>92.34</v>
      </c>
      <c r="F4479">
        <v>3290.7599999999998</v>
      </c>
      <c r="G4479">
        <v>-125.39999999999999</v>
      </c>
      <c r="H4479">
        <v>-2091.6</v>
      </c>
      <c r="I4479">
        <v>1042.7</v>
      </c>
      <c r="J4479">
        <v>2116.46</v>
      </c>
    </row>
    <row r="4480" spans="1:10" x14ac:dyDescent="0.35">
      <c r="A4480">
        <v>4464</v>
      </c>
      <c r="B4480" s="75">
        <v>89.333699999999993</v>
      </c>
      <c r="C4480" s="75">
        <v>98.003500000000003</v>
      </c>
      <c r="D4480" s="75">
        <v>91.569800000000001</v>
      </c>
      <c r="E4480" s="75">
        <v>93.668599999999998</v>
      </c>
      <c r="F4480">
        <v>725.67000000000007</v>
      </c>
      <c r="G4480">
        <v>309.60000000000002</v>
      </c>
      <c r="H4480">
        <v>2492.6</v>
      </c>
      <c r="I4480">
        <v>-288</v>
      </c>
      <c r="J4480">
        <v>3239.87</v>
      </c>
    </row>
    <row r="4481" spans="1:10" x14ac:dyDescent="0.35">
      <c r="A4481">
        <v>4465</v>
      </c>
      <c r="B4481" s="75">
        <v>89.22</v>
      </c>
      <c r="C4481" s="75">
        <v>97.67</v>
      </c>
      <c r="D4481" s="75">
        <v>91.14</v>
      </c>
      <c r="E4481" s="75">
        <v>92.95</v>
      </c>
      <c r="F4481">
        <v>1101.21</v>
      </c>
      <c r="G4481">
        <v>805.65</v>
      </c>
      <c r="H4481">
        <v>3350.2000000000003</v>
      </c>
      <c r="I4481">
        <v>428.09999999999997</v>
      </c>
      <c r="J4481">
        <v>5685.1600000000008</v>
      </c>
    </row>
    <row r="4482" spans="1:10" x14ac:dyDescent="0.35">
      <c r="A4482">
        <v>4466</v>
      </c>
      <c r="B4482" s="75">
        <v>89.537899999999993</v>
      </c>
      <c r="C4482" s="75">
        <v>97.067099999999996</v>
      </c>
      <c r="D4482" s="75">
        <v>91.447000000000003</v>
      </c>
      <c r="E4482" s="75">
        <v>94.818100000000001</v>
      </c>
      <c r="F4482">
        <v>51.809999999999995</v>
      </c>
      <c r="G4482">
        <v>1714.2</v>
      </c>
      <c r="H4482">
        <v>2738.2</v>
      </c>
      <c r="I4482">
        <v>-1437.5</v>
      </c>
      <c r="J4482">
        <v>3066.71</v>
      </c>
    </row>
    <row r="4483" spans="1:10" x14ac:dyDescent="0.35">
      <c r="A4483">
        <v>4467</v>
      </c>
      <c r="B4483" s="75">
        <v>90.59</v>
      </c>
      <c r="C4483" s="75">
        <v>97.66</v>
      </c>
      <c r="D4483" s="75">
        <v>93.67</v>
      </c>
      <c r="E4483" s="75">
        <v>94.18</v>
      </c>
      <c r="F4483">
        <v>-3429.6899999999996</v>
      </c>
      <c r="G4483">
        <v>824.85000000000014</v>
      </c>
      <c r="H4483">
        <v>-1699.6</v>
      </c>
      <c r="I4483">
        <v>-797.5</v>
      </c>
      <c r="J4483">
        <v>-5101.9399999999987</v>
      </c>
    </row>
    <row r="4484" spans="1:10" x14ac:dyDescent="0.35">
      <c r="A4484">
        <v>4468</v>
      </c>
      <c r="B4484" s="75">
        <v>89.781800000000004</v>
      </c>
      <c r="C4484" s="75">
        <v>98.516000000000005</v>
      </c>
      <c r="D4484" s="75">
        <v>93.874799999999993</v>
      </c>
      <c r="E4484" s="75">
        <v>93.308800000000005</v>
      </c>
      <c r="F4484">
        <v>-753.06</v>
      </c>
      <c r="G4484">
        <v>-459.15</v>
      </c>
      <c r="H4484">
        <v>-2117.4</v>
      </c>
      <c r="I4484">
        <v>71.8</v>
      </c>
      <c r="J4484">
        <v>-3257.81</v>
      </c>
    </row>
    <row r="4485" spans="1:10" x14ac:dyDescent="0.35">
      <c r="A4485">
        <v>4469</v>
      </c>
      <c r="B4485" s="75">
        <v>89.85</v>
      </c>
      <c r="C4485" s="75">
        <v>98.97</v>
      </c>
      <c r="D4485" s="75">
        <v>93.04</v>
      </c>
      <c r="E4485" s="75">
        <v>93.51</v>
      </c>
      <c r="F4485">
        <v>-968.88000000000011</v>
      </c>
      <c r="G4485">
        <v>-1135.5</v>
      </c>
      <c r="H4485">
        <v>-439.8</v>
      </c>
      <c r="I4485">
        <v>-129.5</v>
      </c>
      <c r="J4485">
        <v>-2673.6800000000003</v>
      </c>
    </row>
    <row r="4486" spans="1:10" x14ac:dyDescent="0.35">
      <c r="A4486">
        <v>4470</v>
      </c>
      <c r="B4486" s="75">
        <v>89.4238</v>
      </c>
      <c r="C4486" s="75">
        <v>97.137500000000003</v>
      </c>
      <c r="D4486" s="75">
        <v>92.845600000000005</v>
      </c>
      <c r="E4486" s="75">
        <v>92.556299999999993</v>
      </c>
      <c r="F4486">
        <v>428.34</v>
      </c>
      <c r="G4486">
        <v>1608.6000000000001</v>
      </c>
      <c r="H4486">
        <v>-59</v>
      </c>
      <c r="I4486">
        <v>824.30000000000007</v>
      </c>
      <c r="J4486">
        <v>2802.2400000000002</v>
      </c>
    </row>
    <row r="4487" spans="1:10" x14ac:dyDescent="0.35">
      <c r="A4487">
        <v>4471</v>
      </c>
      <c r="B4487" s="75">
        <v>89.88</v>
      </c>
      <c r="C4487" s="75">
        <v>98.37</v>
      </c>
      <c r="D4487" s="75">
        <v>93.51</v>
      </c>
      <c r="E4487" s="75">
        <v>94.64</v>
      </c>
      <c r="F4487">
        <v>-1064.58</v>
      </c>
      <c r="G4487">
        <v>-233.55</v>
      </c>
      <c r="H4487">
        <v>-1382</v>
      </c>
      <c r="I4487">
        <v>-1261.5</v>
      </c>
      <c r="J4487">
        <v>-3941.63</v>
      </c>
    </row>
    <row r="4488" spans="1:10" x14ac:dyDescent="0.35">
      <c r="A4488">
        <v>4472</v>
      </c>
      <c r="B4488" s="75">
        <v>90.210999999999999</v>
      </c>
      <c r="C4488" s="75">
        <v>98.152199999999993</v>
      </c>
      <c r="D4488" s="75">
        <v>93.623699999999999</v>
      </c>
      <c r="E4488" s="75">
        <v>94.690899999999999</v>
      </c>
      <c r="F4488">
        <v>-2169.42</v>
      </c>
      <c r="G4488">
        <v>86.55</v>
      </c>
      <c r="H4488">
        <v>-1615.2</v>
      </c>
      <c r="I4488">
        <v>-1310.3</v>
      </c>
      <c r="J4488">
        <v>-5008.37</v>
      </c>
    </row>
    <row r="4489" spans="1:10" x14ac:dyDescent="0.35">
      <c r="A4489">
        <v>4473</v>
      </c>
      <c r="B4489" s="75">
        <v>89.28</v>
      </c>
      <c r="C4489" s="75">
        <v>98.08</v>
      </c>
      <c r="D4489" s="75">
        <v>92.16</v>
      </c>
      <c r="E4489" s="75">
        <v>94.64</v>
      </c>
      <c r="F4489">
        <v>887.36999999999989</v>
      </c>
      <c r="G4489">
        <v>190.8</v>
      </c>
      <c r="H4489">
        <v>1315</v>
      </c>
      <c r="I4489">
        <v>-1257.4000000000001</v>
      </c>
      <c r="J4489">
        <v>1135.77</v>
      </c>
    </row>
    <row r="4490" spans="1:10" x14ac:dyDescent="0.35">
      <c r="A4490">
        <v>4474</v>
      </c>
      <c r="B4490" s="75">
        <v>89.2881</v>
      </c>
      <c r="C4490" s="75">
        <v>98.412499999999994</v>
      </c>
      <c r="D4490" s="75">
        <v>92.604500000000002</v>
      </c>
      <c r="E4490" s="75">
        <v>95.728700000000003</v>
      </c>
      <c r="F4490">
        <v>876.15000000000009</v>
      </c>
      <c r="G4490">
        <v>-303.89999999999998</v>
      </c>
      <c r="H4490">
        <v>423.20000000000005</v>
      </c>
      <c r="I4490">
        <v>-2348.1</v>
      </c>
      <c r="J4490">
        <v>-1352.6499999999996</v>
      </c>
    </row>
    <row r="4491" spans="1:10" x14ac:dyDescent="0.35">
      <c r="A4491">
        <v>4475</v>
      </c>
      <c r="B4491" s="75">
        <v>89.73</v>
      </c>
      <c r="C4491" s="75">
        <v>96.34</v>
      </c>
      <c r="D4491" s="75">
        <v>94.21</v>
      </c>
      <c r="E4491" s="75">
        <v>94.87</v>
      </c>
      <c r="F4491">
        <v>-571.89</v>
      </c>
      <c r="G4491">
        <v>2805.3</v>
      </c>
      <c r="H4491">
        <v>-2787.7999999999997</v>
      </c>
      <c r="I4491">
        <v>-1490.6</v>
      </c>
      <c r="J4491">
        <v>-2044.9899999999993</v>
      </c>
    </row>
    <row r="4492" spans="1:10" x14ac:dyDescent="0.35">
      <c r="A4492">
        <v>4476</v>
      </c>
      <c r="B4492" s="75">
        <v>89.102800000000002</v>
      </c>
      <c r="C4492" s="75">
        <v>97.874200000000002</v>
      </c>
      <c r="D4492" s="75">
        <v>93.75</v>
      </c>
      <c r="E4492" s="75">
        <v>93.477099999999993</v>
      </c>
      <c r="F4492">
        <v>1487.6399999999999</v>
      </c>
      <c r="G4492">
        <v>503.55</v>
      </c>
      <c r="H4492">
        <v>-1867.8</v>
      </c>
      <c r="I4492">
        <v>-96.5</v>
      </c>
      <c r="J4492">
        <v>26.889999999999873</v>
      </c>
    </row>
    <row r="4493" spans="1:10" x14ac:dyDescent="0.35">
      <c r="A4493">
        <v>4477</v>
      </c>
      <c r="B4493" s="75">
        <v>89.01</v>
      </c>
      <c r="C4493" s="75">
        <v>97.11</v>
      </c>
      <c r="D4493" s="75">
        <v>92.53</v>
      </c>
      <c r="E4493" s="75">
        <v>95</v>
      </c>
      <c r="F4493">
        <v>1797.5099999999998</v>
      </c>
      <c r="G4493">
        <v>1642.5</v>
      </c>
      <c r="H4493">
        <v>579.4</v>
      </c>
      <c r="I4493">
        <v>-1622.1000000000001</v>
      </c>
      <c r="J4493">
        <v>2397.3099999999995</v>
      </c>
    </row>
    <row r="4494" spans="1:10" x14ac:dyDescent="0.35">
      <c r="A4494">
        <v>4478</v>
      </c>
      <c r="B4494" s="75">
        <v>89.672600000000003</v>
      </c>
      <c r="C4494" s="75">
        <v>98.884299999999996</v>
      </c>
      <c r="D4494" s="75">
        <v>94.582899999999995</v>
      </c>
      <c r="E4494" s="75">
        <v>91.113900000000001</v>
      </c>
      <c r="F4494">
        <v>-392.7</v>
      </c>
      <c r="G4494">
        <v>-1011.6</v>
      </c>
      <c r="H4494">
        <v>-3533.6</v>
      </c>
      <c r="I4494">
        <v>2266.7000000000003</v>
      </c>
      <c r="J4494">
        <v>-2671.1999999999994</v>
      </c>
    </row>
    <row r="4495" spans="1:10" x14ac:dyDescent="0.35">
      <c r="A4495">
        <v>4479</v>
      </c>
      <c r="B4495" s="75">
        <v>89.39</v>
      </c>
      <c r="C4495" s="75">
        <v>98.32</v>
      </c>
      <c r="D4495" s="75">
        <v>93.32</v>
      </c>
      <c r="E4495" s="75">
        <v>95.52</v>
      </c>
      <c r="F4495">
        <v>544.83000000000004</v>
      </c>
      <c r="G4495">
        <v>-162.30000000000001</v>
      </c>
      <c r="H4495">
        <v>-1016.8</v>
      </c>
      <c r="I4495">
        <v>-2135.3000000000002</v>
      </c>
      <c r="J4495">
        <v>-2769.57</v>
      </c>
    </row>
    <row r="4496" spans="1:10" x14ac:dyDescent="0.35">
      <c r="A4496">
        <v>4480</v>
      </c>
      <c r="B4496" s="75">
        <v>88.917199999999994</v>
      </c>
      <c r="C4496" s="75">
        <v>97.817599999999999</v>
      </c>
      <c r="D4496" s="75">
        <v>92.372</v>
      </c>
      <c r="E4496" s="75">
        <v>94.398600000000002</v>
      </c>
      <c r="F4496">
        <v>2100.12</v>
      </c>
      <c r="G4496">
        <v>588.44999999999993</v>
      </c>
      <c r="H4496">
        <v>888.2</v>
      </c>
      <c r="I4496">
        <v>-1018</v>
      </c>
      <c r="J4496">
        <v>2558.7699999999995</v>
      </c>
    </row>
    <row r="4497" spans="1:10" x14ac:dyDescent="0.35">
      <c r="A4497">
        <v>4481</v>
      </c>
      <c r="B4497" s="75">
        <v>89.21</v>
      </c>
      <c r="C4497" s="75">
        <v>96.05</v>
      </c>
      <c r="D4497" s="75">
        <v>91.51</v>
      </c>
      <c r="E4497" s="75">
        <v>92.71</v>
      </c>
      <c r="F4497">
        <v>1130.9100000000001</v>
      </c>
      <c r="G4497">
        <v>3246.6000000000004</v>
      </c>
      <c r="H4497">
        <v>2606.3999999999996</v>
      </c>
      <c r="I4497">
        <v>670.5</v>
      </c>
      <c r="J4497">
        <v>7654.41</v>
      </c>
    </row>
    <row r="4498" spans="1:10" x14ac:dyDescent="0.35">
      <c r="A4498">
        <v>4482</v>
      </c>
      <c r="B4498" s="75">
        <v>88.928700000000006</v>
      </c>
      <c r="C4498" s="75">
        <v>99.397000000000006</v>
      </c>
      <c r="D4498" s="75">
        <v>92.715100000000007</v>
      </c>
      <c r="E4498" s="75">
        <v>93.009</v>
      </c>
      <c r="F4498">
        <v>2062.17</v>
      </c>
      <c r="G4498">
        <v>-1780.65</v>
      </c>
      <c r="H4498">
        <v>202</v>
      </c>
      <c r="I4498">
        <v>371.59999999999997</v>
      </c>
      <c r="J4498">
        <v>855.11999999999989</v>
      </c>
    </row>
    <row r="4499" spans="1:10" x14ac:dyDescent="0.35">
      <c r="A4499">
        <v>4483</v>
      </c>
      <c r="B4499" s="75">
        <v>89.23</v>
      </c>
      <c r="C4499" s="75">
        <v>98.22</v>
      </c>
      <c r="D4499" s="75">
        <v>90.61</v>
      </c>
      <c r="E4499" s="75">
        <v>94.41</v>
      </c>
      <c r="F4499">
        <v>1057.3200000000002</v>
      </c>
      <c r="G4499">
        <v>-18.899999999999999</v>
      </c>
      <c r="H4499">
        <v>4416.4000000000005</v>
      </c>
      <c r="I4499">
        <v>-1032.5999999999999</v>
      </c>
      <c r="J4499">
        <v>4422.2200000000012</v>
      </c>
    </row>
    <row r="4500" spans="1:10" x14ac:dyDescent="0.35">
      <c r="A4500">
        <v>4484</v>
      </c>
      <c r="B4500" s="75">
        <v>90.423599999999993</v>
      </c>
      <c r="C4500" s="75">
        <v>97.908100000000005</v>
      </c>
      <c r="D4500" s="75">
        <v>93.724599999999995</v>
      </c>
      <c r="E4500" s="75">
        <v>95.830699999999993</v>
      </c>
      <c r="F4500">
        <v>-2871</v>
      </c>
      <c r="G4500">
        <v>452.70000000000005</v>
      </c>
      <c r="H4500">
        <v>-1817</v>
      </c>
      <c r="I4500">
        <v>-2450.1</v>
      </c>
      <c r="J4500">
        <v>-6685.4</v>
      </c>
    </row>
    <row r="4501" spans="1:10" x14ac:dyDescent="0.35">
      <c r="A4501">
        <v>4485</v>
      </c>
      <c r="B4501" s="75">
        <v>89.05</v>
      </c>
      <c r="C4501" s="75">
        <v>96.43</v>
      </c>
      <c r="D4501" s="75">
        <v>92.84</v>
      </c>
      <c r="E4501" s="75">
        <v>94.77</v>
      </c>
      <c r="F4501">
        <v>1653.3</v>
      </c>
      <c r="G4501">
        <v>2663.1</v>
      </c>
      <c r="H4501">
        <v>-52.400000000000006</v>
      </c>
      <c r="I4501">
        <v>-1384.9</v>
      </c>
      <c r="J4501">
        <v>2879.1</v>
      </c>
    </row>
    <row r="4502" spans="1:10" x14ac:dyDescent="0.35">
      <c r="A4502">
        <v>4486</v>
      </c>
      <c r="B4502" s="75">
        <v>89.878500000000003</v>
      </c>
      <c r="C4502" s="75">
        <v>98.551199999999994</v>
      </c>
      <c r="D4502" s="75">
        <v>92.415700000000001</v>
      </c>
      <c r="E4502" s="75">
        <v>90.8626</v>
      </c>
      <c r="F4502">
        <v>-1072.17</v>
      </c>
      <c r="G4502">
        <v>-511.95</v>
      </c>
      <c r="H4502">
        <v>800.8</v>
      </c>
      <c r="I4502">
        <v>2518</v>
      </c>
      <c r="J4502">
        <v>1734.6799999999998</v>
      </c>
    </row>
    <row r="4503" spans="1:10" x14ac:dyDescent="0.35">
      <c r="A4503">
        <v>4487</v>
      </c>
      <c r="B4503" s="75">
        <v>89.2</v>
      </c>
      <c r="C4503" s="75">
        <v>97.45</v>
      </c>
      <c r="D4503" s="75">
        <v>92.59</v>
      </c>
      <c r="E4503" s="75">
        <v>95.88</v>
      </c>
      <c r="F4503">
        <v>1179.75</v>
      </c>
      <c r="G4503">
        <v>1137.3</v>
      </c>
      <c r="H4503">
        <v>454.2</v>
      </c>
      <c r="I4503">
        <v>-2503.6</v>
      </c>
      <c r="J4503">
        <v>267.65000000000009</v>
      </c>
    </row>
    <row r="4504" spans="1:10" x14ac:dyDescent="0.35">
      <c r="A4504">
        <v>4488</v>
      </c>
      <c r="B4504" s="75">
        <v>90.110299999999995</v>
      </c>
      <c r="C4504" s="75">
        <v>96.340400000000002</v>
      </c>
      <c r="D4504" s="75">
        <v>92.108999999999995</v>
      </c>
      <c r="E4504" s="75">
        <v>91.623000000000005</v>
      </c>
      <c r="F4504">
        <v>-1837.11</v>
      </c>
      <c r="G4504">
        <v>2804.25</v>
      </c>
      <c r="H4504">
        <v>1414.1999999999998</v>
      </c>
      <c r="I4504">
        <v>1757.6000000000001</v>
      </c>
      <c r="J4504">
        <v>4138.9400000000005</v>
      </c>
    </row>
    <row r="4505" spans="1:10" x14ac:dyDescent="0.35">
      <c r="A4505">
        <v>4489</v>
      </c>
      <c r="B4505" s="75">
        <v>90.18</v>
      </c>
      <c r="C4505" s="75">
        <v>97.26</v>
      </c>
      <c r="D4505" s="75">
        <v>92.04</v>
      </c>
      <c r="E4505" s="75">
        <v>96.58</v>
      </c>
      <c r="F4505">
        <v>-2050.9500000000003</v>
      </c>
      <c r="G4505">
        <v>1419.3</v>
      </c>
      <c r="H4505">
        <v>1560.6</v>
      </c>
      <c r="I4505">
        <v>-3199</v>
      </c>
      <c r="J4505">
        <v>-2270.0500000000002</v>
      </c>
    </row>
    <row r="4506" spans="1:10" x14ac:dyDescent="0.35">
      <c r="A4506">
        <v>4490</v>
      </c>
      <c r="B4506" s="75">
        <v>89.204099999999997</v>
      </c>
      <c r="C4506" s="75">
        <v>97.515100000000004</v>
      </c>
      <c r="D4506" s="75">
        <v>93.454499999999996</v>
      </c>
      <c r="E4506" s="75">
        <v>93.942700000000002</v>
      </c>
      <c r="F4506">
        <v>1153.3499999999999</v>
      </c>
      <c r="G4506">
        <v>1042.2</v>
      </c>
      <c r="H4506">
        <v>-1276.8</v>
      </c>
      <c r="I4506">
        <v>-562.1</v>
      </c>
      <c r="J4506">
        <v>356.6500000000002</v>
      </c>
    </row>
    <row r="4507" spans="1:10" x14ac:dyDescent="0.35">
      <c r="A4507">
        <v>4491</v>
      </c>
      <c r="B4507" s="75">
        <v>89.94</v>
      </c>
      <c r="C4507" s="75">
        <v>96.86</v>
      </c>
      <c r="D4507" s="75">
        <v>91.91</v>
      </c>
      <c r="E4507" s="75">
        <v>94.54</v>
      </c>
      <c r="F4507">
        <v>-1277.1000000000001</v>
      </c>
      <c r="G4507">
        <v>2018.3999999999999</v>
      </c>
      <c r="H4507">
        <v>1808.6</v>
      </c>
      <c r="I4507">
        <v>-1159.8999999999999</v>
      </c>
      <c r="J4507">
        <v>1389.9999999999998</v>
      </c>
    </row>
    <row r="4508" spans="1:10" x14ac:dyDescent="0.35">
      <c r="A4508">
        <v>4492</v>
      </c>
      <c r="B4508" s="75">
        <v>89.296700000000001</v>
      </c>
      <c r="C4508" s="75">
        <v>98.042500000000004</v>
      </c>
      <c r="D4508" s="75">
        <v>93.661500000000004</v>
      </c>
      <c r="E4508" s="75">
        <v>92.843900000000005</v>
      </c>
      <c r="F4508">
        <v>847.7700000000001</v>
      </c>
      <c r="G4508">
        <v>251.1</v>
      </c>
      <c r="H4508">
        <v>-1690.8000000000002</v>
      </c>
      <c r="I4508">
        <v>536.69999999999993</v>
      </c>
      <c r="J4508">
        <v>-55.230000000000132</v>
      </c>
    </row>
    <row r="4509" spans="1:10" x14ac:dyDescent="0.35">
      <c r="A4509">
        <v>4493</v>
      </c>
      <c r="B4509" s="75">
        <v>89.2</v>
      </c>
      <c r="C4509" s="75">
        <v>97.55</v>
      </c>
      <c r="D4509" s="75">
        <v>93.37</v>
      </c>
      <c r="E4509" s="75">
        <v>92.39</v>
      </c>
      <c r="F4509">
        <v>1162.5899999999999</v>
      </c>
      <c r="G4509">
        <v>987.75</v>
      </c>
      <c r="H4509">
        <v>-1099.3999999999999</v>
      </c>
      <c r="I4509">
        <v>989.7</v>
      </c>
      <c r="J4509">
        <v>2040.6400000000003</v>
      </c>
    </row>
    <row r="4510" spans="1:10" x14ac:dyDescent="0.35">
      <c r="A4510">
        <v>4494</v>
      </c>
      <c r="B4510" s="75">
        <v>90.170900000000003</v>
      </c>
      <c r="C4510" s="75">
        <v>98.585099999999997</v>
      </c>
      <c r="D4510" s="75">
        <v>93.251900000000006</v>
      </c>
      <c r="E4510" s="75">
        <v>96.718900000000005</v>
      </c>
      <c r="F4510">
        <v>-2037.09</v>
      </c>
      <c r="G4510">
        <v>-562.79999999999995</v>
      </c>
      <c r="H4510">
        <v>-871.6</v>
      </c>
      <c r="I4510">
        <v>-3338.2999999999997</v>
      </c>
      <c r="J4510">
        <v>-6809.7899999999991</v>
      </c>
    </row>
    <row r="4511" spans="1:10" x14ac:dyDescent="0.35">
      <c r="A4511">
        <v>4495</v>
      </c>
      <c r="B4511" s="75">
        <v>88.89</v>
      </c>
      <c r="C4511" s="75">
        <v>97.58</v>
      </c>
      <c r="D4511" s="75">
        <v>91.89</v>
      </c>
      <c r="E4511" s="75">
        <v>94.66</v>
      </c>
      <c r="F4511">
        <v>2185.2600000000002</v>
      </c>
      <c r="G4511">
        <v>942.59999999999991</v>
      </c>
      <c r="H4511">
        <v>1846.8</v>
      </c>
      <c r="I4511">
        <v>-1277.3000000000002</v>
      </c>
      <c r="J4511">
        <v>3697.3599999999997</v>
      </c>
    </row>
    <row r="4512" spans="1:10" x14ac:dyDescent="0.35">
      <c r="A4512">
        <v>4496</v>
      </c>
      <c r="B4512" s="75">
        <v>89.157899999999998</v>
      </c>
      <c r="C4512" s="75">
        <v>98.162300000000002</v>
      </c>
      <c r="D4512" s="75">
        <v>93.003699999999995</v>
      </c>
      <c r="E4512" s="75">
        <v>92.857799999999997</v>
      </c>
      <c r="F4512">
        <v>1305.81</v>
      </c>
      <c r="G4512">
        <v>71.400000000000006</v>
      </c>
      <c r="H4512">
        <v>-375.2</v>
      </c>
      <c r="I4512">
        <v>522.80000000000007</v>
      </c>
      <c r="J4512">
        <v>1524.81</v>
      </c>
    </row>
    <row r="4513" spans="1:10" x14ac:dyDescent="0.35">
      <c r="A4513">
        <v>4497</v>
      </c>
      <c r="B4513" s="75">
        <v>88.43</v>
      </c>
      <c r="C4513" s="75">
        <v>98.81</v>
      </c>
      <c r="D4513" s="75">
        <v>94.5</v>
      </c>
      <c r="E4513" s="75">
        <v>92.83</v>
      </c>
      <c r="F4513">
        <v>3718.77</v>
      </c>
      <c r="G4513">
        <v>-895.95</v>
      </c>
      <c r="H4513">
        <v>-3368.2</v>
      </c>
      <c r="I4513">
        <v>554</v>
      </c>
      <c r="J4513">
        <v>8.6199999999998909</v>
      </c>
    </row>
    <row r="4514" spans="1:10" x14ac:dyDescent="0.35">
      <c r="A4514">
        <v>4498</v>
      </c>
      <c r="B4514" s="75">
        <v>90.192599999999999</v>
      </c>
      <c r="C4514" s="75">
        <v>98.593199999999996</v>
      </c>
      <c r="D4514" s="75">
        <v>92.365700000000004</v>
      </c>
      <c r="E4514" s="75">
        <v>94.859399999999994</v>
      </c>
      <c r="F4514">
        <v>-2108.6999999999998</v>
      </c>
      <c r="G4514">
        <v>-574.94999999999993</v>
      </c>
      <c r="H4514">
        <v>900.80000000000007</v>
      </c>
      <c r="I4514">
        <v>-1478.8</v>
      </c>
      <c r="J4514">
        <v>-3261.6499999999996</v>
      </c>
    </row>
    <row r="4515" spans="1:10" x14ac:dyDescent="0.35">
      <c r="A4515">
        <v>4499</v>
      </c>
      <c r="B4515" s="75">
        <v>89.58</v>
      </c>
      <c r="C4515" s="75">
        <v>97.16</v>
      </c>
      <c r="D4515" s="75">
        <v>92.46</v>
      </c>
      <c r="E4515" s="75">
        <v>90.33</v>
      </c>
      <c r="F4515">
        <v>-91.08</v>
      </c>
      <c r="G4515">
        <v>1576.6499999999999</v>
      </c>
      <c r="H4515">
        <v>712.4</v>
      </c>
      <c r="I4515">
        <v>3054.6000000000004</v>
      </c>
      <c r="J4515">
        <v>5252.57</v>
      </c>
    </row>
    <row r="4516" spans="1:10" x14ac:dyDescent="0.35">
      <c r="A4516">
        <v>4500</v>
      </c>
      <c r="B4516" s="75">
        <v>90.444999999999993</v>
      </c>
      <c r="C4516" s="75">
        <v>99.553399999999996</v>
      </c>
      <c r="D4516" s="75">
        <v>92.627899999999997</v>
      </c>
      <c r="E4516" s="75">
        <v>92.205299999999994</v>
      </c>
      <c r="F4516">
        <v>-2941.62</v>
      </c>
      <c r="G4516">
        <v>-2015.2499999999998</v>
      </c>
      <c r="H4516">
        <v>376.40000000000003</v>
      </c>
      <c r="I4516">
        <v>1175.3</v>
      </c>
      <c r="J4516">
        <v>-3405.17</v>
      </c>
    </row>
    <row r="4517" spans="1:10" x14ac:dyDescent="0.35">
      <c r="A4517">
        <v>4501</v>
      </c>
      <c r="B4517" s="75">
        <v>90.14</v>
      </c>
      <c r="C4517" s="75">
        <v>97.69</v>
      </c>
      <c r="D4517" s="75">
        <v>93.08</v>
      </c>
      <c r="E4517" s="75">
        <v>91.38</v>
      </c>
      <c r="F4517">
        <v>-1925.55</v>
      </c>
      <c r="G4517">
        <v>775.8</v>
      </c>
      <c r="H4517">
        <v>-527</v>
      </c>
      <c r="I4517">
        <v>1997.6000000000001</v>
      </c>
      <c r="J4517">
        <v>320.85000000000014</v>
      </c>
    </row>
    <row r="4518" spans="1:10" x14ac:dyDescent="0.35">
      <c r="A4518">
        <v>4502</v>
      </c>
      <c r="B4518" s="75">
        <v>89.333699999999993</v>
      </c>
      <c r="C4518" s="75">
        <v>99.772900000000007</v>
      </c>
      <c r="D4518" s="75">
        <v>93.902100000000004</v>
      </c>
      <c r="E4518" s="75">
        <v>94.380099999999999</v>
      </c>
      <c r="F4518">
        <v>725.67000000000007</v>
      </c>
      <c r="G4518">
        <v>-2344.5</v>
      </c>
      <c r="H4518">
        <v>-2172</v>
      </c>
      <c r="I4518">
        <v>-999.5</v>
      </c>
      <c r="J4518">
        <v>-4790.33</v>
      </c>
    </row>
    <row r="4519" spans="1:10" x14ac:dyDescent="0.35">
      <c r="A4519">
        <v>4503</v>
      </c>
      <c r="B4519" s="75">
        <v>88.88</v>
      </c>
      <c r="C4519" s="75">
        <v>97.29</v>
      </c>
      <c r="D4519" s="75">
        <v>93.16</v>
      </c>
      <c r="E4519" s="75">
        <v>93.24</v>
      </c>
      <c r="F4519">
        <v>2236.7399999999998</v>
      </c>
      <c r="G4519">
        <v>1378.65</v>
      </c>
      <c r="H4519">
        <v>-691.6</v>
      </c>
      <c r="I4519">
        <v>145.19999999999999</v>
      </c>
      <c r="J4519">
        <v>3068.99</v>
      </c>
    </row>
    <row r="4520" spans="1:10" x14ac:dyDescent="0.35">
      <c r="A4520">
        <v>4504</v>
      </c>
      <c r="B4520" s="75">
        <v>89.296999999999997</v>
      </c>
      <c r="C4520" s="75">
        <v>99.0595</v>
      </c>
      <c r="D4520" s="75">
        <v>91.6708</v>
      </c>
      <c r="E4520" s="75">
        <v>93.016900000000007</v>
      </c>
      <c r="F4520">
        <v>846.78</v>
      </c>
      <c r="G4520">
        <v>-1274.4000000000001</v>
      </c>
      <c r="H4520">
        <v>2290.6</v>
      </c>
      <c r="I4520">
        <v>363.70000000000005</v>
      </c>
      <c r="J4520">
        <v>2226.6799999999998</v>
      </c>
    </row>
    <row r="4521" spans="1:10" x14ac:dyDescent="0.35">
      <c r="A4521">
        <v>4505</v>
      </c>
      <c r="B4521" s="75">
        <v>89.05</v>
      </c>
      <c r="C4521" s="75">
        <v>99.03</v>
      </c>
      <c r="D4521" s="75">
        <v>93.13</v>
      </c>
      <c r="E4521" s="75">
        <v>95.53</v>
      </c>
      <c r="F4521">
        <v>1652.3100000000002</v>
      </c>
      <c r="G4521">
        <v>-1234.5</v>
      </c>
      <c r="H4521">
        <v>-621.19999999999993</v>
      </c>
      <c r="I4521">
        <v>-2150.1</v>
      </c>
      <c r="J4521">
        <v>-2353.4899999999998</v>
      </c>
    </row>
    <row r="4522" spans="1:10" x14ac:dyDescent="0.35">
      <c r="A4522">
        <v>4506</v>
      </c>
      <c r="B4522" s="75">
        <v>89.000200000000007</v>
      </c>
      <c r="C4522" s="75">
        <v>97.411299999999997</v>
      </c>
      <c r="D4522" s="75">
        <v>94.809399999999997</v>
      </c>
      <c r="E4522" s="75">
        <v>94.835899999999995</v>
      </c>
      <c r="F4522">
        <v>1826.22</v>
      </c>
      <c r="G4522">
        <v>1197.8999999999999</v>
      </c>
      <c r="H4522">
        <v>-3986.6000000000004</v>
      </c>
      <c r="I4522">
        <v>-1455.3</v>
      </c>
      <c r="J4522">
        <v>-2417.7800000000007</v>
      </c>
    </row>
    <row r="4523" spans="1:10" x14ac:dyDescent="0.35">
      <c r="A4523">
        <v>4507</v>
      </c>
      <c r="B4523" s="75">
        <v>90.3</v>
      </c>
      <c r="C4523" s="75">
        <v>99.43</v>
      </c>
      <c r="D4523" s="75">
        <v>92.08</v>
      </c>
      <c r="E4523" s="75">
        <v>93.76</v>
      </c>
      <c r="F4523">
        <v>-2477.31</v>
      </c>
      <c r="G4523">
        <v>-1829.85</v>
      </c>
      <c r="H4523">
        <v>1467.4</v>
      </c>
      <c r="I4523">
        <v>-381.29999999999995</v>
      </c>
      <c r="J4523">
        <v>-3221.0599999999995</v>
      </c>
    </row>
    <row r="4524" spans="1:10" x14ac:dyDescent="0.35">
      <c r="A4524">
        <v>4508</v>
      </c>
      <c r="B4524" s="75">
        <v>90.145399999999995</v>
      </c>
      <c r="C4524" s="75">
        <v>99.726100000000002</v>
      </c>
      <c r="D4524" s="75">
        <v>92.048400000000001</v>
      </c>
      <c r="E4524" s="75">
        <v>93.2089</v>
      </c>
      <c r="F4524">
        <v>-1952.94</v>
      </c>
      <c r="G4524">
        <v>-2274.3000000000002</v>
      </c>
      <c r="H4524">
        <v>1535.4</v>
      </c>
      <c r="I4524">
        <v>171.7</v>
      </c>
      <c r="J4524">
        <v>-2520.14</v>
      </c>
    </row>
    <row r="4525" spans="1:10" x14ac:dyDescent="0.35">
      <c r="A4525">
        <v>4509</v>
      </c>
      <c r="B4525" s="75">
        <v>88.77</v>
      </c>
      <c r="C4525" s="75">
        <v>98.68</v>
      </c>
      <c r="D4525" s="75">
        <v>92.45</v>
      </c>
      <c r="E4525" s="75">
        <v>90.02</v>
      </c>
      <c r="F4525">
        <v>2588.52</v>
      </c>
      <c r="G4525">
        <v>-703.65</v>
      </c>
      <c r="H4525">
        <v>738.4</v>
      </c>
      <c r="I4525">
        <v>3357.2000000000003</v>
      </c>
      <c r="J4525">
        <v>5980.47</v>
      </c>
    </row>
    <row r="4526" spans="1:10" x14ac:dyDescent="0.35">
      <c r="A4526">
        <v>4510</v>
      </c>
      <c r="B4526" s="75">
        <v>89.933800000000005</v>
      </c>
      <c r="C4526" s="75">
        <v>99.293800000000005</v>
      </c>
      <c r="D4526" s="75">
        <v>92.873199999999997</v>
      </c>
      <c r="E4526" s="75">
        <v>94.095299999999995</v>
      </c>
      <c r="F4526">
        <v>-1254.6599999999999</v>
      </c>
      <c r="G4526">
        <v>-1625.8500000000001</v>
      </c>
      <c r="H4526">
        <v>-114.2</v>
      </c>
      <c r="I4526">
        <v>-714.7</v>
      </c>
      <c r="J4526">
        <v>-3709.41</v>
      </c>
    </row>
    <row r="4527" spans="1:10" x14ac:dyDescent="0.35">
      <c r="A4527">
        <v>4511</v>
      </c>
      <c r="B4527" s="75">
        <v>89.07</v>
      </c>
      <c r="C4527" s="75">
        <v>99.6</v>
      </c>
      <c r="D4527" s="75">
        <v>92.03</v>
      </c>
      <c r="E4527" s="75">
        <v>92.54</v>
      </c>
      <c r="F4527">
        <v>1610.73</v>
      </c>
      <c r="G4527">
        <v>-2085.6</v>
      </c>
      <c r="H4527">
        <v>1562.4</v>
      </c>
      <c r="I4527">
        <v>842.6</v>
      </c>
      <c r="J4527">
        <v>1930.13</v>
      </c>
    </row>
    <row r="4528" spans="1:10" x14ac:dyDescent="0.35">
      <c r="A4528">
        <v>4512</v>
      </c>
      <c r="B4528" s="75">
        <v>88.987399999999994</v>
      </c>
      <c r="C4528" s="75">
        <v>99.252099999999999</v>
      </c>
      <c r="D4528" s="75">
        <v>93.628799999999998</v>
      </c>
      <c r="E4528" s="75">
        <v>94.431299999999993</v>
      </c>
      <c r="F4528">
        <v>1868.46</v>
      </c>
      <c r="G4528">
        <v>-1563.3</v>
      </c>
      <c r="H4528">
        <v>-1625.3999999999999</v>
      </c>
      <c r="I4528">
        <v>-1050.7</v>
      </c>
      <c r="J4528">
        <v>-2370.9399999999996</v>
      </c>
    </row>
    <row r="4529" spans="1:10" x14ac:dyDescent="0.35">
      <c r="A4529">
        <v>4513</v>
      </c>
      <c r="B4529" s="75">
        <v>89.66</v>
      </c>
      <c r="C4529" s="75">
        <v>98.2</v>
      </c>
      <c r="D4529" s="75">
        <v>93.65</v>
      </c>
      <c r="E4529" s="75">
        <v>93.22</v>
      </c>
      <c r="F4529">
        <v>-339.24</v>
      </c>
      <c r="G4529">
        <v>8.6999999999999993</v>
      </c>
      <c r="H4529">
        <v>-1672.1999999999998</v>
      </c>
      <c r="I4529">
        <v>165.20000000000002</v>
      </c>
      <c r="J4529">
        <v>-1837.5399999999997</v>
      </c>
    </row>
    <row r="4530" spans="1:10" x14ac:dyDescent="0.35">
      <c r="A4530">
        <v>4514</v>
      </c>
      <c r="B4530" s="75">
        <v>89.059399999999997</v>
      </c>
      <c r="C4530" s="75">
        <v>99.489800000000002</v>
      </c>
      <c r="D4530" s="75">
        <v>93.721100000000007</v>
      </c>
      <c r="E4530" s="75">
        <v>93.777299999999997</v>
      </c>
      <c r="F4530">
        <v>1630.86</v>
      </c>
      <c r="G4530">
        <v>-1919.8500000000001</v>
      </c>
      <c r="H4530">
        <v>-1810</v>
      </c>
      <c r="I4530">
        <v>-396.7</v>
      </c>
      <c r="J4530">
        <v>-2495.69</v>
      </c>
    </row>
    <row r="4531" spans="1:10" x14ac:dyDescent="0.35">
      <c r="A4531">
        <v>4515</v>
      </c>
      <c r="B4531" s="75">
        <v>88.97</v>
      </c>
      <c r="C4531" s="75">
        <v>98.1</v>
      </c>
      <c r="D4531" s="75">
        <v>91.4</v>
      </c>
      <c r="E4531" s="75">
        <v>93.27</v>
      </c>
      <c r="F4531">
        <v>1911.69</v>
      </c>
      <c r="G4531">
        <v>160.35</v>
      </c>
      <c r="H4531">
        <v>2829.8</v>
      </c>
      <c r="I4531">
        <v>108.7</v>
      </c>
      <c r="J4531">
        <v>5010.54</v>
      </c>
    </row>
    <row r="4532" spans="1:10" x14ac:dyDescent="0.35">
      <c r="A4532">
        <v>4516</v>
      </c>
      <c r="B4532" s="75">
        <v>89.172899999999998</v>
      </c>
      <c r="C4532" s="75">
        <v>97.500500000000002</v>
      </c>
      <c r="D4532" s="75">
        <v>92.124899999999997</v>
      </c>
      <c r="E4532" s="75">
        <v>92.649199999999993</v>
      </c>
      <c r="F4532">
        <v>1256.31</v>
      </c>
      <c r="G4532">
        <v>1064.1000000000001</v>
      </c>
      <c r="H4532">
        <v>1382.4</v>
      </c>
      <c r="I4532">
        <v>731.40000000000009</v>
      </c>
      <c r="J4532">
        <v>4434.21</v>
      </c>
    </row>
    <row r="4533" spans="1:10" x14ac:dyDescent="0.35">
      <c r="A4533">
        <v>4517</v>
      </c>
      <c r="B4533" s="75">
        <v>89.72</v>
      </c>
      <c r="C4533" s="75">
        <v>98.24</v>
      </c>
      <c r="D4533" s="75">
        <v>90.69</v>
      </c>
      <c r="E4533" s="75">
        <v>93.57</v>
      </c>
      <c r="F4533">
        <v>-543.84</v>
      </c>
      <c r="G4533">
        <v>-40.65</v>
      </c>
      <c r="H4533">
        <v>4250</v>
      </c>
      <c r="I4533">
        <v>-185</v>
      </c>
      <c r="J4533">
        <v>3480.51</v>
      </c>
    </row>
    <row r="4534" spans="1:10" x14ac:dyDescent="0.35">
      <c r="A4534">
        <v>4518</v>
      </c>
      <c r="B4534" s="75">
        <v>90.090400000000002</v>
      </c>
      <c r="C4534" s="75">
        <v>97.105500000000006</v>
      </c>
      <c r="D4534" s="75">
        <v>93.639300000000006</v>
      </c>
      <c r="E4534" s="75">
        <v>95.316500000000005</v>
      </c>
      <c r="F4534">
        <v>-1771.4400000000003</v>
      </c>
      <c r="G4534">
        <v>1656.6000000000001</v>
      </c>
      <c r="H4534">
        <v>-1646.4</v>
      </c>
      <c r="I4534">
        <v>-1935.8999999999999</v>
      </c>
      <c r="J4534">
        <v>-3697.1400000000003</v>
      </c>
    </row>
    <row r="4535" spans="1:10" x14ac:dyDescent="0.35">
      <c r="A4535">
        <v>4519</v>
      </c>
      <c r="B4535" s="75">
        <v>89.91</v>
      </c>
      <c r="C4535" s="75">
        <v>97.88</v>
      </c>
      <c r="D4535" s="75">
        <v>92.82</v>
      </c>
      <c r="E4535" s="75">
        <v>93.04</v>
      </c>
      <c r="F4535">
        <v>-1170.18</v>
      </c>
      <c r="G4535">
        <v>500.25</v>
      </c>
      <c r="H4535">
        <v>-17</v>
      </c>
      <c r="I4535">
        <v>340.7</v>
      </c>
      <c r="J4535">
        <v>-346.23000000000008</v>
      </c>
    </row>
    <row r="4536" spans="1:10" x14ac:dyDescent="0.35">
      <c r="A4536">
        <v>4520</v>
      </c>
      <c r="B4536" s="75">
        <v>89.267300000000006</v>
      </c>
      <c r="C4536" s="75">
        <v>97.561999999999998</v>
      </c>
      <c r="D4536" s="75">
        <v>92.2547</v>
      </c>
      <c r="E4536" s="75">
        <v>93.673500000000004</v>
      </c>
      <c r="F4536">
        <v>944.79</v>
      </c>
      <c r="G4536">
        <v>971.85</v>
      </c>
      <c r="H4536">
        <v>1122.8</v>
      </c>
      <c r="I4536">
        <v>-292.89999999999998</v>
      </c>
      <c r="J4536">
        <v>2746.5399999999995</v>
      </c>
    </row>
    <row r="4537" spans="1:10" x14ac:dyDescent="0.35">
      <c r="A4537">
        <v>4521</v>
      </c>
      <c r="B4537" s="75">
        <v>88.85</v>
      </c>
      <c r="C4537" s="75">
        <v>96.63</v>
      </c>
      <c r="D4537" s="75">
        <v>93.82</v>
      </c>
      <c r="E4537" s="75">
        <v>93.87</v>
      </c>
      <c r="F4537">
        <v>2326.5</v>
      </c>
      <c r="G4537">
        <v>2363.5500000000002</v>
      </c>
      <c r="H4537">
        <v>-2003.2</v>
      </c>
      <c r="I4537">
        <v>-490.4</v>
      </c>
      <c r="J4537">
        <v>2196.4500000000003</v>
      </c>
    </row>
    <row r="4538" spans="1:10" x14ac:dyDescent="0.35">
      <c r="A4538">
        <v>4522</v>
      </c>
      <c r="B4538" s="75">
        <v>90.131299999999996</v>
      </c>
      <c r="C4538" s="75">
        <v>99.3339</v>
      </c>
      <c r="D4538" s="75">
        <v>92.010900000000007</v>
      </c>
      <c r="E4538" s="75">
        <v>92.829599999999999</v>
      </c>
      <c r="F4538">
        <v>-1906.41</v>
      </c>
      <c r="G4538">
        <v>-1686.0000000000002</v>
      </c>
      <c r="H4538">
        <v>1610.4</v>
      </c>
      <c r="I4538">
        <v>551</v>
      </c>
      <c r="J4538">
        <v>-1431.0100000000002</v>
      </c>
    </row>
    <row r="4539" spans="1:10" x14ac:dyDescent="0.35">
      <c r="A4539">
        <v>4523</v>
      </c>
      <c r="B4539" s="75">
        <v>89.89</v>
      </c>
      <c r="C4539" s="75">
        <v>97.99</v>
      </c>
      <c r="D4539" s="75">
        <v>92.56</v>
      </c>
      <c r="E4539" s="75">
        <v>93.56</v>
      </c>
      <c r="F4539">
        <v>-1098.57</v>
      </c>
      <c r="G4539">
        <v>331.2</v>
      </c>
      <c r="H4539">
        <v>511.60000000000008</v>
      </c>
      <c r="I4539">
        <v>-182.29999999999998</v>
      </c>
      <c r="J4539">
        <v>-438.06999999999982</v>
      </c>
    </row>
    <row r="4540" spans="1:10" x14ac:dyDescent="0.35">
      <c r="A4540">
        <v>4524</v>
      </c>
      <c r="B4540" s="75">
        <v>89.007800000000003</v>
      </c>
      <c r="C4540" s="75">
        <v>98.501499999999993</v>
      </c>
      <c r="D4540" s="75">
        <v>93.014399999999995</v>
      </c>
      <c r="E4540" s="75">
        <v>93.922200000000004</v>
      </c>
      <c r="F4540">
        <v>1801.1399999999999</v>
      </c>
      <c r="G4540">
        <v>-437.40000000000003</v>
      </c>
      <c r="H4540">
        <v>-396.6</v>
      </c>
      <c r="I4540">
        <v>-541.6</v>
      </c>
      <c r="J4540">
        <v>425.53999999999974</v>
      </c>
    </row>
    <row r="4541" spans="1:10" x14ac:dyDescent="0.35">
      <c r="A4541">
        <v>4525</v>
      </c>
      <c r="B4541" s="75">
        <v>89.74</v>
      </c>
      <c r="C4541" s="75">
        <v>98.14</v>
      </c>
      <c r="D4541" s="75">
        <v>93.6</v>
      </c>
      <c r="E4541" s="75">
        <v>92.15</v>
      </c>
      <c r="F4541">
        <v>-607.20000000000005</v>
      </c>
      <c r="G4541">
        <v>107.10000000000001</v>
      </c>
      <c r="H4541">
        <v>-1559.8000000000002</v>
      </c>
      <c r="I4541">
        <v>1229.5</v>
      </c>
      <c r="J4541">
        <v>-830.40000000000009</v>
      </c>
    </row>
    <row r="4542" spans="1:10" x14ac:dyDescent="0.35">
      <c r="A4542">
        <v>4526</v>
      </c>
      <c r="B4542" s="75">
        <v>89.844200000000001</v>
      </c>
      <c r="C4542" s="75">
        <v>97.479600000000005</v>
      </c>
      <c r="D4542" s="75">
        <v>93.652299999999997</v>
      </c>
      <c r="E4542" s="75">
        <v>91.848600000000005</v>
      </c>
      <c r="F4542">
        <v>-958.98000000000013</v>
      </c>
      <c r="G4542">
        <v>1095.4499999999998</v>
      </c>
      <c r="H4542">
        <v>-1672.4</v>
      </c>
      <c r="I4542">
        <v>1532</v>
      </c>
      <c r="J4542">
        <v>-3.930000000000291</v>
      </c>
    </row>
    <row r="4543" spans="1:10" x14ac:dyDescent="0.35">
      <c r="A4543">
        <v>4527</v>
      </c>
      <c r="B4543" s="75">
        <v>88.72</v>
      </c>
      <c r="C4543" s="75">
        <v>99.05</v>
      </c>
      <c r="D4543" s="75">
        <v>91.81</v>
      </c>
      <c r="E4543" s="75">
        <v>95.16</v>
      </c>
      <c r="F4543">
        <v>2753.52</v>
      </c>
      <c r="G4543">
        <v>-1265.7</v>
      </c>
      <c r="H4543">
        <v>2011.4</v>
      </c>
      <c r="I4543">
        <v>-1774.6</v>
      </c>
      <c r="J4543">
        <v>1724.6200000000003</v>
      </c>
    </row>
    <row r="4544" spans="1:10" x14ac:dyDescent="0.35">
      <c r="A4544">
        <v>4528</v>
      </c>
      <c r="B4544" s="75">
        <v>89.384200000000007</v>
      </c>
      <c r="C4544" s="75">
        <v>96.460800000000006</v>
      </c>
      <c r="D4544" s="75">
        <v>92.736099999999993</v>
      </c>
      <c r="E4544" s="75">
        <v>92.7834</v>
      </c>
      <c r="F4544">
        <v>559.02</v>
      </c>
      <c r="G4544">
        <v>2623.65</v>
      </c>
      <c r="H4544">
        <v>160</v>
      </c>
      <c r="I4544">
        <v>597.19999999999993</v>
      </c>
      <c r="J4544">
        <v>3939.87</v>
      </c>
    </row>
    <row r="4545" spans="1:10" x14ac:dyDescent="0.35">
      <c r="A4545">
        <v>4529</v>
      </c>
      <c r="B4545" s="75">
        <v>89.84</v>
      </c>
      <c r="C4545" s="75">
        <v>98.37</v>
      </c>
      <c r="D4545" s="75">
        <v>91.56</v>
      </c>
      <c r="E4545" s="75">
        <v>93.57</v>
      </c>
      <c r="F4545">
        <v>-936.54</v>
      </c>
      <c r="G4545">
        <v>-240.89999999999998</v>
      </c>
      <c r="H4545">
        <v>2512</v>
      </c>
      <c r="I4545">
        <v>-186</v>
      </c>
      <c r="J4545">
        <v>1148.56</v>
      </c>
    </row>
    <row r="4546" spans="1:10" x14ac:dyDescent="0.35">
      <c r="A4546">
        <v>4530</v>
      </c>
      <c r="B4546" s="75">
        <v>89.463800000000006</v>
      </c>
      <c r="C4546" s="75">
        <v>97.847899999999996</v>
      </c>
      <c r="D4546" s="75">
        <v>92.612399999999994</v>
      </c>
      <c r="E4546" s="75">
        <v>90.5608</v>
      </c>
      <c r="F4546">
        <v>296.34000000000003</v>
      </c>
      <c r="G4546">
        <v>543</v>
      </c>
      <c r="H4546">
        <v>407.4</v>
      </c>
      <c r="I4546">
        <v>2819.7999999999997</v>
      </c>
      <c r="J4546">
        <v>4066.54</v>
      </c>
    </row>
    <row r="4547" spans="1:10" x14ac:dyDescent="0.35">
      <c r="A4547">
        <v>4531</v>
      </c>
      <c r="B4547" s="75">
        <v>89.41</v>
      </c>
      <c r="C4547" s="75">
        <v>97.97</v>
      </c>
      <c r="D4547" s="75">
        <v>92.57</v>
      </c>
      <c r="E4547" s="75">
        <v>90.98</v>
      </c>
      <c r="F4547">
        <v>478.49999999999994</v>
      </c>
      <c r="G4547">
        <v>364.65000000000003</v>
      </c>
      <c r="H4547">
        <v>492.8</v>
      </c>
      <c r="I4547">
        <v>2402.5</v>
      </c>
      <c r="J4547">
        <v>3738.45</v>
      </c>
    </row>
    <row r="4548" spans="1:10" x14ac:dyDescent="0.35">
      <c r="A4548">
        <v>4532</v>
      </c>
      <c r="B4548" s="75">
        <v>89.857200000000006</v>
      </c>
      <c r="C4548" s="75">
        <v>98.436800000000005</v>
      </c>
      <c r="D4548" s="75">
        <v>92.356800000000007</v>
      </c>
      <c r="E4548" s="75">
        <v>92.778499999999994</v>
      </c>
      <c r="F4548">
        <v>-1001.8799999999999</v>
      </c>
      <c r="G4548">
        <v>-340.34999999999997</v>
      </c>
      <c r="H4548">
        <v>918.6</v>
      </c>
      <c r="I4548">
        <v>602.1</v>
      </c>
      <c r="J4548">
        <v>178.47000000000025</v>
      </c>
    </row>
    <row r="4549" spans="1:10" x14ac:dyDescent="0.35">
      <c r="A4549">
        <v>4533</v>
      </c>
      <c r="B4549" s="75">
        <v>89.48</v>
      </c>
      <c r="C4549" s="75">
        <v>97.91</v>
      </c>
      <c r="D4549" s="75">
        <v>92.58</v>
      </c>
      <c r="E4549" s="75">
        <v>93.73</v>
      </c>
      <c r="F4549">
        <v>241.56</v>
      </c>
      <c r="G4549">
        <v>447.3</v>
      </c>
      <c r="H4549">
        <v>473</v>
      </c>
      <c r="I4549">
        <v>-345.5</v>
      </c>
      <c r="J4549">
        <v>816.36000000000013</v>
      </c>
    </row>
    <row r="4550" spans="1:10" x14ac:dyDescent="0.35">
      <c r="A4550">
        <v>4534</v>
      </c>
      <c r="B4550" s="75">
        <v>89.921199999999999</v>
      </c>
      <c r="C4550" s="75">
        <v>98.385499999999993</v>
      </c>
      <c r="D4550" s="75">
        <v>91.805999999999997</v>
      </c>
      <c r="E4550" s="75">
        <v>93.892499999999998</v>
      </c>
      <c r="F4550">
        <v>-1213.08</v>
      </c>
      <c r="G4550">
        <v>-263.40000000000003</v>
      </c>
      <c r="H4550">
        <v>2020.2</v>
      </c>
      <c r="I4550">
        <v>-511.90000000000003</v>
      </c>
      <c r="J4550">
        <v>31.819999999999993</v>
      </c>
    </row>
    <row r="4551" spans="1:10" x14ac:dyDescent="0.35">
      <c r="A4551">
        <v>4535</v>
      </c>
      <c r="B4551" s="75">
        <v>89.05</v>
      </c>
      <c r="C4551" s="75">
        <v>98.05</v>
      </c>
      <c r="D4551" s="75">
        <v>93.27</v>
      </c>
      <c r="E4551" s="75">
        <v>92.95</v>
      </c>
      <c r="F4551">
        <v>1673.43</v>
      </c>
      <c r="G4551">
        <v>233.7</v>
      </c>
      <c r="H4551">
        <v>-911.4</v>
      </c>
      <c r="I4551">
        <v>428.3</v>
      </c>
      <c r="J4551">
        <v>1424.0300000000002</v>
      </c>
    </row>
    <row r="4552" spans="1:10" x14ac:dyDescent="0.35">
      <c r="A4552">
        <v>4536</v>
      </c>
      <c r="B4552" s="75">
        <v>89.1935</v>
      </c>
      <c r="C4552" s="75">
        <v>98.320499999999996</v>
      </c>
      <c r="D4552" s="75">
        <v>93.200100000000006</v>
      </c>
      <c r="E4552" s="75">
        <v>95.449700000000007</v>
      </c>
      <c r="F4552">
        <v>1188.33</v>
      </c>
      <c r="G4552">
        <v>-165.9</v>
      </c>
      <c r="H4552">
        <v>-768</v>
      </c>
      <c r="I4552">
        <v>-2069.1000000000004</v>
      </c>
      <c r="J4552">
        <v>-1814.6700000000005</v>
      </c>
    </row>
    <row r="4553" spans="1:10" x14ac:dyDescent="0.35">
      <c r="A4553">
        <v>4537</v>
      </c>
      <c r="B4553" s="75">
        <v>90.5</v>
      </c>
      <c r="C4553" s="75">
        <v>97.96</v>
      </c>
      <c r="D4553" s="75">
        <v>92.25</v>
      </c>
      <c r="E4553" s="75">
        <v>95.62</v>
      </c>
      <c r="F4553">
        <v>-3130.71</v>
      </c>
      <c r="G4553">
        <v>377.25</v>
      </c>
      <c r="H4553">
        <v>1129.5999999999999</v>
      </c>
      <c r="I4553">
        <v>-2235.3000000000002</v>
      </c>
      <c r="J4553">
        <v>-3859.1600000000003</v>
      </c>
    </row>
    <row r="4554" spans="1:10" x14ac:dyDescent="0.35">
      <c r="A4554">
        <v>4538</v>
      </c>
      <c r="B4554" s="75">
        <v>89.939400000000006</v>
      </c>
      <c r="C4554" s="75">
        <v>97.304100000000005</v>
      </c>
      <c r="D4554" s="75">
        <v>93.037999999999997</v>
      </c>
      <c r="E4554" s="75">
        <v>93.677199999999999</v>
      </c>
      <c r="F4554">
        <v>-1273.1399999999999</v>
      </c>
      <c r="G4554">
        <v>1358.7</v>
      </c>
      <c r="H4554">
        <v>-443.79999999999995</v>
      </c>
      <c r="I4554">
        <v>-296.59999999999997</v>
      </c>
      <c r="J4554">
        <v>-654.83999999999969</v>
      </c>
    </row>
    <row r="4555" spans="1:10" x14ac:dyDescent="0.35">
      <c r="A4555">
        <v>4539</v>
      </c>
      <c r="B4555" s="75">
        <v>89.44</v>
      </c>
      <c r="C4555" s="75">
        <v>96.89</v>
      </c>
      <c r="D4555" s="75">
        <v>92.28</v>
      </c>
      <c r="E4555" s="75">
        <v>92.49</v>
      </c>
      <c r="F4555">
        <v>375.54</v>
      </c>
      <c r="G4555">
        <v>1972.6499999999999</v>
      </c>
      <c r="H4555">
        <v>1068.5999999999999</v>
      </c>
      <c r="I4555">
        <v>889.59999999999991</v>
      </c>
      <c r="J4555">
        <v>4306.3899999999994</v>
      </c>
    </row>
    <row r="4556" spans="1:10" x14ac:dyDescent="0.35">
      <c r="A4556">
        <v>4540</v>
      </c>
      <c r="B4556" s="75">
        <v>89.301599999999993</v>
      </c>
      <c r="C4556" s="75">
        <v>98.122600000000006</v>
      </c>
      <c r="D4556" s="75">
        <v>91.502600000000001</v>
      </c>
      <c r="E4556" s="75">
        <v>95.028599999999997</v>
      </c>
      <c r="F4556">
        <v>831.6</v>
      </c>
      <c r="G4556">
        <v>130.95000000000002</v>
      </c>
      <c r="H4556">
        <v>2627</v>
      </c>
      <c r="I4556">
        <v>-1648</v>
      </c>
      <c r="J4556">
        <v>1941.5500000000002</v>
      </c>
    </row>
    <row r="4557" spans="1:10" x14ac:dyDescent="0.35">
      <c r="A4557">
        <v>4541</v>
      </c>
      <c r="B4557" s="75">
        <v>89.83</v>
      </c>
      <c r="C4557" s="75">
        <v>97.83</v>
      </c>
      <c r="D4557" s="75">
        <v>94.31</v>
      </c>
      <c r="E4557" s="75">
        <v>92.53</v>
      </c>
      <c r="F4557">
        <v>-924.66</v>
      </c>
      <c r="G4557">
        <v>567</v>
      </c>
      <c r="H4557">
        <v>-2982.4</v>
      </c>
      <c r="I4557">
        <v>849.5</v>
      </c>
      <c r="J4557">
        <v>-2490.56</v>
      </c>
    </row>
    <row r="4558" spans="1:10" x14ac:dyDescent="0.35">
      <c r="A4558">
        <v>4542</v>
      </c>
      <c r="B4558" s="75">
        <v>90.2346</v>
      </c>
      <c r="C4558" s="75">
        <v>99.145799999999994</v>
      </c>
      <c r="D4558" s="75">
        <v>91.9114</v>
      </c>
      <c r="E4558" s="75">
        <v>94.6541</v>
      </c>
      <c r="F4558">
        <v>-2247.3000000000002</v>
      </c>
      <c r="G4558">
        <v>-1403.85</v>
      </c>
      <c r="H4558">
        <v>1809.3999999999999</v>
      </c>
      <c r="I4558">
        <v>-1273.5</v>
      </c>
      <c r="J4558">
        <v>-3115.25</v>
      </c>
    </row>
    <row r="4559" spans="1:10" x14ac:dyDescent="0.35">
      <c r="A4559">
        <v>4543</v>
      </c>
      <c r="B4559" s="75">
        <v>89.72</v>
      </c>
      <c r="C4559" s="75">
        <v>98.36</v>
      </c>
      <c r="D4559" s="75">
        <v>95.59</v>
      </c>
      <c r="E4559" s="75">
        <v>91.65</v>
      </c>
      <c r="F4559">
        <v>-534.92999999999995</v>
      </c>
      <c r="G4559">
        <v>-227.10000000000002</v>
      </c>
      <c r="H4559">
        <v>-5550.4</v>
      </c>
      <c r="I4559">
        <v>1734.3</v>
      </c>
      <c r="J4559">
        <v>-4578.1299999999992</v>
      </c>
    </row>
    <row r="4560" spans="1:10" x14ac:dyDescent="0.35">
      <c r="A4560">
        <v>4544</v>
      </c>
      <c r="B4560" s="75">
        <v>90.806799999999996</v>
      </c>
      <c r="C4560" s="75">
        <v>99.132199999999997</v>
      </c>
      <c r="D4560" s="75">
        <v>94.408299999999997</v>
      </c>
      <c r="E4560" s="75">
        <v>93.694199999999995</v>
      </c>
      <c r="F4560">
        <v>-4135.5600000000004</v>
      </c>
      <c r="G4560">
        <v>-1383.45</v>
      </c>
      <c r="H4560">
        <v>-3184.4</v>
      </c>
      <c r="I4560">
        <v>-313.59999999999997</v>
      </c>
      <c r="J4560">
        <v>-9017.01</v>
      </c>
    </row>
    <row r="4561" spans="1:10" x14ac:dyDescent="0.35">
      <c r="A4561">
        <v>4545</v>
      </c>
      <c r="B4561" s="75">
        <v>88.87</v>
      </c>
      <c r="C4561" s="75">
        <v>98.4</v>
      </c>
      <c r="D4561" s="75">
        <v>93.9</v>
      </c>
      <c r="E4561" s="75">
        <v>94.16</v>
      </c>
      <c r="F4561">
        <v>2252.25</v>
      </c>
      <c r="G4561">
        <v>-289.8</v>
      </c>
      <c r="H4561">
        <v>-2166.4</v>
      </c>
      <c r="I4561">
        <v>-776.80000000000007</v>
      </c>
      <c r="J4561">
        <v>-980.75000000000011</v>
      </c>
    </row>
    <row r="4562" spans="1:10" x14ac:dyDescent="0.35">
      <c r="A4562">
        <v>4546</v>
      </c>
      <c r="B4562" s="75">
        <v>90.487300000000005</v>
      </c>
      <c r="C4562" s="75">
        <v>97.383499999999998</v>
      </c>
      <c r="D4562" s="75">
        <v>91.825400000000002</v>
      </c>
      <c r="E4562" s="75">
        <v>93.014799999999994</v>
      </c>
      <c r="F4562">
        <v>-3081.21</v>
      </c>
      <c r="G4562">
        <v>1239.6000000000001</v>
      </c>
      <c r="H4562">
        <v>1981.4</v>
      </c>
      <c r="I4562">
        <v>365.8</v>
      </c>
      <c r="J4562">
        <v>505.5900000000002</v>
      </c>
    </row>
    <row r="4563" spans="1:10" x14ac:dyDescent="0.35">
      <c r="A4563">
        <v>4547</v>
      </c>
      <c r="B4563" s="75">
        <v>89.66</v>
      </c>
      <c r="C4563" s="75">
        <v>97.77</v>
      </c>
      <c r="D4563" s="75">
        <v>91.94</v>
      </c>
      <c r="E4563" s="75">
        <v>94.82</v>
      </c>
      <c r="F4563">
        <v>-350.79</v>
      </c>
      <c r="G4563">
        <v>653.1</v>
      </c>
      <c r="H4563">
        <v>1752.8</v>
      </c>
      <c r="I4563">
        <v>-1440.8000000000002</v>
      </c>
      <c r="J4563">
        <v>614.30999999999995</v>
      </c>
    </row>
    <row r="4564" spans="1:10" x14ac:dyDescent="0.35">
      <c r="A4564">
        <v>4548</v>
      </c>
      <c r="B4564" s="75">
        <v>88.761499999999998</v>
      </c>
      <c r="C4564" s="75">
        <v>98.961500000000001</v>
      </c>
      <c r="D4564" s="75">
        <v>93.997799999999998</v>
      </c>
      <c r="E4564" s="75">
        <v>95.5946</v>
      </c>
      <c r="F4564">
        <v>2613.9300000000003</v>
      </c>
      <c r="G4564">
        <v>-1127.4000000000001</v>
      </c>
      <c r="H4564">
        <v>-2363.4</v>
      </c>
      <c r="I4564">
        <v>-2214</v>
      </c>
      <c r="J4564">
        <v>-3090.87</v>
      </c>
    </row>
    <row r="4565" spans="1:10" x14ac:dyDescent="0.35">
      <c r="A4565">
        <v>4549</v>
      </c>
      <c r="B4565" s="75">
        <v>88.81</v>
      </c>
      <c r="C4565" s="75">
        <v>97.21</v>
      </c>
      <c r="D4565" s="75">
        <v>91.77</v>
      </c>
      <c r="E4565" s="75">
        <v>91.96</v>
      </c>
      <c r="F4565">
        <v>2458.17</v>
      </c>
      <c r="G4565">
        <v>1495.05</v>
      </c>
      <c r="H4565">
        <v>2092.4</v>
      </c>
      <c r="I4565">
        <v>1418.4</v>
      </c>
      <c r="J4565">
        <v>7464.02</v>
      </c>
    </row>
    <row r="4566" spans="1:10" x14ac:dyDescent="0.35">
      <c r="A4566">
        <v>4550</v>
      </c>
      <c r="B4566" s="75">
        <v>89.641499999999994</v>
      </c>
      <c r="C4566" s="75">
        <v>100.2479</v>
      </c>
      <c r="D4566" s="75">
        <v>92.62</v>
      </c>
      <c r="E4566" s="75">
        <v>95.361400000000003</v>
      </c>
      <c r="F4566">
        <v>-290.07</v>
      </c>
      <c r="G4566">
        <v>-3056.9999999999995</v>
      </c>
      <c r="H4566">
        <v>392.2</v>
      </c>
      <c r="I4566">
        <v>-1980.8</v>
      </c>
      <c r="J4566">
        <v>-4935.67</v>
      </c>
    </row>
    <row r="4567" spans="1:10" x14ac:dyDescent="0.35">
      <c r="A4567">
        <v>4551</v>
      </c>
      <c r="B4567" s="75">
        <v>89.42</v>
      </c>
      <c r="C4567" s="75">
        <v>99.17</v>
      </c>
      <c r="D4567" s="75">
        <v>92.38</v>
      </c>
      <c r="E4567" s="75">
        <v>93.42</v>
      </c>
      <c r="F4567">
        <v>441.21000000000004</v>
      </c>
      <c r="G4567">
        <v>-1440.45</v>
      </c>
      <c r="H4567">
        <v>879.19999999999993</v>
      </c>
      <c r="I4567">
        <v>-35</v>
      </c>
      <c r="J4567">
        <v>-155.04000000000008</v>
      </c>
    </row>
    <row r="4568" spans="1:10" x14ac:dyDescent="0.35">
      <c r="A4568">
        <v>4552</v>
      </c>
      <c r="B4568" s="75">
        <v>90.005300000000005</v>
      </c>
      <c r="C4568" s="75">
        <v>98.026799999999994</v>
      </c>
      <c r="D4568" s="75">
        <v>90.269300000000001</v>
      </c>
      <c r="E4568" s="75">
        <v>92.6892</v>
      </c>
      <c r="F4568">
        <v>-1490.61</v>
      </c>
      <c r="G4568">
        <v>274.65000000000003</v>
      </c>
      <c r="H4568">
        <v>5093.6000000000004</v>
      </c>
      <c r="I4568">
        <v>691.4</v>
      </c>
      <c r="J4568">
        <v>4569.04</v>
      </c>
    </row>
    <row r="4569" spans="1:10" x14ac:dyDescent="0.35">
      <c r="A4569">
        <v>4553</v>
      </c>
      <c r="B4569" s="75">
        <v>89.41</v>
      </c>
      <c r="C4569" s="75">
        <v>96.57</v>
      </c>
      <c r="D4569" s="75">
        <v>92.6</v>
      </c>
      <c r="E4569" s="75">
        <v>91.57</v>
      </c>
      <c r="F4569">
        <v>464.30999999999995</v>
      </c>
      <c r="G4569">
        <v>2462.25</v>
      </c>
      <c r="H4569">
        <v>431.4</v>
      </c>
      <c r="I4569">
        <v>1806.1000000000001</v>
      </c>
      <c r="J4569">
        <v>5164.0600000000004</v>
      </c>
    </row>
    <row r="4570" spans="1:10" x14ac:dyDescent="0.35">
      <c r="A4570">
        <v>4554</v>
      </c>
      <c r="B4570" s="75">
        <v>89.007000000000005</v>
      </c>
      <c r="C4570" s="75">
        <v>98.628399999999999</v>
      </c>
      <c r="D4570" s="75">
        <v>93.5839</v>
      </c>
      <c r="E4570" s="75">
        <v>92.573400000000007</v>
      </c>
      <c r="F4570">
        <v>1803.78</v>
      </c>
      <c r="G4570">
        <v>-627.75</v>
      </c>
      <c r="H4570">
        <v>-1535.6000000000001</v>
      </c>
      <c r="I4570">
        <v>807.2</v>
      </c>
      <c r="J4570">
        <v>447.62999999999988</v>
      </c>
    </row>
    <row r="4571" spans="1:10" x14ac:dyDescent="0.35">
      <c r="A4571">
        <v>4555</v>
      </c>
      <c r="B4571" s="75">
        <v>88.3</v>
      </c>
      <c r="C4571" s="75">
        <v>100.34</v>
      </c>
      <c r="D4571" s="75">
        <v>92.16</v>
      </c>
      <c r="E4571" s="75">
        <v>94.65</v>
      </c>
      <c r="F4571">
        <v>4141.17</v>
      </c>
      <c r="G4571">
        <v>-3190.2</v>
      </c>
      <c r="H4571">
        <v>1319.8000000000002</v>
      </c>
      <c r="I4571">
        <v>-1271.9000000000001</v>
      </c>
      <c r="J4571">
        <v>998.87000000000035</v>
      </c>
    </row>
    <row r="4572" spans="1:10" x14ac:dyDescent="0.35">
      <c r="A4572">
        <v>4556</v>
      </c>
      <c r="B4572" s="75">
        <v>89.337400000000002</v>
      </c>
      <c r="C4572" s="75">
        <v>98.672700000000006</v>
      </c>
      <c r="D4572" s="75">
        <v>92.819199999999995</v>
      </c>
      <c r="E4572" s="75">
        <v>93.732900000000001</v>
      </c>
      <c r="F4572">
        <v>713.46</v>
      </c>
      <c r="G4572">
        <v>-694.19999999999993</v>
      </c>
      <c r="H4572">
        <v>-6.2</v>
      </c>
      <c r="I4572">
        <v>-352.3</v>
      </c>
      <c r="J4572">
        <v>-339.2399999999999</v>
      </c>
    </row>
    <row r="4573" spans="1:10" x14ac:dyDescent="0.35">
      <c r="A4573">
        <v>4557</v>
      </c>
      <c r="B4573" s="75">
        <v>88.83</v>
      </c>
      <c r="C4573" s="75">
        <v>97.34</v>
      </c>
      <c r="D4573" s="75">
        <v>94.1</v>
      </c>
      <c r="E4573" s="75">
        <v>91.85</v>
      </c>
      <c r="F4573">
        <v>2384.25</v>
      </c>
      <c r="G4573">
        <v>1306.95</v>
      </c>
      <c r="H4573">
        <v>-2560.6</v>
      </c>
      <c r="I4573">
        <v>1529.1999999999998</v>
      </c>
      <c r="J4573">
        <v>2659.7999999999997</v>
      </c>
    </row>
    <row r="4574" spans="1:10" x14ac:dyDescent="0.35">
      <c r="A4574">
        <v>4558</v>
      </c>
      <c r="B4574" s="75">
        <v>89.9773</v>
      </c>
      <c r="C4574" s="75">
        <v>98.139300000000006</v>
      </c>
      <c r="D4574" s="75">
        <v>92.76</v>
      </c>
      <c r="E4574" s="75">
        <v>94.870999999999995</v>
      </c>
      <c r="F4574">
        <v>-1398.21</v>
      </c>
      <c r="G4574">
        <v>105.89999999999999</v>
      </c>
      <c r="H4574">
        <v>112.19999999999999</v>
      </c>
      <c r="I4574">
        <v>-1490.3999999999999</v>
      </c>
      <c r="J4574">
        <v>-2670.5099999999998</v>
      </c>
    </row>
    <row r="4575" spans="1:10" x14ac:dyDescent="0.35">
      <c r="A4575">
        <v>4559</v>
      </c>
      <c r="B4575" s="75">
        <v>90.56</v>
      </c>
      <c r="C4575" s="75">
        <v>99.08</v>
      </c>
      <c r="D4575" s="75">
        <v>91.27</v>
      </c>
      <c r="E4575" s="75">
        <v>95.58</v>
      </c>
      <c r="F4575">
        <v>-3307.5899999999997</v>
      </c>
      <c r="G4575">
        <v>-1302.9000000000001</v>
      </c>
      <c r="H4575">
        <v>3083</v>
      </c>
      <c r="I4575">
        <v>-2197.2999999999997</v>
      </c>
      <c r="J4575">
        <v>-3724.7899999999995</v>
      </c>
    </row>
    <row r="4576" spans="1:10" x14ac:dyDescent="0.35">
      <c r="A4576">
        <v>4560</v>
      </c>
      <c r="B4576" s="75">
        <v>89.042299999999997</v>
      </c>
      <c r="C4576" s="75">
        <v>99.745699999999999</v>
      </c>
      <c r="D4576" s="75">
        <v>92.788799999999995</v>
      </c>
      <c r="E4576" s="75">
        <v>93.904399999999995</v>
      </c>
      <c r="F4576">
        <v>1687.29</v>
      </c>
      <c r="G4576">
        <v>-2303.7000000000003</v>
      </c>
      <c r="H4576">
        <v>54.6</v>
      </c>
      <c r="I4576">
        <v>-523.80000000000007</v>
      </c>
      <c r="J4576">
        <v>-1085.6100000000004</v>
      </c>
    </row>
    <row r="4577" spans="1:10" x14ac:dyDescent="0.35">
      <c r="A4577">
        <v>4561</v>
      </c>
      <c r="B4577" s="75">
        <v>89.74</v>
      </c>
      <c r="C4577" s="75">
        <v>96.34</v>
      </c>
      <c r="D4577" s="75">
        <v>94.74</v>
      </c>
      <c r="E4577" s="75">
        <v>92.47</v>
      </c>
      <c r="F4577">
        <v>-602.58000000000004</v>
      </c>
      <c r="G4577">
        <v>2810.1</v>
      </c>
      <c r="H4577">
        <v>-3839.6</v>
      </c>
      <c r="I4577">
        <v>906.69999999999993</v>
      </c>
      <c r="J4577">
        <v>-725.38</v>
      </c>
    </row>
    <row r="4578" spans="1:10" x14ac:dyDescent="0.35">
      <c r="A4578">
        <v>4562</v>
      </c>
      <c r="B4578" s="75">
        <v>89.139300000000006</v>
      </c>
      <c r="C4578" s="75">
        <v>97.451099999999997</v>
      </c>
      <c r="D4578" s="75">
        <v>94.8506</v>
      </c>
      <c r="E4578" s="75">
        <v>93.995599999999996</v>
      </c>
      <c r="F4578">
        <v>1367.19</v>
      </c>
      <c r="G4578">
        <v>1138.2</v>
      </c>
      <c r="H4578">
        <v>-4069</v>
      </c>
      <c r="I4578">
        <v>-615</v>
      </c>
      <c r="J4578">
        <v>-2178.6099999999997</v>
      </c>
    </row>
    <row r="4579" spans="1:10" x14ac:dyDescent="0.35">
      <c r="A4579">
        <v>4563</v>
      </c>
      <c r="B4579" s="75">
        <v>89.26</v>
      </c>
      <c r="C4579" s="75">
        <v>97.8</v>
      </c>
      <c r="D4579" s="75">
        <v>92.81</v>
      </c>
      <c r="E4579" s="75">
        <v>97.01</v>
      </c>
      <c r="F4579">
        <v>982.07999999999993</v>
      </c>
      <c r="G4579">
        <v>610.20000000000005</v>
      </c>
      <c r="H4579">
        <v>11.2</v>
      </c>
      <c r="I4579">
        <v>-3629.9</v>
      </c>
      <c r="J4579">
        <v>-2026.42</v>
      </c>
    </row>
    <row r="4580" spans="1:10" x14ac:dyDescent="0.35">
      <c r="A4580">
        <v>4564</v>
      </c>
      <c r="B4580" s="75">
        <v>90.085400000000007</v>
      </c>
      <c r="C4580" s="75">
        <v>97.741100000000003</v>
      </c>
      <c r="D4580" s="75">
        <v>92.912899999999993</v>
      </c>
      <c r="E4580" s="75">
        <v>92.267799999999994</v>
      </c>
      <c r="F4580">
        <v>-1754.94</v>
      </c>
      <c r="G4580">
        <v>703.2</v>
      </c>
      <c r="H4580">
        <v>-193.6</v>
      </c>
      <c r="I4580">
        <v>1112.8</v>
      </c>
      <c r="J4580">
        <v>-132.53999999999996</v>
      </c>
    </row>
    <row r="4581" spans="1:10" x14ac:dyDescent="0.35">
      <c r="A4581">
        <v>4565</v>
      </c>
      <c r="B4581" s="75">
        <v>89.42</v>
      </c>
      <c r="C4581" s="75">
        <v>97.13</v>
      </c>
      <c r="D4581" s="75">
        <v>92.73</v>
      </c>
      <c r="E4581" s="75">
        <v>93.66</v>
      </c>
      <c r="F4581">
        <v>451.77</v>
      </c>
      <c r="G4581">
        <v>1620.3000000000002</v>
      </c>
      <c r="H4581">
        <v>172.2</v>
      </c>
      <c r="I4581">
        <v>-279.89999999999998</v>
      </c>
      <c r="J4581">
        <v>1964.37</v>
      </c>
    </row>
    <row r="4582" spans="1:10" x14ac:dyDescent="0.35">
      <c r="A4582">
        <v>4566</v>
      </c>
      <c r="B4582" s="75">
        <v>90.052599999999998</v>
      </c>
      <c r="C4582" s="75">
        <v>97.956800000000001</v>
      </c>
      <c r="D4582" s="75">
        <v>92.158000000000001</v>
      </c>
      <c r="E4582" s="75">
        <v>95.344300000000004</v>
      </c>
      <c r="F4582">
        <v>-1646.7</v>
      </c>
      <c r="G4582">
        <v>379.65</v>
      </c>
      <c r="H4582">
        <v>1316.2</v>
      </c>
      <c r="I4582">
        <v>-1963.7</v>
      </c>
      <c r="J4582">
        <v>-1914.5500000000002</v>
      </c>
    </row>
    <row r="4583" spans="1:10" x14ac:dyDescent="0.35">
      <c r="A4583">
        <v>4567</v>
      </c>
      <c r="B4583" s="75">
        <v>89.72</v>
      </c>
      <c r="C4583" s="75">
        <v>98.1</v>
      </c>
      <c r="D4583" s="75">
        <v>92.66</v>
      </c>
      <c r="E4583" s="75">
        <v>90.19</v>
      </c>
      <c r="F4583">
        <v>-548.13</v>
      </c>
      <c r="G4583">
        <v>163.80000000000001</v>
      </c>
      <c r="H4583">
        <v>319.60000000000002</v>
      </c>
      <c r="I4583">
        <v>3187.7</v>
      </c>
      <c r="J4583">
        <v>3122.97</v>
      </c>
    </row>
    <row r="4584" spans="1:10" x14ac:dyDescent="0.35">
      <c r="A4584">
        <v>4568</v>
      </c>
      <c r="B4584" s="75">
        <v>89.353899999999996</v>
      </c>
      <c r="C4584" s="75">
        <v>98.142200000000003</v>
      </c>
      <c r="D4584" s="75">
        <v>92.625100000000003</v>
      </c>
      <c r="E4584" s="75">
        <v>93.805400000000006</v>
      </c>
      <c r="F4584">
        <v>659.01</v>
      </c>
      <c r="G4584">
        <v>101.55</v>
      </c>
      <c r="H4584">
        <v>382</v>
      </c>
      <c r="I4584">
        <v>-424.8</v>
      </c>
      <c r="J4584">
        <v>717.76</v>
      </c>
    </row>
    <row r="4585" spans="1:10" x14ac:dyDescent="0.35">
      <c r="A4585">
        <v>4569</v>
      </c>
      <c r="B4585" s="75">
        <v>89.42</v>
      </c>
      <c r="C4585" s="75">
        <v>97.91</v>
      </c>
      <c r="D4585" s="75">
        <v>95.06</v>
      </c>
      <c r="E4585" s="75">
        <v>93.38</v>
      </c>
      <c r="F4585">
        <v>437.58</v>
      </c>
      <c r="G4585">
        <v>451.20000000000005</v>
      </c>
      <c r="H4585">
        <v>-4480.4000000000005</v>
      </c>
      <c r="I4585">
        <v>-3.3</v>
      </c>
      <c r="J4585">
        <v>-3594.920000000001</v>
      </c>
    </row>
    <row r="4586" spans="1:10" x14ac:dyDescent="0.35">
      <c r="A4586">
        <v>4570</v>
      </c>
      <c r="B4586" s="75">
        <v>89.215599999999995</v>
      </c>
      <c r="C4586" s="75">
        <v>97.519300000000001</v>
      </c>
      <c r="D4586" s="75">
        <v>93.264600000000002</v>
      </c>
      <c r="E4586" s="75">
        <v>93.1143</v>
      </c>
      <c r="F4586">
        <v>1115.4000000000001</v>
      </c>
      <c r="G4586">
        <v>1035.9000000000001</v>
      </c>
      <c r="H4586">
        <v>-897</v>
      </c>
      <c r="I4586">
        <v>266.29999999999995</v>
      </c>
      <c r="J4586">
        <v>1520.6000000000001</v>
      </c>
    </row>
    <row r="4587" spans="1:10" x14ac:dyDescent="0.35">
      <c r="A4587">
        <v>4571</v>
      </c>
      <c r="B4587" s="75">
        <v>88.42</v>
      </c>
      <c r="C4587" s="75">
        <v>97.72</v>
      </c>
      <c r="D4587" s="75">
        <v>92.49</v>
      </c>
      <c r="E4587" s="75">
        <v>93.21</v>
      </c>
      <c r="F4587">
        <v>3730.65</v>
      </c>
      <c r="G4587">
        <v>733.5</v>
      </c>
      <c r="H4587">
        <v>647.4</v>
      </c>
      <c r="I4587">
        <v>175</v>
      </c>
      <c r="J4587">
        <v>5286.5499999999993</v>
      </c>
    </row>
    <row r="4588" spans="1:10" x14ac:dyDescent="0.35">
      <c r="A4588">
        <v>4572</v>
      </c>
      <c r="B4588" s="75">
        <v>89.391499999999994</v>
      </c>
      <c r="C4588" s="75">
        <v>97.009500000000003</v>
      </c>
      <c r="D4588" s="75">
        <v>94.227000000000004</v>
      </c>
      <c r="E4588" s="75">
        <v>93.884600000000006</v>
      </c>
      <c r="F4588">
        <v>534.92999999999995</v>
      </c>
      <c r="G4588">
        <v>1800.6</v>
      </c>
      <c r="H4588">
        <v>-2821.8</v>
      </c>
      <c r="I4588">
        <v>-504</v>
      </c>
      <c r="J4588">
        <v>-990.27000000000044</v>
      </c>
    </row>
    <row r="4589" spans="1:10" x14ac:dyDescent="0.35">
      <c r="A4589">
        <v>4573</v>
      </c>
      <c r="B4589" s="75">
        <v>89.67</v>
      </c>
      <c r="C4589" s="75">
        <v>99.1</v>
      </c>
      <c r="D4589" s="75">
        <v>93.22</v>
      </c>
      <c r="E4589" s="75">
        <v>93.59</v>
      </c>
      <c r="F4589">
        <v>-399.3</v>
      </c>
      <c r="G4589">
        <v>-1334.7</v>
      </c>
      <c r="H4589">
        <v>-800.8</v>
      </c>
      <c r="I4589">
        <v>-210.5</v>
      </c>
      <c r="J4589">
        <v>-2745.3</v>
      </c>
    </row>
    <row r="4590" spans="1:10" x14ac:dyDescent="0.35">
      <c r="A4590">
        <v>4574</v>
      </c>
      <c r="B4590" s="75">
        <v>89.606399999999994</v>
      </c>
      <c r="C4590" s="75">
        <v>98.912700000000001</v>
      </c>
      <c r="D4590" s="75">
        <v>91.025000000000006</v>
      </c>
      <c r="E4590" s="75">
        <v>92.230999999999995</v>
      </c>
      <c r="F4590">
        <v>-174.24</v>
      </c>
      <c r="G4590">
        <v>-1054.2</v>
      </c>
      <c r="H4590">
        <v>3582.2</v>
      </c>
      <c r="I4590">
        <v>1149.5999999999999</v>
      </c>
      <c r="J4590">
        <v>3503.3599999999997</v>
      </c>
    </row>
    <row r="4591" spans="1:10" x14ac:dyDescent="0.35">
      <c r="A4591">
        <v>4575</v>
      </c>
      <c r="B4591" s="75">
        <v>89.89</v>
      </c>
      <c r="C4591" s="75">
        <v>97.83</v>
      </c>
      <c r="D4591" s="75">
        <v>91.23</v>
      </c>
      <c r="E4591" s="75">
        <v>93.63</v>
      </c>
      <c r="F4591">
        <v>-1099.8899999999999</v>
      </c>
      <c r="G4591">
        <v>563.1</v>
      </c>
      <c r="H4591">
        <v>3180.2000000000003</v>
      </c>
      <c r="I4591">
        <v>-247.6</v>
      </c>
      <c r="J4591">
        <v>2395.8100000000004</v>
      </c>
    </row>
    <row r="4592" spans="1:10" x14ac:dyDescent="0.35">
      <c r="A4592">
        <v>4576</v>
      </c>
      <c r="B4592" s="75">
        <v>89.646500000000003</v>
      </c>
      <c r="C4592" s="75">
        <v>97.094700000000003</v>
      </c>
      <c r="D4592" s="75">
        <v>92.955299999999994</v>
      </c>
      <c r="E4592" s="75">
        <v>93.342699999999994</v>
      </c>
      <c r="F4592">
        <v>-306.57</v>
      </c>
      <c r="G4592">
        <v>1672.8</v>
      </c>
      <c r="H4592">
        <v>-278.39999999999998</v>
      </c>
      <c r="I4592">
        <v>37.900000000000006</v>
      </c>
      <c r="J4592">
        <v>1125.73</v>
      </c>
    </row>
    <row r="4593" spans="1:10" x14ac:dyDescent="0.35">
      <c r="A4593">
        <v>4577</v>
      </c>
      <c r="B4593" s="75">
        <v>89.77</v>
      </c>
      <c r="C4593" s="75">
        <v>98.32</v>
      </c>
      <c r="D4593" s="75">
        <v>91.31</v>
      </c>
      <c r="E4593" s="75">
        <v>93.6</v>
      </c>
      <c r="F4593">
        <v>-725.01</v>
      </c>
      <c r="G4593">
        <v>-167.4</v>
      </c>
      <c r="H4593">
        <v>3018.8</v>
      </c>
      <c r="I4593">
        <v>-217.1</v>
      </c>
      <c r="J4593">
        <v>1909.2900000000004</v>
      </c>
    </row>
    <row r="4594" spans="1:10" x14ac:dyDescent="0.35">
      <c r="A4594">
        <v>4578</v>
      </c>
      <c r="B4594" s="75">
        <v>90.431299999999993</v>
      </c>
      <c r="C4594" s="75">
        <v>96.264600000000002</v>
      </c>
      <c r="D4594" s="75">
        <v>92.637299999999996</v>
      </c>
      <c r="E4594" s="75">
        <v>93.552099999999996</v>
      </c>
      <c r="F4594">
        <v>-2896.4100000000003</v>
      </c>
      <c r="G4594">
        <v>2917.95</v>
      </c>
      <c r="H4594">
        <v>357.59999999999997</v>
      </c>
      <c r="I4594">
        <v>-171.5</v>
      </c>
      <c r="J4594">
        <v>207.63999999999947</v>
      </c>
    </row>
    <row r="4595" spans="1:10" x14ac:dyDescent="0.35">
      <c r="A4595">
        <v>4579</v>
      </c>
      <c r="B4595" s="75">
        <v>89.88</v>
      </c>
      <c r="C4595" s="75">
        <v>97.65</v>
      </c>
      <c r="D4595" s="75">
        <v>94.62</v>
      </c>
      <c r="E4595" s="75">
        <v>90.15</v>
      </c>
      <c r="F4595">
        <v>-1083.3899999999999</v>
      </c>
      <c r="G4595">
        <v>846.6</v>
      </c>
      <c r="H4595">
        <v>-3602</v>
      </c>
      <c r="I4595">
        <v>3232.2999999999997</v>
      </c>
      <c r="J4595">
        <v>-606.49000000000024</v>
      </c>
    </row>
    <row r="4596" spans="1:10" x14ac:dyDescent="0.35">
      <c r="A4596">
        <v>4580</v>
      </c>
      <c r="B4596" s="75">
        <v>89.194199999999995</v>
      </c>
      <c r="C4596" s="75">
        <v>97.323700000000002</v>
      </c>
      <c r="D4596" s="75">
        <v>89.745400000000004</v>
      </c>
      <c r="E4596" s="75">
        <v>92.524900000000002</v>
      </c>
      <c r="F4596">
        <v>1186.02</v>
      </c>
      <c r="G4596">
        <v>1329.3</v>
      </c>
      <c r="H4596">
        <v>6141.4</v>
      </c>
      <c r="I4596">
        <v>855.7</v>
      </c>
      <c r="J4596">
        <v>9512.42</v>
      </c>
    </row>
    <row r="4597" spans="1:10" x14ac:dyDescent="0.35">
      <c r="A4597">
        <v>4581</v>
      </c>
      <c r="B4597" s="75">
        <v>89.01</v>
      </c>
      <c r="C4597" s="75">
        <v>97.82</v>
      </c>
      <c r="D4597" s="75">
        <v>92.44</v>
      </c>
      <c r="E4597" s="75">
        <v>91.78</v>
      </c>
      <c r="F4597">
        <v>1783.32</v>
      </c>
      <c r="G4597">
        <v>582.44999999999993</v>
      </c>
      <c r="H4597">
        <v>761.6</v>
      </c>
      <c r="I4597">
        <v>1598.8</v>
      </c>
      <c r="J4597">
        <v>4726.17</v>
      </c>
    </row>
    <row r="4598" spans="1:10" x14ac:dyDescent="0.35">
      <c r="A4598">
        <v>4582</v>
      </c>
      <c r="B4598" s="75">
        <v>89.434899999999999</v>
      </c>
      <c r="C4598" s="75">
        <v>98.259399999999999</v>
      </c>
      <c r="D4598" s="75">
        <v>94.629499999999993</v>
      </c>
      <c r="E4598" s="75">
        <v>93.943899999999999</v>
      </c>
      <c r="F4598">
        <v>391.71</v>
      </c>
      <c r="G4598">
        <v>-74.25</v>
      </c>
      <c r="H4598">
        <v>-3626.7999999999997</v>
      </c>
      <c r="I4598">
        <v>-563.30000000000007</v>
      </c>
      <c r="J4598">
        <v>-3872.64</v>
      </c>
    </row>
    <row r="4599" spans="1:10" x14ac:dyDescent="0.35">
      <c r="A4599">
        <v>4583</v>
      </c>
      <c r="B4599" s="75">
        <v>89.72</v>
      </c>
      <c r="C4599" s="75">
        <v>98.51</v>
      </c>
      <c r="D4599" s="75">
        <v>93.46</v>
      </c>
      <c r="E4599" s="75">
        <v>90.5</v>
      </c>
      <c r="F4599">
        <v>-551.76</v>
      </c>
      <c r="G4599">
        <v>-445.95</v>
      </c>
      <c r="H4599">
        <v>-1278.5999999999999</v>
      </c>
      <c r="I4599">
        <v>2878.5</v>
      </c>
      <c r="J4599">
        <v>602.19000000000005</v>
      </c>
    </row>
    <row r="4600" spans="1:10" x14ac:dyDescent="0.35">
      <c r="A4600">
        <v>4584</v>
      </c>
      <c r="B4600" s="75">
        <v>90.075299999999999</v>
      </c>
      <c r="C4600" s="75">
        <v>98.408699999999996</v>
      </c>
      <c r="D4600" s="75">
        <v>93.9739</v>
      </c>
      <c r="E4600" s="75">
        <v>94.722099999999998</v>
      </c>
      <c r="F4600">
        <v>-1721.6100000000001</v>
      </c>
      <c r="G4600">
        <v>-298.2</v>
      </c>
      <c r="H4600">
        <v>-2315.6</v>
      </c>
      <c r="I4600">
        <v>-1341.5</v>
      </c>
      <c r="J4600">
        <v>-5676.91</v>
      </c>
    </row>
    <row r="4601" spans="1:10" x14ac:dyDescent="0.35">
      <c r="A4601">
        <v>4585</v>
      </c>
      <c r="B4601" s="75">
        <v>89.21</v>
      </c>
      <c r="C4601" s="75">
        <v>97.97</v>
      </c>
      <c r="D4601" s="75">
        <v>92.41</v>
      </c>
      <c r="E4601" s="75">
        <v>96.32</v>
      </c>
      <c r="F4601">
        <v>1144.1100000000001</v>
      </c>
      <c r="G4601">
        <v>357</v>
      </c>
      <c r="H4601">
        <v>819.4</v>
      </c>
      <c r="I4601">
        <v>-2940</v>
      </c>
      <c r="J4601">
        <v>-619.48999999999978</v>
      </c>
    </row>
    <row r="4602" spans="1:10" x14ac:dyDescent="0.35">
      <c r="A4602">
        <v>4586</v>
      </c>
      <c r="B4602" s="75">
        <v>89.3352</v>
      </c>
      <c r="C4602" s="75">
        <v>98.150800000000004</v>
      </c>
      <c r="D4602" s="75">
        <v>92.978700000000003</v>
      </c>
      <c r="E4602" s="75">
        <v>92.737700000000004</v>
      </c>
      <c r="F4602">
        <v>720.72</v>
      </c>
      <c r="G4602">
        <v>88.65</v>
      </c>
      <c r="H4602">
        <v>-325.2</v>
      </c>
      <c r="I4602">
        <v>642.9</v>
      </c>
      <c r="J4602">
        <v>1127.07</v>
      </c>
    </row>
    <row r="4603" spans="1:10" x14ac:dyDescent="0.35">
      <c r="A4603">
        <v>4587</v>
      </c>
      <c r="B4603" s="75">
        <v>90.62</v>
      </c>
      <c r="C4603" s="75">
        <v>96.99</v>
      </c>
      <c r="D4603" s="75">
        <v>92.39</v>
      </c>
      <c r="E4603" s="75">
        <v>92.27</v>
      </c>
      <c r="F4603">
        <v>-3533.64</v>
      </c>
      <c r="G4603">
        <v>1834.65</v>
      </c>
      <c r="H4603">
        <v>853.6</v>
      </c>
      <c r="I4603">
        <v>1107</v>
      </c>
      <c r="J4603">
        <v>261.61000000000024</v>
      </c>
    </row>
    <row r="4604" spans="1:10" x14ac:dyDescent="0.35">
      <c r="A4604">
        <v>4588</v>
      </c>
      <c r="B4604" s="75">
        <v>89.859399999999994</v>
      </c>
      <c r="C4604" s="75">
        <v>98.408100000000005</v>
      </c>
      <c r="D4604" s="75">
        <v>92.123199999999997</v>
      </c>
      <c r="E4604" s="75">
        <v>93.856099999999998</v>
      </c>
      <c r="F4604">
        <v>-1009.1400000000001</v>
      </c>
      <c r="G4604">
        <v>-297.29999999999995</v>
      </c>
      <c r="H4604">
        <v>1385.8</v>
      </c>
      <c r="I4604">
        <v>-475.5</v>
      </c>
      <c r="J4604">
        <v>-396.1400000000001</v>
      </c>
    </row>
    <row r="4605" spans="1:10" x14ac:dyDescent="0.35">
      <c r="A4605">
        <v>4589</v>
      </c>
      <c r="B4605" s="75">
        <v>89.09</v>
      </c>
      <c r="C4605" s="75">
        <v>99.34</v>
      </c>
      <c r="D4605" s="75">
        <v>94.12</v>
      </c>
      <c r="E4605" s="75">
        <v>93.67</v>
      </c>
      <c r="F4605">
        <v>1521.63</v>
      </c>
      <c r="G4605">
        <v>-1701.15</v>
      </c>
      <c r="H4605">
        <v>-2602.3999999999996</v>
      </c>
      <c r="I4605">
        <v>-288.39999999999998</v>
      </c>
      <c r="J4605">
        <v>-3070.3199999999997</v>
      </c>
    </row>
    <row r="4606" spans="1:10" x14ac:dyDescent="0.35">
      <c r="A4606">
        <v>4590</v>
      </c>
      <c r="B4606" s="75">
        <v>89.945099999999996</v>
      </c>
      <c r="C4606" s="75">
        <v>99.133700000000005</v>
      </c>
      <c r="D4606" s="75">
        <v>92.452500000000001</v>
      </c>
      <c r="E4606" s="75">
        <v>92.731399999999994</v>
      </c>
      <c r="F4606">
        <v>-1291.95</v>
      </c>
      <c r="G4606">
        <v>-1385.6999999999998</v>
      </c>
      <c r="H4606">
        <v>727.19999999999993</v>
      </c>
      <c r="I4606">
        <v>649.20000000000005</v>
      </c>
      <c r="J4606">
        <v>-1301.2499999999998</v>
      </c>
    </row>
    <row r="4607" spans="1:10" x14ac:dyDescent="0.35">
      <c r="A4607">
        <v>4591</v>
      </c>
      <c r="B4607" s="75">
        <v>89.52</v>
      </c>
      <c r="C4607" s="75">
        <v>99.58</v>
      </c>
      <c r="D4607" s="75">
        <v>93.14</v>
      </c>
      <c r="E4607" s="75">
        <v>93.27</v>
      </c>
      <c r="F4607">
        <v>95.36999999999999</v>
      </c>
      <c r="G4607">
        <v>-2060.6999999999998</v>
      </c>
      <c r="H4607">
        <v>-648</v>
      </c>
      <c r="I4607">
        <v>109.8</v>
      </c>
      <c r="J4607">
        <v>-2503.5299999999997</v>
      </c>
    </row>
    <row r="4608" spans="1:10" x14ac:dyDescent="0.35">
      <c r="A4608">
        <v>4592</v>
      </c>
      <c r="B4608" s="75">
        <v>90.761600000000001</v>
      </c>
      <c r="C4608" s="75">
        <v>99.502200000000002</v>
      </c>
      <c r="D4608" s="75">
        <v>92.831299999999999</v>
      </c>
      <c r="E4608" s="75">
        <v>91.489199999999997</v>
      </c>
      <c r="F4608">
        <v>-3986.4</v>
      </c>
      <c r="G4608">
        <v>-1938.45</v>
      </c>
      <c r="H4608">
        <v>-30.4</v>
      </c>
      <c r="I4608">
        <v>1891.3999999999999</v>
      </c>
      <c r="J4608">
        <v>-4063.8500000000004</v>
      </c>
    </row>
    <row r="4609" spans="1:10" x14ac:dyDescent="0.35">
      <c r="A4609">
        <v>4593</v>
      </c>
      <c r="B4609" s="75">
        <v>89.77</v>
      </c>
      <c r="C4609" s="75">
        <v>98.53</v>
      </c>
      <c r="D4609" s="75">
        <v>91.53</v>
      </c>
      <c r="E4609" s="75">
        <v>94.43</v>
      </c>
      <c r="F4609">
        <v>-705.54</v>
      </c>
      <c r="G4609">
        <v>-475.5</v>
      </c>
      <c r="H4609">
        <v>2571</v>
      </c>
      <c r="I4609">
        <v>-1049.7</v>
      </c>
      <c r="J4609">
        <v>340.26</v>
      </c>
    </row>
    <row r="4610" spans="1:10" x14ac:dyDescent="0.35">
      <c r="A4610">
        <v>4594</v>
      </c>
      <c r="B4610" s="75">
        <v>89.294899999999998</v>
      </c>
      <c r="C4610" s="75">
        <v>98.970699999999994</v>
      </c>
      <c r="D4610" s="75">
        <v>92.633700000000005</v>
      </c>
      <c r="E4610" s="75">
        <v>93.889799999999994</v>
      </c>
      <c r="F4610">
        <v>853.70999999999992</v>
      </c>
      <c r="G4610">
        <v>-1141.2</v>
      </c>
      <c r="H4610">
        <v>364.8</v>
      </c>
      <c r="I4610">
        <v>-509.2</v>
      </c>
      <c r="J4610">
        <v>-431.8900000000001</v>
      </c>
    </row>
    <row r="4611" spans="1:10" x14ac:dyDescent="0.35">
      <c r="A4611">
        <v>4595</v>
      </c>
      <c r="B4611" s="75">
        <v>89.57</v>
      </c>
      <c r="C4611" s="75">
        <v>99.75</v>
      </c>
      <c r="D4611" s="75">
        <v>92.97</v>
      </c>
      <c r="E4611" s="75">
        <v>94.81</v>
      </c>
      <c r="F4611">
        <v>-47.85</v>
      </c>
      <c r="G4611">
        <v>-2314.35</v>
      </c>
      <c r="H4611">
        <v>-299</v>
      </c>
      <c r="I4611">
        <v>-1434.1</v>
      </c>
      <c r="J4611">
        <v>-4095.2999999999997</v>
      </c>
    </row>
    <row r="4612" spans="1:10" x14ac:dyDescent="0.35">
      <c r="A4612">
        <v>4596</v>
      </c>
      <c r="B4612" s="75">
        <v>89.730099999999993</v>
      </c>
      <c r="C4612" s="75">
        <v>98.690100000000001</v>
      </c>
      <c r="D4612" s="75">
        <v>92.77</v>
      </c>
      <c r="E4612" s="75">
        <v>90.330500000000001</v>
      </c>
      <c r="F4612">
        <v>-582.44999999999993</v>
      </c>
      <c r="G4612">
        <v>-720.30000000000007</v>
      </c>
      <c r="H4612">
        <v>92.2</v>
      </c>
      <c r="I4612">
        <v>3050.1</v>
      </c>
      <c r="J4612">
        <v>1839.55</v>
      </c>
    </row>
    <row r="4613" spans="1:10" x14ac:dyDescent="0.35">
      <c r="A4613">
        <v>4597</v>
      </c>
      <c r="B4613" s="75">
        <v>89.62</v>
      </c>
      <c r="C4613" s="75">
        <v>98.9</v>
      </c>
      <c r="D4613" s="75">
        <v>90.83</v>
      </c>
      <c r="E4613" s="75">
        <v>94.08</v>
      </c>
      <c r="F4613">
        <v>-234.96</v>
      </c>
      <c r="G4613">
        <v>-1037.8499999999999</v>
      </c>
      <c r="H4613">
        <v>3967.6</v>
      </c>
      <c r="I4613">
        <v>-701.5</v>
      </c>
      <c r="J4613">
        <v>1993.29</v>
      </c>
    </row>
    <row r="4614" spans="1:10" x14ac:dyDescent="0.35">
      <c r="A4614">
        <v>4598</v>
      </c>
      <c r="B4614" s="75">
        <v>89.813999999999993</v>
      </c>
      <c r="C4614" s="75">
        <v>97.587500000000006</v>
      </c>
      <c r="D4614" s="75">
        <v>92.439300000000003</v>
      </c>
      <c r="E4614" s="75">
        <v>93.1096</v>
      </c>
      <c r="F4614">
        <v>-859.32</v>
      </c>
      <c r="G4614">
        <v>933.59999999999991</v>
      </c>
      <c r="H4614">
        <v>753.6</v>
      </c>
      <c r="I4614">
        <v>271</v>
      </c>
      <c r="J4614">
        <v>1098.8799999999999</v>
      </c>
    </row>
    <row r="4615" spans="1:10" x14ac:dyDescent="0.35">
      <c r="A4615">
        <v>4599</v>
      </c>
      <c r="B4615" s="75">
        <v>89.64</v>
      </c>
      <c r="C4615" s="75">
        <v>97.7</v>
      </c>
      <c r="D4615" s="75">
        <v>93.36</v>
      </c>
      <c r="E4615" s="75">
        <v>94.23</v>
      </c>
      <c r="F4615">
        <v>-285.45</v>
      </c>
      <c r="G4615">
        <v>767.40000000000009</v>
      </c>
      <c r="H4615">
        <v>-1078.8</v>
      </c>
      <c r="I4615">
        <v>-851.8</v>
      </c>
      <c r="J4615">
        <v>-1448.6499999999999</v>
      </c>
    </row>
    <row r="4616" spans="1:10" x14ac:dyDescent="0.35">
      <c r="A4616">
        <v>4600</v>
      </c>
      <c r="B4616" s="75">
        <v>89.287700000000001</v>
      </c>
      <c r="C4616" s="75">
        <v>99.087500000000006</v>
      </c>
      <c r="D4616" s="75">
        <v>92.513599999999997</v>
      </c>
      <c r="E4616" s="75">
        <v>90.656599999999997</v>
      </c>
      <c r="F4616">
        <v>877.47</v>
      </c>
      <c r="G4616">
        <v>-1316.4</v>
      </c>
      <c r="H4616">
        <v>605</v>
      </c>
      <c r="I4616">
        <v>2724</v>
      </c>
      <c r="J4616">
        <v>2890.0699999999997</v>
      </c>
    </row>
    <row r="4617" spans="1:10" x14ac:dyDescent="0.35">
      <c r="A4617">
        <v>4601</v>
      </c>
      <c r="B4617" s="75">
        <v>89.43</v>
      </c>
      <c r="C4617" s="75">
        <v>96.91</v>
      </c>
      <c r="D4617" s="75">
        <v>92.6</v>
      </c>
      <c r="E4617" s="75">
        <v>95.41</v>
      </c>
      <c r="F4617">
        <v>400.62</v>
      </c>
      <c r="G4617">
        <v>1947.15</v>
      </c>
      <c r="H4617">
        <v>437.40000000000003</v>
      </c>
      <c r="I4617">
        <v>-2033.5</v>
      </c>
      <c r="J4617">
        <v>751.67000000000007</v>
      </c>
    </row>
    <row r="4618" spans="1:10" x14ac:dyDescent="0.35">
      <c r="A4618">
        <v>4602</v>
      </c>
      <c r="B4618" s="75">
        <v>90.300799999999995</v>
      </c>
      <c r="C4618" s="75">
        <v>97.497100000000003</v>
      </c>
      <c r="D4618" s="75">
        <v>91.5381</v>
      </c>
      <c r="E4618" s="75">
        <v>93.435500000000005</v>
      </c>
      <c r="F4618">
        <v>-2465.7599999999998</v>
      </c>
      <c r="G4618">
        <v>1069.2</v>
      </c>
      <c r="H4618">
        <v>2556</v>
      </c>
      <c r="I4618">
        <v>-54.9</v>
      </c>
      <c r="J4618">
        <v>1104.5400000000002</v>
      </c>
    </row>
    <row r="4619" spans="1:10" x14ac:dyDescent="0.35">
      <c r="A4619">
        <v>4603</v>
      </c>
      <c r="B4619" s="75">
        <v>89.44</v>
      </c>
      <c r="C4619" s="75">
        <v>97.99</v>
      </c>
      <c r="D4619" s="75">
        <v>91.34</v>
      </c>
      <c r="E4619" s="75">
        <v>93.88</v>
      </c>
      <c r="F4619">
        <v>376.86</v>
      </c>
      <c r="G4619">
        <v>323.85000000000002</v>
      </c>
      <c r="H4619">
        <v>2946</v>
      </c>
      <c r="I4619">
        <v>-500.2</v>
      </c>
      <c r="J4619">
        <v>3146.51</v>
      </c>
    </row>
    <row r="4620" spans="1:10" x14ac:dyDescent="0.35">
      <c r="A4620">
        <v>4604</v>
      </c>
      <c r="B4620" s="75">
        <v>89.129400000000004</v>
      </c>
      <c r="C4620" s="75">
        <v>97.702799999999996</v>
      </c>
      <c r="D4620" s="75">
        <v>93.011200000000002</v>
      </c>
      <c r="E4620" s="75">
        <v>93.120699999999999</v>
      </c>
      <c r="F4620">
        <v>1399.8600000000001</v>
      </c>
      <c r="G4620">
        <v>760.65</v>
      </c>
      <c r="H4620">
        <v>-390.2</v>
      </c>
      <c r="I4620">
        <v>259.90000000000003</v>
      </c>
      <c r="J4620">
        <v>2030.2100000000003</v>
      </c>
    </row>
    <row r="4621" spans="1:10" x14ac:dyDescent="0.35">
      <c r="A4621">
        <v>4605</v>
      </c>
      <c r="B4621" s="75">
        <v>89.65</v>
      </c>
      <c r="C4621" s="75">
        <v>98.89</v>
      </c>
      <c r="D4621" s="75">
        <v>92.07</v>
      </c>
      <c r="E4621" s="75">
        <v>95.77</v>
      </c>
      <c r="F4621">
        <v>-319.44</v>
      </c>
      <c r="G4621">
        <v>-1015.95</v>
      </c>
      <c r="H4621">
        <v>1488.8</v>
      </c>
      <c r="I4621">
        <v>-2394.1</v>
      </c>
      <c r="J4621">
        <v>-2240.69</v>
      </c>
    </row>
    <row r="4622" spans="1:10" x14ac:dyDescent="0.35">
      <c r="A4622">
        <v>4606</v>
      </c>
      <c r="B4622" s="75">
        <v>89.863500000000002</v>
      </c>
      <c r="C4622" s="75">
        <v>96.850300000000004</v>
      </c>
      <c r="D4622" s="75">
        <v>93.445400000000006</v>
      </c>
      <c r="E4622" s="75">
        <v>93.587800000000001</v>
      </c>
      <c r="F4622">
        <v>-1022.6700000000001</v>
      </c>
      <c r="G4622">
        <v>2039.3999999999999</v>
      </c>
      <c r="H4622">
        <v>-1258.5999999999999</v>
      </c>
      <c r="I4622">
        <v>-207.2</v>
      </c>
      <c r="J4622">
        <v>-449.07000000000011</v>
      </c>
    </row>
    <row r="4623" spans="1:10" x14ac:dyDescent="0.35">
      <c r="A4623">
        <v>4607</v>
      </c>
      <c r="B4623" s="75">
        <v>89.27</v>
      </c>
      <c r="C4623" s="75">
        <v>99.18</v>
      </c>
      <c r="D4623" s="75">
        <v>93.54</v>
      </c>
      <c r="E4623" s="75">
        <v>93.19</v>
      </c>
      <c r="F4623">
        <v>930.93000000000006</v>
      </c>
      <c r="G4623">
        <v>-1461.9</v>
      </c>
      <c r="H4623">
        <v>-1443.4</v>
      </c>
      <c r="I4623">
        <v>190.29999999999998</v>
      </c>
      <c r="J4623">
        <v>-1784.0700000000002</v>
      </c>
    </row>
    <row r="4624" spans="1:10" x14ac:dyDescent="0.35">
      <c r="A4624">
        <v>4608</v>
      </c>
      <c r="B4624" s="75">
        <v>89.486599999999996</v>
      </c>
      <c r="C4624" s="75">
        <v>98.3553</v>
      </c>
      <c r="D4624" s="75">
        <v>93.741200000000006</v>
      </c>
      <c r="E4624" s="75">
        <v>96.115499999999997</v>
      </c>
      <c r="F4624">
        <v>221.10000000000002</v>
      </c>
      <c r="G4624">
        <v>-218.1</v>
      </c>
      <c r="H4624">
        <v>-1850.2</v>
      </c>
      <c r="I4624">
        <v>-2734.9</v>
      </c>
      <c r="J4624">
        <v>-4582.1000000000004</v>
      </c>
    </row>
    <row r="4625" spans="1:10" x14ac:dyDescent="0.35">
      <c r="A4625">
        <v>4609</v>
      </c>
      <c r="B4625" s="75">
        <v>90.03</v>
      </c>
      <c r="C4625" s="75">
        <v>99.78</v>
      </c>
      <c r="D4625" s="75">
        <v>93.36</v>
      </c>
      <c r="E4625" s="75">
        <v>92.81</v>
      </c>
      <c r="F4625">
        <v>-1586.64</v>
      </c>
      <c r="G4625">
        <v>-2357.25</v>
      </c>
      <c r="H4625">
        <v>-1078.8</v>
      </c>
      <c r="I4625">
        <v>566.9</v>
      </c>
      <c r="J4625">
        <v>-4455.7900000000009</v>
      </c>
    </row>
    <row r="4626" spans="1:10" x14ac:dyDescent="0.35">
      <c r="A4626">
        <v>4610</v>
      </c>
      <c r="B4626" s="75">
        <v>90.031899999999993</v>
      </c>
      <c r="C4626" s="75">
        <v>98.073599999999999</v>
      </c>
      <c r="D4626" s="75">
        <v>92.331800000000001</v>
      </c>
      <c r="E4626" s="75">
        <v>92.329099999999997</v>
      </c>
      <c r="F4626">
        <v>-1578.39</v>
      </c>
      <c r="G4626">
        <v>204.45000000000002</v>
      </c>
      <c r="H4626">
        <v>968.6</v>
      </c>
      <c r="I4626">
        <v>1051.5</v>
      </c>
      <c r="J4626">
        <v>646.16</v>
      </c>
    </row>
    <row r="4627" spans="1:10" x14ac:dyDescent="0.35">
      <c r="A4627">
        <v>4611</v>
      </c>
      <c r="B4627" s="75">
        <v>90.44</v>
      </c>
      <c r="C4627" s="75">
        <v>97.97</v>
      </c>
      <c r="D4627" s="75">
        <v>93.6</v>
      </c>
      <c r="E4627" s="75">
        <v>96.96</v>
      </c>
      <c r="F4627">
        <v>-2917.86</v>
      </c>
      <c r="G4627">
        <v>357</v>
      </c>
      <c r="H4627">
        <v>-1559.3999999999999</v>
      </c>
      <c r="I4627">
        <v>-3583.8999999999996</v>
      </c>
      <c r="J4627">
        <v>-7704.16</v>
      </c>
    </row>
    <row r="4628" spans="1:10" x14ac:dyDescent="0.35">
      <c r="A4628">
        <v>4612</v>
      </c>
      <c r="B4628" s="75">
        <v>88.868099999999998</v>
      </c>
      <c r="C4628" s="75">
        <v>97.692300000000003</v>
      </c>
      <c r="D4628" s="75">
        <v>92.953400000000002</v>
      </c>
      <c r="E4628" s="75">
        <v>90.882900000000006</v>
      </c>
      <c r="F4628">
        <v>2262.15</v>
      </c>
      <c r="G4628">
        <v>776.4</v>
      </c>
      <c r="H4628">
        <v>-274.60000000000002</v>
      </c>
      <c r="I4628">
        <v>2497.6999999999998</v>
      </c>
      <c r="J4628">
        <v>5261.65</v>
      </c>
    </row>
    <row r="4629" spans="1:10" x14ac:dyDescent="0.35">
      <c r="A4629">
        <v>4613</v>
      </c>
      <c r="B4629" s="75">
        <v>88.93</v>
      </c>
      <c r="C4629" s="75">
        <v>97.79</v>
      </c>
      <c r="D4629" s="75">
        <v>96.16</v>
      </c>
      <c r="E4629" s="75">
        <v>94.73</v>
      </c>
      <c r="F4629">
        <v>2054.58</v>
      </c>
      <c r="G4629">
        <v>637.35</v>
      </c>
      <c r="H4629">
        <v>-6696.6</v>
      </c>
      <c r="I4629">
        <v>-1348.4</v>
      </c>
      <c r="J4629">
        <v>-5353.0700000000006</v>
      </c>
    </row>
    <row r="4630" spans="1:10" x14ac:dyDescent="0.35">
      <c r="A4630">
        <v>4614</v>
      </c>
      <c r="B4630" s="75">
        <v>88.698899999999995</v>
      </c>
      <c r="C4630" s="75">
        <v>98.103200000000001</v>
      </c>
      <c r="D4630" s="75">
        <v>92.597300000000004</v>
      </c>
      <c r="E4630" s="75">
        <v>90.458399999999997</v>
      </c>
      <c r="F4630">
        <v>2820.51</v>
      </c>
      <c r="G4630">
        <v>160.05000000000001</v>
      </c>
      <c r="H4630">
        <v>437.59999999999997</v>
      </c>
      <c r="I4630">
        <v>2922.2000000000003</v>
      </c>
      <c r="J4630">
        <v>6340.3600000000006</v>
      </c>
    </row>
    <row r="4631" spans="1:10" x14ac:dyDescent="0.35">
      <c r="A4631">
        <v>4615</v>
      </c>
      <c r="B4631" s="75">
        <v>90</v>
      </c>
      <c r="C4631" s="75">
        <v>98.05</v>
      </c>
      <c r="D4631" s="75">
        <v>91.84</v>
      </c>
      <c r="E4631" s="75">
        <v>94.41</v>
      </c>
      <c r="F4631">
        <v>-1456.6200000000001</v>
      </c>
      <c r="G4631">
        <v>238.5</v>
      </c>
      <c r="H4631">
        <v>1946.3999999999999</v>
      </c>
      <c r="I4631">
        <v>-1032.2</v>
      </c>
      <c r="J4631">
        <v>-303.9200000000003</v>
      </c>
    </row>
    <row r="4632" spans="1:10" x14ac:dyDescent="0.35">
      <c r="A4632">
        <v>4616</v>
      </c>
      <c r="B4632" s="75">
        <v>89.847899999999996</v>
      </c>
      <c r="C4632" s="75">
        <v>98.149500000000003</v>
      </c>
      <c r="D4632" s="75">
        <v>91.822100000000006</v>
      </c>
      <c r="E4632" s="75">
        <v>93.464799999999997</v>
      </c>
      <c r="F4632">
        <v>-971.19</v>
      </c>
      <c r="G4632">
        <v>90.600000000000009</v>
      </c>
      <c r="H4632">
        <v>1988</v>
      </c>
      <c r="I4632">
        <v>-84.2</v>
      </c>
      <c r="J4632">
        <v>1023.2099999999998</v>
      </c>
    </row>
    <row r="4633" spans="1:10" x14ac:dyDescent="0.35">
      <c r="A4633">
        <v>4617</v>
      </c>
      <c r="B4633" s="75">
        <v>90.23</v>
      </c>
      <c r="C4633" s="75">
        <v>97.83</v>
      </c>
      <c r="D4633" s="75">
        <v>94.02</v>
      </c>
      <c r="E4633" s="75">
        <v>94.14</v>
      </c>
      <c r="F4633">
        <v>-2224.5300000000002</v>
      </c>
      <c r="G4633">
        <v>576.9</v>
      </c>
      <c r="H4633">
        <v>-2411.7999999999997</v>
      </c>
      <c r="I4633">
        <v>-757.3</v>
      </c>
      <c r="J4633">
        <v>-4816.7299999999996</v>
      </c>
    </row>
    <row r="4634" spans="1:10" x14ac:dyDescent="0.35">
      <c r="A4634">
        <v>4618</v>
      </c>
      <c r="B4634" s="75">
        <v>88.778300000000002</v>
      </c>
      <c r="C4634" s="75">
        <v>98.355599999999995</v>
      </c>
      <c r="D4634" s="75">
        <v>94.137600000000006</v>
      </c>
      <c r="E4634" s="75">
        <v>91.722499999999997</v>
      </c>
      <c r="F4634">
        <v>2558.4899999999998</v>
      </c>
      <c r="G4634">
        <v>-218.54999999999998</v>
      </c>
      <c r="H4634">
        <v>-2643</v>
      </c>
      <c r="I4634">
        <v>1658.1</v>
      </c>
      <c r="J4634">
        <v>1355.0399999999995</v>
      </c>
    </row>
    <row r="4635" spans="1:10" x14ac:dyDescent="0.35">
      <c r="A4635">
        <v>4619</v>
      </c>
      <c r="B4635" s="75">
        <v>89.03</v>
      </c>
      <c r="C4635" s="75">
        <v>98.45</v>
      </c>
      <c r="D4635" s="75">
        <v>94.19</v>
      </c>
      <c r="E4635" s="75">
        <v>91.96</v>
      </c>
      <c r="F4635">
        <v>1724.2499999999998</v>
      </c>
      <c r="G4635">
        <v>-360</v>
      </c>
      <c r="H4635">
        <v>-2741.2000000000003</v>
      </c>
      <c r="I4635">
        <v>1422.9</v>
      </c>
      <c r="J4635">
        <v>45.949999999999591</v>
      </c>
    </row>
    <row r="4636" spans="1:10" x14ac:dyDescent="0.35">
      <c r="A4636">
        <v>4620</v>
      </c>
      <c r="B4636" s="75">
        <v>90.104200000000006</v>
      </c>
      <c r="C4636" s="75">
        <v>97.139300000000006</v>
      </c>
      <c r="D4636" s="75">
        <v>91.971900000000005</v>
      </c>
      <c r="E4636" s="75">
        <v>93.846500000000006</v>
      </c>
      <c r="F4636">
        <v>-1816.98</v>
      </c>
      <c r="G4636">
        <v>1605.9</v>
      </c>
      <c r="H4636">
        <v>1688.3999999999999</v>
      </c>
      <c r="I4636">
        <v>-465.9</v>
      </c>
      <c r="J4636">
        <v>1011.42</v>
      </c>
    </row>
    <row r="4637" spans="1:10" x14ac:dyDescent="0.35">
      <c r="A4637">
        <v>4621</v>
      </c>
      <c r="B4637" s="75">
        <v>89.14</v>
      </c>
      <c r="C4637" s="75">
        <v>98.32</v>
      </c>
      <c r="D4637" s="75">
        <v>92.41</v>
      </c>
      <c r="E4637" s="75">
        <v>93.85</v>
      </c>
      <c r="F4637">
        <v>1349.37</v>
      </c>
      <c r="G4637">
        <v>-172.2</v>
      </c>
      <c r="H4637">
        <v>815.2</v>
      </c>
      <c r="I4637">
        <v>-473.5</v>
      </c>
      <c r="J4637">
        <v>1518.87</v>
      </c>
    </row>
    <row r="4638" spans="1:10" x14ac:dyDescent="0.35">
      <c r="A4638">
        <v>4622</v>
      </c>
      <c r="B4638" s="75">
        <v>90.022000000000006</v>
      </c>
      <c r="C4638" s="75">
        <v>97.590699999999998</v>
      </c>
      <c r="D4638" s="75">
        <v>94.292699999999996</v>
      </c>
      <c r="E4638" s="75">
        <v>94.357399999999998</v>
      </c>
      <c r="F4638">
        <v>-1545.72</v>
      </c>
      <c r="G4638">
        <v>928.8</v>
      </c>
      <c r="H4638">
        <v>-2953.2</v>
      </c>
      <c r="I4638">
        <v>-976.8</v>
      </c>
      <c r="J4638">
        <v>-4546.92</v>
      </c>
    </row>
    <row r="4639" spans="1:10" x14ac:dyDescent="0.35">
      <c r="A4639">
        <v>4623</v>
      </c>
      <c r="B4639" s="75">
        <v>90.25</v>
      </c>
      <c r="C4639" s="75">
        <v>98.86</v>
      </c>
      <c r="D4639" s="75">
        <v>92.01</v>
      </c>
      <c r="E4639" s="75">
        <v>92.91</v>
      </c>
      <c r="F4639">
        <v>-2289.21</v>
      </c>
      <c r="G4639">
        <v>-981.6</v>
      </c>
      <c r="H4639">
        <v>1614.4</v>
      </c>
      <c r="I4639">
        <v>468.8</v>
      </c>
      <c r="J4639">
        <v>-1187.6099999999999</v>
      </c>
    </row>
    <row r="4640" spans="1:10" x14ac:dyDescent="0.35">
      <c r="A4640">
        <v>4624</v>
      </c>
      <c r="B4640" s="75">
        <v>90.036500000000004</v>
      </c>
      <c r="C4640" s="75">
        <v>99.956000000000003</v>
      </c>
      <c r="D4640" s="75">
        <v>93.162000000000006</v>
      </c>
      <c r="E4640" s="75">
        <v>93.141400000000004</v>
      </c>
      <c r="F4640">
        <v>-1593.57</v>
      </c>
      <c r="G4640">
        <v>-2619.15</v>
      </c>
      <c r="H4640">
        <v>-691.8</v>
      </c>
      <c r="I4640">
        <v>239.2</v>
      </c>
      <c r="J4640">
        <v>-4665.3200000000006</v>
      </c>
    </row>
    <row r="4641" spans="1:10" x14ac:dyDescent="0.35">
      <c r="A4641">
        <v>4625</v>
      </c>
      <c r="B4641" s="75">
        <v>89.75</v>
      </c>
      <c r="C4641" s="75">
        <v>96.75</v>
      </c>
      <c r="D4641" s="75">
        <v>90.39</v>
      </c>
      <c r="E4641" s="75">
        <v>91.86</v>
      </c>
      <c r="F4641">
        <v>-643.83000000000004</v>
      </c>
      <c r="G4641">
        <v>2191.2000000000003</v>
      </c>
      <c r="H4641">
        <v>4858.2</v>
      </c>
      <c r="I4641">
        <v>1517.6000000000001</v>
      </c>
      <c r="J4641">
        <v>7923.17</v>
      </c>
    </row>
    <row r="4642" spans="1:10" x14ac:dyDescent="0.35">
      <c r="A4642">
        <v>4626</v>
      </c>
      <c r="B4642" s="75">
        <v>89.2029</v>
      </c>
      <c r="C4642" s="75">
        <v>98.659000000000006</v>
      </c>
      <c r="D4642" s="75">
        <v>92.749600000000001</v>
      </c>
      <c r="E4642" s="75">
        <v>93.448999999999998</v>
      </c>
      <c r="F4642">
        <v>1157.31</v>
      </c>
      <c r="G4642">
        <v>-673.65</v>
      </c>
      <c r="H4642">
        <v>133</v>
      </c>
      <c r="I4642">
        <v>-68.400000000000006</v>
      </c>
      <c r="J4642">
        <v>548.26</v>
      </c>
    </row>
    <row r="4643" spans="1:10" x14ac:dyDescent="0.35">
      <c r="A4643">
        <v>4627</v>
      </c>
      <c r="B4643" s="75">
        <v>89.72</v>
      </c>
      <c r="C4643" s="75">
        <v>97.29</v>
      </c>
      <c r="D4643" s="75">
        <v>94.1</v>
      </c>
      <c r="E4643" s="75">
        <v>95.16</v>
      </c>
      <c r="F4643">
        <v>-550.77</v>
      </c>
      <c r="G4643">
        <v>1379.6999999999998</v>
      </c>
      <c r="H4643">
        <v>-2558.3999999999996</v>
      </c>
      <c r="I4643">
        <v>-1775.3000000000002</v>
      </c>
      <c r="J4643">
        <v>-3504.77</v>
      </c>
    </row>
    <row r="4644" spans="1:10" x14ac:dyDescent="0.35">
      <c r="A4644">
        <v>4628</v>
      </c>
      <c r="B4644" s="75">
        <v>89.855999999999995</v>
      </c>
      <c r="C4644" s="75">
        <v>96.283000000000001</v>
      </c>
      <c r="D4644" s="75">
        <v>93.229900000000001</v>
      </c>
      <c r="E4644" s="75">
        <v>96.717299999999994</v>
      </c>
      <c r="F4644">
        <v>-997.92</v>
      </c>
      <c r="G4644">
        <v>2890.35</v>
      </c>
      <c r="H4644">
        <v>-827.6</v>
      </c>
      <c r="I4644">
        <v>-3336.7</v>
      </c>
      <c r="J4644">
        <v>-2271.87</v>
      </c>
    </row>
    <row r="4645" spans="1:10" x14ac:dyDescent="0.35">
      <c r="A4645">
        <v>4629</v>
      </c>
      <c r="B4645" s="75">
        <v>89.29</v>
      </c>
      <c r="C4645" s="75">
        <v>97.95</v>
      </c>
      <c r="D4645" s="75">
        <v>91.82</v>
      </c>
      <c r="E4645" s="75">
        <v>90.06</v>
      </c>
      <c r="F4645">
        <v>880.11</v>
      </c>
      <c r="G4645">
        <v>395.25</v>
      </c>
      <c r="H4645">
        <v>1988.6</v>
      </c>
      <c r="I4645">
        <v>3325</v>
      </c>
      <c r="J4645">
        <v>6588.96</v>
      </c>
    </row>
    <row r="4646" spans="1:10" x14ac:dyDescent="0.35">
      <c r="A4646">
        <v>4630</v>
      </c>
      <c r="B4646" s="75">
        <v>90.069400000000002</v>
      </c>
      <c r="C4646" s="75">
        <v>96.970500000000001</v>
      </c>
      <c r="D4646" s="75">
        <v>93.34</v>
      </c>
      <c r="E4646" s="75">
        <v>92.827799999999996</v>
      </c>
      <c r="F4646">
        <v>-1702.14</v>
      </c>
      <c r="G4646">
        <v>1859.1000000000001</v>
      </c>
      <c r="H4646">
        <v>-1047.8</v>
      </c>
      <c r="I4646">
        <v>552.79999999999995</v>
      </c>
      <c r="J4646">
        <v>-338.03999999999996</v>
      </c>
    </row>
    <row r="4647" spans="1:10" x14ac:dyDescent="0.35">
      <c r="A4647">
        <v>4631</v>
      </c>
      <c r="B4647" s="75">
        <v>90.22</v>
      </c>
      <c r="C4647" s="75">
        <v>98.37</v>
      </c>
      <c r="D4647" s="75">
        <v>92.15</v>
      </c>
      <c r="E4647" s="75">
        <v>93.48</v>
      </c>
      <c r="F4647">
        <v>-2192.85</v>
      </c>
      <c r="G4647">
        <v>-233.10000000000002</v>
      </c>
      <c r="H4647">
        <v>1338.2</v>
      </c>
      <c r="I4647">
        <v>-100.4</v>
      </c>
      <c r="J4647">
        <v>-1188.1499999999999</v>
      </c>
    </row>
    <row r="4648" spans="1:10" x14ac:dyDescent="0.35">
      <c r="A4648">
        <v>4632</v>
      </c>
      <c r="B4648" s="75">
        <v>89.483400000000003</v>
      </c>
      <c r="C4648" s="75">
        <v>98.876099999999994</v>
      </c>
      <c r="D4648" s="75">
        <v>93.238100000000003</v>
      </c>
      <c r="E4648" s="75">
        <v>92.365899999999996</v>
      </c>
      <c r="F4648">
        <v>231.66</v>
      </c>
      <c r="G4648">
        <v>-999.30000000000007</v>
      </c>
      <c r="H4648">
        <v>-844</v>
      </c>
      <c r="I4648">
        <v>1014.6999999999999</v>
      </c>
      <c r="J4648">
        <v>-596.94000000000017</v>
      </c>
    </row>
    <row r="4649" spans="1:10" x14ac:dyDescent="0.35">
      <c r="A4649">
        <v>4633</v>
      </c>
      <c r="B4649" s="75">
        <v>89.24</v>
      </c>
      <c r="C4649" s="75">
        <v>98.57</v>
      </c>
      <c r="D4649" s="75">
        <v>92.21</v>
      </c>
      <c r="E4649" s="75">
        <v>91.5</v>
      </c>
      <c r="F4649">
        <v>1021.02</v>
      </c>
      <c r="G4649">
        <v>-545.25</v>
      </c>
      <c r="H4649">
        <v>1222</v>
      </c>
      <c r="I4649">
        <v>1876.1000000000001</v>
      </c>
      <c r="J4649">
        <v>3573.87</v>
      </c>
    </row>
    <row r="4650" spans="1:10" x14ac:dyDescent="0.35">
      <c r="A4650">
        <v>4634</v>
      </c>
      <c r="B4650" s="75">
        <v>89.110600000000005</v>
      </c>
      <c r="C4650" s="75">
        <v>99.067800000000005</v>
      </c>
      <c r="D4650" s="75">
        <v>94.617800000000003</v>
      </c>
      <c r="E4650" s="75">
        <v>91.591700000000003</v>
      </c>
      <c r="F4650">
        <v>1461.9</v>
      </c>
      <c r="G4650">
        <v>-1286.8499999999999</v>
      </c>
      <c r="H4650">
        <v>-3603.4</v>
      </c>
      <c r="I4650">
        <v>1788.8999999999999</v>
      </c>
      <c r="J4650">
        <v>-1639.45</v>
      </c>
    </row>
    <row r="4651" spans="1:10" x14ac:dyDescent="0.35">
      <c r="A4651">
        <v>4635</v>
      </c>
      <c r="B4651" s="75">
        <v>89.78</v>
      </c>
      <c r="C4651" s="75">
        <v>97.07</v>
      </c>
      <c r="D4651" s="75">
        <v>92.71</v>
      </c>
      <c r="E4651" s="75">
        <v>95.91</v>
      </c>
      <c r="F4651">
        <v>-734.25</v>
      </c>
      <c r="G4651">
        <v>1704.3000000000002</v>
      </c>
      <c r="H4651">
        <v>221.8</v>
      </c>
      <c r="I4651">
        <v>-2526.9</v>
      </c>
      <c r="J4651">
        <v>-1335.05</v>
      </c>
    </row>
    <row r="4652" spans="1:10" x14ac:dyDescent="0.35">
      <c r="A4652">
        <v>4636</v>
      </c>
      <c r="B4652" s="75">
        <v>90.544600000000003</v>
      </c>
      <c r="C4652" s="75">
        <v>98.052499999999995</v>
      </c>
      <c r="D4652" s="75">
        <v>93.496300000000005</v>
      </c>
      <c r="E4652" s="75">
        <v>95.376599999999996</v>
      </c>
      <c r="F4652">
        <v>-3270.3</v>
      </c>
      <c r="G4652">
        <v>236.10000000000002</v>
      </c>
      <c r="H4652">
        <v>-1360.4</v>
      </c>
      <c r="I4652">
        <v>-1996</v>
      </c>
      <c r="J4652">
        <v>-6390.6</v>
      </c>
    </row>
    <row r="4653" spans="1:10" x14ac:dyDescent="0.35">
      <c r="A4653">
        <v>4637</v>
      </c>
      <c r="B4653" s="75">
        <v>89.76</v>
      </c>
      <c r="C4653" s="75">
        <v>98.19</v>
      </c>
      <c r="D4653" s="75">
        <v>94.06</v>
      </c>
      <c r="E4653" s="75">
        <v>91.99</v>
      </c>
      <c r="F4653">
        <v>-675.18000000000006</v>
      </c>
      <c r="G4653">
        <v>23.85</v>
      </c>
      <c r="H4653">
        <v>-2479</v>
      </c>
      <c r="I4653">
        <v>1393.2</v>
      </c>
      <c r="J4653">
        <v>-1737.1299999999999</v>
      </c>
    </row>
    <row r="4654" spans="1:10" x14ac:dyDescent="0.35">
      <c r="A4654">
        <v>4638</v>
      </c>
      <c r="B4654" s="75">
        <v>89.644599999999997</v>
      </c>
      <c r="C4654" s="75">
        <v>97.4071</v>
      </c>
      <c r="D4654" s="75">
        <v>93.297499999999999</v>
      </c>
      <c r="E4654" s="75">
        <v>95.393600000000006</v>
      </c>
      <c r="F4654">
        <v>-300.3</v>
      </c>
      <c r="G4654">
        <v>1204.2</v>
      </c>
      <c r="H4654">
        <v>-962.8</v>
      </c>
      <c r="I4654">
        <v>-2013</v>
      </c>
      <c r="J4654">
        <v>-2071.8999999999996</v>
      </c>
    </row>
    <row r="4655" spans="1:10" x14ac:dyDescent="0.35">
      <c r="A4655">
        <v>4639</v>
      </c>
      <c r="B4655" s="75">
        <v>89.04</v>
      </c>
      <c r="C4655" s="75">
        <v>98.11</v>
      </c>
      <c r="D4655" s="75">
        <v>90.47</v>
      </c>
      <c r="E4655" s="75">
        <v>95.48</v>
      </c>
      <c r="F4655">
        <v>1689.6000000000001</v>
      </c>
      <c r="G4655">
        <v>150.15</v>
      </c>
      <c r="H4655">
        <v>4682.8</v>
      </c>
      <c r="I4655">
        <v>-2096.1</v>
      </c>
      <c r="J4655">
        <v>4426.4500000000007</v>
      </c>
    </row>
    <row r="4656" spans="1:10" x14ac:dyDescent="0.35">
      <c r="A4656">
        <v>4640</v>
      </c>
      <c r="B4656" s="75">
        <v>90.563000000000002</v>
      </c>
      <c r="C4656" s="75">
        <v>97.105500000000006</v>
      </c>
      <c r="D4656" s="75">
        <v>91.660799999999995</v>
      </c>
      <c r="E4656" s="75">
        <v>93.477900000000005</v>
      </c>
      <c r="F4656">
        <v>-3331.0200000000004</v>
      </c>
      <c r="G4656">
        <v>1656.6000000000001</v>
      </c>
      <c r="H4656">
        <v>2310.6</v>
      </c>
      <c r="I4656">
        <v>-97.3</v>
      </c>
      <c r="J4656">
        <v>538.87999999999965</v>
      </c>
    </row>
    <row r="4657" spans="1:10" x14ac:dyDescent="0.35">
      <c r="A4657">
        <v>4641</v>
      </c>
      <c r="B4657" s="75">
        <v>90.21</v>
      </c>
      <c r="C4657" s="75">
        <v>98.4</v>
      </c>
      <c r="D4657" s="75">
        <v>92.02</v>
      </c>
      <c r="E4657" s="75">
        <v>91.88</v>
      </c>
      <c r="F4657">
        <v>-2178.33</v>
      </c>
      <c r="G4657">
        <v>-278.7</v>
      </c>
      <c r="H4657">
        <v>1587.6</v>
      </c>
      <c r="I4657">
        <v>1505.4</v>
      </c>
      <c r="J4657">
        <v>635.97000000000025</v>
      </c>
    </row>
    <row r="4658" spans="1:10" x14ac:dyDescent="0.35">
      <c r="A4658">
        <v>4642</v>
      </c>
      <c r="B4658" s="75">
        <v>88.881299999999996</v>
      </c>
      <c r="C4658" s="75">
        <v>99.382099999999994</v>
      </c>
      <c r="D4658" s="75">
        <v>91.099500000000006</v>
      </c>
      <c r="E4658" s="75">
        <v>94.492900000000006</v>
      </c>
      <c r="F4658">
        <v>2218.59</v>
      </c>
      <c r="G4658">
        <v>-1758.3</v>
      </c>
      <c r="H4658">
        <v>3433.2</v>
      </c>
      <c r="I4658">
        <v>-1112.3</v>
      </c>
      <c r="J4658">
        <v>2781.1899999999996</v>
      </c>
    </row>
    <row r="4659" spans="1:10" x14ac:dyDescent="0.35">
      <c r="A4659">
        <v>4643</v>
      </c>
      <c r="B4659" s="75">
        <v>90.24</v>
      </c>
      <c r="C4659" s="75">
        <v>96.96</v>
      </c>
      <c r="D4659" s="75">
        <v>94.22</v>
      </c>
      <c r="E4659" s="75">
        <v>93.32</v>
      </c>
      <c r="F4659">
        <v>-2264.13</v>
      </c>
      <c r="G4659">
        <v>1881.45</v>
      </c>
      <c r="H4659">
        <v>-2804</v>
      </c>
      <c r="I4659">
        <v>63.5</v>
      </c>
      <c r="J4659">
        <v>-3123.1800000000003</v>
      </c>
    </row>
    <row r="4660" spans="1:10" x14ac:dyDescent="0.35">
      <c r="A4660">
        <v>4644</v>
      </c>
      <c r="B4660" s="75">
        <v>89.160899999999998</v>
      </c>
      <c r="C4660" s="75">
        <v>98.8733</v>
      </c>
      <c r="D4660" s="75">
        <v>92.4482</v>
      </c>
      <c r="E4660" s="75">
        <v>94.797200000000004</v>
      </c>
      <c r="F4660">
        <v>1295.9100000000001</v>
      </c>
      <c r="G4660">
        <v>-995.1</v>
      </c>
      <c r="H4660">
        <v>735.8</v>
      </c>
      <c r="I4660">
        <v>-1416.6000000000001</v>
      </c>
      <c r="J4660">
        <v>-379.99</v>
      </c>
    </row>
    <row r="4661" spans="1:10" x14ac:dyDescent="0.35">
      <c r="A4661">
        <v>4645</v>
      </c>
      <c r="B4661" s="75">
        <v>89.65</v>
      </c>
      <c r="C4661" s="75">
        <v>98.29</v>
      </c>
      <c r="D4661" s="75">
        <v>93.5</v>
      </c>
      <c r="E4661" s="75">
        <v>93.34</v>
      </c>
      <c r="F4661">
        <v>-320.43</v>
      </c>
      <c r="G4661">
        <v>-120.6</v>
      </c>
      <c r="H4661">
        <v>-1363.8</v>
      </c>
      <c r="I4661">
        <v>42.3</v>
      </c>
      <c r="J4661">
        <v>-1762.53</v>
      </c>
    </row>
    <row r="4662" spans="1:10" x14ac:dyDescent="0.35">
      <c r="A4662">
        <v>4646</v>
      </c>
      <c r="B4662" s="75">
        <v>89.6297</v>
      </c>
      <c r="C4662" s="75">
        <v>97.753799999999998</v>
      </c>
      <c r="D4662" s="75">
        <v>92.479100000000003</v>
      </c>
      <c r="E4662" s="75">
        <v>92.841999999999999</v>
      </c>
      <c r="F4662">
        <v>-251.13</v>
      </c>
      <c r="G4662">
        <v>684.15</v>
      </c>
      <c r="H4662">
        <v>674</v>
      </c>
      <c r="I4662">
        <v>538.6</v>
      </c>
      <c r="J4662">
        <v>1645.62</v>
      </c>
    </row>
    <row r="4663" spans="1:10" x14ac:dyDescent="0.35">
      <c r="A4663">
        <v>4647</v>
      </c>
      <c r="B4663" s="75">
        <v>89.39</v>
      </c>
      <c r="C4663" s="75">
        <v>98.92</v>
      </c>
      <c r="D4663" s="75">
        <v>92.39</v>
      </c>
      <c r="E4663" s="75">
        <v>96.64</v>
      </c>
      <c r="F4663">
        <v>555.39</v>
      </c>
      <c r="G4663">
        <v>-1060.6499999999999</v>
      </c>
      <c r="H4663">
        <v>852.6</v>
      </c>
      <c r="I4663">
        <v>-3262.7999999999997</v>
      </c>
      <c r="J4663">
        <v>-2915.4599999999996</v>
      </c>
    </row>
    <row r="4664" spans="1:10" x14ac:dyDescent="0.35">
      <c r="A4664">
        <v>4648</v>
      </c>
      <c r="B4664" s="75">
        <v>89.609200000000001</v>
      </c>
      <c r="C4664" s="75">
        <v>98.159199999999998</v>
      </c>
      <c r="D4664" s="75">
        <v>92.457999999999998</v>
      </c>
      <c r="E4664" s="75">
        <v>93.272000000000006</v>
      </c>
      <c r="F4664">
        <v>-183.48</v>
      </c>
      <c r="G4664">
        <v>76.05</v>
      </c>
      <c r="H4664">
        <v>716.19999999999993</v>
      </c>
      <c r="I4664">
        <v>108.60000000000001</v>
      </c>
      <c r="J4664">
        <v>717.37</v>
      </c>
    </row>
    <row r="4665" spans="1:10" x14ac:dyDescent="0.35">
      <c r="A4665">
        <v>4649</v>
      </c>
      <c r="B4665" s="75">
        <v>89.5</v>
      </c>
      <c r="C4665" s="75">
        <v>99.49</v>
      </c>
      <c r="D4665" s="75">
        <v>94.25</v>
      </c>
      <c r="E4665" s="75">
        <v>94.16</v>
      </c>
      <c r="F4665">
        <v>173.25</v>
      </c>
      <c r="G4665">
        <v>-1926.8999999999999</v>
      </c>
      <c r="H4665">
        <v>-2865.8</v>
      </c>
      <c r="I4665">
        <v>-783</v>
      </c>
      <c r="J4665">
        <v>-5402.45</v>
      </c>
    </row>
    <row r="4666" spans="1:10" x14ac:dyDescent="0.35">
      <c r="A4666">
        <v>4650</v>
      </c>
      <c r="B4666" s="75">
        <v>90.383799999999994</v>
      </c>
      <c r="C4666" s="75">
        <v>98.069100000000006</v>
      </c>
      <c r="D4666" s="75">
        <v>93.775199999999998</v>
      </c>
      <c r="E4666" s="75">
        <v>92.898300000000006</v>
      </c>
      <c r="F4666">
        <v>-2739.6600000000003</v>
      </c>
      <c r="G4666">
        <v>211.20000000000002</v>
      </c>
      <c r="H4666">
        <v>-1918.1999999999998</v>
      </c>
      <c r="I4666">
        <v>482.3</v>
      </c>
      <c r="J4666">
        <v>-3964.3599999999997</v>
      </c>
    </row>
    <row r="4667" spans="1:10" x14ac:dyDescent="0.35">
      <c r="A4667">
        <v>4651</v>
      </c>
      <c r="B4667" s="75">
        <v>88.96</v>
      </c>
      <c r="C4667" s="75">
        <v>98.45</v>
      </c>
      <c r="D4667" s="75">
        <v>92.58</v>
      </c>
      <c r="E4667" s="75">
        <v>96.41</v>
      </c>
      <c r="F4667">
        <v>1954.5900000000001</v>
      </c>
      <c r="G4667">
        <v>-356.55</v>
      </c>
      <c r="H4667">
        <v>472.8</v>
      </c>
      <c r="I4667">
        <v>-3027.2000000000003</v>
      </c>
      <c r="J4667">
        <v>-956.36000000000013</v>
      </c>
    </row>
    <row r="4668" spans="1:10" x14ac:dyDescent="0.35">
      <c r="A4668">
        <v>4652</v>
      </c>
      <c r="B4668" s="75">
        <v>89.195099999999996</v>
      </c>
      <c r="C4668" s="75">
        <v>98.197199999999995</v>
      </c>
      <c r="D4668" s="75">
        <v>94.444400000000002</v>
      </c>
      <c r="E4668" s="75">
        <v>95.786000000000001</v>
      </c>
      <c r="F4668">
        <v>1183.05</v>
      </c>
      <c r="G4668">
        <v>19.05</v>
      </c>
      <c r="H4668">
        <v>-3256.6000000000004</v>
      </c>
      <c r="I4668">
        <v>-2405.4</v>
      </c>
      <c r="J4668">
        <v>-4459.9000000000005</v>
      </c>
    </row>
    <row r="4669" spans="1:10" x14ac:dyDescent="0.35">
      <c r="A4669">
        <v>4653</v>
      </c>
      <c r="B4669" s="75">
        <v>88.91</v>
      </c>
      <c r="C4669" s="75">
        <v>98.34</v>
      </c>
      <c r="D4669" s="75">
        <v>91.93</v>
      </c>
      <c r="E4669" s="75">
        <v>94.64</v>
      </c>
      <c r="F4669">
        <v>2139.06</v>
      </c>
      <c r="G4669">
        <v>-187.64999999999998</v>
      </c>
      <c r="H4669">
        <v>1781.8</v>
      </c>
      <c r="I4669">
        <v>-1256</v>
      </c>
      <c r="J4669">
        <v>2477.21</v>
      </c>
    </row>
    <row r="4670" spans="1:10" x14ac:dyDescent="0.35">
      <c r="A4670">
        <v>4654</v>
      </c>
      <c r="B4670" s="75">
        <v>88.811300000000003</v>
      </c>
      <c r="C4670" s="75">
        <v>97.728700000000003</v>
      </c>
      <c r="D4670" s="75">
        <v>94.757000000000005</v>
      </c>
      <c r="E4670" s="75">
        <v>89.957700000000003</v>
      </c>
      <c r="F4670">
        <v>2449.5899999999997</v>
      </c>
      <c r="G4670">
        <v>721.80000000000007</v>
      </c>
      <c r="H4670">
        <v>-3881.8</v>
      </c>
      <c r="I4670">
        <v>3422.8999999999996</v>
      </c>
      <c r="J4670">
        <v>2712.4899999999993</v>
      </c>
    </row>
    <row r="4671" spans="1:10" x14ac:dyDescent="0.35">
      <c r="A4671">
        <v>4655</v>
      </c>
      <c r="B4671" s="75">
        <v>89.76</v>
      </c>
      <c r="C4671" s="75">
        <v>99.45</v>
      </c>
      <c r="D4671" s="75">
        <v>91.92</v>
      </c>
      <c r="E4671" s="75">
        <v>93.98</v>
      </c>
      <c r="F4671">
        <v>-695.64</v>
      </c>
      <c r="G4671">
        <v>-1866.75</v>
      </c>
      <c r="H4671">
        <v>1793.8</v>
      </c>
      <c r="I4671">
        <v>-600.9</v>
      </c>
      <c r="J4671">
        <v>-1369.4899999999998</v>
      </c>
    </row>
    <row r="4672" spans="1:10" x14ac:dyDescent="0.35">
      <c r="A4672">
        <v>4656</v>
      </c>
      <c r="B4672" s="75">
        <v>89.543400000000005</v>
      </c>
      <c r="C4672" s="75">
        <v>97.703599999999994</v>
      </c>
      <c r="D4672" s="75">
        <v>93.094300000000004</v>
      </c>
      <c r="E4672" s="75">
        <v>93.822400000000002</v>
      </c>
      <c r="F4672">
        <v>33.660000000000004</v>
      </c>
      <c r="G4672">
        <v>759.44999999999993</v>
      </c>
      <c r="H4672">
        <v>-556.4</v>
      </c>
      <c r="I4672">
        <v>-441.8</v>
      </c>
      <c r="J4672">
        <v>-205.09000000000009</v>
      </c>
    </row>
    <row r="4673" spans="1:10" x14ac:dyDescent="0.35">
      <c r="A4673">
        <v>4657</v>
      </c>
      <c r="B4673" s="75">
        <v>89.26</v>
      </c>
      <c r="C4673" s="75">
        <v>98.35</v>
      </c>
      <c r="D4673" s="75">
        <v>93.82</v>
      </c>
      <c r="E4673" s="75">
        <v>92.03</v>
      </c>
      <c r="F4673">
        <v>973.17</v>
      </c>
      <c r="G4673">
        <v>-207.6</v>
      </c>
      <c r="H4673">
        <v>-2017.6</v>
      </c>
      <c r="I4673">
        <v>1354.2</v>
      </c>
      <c r="J4673">
        <v>102.17000000000007</v>
      </c>
    </row>
    <row r="4674" spans="1:10" x14ac:dyDescent="0.35">
      <c r="A4674">
        <v>4658</v>
      </c>
      <c r="B4674" s="75">
        <v>89.575400000000002</v>
      </c>
      <c r="C4674" s="75">
        <v>98.369299999999996</v>
      </c>
      <c r="D4674" s="75">
        <v>91.572100000000006</v>
      </c>
      <c r="E4674" s="75">
        <v>93.556600000000003</v>
      </c>
      <c r="F4674">
        <v>-71.94</v>
      </c>
      <c r="G4674">
        <v>-239.09999999999997</v>
      </c>
      <c r="H4674">
        <v>2488</v>
      </c>
      <c r="I4674">
        <v>-176</v>
      </c>
      <c r="J4674">
        <v>2000.96</v>
      </c>
    </row>
    <row r="4675" spans="1:10" x14ac:dyDescent="0.35">
      <c r="A4675">
        <v>4659</v>
      </c>
      <c r="B4675" s="75">
        <v>89.88</v>
      </c>
      <c r="C4675" s="75">
        <v>97.84</v>
      </c>
      <c r="D4675" s="75">
        <v>94.93</v>
      </c>
      <c r="E4675" s="75">
        <v>94.95</v>
      </c>
      <c r="F4675">
        <v>-1079.43</v>
      </c>
      <c r="G4675">
        <v>553.95000000000005</v>
      </c>
      <c r="H4675">
        <v>-4233.7999999999993</v>
      </c>
      <c r="I4675">
        <v>-1571.9</v>
      </c>
      <c r="J4675">
        <v>-6331.1799999999985</v>
      </c>
    </row>
    <row r="4676" spans="1:10" x14ac:dyDescent="0.35">
      <c r="A4676">
        <v>4660</v>
      </c>
      <c r="B4676" s="75">
        <v>89.739400000000003</v>
      </c>
      <c r="C4676" s="75">
        <v>98.081699999999998</v>
      </c>
      <c r="D4676" s="75">
        <v>92.734999999999999</v>
      </c>
      <c r="E4676" s="75">
        <v>93.927300000000002</v>
      </c>
      <c r="F4676">
        <v>-613.14</v>
      </c>
      <c r="G4676">
        <v>192.3</v>
      </c>
      <c r="H4676">
        <v>162.20000000000002</v>
      </c>
      <c r="I4676">
        <v>-546.69999999999993</v>
      </c>
      <c r="J4676">
        <v>-805.33999999999992</v>
      </c>
    </row>
    <row r="4677" spans="1:10" x14ac:dyDescent="0.35">
      <c r="A4677">
        <v>4661</v>
      </c>
      <c r="B4677" s="75">
        <v>90.19</v>
      </c>
      <c r="C4677" s="75">
        <v>97.7</v>
      </c>
      <c r="D4677" s="75">
        <v>92.75</v>
      </c>
      <c r="E4677" s="75">
        <v>93.33</v>
      </c>
      <c r="F4677">
        <v>-2111.67</v>
      </c>
      <c r="G4677">
        <v>765.90000000000009</v>
      </c>
      <c r="H4677">
        <v>128.80000000000001</v>
      </c>
      <c r="I4677">
        <v>51.8</v>
      </c>
      <c r="J4677">
        <v>-1165.17</v>
      </c>
    </row>
    <row r="4678" spans="1:10" x14ac:dyDescent="0.35">
      <c r="A4678">
        <v>4662</v>
      </c>
      <c r="B4678" s="75">
        <v>89.312700000000007</v>
      </c>
      <c r="C4678" s="75">
        <v>99.055400000000006</v>
      </c>
      <c r="D4678" s="75">
        <v>92.491900000000001</v>
      </c>
      <c r="E4678" s="75">
        <v>93.664100000000005</v>
      </c>
      <c r="F4678">
        <v>794.97</v>
      </c>
      <c r="G4678">
        <v>-1268.25</v>
      </c>
      <c r="H4678">
        <v>648.4</v>
      </c>
      <c r="I4678">
        <v>-283.5</v>
      </c>
      <c r="J4678">
        <v>-108.38</v>
      </c>
    </row>
    <row r="4679" spans="1:10" x14ac:dyDescent="0.35">
      <c r="A4679">
        <v>4663</v>
      </c>
      <c r="B4679" s="75">
        <v>89.8</v>
      </c>
      <c r="C4679" s="75">
        <v>98.31</v>
      </c>
      <c r="D4679" s="75">
        <v>92.89</v>
      </c>
      <c r="E4679" s="75">
        <v>96.26</v>
      </c>
      <c r="F4679">
        <v>-810.15</v>
      </c>
      <c r="G4679">
        <v>-154.35</v>
      </c>
      <c r="H4679">
        <v>-145.6</v>
      </c>
      <c r="I4679">
        <v>-2874.8999999999996</v>
      </c>
      <c r="J4679">
        <v>-3984.9999999999995</v>
      </c>
    </row>
    <row r="4680" spans="1:10" x14ac:dyDescent="0.35">
      <c r="A4680">
        <v>4664</v>
      </c>
      <c r="B4680" s="75">
        <v>89.5304</v>
      </c>
      <c r="C4680" s="75">
        <v>97.868499999999997</v>
      </c>
      <c r="D4680" s="75">
        <v>92.148499999999999</v>
      </c>
      <c r="E4680" s="75">
        <v>91.405600000000007</v>
      </c>
      <c r="F4680">
        <v>76.559999999999988</v>
      </c>
      <c r="G4680">
        <v>512.1</v>
      </c>
      <c r="H4680">
        <v>1335.2</v>
      </c>
      <c r="I4680">
        <v>1975</v>
      </c>
      <c r="J4680">
        <v>3898.86</v>
      </c>
    </row>
    <row r="4681" spans="1:10" x14ac:dyDescent="0.35">
      <c r="A4681">
        <v>4665</v>
      </c>
      <c r="B4681" s="75">
        <v>89.07</v>
      </c>
      <c r="C4681" s="75">
        <v>97.93</v>
      </c>
      <c r="D4681" s="75">
        <v>92.34</v>
      </c>
      <c r="E4681" s="75">
        <v>92.59</v>
      </c>
      <c r="F4681">
        <v>1590.6</v>
      </c>
      <c r="G4681">
        <v>417.59999999999997</v>
      </c>
      <c r="H4681">
        <v>952.6</v>
      </c>
      <c r="I4681">
        <v>795.3</v>
      </c>
      <c r="J4681">
        <v>3756.0999999999995</v>
      </c>
    </row>
    <row r="4682" spans="1:10" x14ac:dyDescent="0.35">
      <c r="A4682">
        <v>4666</v>
      </c>
      <c r="B4682" s="75">
        <v>89.396900000000002</v>
      </c>
      <c r="C4682" s="75">
        <v>99.607699999999994</v>
      </c>
      <c r="D4682" s="75">
        <v>92.571200000000005</v>
      </c>
      <c r="E4682" s="75">
        <v>94.327200000000005</v>
      </c>
      <c r="F4682">
        <v>517.11</v>
      </c>
      <c r="G4682">
        <v>-2096.6999999999998</v>
      </c>
      <c r="H4682">
        <v>489.8</v>
      </c>
      <c r="I4682">
        <v>-946.6</v>
      </c>
      <c r="J4682">
        <v>-2036.3899999999999</v>
      </c>
    </row>
    <row r="4683" spans="1:10" x14ac:dyDescent="0.35">
      <c r="A4683">
        <v>4667</v>
      </c>
      <c r="B4683" s="75">
        <v>90.15</v>
      </c>
      <c r="C4683" s="75">
        <v>98.2</v>
      </c>
      <c r="D4683" s="75">
        <v>92.83</v>
      </c>
      <c r="E4683" s="75">
        <v>96.17</v>
      </c>
      <c r="F4683">
        <v>-1974.7200000000003</v>
      </c>
      <c r="G4683">
        <v>8.5500000000000007</v>
      </c>
      <c r="H4683">
        <v>-33.6</v>
      </c>
      <c r="I4683">
        <v>-2792.5</v>
      </c>
      <c r="J4683">
        <v>-4792.2700000000004</v>
      </c>
    </row>
    <row r="4684" spans="1:10" x14ac:dyDescent="0.35">
      <c r="A4684">
        <v>4668</v>
      </c>
      <c r="B4684" s="75">
        <v>90.122200000000007</v>
      </c>
      <c r="C4684" s="75">
        <v>98.878299999999996</v>
      </c>
      <c r="D4684" s="75">
        <v>91.644099999999995</v>
      </c>
      <c r="E4684" s="75">
        <v>92.761700000000005</v>
      </c>
      <c r="F4684">
        <v>-1876.3799999999999</v>
      </c>
      <c r="G4684">
        <v>-1002.6</v>
      </c>
      <c r="H4684">
        <v>2344</v>
      </c>
      <c r="I4684">
        <v>618.9</v>
      </c>
      <c r="J4684">
        <v>83.919999999999959</v>
      </c>
    </row>
    <row r="4685" spans="1:10" x14ac:dyDescent="0.35">
      <c r="A4685">
        <v>4669</v>
      </c>
      <c r="B4685" s="75">
        <v>89.91</v>
      </c>
      <c r="C4685" s="75">
        <v>98.79</v>
      </c>
      <c r="D4685" s="75">
        <v>93.84</v>
      </c>
      <c r="E4685" s="75">
        <v>94.94</v>
      </c>
      <c r="F4685">
        <v>-1181.07</v>
      </c>
      <c r="G4685">
        <v>-867.9</v>
      </c>
      <c r="H4685">
        <v>-2041.1999999999998</v>
      </c>
      <c r="I4685">
        <v>-1555.1</v>
      </c>
      <c r="J4685">
        <v>-5645.2699999999995</v>
      </c>
    </row>
    <row r="4686" spans="1:10" x14ac:dyDescent="0.35">
      <c r="A4686">
        <v>4670</v>
      </c>
      <c r="B4686" s="75">
        <v>88.620199999999997</v>
      </c>
      <c r="C4686" s="75">
        <v>98.972700000000003</v>
      </c>
      <c r="D4686" s="75">
        <v>92.993499999999997</v>
      </c>
      <c r="E4686" s="75">
        <v>94.1798</v>
      </c>
      <c r="F4686">
        <v>3080.22</v>
      </c>
      <c r="G4686">
        <v>-1144.2</v>
      </c>
      <c r="H4686">
        <v>-354.8</v>
      </c>
      <c r="I4686">
        <v>-799.2</v>
      </c>
      <c r="J4686">
        <v>782.01999999999975</v>
      </c>
    </row>
    <row r="4687" spans="1:10" x14ac:dyDescent="0.35">
      <c r="A4687">
        <v>4671</v>
      </c>
      <c r="B4687" s="75">
        <v>89.82</v>
      </c>
      <c r="C4687" s="75">
        <v>96.63</v>
      </c>
      <c r="D4687" s="75">
        <v>92.62</v>
      </c>
      <c r="E4687" s="75">
        <v>92.92</v>
      </c>
      <c r="F4687">
        <v>-868.23</v>
      </c>
      <c r="G4687">
        <v>2366.25</v>
      </c>
      <c r="H4687">
        <v>390.79999999999995</v>
      </c>
      <c r="I4687">
        <v>459.8</v>
      </c>
      <c r="J4687">
        <v>2348.62</v>
      </c>
    </row>
    <row r="4688" spans="1:10" x14ac:dyDescent="0.35">
      <c r="A4688">
        <v>4672</v>
      </c>
      <c r="B4688" s="75">
        <v>89.439300000000003</v>
      </c>
      <c r="C4688" s="75">
        <v>100.1232</v>
      </c>
      <c r="D4688" s="75">
        <v>93.5291</v>
      </c>
      <c r="E4688" s="75">
        <v>92.316000000000003</v>
      </c>
      <c r="F4688">
        <v>377.19</v>
      </c>
      <c r="G4688">
        <v>-2869.95</v>
      </c>
      <c r="H4688">
        <v>-1426</v>
      </c>
      <c r="I4688">
        <v>1064.5999999999999</v>
      </c>
      <c r="J4688">
        <v>-2854.16</v>
      </c>
    </row>
    <row r="4689" spans="1:10" x14ac:dyDescent="0.35">
      <c r="A4689">
        <v>4673</v>
      </c>
      <c r="B4689" s="75">
        <v>89.67</v>
      </c>
      <c r="C4689" s="75">
        <v>97.82</v>
      </c>
      <c r="D4689" s="75">
        <v>92.86</v>
      </c>
      <c r="E4689" s="75">
        <v>94.57</v>
      </c>
      <c r="F4689">
        <v>-391.04999999999995</v>
      </c>
      <c r="G4689">
        <v>584.69999999999993</v>
      </c>
      <c r="H4689">
        <v>-88.6</v>
      </c>
      <c r="I4689">
        <v>-1189.5999999999999</v>
      </c>
      <c r="J4689">
        <v>-1084.55</v>
      </c>
    </row>
    <row r="4690" spans="1:10" x14ac:dyDescent="0.35">
      <c r="A4690">
        <v>4674</v>
      </c>
      <c r="B4690" s="75">
        <v>89.958799999999997</v>
      </c>
      <c r="C4690" s="75">
        <v>99.936800000000005</v>
      </c>
      <c r="D4690" s="75">
        <v>92.392300000000006</v>
      </c>
      <c r="E4690" s="75">
        <v>94.147099999999995</v>
      </c>
      <c r="F4690">
        <v>-1337.16</v>
      </c>
      <c r="G4690">
        <v>-2590.3500000000004</v>
      </c>
      <c r="H4690">
        <v>847.6</v>
      </c>
      <c r="I4690">
        <v>-766.5</v>
      </c>
      <c r="J4690">
        <v>-3846.4100000000003</v>
      </c>
    </row>
    <row r="4691" spans="1:10" x14ac:dyDescent="0.35">
      <c r="A4691">
        <v>4675</v>
      </c>
      <c r="B4691" s="75">
        <v>89.75</v>
      </c>
      <c r="C4691" s="75">
        <v>99.15</v>
      </c>
      <c r="D4691" s="75">
        <v>92.25</v>
      </c>
      <c r="E4691" s="75">
        <v>92.82</v>
      </c>
      <c r="F4691">
        <v>-644.49</v>
      </c>
      <c r="G4691">
        <v>-1414.05</v>
      </c>
      <c r="H4691">
        <v>1122.8</v>
      </c>
      <c r="I4691">
        <v>559</v>
      </c>
      <c r="J4691">
        <v>-376.74</v>
      </c>
    </row>
    <row r="4692" spans="1:10" x14ac:dyDescent="0.35">
      <c r="A4692">
        <v>4676</v>
      </c>
      <c r="B4692" s="75">
        <v>89.529600000000002</v>
      </c>
      <c r="C4692" s="75">
        <v>98.031999999999996</v>
      </c>
      <c r="D4692" s="75">
        <v>91.85</v>
      </c>
      <c r="E4692" s="75">
        <v>92.436599999999999</v>
      </c>
      <c r="F4692">
        <v>79.2</v>
      </c>
      <c r="G4692">
        <v>266.85000000000002</v>
      </c>
      <c r="H4692">
        <v>1932.1999999999998</v>
      </c>
      <c r="I4692">
        <v>944</v>
      </c>
      <c r="J4692">
        <v>3222.25</v>
      </c>
    </row>
    <row r="4693" spans="1:10" x14ac:dyDescent="0.35">
      <c r="A4693">
        <v>4677</v>
      </c>
      <c r="B4693" s="75">
        <v>90.25</v>
      </c>
      <c r="C4693" s="75">
        <v>97.77</v>
      </c>
      <c r="D4693" s="75">
        <v>92.18</v>
      </c>
      <c r="E4693" s="75">
        <v>92.64</v>
      </c>
      <c r="F4693">
        <v>-2299.11</v>
      </c>
      <c r="G4693">
        <v>664.8</v>
      </c>
      <c r="H4693">
        <v>1274.8</v>
      </c>
      <c r="I4693">
        <v>742.80000000000007</v>
      </c>
      <c r="J4693">
        <v>383.28999999999985</v>
      </c>
    </row>
    <row r="4694" spans="1:10" x14ac:dyDescent="0.35">
      <c r="A4694">
        <v>4678</v>
      </c>
      <c r="B4694" s="75">
        <v>90.470699999999994</v>
      </c>
      <c r="C4694" s="75">
        <v>98.637799999999999</v>
      </c>
      <c r="D4694" s="75">
        <v>93.963700000000003</v>
      </c>
      <c r="E4694" s="75">
        <v>93.624899999999997</v>
      </c>
      <c r="F4694">
        <v>-3026.4300000000003</v>
      </c>
      <c r="G4694">
        <v>-641.85</v>
      </c>
      <c r="H4694">
        <v>-2295.1999999999998</v>
      </c>
      <c r="I4694">
        <v>-244.29999999999998</v>
      </c>
      <c r="J4694">
        <v>-6207.78</v>
      </c>
    </row>
    <row r="4695" spans="1:10" x14ac:dyDescent="0.35">
      <c r="A4695">
        <v>4679</v>
      </c>
      <c r="B4695" s="75">
        <v>90.07</v>
      </c>
      <c r="C4695" s="75">
        <v>98.59</v>
      </c>
      <c r="D4695" s="75">
        <v>91.27</v>
      </c>
      <c r="E4695" s="75">
        <v>95.97</v>
      </c>
      <c r="F4695">
        <v>-1709.4</v>
      </c>
      <c r="G4695">
        <v>-563.54999999999995</v>
      </c>
      <c r="H4695">
        <v>3094.8</v>
      </c>
      <c r="I4695">
        <v>-2592</v>
      </c>
      <c r="J4695">
        <v>-1770.1499999999996</v>
      </c>
    </row>
    <row r="4696" spans="1:10" x14ac:dyDescent="0.35">
      <c r="A4696">
        <v>4680</v>
      </c>
      <c r="B4696" s="75">
        <v>89.382000000000005</v>
      </c>
      <c r="C4696" s="75">
        <v>97.265299999999996</v>
      </c>
      <c r="D4696" s="75">
        <v>90.231200000000001</v>
      </c>
      <c r="E4696" s="75">
        <v>92.143699999999995</v>
      </c>
      <c r="F4696">
        <v>566.28</v>
      </c>
      <c r="G4696">
        <v>1416.9</v>
      </c>
      <c r="H4696">
        <v>5169.8</v>
      </c>
      <c r="I4696">
        <v>1236.9000000000001</v>
      </c>
      <c r="J4696">
        <v>8389.880000000001</v>
      </c>
    </row>
    <row r="4697" spans="1:10" x14ac:dyDescent="0.35">
      <c r="A4697">
        <v>4681</v>
      </c>
      <c r="B4697" s="75">
        <v>89.19</v>
      </c>
      <c r="C4697" s="75">
        <v>98.62</v>
      </c>
      <c r="D4697" s="75">
        <v>93.9</v>
      </c>
      <c r="E4697" s="75">
        <v>95.05</v>
      </c>
      <c r="F4697">
        <v>1212.75</v>
      </c>
      <c r="G4697">
        <v>-616.20000000000005</v>
      </c>
      <c r="H4697">
        <v>-2177.4</v>
      </c>
      <c r="I4697">
        <v>-1665.3</v>
      </c>
      <c r="J4697">
        <v>-3246.15</v>
      </c>
    </row>
    <row r="4698" spans="1:10" x14ac:dyDescent="0.35">
      <c r="A4698">
        <v>4682</v>
      </c>
      <c r="B4698" s="75">
        <v>89.236599999999996</v>
      </c>
      <c r="C4698" s="75">
        <v>97.831900000000005</v>
      </c>
      <c r="D4698" s="75">
        <v>93.911100000000005</v>
      </c>
      <c r="E4698" s="75">
        <v>93.492900000000006</v>
      </c>
      <c r="F4698">
        <v>1046.0999999999999</v>
      </c>
      <c r="G4698">
        <v>567</v>
      </c>
      <c r="H4698">
        <v>-2190</v>
      </c>
      <c r="I4698">
        <v>-112.3</v>
      </c>
      <c r="J4698">
        <v>-689.2</v>
      </c>
    </row>
    <row r="4699" spans="1:10" x14ac:dyDescent="0.35">
      <c r="A4699">
        <v>4683</v>
      </c>
      <c r="B4699" s="75">
        <v>89.47</v>
      </c>
      <c r="C4699" s="75">
        <v>99.1</v>
      </c>
      <c r="D4699" s="75">
        <v>93.5</v>
      </c>
      <c r="E4699" s="75">
        <v>92.18</v>
      </c>
      <c r="F4699">
        <v>261.36</v>
      </c>
      <c r="G4699">
        <v>-1331.8500000000001</v>
      </c>
      <c r="H4699">
        <v>-1364.2</v>
      </c>
      <c r="I4699">
        <v>1203.3</v>
      </c>
      <c r="J4699">
        <v>-1231.3900000000006</v>
      </c>
    </row>
    <row r="4700" spans="1:10" x14ac:dyDescent="0.35">
      <c r="A4700">
        <v>4684</v>
      </c>
      <c r="B4700" s="75">
        <v>89.280900000000003</v>
      </c>
      <c r="C4700" s="75">
        <v>98.316999999999993</v>
      </c>
      <c r="D4700" s="75">
        <v>91.468000000000004</v>
      </c>
      <c r="E4700" s="75">
        <v>94.061700000000002</v>
      </c>
      <c r="F4700">
        <v>899.91</v>
      </c>
      <c r="G4700">
        <v>-160.65</v>
      </c>
      <c r="H4700">
        <v>2696.2000000000003</v>
      </c>
      <c r="I4700">
        <v>-681.1</v>
      </c>
      <c r="J4700">
        <v>2754.36</v>
      </c>
    </row>
    <row r="4701" spans="1:10" x14ac:dyDescent="0.35">
      <c r="A4701">
        <v>4685</v>
      </c>
      <c r="B4701" s="75">
        <v>88.87</v>
      </c>
      <c r="C4701" s="75">
        <v>97.34</v>
      </c>
      <c r="D4701" s="75">
        <v>92.58</v>
      </c>
      <c r="E4701" s="75">
        <v>95.04</v>
      </c>
      <c r="F4701">
        <v>2257.86</v>
      </c>
      <c r="G4701">
        <v>1310.25</v>
      </c>
      <c r="H4701">
        <v>474.8</v>
      </c>
      <c r="I4701">
        <v>-1659.8999999999999</v>
      </c>
      <c r="J4701">
        <v>2383.0100000000002</v>
      </c>
    </row>
    <row r="4702" spans="1:10" x14ac:dyDescent="0.35">
      <c r="A4702">
        <v>4686</v>
      </c>
      <c r="B4702" s="75">
        <v>89.810699999999997</v>
      </c>
      <c r="C4702" s="75">
        <v>98.872299999999996</v>
      </c>
      <c r="D4702" s="75">
        <v>93.775000000000006</v>
      </c>
      <c r="E4702" s="75">
        <v>92.876499999999993</v>
      </c>
      <c r="F4702">
        <v>-848.43</v>
      </c>
      <c r="G4702">
        <v>-993.6</v>
      </c>
      <c r="H4702">
        <v>-1917.8</v>
      </c>
      <c r="I4702">
        <v>504.09999999999997</v>
      </c>
      <c r="J4702">
        <v>-3255.73</v>
      </c>
    </row>
    <row r="4703" spans="1:10" x14ac:dyDescent="0.35">
      <c r="A4703">
        <v>4687</v>
      </c>
      <c r="B4703" s="75">
        <v>88.9</v>
      </c>
      <c r="C4703" s="75">
        <v>98.53</v>
      </c>
      <c r="D4703" s="75">
        <v>89.81</v>
      </c>
      <c r="E4703" s="75">
        <v>94.14</v>
      </c>
      <c r="F4703">
        <v>2155.56</v>
      </c>
      <c r="G4703">
        <v>-480.15</v>
      </c>
      <c r="H4703">
        <v>6013.4</v>
      </c>
      <c r="I4703">
        <v>-763.9</v>
      </c>
      <c r="J4703">
        <v>6924.91</v>
      </c>
    </row>
    <row r="4704" spans="1:10" x14ac:dyDescent="0.35">
      <c r="A4704">
        <v>4688</v>
      </c>
      <c r="B4704" s="75">
        <v>90.322299999999998</v>
      </c>
      <c r="C4704" s="75">
        <v>97.913799999999995</v>
      </c>
      <c r="D4704" s="75">
        <v>91.866</v>
      </c>
      <c r="E4704" s="75">
        <v>91.915899999999993</v>
      </c>
      <c r="F4704">
        <v>-2536.71</v>
      </c>
      <c r="G4704">
        <v>444.15</v>
      </c>
      <c r="H4704">
        <v>1900.1999999999998</v>
      </c>
      <c r="I4704">
        <v>1464.6999999999998</v>
      </c>
      <c r="J4704">
        <v>1272.3399999999997</v>
      </c>
    </row>
    <row r="4705" spans="1:10" x14ac:dyDescent="0.35">
      <c r="A4705">
        <v>4689</v>
      </c>
      <c r="B4705" s="75">
        <v>89.44</v>
      </c>
      <c r="C4705" s="75">
        <v>99.35</v>
      </c>
      <c r="D4705" s="75">
        <v>92.33</v>
      </c>
      <c r="E4705" s="75">
        <v>94.29</v>
      </c>
      <c r="F4705">
        <v>377.85</v>
      </c>
      <c r="G4705">
        <v>-1710.9</v>
      </c>
      <c r="H4705">
        <v>982.19999999999993</v>
      </c>
      <c r="I4705">
        <v>-911.3</v>
      </c>
      <c r="J4705">
        <v>-1262.1500000000001</v>
      </c>
    </row>
    <row r="4706" spans="1:10" x14ac:dyDescent="0.35">
      <c r="A4706">
        <v>4690</v>
      </c>
      <c r="B4706" s="75">
        <v>88.995800000000003</v>
      </c>
      <c r="C4706" s="75">
        <v>98.438900000000004</v>
      </c>
      <c r="D4706" s="75">
        <v>93.785300000000007</v>
      </c>
      <c r="E4706" s="75">
        <v>91.359399999999994</v>
      </c>
      <c r="F4706">
        <v>1840.7399999999998</v>
      </c>
      <c r="G4706">
        <v>-343.5</v>
      </c>
      <c r="H4706">
        <v>-1938.3999999999999</v>
      </c>
      <c r="I4706">
        <v>2021.1999999999998</v>
      </c>
      <c r="J4706">
        <v>1580.0399999999997</v>
      </c>
    </row>
    <row r="4707" spans="1:10" x14ac:dyDescent="0.35">
      <c r="A4707">
        <v>4691</v>
      </c>
      <c r="B4707" s="75">
        <v>90.17</v>
      </c>
      <c r="C4707" s="75">
        <v>98.19</v>
      </c>
      <c r="D4707" s="75">
        <v>92.73</v>
      </c>
      <c r="E4707" s="75">
        <v>91.22</v>
      </c>
      <c r="F4707">
        <v>-2031.48</v>
      </c>
      <c r="G4707">
        <v>34.799999999999997</v>
      </c>
      <c r="H4707">
        <v>168.8</v>
      </c>
      <c r="I4707">
        <v>2161.1999999999998</v>
      </c>
      <c r="J4707">
        <v>333.31999999999971</v>
      </c>
    </row>
    <row r="4708" spans="1:10" x14ac:dyDescent="0.35">
      <c r="A4708">
        <v>4692</v>
      </c>
      <c r="B4708" s="75">
        <v>89.593599999999995</v>
      </c>
      <c r="C4708" s="75">
        <v>96.998099999999994</v>
      </c>
      <c r="D4708" s="75">
        <v>91.868399999999994</v>
      </c>
      <c r="E4708" s="75">
        <v>93.722300000000004</v>
      </c>
      <c r="F4708">
        <v>-132</v>
      </c>
      <c r="G4708">
        <v>1817.7</v>
      </c>
      <c r="H4708">
        <v>1895.3999999999999</v>
      </c>
      <c r="I4708">
        <v>-341.7</v>
      </c>
      <c r="J4708">
        <v>3239.4</v>
      </c>
    </row>
    <row r="4709" spans="1:10" x14ac:dyDescent="0.35">
      <c r="A4709">
        <v>4693</v>
      </c>
      <c r="B4709" s="75">
        <v>89.49</v>
      </c>
      <c r="C4709" s="75">
        <v>99.81</v>
      </c>
      <c r="D4709" s="75">
        <v>91.37</v>
      </c>
      <c r="E4709" s="75">
        <v>91.66</v>
      </c>
      <c r="F4709">
        <v>210.21</v>
      </c>
      <c r="G4709">
        <v>-2396.3999999999996</v>
      </c>
      <c r="H4709">
        <v>2888</v>
      </c>
      <c r="I4709">
        <v>1722.9</v>
      </c>
      <c r="J4709">
        <v>2424.7100000000005</v>
      </c>
    </row>
    <row r="4710" spans="1:10" x14ac:dyDescent="0.35">
      <c r="A4710">
        <v>4694</v>
      </c>
      <c r="B4710" s="75">
        <v>90.198499999999996</v>
      </c>
      <c r="C4710" s="75">
        <v>98.932699999999997</v>
      </c>
      <c r="D4710" s="75">
        <v>91.549400000000006</v>
      </c>
      <c r="E4710" s="75">
        <v>92.564499999999995</v>
      </c>
      <c r="F4710">
        <v>-2128.17</v>
      </c>
      <c r="G4710">
        <v>-1084.2</v>
      </c>
      <c r="H4710">
        <v>2533.4</v>
      </c>
      <c r="I4710">
        <v>816.1</v>
      </c>
      <c r="J4710">
        <v>137.13000000000022</v>
      </c>
    </row>
    <row r="4711" spans="1:10" x14ac:dyDescent="0.35">
      <c r="A4711">
        <v>4695</v>
      </c>
      <c r="B4711" s="75">
        <v>89.61</v>
      </c>
      <c r="C4711" s="75">
        <v>96.02</v>
      </c>
      <c r="D4711" s="75">
        <v>91.11</v>
      </c>
      <c r="E4711" s="75">
        <v>93.55</v>
      </c>
      <c r="F4711">
        <v>-175.23000000000002</v>
      </c>
      <c r="G4711">
        <v>3284.55</v>
      </c>
      <c r="H4711">
        <v>3411.7999999999997</v>
      </c>
      <c r="I4711">
        <v>-165.39999999999998</v>
      </c>
      <c r="J4711">
        <v>6355.72</v>
      </c>
    </row>
    <row r="4712" spans="1:10" x14ac:dyDescent="0.35">
      <c r="A4712">
        <v>4696</v>
      </c>
      <c r="B4712" s="75">
        <v>90.337199999999996</v>
      </c>
      <c r="C4712" s="75">
        <v>98.156199999999998</v>
      </c>
      <c r="D4712" s="75">
        <v>94.004599999999996</v>
      </c>
      <c r="E4712" s="75">
        <v>90.707400000000007</v>
      </c>
      <c r="F4712">
        <v>-2585.8799999999997</v>
      </c>
      <c r="G4712">
        <v>80.55</v>
      </c>
      <c r="H4712">
        <v>-2377</v>
      </c>
      <c r="I4712">
        <v>2673.2</v>
      </c>
      <c r="J4712">
        <v>-2209.13</v>
      </c>
    </row>
    <row r="4713" spans="1:10" x14ac:dyDescent="0.35">
      <c r="A4713">
        <v>4697</v>
      </c>
      <c r="B4713" s="75">
        <v>89.65</v>
      </c>
      <c r="C4713" s="75">
        <v>97.78</v>
      </c>
      <c r="D4713" s="75">
        <v>92.52</v>
      </c>
      <c r="E4713" s="75">
        <v>95.71</v>
      </c>
      <c r="F4713">
        <v>-307.56</v>
      </c>
      <c r="G4713">
        <v>637.80000000000007</v>
      </c>
      <c r="H4713">
        <v>588.79999999999995</v>
      </c>
      <c r="I4713">
        <v>-2331.9</v>
      </c>
      <c r="J4713">
        <v>-1412.8600000000001</v>
      </c>
    </row>
    <row r="4714" spans="1:10" x14ac:dyDescent="0.35">
      <c r="A4714">
        <v>4698</v>
      </c>
      <c r="B4714" s="75">
        <v>89.371499999999997</v>
      </c>
      <c r="C4714" s="75">
        <v>97.556200000000004</v>
      </c>
      <c r="D4714" s="75">
        <v>93.624300000000005</v>
      </c>
      <c r="E4714" s="75">
        <v>93.853300000000004</v>
      </c>
      <c r="F4714">
        <v>600.93000000000006</v>
      </c>
      <c r="G4714">
        <v>980.55</v>
      </c>
      <c r="H4714">
        <v>-1616.4</v>
      </c>
      <c r="I4714">
        <v>-472.7</v>
      </c>
      <c r="J4714">
        <v>-507.62000000000006</v>
      </c>
    </row>
    <row r="4715" spans="1:10" x14ac:dyDescent="0.35">
      <c r="A4715">
        <v>4699</v>
      </c>
      <c r="B4715" s="75">
        <v>89.25</v>
      </c>
      <c r="C4715" s="75">
        <v>99.02</v>
      </c>
      <c r="D4715" s="75">
        <v>94.69</v>
      </c>
      <c r="E4715" s="75">
        <v>92.36</v>
      </c>
      <c r="F4715">
        <v>1015.74</v>
      </c>
      <c r="G4715">
        <v>-1220.7</v>
      </c>
      <c r="H4715">
        <v>-3757.6</v>
      </c>
      <c r="I4715">
        <v>1017.5000000000001</v>
      </c>
      <c r="J4715">
        <v>-2945.06</v>
      </c>
    </row>
    <row r="4716" spans="1:10" x14ac:dyDescent="0.35">
      <c r="A4716">
        <v>4700</v>
      </c>
      <c r="B4716" s="75">
        <v>89.749099999999999</v>
      </c>
      <c r="C4716" s="75">
        <v>97.874600000000001</v>
      </c>
      <c r="D4716" s="75">
        <v>91.028300000000002</v>
      </c>
      <c r="E4716" s="75">
        <v>93.414400000000001</v>
      </c>
      <c r="F4716">
        <v>-645.15</v>
      </c>
      <c r="G4716">
        <v>502.95</v>
      </c>
      <c r="H4716">
        <v>3575.6</v>
      </c>
      <c r="I4716">
        <v>-33.799999999999997</v>
      </c>
      <c r="J4716">
        <v>3399.6</v>
      </c>
    </row>
    <row r="4717" spans="1:10" x14ac:dyDescent="0.35">
      <c r="A4717">
        <v>4701</v>
      </c>
      <c r="B4717" s="75">
        <v>89.62</v>
      </c>
      <c r="C4717" s="75">
        <v>97.3</v>
      </c>
      <c r="D4717" s="75">
        <v>90.5</v>
      </c>
      <c r="E4717" s="75">
        <v>89.42</v>
      </c>
      <c r="F4717">
        <v>-208.89</v>
      </c>
      <c r="G4717">
        <v>1362.6</v>
      </c>
      <c r="H4717">
        <v>4638.2000000000007</v>
      </c>
      <c r="I4717">
        <v>3961.3999999999996</v>
      </c>
      <c r="J4717">
        <v>9753.3100000000013</v>
      </c>
    </row>
    <row r="4718" spans="1:10" x14ac:dyDescent="0.35">
      <c r="A4718">
        <v>4702</v>
      </c>
      <c r="B4718" s="75">
        <v>88.843299999999999</v>
      </c>
      <c r="C4718" s="75">
        <v>99.931100000000001</v>
      </c>
      <c r="D4718" s="75">
        <v>91.617000000000004</v>
      </c>
      <c r="E4718" s="75">
        <v>94.481399999999994</v>
      </c>
      <c r="F4718">
        <v>2343.9900000000002</v>
      </c>
      <c r="G4718">
        <v>-2581.8000000000002</v>
      </c>
      <c r="H4718">
        <v>2398.2000000000003</v>
      </c>
      <c r="I4718">
        <v>-1100.8</v>
      </c>
      <c r="J4718">
        <v>1059.5900000000004</v>
      </c>
    </row>
    <row r="4719" spans="1:10" x14ac:dyDescent="0.35">
      <c r="A4719">
        <v>4703</v>
      </c>
      <c r="B4719" s="75">
        <v>89.83</v>
      </c>
      <c r="C4719" s="75">
        <v>97.36</v>
      </c>
      <c r="D4719" s="75">
        <v>94.85</v>
      </c>
      <c r="E4719" s="75">
        <v>94.61</v>
      </c>
      <c r="F4719">
        <v>-908.81999999999994</v>
      </c>
      <c r="G4719">
        <v>1278.6000000000001</v>
      </c>
      <c r="H4719">
        <v>-4074.7999999999997</v>
      </c>
      <c r="I4719">
        <v>-1229.5</v>
      </c>
      <c r="J4719">
        <v>-4934.5199999999995</v>
      </c>
    </row>
    <row r="4720" spans="1:10" x14ac:dyDescent="0.35">
      <c r="A4720">
        <v>4704</v>
      </c>
      <c r="B4720" s="75">
        <v>88.821600000000004</v>
      </c>
      <c r="C4720" s="75">
        <v>98.527299999999997</v>
      </c>
      <c r="D4720" s="75">
        <v>91.027199999999993</v>
      </c>
      <c r="E4720" s="75">
        <v>91.278000000000006</v>
      </c>
      <c r="F4720">
        <v>2415.6</v>
      </c>
      <c r="G4720">
        <v>-476.1</v>
      </c>
      <c r="H4720">
        <v>3577.7999999999997</v>
      </c>
      <c r="I4720">
        <v>2102.6</v>
      </c>
      <c r="J4720">
        <v>7619.9</v>
      </c>
    </row>
    <row r="4721" spans="1:10" x14ac:dyDescent="0.35">
      <c r="A4721">
        <v>4705</v>
      </c>
      <c r="B4721" s="75">
        <v>90.07</v>
      </c>
      <c r="C4721" s="75">
        <v>98.91</v>
      </c>
      <c r="D4721" s="75">
        <v>93.74</v>
      </c>
      <c r="E4721" s="75">
        <v>92.2</v>
      </c>
      <c r="F4721">
        <v>-1694.2199999999998</v>
      </c>
      <c r="G4721">
        <v>-1052.8499999999999</v>
      </c>
      <c r="H4721">
        <v>-1847.6</v>
      </c>
      <c r="I4721">
        <v>1177.1000000000001</v>
      </c>
      <c r="J4721">
        <v>-3417.5699999999997</v>
      </c>
    </row>
    <row r="4722" spans="1:10" x14ac:dyDescent="0.35">
      <c r="A4722">
        <v>4706</v>
      </c>
      <c r="B4722" s="75">
        <v>89.478099999999998</v>
      </c>
      <c r="C4722" s="75">
        <v>98.015699999999995</v>
      </c>
      <c r="D4722" s="75">
        <v>91.623599999999996</v>
      </c>
      <c r="E4722" s="75">
        <v>93.4041</v>
      </c>
      <c r="F4722">
        <v>249.15</v>
      </c>
      <c r="G4722">
        <v>291.3</v>
      </c>
      <c r="H4722">
        <v>2385</v>
      </c>
      <c r="I4722">
        <v>-23.5</v>
      </c>
      <c r="J4722">
        <v>2901.95</v>
      </c>
    </row>
    <row r="4723" spans="1:10" x14ac:dyDescent="0.35">
      <c r="A4723">
        <v>4707</v>
      </c>
      <c r="B4723" s="75">
        <v>90.07</v>
      </c>
      <c r="C4723" s="75">
        <v>97.98</v>
      </c>
      <c r="D4723" s="75">
        <v>93.16</v>
      </c>
      <c r="E4723" s="75">
        <v>93.93</v>
      </c>
      <c r="F4723">
        <v>-1692.24</v>
      </c>
      <c r="G4723">
        <v>344.4</v>
      </c>
      <c r="H4723">
        <v>-687.8</v>
      </c>
      <c r="I4723">
        <v>-554.20000000000005</v>
      </c>
      <c r="J4723">
        <v>-2589.84</v>
      </c>
    </row>
    <row r="4724" spans="1:10" x14ac:dyDescent="0.35">
      <c r="A4724">
        <v>4708</v>
      </c>
      <c r="B4724" s="75">
        <v>89.636200000000002</v>
      </c>
      <c r="C4724" s="75">
        <v>99.445800000000006</v>
      </c>
      <c r="D4724" s="75">
        <v>93.540400000000005</v>
      </c>
      <c r="E4724" s="75">
        <v>93.962400000000002</v>
      </c>
      <c r="F4724">
        <v>-272.58000000000004</v>
      </c>
      <c r="G4724">
        <v>-1853.85</v>
      </c>
      <c r="H4724">
        <v>-1448.6000000000001</v>
      </c>
      <c r="I4724">
        <v>-581.79999999999995</v>
      </c>
      <c r="J4724">
        <v>-4156.83</v>
      </c>
    </row>
    <row r="4725" spans="1:10" x14ac:dyDescent="0.35">
      <c r="A4725">
        <v>4709</v>
      </c>
      <c r="B4725" s="75">
        <v>90.2</v>
      </c>
      <c r="C4725" s="75">
        <v>98.32</v>
      </c>
      <c r="D4725" s="75">
        <v>92.76</v>
      </c>
      <c r="E4725" s="75">
        <v>93.13</v>
      </c>
      <c r="F4725">
        <v>-2141.37</v>
      </c>
      <c r="G4725">
        <v>-160.65</v>
      </c>
      <c r="H4725">
        <v>103.2</v>
      </c>
      <c r="I4725">
        <v>247.79999999999998</v>
      </c>
      <c r="J4725">
        <v>-1951.0200000000002</v>
      </c>
    </row>
    <row r="4726" spans="1:10" x14ac:dyDescent="0.35">
      <c r="A4726">
        <v>4710</v>
      </c>
      <c r="B4726" s="75">
        <v>90.055000000000007</v>
      </c>
      <c r="C4726" s="75">
        <v>97.3185</v>
      </c>
      <c r="D4726" s="75">
        <v>92.831599999999995</v>
      </c>
      <c r="E4726" s="75">
        <v>94.221400000000003</v>
      </c>
      <c r="F4726">
        <v>-1654.62</v>
      </c>
      <c r="G4726">
        <v>1337.1</v>
      </c>
      <c r="H4726">
        <v>-31</v>
      </c>
      <c r="I4726">
        <v>-840.8</v>
      </c>
      <c r="J4726">
        <v>-1189.32</v>
      </c>
    </row>
    <row r="4727" spans="1:10" x14ac:dyDescent="0.35">
      <c r="A4727">
        <v>4711</v>
      </c>
      <c r="B4727" s="75">
        <v>89.9</v>
      </c>
      <c r="C4727" s="75">
        <v>97.13</v>
      </c>
      <c r="D4727" s="75">
        <v>92.02</v>
      </c>
      <c r="E4727" s="75">
        <v>91.95</v>
      </c>
      <c r="F4727">
        <v>-1153.3499999999999</v>
      </c>
      <c r="G4727">
        <v>1622.5500000000002</v>
      </c>
      <c r="H4727">
        <v>1601.8</v>
      </c>
      <c r="I4727">
        <v>1428.3</v>
      </c>
      <c r="J4727">
        <v>3499.3</v>
      </c>
    </row>
    <row r="4728" spans="1:10" x14ac:dyDescent="0.35">
      <c r="A4728">
        <v>4712</v>
      </c>
      <c r="B4728" s="75">
        <v>89.511899999999997</v>
      </c>
      <c r="C4728" s="75">
        <v>97.581199999999995</v>
      </c>
      <c r="D4728" s="75">
        <v>95.118399999999994</v>
      </c>
      <c r="E4728" s="75">
        <v>95.884399999999999</v>
      </c>
      <c r="F4728">
        <v>137.61000000000001</v>
      </c>
      <c r="G4728">
        <v>943.05000000000007</v>
      </c>
      <c r="H4728">
        <v>-4604.5999999999995</v>
      </c>
      <c r="I4728">
        <v>-2503.8000000000002</v>
      </c>
      <c r="J4728">
        <v>-6027.74</v>
      </c>
    </row>
    <row r="4729" spans="1:10" x14ac:dyDescent="0.35">
      <c r="A4729">
        <v>4713</v>
      </c>
      <c r="B4729" s="75">
        <v>89.26</v>
      </c>
      <c r="C4729" s="75">
        <v>98.96</v>
      </c>
      <c r="D4729" s="75">
        <v>93.24</v>
      </c>
      <c r="E4729" s="75">
        <v>96.01</v>
      </c>
      <c r="F4729">
        <v>974.16000000000008</v>
      </c>
      <c r="G4729">
        <v>-1124.0999999999999</v>
      </c>
      <c r="H4729">
        <v>-848.8</v>
      </c>
      <c r="I4729">
        <v>-2632.8</v>
      </c>
      <c r="J4729">
        <v>-3631.54</v>
      </c>
    </row>
    <row r="4730" spans="1:10" x14ac:dyDescent="0.35">
      <c r="A4730">
        <v>4714</v>
      </c>
      <c r="B4730" s="75">
        <v>88.939499999999995</v>
      </c>
      <c r="C4730" s="75">
        <v>97.776700000000005</v>
      </c>
      <c r="D4730" s="75">
        <v>92.905500000000004</v>
      </c>
      <c r="E4730" s="75">
        <v>91.845399999999998</v>
      </c>
      <c r="F4730">
        <v>2026.53</v>
      </c>
      <c r="G4730">
        <v>649.79999999999995</v>
      </c>
      <c r="H4730">
        <v>-178.79999999999998</v>
      </c>
      <c r="I4730">
        <v>1535.1999999999998</v>
      </c>
      <c r="J4730">
        <v>4032.7299999999996</v>
      </c>
    </row>
    <row r="4731" spans="1:10" x14ac:dyDescent="0.35">
      <c r="A4731">
        <v>4715</v>
      </c>
      <c r="B4731" s="75">
        <v>89.47</v>
      </c>
      <c r="C4731" s="75">
        <v>100.27</v>
      </c>
      <c r="D4731" s="75">
        <v>90.49</v>
      </c>
      <c r="E4731" s="75">
        <v>90.5</v>
      </c>
      <c r="F4731">
        <v>283.47000000000003</v>
      </c>
      <c r="G4731">
        <v>-3090.45</v>
      </c>
      <c r="H4731">
        <v>4642.4000000000005</v>
      </c>
      <c r="I4731">
        <v>2880.3999999999996</v>
      </c>
      <c r="J4731">
        <v>4715.8200000000006</v>
      </c>
    </row>
    <row r="4732" spans="1:10" x14ac:dyDescent="0.35">
      <c r="A4732">
        <v>4716</v>
      </c>
      <c r="B4732" s="75">
        <v>88.892600000000002</v>
      </c>
      <c r="C4732" s="75">
        <v>98.432400000000001</v>
      </c>
      <c r="D4732" s="75">
        <v>92.168800000000005</v>
      </c>
      <c r="E4732" s="75">
        <v>94.471900000000005</v>
      </c>
      <c r="F4732">
        <v>2181.3000000000002</v>
      </c>
      <c r="G4732">
        <v>-333.75</v>
      </c>
      <c r="H4732">
        <v>1294.5999999999999</v>
      </c>
      <c r="I4732">
        <v>-1091.3</v>
      </c>
      <c r="J4732">
        <v>2050.8500000000004</v>
      </c>
    </row>
    <row r="4733" spans="1:10" x14ac:dyDescent="0.35">
      <c r="A4733">
        <v>4717</v>
      </c>
      <c r="B4733" s="75">
        <v>90.72</v>
      </c>
      <c r="C4733" s="75">
        <v>99.24</v>
      </c>
      <c r="D4733" s="75">
        <v>92.33</v>
      </c>
      <c r="E4733" s="75">
        <v>95.65</v>
      </c>
      <c r="F4733">
        <v>-3841.2</v>
      </c>
      <c r="G4733">
        <v>-1548.15</v>
      </c>
      <c r="H4733">
        <v>968.40000000000009</v>
      </c>
      <c r="I4733">
        <v>-2273.2999999999997</v>
      </c>
      <c r="J4733">
        <v>-6694.25</v>
      </c>
    </row>
    <row r="4734" spans="1:10" x14ac:dyDescent="0.35">
      <c r="A4734">
        <v>4718</v>
      </c>
      <c r="B4734" s="75">
        <v>90.583500000000001</v>
      </c>
      <c r="C4734" s="75">
        <v>98.018199999999993</v>
      </c>
      <c r="D4734" s="75">
        <v>92.839200000000005</v>
      </c>
      <c r="E4734" s="75">
        <v>91.709100000000007</v>
      </c>
      <c r="F4734">
        <v>-3398.67</v>
      </c>
      <c r="G4734">
        <v>287.55</v>
      </c>
      <c r="H4734">
        <v>-46.199999999999996</v>
      </c>
      <c r="I4734">
        <v>1671.5</v>
      </c>
      <c r="J4734">
        <v>-1485.8199999999997</v>
      </c>
    </row>
    <row r="4735" spans="1:10" x14ac:dyDescent="0.35">
      <c r="A4735">
        <v>4719</v>
      </c>
      <c r="B4735" s="75">
        <v>90.43</v>
      </c>
      <c r="C4735" s="75">
        <v>97.98</v>
      </c>
      <c r="D4735" s="75">
        <v>92.9</v>
      </c>
      <c r="E4735" s="75">
        <v>92.82</v>
      </c>
      <c r="F4735">
        <v>-2879.25</v>
      </c>
      <c r="G4735">
        <v>347.7</v>
      </c>
      <c r="H4735">
        <v>-174.2</v>
      </c>
      <c r="I4735">
        <v>560.4</v>
      </c>
      <c r="J4735">
        <v>-2145.35</v>
      </c>
    </row>
    <row r="4736" spans="1:10" x14ac:dyDescent="0.35">
      <c r="A4736">
        <v>4720</v>
      </c>
      <c r="B4736" s="75">
        <v>88.751300000000001</v>
      </c>
      <c r="C4736" s="75">
        <v>98.278899999999993</v>
      </c>
      <c r="D4736" s="75">
        <v>93.3262</v>
      </c>
      <c r="E4736" s="75">
        <v>96.972700000000003</v>
      </c>
      <c r="F4736">
        <v>2647.59</v>
      </c>
      <c r="G4736">
        <v>-103.50000000000001</v>
      </c>
      <c r="H4736">
        <v>-1020.2</v>
      </c>
      <c r="I4736">
        <v>-3592.1</v>
      </c>
      <c r="J4736">
        <v>-2068.21</v>
      </c>
    </row>
    <row r="4737" spans="1:10" x14ac:dyDescent="0.35">
      <c r="A4737">
        <v>4721</v>
      </c>
      <c r="B4737" s="75">
        <v>89.93</v>
      </c>
      <c r="C4737" s="75">
        <v>100.14</v>
      </c>
      <c r="D4737" s="75">
        <v>92.85</v>
      </c>
      <c r="E4737" s="75">
        <v>93.23</v>
      </c>
      <c r="F4737">
        <v>-1239.1500000000001</v>
      </c>
      <c r="G4737">
        <v>-2898.2999999999997</v>
      </c>
      <c r="H4737">
        <v>-69.599999999999994</v>
      </c>
      <c r="I4737">
        <v>153.10000000000002</v>
      </c>
      <c r="J4737">
        <v>-4053.9500000000003</v>
      </c>
    </row>
    <row r="4738" spans="1:10" x14ac:dyDescent="0.35">
      <c r="A4738">
        <v>4722</v>
      </c>
      <c r="B4738" s="75">
        <v>90.536500000000004</v>
      </c>
      <c r="C4738" s="75">
        <v>96.6464</v>
      </c>
      <c r="D4738" s="75">
        <v>91.305800000000005</v>
      </c>
      <c r="E4738" s="75">
        <v>96.759500000000003</v>
      </c>
      <c r="F4738">
        <v>-3243.57</v>
      </c>
      <c r="G4738">
        <v>2345.25</v>
      </c>
      <c r="H4738">
        <v>3020.6</v>
      </c>
      <c r="I4738">
        <v>-3378.8999999999996</v>
      </c>
      <c r="J4738">
        <v>-1256.6199999999999</v>
      </c>
    </row>
    <row r="4739" spans="1:10" x14ac:dyDescent="0.35">
      <c r="A4739">
        <v>4723</v>
      </c>
      <c r="B4739" s="75">
        <v>90.08</v>
      </c>
      <c r="C4739" s="75">
        <v>98.46</v>
      </c>
      <c r="D4739" s="75">
        <v>92.59</v>
      </c>
      <c r="E4739" s="75">
        <v>89.37</v>
      </c>
      <c r="F4739">
        <v>-1725.2400000000002</v>
      </c>
      <c r="G4739">
        <v>-378.9</v>
      </c>
      <c r="H4739">
        <v>444.40000000000003</v>
      </c>
      <c r="I4739">
        <v>4012.5</v>
      </c>
      <c r="J4739">
        <v>2352.7599999999998</v>
      </c>
    </row>
    <row r="4740" spans="1:10" x14ac:dyDescent="0.35">
      <c r="A4740">
        <v>4724</v>
      </c>
      <c r="B4740" s="75">
        <v>89.548000000000002</v>
      </c>
      <c r="C4740" s="75">
        <v>99.989500000000007</v>
      </c>
      <c r="D4740" s="75">
        <v>93.931799999999996</v>
      </c>
      <c r="E4740" s="75">
        <v>93.648200000000003</v>
      </c>
      <c r="F4740">
        <v>18.48</v>
      </c>
      <c r="G4740">
        <v>-2669.4</v>
      </c>
      <c r="H4740">
        <v>-2231.3999999999996</v>
      </c>
      <c r="I4740">
        <v>-267.60000000000002</v>
      </c>
      <c r="J4740">
        <v>-5149.92</v>
      </c>
    </row>
    <row r="4741" spans="1:10" x14ac:dyDescent="0.35">
      <c r="A4741">
        <v>4725</v>
      </c>
      <c r="B4741" s="75">
        <v>89.33</v>
      </c>
      <c r="C4741" s="75">
        <v>99.54</v>
      </c>
      <c r="D4741" s="75">
        <v>90.98</v>
      </c>
      <c r="E4741" s="75">
        <v>91.64</v>
      </c>
      <c r="F4741">
        <v>750.75</v>
      </c>
      <c r="G4741">
        <v>-2000.2499999999998</v>
      </c>
      <c r="H4741">
        <v>3668.6</v>
      </c>
      <c r="I4741">
        <v>1740.5</v>
      </c>
      <c r="J4741">
        <v>4159.6000000000004</v>
      </c>
    </row>
    <row r="4742" spans="1:10" x14ac:dyDescent="0.35">
      <c r="A4742">
        <v>4726</v>
      </c>
      <c r="B4742" s="75">
        <v>89.161900000000003</v>
      </c>
      <c r="C4742" s="75">
        <v>99.790199999999999</v>
      </c>
      <c r="D4742" s="75">
        <v>93.379900000000006</v>
      </c>
      <c r="E4742" s="75">
        <v>92.479699999999994</v>
      </c>
      <c r="F4742">
        <v>1292.6099999999999</v>
      </c>
      <c r="G4742">
        <v>-2370.4500000000003</v>
      </c>
      <c r="H4742">
        <v>-1127.5999999999999</v>
      </c>
      <c r="I4742">
        <v>900.90000000000009</v>
      </c>
      <c r="J4742">
        <v>-1304.5400000000004</v>
      </c>
    </row>
    <row r="4743" spans="1:10" x14ac:dyDescent="0.35">
      <c r="A4743">
        <v>4727</v>
      </c>
      <c r="B4743" s="75">
        <v>89.43</v>
      </c>
      <c r="C4743" s="75">
        <v>99.53</v>
      </c>
      <c r="D4743" s="75">
        <v>93.14</v>
      </c>
      <c r="E4743" s="75">
        <v>94.81</v>
      </c>
      <c r="F4743">
        <v>414.15</v>
      </c>
      <c r="G4743">
        <v>-1977</v>
      </c>
      <c r="H4743">
        <v>-656.59999999999991</v>
      </c>
      <c r="I4743">
        <v>-1431.5</v>
      </c>
      <c r="J4743">
        <v>-3650.95</v>
      </c>
    </row>
    <row r="4744" spans="1:10" x14ac:dyDescent="0.35">
      <c r="A4744">
        <v>4728</v>
      </c>
      <c r="B4744" s="75">
        <v>89.736400000000003</v>
      </c>
      <c r="C4744" s="75">
        <v>98.072299999999998</v>
      </c>
      <c r="D4744" s="75">
        <v>92.739599999999996</v>
      </c>
      <c r="E4744" s="75">
        <v>91.670699999999997</v>
      </c>
      <c r="F4744">
        <v>-603.24</v>
      </c>
      <c r="G4744">
        <v>206.4</v>
      </c>
      <c r="H4744">
        <v>153</v>
      </c>
      <c r="I4744">
        <v>1709.8999999999999</v>
      </c>
      <c r="J4744">
        <v>1466.06</v>
      </c>
    </row>
    <row r="4745" spans="1:10" x14ac:dyDescent="0.35">
      <c r="A4745">
        <v>4729</v>
      </c>
      <c r="B4745" s="75">
        <v>89.68</v>
      </c>
      <c r="C4745" s="75">
        <v>100.56</v>
      </c>
      <c r="D4745" s="75">
        <v>92.33</v>
      </c>
      <c r="E4745" s="75">
        <v>92.02</v>
      </c>
      <c r="F4745">
        <v>-409.53000000000003</v>
      </c>
      <c r="G4745">
        <v>-3523.2000000000003</v>
      </c>
      <c r="H4745">
        <v>969.8</v>
      </c>
      <c r="I4745">
        <v>1356.2</v>
      </c>
      <c r="J4745">
        <v>-1606.7300000000002</v>
      </c>
    </row>
    <row r="4746" spans="1:10" x14ac:dyDescent="0.35">
      <c r="A4746">
        <v>4730</v>
      </c>
      <c r="B4746" s="75">
        <v>89.6755</v>
      </c>
      <c r="C4746" s="75">
        <v>99.366</v>
      </c>
      <c r="D4746" s="75">
        <v>94.437100000000001</v>
      </c>
      <c r="E4746" s="75">
        <v>94.7804</v>
      </c>
      <c r="F4746">
        <v>-402.27</v>
      </c>
      <c r="G4746">
        <v>-1734.1499999999999</v>
      </c>
      <c r="H4746">
        <v>-3242</v>
      </c>
      <c r="I4746">
        <v>-1399.8</v>
      </c>
      <c r="J4746">
        <v>-6778.22</v>
      </c>
    </row>
    <row r="4747" spans="1:10" x14ac:dyDescent="0.35">
      <c r="A4747">
        <v>4731</v>
      </c>
      <c r="B4747" s="75">
        <v>89.99</v>
      </c>
      <c r="C4747" s="75">
        <v>97.35</v>
      </c>
      <c r="D4747" s="75">
        <v>92.33</v>
      </c>
      <c r="E4747" s="75">
        <v>93.53</v>
      </c>
      <c r="F4747">
        <v>-1432.2</v>
      </c>
      <c r="G4747">
        <v>1292.1000000000001</v>
      </c>
      <c r="H4747">
        <v>973</v>
      </c>
      <c r="I4747">
        <v>-150.79999999999998</v>
      </c>
      <c r="J4747">
        <v>682.10000000000014</v>
      </c>
    </row>
    <row r="4748" spans="1:10" x14ac:dyDescent="0.35">
      <c r="A4748">
        <v>4732</v>
      </c>
      <c r="B4748" s="75">
        <v>90.549400000000006</v>
      </c>
      <c r="C4748" s="75">
        <v>98.083600000000004</v>
      </c>
      <c r="D4748" s="75">
        <v>90.672899999999998</v>
      </c>
      <c r="E4748" s="75">
        <v>91.728399999999993</v>
      </c>
      <c r="F4748">
        <v>-3286.14</v>
      </c>
      <c r="G4748">
        <v>189.45</v>
      </c>
      <c r="H4748">
        <v>4286.4000000000005</v>
      </c>
      <c r="I4748">
        <v>1652.1999999999998</v>
      </c>
      <c r="J4748">
        <v>2841.9100000000003</v>
      </c>
    </row>
    <row r="4749" spans="1:10" x14ac:dyDescent="0.35">
      <c r="A4749">
        <v>4733</v>
      </c>
      <c r="B4749" s="75">
        <v>89.81</v>
      </c>
      <c r="C4749" s="75">
        <v>98.08</v>
      </c>
      <c r="D4749" s="75">
        <v>94.05</v>
      </c>
      <c r="E4749" s="75">
        <v>93.83</v>
      </c>
      <c r="F4749">
        <v>-854.37000000000012</v>
      </c>
      <c r="G4749">
        <v>191.25</v>
      </c>
      <c r="H4749">
        <v>-2458</v>
      </c>
      <c r="I4749">
        <v>-453.6</v>
      </c>
      <c r="J4749">
        <v>-3574.72</v>
      </c>
    </row>
    <row r="4750" spans="1:10" x14ac:dyDescent="0.35">
      <c r="A4750">
        <v>4734</v>
      </c>
      <c r="B4750" s="75">
        <v>90.183300000000003</v>
      </c>
      <c r="C4750" s="75">
        <v>98.176599999999993</v>
      </c>
      <c r="D4750" s="75">
        <v>92.944999999999993</v>
      </c>
      <c r="E4750" s="75">
        <v>91.849100000000007</v>
      </c>
      <c r="F4750">
        <v>-2078.0100000000002</v>
      </c>
      <c r="G4750">
        <v>49.95</v>
      </c>
      <c r="H4750">
        <v>-257.79999999999995</v>
      </c>
      <c r="I4750">
        <v>1531.5</v>
      </c>
      <c r="J4750">
        <v>-754.36000000000013</v>
      </c>
    </row>
    <row r="4751" spans="1:10" x14ac:dyDescent="0.35">
      <c r="A4751">
        <v>4735</v>
      </c>
      <c r="B4751" s="75">
        <v>89.02</v>
      </c>
      <c r="C4751" s="75">
        <v>96.7</v>
      </c>
      <c r="D4751" s="75">
        <v>93.08</v>
      </c>
      <c r="E4751" s="75">
        <v>95.94</v>
      </c>
      <c r="F4751">
        <v>1766.49</v>
      </c>
      <c r="G4751">
        <v>2271.6</v>
      </c>
      <c r="H4751">
        <v>-532.4</v>
      </c>
      <c r="I4751">
        <v>-2554.3999999999996</v>
      </c>
      <c r="J4751">
        <v>951.29000000000042</v>
      </c>
    </row>
    <row r="4752" spans="1:10" x14ac:dyDescent="0.35">
      <c r="A4752">
        <v>4736</v>
      </c>
      <c r="B4752" s="75">
        <v>89.433300000000003</v>
      </c>
      <c r="C4752" s="75">
        <v>97.945999999999998</v>
      </c>
      <c r="D4752" s="75">
        <v>92.436300000000003</v>
      </c>
      <c r="E4752" s="75">
        <v>93.098399999999998</v>
      </c>
      <c r="F4752">
        <v>396.99</v>
      </c>
      <c r="G4752">
        <v>395.85</v>
      </c>
      <c r="H4752">
        <v>759.6</v>
      </c>
      <c r="I4752">
        <v>282.2</v>
      </c>
      <c r="J4752">
        <v>1834.64</v>
      </c>
    </row>
    <row r="4753" spans="1:10" x14ac:dyDescent="0.35">
      <c r="A4753">
        <v>4737</v>
      </c>
      <c r="B4753" s="75">
        <v>90.28</v>
      </c>
      <c r="C4753" s="75">
        <v>99.11</v>
      </c>
      <c r="D4753" s="75">
        <v>92.9</v>
      </c>
      <c r="E4753" s="75">
        <v>89.67</v>
      </c>
      <c r="F4753">
        <v>-2391.84</v>
      </c>
      <c r="G4753">
        <v>-1343.7</v>
      </c>
      <c r="H4753">
        <v>-162.80000000000001</v>
      </c>
      <c r="I4753">
        <v>3707.5</v>
      </c>
      <c r="J4753">
        <v>-190.84000000000015</v>
      </c>
    </row>
    <row r="4754" spans="1:10" x14ac:dyDescent="0.35">
      <c r="A4754">
        <v>4738</v>
      </c>
      <c r="B4754" s="75">
        <v>88.973600000000005</v>
      </c>
      <c r="C4754" s="75">
        <v>98.052800000000005</v>
      </c>
      <c r="D4754" s="75">
        <v>92.594700000000003</v>
      </c>
      <c r="E4754" s="75">
        <v>95.233999999999995</v>
      </c>
      <c r="F4754">
        <v>1913.9999999999998</v>
      </c>
      <c r="G4754">
        <v>235.64999999999998</v>
      </c>
      <c r="H4754">
        <v>442.8</v>
      </c>
      <c r="I4754">
        <v>-1853.3999999999999</v>
      </c>
      <c r="J4754">
        <v>739.05</v>
      </c>
    </row>
    <row r="4755" spans="1:10" x14ac:dyDescent="0.35">
      <c r="A4755">
        <v>4739</v>
      </c>
      <c r="B4755" s="75">
        <v>90.18</v>
      </c>
      <c r="C4755" s="75">
        <v>97.02</v>
      </c>
      <c r="D4755" s="75">
        <v>92.31</v>
      </c>
      <c r="E4755" s="75">
        <v>93.02</v>
      </c>
      <c r="F4755">
        <v>-2058.21</v>
      </c>
      <c r="G4755">
        <v>1784.1</v>
      </c>
      <c r="H4755">
        <v>1006.1999999999999</v>
      </c>
      <c r="I4755">
        <v>359.09999999999997</v>
      </c>
      <c r="J4755">
        <v>1091.1899999999998</v>
      </c>
    </row>
    <row r="4756" spans="1:10" x14ac:dyDescent="0.35">
      <c r="A4756">
        <v>4740</v>
      </c>
      <c r="B4756" s="75">
        <v>90.596400000000003</v>
      </c>
      <c r="C4756" s="75">
        <v>98.6661</v>
      </c>
      <c r="D4756" s="75">
        <v>92.697000000000003</v>
      </c>
      <c r="E4756" s="75">
        <v>92.294300000000007</v>
      </c>
      <c r="F4756">
        <v>-3441.24</v>
      </c>
      <c r="G4756">
        <v>-684.3</v>
      </c>
      <c r="H4756">
        <v>238.2</v>
      </c>
      <c r="I4756">
        <v>1086.3</v>
      </c>
      <c r="J4756">
        <v>-2801.04</v>
      </c>
    </row>
    <row r="4757" spans="1:10" x14ac:dyDescent="0.35">
      <c r="A4757">
        <v>4741</v>
      </c>
      <c r="B4757" s="75">
        <v>89.63</v>
      </c>
      <c r="C4757" s="75">
        <v>99.71</v>
      </c>
      <c r="D4757" s="75">
        <v>93.92</v>
      </c>
      <c r="E4757" s="75">
        <v>92.45</v>
      </c>
      <c r="F4757">
        <v>-267.63</v>
      </c>
      <c r="G4757">
        <v>-2247</v>
      </c>
      <c r="H4757">
        <v>-2211.3999999999996</v>
      </c>
      <c r="I4757">
        <v>933.9</v>
      </c>
      <c r="J4757">
        <v>-3792.1299999999997</v>
      </c>
    </row>
    <row r="4758" spans="1:10" x14ac:dyDescent="0.35">
      <c r="A4758">
        <v>4742</v>
      </c>
      <c r="B4758" s="75">
        <v>90.127799999999993</v>
      </c>
      <c r="C4758" s="75">
        <v>99.572800000000001</v>
      </c>
      <c r="D4758" s="75">
        <v>91.388800000000003</v>
      </c>
      <c r="E4758" s="75">
        <v>93.158600000000007</v>
      </c>
      <c r="F4758">
        <v>-1894.8600000000001</v>
      </c>
      <c r="G4758">
        <v>-2044.35</v>
      </c>
      <c r="H4758">
        <v>2854.6</v>
      </c>
      <c r="I4758">
        <v>222</v>
      </c>
      <c r="J4758">
        <v>-862.61000000000013</v>
      </c>
    </row>
    <row r="4759" spans="1:10" x14ac:dyDescent="0.35">
      <c r="A4759">
        <v>4743</v>
      </c>
      <c r="B4759" s="75">
        <v>89.9</v>
      </c>
      <c r="C4759" s="75">
        <v>99.07</v>
      </c>
      <c r="D4759" s="75">
        <v>94.6</v>
      </c>
      <c r="E4759" s="75">
        <v>93.54</v>
      </c>
      <c r="F4759">
        <v>-1154.01</v>
      </c>
      <c r="G4759">
        <v>-1284.3</v>
      </c>
      <c r="H4759">
        <v>-3559.4</v>
      </c>
      <c r="I4759">
        <v>-154.4</v>
      </c>
      <c r="J4759">
        <v>-6152.11</v>
      </c>
    </row>
    <row r="4760" spans="1:10" x14ac:dyDescent="0.35">
      <c r="A4760">
        <v>4744</v>
      </c>
      <c r="B4760" s="75">
        <v>89.804199999999994</v>
      </c>
      <c r="C4760" s="75">
        <v>97.385000000000005</v>
      </c>
      <c r="D4760" s="75">
        <v>93.814300000000003</v>
      </c>
      <c r="E4760" s="75">
        <v>90.873900000000006</v>
      </c>
      <c r="F4760">
        <v>-826.98</v>
      </c>
      <c r="G4760">
        <v>1237.3499999999999</v>
      </c>
      <c r="H4760">
        <v>-1996.3999999999999</v>
      </c>
      <c r="I4760">
        <v>2506.6999999999998</v>
      </c>
      <c r="J4760">
        <v>920.66999999999985</v>
      </c>
    </row>
    <row r="4761" spans="1:10" x14ac:dyDescent="0.35">
      <c r="A4761">
        <v>4745</v>
      </c>
      <c r="B4761" s="75">
        <v>89.74</v>
      </c>
      <c r="C4761" s="75">
        <v>99.44</v>
      </c>
      <c r="D4761" s="75">
        <v>91.4</v>
      </c>
      <c r="E4761" s="75">
        <v>93.04</v>
      </c>
      <c r="F4761">
        <v>-628.98</v>
      </c>
      <c r="G4761">
        <v>-1843.65</v>
      </c>
      <c r="H4761">
        <v>2830.4</v>
      </c>
      <c r="I4761">
        <v>338.6</v>
      </c>
      <c r="J4761">
        <v>696.37</v>
      </c>
    </row>
    <row r="4762" spans="1:10" x14ac:dyDescent="0.35">
      <c r="A4762">
        <v>4746</v>
      </c>
      <c r="B4762" s="75">
        <v>90.798100000000005</v>
      </c>
      <c r="C4762" s="75">
        <v>97.245599999999996</v>
      </c>
      <c r="D4762" s="75">
        <v>92.522800000000004</v>
      </c>
      <c r="E4762" s="75">
        <v>93.715000000000003</v>
      </c>
      <c r="F4762">
        <v>-4106.8499999999995</v>
      </c>
      <c r="G4762">
        <v>1446.45</v>
      </c>
      <c r="H4762">
        <v>586.6</v>
      </c>
      <c r="I4762">
        <v>-334.4</v>
      </c>
      <c r="J4762">
        <v>-2408.1999999999998</v>
      </c>
    </row>
    <row r="4763" spans="1:10" x14ac:dyDescent="0.35">
      <c r="A4763">
        <v>4747</v>
      </c>
      <c r="B4763" s="75">
        <v>89.49</v>
      </c>
      <c r="C4763" s="75">
        <v>98.59</v>
      </c>
      <c r="D4763" s="75">
        <v>90.69</v>
      </c>
      <c r="E4763" s="75">
        <v>94.49</v>
      </c>
      <c r="F4763">
        <v>215.82</v>
      </c>
      <c r="G4763">
        <v>-565.20000000000005</v>
      </c>
      <c r="H4763">
        <v>4259.5999999999995</v>
      </c>
      <c r="I4763">
        <v>-1107.0999999999999</v>
      </c>
      <c r="J4763">
        <v>2803.1199999999994</v>
      </c>
    </row>
    <row r="4764" spans="1:10" x14ac:dyDescent="0.35">
      <c r="A4764">
        <v>4748</v>
      </c>
      <c r="B4764" s="75">
        <v>89.1875</v>
      </c>
      <c r="C4764" s="75">
        <v>98.232699999999994</v>
      </c>
      <c r="D4764" s="75">
        <v>92.885000000000005</v>
      </c>
      <c r="E4764" s="75">
        <v>96.499899999999997</v>
      </c>
      <c r="F4764">
        <v>1208.1299999999999</v>
      </c>
      <c r="G4764">
        <v>-34.200000000000003</v>
      </c>
      <c r="H4764">
        <v>-137.80000000000001</v>
      </c>
      <c r="I4764">
        <v>-3119.3</v>
      </c>
      <c r="J4764">
        <v>-2083.17</v>
      </c>
    </row>
    <row r="4765" spans="1:10" x14ac:dyDescent="0.35">
      <c r="A4765">
        <v>4749</v>
      </c>
      <c r="B4765" s="75">
        <v>90.56</v>
      </c>
      <c r="C4765" s="75">
        <v>98.18</v>
      </c>
      <c r="D4765" s="75">
        <v>92.97</v>
      </c>
      <c r="E4765" s="75">
        <v>94.04</v>
      </c>
      <c r="F4765">
        <v>-3306.93</v>
      </c>
      <c r="G4765">
        <v>38.25</v>
      </c>
      <c r="H4765">
        <v>-298.39999999999998</v>
      </c>
      <c r="I4765">
        <v>-659.2</v>
      </c>
      <c r="J4765">
        <v>-4226.28</v>
      </c>
    </row>
    <row r="4766" spans="1:10" x14ac:dyDescent="0.35">
      <c r="A4766">
        <v>4750</v>
      </c>
      <c r="B4766" s="75">
        <v>88.899199999999993</v>
      </c>
      <c r="C4766" s="75">
        <v>97.970600000000005</v>
      </c>
      <c r="D4766" s="75">
        <v>93.841899999999995</v>
      </c>
      <c r="E4766" s="75">
        <v>93.137</v>
      </c>
      <c r="F4766">
        <v>2159.52</v>
      </c>
      <c r="G4766">
        <v>358.95000000000005</v>
      </c>
      <c r="H4766">
        <v>-2051.6</v>
      </c>
      <c r="I4766">
        <v>243.60000000000002</v>
      </c>
      <c r="J4766">
        <v>710.47000000000037</v>
      </c>
    </row>
    <row r="4767" spans="1:10" x14ac:dyDescent="0.35">
      <c r="A4767">
        <v>4751</v>
      </c>
      <c r="B4767" s="75">
        <v>89.86</v>
      </c>
      <c r="C4767" s="75">
        <v>97.68</v>
      </c>
      <c r="D4767" s="75">
        <v>93.99</v>
      </c>
      <c r="E4767" s="75">
        <v>95.11</v>
      </c>
      <c r="F4767">
        <v>-1022.34</v>
      </c>
      <c r="G4767">
        <v>794.25</v>
      </c>
      <c r="H4767">
        <v>-2357</v>
      </c>
      <c r="I4767">
        <v>-1730.8</v>
      </c>
      <c r="J4767">
        <v>-4315.8900000000003</v>
      </c>
    </row>
    <row r="4768" spans="1:10" x14ac:dyDescent="0.35">
      <c r="A4768">
        <v>4752</v>
      </c>
      <c r="B4768" s="75">
        <v>89.585999999999999</v>
      </c>
      <c r="C4768" s="75">
        <v>98.771199999999993</v>
      </c>
      <c r="D4768" s="75">
        <v>93.345299999999995</v>
      </c>
      <c r="E4768" s="75">
        <v>93.4452</v>
      </c>
      <c r="F4768">
        <v>-106.91999999999999</v>
      </c>
      <c r="G4768">
        <v>-841.95</v>
      </c>
      <c r="H4768">
        <v>-1058.4000000000001</v>
      </c>
      <c r="I4768">
        <v>-64.600000000000009</v>
      </c>
      <c r="J4768">
        <v>-2071.87</v>
      </c>
    </row>
    <row r="4769" spans="1:10" x14ac:dyDescent="0.35">
      <c r="A4769">
        <v>4753</v>
      </c>
      <c r="B4769" s="75">
        <v>89.58</v>
      </c>
      <c r="C4769" s="75">
        <v>96.27</v>
      </c>
      <c r="D4769" s="75">
        <v>93.17</v>
      </c>
      <c r="E4769" s="75">
        <v>91.51</v>
      </c>
      <c r="F4769">
        <v>-73.92</v>
      </c>
      <c r="G4769">
        <v>2908.8</v>
      </c>
      <c r="H4769">
        <v>-701.4</v>
      </c>
      <c r="I4769">
        <v>1869.5</v>
      </c>
      <c r="J4769">
        <v>4002.98</v>
      </c>
    </row>
    <row r="4770" spans="1:10" x14ac:dyDescent="0.35">
      <c r="A4770">
        <v>4754</v>
      </c>
      <c r="B4770" s="75">
        <v>88.684600000000003</v>
      </c>
      <c r="C4770" s="75">
        <v>98.153899999999993</v>
      </c>
      <c r="D4770" s="75">
        <v>92.543499999999995</v>
      </c>
      <c r="E4770" s="75">
        <v>91.873599999999996</v>
      </c>
      <c r="F4770">
        <v>2867.7</v>
      </c>
      <c r="G4770">
        <v>84</v>
      </c>
      <c r="H4770">
        <v>545.20000000000005</v>
      </c>
      <c r="I4770">
        <v>1507</v>
      </c>
      <c r="J4770">
        <v>5003.8999999999996</v>
      </c>
    </row>
    <row r="4771" spans="1:10" x14ac:dyDescent="0.35">
      <c r="A4771">
        <v>4755</v>
      </c>
      <c r="B4771" s="75">
        <v>89.91</v>
      </c>
      <c r="C4771" s="75">
        <v>98.62</v>
      </c>
      <c r="D4771" s="75">
        <v>92.65</v>
      </c>
      <c r="E4771" s="75">
        <v>95.41</v>
      </c>
      <c r="F4771">
        <v>-1183.05</v>
      </c>
      <c r="G4771">
        <v>-622.35</v>
      </c>
      <c r="H4771">
        <v>330.2</v>
      </c>
      <c r="I4771">
        <v>-2027.3</v>
      </c>
      <c r="J4771">
        <v>-3502.5</v>
      </c>
    </row>
    <row r="4772" spans="1:10" x14ac:dyDescent="0.35">
      <c r="A4772">
        <v>4756</v>
      </c>
      <c r="B4772" s="75">
        <v>89.722300000000004</v>
      </c>
      <c r="C4772" s="75">
        <v>98.444199999999995</v>
      </c>
      <c r="D4772" s="75">
        <v>91.961600000000004</v>
      </c>
      <c r="E4772" s="75">
        <v>95.248999999999995</v>
      </c>
      <c r="F4772">
        <v>-556.70999999999992</v>
      </c>
      <c r="G4772">
        <v>-351.45</v>
      </c>
      <c r="H4772">
        <v>1709</v>
      </c>
      <c r="I4772">
        <v>-1868.4</v>
      </c>
      <c r="J4772">
        <v>-1067.56</v>
      </c>
    </row>
    <row r="4773" spans="1:10" x14ac:dyDescent="0.35">
      <c r="A4773">
        <v>4757</v>
      </c>
      <c r="B4773" s="75">
        <v>89.31</v>
      </c>
      <c r="C4773" s="75">
        <v>99.22</v>
      </c>
      <c r="D4773" s="75">
        <v>92.33</v>
      </c>
      <c r="E4773" s="75">
        <v>92.71</v>
      </c>
      <c r="F4773">
        <v>794.64</v>
      </c>
      <c r="G4773">
        <v>-1518.3</v>
      </c>
      <c r="H4773">
        <v>963.40000000000009</v>
      </c>
      <c r="I4773">
        <v>674.6</v>
      </c>
      <c r="J4773">
        <v>914.34000000000015</v>
      </c>
    </row>
    <row r="4774" spans="1:10" x14ac:dyDescent="0.35">
      <c r="A4774">
        <v>4758</v>
      </c>
      <c r="B4774" s="75">
        <v>89.906800000000004</v>
      </c>
      <c r="C4774" s="75">
        <v>97.004099999999994</v>
      </c>
      <c r="D4774" s="75">
        <v>92.833399999999997</v>
      </c>
      <c r="E4774" s="75">
        <v>92.802999999999997</v>
      </c>
      <c r="F4774">
        <v>-1165.56</v>
      </c>
      <c r="G4774">
        <v>1808.7</v>
      </c>
      <c r="H4774">
        <v>-34.6</v>
      </c>
      <c r="I4774">
        <v>577.6</v>
      </c>
      <c r="J4774">
        <v>1186.1400000000001</v>
      </c>
    </row>
    <row r="4775" spans="1:10" x14ac:dyDescent="0.35">
      <c r="A4775">
        <v>4759</v>
      </c>
      <c r="B4775" s="75">
        <v>89.89</v>
      </c>
      <c r="C4775" s="75">
        <v>98.23</v>
      </c>
      <c r="D4775" s="75">
        <v>93.61</v>
      </c>
      <c r="E4775" s="75">
        <v>93.25</v>
      </c>
      <c r="F4775">
        <v>-1124.97</v>
      </c>
      <c r="G4775">
        <v>-30.45</v>
      </c>
      <c r="H4775">
        <v>-1593.2</v>
      </c>
      <c r="I4775">
        <v>129.6</v>
      </c>
      <c r="J4775">
        <v>-2619.02</v>
      </c>
    </row>
    <row r="4776" spans="1:10" x14ac:dyDescent="0.35">
      <c r="A4776">
        <v>4760</v>
      </c>
      <c r="B4776" s="75">
        <v>89.379499999999993</v>
      </c>
      <c r="C4776" s="75">
        <v>98.146900000000002</v>
      </c>
      <c r="D4776" s="75">
        <v>91.622799999999998</v>
      </c>
      <c r="E4776" s="75">
        <v>92.029700000000005</v>
      </c>
      <c r="F4776">
        <v>574.53</v>
      </c>
      <c r="G4776">
        <v>94.5</v>
      </c>
      <c r="H4776">
        <v>2386.6</v>
      </c>
      <c r="I4776">
        <v>1350.9</v>
      </c>
      <c r="J4776">
        <v>4406.5300000000007</v>
      </c>
    </row>
    <row r="4777" spans="1:10" x14ac:dyDescent="0.35">
      <c r="A4777">
        <v>4761</v>
      </c>
      <c r="B4777" s="75">
        <v>89.05</v>
      </c>
      <c r="C4777" s="75">
        <v>98.09</v>
      </c>
      <c r="D4777" s="75">
        <v>92.72</v>
      </c>
      <c r="E4777" s="75">
        <v>93.99</v>
      </c>
      <c r="F4777">
        <v>1656.93</v>
      </c>
      <c r="G4777">
        <v>186.6</v>
      </c>
      <c r="H4777">
        <v>182.79999999999998</v>
      </c>
      <c r="I4777">
        <v>-613.9</v>
      </c>
      <c r="J4777">
        <v>1412.4299999999998</v>
      </c>
    </row>
    <row r="4778" spans="1:10" x14ac:dyDescent="0.35">
      <c r="A4778">
        <v>4762</v>
      </c>
      <c r="B4778" s="75">
        <v>90.400499999999994</v>
      </c>
      <c r="C4778" s="75">
        <v>98.664000000000001</v>
      </c>
      <c r="D4778" s="75">
        <v>93.232500000000002</v>
      </c>
      <c r="E4778" s="75">
        <v>95.148399999999995</v>
      </c>
      <c r="F4778">
        <v>-2794.77</v>
      </c>
      <c r="G4778">
        <v>-681.15</v>
      </c>
      <c r="H4778">
        <v>-832.8</v>
      </c>
      <c r="I4778">
        <v>-1767.8</v>
      </c>
      <c r="J4778">
        <v>-6076.52</v>
      </c>
    </row>
    <row r="4779" spans="1:10" x14ac:dyDescent="0.35">
      <c r="A4779">
        <v>4763</v>
      </c>
      <c r="B4779" s="75">
        <v>88.63</v>
      </c>
      <c r="C4779" s="75">
        <v>99.31</v>
      </c>
      <c r="D4779" s="75">
        <v>92.49</v>
      </c>
      <c r="E4779" s="75">
        <v>93.69</v>
      </c>
      <c r="F4779">
        <v>3054.48</v>
      </c>
      <c r="G4779">
        <v>-1647.6000000000001</v>
      </c>
      <c r="H4779">
        <v>645.4</v>
      </c>
      <c r="I4779">
        <v>-305.3</v>
      </c>
      <c r="J4779">
        <v>1746.9799999999998</v>
      </c>
    </row>
    <row r="4780" spans="1:10" x14ac:dyDescent="0.35">
      <c r="A4780">
        <v>4764</v>
      </c>
      <c r="B4780" s="75">
        <v>90.151899999999998</v>
      </c>
      <c r="C4780" s="75">
        <v>99.255300000000005</v>
      </c>
      <c r="D4780" s="75">
        <v>94.424300000000002</v>
      </c>
      <c r="E4780" s="75">
        <v>90.416499999999999</v>
      </c>
      <c r="F4780">
        <v>-1974.39</v>
      </c>
      <c r="G4780">
        <v>-1568.1000000000001</v>
      </c>
      <c r="H4780">
        <v>-3216.4</v>
      </c>
      <c r="I4780">
        <v>2964.1000000000004</v>
      </c>
      <c r="J4780">
        <v>-3794.79</v>
      </c>
    </row>
    <row r="4781" spans="1:10" x14ac:dyDescent="0.35">
      <c r="A4781">
        <v>4765</v>
      </c>
      <c r="B4781" s="75">
        <v>89.06</v>
      </c>
      <c r="C4781" s="75">
        <v>99.28</v>
      </c>
      <c r="D4781" s="75">
        <v>90.93</v>
      </c>
      <c r="E4781" s="75">
        <v>91.7</v>
      </c>
      <c r="F4781">
        <v>1626.9</v>
      </c>
      <c r="G4781">
        <v>-1609.9499999999998</v>
      </c>
      <c r="H4781">
        <v>3780.6000000000004</v>
      </c>
      <c r="I4781">
        <v>1678.8000000000002</v>
      </c>
      <c r="J4781">
        <v>5476.35</v>
      </c>
    </row>
    <row r="4782" spans="1:10" x14ac:dyDescent="0.35">
      <c r="A4782">
        <v>4766</v>
      </c>
      <c r="B4782" s="75">
        <v>89.997699999999995</v>
      </c>
      <c r="C4782" s="75">
        <v>99.608900000000006</v>
      </c>
      <c r="D4782" s="75">
        <v>91.510199999999998</v>
      </c>
      <c r="E4782" s="75">
        <v>95.947199999999995</v>
      </c>
      <c r="F4782">
        <v>-1465.53</v>
      </c>
      <c r="G4782">
        <v>-2098.5</v>
      </c>
      <c r="H4782">
        <v>2611.8000000000002</v>
      </c>
      <c r="I4782">
        <v>-2566.6000000000004</v>
      </c>
      <c r="J4782">
        <v>-3518.83</v>
      </c>
    </row>
    <row r="4783" spans="1:10" x14ac:dyDescent="0.35">
      <c r="A4783">
        <v>4767</v>
      </c>
      <c r="B4783" s="75">
        <v>89.38</v>
      </c>
      <c r="C4783" s="75">
        <v>99.73</v>
      </c>
      <c r="D4783" s="75">
        <v>92.25</v>
      </c>
      <c r="E4783" s="75">
        <v>92.93</v>
      </c>
      <c r="F4783">
        <v>557.70000000000005</v>
      </c>
      <c r="G4783">
        <v>-2280.6</v>
      </c>
      <c r="H4783">
        <v>1138.4000000000001</v>
      </c>
      <c r="I4783">
        <v>451.40000000000003</v>
      </c>
      <c r="J4783">
        <v>-133.09999999999974</v>
      </c>
    </row>
    <row r="4784" spans="1:10" x14ac:dyDescent="0.35">
      <c r="A4784">
        <v>4768</v>
      </c>
      <c r="B4784" s="75">
        <v>89.194999999999993</v>
      </c>
      <c r="C4784" s="75">
        <v>99.7363</v>
      </c>
      <c r="D4784" s="75">
        <v>91.884900000000002</v>
      </c>
      <c r="E4784" s="75">
        <v>92.632599999999996</v>
      </c>
      <c r="F4784">
        <v>1183.3799999999999</v>
      </c>
      <c r="G4784">
        <v>-2289.6</v>
      </c>
      <c r="H4784">
        <v>1862.4</v>
      </c>
      <c r="I4784">
        <v>748</v>
      </c>
      <c r="J4784">
        <v>1504.18</v>
      </c>
    </row>
    <row r="4785" spans="1:10" x14ac:dyDescent="0.35">
      <c r="A4785">
        <v>4769</v>
      </c>
      <c r="B4785" s="75">
        <v>89.61</v>
      </c>
      <c r="C4785" s="75">
        <v>99.34</v>
      </c>
      <c r="D4785" s="75">
        <v>92.51</v>
      </c>
      <c r="E4785" s="75">
        <v>93.21</v>
      </c>
      <c r="F4785">
        <v>-191.73</v>
      </c>
      <c r="G4785">
        <v>-1699.8</v>
      </c>
      <c r="H4785">
        <v>611.19999999999993</v>
      </c>
      <c r="I4785">
        <v>167.4</v>
      </c>
      <c r="J4785">
        <v>-1112.9299999999998</v>
      </c>
    </row>
    <row r="4786" spans="1:10" x14ac:dyDescent="0.35">
      <c r="A4786">
        <v>4770</v>
      </c>
      <c r="B4786" s="75">
        <v>89.306600000000003</v>
      </c>
      <c r="C4786" s="75">
        <v>99.4285</v>
      </c>
      <c r="D4786" s="75">
        <v>95.037499999999994</v>
      </c>
      <c r="E4786" s="75">
        <v>93.145099999999999</v>
      </c>
      <c r="F4786">
        <v>815.1</v>
      </c>
      <c r="G4786">
        <v>-1827.8999999999999</v>
      </c>
      <c r="H4786">
        <v>-4442.8</v>
      </c>
      <c r="I4786">
        <v>235.5</v>
      </c>
      <c r="J4786">
        <v>-5220.1000000000004</v>
      </c>
    </row>
    <row r="4787" spans="1:10" x14ac:dyDescent="0.35">
      <c r="A4787">
        <v>4771</v>
      </c>
      <c r="B4787" s="75">
        <v>89.37</v>
      </c>
      <c r="C4787" s="75">
        <v>96.25</v>
      </c>
      <c r="D4787" s="75">
        <v>93.19</v>
      </c>
      <c r="E4787" s="75">
        <v>93.16</v>
      </c>
      <c r="F4787">
        <v>615.45000000000005</v>
      </c>
      <c r="G4787">
        <v>2936.85</v>
      </c>
      <c r="H4787">
        <v>-749.4</v>
      </c>
      <c r="I4787">
        <v>218.4</v>
      </c>
      <c r="J4787">
        <v>3021.3</v>
      </c>
    </row>
    <row r="4788" spans="1:10" x14ac:dyDescent="0.35">
      <c r="A4788">
        <v>4772</v>
      </c>
      <c r="B4788" s="75">
        <v>89.709500000000006</v>
      </c>
      <c r="C4788" s="75">
        <v>98.548199999999994</v>
      </c>
      <c r="D4788" s="75">
        <v>91.429199999999994</v>
      </c>
      <c r="E4788" s="75">
        <v>93.652500000000003</v>
      </c>
      <c r="F4788">
        <v>-514.47</v>
      </c>
      <c r="G4788">
        <v>-507.45</v>
      </c>
      <c r="H4788">
        <v>2773.8</v>
      </c>
      <c r="I4788">
        <v>-271.89999999999998</v>
      </c>
      <c r="J4788">
        <v>1479.98</v>
      </c>
    </row>
    <row r="4789" spans="1:10" x14ac:dyDescent="0.35">
      <c r="A4789">
        <v>4773</v>
      </c>
      <c r="B4789" s="75">
        <v>89.78</v>
      </c>
      <c r="C4789" s="75">
        <v>98.33</v>
      </c>
      <c r="D4789" s="75">
        <v>90.63</v>
      </c>
      <c r="E4789" s="75">
        <v>91.95</v>
      </c>
      <c r="F4789">
        <v>-753.72</v>
      </c>
      <c r="G4789">
        <v>-174.29999999999998</v>
      </c>
      <c r="H4789">
        <v>4371.8</v>
      </c>
      <c r="I4789">
        <v>1434.9</v>
      </c>
      <c r="J4789">
        <v>4878.68</v>
      </c>
    </row>
    <row r="4790" spans="1:10" x14ac:dyDescent="0.35">
      <c r="A4790">
        <v>4774</v>
      </c>
      <c r="B4790" s="75">
        <v>89.261600000000001</v>
      </c>
      <c r="C4790" s="75">
        <v>96.852000000000004</v>
      </c>
      <c r="D4790" s="75">
        <v>93.059399999999997</v>
      </c>
      <c r="E4790" s="75">
        <v>93.918000000000006</v>
      </c>
      <c r="F4790">
        <v>963.59999999999991</v>
      </c>
      <c r="G4790">
        <v>2036.8500000000001</v>
      </c>
      <c r="H4790">
        <v>-486.59999999999997</v>
      </c>
      <c r="I4790">
        <v>-537.4</v>
      </c>
      <c r="J4790">
        <v>1976.4499999999998</v>
      </c>
    </row>
    <row r="4791" spans="1:10" x14ac:dyDescent="0.35">
      <c r="A4791">
        <v>4775</v>
      </c>
      <c r="B4791" s="75">
        <v>89.97</v>
      </c>
      <c r="C4791" s="75">
        <v>98.47</v>
      </c>
      <c r="D4791" s="75">
        <v>91.6</v>
      </c>
      <c r="E4791" s="75">
        <v>93.09</v>
      </c>
      <c r="F4791">
        <v>-1367.52</v>
      </c>
      <c r="G4791">
        <v>-385.04999999999995</v>
      </c>
      <c r="H4791">
        <v>2436.6</v>
      </c>
      <c r="I4791">
        <v>288.8</v>
      </c>
      <c r="J4791">
        <v>972.82999999999993</v>
      </c>
    </row>
    <row r="4792" spans="1:10" x14ac:dyDescent="0.35">
      <c r="A4792">
        <v>4776</v>
      </c>
      <c r="B4792" s="75">
        <v>89.208500000000001</v>
      </c>
      <c r="C4792" s="75">
        <v>98.643600000000006</v>
      </c>
      <c r="D4792" s="75">
        <v>92.8078</v>
      </c>
      <c r="E4792" s="75">
        <v>91.827699999999993</v>
      </c>
      <c r="F4792">
        <v>1138.8300000000002</v>
      </c>
      <c r="G4792">
        <v>-650.54999999999995</v>
      </c>
      <c r="H4792">
        <v>16.600000000000001</v>
      </c>
      <c r="I4792">
        <v>1552.8999999999999</v>
      </c>
      <c r="J4792">
        <v>2057.7800000000002</v>
      </c>
    </row>
    <row r="4793" spans="1:10" x14ac:dyDescent="0.35">
      <c r="A4793">
        <v>4777</v>
      </c>
      <c r="B4793" s="75">
        <v>90.64</v>
      </c>
      <c r="C4793" s="75">
        <v>98.07</v>
      </c>
      <c r="D4793" s="75">
        <v>90.4</v>
      </c>
      <c r="E4793" s="75">
        <v>93.43</v>
      </c>
      <c r="F4793">
        <v>-3572.58</v>
      </c>
      <c r="G4793">
        <v>202.5</v>
      </c>
      <c r="H4793">
        <v>4828.8</v>
      </c>
      <c r="I4793">
        <v>-50.5</v>
      </c>
      <c r="J4793">
        <v>1408.2200000000003</v>
      </c>
    </row>
    <row r="4794" spans="1:10" x14ac:dyDescent="0.35">
      <c r="A4794">
        <v>4778</v>
      </c>
      <c r="B4794" s="75">
        <v>90.023700000000005</v>
      </c>
      <c r="C4794" s="75">
        <v>98.142200000000003</v>
      </c>
      <c r="D4794" s="75">
        <v>93.211799999999997</v>
      </c>
      <c r="E4794" s="75">
        <v>95.679599999999994</v>
      </c>
      <c r="F4794">
        <v>-1551.3300000000002</v>
      </c>
      <c r="G4794">
        <v>101.55</v>
      </c>
      <c r="H4794">
        <v>-791.4</v>
      </c>
      <c r="I4794">
        <v>-2299</v>
      </c>
      <c r="J4794">
        <v>-4540.18</v>
      </c>
    </row>
    <row r="4795" spans="1:10" x14ac:dyDescent="0.35">
      <c r="A4795">
        <v>4779</v>
      </c>
      <c r="B4795" s="75">
        <v>89.35</v>
      </c>
      <c r="C4795" s="75">
        <v>98.69</v>
      </c>
      <c r="D4795" s="75">
        <v>92.35</v>
      </c>
      <c r="E4795" s="75">
        <v>92.81</v>
      </c>
      <c r="F4795">
        <v>667.26</v>
      </c>
      <c r="G4795">
        <v>-714.15000000000009</v>
      </c>
      <c r="H4795">
        <v>927.8</v>
      </c>
      <c r="I4795">
        <v>569.1</v>
      </c>
      <c r="J4795">
        <v>1450.0099999999998</v>
      </c>
    </row>
    <row r="4796" spans="1:10" x14ac:dyDescent="0.35">
      <c r="A4796">
        <v>4780</v>
      </c>
      <c r="B4796" s="75">
        <v>89.0137</v>
      </c>
      <c r="C4796" s="75">
        <v>98.130600000000001</v>
      </c>
      <c r="D4796" s="75">
        <v>90.954300000000003</v>
      </c>
      <c r="E4796" s="75">
        <v>90.9054</v>
      </c>
      <c r="F4796">
        <v>1781.67</v>
      </c>
      <c r="G4796">
        <v>118.94999999999999</v>
      </c>
      <c r="H4796">
        <v>3723.6</v>
      </c>
      <c r="I4796">
        <v>2475.2000000000003</v>
      </c>
      <c r="J4796">
        <v>8099.42</v>
      </c>
    </row>
    <row r="4797" spans="1:10" x14ac:dyDescent="0.35">
      <c r="A4797">
        <v>4781</v>
      </c>
      <c r="B4797" s="75">
        <v>90.17</v>
      </c>
      <c r="C4797" s="75">
        <v>99.04</v>
      </c>
      <c r="D4797" s="75">
        <v>92.89</v>
      </c>
      <c r="E4797" s="75">
        <v>92.64</v>
      </c>
      <c r="F4797">
        <v>-2037.4199999999998</v>
      </c>
      <c r="G4797">
        <v>-1249.05</v>
      </c>
      <c r="H4797">
        <v>-148.19999999999999</v>
      </c>
      <c r="I4797">
        <v>738.5</v>
      </c>
      <c r="J4797">
        <v>-2696.1699999999996</v>
      </c>
    </row>
    <row r="4798" spans="1:10" x14ac:dyDescent="0.35">
      <c r="A4798">
        <v>4782</v>
      </c>
      <c r="B4798" s="75">
        <v>89.968800000000002</v>
      </c>
      <c r="C4798" s="75">
        <v>97.895499999999998</v>
      </c>
      <c r="D4798" s="75">
        <v>92.4619</v>
      </c>
      <c r="E4798" s="75">
        <v>94.915800000000004</v>
      </c>
      <c r="F4798">
        <v>-1370.16</v>
      </c>
      <c r="G4798">
        <v>471.6</v>
      </c>
      <c r="H4798">
        <v>708.4</v>
      </c>
      <c r="I4798">
        <v>-1535.1999999999998</v>
      </c>
      <c r="J4798">
        <v>-1725.36</v>
      </c>
    </row>
    <row r="4799" spans="1:10" x14ac:dyDescent="0.35">
      <c r="A4799">
        <v>4783</v>
      </c>
      <c r="B4799" s="75">
        <v>89.55</v>
      </c>
      <c r="C4799" s="75">
        <v>99.65</v>
      </c>
      <c r="D4799" s="75">
        <v>92.76</v>
      </c>
      <c r="E4799" s="75">
        <v>90.69</v>
      </c>
      <c r="F4799">
        <v>19.8</v>
      </c>
      <c r="G4799">
        <v>-2162.6999999999998</v>
      </c>
      <c r="H4799">
        <v>112.19999999999999</v>
      </c>
      <c r="I4799">
        <v>2690.2</v>
      </c>
      <c r="J4799">
        <v>659.50000000000023</v>
      </c>
    </row>
    <row r="4800" spans="1:10" x14ac:dyDescent="0.35">
      <c r="A4800">
        <v>4784</v>
      </c>
      <c r="B4800" s="75">
        <v>90.018799999999999</v>
      </c>
      <c r="C4800" s="75">
        <v>98.846100000000007</v>
      </c>
      <c r="D4800" s="75">
        <v>92.835800000000006</v>
      </c>
      <c r="E4800" s="75">
        <v>93.024600000000007</v>
      </c>
      <c r="F4800">
        <v>-1535.16</v>
      </c>
      <c r="G4800">
        <v>-954.3</v>
      </c>
      <c r="H4800">
        <v>-39.4</v>
      </c>
      <c r="I4800">
        <v>356</v>
      </c>
      <c r="J4800">
        <v>-2172.86</v>
      </c>
    </row>
    <row r="4801" spans="1:10" x14ac:dyDescent="0.35">
      <c r="A4801">
        <v>4785</v>
      </c>
      <c r="B4801" s="75">
        <v>90.32</v>
      </c>
      <c r="C4801" s="75">
        <v>97.21</v>
      </c>
      <c r="D4801" s="75">
        <v>92.08</v>
      </c>
      <c r="E4801" s="75">
        <v>91.95</v>
      </c>
      <c r="F4801">
        <v>-2536.0499999999997</v>
      </c>
      <c r="G4801">
        <v>1494.6</v>
      </c>
      <c r="H4801">
        <v>1470.3999999999999</v>
      </c>
      <c r="I4801">
        <v>1430.9</v>
      </c>
      <c r="J4801">
        <v>1859.8500000000001</v>
      </c>
    </row>
    <row r="4802" spans="1:10" x14ac:dyDescent="0.35">
      <c r="A4802">
        <v>4786</v>
      </c>
      <c r="B4802" s="75">
        <v>90.536900000000003</v>
      </c>
      <c r="C4802" s="75">
        <v>96.236400000000003</v>
      </c>
      <c r="D4802" s="75">
        <v>93.025700000000001</v>
      </c>
      <c r="E4802" s="75">
        <v>91.638900000000007</v>
      </c>
      <c r="F4802">
        <v>-3244.89</v>
      </c>
      <c r="G4802">
        <v>2960.25</v>
      </c>
      <c r="H4802">
        <v>-419.20000000000005</v>
      </c>
      <c r="I4802">
        <v>1741.7</v>
      </c>
      <c r="J4802">
        <v>1037.8600000000001</v>
      </c>
    </row>
    <row r="4803" spans="1:10" x14ac:dyDescent="0.35">
      <c r="A4803">
        <v>4787</v>
      </c>
      <c r="B4803" s="75">
        <v>89.57</v>
      </c>
      <c r="C4803" s="75">
        <v>97.89</v>
      </c>
      <c r="D4803" s="75">
        <v>94.03</v>
      </c>
      <c r="E4803" s="75">
        <v>92.29</v>
      </c>
      <c r="F4803">
        <v>-38.94</v>
      </c>
      <c r="G4803">
        <v>487.04999999999995</v>
      </c>
      <c r="H4803">
        <v>-2422.2000000000003</v>
      </c>
      <c r="I4803">
        <v>1094.5999999999999</v>
      </c>
      <c r="J4803">
        <v>-879.49000000000046</v>
      </c>
    </row>
    <row r="4804" spans="1:10" x14ac:dyDescent="0.35">
      <c r="A4804">
        <v>4788</v>
      </c>
      <c r="B4804" s="75">
        <v>90.052599999999998</v>
      </c>
      <c r="C4804" s="75">
        <v>99.606099999999998</v>
      </c>
      <c r="D4804" s="75">
        <v>93.021500000000003</v>
      </c>
      <c r="E4804" s="75">
        <v>94.368300000000005</v>
      </c>
      <c r="F4804">
        <v>-1646.7</v>
      </c>
      <c r="G4804">
        <v>-2094.3000000000002</v>
      </c>
      <c r="H4804">
        <v>-410.8</v>
      </c>
      <c r="I4804">
        <v>-987.7</v>
      </c>
      <c r="J4804">
        <v>-5139.5</v>
      </c>
    </row>
    <row r="4805" spans="1:10" x14ac:dyDescent="0.35">
      <c r="A4805">
        <v>4789</v>
      </c>
      <c r="B4805" s="75">
        <v>89.39</v>
      </c>
      <c r="C4805" s="75">
        <v>97.12</v>
      </c>
      <c r="D4805" s="75">
        <v>94.79</v>
      </c>
      <c r="E4805" s="75">
        <v>95.17</v>
      </c>
      <c r="F4805">
        <v>547.80000000000007</v>
      </c>
      <c r="G4805">
        <v>1630.05</v>
      </c>
      <c r="H4805">
        <v>-3948.2</v>
      </c>
      <c r="I4805">
        <v>-1788.7</v>
      </c>
      <c r="J4805">
        <v>-3559.05</v>
      </c>
    </row>
    <row r="4806" spans="1:10" x14ac:dyDescent="0.35">
      <c r="A4806">
        <v>4790</v>
      </c>
      <c r="B4806" s="75">
        <v>89.211299999999994</v>
      </c>
      <c r="C4806" s="75">
        <v>98.353099999999998</v>
      </c>
      <c r="D4806" s="75">
        <v>93.594899999999996</v>
      </c>
      <c r="E4806" s="75">
        <v>93.000299999999996</v>
      </c>
      <c r="F4806">
        <v>1129.5899999999999</v>
      </c>
      <c r="G4806">
        <v>-214.79999999999998</v>
      </c>
      <c r="H4806">
        <v>-1557.6000000000001</v>
      </c>
      <c r="I4806">
        <v>380.3</v>
      </c>
      <c r="J4806">
        <v>-262.51000000000016</v>
      </c>
    </row>
    <row r="4807" spans="1:10" x14ac:dyDescent="0.35">
      <c r="A4807">
        <v>4791</v>
      </c>
      <c r="B4807" s="75">
        <v>89.07</v>
      </c>
      <c r="C4807" s="75">
        <v>98.62</v>
      </c>
      <c r="D4807" s="75">
        <v>92.34</v>
      </c>
      <c r="E4807" s="75">
        <v>95.55</v>
      </c>
      <c r="F4807">
        <v>1605.78</v>
      </c>
      <c r="G4807">
        <v>-610.20000000000005</v>
      </c>
      <c r="H4807">
        <v>952.6</v>
      </c>
      <c r="I4807">
        <v>-2165.1999999999998</v>
      </c>
      <c r="J4807">
        <v>-217.01999999999998</v>
      </c>
    </row>
    <row r="4808" spans="1:10" x14ac:dyDescent="0.35">
      <c r="A4808">
        <v>4792</v>
      </c>
      <c r="B4808" s="75">
        <v>90.630300000000005</v>
      </c>
      <c r="C4808" s="75">
        <v>100.0513</v>
      </c>
      <c r="D4808" s="75">
        <v>91.950100000000006</v>
      </c>
      <c r="E4808" s="75">
        <v>92.077100000000002</v>
      </c>
      <c r="F4808">
        <v>-3553.11</v>
      </c>
      <c r="G4808">
        <v>-2762.1</v>
      </c>
      <c r="H4808">
        <v>1732</v>
      </c>
      <c r="I4808">
        <v>1303.5</v>
      </c>
      <c r="J4808">
        <v>-3279.71</v>
      </c>
    </row>
    <row r="4809" spans="1:10" x14ac:dyDescent="0.35">
      <c r="A4809">
        <v>4793</v>
      </c>
      <c r="B4809" s="75">
        <v>89.62</v>
      </c>
      <c r="C4809" s="75">
        <v>98.63</v>
      </c>
      <c r="D4809" s="75">
        <v>94.64</v>
      </c>
      <c r="E4809" s="75">
        <v>93.33</v>
      </c>
      <c r="F4809">
        <v>-224.07</v>
      </c>
      <c r="G4809">
        <v>-635.55000000000007</v>
      </c>
      <c r="H4809">
        <v>-3647.4</v>
      </c>
      <c r="I4809">
        <v>50.8</v>
      </c>
      <c r="J4809">
        <v>-4456.22</v>
      </c>
    </row>
    <row r="4810" spans="1:10" x14ac:dyDescent="0.35">
      <c r="A4810">
        <v>4794</v>
      </c>
      <c r="B4810" s="75">
        <v>89.848699999999994</v>
      </c>
      <c r="C4810" s="75">
        <v>99.025499999999994</v>
      </c>
      <c r="D4810" s="75">
        <v>94.774699999999996</v>
      </c>
      <c r="E4810" s="75">
        <v>94.102800000000002</v>
      </c>
      <c r="F4810">
        <v>-973.82999999999993</v>
      </c>
      <c r="G4810">
        <v>-1223.4000000000001</v>
      </c>
      <c r="H4810">
        <v>-3917.2</v>
      </c>
      <c r="I4810">
        <v>-722.19999999999993</v>
      </c>
      <c r="J4810">
        <v>-6836.63</v>
      </c>
    </row>
    <row r="4811" spans="1:10" x14ac:dyDescent="0.35">
      <c r="A4811">
        <v>4795</v>
      </c>
      <c r="B4811" s="75">
        <v>90.06</v>
      </c>
      <c r="C4811" s="75">
        <v>98.06</v>
      </c>
      <c r="D4811" s="75">
        <v>91.9</v>
      </c>
      <c r="E4811" s="75">
        <v>90.91</v>
      </c>
      <c r="F4811">
        <v>-1655.2800000000002</v>
      </c>
      <c r="G4811">
        <v>223.8</v>
      </c>
      <c r="H4811">
        <v>1841.6</v>
      </c>
      <c r="I4811">
        <v>2471.6</v>
      </c>
      <c r="J4811">
        <v>2881.7199999999993</v>
      </c>
    </row>
    <row r="4812" spans="1:10" x14ac:dyDescent="0.35">
      <c r="A4812">
        <v>4796</v>
      </c>
      <c r="B4812" s="75">
        <v>90.232200000000006</v>
      </c>
      <c r="C4812" s="75">
        <v>97.051599999999993</v>
      </c>
      <c r="D4812" s="75">
        <v>91.747399999999999</v>
      </c>
      <c r="E4812" s="75">
        <v>92.680899999999994</v>
      </c>
      <c r="F4812">
        <v>-2239.38</v>
      </c>
      <c r="G4812">
        <v>1737.4500000000003</v>
      </c>
      <c r="H4812">
        <v>2137.4</v>
      </c>
      <c r="I4812">
        <v>699.7</v>
      </c>
      <c r="J4812">
        <v>2335.17</v>
      </c>
    </row>
    <row r="4813" spans="1:10" x14ac:dyDescent="0.35">
      <c r="A4813">
        <v>4797</v>
      </c>
      <c r="B4813" s="75">
        <v>88.95</v>
      </c>
      <c r="C4813" s="75">
        <v>97.77</v>
      </c>
      <c r="D4813" s="75">
        <v>92.04</v>
      </c>
      <c r="E4813" s="75">
        <v>92.17</v>
      </c>
      <c r="F4813">
        <v>1998.48</v>
      </c>
      <c r="G4813">
        <v>657.15</v>
      </c>
      <c r="H4813">
        <v>1548.2</v>
      </c>
      <c r="I4813">
        <v>1211.8</v>
      </c>
      <c r="J4813">
        <v>5415.63</v>
      </c>
    </row>
    <row r="4814" spans="1:10" x14ac:dyDescent="0.35">
      <c r="A4814">
        <v>4798</v>
      </c>
      <c r="B4814" s="75">
        <v>88.750200000000007</v>
      </c>
      <c r="C4814" s="75">
        <v>99.076999999999998</v>
      </c>
      <c r="D4814" s="75">
        <v>92.076499999999996</v>
      </c>
      <c r="E4814" s="75">
        <v>94.2423</v>
      </c>
      <c r="F4814">
        <v>2651.22</v>
      </c>
      <c r="G4814">
        <v>-1300.6499999999999</v>
      </c>
      <c r="H4814">
        <v>1479.2</v>
      </c>
      <c r="I4814">
        <v>-861.7</v>
      </c>
      <c r="J4814">
        <v>1968.07</v>
      </c>
    </row>
    <row r="4815" spans="1:10" x14ac:dyDescent="0.35">
      <c r="A4815">
        <v>4799</v>
      </c>
      <c r="B4815" s="75">
        <v>89.57</v>
      </c>
      <c r="C4815" s="75">
        <v>98.4</v>
      </c>
      <c r="D4815" s="75">
        <v>94.82</v>
      </c>
      <c r="E4815" s="75">
        <v>90.7</v>
      </c>
      <c r="F4815">
        <v>-41.25</v>
      </c>
      <c r="G4815">
        <v>-289.64999999999998</v>
      </c>
      <c r="H4815">
        <v>-4009.2</v>
      </c>
      <c r="I4815">
        <v>2682.2</v>
      </c>
      <c r="J4815">
        <v>-1657.8999999999996</v>
      </c>
    </row>
    <row r="4816" spans="1:10" x14ac:dyDescent="0.35">
      <c r="A4816">
        <v>4800</v>
      </c>
      <c r="B4816" s="75">
        <v>89.457800000000006</v>
      </c>
      <c r="C4816" s="75">
        <v>96.976600000000005</v>
      </c>
      <c r="D4816" s="75">
        <v>91.967299999999994</v>
      </c>
      <c r="E4816" s="75">
        <v>95.261600000000001</v>
      </c>
      <c r="F4816">
        <v>316.14</v>
      </c>
      <c r="G4816">
        <v>1849.95</v>
      </c>
      <c r="H4816">
        <v>1697.6</v>
      </c>
      <c r="I4816">
        <v>-1881</v>
      </c>
      <c r="J4816">
        <v>1982.69</v>
      </c>
    </row>
    <row r="4817" spans="1:10" x14ac:dyDescent="0.35">
      <c r="A4817">
        <v>4801</v>
      </c>
      <c r="B4817" s="75">
        <v>88.56</v>
      </c>
      <c r="C4817" s="75">
        <v>98.31</v>
      </c>
      <c r="D4817" s="75">
        <v>93.77</v>
      </c>
      <c r="E4817" s="75">
        <v>93.76</v>
      </c>
      <c r="F4817">
        <v>3277.23</v>
      </c>
      <c r="G4817">
        <v>-148.19999999999999</v>
      </c>
      <c r="H4817">
        <v>-1905.4</v>
      </c>
      <c r="I4817">
        <v>-383.5</v>
      </c>
      <c r="J4817">
        <v>840.13000000000011</v>
      </c>
    </row>
    <row r="4818" spans="1:10" x14ac:dyDescent="0.35">
      <c r="A4818">
        <v>4802</v>
      </c>
      <c r="B4818" s="75">
        <v>90.626099999999994</v>
      </c>
      <c r="C4818" s="75">
        <v>98.700500000000005</v>
      </c>
      <c r="D4818" s="75">
        <v>94.460800000000006</v>
      </c>
      <c r="E4818" s="75">
        <v>93.293400000000005</v>
      </c>
      <c r="F4818">
        <v>-3539.25</v>
      </c>
      <c r="G4818">
        <v>-735.9</v>
      </c>
      <c r="H4818">
        <v>-3289.4</v>
      </c>
      <c r="I4818">
        <v>87.2</v>
      </c>
      <c r="J4818">
        <v>-7477.3499999999995</v>
      </c>
    </row>
    <row r="4819" spans="1:10" x14ac:dyDescent="0.35">
      <c r="A4819">
        <v>4803</v>
      </c>
      <c r="B4819" s="75">
        <v>89.77</v>
      </c>
      <c r="C4819" s="75">
        <v>97.09</v>
      </c>
      <c r="D4819" s="75">
        <v>95.49</v>
      </c>
      <c r="E4819" s="75">
        <v>93.47</v>
      </c>
      <c r="F4819">
        <v>-707.52</v>
      </c>
      <c r="G4819">
        <v>1673.85</v>
      </c>
      <c r="H4819">
        <v>-5356.2000000000007</v>
      </c>
      <c r="I4819">
        <v>-87.8</v>
      </c>
      <c r="J4819">
        <v>-4477.670000000001</v>
      </c>
    </row>
    <row r="4820" spans="1:10" x14ac:dyDescent="0.35">
      <c r="A4820">
        <v>4804</v>
      </c>
      <c r="B4820" s="75">
        <v>89.226100000000002</v>
      </c>
      <c r="C4820" s="75">
        <v>99.109700000000004</v>
      </c>
      <c r="D4820" s="75">
        <v>91.505700000000004</v>
      </c>
      <c r="E4820" s="75">
        <v>96.175299999999993</v>
      </c>
      <c r="F4820">
        <v>1080.75</v>
      </c>
      <c r="G4820">
        <v>-1349.7</v>
      </c>
      <c r="H4820">
        <v>2620.8000000000002</v>
      </c>
      <c r="I4820">
        <v>-2794.7000000000003</v>
      </c>
      <c r="J4820">
        <v>-442.84999999999991</v>
      </c>
    </row>
    <row r="4821" spans="1:10" x14ac:dyDescent="0.35">
      <c r="A4821">
        <v>4805</v>
      </c>
      <c r="B4821" s="75">
        <v>89.77</v>
      </c>
      <c r="C4821" s="75">
        <v>100.62</v>
      </c>
      <c r="D4821" s="75">
        <v>92.94</v>
      </c>
      <c r="E4821" s="75">
        <v>92.38</v>
      </c>
      <c r="F4821">
        <v>-724.02</v>
      </c>
      <c r="G4821">
        <v>-3619.35</v>
      </c>
      <c r="H4821">
        <v>-243.2</v>
      </c>
      <c r="I4821">
        <v>997.3</v>
      </c>
      <c r="J4821">
        <v>-3589.2699999999995</v>
      </c>
    </row>
    <row r="4822" spans="1:10" x14ac:dyDescent="0.35">
      <c r="A4822">
        <v>4806</v>
      </c>
      <c r="B4822" s="75">
        <v>89.912899999999993</v>
      </c>
      <c r="C4822" s="75">
        <v>97.627300000000005</v>
      </c>
      <c r="D4822" s="75">
        <v>91.657200000000003</v>
      </c>
      <c r="E4822" s="75">
        <v>96.145700000000005</v>
      </c>
      <c r="F4822">
        <v>-1185.69</v>
      </c>
      <c r="G4822">
        <v>873.9</v>
      </c>
      <c r="H4822">
        <v>2317.8000000000002</v>
      </c>
      <c r="I4822">
        <v>-2765.1</v>
      </c>
      <c r="J4822">
        <v>-759.08999999999969</v>
      </c>
    </row>
    <row r="4823" spans="1:10" x14ac:dyDescent="0.35">
      <c r="A4823">
        <v>4807</v>
      </c>
      <c r="B4823" s="75">
        <v>89.9</v>
      </c>
      <c r="C4823" s="75">
        <v>98.56</v>
      </c>
      <c r="D4823" s="75">
        <v>94.35</v>
      </c>
      <c r="E4823" s="75">
        <v>93.41</v>
      </c>
      <c r="F4823">
        <v>-1133.5500000000002</v>
      </c>
      <c r="G4823">
        <v>-523.80000000000007</v>
      </c>
      <c r="H4823">
        <v>-3069.2</v>
      </c>
      <c r="I4823">
        <v>-29.9</v>
      </c>
      <c r="J4823">
        <v>-4756.45</v>
      </c>
    </row>
    <row r="4824" spans="1:10" x14ac:dyDescent="0.35">
      <c r="A4824">
        <v>4808</v>
      </c>
      <c r="B4824" s="75">
        <v>88.985299999999995</v>
      </c>
      <c r="C4824" s="75">
        <v>98.330500000000001</v>
      </c>
      <c r="D4824" s="75">
        <v>94.366200000000006</v>
      </c>
      <c r="E4824" s="75">
        <v>90.940600000000003</v>
      </c>
      <c r="F4824">
        <v>1875.39</v>
      </c>
      <c r="G4824">
        <v>-180.9</v>
      </c>
      <c r="H4824">
        <v>-3100.2000000000003</v>
      </c>
      <c r="I4824">
        <v>2440</v>
      </c>
      <c r="J4824">
        <v>1034.2899999999997</v>
      </c>
    </row>
    <row r="4825" spans="1:10" x14ac:dyDescent="0.35">
      <c r="A4825">
        <v>4809</v>
      </c>
      <c r="B4825" s="75">
        <v>89.88</v>
      </c>
      <c r="C4825" s="75">
        <v>98.69</v>
      </c>
      <c r="D4825" s="75">
        <v>91.88</v>
      </c>
      <c r="E4825" s="75">
        <v>93.47</v>
      </c>
      <c r="F4825">
        <v>-1062.27</v>
      </c>
      <c r="G4825">
        <v>-724.2</v>
      </c>
      <c r="H4825">
        <v>1875</v>
      </c>
      <c r="I4825">
        <v>-88.5</v>
      </c>
      <c r="J4825">
        <v>2.9999999999972715E-2</v>
      </c>
    </row>
    <row r="4826" spans="1:10" x14ac:dyDescent="0.35">
      <c r="A4826">
        <v>4810</v>
      </c>
      <c r="B4826" s="75">
        <v>89.506</v>
      </c>
      <c r="C4826" s="75">
        <v>96.984700000000004</v>
      </c>
      <c r="D4826" s="75">
        <v>91.9619</v>
      </c>
      <c r="E4826" s="75">
        <v>94.418999999999997</v>
      </c>
      <c r="F4826">
        <v>157.08000000000001</v>
      </c>
      <c r="G4826">
        <v>1837.8000000000002</v>
      </c>
      <c r="H4826">
        <v>1708.3999999999999</v>
      </c>
      <c r="I4826">
        <v>-1038.4000000000001</v>
      </c>
      <c r="J4826">
        <v>2664.8799999999997</v>
      </c>
    </row>
    <row r="4827" spans="1:10" x14ac:dyDescent="0.35">
      <c r="A4827">
        <v>4811</v>
      </c>
      <c r="B4827" s="75">
        <v>89.28</v>
      </c>
      <c r="C4827" s="75">
        <v>99.15</v>
      </c>
      <c r="D4827" s="75">
        <v>93.03</v>
      </c>
      <c r="E4827" s="75">
        <v>96.17</v>
      </c>
      <c r="F4827">
        <v>901.89</v>
      </c>
      <c r="G4827">
        <v>-1403.55</v>
      </c>
      <c r="H4827">
        <v>-428.4</v>
      </c>
      <c r="I4827">
        <v>-2794.2999999999997</v>
      </c>
      <c r="J4827">
        <v>-3724.3599999999997</v>
      </c>
    </row>
    <row r="4828" spans="1:10" x14ac:dyDescent="0.35">
      <c r="A4828">
        <v>4812</v>
      </c>
      <c r="B4828" s="75">
        <v>88.867000000000004</v>
      </c>
      <c r="C4828" s="75">
        <v>97.952699999999993</v>
      </c>
      <c r="D4828" s="75">
        <v>93.381799999999998</v>
      </c>
      <c r="E4828" s="75">
        <v>93.784000000000006</v>
      </c>
      <c r="F4828">
        <v>2265.7799999999997</v>
      </c>
      <c r="G4828">
        <v>385.79999999999995</v>
      </c>
      <c r="H4828">
        <v>-1131.3999999999999</v>
      </c>
      <c r="I4828">
        <v>-403.4</v>
      </c>
      <c r="J4828">
        <v>1116.7800000000002</v>
      </c>
    </row>
    <row r="4829" spans="1:10" x14ac:dyDescent="0.35">
      <c r="A4829">
        <v>4813</v>
      </c>
      <c r="B4829" s="75">
        <v>89.79</v>
      </c>
      <c r="C4829" s="75">
        <v>99.18</v>
      </c>
      <c r="D4829" s="75">
        <v>92.2</v>
      </c>
      <c r="E4829" s="75">
        <v>91.03</v>
      </c>
      <c r="F4829">
        <v>-780.44999999999993</v>
      </c>
      <c r="G4829">
        <v>-1456.5</v>
      </c>
      <c r="H4829">
        <v>1227.6000000000001</v>
      </c>
      <c r="I4829">
        <v>2351.9</v>
      </c>
      <c r="J4829">
        <v>1342.5500000000004</v>
      </c>
    </row>
    <row r="4830" spans="1:10" x14ac:dyDescent="0.35">
      <c r="A4830">
        <v>4814</v>
      </c>
      <c r="B4830" s="75">
        <v>89.555300000000003</v>
      </c>
      <c r="C4830" s="75">
        <v>97.672300000000007</v>
      </c>
      <c r="D4830" s="75">
        <v>93.749700000000004</v>
      </c>
      <c r="E4830" s="75">
        <v>95.831199999999995</v>
      </c>
      <c r="F4830">
        <v>-5.6099999999999994</v>
      </c>
      <c r="G4830">
        <v>806.4</v>
      </c>
      <c r="H4830">
        <v>-1867.2</v>
      </c>
      <c r="I4830">
        <v>-2450.6</v>
      </c>
      <c r="J4830">
        <v>-3517.01</v>
      </c>
    </row>
    <row r="4831" spans="1:10" x14ac:dyDescent="0.35">
      <c r="A4831">
        <v>4815</v>
      </c>
      <c r="B4831" s="75">
        <v>89.67</v>
      </c>
      <c r="C4831" s="75">
        <v>98.88</v>
      </c>
      <c r="D4831" s="75">
        <v>92.98</v>
      </c>
      <c r="E4831" s="75">
        <v>91.33</v>
      </c>
      <c r="F4831">
        <v>-389.4</v>
      </c>
      <c r="G4831">
        <v>-997.80000000000007</v>
      </c>
      <c r="H4831">
        <v>-324.40000000000003</v>
      </c>
      <c r="I4831">
        <v>2054.1</v>
      </c>
      <c r="J4831">
        <v>342.49999999999977</v>
      </c>
    </row>
    <row r="4832" spans="1:10" x14ac:dyDescent="0.35">
      <c r="A4832">
        <v>4816</v>
      </c>
      <c r="B4832" s="75">
        <v>89.9923</v>
      </c>
      <c r="C4832" s="75">
        <v>98.475999999999999</v>
      </c>
      <c r="D4832" s="75">
        <v>94.159599999999998</v>
      </c>
      <c r="E4832" s="75">
        <v>95.537300000000002</v>
      </c>
      <c r="F4832">
        <v>-1447.71</v>
      </c>
      <c r="G4832">
        <v>-399.15</v>
      </c>
      <c r="H4832">
        <v>-2687</v>
      </c>
      <c r="I4832">
        <v>-2156.6999999999998</v>
      </c>
      <c r="J4832">
        <v>-6690.56</v>
      </c>
    </row>
    <row r="4833" spans="1:10" x14ac:dyDescent="0.35">
      <c r="A4833">
        <v>4817</v>
      </c>
      <c r="B4833" s="75">
        <v>90.08</v>
      </c>
      <c r="C4833" s="75">
        <v>98.98</v>
      </c>
      <c r="D4833" s="75">
        <v>91.88</v>
      </c>
      <c r="E4833" s="75">
        <v>94.4</v>
      </c>
      <c r="F4833">
        <v>-1727.8799999999999</v>
      </c>
      <c r="G4833">
        <v>-1157.7</v>
      </c>
      <c r="H4833">
        <v>1877</v>
      </c>
      <c r="I4833">
        <v>-1019.7</v>
      </c>
      <c r="J4833">
        <v>-2028.28</v>
      </c>
    </row>
    <row r="4834" spans="1:10" x14ac:dyDescent="0.35">
      <c r="A4834">
        <v>4818</v>
      </c>
      <c r="B4834" s="75">
        <v>90.4983</v>
      </c>
      <c r="C4834" s="75">
        <v>99.425899999999999</v>
      </c>
      <c r="D4834" s="75">
        <v>94.364000000000004</v>
      </c>
      <c r="E4834" s="75">
        <v>94.540999999999997</v>
      </c>
      <c r="F4834">
        <v>-3117.5099999999998</v>
      </c>
      <c r="G4834">
        <v>-1824</v>
      </c>
      <c r="H4834">
        <v>-3095.8</v>
      </c>
      <c r="I4834">
        <v>-1160.4000000000001</v>
      </c>
      <c r="J4834">
        <v>-9197.7100000000009</v>
      </c>
    </row>
    <row r="4835" spans="1:10" x14ac:dyDescent="0.35">
      <c r="A4835">
        <v>4819</v>
      </c>
      <c r="B4835" s="75">
        <v>89.42</v>
      </c>
      <c r="C4835" s="75">
        <v>98.53</v>
      </c>
      <c r="D4835" s="75">
        <v>92.88</v>
      </c>
      <c r="E4835" s="75">
        <v>93.07</v>
      </c>
      <c r="F4835">
        <v>455.73</v>
      </c>
      <c r="G4835">
        <v>-476.1</v>
      </c>
      <c r="H4835">
        <v>-132.80000000000001</v>
      </c>
      <c r="I4835">
        <v>306.90000000000003</v>
      </c>
      <c r="J4835">
        <v>153.73000000000002</v>
      </c>
    </row>
    <row r="4836" spans="1:10" x14ac:dyDescent="0.35">
      <c r="A4836">
        <v>4820</v>
      </c>
      <c r="B4836" s="75">
        <v>89.443100000000001</v>
      </c>
      <c r="C4836" s="75">
        <v>98.138900000000007</v>
      </c>
      <c r="D4836" s="75">
        <v>93.435900000000004</v>
      </c>
      <c r="E4836" s="75">
        <v>93.991699999999994</v>
      </c>
      <c r="F4836">
        <v>364.65</v>
      </c>
      <c r="G4836">
        <v>106.49999999999999</v>
      </c>
      <c r="H4836">
        <v>-1239.6000000000001</v>
      </c>
      <c r="I4836">
        <v>-611.1</v>
      </c>
      <c r="J4836">
        <v>-1379.5500000000002</v>
      </c>
    </row>
    <row r="4837" spans="1:10" x14ac:dyDescent="0.35">
      <c r="A4837">
        <v>4821</v>
      </c>
      <c r="B4837" s="75">
        <v>89.99</v>
      </c>
      <c r="C4837" s="75">
        <v>97.91</v>
      </c>
      <c r="D4837" s="75">
        <v>92.59</v>
      </c>
      <c r="E4837" s="75">
        <v>95.07</v>
      </c>
      <c r="F4837">
        <v>-1435.83</v>
      </c>
      <c r="G4837">
        <v>452.25</v>
      </c>
      <c r="H4837">
        <v>452.6</v>
      </c>
      <c r="I4837">
        <v>-1693.3</v>
      </c>
      <c r="J4837">
        <v>-2224.2799999999997</v>
      </c>
    </row>
    <row r="4838" spans="1:10" x14ac:dyDescent="0.35">
      <c r="A4838">
        <v>4822</v>
      </c>
      <c r="B4838" s="75">
        <v>89.107299999999995</v>
      </c>
      <c r="C4838" s="75">
        <v>98.965299999999999</v>
      </c>
      <c r="D4838" s="75">
        <v>93.159300000000002</v>
      </c>
      <c r="E4838" s="75">
        <v>92.269000000000005</v>
      </c>
      <c r="F4838">
        <v>1472.79</v>
      </c>
      <c r="G4838">
        <v>-1133.0999999999999</v>
      </c>
      <c r="H4838">
        <v>-686.4</v>
      </c>
      <c r="I4838">
        <v>1111.5999999999999</v>
      </c>
      <c r="J4838">
        <v>764.89</v>
      </c>
    </row>
    <row r="4839" spans="1:10" x14ac:dyDescent="0.35">
      <c r="A4839">
        <v>4823</v>
      </c>
      <c r="B4839" s="75">
        <v>89.63</v>
      </c>
      <c r="C4839" s="75">
        <v>98.67</v>
      </c>
      <c r="D4839" s="75">
        <v>93.65</v>
      </c>
      <c r="E4839" s="75">
        <v>95.43</v>
      </c>
      <c r="F4839">
        <v>-249.48</v>
      </c>
      <c r="G4839">
        <v>-686.4</v>
      </c>
      <c r="H4839">
        <v>-1671</v>
      </c>
      <c r="I4839">
        <v>-2046.8999999999999</v>
      </c>
      <c r="J4839">
        <v>-4653.78</v>
      </c>
    </row>
    <row r="4840" spans="1:10" x14ac:dyDescent="0.35">
      <c r="A4840">
        <v>4824</v>
      </c>
      <c r="B4840" s="75">
        <v>89.678399999999996</v>
      </c>
      <c r="C4840" s="75">
        <v>98.419399999999996</v>
      </c>
      <c r="D4840" s="75">
        <v>92.636300000000006</v>
      </c>
      <c r="E4840" s="75">
        <v>92.433199999999999</v>
      </c>
      <c r="F4840">
        <v>-411.84</v>
      </c>
      <c r="G4840">
        <v>-314.25</v>
      </c>
      <c r="H4840">
        <v>359.59999999999997</v>
      </c>
      <c r="I4840">
        <v>947.4</v>
      </c>
      <c r="J4840">
        <v>580.91000000000008</v>
      </c>
    </row>
    <row r="4841" spans="1:10" x14ac:dyDescent="0.35">
      <c r="A4841">
        <v>4825</v>
      </c>
      <c r="B4841" s="75">
        <v>89.07</v>
      </c>
      <c r="C4841" s="75">
        <v>97.55</v>
      </c>
      <c r="D4841" s="75">
        <v>90.38</v>
      </c>
      <c r="E4841" s="75">
        <v>90.39</v>
      </c>
      <c r="F4841">
        <v>1584.99</v>
      </c>
      <c r="G4841">
        <v>996.75</v>
      </c>
      <c r="H4841">
        <v>4876.4000000000005</v>
      </c>
      <c r="I4841">
        <v>2991.2999999999997</v>
      </c>
      <c r="J4841">
        <v>10449.44</v>
      </c>
    </row>
    <row r="4842" spans="1:10" x14ac:dyDescent="0.35">
      <c r="A4842">
        <v>4826</v>
      </c>
      <c r="B4842" s="75">
        <v>89.351100000000002</v>
      </c>
      <c r="C4842" s="75">
        <v>98.595799999999997</v>
      </c>
      <c r="D4842" s="75">
        <v>92.272099999999995</v>
      </c>
      <c r="E4842" s="75">
        <v>96.191500000000005</v>
      </c>
      <c r="F4842">
        <v>668.25</v>
      </c>
      <c r="G4842">
        <v>-578.85</v>
      </c>
      <c r="H4842">
        <v>1088</v>
      </c>
      <c r="I4842">
        <v>-2810.9</v>
      </c>
      <c r="J4842">
        <v>-1633.5</v>
      </c>
    </row>
    <row r="4843" spans="1:10" x14ac:dyDescent="0.35">
      <c r="A4843">
        <v>4827</v>
      </c>
      <c r="B4843" s="75">
        <v>89</v>
      </c>
      <c r="C4843" s="75">
        <v>97.61</v>
      </c>
      <c r="D4843" s="75">
        <v>92.98</v>
      </c>
      <c r="E4843" s="75">
        <v>94.65</v>
      </c>
      <c r="F4843">
        <v>1818.63</v>
      </c>
      <c r="G4843">
        <v>895.65</v>
      </c>
      <c r="H4843">
        <v>-328</v>
      </c>
      <c r="I4843">
        <v>-1271.6000000000001</v>
      </c>
      <c r="J4843">
        <v>1114.68</v>
      </c>
    </row>
    <row r="4844" spans="1:10" x14ac:dyDescent="0.35">
      <c r="A4844">
        <v>4828</v>
      </c>
      <c r="B4844" s="75">
        <v>89.915000000000006</v>
      </c>
      <c r="C4844" s="75">
        <v>98.967299999999994</v>
      </c>
      <c r="D4844" s="75">
        <v>92.415300000000002</v>
      </c>
      <c r="E4844" s="75">
        <v>94.878900000000002</v>
      </c>
      <c r="F4844">
        <v>-1192.6199999999999</v>
      </c>
      <c r="G4844">
        <v>-1136.0999999999999</v>
      </c>
      <c r="H4844">
        <v>801.6</v>
      </c>
      <c r="I4844">
        <v>-1498.3</v>
      </c>
      <c r="J4844">
        <v>-3025.42</v>
      </c>
    </row>
    <row r="4845" spans="1:10" x14ac:dyDescent="0.35">
      <c r="A4845">
        <v>4829</v>
      </c>
      <c r="B4845" s="75">
        <v>89.7</v>
      </c>
      <c r="C4845" s="75">
        <v>96.47</v>
      </c>
      <c r="D4845" s="75">
        <v>92.51</v>
      </c>
      <c r="E4845" s="75">
        <v>93.4</v>
      </c>
      <c r="F4845">
        <v>-494.34</v>
      </c>
      <c r="G4845">
        <v>2604.75</v>
      </c>
      <c r="H4845">
        <v>604.79999999999995</v>
      </c>
      <c r="I4845">
        <v>-15.4</v>
      </c>
      <c r="J4845">
        <v>2699.81</v>
      </c>
    </row>
    <row r="4846" spans="1:10" x14ac:dyDescent="0.35">
      <c r="A4846">
        <v>4830</v>
      </c>
      <c r="B4846" s="75">
        <v>90.231899999999996</v>
      </c>
      <c r="C4846" s="75">
        <v>99.170599999999993</v>
      </c>
      <c r="D4846" s="75">
        <v>93.288899999999998</v>
      </c>
      <c r="E4846" s="75">
        <v>93.956199999999995</v>
      </c>
      <c r="F4846">
        <v>-2238.39</v>
      </c>
      <c r="G4846">
        <v>-1441.05</v>
      </c>
      <c r="H4846">
        <v>-945.6</v>
      </c>
      <c r="I4846">
        <v>-575.6</v>
      </c>
      <c r="J4846">
        <v>-5200.6400000000003</v>
      </c>
    </row>
    <row r="4847" spans="1:10" x14ac:dyDescent="0.35">
      <c r="A4847">
        <v>4831</v>
      </c>
      <c r="B4847" s="75">
        <v>89.74</v>
      </c>
      <c r="C4847" s="75">
        <v>99.93</v>
      </c>
      <c r="D4847" s="75">
        <v>93.23</v>
      </c>
      <c r="E4847" s="75">
        <v>93.38</v>
      </c>
      <c r="F4847">
        <v>-608.52</v>
      </c>
      <c r="G4847">
        <v>-2574</v>
      </c>
      <c r="H4847">
        <v>-829.2</v>
      </c>
      <c r="I4847">
        <v>4.5</v>
      </c>
      <c r="J4847">
        <v>-4007.2200000000003</v>
      </c>
    </row>
    <row r="4848" spans="1:10" x14ac:dyDescent="0.35">
      <c r="A4848">
        <v>4832</v>
      </c>
      <c r="B4848" s="75">
        <v>90.162099999999995</v>
      </c>
      <c r="C4848" s="75">
        <v>98.134900000000002</v>
      </c>
      <c r="D4848" s="75">
        <v>93.461799999999997</v>
      </c>
      <c r="E4848" s="75">
        <v>90.902100000000004</v>
      </c>
      <c r="F4848">
        <v>-2008.0500000000002</v>
      </c>
      <c r="G4848">
        <v>112.5</v>
      </c>
      <c r="H4848">
        <v>-1291.4000000000001</v>
      </c>
      <c r="I4848">
        <v>2478.5</v>
      </c>
      <c r="J4848">
        <v>-708.45000000000027</v>
      </c>
    </row>
    <row r="4849" spans="1:10" x14ac:dyDescent="0.35">
      <c r="A4849">
        <v>4833</v>
      </c>
      <c r="B4849" s="75">
        <v>88.47</v>
      </c>
      <c r="C4849" s="75">
        <v>100.12</v>
      </c>
      <c r="D4849" s="75">
        <v>93.04</v>
      </c>
      <c r="E4849" s="75">
        <v>95.21</v>
      </c>
      <c r="F4849">
        <v>3563.34</v>
      </c>
      <c r="G4849">
        <v>-2858.7</v>
      </c>
      <c r="H4849">
        <v>-454.40000000000003</v>
      </c>
      <c r="I4849">
        <v>-1830.2</v>
      </c>
      <c r="J4849">
        <v>-1579.9599999999998</v>
      </c>
    </row>
    <row r="4850" spans="1:10" x14ac:dyDescent="0.35">
      <c r="A4850">
        <v>4834</v>
      </c>
      <c r="B4850" s="75">
        <v>89.532899999999998</v>
      </c>
      <c r="C4850" s="75">
        <v>98.9054</v>
      </c>
      <c r="D4850" s="75">
        <v>93.743399999999994</v>
      </c>
      <c r="E4850" s="75">
        <v>94.454499999999996</v>
      </c>
      <c r="F4850">
        <v>68.31</v>
      </c>
      <c r="G4850">
        <v>-1043.25</v>
      </c>
      <c r="H4850">
        <v>-1854.6000000000001</v>
      </c>
      <c r="I4850">
        <v>-1073.9000000000001</v>
      </c>
      <c r="J4850">
        <v>-3903.44</v>
      </c>
    </row>
    <row r="4851" spans="1:10" x14ac:dyDescent="0.35">
      <c r="A4851">
        <v>4835</v>
      </c>
      <c r="B4851" s="75">
        <v>88.97</v>
      </c>
      <c r="C4851" s="75">
        <v>98.26</v>
      </c>
      <c r="D4851" s="75">
        <v>94.26</v>
      </c>
      <c r="E4851" s="75">
        <v>92.54</v>
      </c>
      <c r="F4851">
        <v>1937.4299999999998</v>
      </c>
      <c r="G4851">
        <v>-78.45</v>
      </c>
      <c r="H4851">
        <v>-2879.7999999999997</v>
      </c>
      <c r="I4851">
        <v>838</v>
      </c>
      <c r="J4851">
        <v>-182.81999999999994</v>
      </c>
    </row>
    <row r="4852" spans="1:10" x14ac:dyDescent="0.35">
      <c r="A4852">
        <v>4836</v>
      </c>
      <c r="B4852" s="75">
        <v>90.1374</v>
      </c>
      <c r="C4852" s="75">
        <v>99.218100000000007</v>
      </c>
      <c r="D4852" s="75">
        <v>92.850899999999996</v>
      </c>
      <c r="E4852" s="75">
        <v>96.311199999999999</v>
      </c>
      <c r="F4852">
        <v>-1926.54</v>
      </c>
      <c r="G4852">
        <v>-1512.3</v>
      </c>
      <c r="H4852">
        <v>-69.599999999999994</v>
      </c>
      <c r="I4852">
        <v>-2930.6</v>
      </c>
      <c r="J4852">
        <v>-6439.04</v>
      </c>
    </row>
    <row r="4853" spans="1:10" x14ac:dyDescent="0.35">
      <c r="A4853">
        <v>4837</v>
      </c>
      <c r="B4853" s="75">
        <v>89.03</v>
      </c>
      <c r="C4853" s="75">
        <v>99.75</v>
      </c>
      <c r="D4853" s="75">
        <v>94.27</v>
      </c>
      <c r="E4853" s="75">
        <v>91.75</v>
      </c>
      <c r="F4853">
        <v>1737.12</v>
      </c>
      <c r="G4853">
        <v>-2316.3000000000002</v>
      </c>
      <c r="H4853">
        <v>-2900.2</v>
      </c>
      <c r="I4853">
        <v>1630.3000000000002</v>
      </c>
      <c r="J4853">
        <v>-1849.08</v>
      </c>
    </row>
    <row r="4854" spans="1:10" x14ac:dyDescent="0.35">
      <c r="A4854">
        <v>4838</v>
      </c>
      <c r="B4854" s="75">
        <v>89.495199999999997</v>
      </c>
      <c r="C4854" s="75">
        <v>98.285700000000006</v>
      </c>
      <c r="D4854" s="75">
        <v>92.352500000000006</v>
      </c>
      <c r="E4854" s="75">
        <v>94.632000000000005</v>
      </c>
      <c r="F4854">
        <v>192.72</v>
      </c>
      <c r="G4854">
        <v>-113.7</v>
      </c>
      <c r="H4854">
        <v>927.2</v>
      </c>
      <c r="I4854">
        <v>-1251.4000000000001</v>
      </c>
      <c r="J4854">
        <v>-245.18000000000006</v>
      </c>
    </row>
    <row r="4855" spans="1:10" x14ac:dyDescent="0.35">
      <c r="A4855">
        <v>4839</v>
      </c>
      <c r="B4855" s="75">
        <v>88.94</v>
      </c>
      <c r="C4855" s="75">
        <v>98.98</v>
      </c>
      <c r="D4855" s="75">
        <v>91.29</v>
      </c>
      <c r="E4855" s="75">
        <v>92.14</v>
      </c>
      <c r="F4855">
        <v>2034.45</v>
      </c>
      <c r="G4855">
        <v>-1148.7</v>
      </c>
      <c r="H4855">
        <v>3056.6</v>
      </c>
      <c r="I4855">
        <v>1243.3000000000002</v>
      </c>
      <c r="J4855">
        <v>5185.6499999999996</v>
      </c>
    </row>
    <row r="4856" spans="1:10" x14ac:dyDescent="0.35">
      <c r="A4856">
        <v>4840</v>
      </c>
      <c r="B4856" s="75">
        <v>89.680300000000003</v>
      </c>
      <c r="C4856" s="75">
        <v>98.188699999999997</v>
      </c>
      <c r="D4856" s="75">
        <v>93.247</v>
      </c>
      <c r="E4856" s="75">
        <v>94.597200000000001</v>
      </c>
      <c r="F4856">
        <v>-418.11</v>
      </c>
      <c r="G4856">
        <v>31.8</v>
      </c>
      <c r="H4856">
        <v>-861.8</v>
      </c>
      <c r="I4856">
        <v>-1216.5999999999999</v>
      </c>
      <c r="J4856">
        <v>-2464.71</v>
      </c>
    </row>
    <row r="4857" spans="1:10" x14ac:dyDescent="0.35">
      <c r="A4857">
        <v>4841</v>
      </c>
      <c r="B4857" s="75">
        <v>89.43</v>
      </c>
      <c r="C4857" s="75">
        <v>98.04</v>
      </c>
      <c r="D4857" s="75">
        <v>92.84</v>
      </c>
      <c r="E4857" s="75">
        <v>94.1</v>
      </c>
      <c r="F4857">
        <v>414.15</v>
      </c>
      <c r="G4857">
        <v>260.40000000000003</v>
      </c>
      <c r="H4857">
        <v>-49.4</v>
      </c>
      <c r="I4857">
        <v>-724.09999999999991</v>
      </c>
      <c r="J4857">
        <v>-98.949999999999932</v>
      </c>
    </row>
    <row r="4858" spans="1:10" x14ac:dyDescent="0.35">
      <c r="A4858">
        <v>4842</v>
      </c>
      <c r="B4858" s="75">
        <v>89.234399999999994</v>
      </c>
      <c r="C4858" s="75">
        <v>99.072900000000004</v>
      </c>
      <c r="D4858" s="75">
        <v>92.447500000000005</v>
      </c>
      <c r="E4858" s="75">
        <v>94.536799999999999</v>
      </c>
      <c r="F4858">
        <v>1053.3599999999999</v>
      </c>
      <c r="G4858">
        <v>-1294.5</v>
      </c>
      <c r="H4858">
        <v>737.19999999999993</v>
      </c>
      <c r="I4858">
        <v>-1156.1999999999998</v>
      </c>
      <c r="J4858">
        <v>-660.14</v>
      </c>
    </row>
    <row r="4859" spans="1:10" x14ac:dyDescent="0.35">
      <c r="A4859">
        <v>4843</v>
      </c>
      <c r="B4859" s="75">
        <v>89.57</v>
      </c>
      <c r="C4859" s="75">
        <v>99.08</v>
      </c>
      <c r="D4859" s="75">
        <v>93.36</v>
      </c>
      <c r="E4859" s="75">
        <v>94.26</v>
      </c>
      <c r="F4859">
        <v>-48.18</v>
      </c>
      <c r="G4859">
        <v>-1303.3499999999999</v>
      </c>
      <c r="H4859">
        <v>-1078.8</v>
      </c>
      <c r="I4859">
        <v>-879.6</v>
      </c>
      <c r="J4859">
        <v>-3309.93</v>
      </c>
    </row>
    <row r="4860" spans="1:10" x14ac:dyDescent="0.35">
      <c r="A4860">
        <v>4844</v>
      </c>
      <c r="B4860" s="75">
        <v>89.320999999999998</v>
      </c>
      <c r="C4860" s="75">
        <v>98.270399999999995</v>
      </c>
      <c r="D4860" s="75">
        <v>92.920299999999997</v>
      </c>
      <c r="E4860" s="75">
        <v>94.641300000000001</v>
      </c>
      <c r="F4860">
        <v>767.58</v>
      </c>
      <c r="G4860">
        <v>-90.75</v>
      </c>
      <c r="H4860">
        <v>-208.4</v>
      </c>
      <c r="I4860">
        <v>-1260.6999999999998</v>
      </c>
      <c r="J4860">
        <v>-792.26999999999975</v>
      </c>
    </row>
    <row r="4861" spans="1:10" x14ac:dyDescent="0.35">
      <c r="A4861">
        <v>4845</v>
      </c>
      <c r="B4861" s="75">
        <v>89.82</v>
      </c>
      <c r="C4861" s="75">
        <v>99.36</v>
      </c>
      <c r="D4861" s="75">
        <v>92.43</v>
      </c>
      <c r="E4861" s="75">
        <v>92.16</v>
      </c>
      <c r="F4861">
        <v>-877.47</v>
      </c>
      <c r="G4861">
        <v>-1730.1</v>
      </c>
      <c r="H4861">
        <v>770</v>
      </c>
      <c r="I4861">
        <v>1223.7</v>
      </c>
      <c r="J4861">
        <v>-613.86999999999966</v>
      </c>
    </row>
    <row r="4862" spans="1:10" x14ac:dyDescent="0.35">
      <c r="A4862">
        <v>4846</v>
      </c>
      <c r="B4862" s="75">
        <v>89.075900000000004</v>
      </c>
      <c r="C4862" s="75">
        <v>97.715400000000002</v>
      </c>
      <c r="D4862" s="75">
        <v>93.971199999999996</v>
      </c>
      <c r="E4862" s="75">
        <v>95.154700000000005</v>
      </c>
      <c r="F4862">
        <v>1576.41</v>
      </c>
      <c r="G4862">
        <v>741.75</v>
      </c>
      <c r="H4862">
        <v>-2310.1999999999998</v>
      </c>
      <c r="I4862">
        <v>-1774.1</v>
      </c>
      <c r="J4862">
        <v>-1766.1399999999999</v>
      </c>
    </row>
    <row r="4863" spans="1:10" x14ac:dyDescent="0.35">
      <c r="A4863">
        <v>4847</v>
      </c>
      <c r="B4863" s="75">
        <v>88.78</v>
      </c>
      <c r="C4863" s="75">
        <v>99.13</v>
      </c>
      <c r="D4863" s="75">
        <v>91.64</v>
      </c>
      <c r="E4863" s="75">
        <v>94.83</v>
      </c>
      <c r="F4863">
        <v>2567.0700000000002</v>
      </c>
      <c r="G4863">
        <v>-1380</v>
      </c>
      <c r="H4863">
        <v>2347</v>
      </c>
      <c r="I4863">
        <v>-1445.7</v>
      </c>
      <c r="J4863">
        <v>2088.37</v>
      </c>
    </row>
    <row r="4864" spans="1:10" x14ac:dyDescent="0.35">
      <c r="A4864">
        <v>4848</v>
      </c>
      <c r="B4864" s="75">
        <v>90.328000000000003</v>
      </c>
      <c r="C4864" s="75">
        <v>97.527699999999996</v>
      </c>
      <c r="D4864" s="75">
        <v>91.175200000000004</v>
      </c>
      <c r="E4864" s="75">
        <v>94.281400000000005</v>
      </c>
      <c r="F4864">
        <v>-2555.52</v>
      </c>
      <c r="G4864">
        <v>1023.3000000000001</v>
      </c>
      <c r="H4864">
        <v>3281.8</v>
      </c>
      <c r="I4864">
        <v>-900.80000000000007</v>
      </c>
      <c r="J4864">
        <v>848.78000000000031</v>
      </c>
    </row>
    <row r="4865" spans="1:10" x14ac:dyDescent="0.35">
      <c r="A4865">
        <v>4849</v>
      </c>
      <c r="B4865" s="75">
        <v>89.34</v>
      </c>
      <c r="C4865" s="75">
        <v>98.31</v>
      </c>
      <c r="D4865" s="75">
        <v>92.8</v>
      </c>
      <c r="E4865" s="75">
        <v>94.53</v>
      </c>
      <c r="F4865">
        <v>712.47</v>
      </c>
      <c r="G4865">
        <v>-152.85</v>
      </c>
      <c r="H4865">
        <v>39.800000000000004</v>
      </c>
      <c r="I4865">
        <v>-1151.7</v>
      </c>
      <c r="J4865">
        <v>-552.28000000000009</v>
      </c>
    </row>
    <row r="4866" spans="1:10" x14ac:dyDescent="0.35">
      <c r="A4866">
        <v>4850</v>
      </c>
      <c r="B4866" s="75">
        <v>89.387699999999995</v>
      </c>
      <c r="C4866" s="75">
        <v>96.874200000000002</v>
      </c>
      <c r="D4866" s="75">
        <v>93.575299999999999</v>
      </c>
      <c r="E4866" s="75">
        <v>92.355800000000002</v>
      </c>
      <c r="F4866">
        <v>547.47</v>
      </c>
      <c r="G4866">
        <v>2003.5500000000002</v>
      </c>
      <c r="H4866">
        <v>-1518.3999999999999</v>
      </c>
      <c r="I4866">
        <v>1024.8</v>
      </c>
      <c r="J4866">
        <v>2057.4200000000005</v>
      </c>
    </row>
    <row r="4867" spans="1:10" x14ac:dyDescent="0.35">
      <c r="A4867">
        <v>4851</v>
      </c>
      <c r="B4867" s="75">
        <v>90.18</v>
      </c>
      <c r="C4867" s="75">
        <v>99.24</v>
      </c>
      <c r="D4867" s="75">
        <v>91.37</v>
      </c>
      <c r="E4867" s="75">
        <v>94.79</v>
      </c>
      <c r="F4867">
        <v>-2060.52</v>
      </c>
      <c r="G4867">
        <v>-1537.95</v>
      </c>
      <c r="H4867">
        <v>2887.7999999999997</v>
      </c>
      <c r="I4867">
        <v>-1413.8999999999999</v>
      </c>
      <c r="J4867">
        <v>-2124.5700000000006</v>
      </c>
    </row>
    <row r="4868" spans="1:10" x14ac:dyDescent="0.35">
      <c r="A4868">
        <v>4852</v>
      </c>
      <c r="B4868" s="75">
        <v>90.381399999999999</v>
      </c>
      <c r="C4868" s="75">
        <v>98.279799999999994</v>
      </c>
      <c r="D4868" s="75">
        <v>93.630899999999997</v>
      </c>
      <c r="E4868" s="75">
        <v>93.417100000000005</v>
      </c>
      <c r="F4868">
        <v>-2731.74</v>
      </c>
      <c r="G4868">
        <v>-104.85000000000001</v>
      </c>
      <c r="H4868">
        <v>-1629.6</v>
      </c>
      <c r="I4868">
        <v>-36.5</v>
      </c>
      <c r="J4868">
        <v>-4502.6899999999996</v>
      </c>
    </row>
    <row r="4869" spans="1:10" x14ac:dyDescent="0.35">
      <c r="A4869">
        <v>4853</v>
      </c>
      <c r="B4869" s="75">
        <v>89.64</v>
      </c>
      <c r="C4869" s="75">
        <v>97.95</v>
      </c>
      <c r="D4869" s="75">
        <v>92.83</v>
      </c>
      <c r="E4869" s="75">
        <v>93.04</v>
      </c>
      <c r="F4869">
        <v>-279.18</v>
      </c>
      <c r="G4869">
        <v>386.7</v>
      </c>
      <c r="H4869">
        <v>-26</v>
      </c>
      <c r="I4869">
        <v>339.3</v>
      </c>
      <c r="J4869">
        <v>420.82</v>
      </c>
    </row>
    <row r="4870" spans="1:10" x14ac:dyDescent="0.35">
      <c r="A4870">
        <v>4854</v>
      </c>
      <c r="B4870" s="75">
        <v>89.765299999999996</v>
      </c>
      <c r="C4870" s="75">
        <v>97.851100000000002</v>
      </c>
      <c r="D4870" s="75">
        <v>90.596400000000003</v>
      </c>
      <c r="E4870" s="75">
        <v>91.581999999999994</v>
      </c>
      <c r="F4870">
        <v>-698.61</v>
      </c>
      <c r="G4870">
        <v>538.20000000000005</v>
      </c>
      <c r="H4870">
        <v>4439.3999999999996</v>
      </c>
      <c r="I4870">
        <v>1798.6</v>
      </c>
      <c r="J4870">
        <v>6077.59</v>
      </c>
    </row>
    <row r="4871" spans="1:10" x14ac:dyDescent="0.35">
      <c r="A4871">
        <v>4855</v>
      </c>
      <c r="B4871" s="75">
        <v>90.06</v>
      </c>
      <c r="C4871" s="75">
        <v>98.26</v>
      </c>
      <c r="D4871" s="75">
        <v>92.91</v>
      </c>
      <c r="E4871" s="75">
        <v>92.11</v>
      </c>
      <c r="F4871">
        <v>-1679.0400000000002</v>
      </c>
      <c r="G4871">
        <v>-76.650000000000006</v>
      </c>
      <c r="H4871">
        <v>-188.4</v>
      </c>
      <c r="I4871">
        <v>1265.9000000000001</v>
      </c>
      <c r="J4871">
        <v>-678.19000000000028</v>
      </c>
    </row>
    <row r="4872" spans="1:10" x14ac:dyDescent="0.35">
      <c r="A4872">
        <v>4856</v>
      </c>
      <c r="B4872" s="75">
        <v>89.646600000000007</v>
      </c>
      <c r="C4872" s="75">
        <v>97.169600000000003</v>
      </c>
      <c r="D4872" s="75">
        <v>93.093500000000006</v>
      </c>
      <c r="E4872" s="75">
        <v>96.671000000000006</v>
      </c>
      <c r="F4872">
        <v>-306.89999999999998</v>
      </c>
      <c r="G4872">
        <v>1560.45</v>
      </c>
      <c r="H4872">
        <v>-554.79999999999995</v>
      </c>
      <c r="I4872">
        <v>-3290.4</v>
      </c>
      <c r="J4872">
        <v>-2591.6499999999996</v>
      </c>
    </row>
    <row r="4873" spans="1:10" x14ac:dyDescent="0.35">
      <c r="A4873">
        <v>4857</v>
      </c>
      <c r="B4873" s="75">
        <v>89.97</v>
      </c>
      <c r="C4873" s="75">
        <v>99.04</v>
      </c>
      <c r="D4873" s="75">
        <v>92.26</v>
      </c>
      <c r="E4873" s="75">
        <v>92.56</v>
      </c>
      <c r="F4873">
        <v>-1389.6299999999999</v>
      </c>
      <c r="G4873">
        <v>-1246.2</v>
      </c>
      <c r="H4873">
        <v>1106.4000000000001</v>
      </c>
      <c r="I4873">
        <v>817</v>
      </c>
      <c r="J4873">
        <v>-712.42999999999984</v>
      </c>
    </row>
    <row r="4874" spans="1:10" x14ac:dyDescent="0.35">
      <c r="A4874">
        <v>4858</v>
      </c>
      <c r="B4874" s="75">
        <v>90.031300000000002</v>
      </c>
      <c r="C4874" s="75">
        <v>97.342799999999997</v>
      </c>
      <c r="D4874" s="75">
        <v>94.291200000000003</v>
      </c>
      <c r="E4874" s="75">
        <v>95.741299999999995</v>
      </c>
      <c r="F4874">
        <v>-1576.41</v>
      </c>
      <c r="G4874">
        <v>1300.6499999999999</v>
      </c>
      <c r="H4874">
        <v>-2950.2000000000003</v>
      </c>
      <c r="I4874">
        <v>-2360.6999999999998</v>
      </c>
      <c r="J4874">
        <v>-5586.66</v>
      </c>
    </row>
    <row r="4875" spans="1:10" x14ac:dyDescent="0.35">
      <c r="A4875">
        <v>4859</v>
      </c>
      <c r="B4875" s="75">
        <v>89.53</v>
      </c>
      <c r="C4875" s="75">
        <v>99.19</v>
      </c>
      <c r="D4875" s="75">
        <v>93.01</v>
      </c>
      <c r="E4875" s="75">
        <v>91.83</v>
      </c>
      <c r="F4875">
        <v>63.359999999999992</v>
      </c>
      <c r="G4875">
        <v>-1473.6000000000001</v>
      </c>
      <c r="H4875">
        <v>-382.6</v>
      </c>
      <c r="I4875">
        <v>1552.2</v>
      </c>
      <c r="J4875">
        <v>-240.6400000000001</v>
      </c>
    </row>
    <row r="4876" spans="1:10" x14ac:dyDescent="0.35">
      <c r="A4876">
        <v>4860</v>
      </c>
      <c r="B4876" s="75">
        <v>90.694199999999995</v>
      </c>
      <c r="C4876" s="75">
        <v>98.868200000000002</v>
      </c>
      <c r="D4876" s="75">
        <v>91.764300000000006</v>
      </c>
      <c r="E4876" s="75">
        <v>92.652299999999997</v>
      </c>
      <c r="F4876">
        <v>-3763.98</v>
      </c>
      <c r="G4876">
        <v>-987.45</v>
      </c>
      <c r="H4876">
        <v>2103.6000000000004</v>
      </c>
      <c r="I4876">
        <v>728.3</v>
      </c>
      <c r="J4876">
        <v>-1919.53</v>
      </c>
    </row>
    <row r="4877" spans="1:10" x14ac:dyDescent="0.35">
      <c r="A4877">
        <v>4861</v>
      </c>
      <c r="B4877" s="75">
        <v>88.95</v>
      </c>
      <c r="C4877" s="75">
        <v>97.96</v>
      </c>
      <c r="D4877" s="75">
        <v>93.16</v>
      </c>
      <c r="E4877" s="75">
        <v>93.57</v>
      </c>
      <c r="F4877">
        <v>1984.95</v>
      </c>
      <c r="G4877">
        <v>370.5</v>
      </c>
      <c r="H4877">
        <v>-685.4</v>
      </c>
      <c r="I4877">
        <v>-194</v>
      </c>
      <c r="J4877">
        <v>1476.0499999999997</v>
      </c>
    </row>
    <row r="4878" spans="1:10" x14ac:dyDescent="0.35">
      <c r="A4878">
        <v>4862</v>
      </c>
      <c r="B4878" s="75">
        <v>90.010199999999998</v>
      </c>
      <c r="C4878" s="75">
        <v>97.452699999999993</v>
      </c>
      <c r="D4878" s="75">
        <v>93.097300000000004</v>
      </c>
      <c r="E4878" s="75">
        <v>93.745599999999996</v>
      </c>
      <c r="F4878">
        <v>-1506.78</v>
      </c>
      <c r="G4878">
        <v>1135.8</v>
      </c>
      <c r="H4878">
        <v>-562.4</v>
      </c>
      <c r="I4878">
        <v>-365</v>
      </c>
      <c r="J4878">
        <v>-1298.3800000000001</v>
      </c>
    </row>
    <row r="4879" spans="1:10" x14ac:dyDescent="0.35">
      <c r="A4879">
        <v>4863</v>
      </c>
      <c r="B4879" s="75">
        <v>89.33</v>
      </c>
      <c r="C4879" s="75">
        <v>97.96</v>
      </c>
      <c r="D4879" s="75">
        <v>93.5</v>
      </c>
      <c r="E4879" s="75">
        <v>93.87</v>
      </c>
      <c r="F4879">
        <v>722.37</v>
      </c>
      <c r="G4879">
        <v>368.7</v>
      </c>
      <c r="H4879">
        <v>-1371.3999999999999</v>
      </c>
      <c r="I4879">
        <v>-487.5</v>
      </c>
      <c r="J4879">
        <v>-767.82999999999993</v>
      </c>
    </row>
    <row r="4880" spans="1:10" x14ac:dyDescent="0.35">
      <c r="A4880">
        <v>4864</v>
      </c>
      <c r="B4880" s="75">
        <v>89.0441</v>
      </c>
      <c r="C4880" s="75">
        <v>98.927800000000005</v>
      </c>
      <c r="D4880" s="75">
        <v>92.351399999999998</v>
      </c>
      <c r="E4880" s="75">
        <v>95.282200000000003</v>
      </c>
      <c r="F4880">
        <v>1681.35</v>
      </c>
      <c r="G4880">
        <v>-1076.8499999999999</v>
      </c>
      <c r="H4880">
        <v>929.4</v>
      </c>
      <c r="I4880">
        <v>-1901.6</v>
      </c>
      <c r="J4880">
        <v>-367.69999999999982</v>
      </c>
    </row>
    <row r="4881" spans="1:10" x14ac:dyDescent="0.35">
      <c r="A4881">
        <v>4865</v>
      </c>
      <c r="B4881" s="75">
        <v>90.17</v>
      </c>
      <c r="C4881" s="75">
        <v>97.22</v>
      </c>
      <c r="D4881" s="75">
        <v>92.95</v>
      </c>
      <c r="E4881" s="75">
        <v>94.18</v>
      </c>
      <c r="F4881">
        <v>-2040.3899999999999</v>
      </c>
      <c r="G4881">
        <v>1486.5</v>
      </c>
      <c r="H4881">
        <v>-273.8</v>
      </c>
      <c r="I4881">
        <v>-803</v>
      </c>
      <c r="J4881">
        <v>-1630.6899999999998</v>
      </c>
    </row>
    <row r="4882" spans="1:10" x14ac:dyDescent="0.35">
      <c r="A4882">
        <v>4866</v>
      </c>
      <c r="B4882" s="75">
        <v>89.3733</v>
      </c>
      <c r="C4882" s="75">
        <v>99.438800000000001</v>
      </c>
      <c r="D4882" s="75">
        <v>93.190700000000007</v>
      </c>
      <c r="E4882" s="75">
        <v>92.575900000000004</v>
      </c>
      <c r="F4882">
        <v>594.99</v>
      </c>
      <c r="G4882">
        <v>-1843.3500000000001</v>
      </c>
      <c r="H4882">
        <v>-749.19999999999993</v>
      </c>
      <c r="I4882">
        <v>804.69999999999993</v>
      </c>
      <c r="J4882">
        <v>-1192.8600000000001</v>
      </c>
    </row>
    <row r="4883" spans="1:10" x14ac:dyDescent="0.35">
      <c r="A4883">
        <v>4867</v>
      </c>
      <c r="B4883" s="75">
        <v>90.16</v>
      </c>
      <c r="C4883" s="75">
        <v>99.07</v>
      </c>
      <c r="D4883" s="75">
        <v>94.55</v>
      </c>
      <c r="E4883" s="75">
        <v>91.61</v>
      </c>
      <c r="F4883">
        <v>-2006.3999999999999</v>
      </c>
      <c r="G4883">
        <v>-1289.4000000000001</v>
      </c>
      <c r="H4883">
        <v>-3470</v>
      </c>
      <c r="I4883">
        <v>1767.9</v>
      </c>
      <c r="J4883">
        <v>-4997.8999999999996</v>
      </c>
    </row>
    <row r="4884" spans="1:10" x14ac:dyDescent="0.35">
      <c r="A4884">
        <v>4868</v>
      </c>
      <c r="B4884" s="75">
        <v>90.397900000000007</v>
      </c>
      <c r="C4884" s="75">
        <v>98.579899999999995</v>
      </c>
      <c r="D4884" s="75">
        <v>93.274100000000004</v>
      </c>
      <c r="E4884" s="75">
        <v>92.557100000000005</v>
      </c>
      <c r="F4884">
        <v>-2786.19</v>
      </c>
      <c r="G4884">
        <v>-555</v>
      </c>
      <c r="H4884">
        <v>-916</v>
      </c>
      <c r="I4884">
        <v>823.5</v>
      </c>
      <c r="J4884">
        <v>-3433.6900000000005</v>
      </c>
    </row>
    <row r="4885" spans="1:10" x14ac:dyDescent="0.35">
      <c r="A4885">
        <v>4869</v>
      </c>
      <c r="B4885" s="75">
        <v>89.66</v>
      </c>
      <c r="C4885" s="75">
        <v>98.52</v>
      </c>
      <c r="D4885" s="75">
        <v>92.39</v>
      </c>
      <c r="E4885" s="75">
        <v>96.07</v>
      </c>
      <c r="F4885">
        <v>-351.12</v>
      </c>
      <c r="G4885">
        <v>-469.95000000000005</v>
      </c>
      <c r="H4885">
        <v>843.40000000000009</v>
      </c>
      <c r="I4885">
        <v>-2687.8</v>
      </c>
      <c r="J4885">
        <v>-2665.4700000000003</v>
      </c>
    </row>
    <row r="4886" spans="1:10" x14ac:dyDescent="0.35">
      <c r="A4886">
        <v>4870</v>
      </c>
      <c r="B4886" s="75">
        <v>89.762</v>
      </c>
      <c r="C4886" s="75">
        <v>98.735500000000002</v>
      </c>
      <c r="D4886" s="75">
        <v>93.861500000000007</v>
      </c>
      <c r="E4886" s="75">
        <v>93.578599999999994</v>
      </c>
      <c r="F4886">
        <v>-687.72</v>
      </c>
      <c r="G4886">
        <v>-788.4</v>
      </c>
      <c r="H4886">
        <v>-2090.8000000000002</v>
      </c>
      <c r="I4886">
        <v>-198</v>
      </c>
      <c r="J4886">
        <v>-3764.92</v>
      </c>
    </row>
    <row r="4887" spans="1:10" x14ac:dyDescent="0.35">
      <c r="A4887">
        <v>4871</v>
      </c>
      <c r="B4887" s="75">
        <v>89.35</v>
      </c>
      <c r="C4887" s="75">
        <v>97.09</v>
      </c>
      <c r="D4887" s="75">
        <v>94.86</v>
      </c>
      <c r="E4887" s="75">
        <v>94.5</v>
      </c>
      <c r="F4887">
        <v>661.98</v>
      </c>
      <c r="G4887">
        <v>1677.45</v>
      </c>
      <c r="H4887">
        <v>-4092.8000000000006</v>
      </c>
      <c r="I4887">
        <v>-1117.8999999999999</v>
      </c>
      <c r="J4887">
        <v>-2871.2700000000004</v>
      </c>
    </row>
    <row r="4888" spans="1:10" x14ac:dyDescent="0.35">
      <c r="A4888">
        <v>4872</v>
      </c>
      <c r="B4888" s="75">
        <v>89.849599999999995</v>
      </c>
      <c r="C4888" s="75">
        <v>97.891499999999994</v>
      </c>
      <c r="D4888" s="75">
        <v>93.548400000000001</v>
      </c>
      <c r="E4888" s="75">
        <v>94.939800000000005</v>
      </c>
      <c r="F4888">
        <v>-976.8</v>
      </c>
      <c r="G4888">
        <v>477.6</v>
      </c>
      <c r="H4888">
        <v>-1464.6</v>
      </c>
      <c r="I4888">
        <v>-1559.1999999999998</v>
      </c>
      <c r="J4888">
        <v>-3522.9999999999995</v>
      </c>
    </row>
    <row r="4889" spans="1:10" x14ac:dyDescent="0.35">
      <c r="A4889">
        <v>4873</v>
      </c>
      <c r="B4889" s="75">
        <v>90.52</v>
      </c>
      <c r="C4889" s="75">
        <v>99.03</v>
      </c>
      <c r="D4889" s="75">
        <v>92.5</v>
      </c>
      <c r="E4889" s="75">
        <v>93.9</v>
      </c>
      <c r="F4889">
        <v>-3192.42</v>
      </c>
      <c r="G4889">
        <v>-1232.7</v>
      </c>
      <c r="H4889">
        <v>633.6</v>
      </c>
      <c r="I4889">
        <v>-522.9</v>
      </c>
      <c r="J4889">
        <v>-4314.42</v>
      </c>
    </row>
    <row r="4890" spans="1:10" x14ac:dyDescent="0.35">
      <c r="A4890">
        <v>4874</v>
      </c>
      <c r="B4890" s="75">
        <v>89.775300000000001</v>
      </c>
      <c r="C4890" s="75">
        <v>97.266000000000005</v>
      </c>
      <c r="D4890" s="75">
        <v>92.531999999999996</v>
      </c>
      <c r="E4890" s="75">
        <v>91.504300000000001</v>
      </c>
      <c r="F4890">
        <v>-731.61</v>
      </c>
      <c r="G4890">
        <v>1415.85</v>
      </c>
      <c r="H4890">
        <v>568.20000000000005</v>
      </c>
      <c r="I4890">
        <v>1876.3000000000002</v>
      </c>
      <c r="J4890">
        <v>3128.7400000000002</v>
      </c>
    </row>
    <row r="4891" spans="1:10" x14ac:dyDescent="0.35">
      <c r="A4891">
        <v>4875</v>
      </c>
      <c r="B4891" s="75">
        <v>89.81</v>
      </c>
      <c r="C4891" s="75">
        <v>98.63</v>
      </c>
      <c r="D4891" s="75">
        <v>93.11</v>
      </c>
      <c r="E4891" s="75">
        <v>95.13</v>
      </c>
      <c r="F4891">
        <v>-851.73</v>
      </c>
      <c r="G4891">
        <v>-632.70000000000005</v>
      </c>
      <c r="H4891">
        <v>-579.6</v>
      </c>
      <c r="I4891">
        <v>-1753.5</v>
      </c>
      <c r="J4891">
        <v>-3817.53</v>
      </c>
    </row>
    <row r="4892" spans="1:10" x14ac:dyDescent="0.35">
      <c r="A4892">
        <v>4876</v>
      </c>
      <c r="B4892" s="75">
        <v>89.357100000000003</v>
      </c>
      <c r="C4892" s="75">
        <v>98.749300000000005</v>
      </c>
      <c r="D4892" s="75">
        <v>93.338899999999995</v>
      </c>
      <c r="E4892" s="75">
        <v>95.631699999999995</v>
      </c>
      <c r="F4892">
        <v>648.45000000000005</v>
      </c>
      <c r="G4892">
        <v>-809.1</v>
      </c>
      <c r="H4892">
        <v>-1045.6000000000001</v>
      </c>
      <c r="I4892">
        <v>-2251.1</v>
      </c>
      <c r="J4892">
        <v>-3457.35</v>
      </c>
    </row>
    <row r="4893" spans="1:10" x14ac:dyDescent="0.35">
      <c r="A4893">
        <v>4877</v>
      </c>
      <c r="B4893" s="75">
        <v>90.42</v>
      </c>
      <c r="C4893" s="75">
        <v>98.15</v>
      </c>
      <c r="D4893" s="75">
        <v>93.63</v>
      </c>
      <c r="E4893" s="75">
        <v>91.3</v>
      </c>
      <c r="F4893">
        <v>-2863.7400000000002</v>
      </c>
      <c r="G4893">
        <v>87.3</v>
      </c>
      <c r="H4893">
        <v>-1628.2</v>
      </c>
      <c r="I4893">
        <v>2081.7000000000003</v>
      </c>
      <c r="J4893">
        <v>-2322.94</v>
      </c>
    </row>
    <row r="4894" spans="1:10" x14ac:dyDescent="0.35">
      <c r="A4894">
        <v>4878</v>
      </c>
      <c r="B4894" s="75">
        <v>89.073700000000002</v>
      </c>
      <c r="C4894" s="75">
        <v>99.688699999999997</v>
      </c>
      <c r="D4894" s="75">
        <v>92.381500000000003</v>
      </c>
      <c r="E4894" s="75">
        <v>92.914900000000003</v>
      </c>
      <c r="F4894">
        <v>1583.67</v>
      </c>
      <c r="G4894">
        <v>-2218.1999999999998</v>
      </c>
      <c r="H4894">
        <v>869.19999999999993</v>
      </c>
      <c r="I4894">
        <v>465.7</v>
      </c>
      <c r="J4894">
        <v>700.37000000000012</v>
      </c>
    </row>
    <row r="4895" spans="1:10" x14ac:dyDescent="0.35">
      <c r="A4895">
        <v>4879</v>
      </c>
      <c r="B4895" s="75">
        <v>89.56</v>
      </c>
      <c r="C4895" s="75">
        <v>99.25</v>
      </c>
      <c r="D4895" s="75">
        <v>91.94</v>
      </c>
      <c r="E4895" s="75">
        <v>93.99</v>
      </c>
      <c r="F4895">
        <v>-27.060000000000002</v>
      </c>
      <c r="G4895">
        <v>-1558.6499999999999</v>
      </c>
      <c r="H4895">
        <v>1746.3999999999999</v>
      </c>
      <c r="I4895">
        <v>-607.5</v>
      </c>
      <c r="J4895">
        <v>-446.80999999999995</v>
      </c>
    </row>
    <row r="4896" spans="1:10" x14ac:dyDescent="0.35">
      <c r="A4896">
        <v>4880</v>
      </c>
      <c r="B4896" s="75">
        <v>89.712100000000007</v>
      </c>
      <c r="C4896" s="75">
        <v>98.961200000000005</v>
      </c>
      <c r="D4896" s="75">
        <v>94.786199999999994</v>
      </c>
      <c r="E4896" s="75">
        <v>94.864699999999999</v>
      </c>
      <c r="F4896">
        <v>-523.04999999999995</v>
      </c>
      <c r="G4896">
        <v>-1126.95</v>
      </c>
      <c r="H4896">
        <v>-3940.2</v>
      </c>
      <c r="I4896">
        <v>-1484.1</v>
      </c>
      <c r="J4896">
        <v>-7074.2999999999993</v>
      </c>
    </row>
    <row r="4897" spans="1:10" x14ac:dyDescent="0.35">
      <c r="A4897">
        <v>4881</v>
      </c>
      <c r="B4897" s="75">
        <v>89.65</v>
      </c>
      <c r="C4897" s="75">
        <v>98.39</v>
      </c>
      <c r="D4897" s="75">
        <v>93.51</v>
      </c>
      <c r="E4897" s="75">
        <v>92.57</v>
      </c>
      <c r="F4897">
        <v>-320.76</v>
      </c>
      <c r="G4897">
        <v>-268.05</v>
      </c>
      <c r="H4897">
        <v>-1378.4</v>
      </c>
      <c r="I4897">
        <v>815.30000000000007</v>
      </c>
      <c r="J4897">
        <v>-1151.9099999999999</v>
      </c>
    </row>
    <row r="4898" spans="1:10" x14ac:dyDescent="0.35">
      <c r="A4898">
        <v>4882</v>
      </c>
      <c r="B4898" s="75">
        <v>90.179500000000004</v>
      </c>
      <c r="C4898" s="75">
        <v>99.470399999999998</v>
      </c>
      <c r="D4898" s="75">
        <v>92.965999999999994</v>
      </c>
      <c r="E4898" s="75">
        <v>92.322100000000006</v>
      </c>
      <c r="F4898">
        <v>-2065.4700000000003</v>
      </c>
      <c r="G4898">
        <v>-1890.75</v>
      </c>
      <c r="H4898">
        <v>-299.8</v>
      </c>
      <c r="I4898">
        <v>1058.5</v>
      </c>
      <c r="J4898">
        <v>-3197.5200000000004</v>
      </c>
    </row>
    <row r="4899" spans="1:10" x14ac:dyDescent="0.35">
      <c r="A4899">
        <v>4883</v>
      </c>
      <c r="B4899" s="75">
        <v>90.5</v>
      </c>
      <c r="C4899" s="75">
        <v>97.61</v>
      </c>
      <c r="D4899" s="75">
        <v>91.74</v>
      </c>
      <c r="E4899" s="75">
        <v>92.24</v>
      </c>
      <c r="F4899">
        <v>-3122.79</v>
      </c>
      <c r="G4899">
        <v>894.6</v>
      </c>
      <c r="H4899">
        <v>2159.4</v>
      </c>
      <c r="I4899">
        <v>1137.5</v>
      </c>
      <c r="J4899">
        <v>1068.71</v>
      </c>
    </row>
    <row r="4900" spans="1:10" x14ac:dyDescent="0.35">
      <c r="A4900">
        <v>4884</v>
      </c>
      <c r="B4900" s="75">
        <v>88.945400000000006</v>
      </c>
      <c r="C4900" s="75">
        <v>98.0501</v>
      </c>
      <c r="D4900" s="75">
        <v>92.196600000000004</v>
      </c>
      <c r="E4900" s="75">
        <v>94.346000000000004</v>
      </c>
      <c r="F4900">
        <v>2007.06</v>
      </c>
      <c r="G4900">
        <v>239.7</v>
      </c>
      <c r="H4900">
        <v>1239</v>
      </c>
      <c r="I4900">
        <v>-965.40000000000009</v>
      </c>
      <c r="J4900">
        <v>2520.3599999999997</v>
      </c>
    </row>
    <row r="4901" spans="1:10" x14ac:dyDescent="0.35">
      <c r="A4901">
        <v>4885</v>
      </c>
      <c r="B4901" s="75">
        <v>91.1</v>
      </c>
      <c r="C4901" s="75">
        <v>98.21</v>
      </c>
      <c r="D4901" s="75">
        <v>91.8</v>
      </c>
      <c r="E4901" s="75">
        <v>92.78</v>
      </c>
      <c r="F4901">
        <v>-5108.7300000000005</v>
      </c>
      <c r="G4901">
        <v>-1.05</v>
      </c>
      <c r="H4901">
        <v>2023.4</v>
      </c>
      <c r="I4901">
        <v>596.19999999999993</v>
      </c>
      <c r="J4901">
        <v>-2490.1800000000007</v>
      </c>
    </row>
    <row r="4902" spans="1:10" x14ac:dyDescent="0.35">
      <c r="A4902">
        <v>4886</v>
      </c>
      <c r="B4902" s="75">
        <v>89.636799999999994</v>
      </c>
      <c r="C4902" s="75">
        <v>97.740099999999998</v>
      </c>
      <c r="D4902" s="75">
        <v>93.194400000000002</v>
      </c>
      <c r="E4902" s="75">
        <v>91.872900000000001</v>
      </c>
      <c r="F4902">
        <v>-274.56</v>
      </c>
      <c r="G4902">
        <v>704.7</v>
      </c>
      <c r="H4902">
        <v>-756.6</v>
      </c>
      <c r="I4902">
        <v>1507.7</v>
      </c>
      <c r="J4902">
        <v>1181.24</v>
      </c>
    </row>
    <row r="4903" spans="1:10" x14ac:dyDescent="0.35">
      <c r="A4903">
        <v>4887</v>
      </c>
      <c r="B4903" s="75">
        <v>89.08</v>
      </c>
      <c r="C4903" s="75">
        <v>98.34</v>
      </c>
      <c r="D4903" s="75">
        <v>94.21</v>
      </c>
      <c r="E4903" s="75">
        <v>92.08</v>
      </c>
      <c r="F4903">
        <v>1562.22</v>
      </c>
      <c r="G4903">
        <v>-196.8</v>
      </c>
      <c r="H4903">
        <v>-2792.4</v>
      </c>
      <c r="I4903">
        <v>1303.8000000000002</v>
      </c>
      <c r="J4903">
        <v>-123.17999999999984</v>
      </c>
    </row>
    <row r="4904" spans="1:10" x14ac:dyDescent="0.35">
      <c r="A4904">
        <v>4888</v>
      </c>
      <c r="B4904" s="75">
        <v>90.291399999999996</v>
      </c>
      <c r="C4904" s="75">
        <v>98.121700000000004</v>
      </c>
      <c r="D4904" s="75">
        <v>92.982799999999997</v>
      </c>
      <c r="E4904" s="75">
        <v>92.493499999999997</v>
      </c>
      <c r="F4904">
        <v>-2434.7400000000002</v>
      </c>
      <c r="G4904">
        <v>132.30000000000001</v>
      </c>
      <c r="H4904">
        <v>-333.4</v>
      </c>
      <c r="I4904">
        <v>887.1</v>
      </c>
      <c r="J4904">
        <v>-1748.7400000000002</v>
      </c>
    </row>
    <row r="4905" spans="1:10" x14ac:dyDescent="0.35">
      <c r="A4905">
        <v>4889</v>
      </c>
      <c r="B4905" s="75">
        <v>89.4</v>
      </c>
      <c r="C4905" s="75">
        <v>98.31</v>
      </c>
      <c r="D4905" s="75">
        <v>92.94</v>
      </c>
      <c r="E4905" s="75">
        <v>94.98</v>
      </c>
      <c r="F4905">
        <v>495.33000000000004</v>
      </c>
      <c r="G4905">
        <v>-146.54999999999998</v>
      </c>
      <c r="H4905">
        <v>-240.2</v>
      </c>
      <c r="I4905">
        <v>-1601.5</v>
      </c>
      <c r="J4905">
        <v>-1492.9199999999998</v>
      </c>
    </row>
    <row r="4906" spans="1:10" x14ac:dyDescent="0.35">
      <c r="A4906">
        <v>4890</v>
      </c>
      <c r="B4906" s="75">
        <v>88.778499999999994</v>
      </c>
      <c r="C4906" s="75">
        <v>99.812100000000001</v>
      </c>
      <c r="D4906" s="75">
        <v>94.425399999999996</v>
      </c>
      <c r="E4906" s="75">
        <v>90.5518</v>
      </c>
      <c r="F4906">
        <v>2557.83</v>
      </c>
      <c r="G4906">
        <v>-2403.3000000000002</v>
      </c>
      <c r="H4906">
        <v>-3218.6</v>
      </c>
      <c r="I4906">
        <v>2828.8</v>
      </c>
      <c r="J4906">
        <v>-235.26999999999998</v>
      </c>
    </row>
    <row r="4907" spans="1:10" x14ac:dyDescent="0.35">
      <c r="A4907">
        <v>4891</v>
      </c>
      <c r="B4907" s="75">
        <v>89.57</v>
      </c>
      <c r="C4907" s="75">
        <v>98.87</v>
      </c>
      <c r="D4907" s="75">
        <v>90.88</v>
      </c>
      <c r="E4907" s="75">
        <v>96.37</v>
      </c>
      <c r="F4907">
        <v>-57.089999999999996</v>
      </c>
      <c r="G4907">
        <v>-985.35</v>
      </c>
      <c r="H4907">
        <v>3866.4</v>
      </c>
      <c r="I4907">
        <v>-2991</v>
      </c>
      <c r="J4907">
        <v>-167.03999999999996</v>
      </c>
    </row>
    <row r="4908" spans="1:10" x14ac:dyDescent="0.35">
      <c r="A4908">
        <v>4892</v>
      </c>
      <c r="B4908" s="75">
        <v>89.531000000000006</v>
      </c>
      <c r="C4908" s="75">
        <v>97.939700000000002</v>
      </c>
      <c r="D4908" s="75">
        <v>91.085899999999995</v>
      </c>
      <c r="E4908" s="75">
        <v>90.594800000000006</v>
      </c>
      <c r="F4908">
        <v>74.58</v>
      </c>
      <c r="G4908">
        <v>405.3</v>
      </c>
      <c r="H4908">
        <v>3460.4</v>
      </c>
      <c r="I4908">
        <v>2785.8</v>
      </c>
      <c r="J4908">
        <v>6726.08</v>
      </c>
    </row>
    <row r="4909" spans="1:10" x14ac:dyDescent="0.35">
      <c r="A4909">
        <v>4893</v>
      </c>
      <c r="B4909" s="75">
        <v>89.13</v>
      </c>
      <c r="C4909" s="75">
        <v>96.54</v>
      </c>
      <c r="D4909" s="75">
        <v>93.54</v>
      </c>
      <c r="E4909" s="75">
        <v>91.98</v>
      </c>
      <c r="F4909">
        <v>1402.17</v>
      </c>
      <c r="G4909">
        <v>2503.9499999999998</v>
      </c>
      <c r="H4909">
        <v>-1443.6</v>
      </c>
      <c r="I4909">
        <v>1400.7</v>
      </c>
      <c r="J4909">
        <v>3863.2200000000003</v>
      </c>
    </row>
    <row r="4910" spans="1:10" x14ac:dyDescent="0.35">
      <c r="A4910">
        <v>4894</v>
      </c>
      <c r="B4910" s="75">
        <v>89.641400000000004</v>
      </c>
      <c r="C4910" s="75">
        <v>99.209299999999999</v>
      </c>
      <c r="D4910" s="75">
        <v>93.563199999999995</v>
      </c>
      <c r="E4910" s="75">
        <v>93.862899999999996</v>
      </c>
      <c r="F4910">
        <v>-289.74</v>
      </c>
      <c r="G4910">
        <v>-1499.1</v>
      </c>
      <c r="H4910">
        <v>-1494.2</v>
      </c>
      <c r="I4910">
        <v>-482.3</v>
      </c>
      <c r="J4910">
        <v>-3765.34</v>
      </c>
    </row>
    <row r="4911" spans="1:10" x14ac:dyDescent="0.35">
      <c r="A4911">
        <v>4895</v>
      </c>
      <c r="B4911" s="75">
        <v>88.92</v>
      </c>
      <c r="C4911" s="75">
        <v>97.8</v>
      </c>
      <c r="D4911" s="75">
        <v>91.37</v>
      </c>
      <c r="E4911" s="75">
        <v>93.05</v>
      </c>
      <c r="F4911">
        <v>2102.4299999999998</v>
      </c>
      <c r="G4911">
        <v>610.79999999999995</v>
      </c>
      <c r="H4911">
        <v>2882.8</v>
      </c>
      <c r="I4911">
        <v>334.2</v>
      </c>
      <c r="J4911">
        <v>5930.23</v>
      </c>
    </row>
    <row r="4912" spans="1:10" x14ac:dyDescent="0.35">
      <c r="A4912">
        <v>4896</v>
      </c>
      <c r="B4912" s="75">
        <v>88.546999999999997</v>
      </c>
      <c r="C4912" s="75">
        <v>100.0029</v>
      </c>
      <c r="D4912" s="75">
        <v>91.059399999999997</v>
      </c>
      <c r="E4912" s="75">
        <v>94.0625</v>
      </c>
      <c r="F4912">
        <v>3321.7799999999997</v>
      </c>
      <c r="G4912">
        <v>-2689.5</v>
      </c>
      <c r="H4912">
        <v>3513.3999999999996</v>
      </c>
      <c r="I4912">
        <v>-681.9</v>
      </c>
      <c r="J4912">
        <v>3463.7799999999993</v>
      </c>
    </row>
    <row r="4913" spans="1:10" x14ac:dyDescent="0.35">
      <c r="A4913">
        <v>4897</v>
      </c>
      <c r="B4913" s="75">
        <v>89.09</v>
      </c>
      <c r="C4913" s="75">
        <v>99.06</v>
      </c>
      <c r="D4913" s="75">
        <v>94.2</v>
      </c>
      <c r="E4913" s="75">
        <v>95.45</v>
      </c>
      <c r="F4913">
        <v>1530.87</v>
      </c>
      <c r="G4913">
        <v>-1276.8</v>
      </c>
      <c r="H4913">
        <v>-2777.2000000000003</v>
      </c>
      <c r="I4913">
        <v>-2073.9</v>
      </c>
      <c r="J4913">
        <v>-4597.0300000000007</v>
      </c>
    </row>
    <row r="4914" spans="1:10" x14ac:dyDescent="0.35">
      <c r="A4914">
        <v>4898</v>
      </c>
      <c r="B4914" s="75">
        <v>89.732299999999995</v>
      </c>
      <c r="C4914" s="75">
        <v>98.043199999999999</v>
      </c>
      <c r="D4914" s="75">
        <v>92.198099999999997</v>
      </c>
      <c r="E4914" s="75">
        <v>94.287400000000005</v>
      </c>
      <c r="F4914">
        <v>-589.71</v>
      </c>
      <c r="G4914">
        <v>250.04999999999998</v>
      </c>
      <c r="H4914">
        <v>1236</v>
      </c>
      <c r="I4914">
        <v>-906.80000000000007</v>
      </c>
      <c r="J4914">
        <v>-10.46000000000015</v>
      </c>
    </row>
    <row r="4915" spans="1:10" x14ac:dyDescent="0.35">
      <c r="A4915">
        <v>4899</v>
      </c>
      <c r="B4915" s="75">
        <v>90.33</v>
      </c>
      <c r="C4915" s="75">
        <v>99.44</v>
      </c>
      <c r="D4915" s="75">
        <v>94.6</v>
      </c>
      <c r="E4915" s="75">
        <v>94.45</v>
      </c>
      <c r="F4915">
        <v>-2557.83</v>
      </c>
      <c r="G4915">
        <v>-1841.55</v>
      </c>
      <c r="H4915">
        <v>-3563.4</v>
      </c>
      <c r="I4915">
        <v>-1073.3999999999999</v>
      </c>
      <c r="J4915">
        <v>-9036.18</v>
      </c>
    </row>
    <row r="4916" spans="1:10" x14ac:dyDescent="0.35">
      <c r="A4916">
        <v>4900</v>
      </c>
      <c r="B4916" s="75">
        <v>90.601799999999997</v>
      </c>
      <c r="C4916" s="75">
        <v>96.794300000000007</v>
      </c>
      <c r="D4916" s="75">
        <v>93.745900000000006</v>
      </c>
      <c r="E4916" s="75">
        <v>94.175600000000003</v>
      </c>
      <c r="F4916">
        <v>-3459.06</v>
      </c>
      <c r="G4916">
        <v>2123.4</v>
      </c>
      <c r="H4916">
        <v>-1859.6</v>
      </c>
      <c r="I4916">
        <v>-795</v>
      </c>
      <c r="J4916">
        <v>-3990.2599999999998</v>
      </c>
    </row>
    <row r="4917" spans="1:10" x14ac:dyDescent="0.35">
      <c r="A4917">
        <v>4901</v>
      </c>
      <c r="B4917" s="75">
        <v>89.38</v>
      </c>
      <c r="C4917" s="75">
        <v>98.24</v>
      </c>
      <c r="D4917" s="75">
        <v>94</v>
      </c>
      <c r="E4917" s="75">
        <v>91.97</v>
      </c>
      <c r="F4917">
        <v>581.13</v>
      </c>
      <c r="G4917">
        <v>-47.7</v>
      </c>
      <c r="H4917">
        <v>-2372</v>
      </c>
      <c r="I4917">
        <v>1413.1</v>
      </c>
      <c r="J4917">
        <v>-425.47000000000025</v>
      </c>
    </row>
    <row r="4918" spans="1:10" x14ac:dyDescent="0.35">
      <c r="A4918">
        <v>4902</v>
      </c>
      <c r="B4918" s="75">
        <v>89.681700000000006</v>
      </c>
      <c r="C4918" s="75">
        <v>97.535200000000003</v>
      </c>
      <c r="D4918" s="75">
        <v>95.162300000000002</v>
      </c>
      <c r="E4918" s="75">
        <v>94.328100000000006</v>
      </c>
      <c r="F4918">
        <v>-422.72999999999996</v>
      </c>
      <c r="G4918">
        <v>1012.05</v>
      </c>
      <c r="H4918">
        <v>-4692.4000000000005</v>
      </c>
      <c r="I4918">
        <v>-947.5</v>
      </c>
      <c r="J4918">
        <v>-5050.5800000000008</v>
      </c>
    </row>
    <row r="4919" spans="1:10" x14ac:dyDescent="0.35">
      <c r="A4919">
        <v>4903</v>
      </c>
      <c r="B4919" s="75">
        <v>90.07</v>
      </c>
      <c r="C4919" s="75">
        <v>98.06</v>
      </c>
      <c r="D4919" s="75">
        <v>92.24</v>
      </c>
      <c r="E4919" s="75">
        <v>91.4</v>
      </c>
      <c r="F4919">
        <v>-1696.86</v>
      </c>
      <c r="G4919">
        <v>225.15</v>
      </c>
      <c r="H4919">
        <v>1145.5999999999999</v>
      </c>
      <c r="I4919">
        <v>1976.8</v>
      </c>
      <c r="J4919">
        <v>1650.69</v>
      </c>
    </row>
    <row r="4920" spans="1:10" x14ac:dyDescent="0.35">
      <c r="A4920">
        <v>4904</v>
      </c>
      <c r="B4920" s="75">
        <v>89.676100000000005</v>
      </c>
      <c r="C4920" s="75">
        <v>100.3489</v>
      </c>
      <c r="D4920" s="75">
        <v>93.205399999999997</v>
      </c>
      <c r="E4920" s="75">
        <v>92.215299999999999</v>
      </c>
      <c r="F4920">
        <v>-404.25</v>
      </c>
      <c r="G4920">
        <v>-3208.4999999999995</v>
      </c>
      <c r="H4920">
        <v>-778.59999999999991</v>
      </c>
      <c r="I4920">
        <v>1165.3</v>
      </c>
      <c r="J4920">
        <v>-3226.0499999999993</v>
      </c>
    </row>
    <row r="4921" spans="1:10" x14ac:dyDescent="0.35">
      <c r="A4921">
        <v>4905</v>
      </c>
      <c r="B4921" s="75">
        <v>89.7</v>
      </c>
      <c r="C4921" s="75">
        <v>98.24</v>
      </c>
      <c r="D4921" s="75">
        <v>93.63</v>
      </c>
      <c r="E4921" s="75">
        <v>95.05</v>
      </c>
      <c r="F4921">
        <v>-487.40999999999997</v>
      </c>
      <c r="G4921">
        <v>-45.300000000000004</v>
      </c>
      <c r="H4921">
        <v>-1627</v>
      </c>
      <c r="I4921">
        <v>-1670.9</v>
      </c>
      <c r="J4921">
        <v>-3830.61</v>
      </c>
    </row>
    <row r="4922" spans="1:10" x14ac:dyDescent="0.35">
      <c r="A4922">
        <v>4906</v>
      </c>
      <c r="B4922" s="75">
        <v>89.061300000000003</v>
      </c>
      <c r="C4922" s="75">
        <v>98.707499999999996</v>
      </c>
      <c r="D4922" s="75">
        <v>93.0702</v>
      </c>
      <c r="E4922" s="75">
        <v>92.270799999999994</v>
      </c>
      <c r="F4922">
        <v>1624.5900000000001</v>
      </c>
      <c r="G4922">
        <v>-746.4</v>
      </c>
      <c r="H4922">
        <v>-508.2</v>
      </c>
      <c r="I4922">
        <v>1109.8</v>
      </c>
      <c r="J4922">
        <v>1479.7900000000002</v>
      </c>
    </row>
    <row r="4923" spans="1:10" x14ac:dyDescent="0.35">
      <c r="A4923">
        <v>4907</v>
      </c>
      <c r="B4923" s="75">
        <v>89.83</v>
      </c>
      <c r="C4923" s="75">
        <v>97.55</v>
      </c>
      <c r="D4923" s="75">
        <v>92.62</v>
      </c>
      <c r="E4923" s="75">
        <v>95.1</v>
      </c>
      <c r="F4923">
        <v>-922.68000000000006</v>
      </c>
      <c r="G4923">
        <v>996.30000000000007</v>
      </c>
      <c r="H4923">
        <v>387.6</v>
      </c>
      <c r="I4923">
        <v>-1724.2</v>
      </c>
      <c r="J4923">
        <v>-1262.98</v>
      </c>
    </row>
    <row r="4924" spans="1:10" x14ac:dyDescent="0.35">
      <c r="A4924">
        <v>4908</v>
      </c>
      <c r="B4924" s="75">
        <v>89.809399999999997</v>
      </c>
      <c r="C4924" s="75">
        <v>98.690100000000001</v>
      </c>
      <c r="D4924" s="75">
        <v>91.639700000000005</v>
      </c>
      <c r="E4924" s="75">
        <v>93.684700000000007</v>
      </c>
      <c r="F4924">
        <v>-844.1400000000001</v>
      </c>
      <c r="G4924">
        <v>-720.30000000000007</v>
      </c>
      <c r="H4924">
        <v>2352.7999999999997</v>
      </c>
      <c r="I4924">
        <v>-304.09999999999997</v>
      </c>
      <c r="J4924">
        <v>484.25999999999971</v>
      </c>
    </row>
    <row r="4925" spans="1:10" x14ac:dyDescent="0.35">
      <c r="A4925">
        <v>4909</v>
      </c>
      <c r="B4925" s="75">
        <v>89.16</v>
      </c>
      <c r="C4925" s="75">
        <v>98.94</v>
      </c>
      <c r="D4925" s="75">
        <v>92.63</v>
      </c>
      <c r="E4925" s="75">
        <v>93.53</v>
      </c>
      <c r="F4925">
        <v>1299.54</v>
      </c>
      <c r="G4925">
        <v>-1093.05</v>
      </c>
      <c r="H4925">
        <v>373</v>
      </c>
      <c r="I4925">
        <v>-148.4</v>
      </c>
      <c r="J4925">
        <v>431.09000000000003</v>
      </c>
    </row>
    <row r="4926" spans="1:10" x14ac:dyDescent="0.35">
      <c r="A4926">
        <v>4910</v>
      </c>
      <c r="B4926" s="75">
        <v>89.491900000000001</v>
      </c>
      <c r="C4926" s="75">
        <v>100.3776</v>
      </c>
      <c r="D4926" s="75">
        <v>92.997699999999995</v>
      </c>
      <c r="E4926" s="75">
        <v>93.877099999999999</v>
      </c>
      <c r="F4926">
        <v>203.60999999999999</v>
      </c>
      <c r="G4926">
        <v>-3251.5499999999997</v>
      </c>
      <c r="H4926">
        <v>-363.20000000000005</v>
      </c>
      <c r="I4926">
        <v>-496.5</v>
      </c>
      <c r="J4926">
        <v>-3907.6399999999994</v>
      </c>
    </row>
    <row r="4927" spans="1:10" x14ac:dyDescent="0.35">
      <c r="A4927">
        <v>4911</v>
      </c>
      <c r="B4927" s="75">
        <v>89</v>
      </c>
      <c r="C4927" s="75">
        <v>98.39</v>
      </c>
      <c r="D4927" s="75">
        <v>93.1</v>
      </c>
      <c r="E4927" s="75">
        <v>93.84</v>
      </c>
      <c r="F4927">
        <v>1820.28</v>
      </c>
      <c r="G4927">
        <v>-272.85000000000002</v>
      </c>
      <c r="H4927">
        <v>-568.20000000000005</v>
      </c>
      <c r="I4927">
        <v>-457.9</v>
      </c>
      <c r="J4927">
        <v>521.32999999999981</v>
      </c>
    </row>
    <row r="4928" spans="1:10" x14ac:dyDescent="0.35">
      <c r="A4928">
        <v>4912</v>
      </c>
      <c r="B4928" s="75">
        <v>89.6922</v>
      </c>
      <c r="C4928" s="75">
        <v>98.843100000000007</v>
      </c>
      <c r="D4928" s="75">
        <v>91.849800000000002</v>
      </c>
      <c r="E4928" s="75">
        <v>95.435100000000006</v>
      </c>
      <c r="F4928">
        <v>-457.38</v>
      </c>
      <c r="G4928">
        <v>-949.8</v>
      </c>
      <c r="H4928">
        <v>1932.6000000000001</v>
      </c>
      <c r="I4928">
        <v>-2054.5</v>
      </c>
      <c r="J4928">
        <v>-1529.0799999999997</v>
      </c>
    </row>
    <row r="4929" spans="1:10" x14ac:dyDescent="0.35">
      <c r="A4929">
        <v>4913</v>
      </c>
      <c r="B4929" s="75">
        <v>89.83</v>
      </c>
      <c r="C4929" s="75">
        <v>96.47</v>
      </c>
      <c r="D4929" s="75">
        <v>92.25</v>
      </c>
      <c r="E4929" s="75">
        <v>93.96</v>
      </c>
      <c r="F4929">
        <v>-922.68000000000006</v>
      </c>
      <c r="G4929">
        <v>2613.3000000000002</v>
      </c>
      <c r="H4929">
        <v>1138.2</v>
      </c>
      <c r="I4929">
        <v>-580.9</v>
      </c>
      <c r="J4929">
        <v>2247.92</v>
      </c>
    </row>
    <row r="4930" spans="1:10" x14ac:dyDescent="0.35">
      <c r="A4930">
        <v>4914</v>
      </c>
      <c r="B4930" s="75">
        <v>89.1755</v>
      </c>
      <c r="C4930" s="75">
        <v>99.952500000000001</v>
      </c>
      <c r="D4930" s="75">
        <v>93.389799999999994</v>
      </c>
      <c r="E4930" s="75">
        <v>96.212100000000007</v>
      </c>
      <c r="F4930">
        <v>1247.73</v>
      </c>
      <c r="G4930">
        <v>-2613.9</v>
      </c>
      <c r="H4930">
        <v>-1147.3999999999999</v>
      </c>
      <c r="I4930">
        <v>-2831.5</v>
      </c>
      <c r="J4930">
        <v>-5345.07</v>
      </c>
    </row>
    <row r="4931" spans="1:10" x14ac:dyDescent="0.35">
      <c r="A4931">
        <v>4915</v>
      </c>
      <c r="B4931" s="75">
        <v>90.19</v>
      </c>
      <c r="C4931" s="75">
        <v>96.97</v>
      </c>
      <c r="D4931" s="75">
        <v>93.01</v>
      </c>
      <c r="E4931" s="75">
        <v>91.49</v>
      </c>
      <c r="F4931">
        <v>-2089.23</v>
      </c>
      <c r="G4931">
        <v>1860.1499999999999</v>
      </c>
      <c r="H4931">
        <v>-385.40000000000003</v>
      </c>
      <c r="I4931">
        <v>1890.7</v>
      </c>
      <c r="J4931">
        <v>1276.2199999999998</v>
      </c>
    </row>
    <row r="4932" spans="1:10" x14ac:dyDescent="0.35">
      <c r="A4932">
        <v>4916</v>
      </c>
      <c r="B4932" s="75">
        <v>89.170100000000005</v>
      </c>
      <c r="C4932" s="75">
        <v>97.257499999999993</v>
      </c>
      <c r="D4932" s="75">
        <v>90.257199999999997</v>
      </c>
      <c r="E4932" s="75">
        <v>92.61</v>
      </c>
      <c r="F4932">
        <v>1265.55</v>
      </c>
      <c r="G4932">
        <v>1428.6000000000001</v>
      </c>
      <c r="H4932">
        <v>5117.8</v>
      </c>
      <c r="I4932">
        <v>770.59999999999991</v>
      </c>
      <c r="J4932">
        <v>8582.5500000000011</v>
      </c>
    </row>
    <row r="4933" spans="1:10" x14ac:dyDescent="0.35">
      <c r="A4933">
        <v>4917</v>
      </c>
      <c r="B4933" s="75">
        <v>89.08</v>
      </c>
      <c r="C4933" s="75">
        <v>98.89</v>
      </c>
      <c r="D4933" s="75">
        <v>93.17</v>
      </c>
      <c r="E4933" s="75">
        <v>94.8</v>
      </c>
      <c r="F4933">
        <v>1572.4499999999998</v>
      </c>
      <c r="G4933">
        <v>-1020.45</v>
      </c>
      <c r="H4933">
        <v>-708.8</v>
      </c>
      <c r="I4933">
        <v>-1420.1</v>
      </c>
      <c r="J4933">
        <v>-1576.9</v>
      </c>
    </row>
    <row r="4934" spans="1:10" x14ac:dyDescent="0.35">
      <c r="A4934">
        <v>4918</v>
      </c>
      <c r="B4934" s="75">
        <v>89.509299999999996</v>
      </c>
      <c r="C4934" s="75">
        <v>97.561999999999998</v>
      </c>
      <c r="D4934" s="75">
        <v>91.161799999999999</v>
      </c>
      <c r="E4934" s="75">
        <v>94.356899999999996</v>
      </c>
      <c r="F4934">
        <v>146.19</v>
      </c>
      <c r="G4934">
        <v>971.85</v>
      </c>
      <c r="H4934">
        <v>3308.6000000000004</v>
      </c>
      <c r="I4934">
        <v>-976.3</v>
      </c>
      <c r="J4934">
        <v>3450.34</v>
      </c>
    </row>
    <row r="4935" spans="1:10" x14ac:dyDescent="0.35">
      <c r="A4935">
        <v>4919</v>
      </c>
      <c r="B4935" s="75">
        <v>89.54</v>
      </c>
      <c r="C4935" s="75">
        <v>98.61</v>
      </c>
      <c r="D4935" s="75">
        <v>93.81</v>
      </c>
      <c r="E4935" s="75">
        <v>91.78</v>
      </c>
      <c r="F4935">
        <v>36.630000000000003</v>
      </c>
      <c r="G4935">
        <v>-598.65</v>
      </c>
      <c r="H4935">
        <v>-1979.2</v>
      </c>
      <c r="I4935">
        <v>1601.2</v>
      </c>
      <c r="J4935">
        <v>-940.02000000000021</v>
      </c>
    </row>
    <row r="4936" spans="1:10" x14ac:dyDescent="0.35">
      <c r="A4936">
        <v>4920</v>
      </c>
      <c r="B4936" s="75">
        <v>89.358099999999993</v>
      </c>
      <c r="C4936" s="75">
        <v>97.4786</v>
      </c>
      <c r="D4936" s="75">
        <v>91.584000000000003</v>
      </c>
      <c r="E4936" s="75">
        <v>97.440299999999993</v>
      </c>
      <c r="F4936">
        <v>645.15</v>
      </c>
      <c r="G4936">
        <v>1096.9499999999998</v>
      </c>
      <c r="H4936">
        <v>2464.1999999999998</v>
      </c>
      <c r="I4936">
        <v>-4059.7000000000003</v>
      </c>
      <c r="J4936">
        <v>146.599999999999</v>
      </c>
    </row>
    <row r="4937" spans="1:10" x14ac:dyDescent="0.35">
      <c r="A4937">
        <v>4921</v>
      </c>
      <c r="B4937" s="75">
        <v>90.45</v>
      </c>
      <c r="C4937" s="75">
        <v>97.61</v>
      </c>
      <c r="D4937" s="75">
        <v>93.94</v>
      </c>
      <c r="E4937" s="75">
        <v>93.33</v>
      </c>
      <c r="F4937">
        <v>-2963.07</v>
      </c>
      <c r="G4937">
        <v>904.8</v>
      </c>
      <c r="H4937">
        <v>-2248.4</v>
      </c>
      <c r="I4937">
        <v>49.2</v>
      </c>
      <c r="J4937">
        <v>-4257.47</v>
      </c>
    </row>
    <row r="4938" spans="1:10" x14ac:dyDescent="0.35">
      <c r="A4938">
        <v>4922</v>
      </c>
      <c r="B4938" s="75">
        <v>90.089500000000001</v>
      </c>
      <c r="C4938" s="75">
        <v>98.984899999999996</v>
      </c>
      <c r="D4938" s="75">
        <v>93.704999999999998</v>
      </c>
      <c r="E4938" s="75">
        <v>92.7059</v>
      </c>
      <c r="F4938">
        <v>-1768.4700000000003</v>
      </c>
      <c r="G4938">
        <v>-1162.5</v>
      </c>
      <c r="H4938">
        <v>-1777.8</v>
      </c>
      <c r="I4938">
        <v>674.69999999999993</v>
      </c>
      <c r="J4938">
        <v>-4034.0700000000006</v>
      </c>
    </row>
    <row r="4939" spans="1:10" x14ac:dyDescent="0.35">
      <c r="A4939">
        <v>4923</v>
      </c>
      <c r="B4939" s="75">
        <v>89.62</v>
      </c>
      <c r="C4939" s="75">
        <v>99.84</v>
      </c>
      <c r="D4939" s="75">
        <v>92.68</v>
      </c>
      <c r="E4939" s="75">
        <v>94.69</v>
      </c>
      <c r="F4939">
        <v>-226.05</v>
      </c>
      <c r="G4939">
        <v>-2450.85</v>
      </c>
      <c r="H4939">
        <v>271.2</v>
      </c>
      <c r="I4939">
        <v>-1310</v>
      </c>
      <c r="J4939">
        <v>-3715.7000000000003</v>
      </c>
    </row>
    <row r="4940" spans="1:10" x14ac:dyDescent="0.35">
      <c r="A4940">
        <v>4924</v>
      </c>
      <c r="B4940" s="75">
        <v>89.2149</v>
      </c>
      <c r="C4940" s="75">
        <v>96.911699999999996</v>
      </c>
      <c r="D4940" s="75">
        <v>93.110100000000003</v>
      </c>
      <c r="E4940" s="75">
        <v>94.200299999999999</v>
      </c>
      <c r="F4940">
        <v>1117.71</v>
      </c>
      <c r="G4940">
        <v>1947.3</v>
      </c>
      <c r="H4940">
        <v>-588</v>
      </c>
      <c r="I4940">
        <v>-819.69999999999993</v>
      </c>
      <c r="J4940">
        <v>1657.3100000000004</v>
      </c>
    </row>
    <row r="4941" spans="1:10" x14ac:dyDescent="0.35">
      <c r="A4941">
        <v>4925</v>
      </c>
      <c r="B4941" s="75">
        <v>89.5</v>
      </c>
      <c r="C4941" s="75">
        <v>99.2</v>
      </c>
      <c r="D4941" s="75">
        <v>92.8</v>
      </c>
      <c r="E4941" s="75">
        <v>92.84</v>
      </c>
      <c r="F4941">
        <v>174.9</v>
      </c>
      <c r="G4941">
        <v>-1482</v>
      </c>
      <c r="H4941">
        <v>32.4</v>
      </c>
      <c r="I4941">
        <v>540.4</v>
      </c>
      <c r="J4941">
        <v>-734.29999999999984</v>
      </c>
    </row>
    <row r="4942" spans="1:10" x14ac:dyDescent="0.35">
      <c r="A4942">
        <v>4926</v>
      </c>
      <c r="B4942" s="75">
        <v>88.859200000000001</v>
      </c>
      <c r="C4942" s="75">
        <v>97.492699999999999</v>
      </c>
      <c r="D4942" s="75">
        <v>92.567800000000005</v>
      </c>
      <c r="E4942" s="75">
        <v>94.163600000000002</v>
      </c>
      <c r="F4942">
        <v>2291.52</v>
      </c>
      <c r="G4942">
        <v>1075.8</v>
      </c>
      <c r="H4942">
        <v>496.59999999999997</v>
      </c>
      <c r="I4942">
        <v>-783</v>
      </c>
      <c r="J4942">
        <v>3080.9199999999996</v>
      </c>
    </row>
    <row r="4943" spans="1:10" x14ac:dyDescent="0.35">
      <c r="A4943">
        <v>4927</v>
      </c>
      <c r="B4943" s="75">
        <v>89.27</v>
      </c>
      <c r="C4943" s="75">
        <v>97.4</v>
      </c>
      <c r="D4943" s="75">
        <v>92.99</v>
      </c>
      <c r="E4943" s="75">
        <v>92.57</v>
      </c>
      <c r="F4943">
        <v>950.73</v>
      </c>
      <c r="G4943">
        <v>1220.7</v>
      </c>
      <c r="H4943">
        <v>-341.2</v>
      </c>
      <c r="I4943">
        <v>811.1</v>
      </c>
      <c r="J4943">
        <v>2641.3300000000004</v>
      </c>
    </row>
    <row r="4944" spans="1:10" x14ac:dyDescent="0.35">
      <c r="A4944">
        <v>4928</v>
      </c>
      <c r="B4944" s="75">
        <v>88.923599999999993</v>
      </c>
      <c r="C4944" s="75">
        <v>98.626300000000001</v>
      </c>
      <c r="D4944" s="75">
        <v>92.835700000000003</v>
      </c>
      <c r="E4944" s="75">
        <v>92.244100000000003</v>
      </c>
      <c r="F4944">
        <v>2079</v>
      </c>
      <c r="G4944">
        <v>-624.6</v>
      </c>
      <c r="H4944">
        <v>-39.199999999999996</v>
      </c>
      <c r="I4944">
        <v>1136.5</v>
      </c>
      <c r="J4944">
        <v>2551.6999999999998</v>
      </c>
    </row>
    <row r="4945" spans="1:10" x14ac:dyDescent="0.35">
      <c r="A4945">
        <v>4929</v>
      </c>
      <c r="B4945" s="75">
        <v>89.75</v>
      </c>
      <c r="C4945" s="75">
        <v>97.82</v>
      </c>
      <c r="D4945" s="75">
        <v>93.81</v>
      </c>
      <c r="E4945" s="75">
        <v>92.09</v>
      </c>
      <c r="F4945">
        <v>-644.16000000000008</v>
      </c>
      <c r="G4945">
        <v>580.19999999999993</v>
      </c>
      <c r="H4945">
        <v>-1979.8</v>
      </c>
      <c r="I4945">
        <v>1292.1000000000001</v>
      </c>
      <c r="J4945">
        <v>-751.66000000000008</v>
      </c>
    </row>
    <row r="4946" spans="1:10" x14ac:dyDescent="0.35">
      <c r="A4946">
        <v>4930</v>
      </c>
      <c r="B4946" s="75">
        <v>89.328699999999998</v>
      </c>
      <c r="C4946" s="75">
        <v>97.927400000000006</v>
      </c>
      <c r="D4946" s="75">
        <v>94.030600000000007</v>
      </c>
      <c r="E4946" s="75">
        <v>93.766300000000001</v>
      </c>
      <c r="F4946">
        <v>742.17</v>
      </c>
      <c r="G4946">
        <v>423.74999999999994</v>
      </c>
      <c r="H4946">
        <v>-2429</v>
      </c>
      <c r="I4946">
        <v>-385.7</v>
      </c>
      <c r="J4946">
        <v>-1648.7800000000002</v>
      </c>
    </row>
    <row r="4947" spans="1:10" x14ac:dyDescent="0.35">
      <c r="A4947">
        <v>4931</v>
      </c>
      <c r="B4947" s="75">
        <v>89.16</v>
      </c>
      <c r="C4947" s="75">
        <v>97.9</v>
      </c>
      <c r="D4947" s="75">
        <v>93.25</v>
      </c>
      <c r="E4947" s="75">
        <v>94.67</v>
      </c>
      <c r="F4947">
        <v>1291.95</v>
      </c>
      <c r="G4947">
        <v>457.5</v>
      </c>
      <c r="H4947">
        <v>-867.6</v>
      </c>
      <c r="I4947">
        <v>-1293.3</v>
      </c>
      <c r="J4947">
        <v>-411.44999999999993</v>
      </c>
    </row>
    <row r="4948" spans="1:10" x14ac:dyDescent="0.35">
      <c r="A4948">
        <v>4932</v>
      </c>
      <c r="B4948" s="75">
        <v>89.865799999999993</v>
      </c>
      <c r="C4948" s="75">
        <v>97.552700000000002</v>
      </c>
      <c r="D4948" s="75">
        <v>93.330299999999994</v>
      </c>
      <c r="E4948" s="75">
        <v>92.7</v>
      </c>
      <c r="F4948">
        <v>-1030.26</v>
      </c>
      <c r="G4948">
        <v>985.8</v>
      </c>
      <c r="H4948">
        <v>-1028.4000000000001</v>
      </c>
      <c r="I4948">
        <v>680.6</v>
      </c>
      <c r="J4948">
        <v>-392.2600000000001</v>
      </c>
    </row>
    <row r="4949" spans="1:10" x14ac:dyDescent="0.35">
      <c r="A4949">
        <v>4933</v>
      </c>
      <c r="B4949" s="75">
        <v>88.87</v>
      </c>
      <c r="C4949" s="75">
        <v>98.91</v>
      </c>
      <c r="D4949" s="75">
        <v>93.1</v>
      </c>
      <c r="E4949" s="75">
        <v>95.49</v>
      </c>
      <c r="F4949">
        <v>2262.48</v>
      </c>
      <c r="G4949">
        <v>-1042.6500000000001</v>
      </c>
      <c r="H4949">
        <v>-565.79999999999995</v>
      </c>
      <c r="I4949">
        <v>-2114.1</v>
      </c>
      <c r="J4949">
        <v>-1460.07</v>
      </c>
    </row>
    <row r="4950" spans="1:10" x14ac:dyDescent="0.35">
      <c r="A4950">
        <v>4934</v>
      </c>
      <c r="B4950" s="75">
        <v>89.344899999999996</v>
      </c>
      <c r="C4950" s="75">
        <v>98.2881</v>
      </c>
      <c r="D4950" s="75">
        <v>91.983199999999997</v>
      </c>
      <c r="E4950" s="75">
        <v>91.802700000000002</v>
      </c>
      <c r="F4950">
        <v>688.71</v>
      </c>
      <c r="G4950">
        <v>-117.30000000000001</v>
      </c>
      <c r="H4950">
        <v>1665.8</v>
      </c>
      <c r="I4950">
        <v>1577.9</v>
      </c>
      <c r="J4950">
        <v>3815.11</v>
      </c>
    </row>
    <row r="4951" spans="1:10" x14ac:dyDescent="0.35">
      <c r="A4951">
        <v>4935</v>
      </c>
      <c r="B4951" s="75">
        <v>90.59</v>
      </c>
      <c r="C4951" s="75">
        <v>98.1</v>
      </c>
      <c r="D4951" s="75">
        <v>93.95</v>
      </c>
      <c r="E4951" s="75">
        <v>94.06</v>
      </c>
      <c r="F4951">
        <v>-3434.64</v>
      </c>
      <c r="G4951">
        <v>164.55</v>
      </c>
      <c r="H4951">
        <v>-2261.6</v>
      </c>
      <c r="I4951">
        <v>-674.6</v>
      </c>
      <c r="J4951">
        <v>-6206.29</v>
      </c>
    </row>
    <row r="4952" spans="1:10" x14ac:dyDescent="0.35">
      <c r="A4952">
        <v>4936</v>
      </c>
      <c r="B4952" s="75">
        <v>89.4876</v>
      </c>
      <c r="C4952" s="75">
        <v>97.991399999999999</v>
      </c>
      <c r="D4952" s="75">
        <v>93.740099999999998</v>
      </c>
      <c r="E4952" s="75">
        <v>96.349900000000005</v>
      </c>
      <c r="F4952">
        <v>217.8</v>
      </c>
      <c r="G4952">
        <v>327.75</v>
      </c>
      <c r="H4952">
        <v>-1848</v>
      </c>
      <c r="I4952">
        <v>-2969.3</v>
      </c>
      <c r="J4952">
        <v>-4271.75</v>
      </c>
    </row>
    <row r="4953" spans="1:10" x14ac:dyDescent="0.35">
      <c r="A4953">
        <v>4937</v>
      </c>
      <c r="B4953" s="75">
        <v>89.43</v>
      </c>
      <c r="C4953" s="75">
        <v>98.03</v>
      </c>
      <c r="D4953" s="75">
        <v>92.95</v>
      </c>
      <c r="E4953" s="75">
        <v>92.76</v>
      </c>
      <c r="F4953">
        <v>416.78999999999996</v>
      </c>
      <c r="G4953">
        <v>271.2</v>
      </c>
      <c r="H4953">
        <v>-276.39999999999998</v>
      </c>
      <c r="I4953">
        <v>623.19999999999993</v>
      </c>
      <c r="J4953">
        <v>1034.79</v>
      </c>
    </row>
    <row r="4954" spans="1:10" x14ac:dyDescent="0.35">
      <c r="A4954">
        <v>4938</v>
      </c>
      <c r="B4954" s="75">
        <v>88.832099999999997</v>
      </c>
      <c r="C4954" s="75">
        <v>99.103099999999998</v>
      </c>
      <c r="D4954" s="75">
        <v>92.532399999999996</v>
      </c>
      <c r="E4954" s="75">
        <v>96.670400000000001</v>
      </c>
      <c r="F4954">
        <v>2380.9500000000003</v>
      </c>
      <c r="G4954">
        <v>-1339.8</v>
      </c>
      <c r="H4954">
        <v>567.4</v>
      </c>
      <c r="I4954">
        <v>-3289.8</v>
      </c>
      <c r="J4954">
        <v>-1681.25</v>
      </c>
    </row>
    <row r="4955" spans="1:10" x14ac:dyDescent="0.35">
      <c r="A4955">
        <v>4939</v>
      </c>
      <c r="B4955" s="75">
        <v>89.01</v>
      </c>
      <c r="C4955" s="75">
        <v>98.53</v>
      </c>
      <c r="D4955" s="75">
        <v>92.17</v>
      </c>
      <c r="E4955" s="75">
        <v>94.42</v>
      </c>
      <c r="F4955">
        <v>1796.19</v>
      </c>
      <c r="G4955">
        <v>-485.25</v>
      </c>
      <c r="H4955">
        <v>1287.6000000000001</v>
      </c>
      <c r="I4955">
        <v>-1039.9000000000001</v>
      </c>
      <c r="J4955">
        <v>1558.6399999999999</v>
      </c>
    </row>
    <row r="4956" spans="1:10" x14ac:dyDescent="0.35">
      <c r="A4956">
        <v>4940</v>
      </c>
      <c r="B4956" s="75">
        <v>89.555099999999996</v>
      </c>
      <c r="C4956" s="75">
        <v>97.836600000000004</v>
      </c>
      <c r="D4956" s="75">
        <v>91.581800000000001</v>
      </c>
      <c r="E4956" s="75">
        <v>91.390100000000004</v>
      </c>
      <c r="F4956">
        <v>-4.95</v>
      </c>
      <c r="G4956">
        <v>559.95000000000005</v>
      </c>
      <c r="H4956">
        <v>2468.6</v>
      </c>
      <c r="I4956">
        <v>1990.5</v>
      </c>
      <c r="J4956">
        <v>5014.1000000000004</v>
      </c>
    </row>
    <row r="4957" spans="1:10" x14ac:dyDescent="0.35">
      <c r="A4957">
        <v>4941</v>
      </c>
      <c r="B4957" s="75">
        <v>91</v>
      </c>
      <c r="C4957" s="75">
        <v>99.14</v>
      </c>
      <c r="D4957" s="75">
        <v>93.95</v>
      </c>
      <c r="E4957" s="75">
        <v>91.21</v>
      </c>
      <c r="F4957">
        <v>-4760.91</v>
      </c>
      <c r="G4957">
        <v>-1395.8999999999999</v>
      </c>
      <c r="H4957">
        <v>-2268</v>
      </c>
      <c r="I4957">
        <v>2173.5</v>
      </c>
      <c r="J4957">
        <v>-6251.3099999999995</v>
      </c>
    </row>
    <row r="4958" spans="1:10" x14ac:dyDescent="0.35">
      <c r="A4958">
        <v>4942</v>
      </c>
      <c r="B4958" s="75">
        <v>89.3626</v>
      </c>
      <c r="C4958" s="75">
        <v>98.384100000000004</v>
      </c>
      <c r="D4958" s="75">
        <v>94.284099999999995</v>
      </c>
      <c r="E4958" s="75">
        <v>89.594899999999996</v>
      </c>
      <c r="F4958">
        <v>630.29999999999995</v>
      </c>
      <c r="G4958">
        <v>-261.3</v>
      </c>
      <c r="H4958">
        <v>-2936</v>
      </c>
      <c r="I4958">
        <v>3785.7</v>
      </c>
      <c r="J4958">
        <v>1218.6999999999998</v>
      </c>
    </row>
    <row r="4959" spans="1:10" x14ac:dyDescent="0.35">
      <c r="A4959">
        <v>4943</v>
      </c>
      <c r="B4959" s="75">
        <v>89.31</v>
      </c>
      <c r="C4959" s="75">
        <v>98.35</v>
      </c>
      <c r="D4959" s="75">
        <v>92.12</v>
      </c>
      <c r="E4959" s="75">
        <v>92.52</v>
      </c>
      <c r="F4959">
        <v>809.49</v>
      </c>
      <c r="G4959">
        <v>-210.6</v>
      </c>
      <c r="H4959">
        <v>1392.8</v>
      </c>
      <c r="I4959">
        <v>864.5</v>
      </c>
      <c r="J4959">
        <v>2856.19</v>
      </c>
    </row>
    <row r="4960" spans="1:10" x14ac:dyDescent="0.35">
      <c r="A4960">
        <v>4944</v>
      </c>
      <c r="B4960" s="75">
        <v>89.662800000000004</v>
      </c>
      <c r="C4960" s="75">
        <v>97.701700000000002</v>
      </c>
      <c r="D4960" s="75">
        <v>92.5291</v>
      </c>
      <c r="E4960" s="75">
        <v>90.6434</v>
      </c>
      <c r="F4960">
        <v>-360.36</v>
      </c>
      <c r="G4960">
        <v>762.3</v>
      </c>
      <c r="H4960">
        <v>574</v>
      </c>
      <c r="I4960">
        <v>2737.2000000000003</v>
      </c>
      <c r="J4960">
        <v>3713.1400000000003</v>
      </c>
    </row>
    <row r="4961" spans="1:10" x14ac:dyDescent="0.35">
      <c r="A4961">
        <v>4945</v>
      </c>
      <c r="B4961" s="75">
        <v>89.8</v>
      </c>
      <c r="C4961" s="75">
        <v>99.17</v>
      </c>
      <c r="D4961" s="75">
        <v>93.08</v>
      </c>
      <c r="E4961" s="75">
        <v>92.27</v>
      </c>
      <c r="F4961">
        <v>-810.81000000000006</v>
      </c>
      <c r="G4961">
        <v>-1434.1499999999999</v>
      </c>
      <c r="H4961">
        <v>-527.59999999999991</v>
      </c>
      <c r="I4961">
        <v>1107.9000000000001</v>
      </c>
      <c r="J4961">
        <v>-1664.6599999999999</v>
      </c>
    </row>
    <row r="4962" spans="1:10" x14ac:dyDescent="0.35">
      <c r="A4962">
        <v>4946</v>
      </c>
      <c r="B4962" s="75">
        <v>90.066800000000001</v>
      </c>
      <c r="C4962" s="75">
        <v>98.124899999999997</v>
      </c>
      <c r="D4962" s="75">
        <v>93.165199999999999</v>
      </c>
      <c r="E4962" s="75">
        <v>94.457499999999996</v>
      </c>
      <c r="F4962">
        <v>-1693.56</v>
      </c>
      <c r="G4962">
        <v>127.50000000000001</v>
      </c>
      <c r="H4962">
        <v>-698.2</v>
      </c>
      <c r="I4962">
        <v>-1076.8999999999999</v>
      </c>
      <c r="J4962">
        <v>-3341.16</v>
      </c>
    </row>
    <row r="4963" spans="1:10" x14ac:dyDescent="0.35">
      <c r="A4963">
        <v>4947</v>
      </c>
      <c r="B4963" s="75">
        <v>89.81</v>
      </c>
      <c r="C4963" s="75">
        <v>98.6</v>
      </c>
      <c r="D4963" s="75">
        <v>93.76</v>
      </c>
      <c r="E4963" s="75">
        <v>92.05</v>
      </c>
      <c r="F4963">
        <v>-830.28</v>
      </c>
      <c r="G4963">
        <v>-592.34999999999991</v>
      </c>
      <c r="H4963">
        <v>-1883.3999999999999</v>
      </c>
      <c r="I4963">
        <v>1328</v>
      </c>
      <c r="J4963">
        <v>-1978.0299999999997</v>
      </c>
    </row>
    <row r="4964" spans="1:10" x14ac:dyDescent="0.35">
      <c r="A4964">
        <v>4948</v>
      </c>
      <c r="B4964" s="75">
        <v>90.044899999999998</v>
      </c>
      <c r="C4964" s="75">
        <v>99.219700000000003</v>
      </c>
      <c r="D4964" s="75">
        <v>92.734700000000004</v>
      </c>
      <c r="E4964" s="75">
        <v>93.134399999999999</v>
      </c>
      <c r="F4964">
        <v>-1621.29</v>
      </c>
      <c r="G4964">
        <v>-1514.7</v>
      </c>
      <c r="H4964">
        <v>162.80000000000001</v>
      </c>
      <c r="I4964">
        <v>246.2</v>
      </c>
      <c r="J4964">
        <v>-2726.99</v>
      </c>
    </row>
    <row r="4965" spans="1:10" x14ac:dyDescent="0.35">
      <c r="A4965">
        <v>4949</v>
      </c>
      <c r="B4965" s="75">
        <v>90.09</v>
      </c>
      <c r="C4965" s="75">
        <v>98.12</v>
      </c>
      <c r="D4965" s="75">
        <v>95.34</v>
      </c>
      <c r="E4965" s="75">
        <v>93.82</v>
      </c>
      <c r="F4965">
        <v>-1775.0700000000002</v>
      </c>
      <c r="G4965">
        <v>133.35000000000002</v>
      </c>
      <c r="H4965">
        <v>-5040.2</v>
      </c>
      <c r="I4965">
        <v>-435.2</v>
      </c>
      <c r="J4965">
        <v>-7117.12</v>
      </c>
    </row>
    <row r="4966" spans="1:10" x14ac:dyDescent="0.35">
      <c r="A4966">
        <v>4950</v>
      </c>
      <c r="B4966" s="75">
        <v>89.768299999999996</v>
      </c>
      <c r="C4966" s="75">
        <v>98.5565</v>
      </c>
      <c r="D4966" s="75">
        <v>92.849199999999996</v>
      </c>
      <c r="E4966" s="75">
        <v>95.434299999999993</v>
      </c>
      <c r="F4966">
        <v>-708.51</v>
      </c>
      <c r="G4966">
        <v>-519.9</v>
      </c>
      <c r="H4966">
        <v>-66.199999999999989</v>
      </c>
      <c r="I4966">
        <v>-2053.7000000000003</v>
      </c>
      <c r="J4966">
        <v>-3348.3100000000004</v>
      </c>
    </row>
    <row r="4967" spans="1:10" x14ac:dyDescent="0.35">
      <c r="A4967">
        <v>4951</v>
      </c>
      <c r="B4967" s="75">
        <v>89.37</v>
      </c>
      <c r="C4967" s="75">
        <v>98.25</v>
      </c>
      <c r="D4967" s="75">
        <v>92.8</v>
      </c>
      <c r="E4967" s="75">
        <v>95.16</v>
      </c>
      <c r="F4967">
        <v>594</v>
      </c>
      <c r="G4967">
        <v>-66.150000000000006</v>
      </c>
      <c r="H4967">
        <v>35.6</v>
      </c>
      <c r="I4967">
        <v>-1777.8</v>
      </c>
      <c r="J4967">
        <v>-1214.3499999999999</v>
      </c>
    </row>
    <row r="4968" spans="1:10" x14ac:dyDescent="0.35">
      <c r="A4968">
        <v>4952</v>
      </c>
      <c r="B4968" s="75">
        <v>89.309299999999993</v>
      </c>
      <c r="C4968" s="75">
        <v>99.266199999999998</v>
      </c>
      <c r="D4968" s="75">
        <v>93.659300000000002</v>
      </c>
      <c r="E4968" s="75">
        <v>93.325299999999999</v>
      </c>
      <c r="F4968">
        <v>806.18999999999994</v>
      </c>
      <c r="G4968">
        <v>-1584.45</v>
      </c>
      <c r="H4968">
        <v>-1686.3999999999999</v>
      </c>
      <c r="I4968">
        <v>55.300000000000004</v>
      </c>
      <c r="J4968">
        <v>-2409.3599999999997</v>
      </c>
    </row>
    <row r="4969" spans="1:10" x14ac:dyDescent="0.35">
      <c r="A4969">
        <v>4953</v>
      </c>
      <c r="B4969" s="75">
        <v>90.1</v>
      </c>
      <c r="C4969" s="75">
        <v>98.89</v>
      </c>
      <c r="D4969" s="75">
        <v>91.82</v>
      </c>
      <c r="E4969" s="75">
        <v>94.37</v>
      </c>
      <c r="F4969">
        <v>-1807.08</v>
      </c>
      <c r="G4969">
        <v>-1020.1500000000001</v>
      </c>
      <c r="H4969">
        <v>1993</v>
      </c>
      <c r="I4969">
        <v>-989.5</v>
      </c>
      <c r="J4969">
        <v>-1823.73</v>
      </c>
    </row>
    <row r="4970" spans="1:10" x14ac:dyDescent="0.35">
      <c r="A4970">
        <v>4954</v>
      </c>
      <c r="B4970" s="75">
        <v>89.679500000000004</v>
      </c>
      <c r="C4970" s="75">
        <v>98.306100000000001</v>
      </c>
      <c r="D4970" s="75">
        <v>90.590800000000002</v>
      </c>
      <c r="E4970" s="75">
        <v>89.485900000000001</v>
      </c>
      <c r="F4970">
        <v>-415.47</v>
      </c>
      <c r="G4970">
        <v>-144.29999999999998</v>
      </c>
      <c r="H4970">
        <v>4450.5999999999995</v>
      </c>
      <c r="I4970">
        <v>3894.7</v>
      </c>
      <c r="J4970">
        <v>7785.5299999999988</v>
      </c>
    </row>
    <row r="4971" spans="1:10" x14ac:dyDescent="0.35">
      <c r="A4971">
        <v>4955</v>
      </c>
      <c r="B4971" s="75">
        <v>88.37</v>
      </c>
      <c r="C4971" s="75">
        <v>100.24</v>
      </c>
      <c r="D4971" s="75">
        <v>93.06</v>
      </c>
      <c r="E4971" s="75">
        <v>93.9</v>
      </c>
      <c r="F4971">
        <v>3910.17</v>
      </c>
      <c r="G4971">
        <v>-3047.1000000000004</v>
      </c>
      <c r="H4971">
        <v>-486.8</v>
      </c>
      <c r="I4971">
        <v>-520.1</v>
      </c>
      <c r="J4971">
        <v>-143.83000000000033</v>
      </c>
    </row>
    <row r="4972" spans="1:10" x14ac:dyDescent="0.35">
      <c r="A4972">
        <v>4956</v>
      </c>
      <c r="B4972" s="75">
        <v>89.667299999999997</v>
      </c>
      <c r="C4972" s="75">
        <v>98.551400000000001</v>
      </c>
      <c r="D4972" s="75">
        <v>92.909899999999993</v>
      </c>
      <c r="E4972" s="75">
        <v>97.439099999999996</v>
      </c>
      <c r="F4972">
        <v>-375.21</v>
      </c>
      <c r="G4972">
        <v>-512.25</v>
      </c>
      <c r="H4972">
        <v>-187.6</v>
      </c>
      <c r="I4972">
        <v>-4058.5000000000005</v>
      </c>
      <c r="J4972">
        <v>-5133.5600000000004</v>
      </c>
    </row>
    <row r="4973" spans="1:10" x14ac:dyDescent="0.35">
      <c r="A4973">
        <v>4957</v>
      </c>
      <c r="B4973" s="75">
        <v>88.89</v>
      </c>
      <c r="C4973" s="75">
        <v>97.44</v>
      </c>
      <c r="D4973" s="75">
        <v>93.44</v>
      </c>
      <c r="E4973" s="75">
        <v>94.3</v>
      </c>
      <c r="F4973">
        <v>2201.7600000000002</v>
      </c>
      <c r="G4973">
        <v>1161.8999999999999</v>
      </c>
      <c r="H4973">
        <v>-1242.5999999999999</v>
      </c>
      <c r="I4973">
        <v>-914.6</v>
      </c>
      <c r="J4973">
        <v>1206.46</v>
      </c>
    </row>
    <row r="4974" spans="1:10" x14ac:dyDescent="0.35">
      <c r="A4974">
        <v>4958</v>
      </c>
      <c r="B4974" s="75">
        <v>89.932000000000002</v>
      </c>
      <c r="C4974" s="75">
        <v>99.0381</v>
      </c>
      <c r="D4974" s="75">
        <v>93.546000000000006</v>
      </c>
      <c r="E4974" s="75">
        <v>95.142200000000003</v>
      </c>
      <c r="F4974">
        <v>-1248.72</v>
      </c>
      <c r="G4974">
        <v>-1242.3000000000002</v>
      </c>
      <c r="H4974">
        <v>-1459.8</v>
      </c>
      <c r="I4974">
        <v>-1761.6000000000001</v>
      </c>
      <c r="J4974">
        <v>-5712.420000000001</v>
      </c>
    </row>
    <row r="4975" spans="1:10" x14ac:dyDescent="0.35">
      <c r="A4975">
        <v>4959</v>
      </c>
      <c r="B4975" s="75">
        <v>89.53</v>
      </c>
      <c r="C4975" s="75">
        <v>97.88</v>
      </c>
      <c r="D4975" s="75">
        <v>92.31</v>
      </c>
      <c r="E4975" s="75">
        <v>93.17</v>
      </c>
      <c r="F4975">
        <v>83.49</v>
      </c>
      <c r="G4975">
        <v>493.5</v>
      </c>
      <c r="H4975">
        <v>1005.4000000000001</v>
      </c>
      <c r="I4975">
        <v>206.7</v>
      </c>
      <c r="J4975">
        <v>1789.0900000000001</v>
      </c>
    </row>
    <row r="4976" spans="1:10" x14ac:dyDescent="0.35">
      <c r="A4976">
        <v>4960</v>
      </c>
      <c r="B4976" s="75">
        <v>90.164000000000001</v>
      </c>
      <c r="C4976" s="75">
        <v>99.838999999999999</v>
      </c>
      <c r="D4976" s="75">
        <v>93.751999999999995</v>
      </c>
      <c r="E4976" s="75">
        <v>92.857399999999998</v>
      </c>
      <c r="F4976">
        <v>-2014.3200000000002</v>
      </c>
      <c r="G4976">
        <v>-2443.65</v>
      </c>
      <c r="H4976">
        <v>-1871.8</v>
      </c>
      <c r="I4976">
        <v>523.20000000000005</v>
      </c>
      <c r="J4976">
        <v>-5806.5700000000006</v>
      </c>
    </row>
    <row r="4977" spans="1:10" x14ac:dyDescent="0.35">
      <c r="A4977">
        <v>4961</v>
      </c>
      <c r="B4977" s="75">
        <v>89.91</v>
      </c>
      <c r="C4977" s="75">
        <v>99.77</v>
      </c>
      <c r="D4977" s="75">
        <v>91.94</v>
      </c>
      <c r="E4977" s="75">
        <v>95.35</v>
      </c>
      <c r="F4977">
        <v>-1161.5999999999999</v>
      </c>
      <c r="G4977">
        <v>-2342.85</v>
      </c>
      <c r="H4977">
        <v>1744.8</v>
      </c>
      <c r="I4977">
        <v>-1964.8000000000002</v>
      </c>
      <c r="J4977">
        <v>-3724.45</v>
      </c>
    </row>
    <row r="4978" spans="1:10" x14ac:dyDescent="0.35">
      <c r="A4978">
        <v>4962</v>
      </c>
      <c r="B4978" s="75">
        <v>89.195099999999996</v>
      </c>
      <c r="C4978" s="75">
        <v>99.233599999999996</v>
      </c>
      <c r="D4978" s="75">
        <v>91.698499999999996</v>
      </c>
      <c r="E4978" s="75">
        <v>90.343500000000006</v>
      </c>
      <c r="F4978">
        <v>1183.05</v>
      </c>
      <c r="G4978">
        <v>-1535.5500000000002</v>
      </c>
      <c r="H4978">
        <v>2235.1999999999998</v>
      </c>
      <c r="I4978">
        <v>3037.1</v>
      </c>
      <c r="J4978">
        <v>4919.7999999999993</v>
      </c>
    </row>
    <row r="4979" spans="1:10" x14ac:dyDescent="0.35">
      <c r="A4979">
        <v>4963</v>
      </c>
      <c r="B4979" s="75">
        <v>90.19</v>
      </c>
      <c r="C4979" s="75">
        <v>98</v>
      </c>
      <c r="D4979" s="75">
        <v>92.83</v>
      </c>
      <c r="E4979" s="75">
        <v>94.09</v>
      </c>
      <c r="F4979">
        <v>-2115.3000000000002</v>
      </c>
      <c r="G4979">
        <v>315.45</v>
      </c>
      <c r="H4979">
        <v>-28.6</v>
      </c>
      <c r="I4979">
        <v>-705.7</v>
      </c>
      <c r="J4979">
        <v>-2534.15</v>
      </c>
    </row>
    <row r="4980" spans="1:10" x14ac:dyDescent="0.35">
      <c r="A4980">
        <v>4964</v>
      </c>
      <c r="B4980" s="75">
        <v>89.458799999999997</v>
      </c>
      <c r="C4980" s="75">
        <v>98.188299999999998</v>
      </c>
      <c r="D4980" s="75">
        <v>93.312600000000003</v>
      </c>
      <c r="E4980" s="75">
        <v>93.6357</v>
      </c>
      <c r="F4980">
        <v>312.83999999999997</v>
      </c>
      <c r="G4980">
        <v>32.4</v>
      </c>
      <c r="H4980">
        <v>-993</v>
      </c>
      <c r="I4980">
        <v>-255.1</v>
      </c>
      <c r="J4980">
        <v>-902.86</v>
      </c>
    </row>
    <row r="4981" spans="1:10" x14ac:dyDescent="0.35">
      <c r="A4981">
        <v>4965</v>
      </c>
      <c r="B4981" s="75">
        <v>90.01</v>
      </c>
      <c r="C4981" s="75">
        <v>98.3</v>
      </c>
      <c r="D4981" s="75">
        <v>91.52</v>
      </c>
      <c r="E4981" s="75">
        <v>93.15</v>
      </c>
      <c r="F4981">
        <v>-1515.36</v>
      </c>
      <c r="G4981">
        <v>-139.19999999999999</v>
      </c>
      <c r="H4981">
        <v>2592.4</v>
      </c>
      <c r="I4981">
        <v>225.70000000000002</v>
      </c>
      <c r="J4981">
        <v>1163.5400000000002</v>
      </c>
    </row>
    <row r="4982" spans="1:10" x14ac:dyDescent="0.35">
      <c r="A4982">
        <v>4966</v>
      </c>
      <c r="B4982" s="75">
        <v>88.617900000000006</v>
      </c>
      <c r="C4982" s="75">
        <v>98.613900000000001</v>
      </c>
      <c r="D4982" s="75">
        <v>93.413899999999998</v>
      </c>
      <c r="E4982" s="75">
        <v>90.795400000000001</v>
      </c>
      <c r="F4982">
        <v>3087.81</v>
      </c>
      <c r="G4982">
        <v>-606</v>
      </c>
      <c r="H4982">
        <v>-1195.5999999999999</v>
      </c>
      <c r="I4982">
        <v>2585.1999999999998</v>
      </c>
      <c r="J4982">
        <v>3871.41</v>
      </c>
    </row>
    <row r="4983" spans="1:10" x14ac:dyDescent="0.35">
      <c r="A4983">
        <v>4967</v>
      </c>
      <c r="B4983" s="75">
        <v>89.67</v>
      </c>
      <c r="C4983" s="75">
        <v>98.02</v>
      </c>
      <c r="D4983" s="75">
        <v>91.64</v>
      </c>
      <c r="E4983" s="75">
        <v>90.83</v>
      </c>
      <c r="F4983">
        <v>-375.54</v>
      </c>
      <c r="G4983">
        <v>278.10000000000002</v>
      </c>
      <c r="H4983">
        <v>2347.4</v>
      </c>
      <c r="I4983">
        <v>2550.3999999999996</v>
      </c>
      <c r="J4983">
        <v>4800.3599999999997</v>
      </c>
    </row>
    <row r="4984" spans="1:10" x14ac:dyDescent="0.35">
      <c r="A4984">
        <v>4968</v>
      </c>
      <c r="B4984" s="75">
        <v>88.954400000000007</v>
      </c>
      <c r="C4984" s="75">
        <v>99.941500000000005</v>
      </c>
      <c r="D4984" s="75">
        <v>91.4238</v>
      </c>
      <c r="E4984" s="75">
        <v>92.110500000000002</v>
      </c>
      <c r="F4984">
        <v>1977.36</v>
      </c>
      <c r="G4984">
        <v>-2597.4</v>
      </c>
      <c r="H4984">
        <v>2784.6000000000004</v>
      </c>
      <c r="I4984">
        <v>1270.0999999999999</v>
      </c>
      <c r="J4984">
        <v>3434.6600000000003</v>
      </c>
    </row>
    <row r="4985" spans="1:10" x14ac:dyDescent="0.35">
      <c r="A4985">
        <v>4969</v>
      </c>
      <c r="B4985" s="75">
        <v>89.35</v>
      </c>
      <c r="C4985" s="75">
        <v>98.25</v>
      </c>
      <c r="D4985" s="75">
        <v>92.47</v>
      </c>
      <c r="E4985" s="75">
        <v>93.22</v>
      </c>
      <c r="F4985">
        <v>673.86</v>
      </c>
      <c r="G4985">
        <v>-57.3</v>
      </c>
      <c r="H4985">
        <v>692</v>
      </c>
      <c r="I4985">
        <v>157.4</v>
      </c>
      <c r="J4985">
        <v>1465.96</v>
      </c>
    </row>
    <row r="4986" spans="1:10" x14ac:dyDescent="0.35">
      <c r="A4986">
        <v>4970</v>
      </c>
      <c r="B4986" s="75">
        <v>89.381299999999996</v>
      </c>
      <c r="C4986" s="75">
        <v>98.010900000000007</v>
      </c>
      <c r="D4986" s="75">
        <v>92.402799999999999</v>
      </c>
      <c r="E4986" s="75">
        <v>92.517200000000003</v>
      </c>
      <c r="F4986">
        <v>568.59</v>
      </c>
      <c r="G4986">
        <v>298.5</v>
      </c>
      <c r="H4986">
        <v>826.6</v>
      </c>
      <c r="I4986">
        <v>863.4</v>
      </c>
      <c r="J4986">
        <v>2557.09</v>
      </c>
    </row>
    <row r="4987" spans="1:10" x14ac:dyDescent="0.35">
      <c r="A4987">
        <v>4971</v>
      </c>
      <c r="B4987" s="75">
        <v>90.06</v>
      </c>
      <c r="C4987" s="75">
        <v>96.41</v>
      </c>
      <c r="D4987" s="75">
        <v>94.6</v>
      </c>
      <c r="E4987" s="75">
        <v>91.06</v>
      </c>
      <c r="F4987">
        <v>-1675.0800000000002</v>
      </c>
      <c r="G4987">
        <v>2699.85</v>
      </c>
      <c r="H4987">
        <v>-3559.4</v>
      </c>
      <c r="I4987">
        <v>2322.6</v>
      </c>
      <c r="J4987">
        <v>-212.0300000000002</v>
      </c>
    </row>
    <row r="4988" spans="1:10" x14ac:dyDescent="0.35">
      <c r="A4988">
        <v>4972</v>
      </c>
      <c r="B4988" s="75">
        <v>89.854500000000002</v>
      </c>
      <c r="C4988" s="75">
        <v>98.935000000000002</v>
      </c>
      <c r="D4988" s="75">
        <v>93.636099999999999</v>
      </c>
      <c r="E4988" s="75">
        <v>92.312299999999993</v>
      </c>
      <c r="F4988">
        <v>-992.97</v>
      </c>
      <c r="G4988">
        <v>-1087.6499999999999</v>
      </c>
      <c r="H4988">
        <v>-1640</v>
      </c>
      <c r="I4988">
        <v>1068.3</v>
      </c>
      <c r="J4988">
        <v>-2652.3199999999997</v>
      </c>
    </row>
    <row r="4989" spans="1:10" x14ac:dyDescent="0.35">
      <c r="A4989">
        <v>4973</v>
      </c>
      <c r="B4989" s="75">
        <v>88.43</v>
      </c>
      <c r="C4989" s="75">
        <v>98.74</v>
      </c>
      <c r="D4989" s="75">
        <v>92.09</v>
      </c>
      <c r="E4989" s="75">
        <v>94.35</v>
      </c>
      <c r="F4989">
        <v>3692.04</v>
      </c>
      <c r="G4989">
        <v>-799.5</v>
      </c>
      <c r="H4989">
        <v>1454.8000000000002</v>
      </c>
      <c r="I4989">
        <v>-973.5</v>
      </c>
      <c r="J4989">
        <v>3373.84</v>
      </c>
    </row>
    <row r="4990" spans="1:10" x14ac:dyDescent="0.35">
      <c r="A4990">
        <v>4974</v>
      </c>
      <c r="B4990" s="75">
        <v>89.559799999999996</v>
      </c>
      <c r="C4990" s="75">
        <v>98.281199999999998</v>
      </c>
      <c r="D4990" s="75">
        <v>93.952799999999996</v>
      </c>
      <c r="E4990" s="75">
        <v>95.133799999999994</v>
      </c>
      <c r="F4990">
        <v>-20.46</v>
      </c>
      <c r="G4990">
        <v>-106.95</v>
      </c>
      <c r="H4990">
        <v>-2273.4</v>
      </c>
      <c r="I4990">
        <v>-1753.2</v>
      </c>
      <c r="J4990">
        <v>-4154.01</v>
      </c>
    </row>
    <row r="4991" spans="1:10" x14ac:dyDescent="0.35">
      <c r="A4991">
        <v>4975</v>
      </c>
      <c r="B4991" s="75">
        <v>89.82</v>
      </c>
      <c r="C4991" s="75">
        <v>97.98</v>
      </c>
      <c r="D4991" s="75">
        <v>93.15</v>
      </c>
      <c r="E4991" s="75">
        <v>95.69</v>
      </c>
      <c r="F4991">
        <v>-875.4899999999999</v>
      </c>
      <c r="G4991">
        <v>339.45</v>
      </c>
      <c r="H4991">
        <v>-660.59999999999991</v>
      </c>
      <c r="I4991">
        <v>-2314.1</v>
      </c>
      <c r="J4991">
        <v>-3510.74</v>
      </c>
    </row>
    <row r="4992" spans="1:10" x14ac:dyDescent="0.35">
      <c r="A4992">
        <v>4976</v>
      </c>
      <c r="B4992" s="75">
        <v>88.649500000000003</v>
      </c>
      <c r="C4992" s="75">
        <v>99.140299999999996</v>
      </c>
      <c r="D4992" s="75">
        <v>93.808499999999995</v>
      </c>
      <c r="E4992" s="75">
        <v>97.342299999999994</v>
      </c>
      <c r="F4992">
        <v>2983.53</v>
      </c>
      <c r="G4992">
        <v>-1395.6</v>
      </c>
      <c r="H4992">
        <v>-1984.8</v>
      </c>
      <c r="I4992">
        <v>-3961.7</v>
      </c>
      <c r="J4992">
        <v>-4358.57</v>
      </c>
    </row>
    <row r="4993" spans="1:10" x14ac:dyDescent="0.35">
      <c r="A4993">
        <v>4977</v>
      </c>
      <c r="B4993" s="75">
        <v>89.9</v>
      </c>
      <c r="C4993" s="75">
        <v>98.59</v>
      </c>
      <c r="D4993" s="75">
        <v>93.42</v>
      </c>
      <c r="E4993" s="75">
        <v>95.5</v>
      </c>
      <c r="F4993">
        <v>-1154.67</v>
      </c>
      <c r="G4993">
        <v>-566.54999999999995</v>
      </c>
      <c r="H4993">
        <v>-1205.2</v>
      </c>
      <c r="I4993">
        <v>-2118.1</v>
      </c>
      <c r="J4993">
        <v>-5044.5200000000004</v>
      </c>
    </row>
    <row r="4994" spans="1:10" x14ac:dyDescent="0.35">
      <c r="A4994">
        <v>4978</v>
      </c>
      <c r="B4994" s="75">
        <v>89.741200000000006</v>
      </c>
      <c r="C4994" s="75">
        <v>97.269000000000005</v>
      </c>
      <c r="D4994" s="75">
        <v>93.2136</v>
      </c>
      <c r="E4994" s="75">
        <v>92.289699999999996</v>
      </c>
      <c r="F4994">
        <v>-619.07999999999993</v>
      </c>
      <c r="G4994">
        <v>1411.35</v>
      </c>
      <c r="H4994">
        <v>-795</v>
      </c>
      <c r="I4994">
        <v>1090.9000000000001</v>
      </c>
      <c r="J4994">
        <v>1088.17</v>
      </c>
    </row>
    <row r="4995" spans="1:10" x14ac:dyDescent="0.35">
      <c r="A4995">
        <v>4979</v>
      </c>
      <c r="B4995" s="75">
        <v>89.66</v>
      </c>
      <c r="C4995" s="75">
        <v>97.56</v>
      </c>
      <c r="D4995" s="75">
        <v>92.62</v>
      </c>
      <c r="E4995" s="75">
        <v>91.54</v>
      </c>
      <c r="F4995">
        <v>-354.75</v>
      </c>
      <c r="G4995">
        <v>969</v>
      </c>
      <c r="H4995">
        <v>398.2</v>
      </c>
      <c r="I4995">
        <v>1844</v>
      </c>
      <c r="J4995">
        <v>2856.45</v>
      </c>
    </row>
    <row r="4996" spans="1:10" x14ac:dyDescent="0.35">
      <c r="A4996">
        <v>4980</v>
      </c>
      <c r="B4996" s="75">
        <v>89.018799999999999</v>
      </c>
      <c r="C4996" s="75">
        <v>99.186300000000003</v>
      </c>
      <c r="D4996" s="75">
        <v>95.237399999999994</v>
      </c>
      <c r="E4996" s="75">
        <v>96.540599999999998</v>
      </c>
      <c r="F4996">
        <v>1764.8400000000001</v>
      </c>
      <c r="G4996">
        <v>-1464.6000000000001</v>
      </c>
      <c r="H4996">
        <v>-4842.6000000000004</v>
      </c>
      <c r="I4996">
        <v>-3160</v>
      </c>
      <c r="J4996">
        <v>-7702.3600000000006</v>
      </c>
    </row>
    <row r="4997" spans="1:10" x14ac:dyDescent="0.35">
      <c r="A4997">
        <v>4981</v>
      </c>
      <c r="B4997" s="75">
        <v>89.75</v>
      </c>
      <c r="C4997" s="75">
        <v>97.88</v>
      </c>
      <c r="D4997" s="75">
        <v>92.48</v>
      </c>
      <c r="E4997" s="75">
        <v>91.26</v>
      </c>
      <c r="F4997">
        <v>-659.67</v>
      </c>
      <c r="G4997">
        <v>496.2</v>
      </c>
      <c r="H4997">
        <v>677.8</v>
      </c>
      <c r="I4997">
        <v>2122.9</v>
      </c>
      <c r="J4997">
        <v>2637.23</v>
      </c>
    </row>
    <row r="4998" spans="1:10" x14ac:dyDescent="0.35">
      <c r="A4998">
        <v>4982</v>
      </c>
      <c r="B4998" s="75">
        <v>89.423100000000005</v>
      </c>
      <c r="C4998" s="75">
        <v>98.577100000000002</v>
      </c>
      <c r="D4998" s="75">
        <v>93.169300000000007</v>
      </c>
      <c r="E4998" s="75">
        <v>96.658699999999996</v>
      </c>
      <c r="F4998">
        <v>430.65000000000003</v>
      </c>
      <c r="G4998">
        <v>-550.80000000000007</v>
      </c>
      <c r="H4998">
        <v>-706.4</v>
      </c>
      <c r="I4998">
        <v>-3278.1</v>
      </c>
      <c r="J4998">
        <v>-4104.6499999999996</v>
      </c>
    </row>
    <row r="4999" spans="1:10" x14ac:dyDescent="0.35">
      <c r="A4999">
        <v>4983</v>
      </c>
      <c r="B4999" s="75">
        <v>88.99</v>
      </c>
      <c r="C4999" s="75">
        <v>98.02</v>
      </c>
      <c r="D4999" s="75">
        <v>93</v>
      </c>
      <c r="E4999" s="75">
        <v>94.67</v>
      </c>
      <c r="F4999">
        <v>1858.2300000000002</v>
      </c>
      <c r="G4999">
        <v>284.25</v>
      </c>
      <c r="H4999">
        <v>-363.59999999999997</v>
      </c>
      <c r="I4999">
        <v>-1286.8</v>
      </c>
      <c r="J4999">
        <v>492.08000000000061</v>
      </c>
    </row>
    <row r="5000" spans="1:10" x14ac:dyDescent="0.35">
      <c r="A5000">
        <v>4984</v>
      </c>
      <c r="B5000" s="75">
        <v>88.509699999999995</v>
      </c>
      <c r="C5000" s="75">
        <v>97.8369</v>
      </c>
      <c r="D5000" s="75">
        <v>92.418400000000005</v>
      </c>
      <c r="E5000" s="75">
        <v>95.423500000000004</v>
      </c>
      <c r="F5000">
        <v>3444.8700000000003</v>
      </c>
      <c r="G5000">
        <v>559.5</v>
      </c>
      <c r="H5000">
        <v>795.4</v>
      </c>
      <c r="I5000">
        <v>-2042.8999999999999</v>
      </c>
      <c r="J5000">
        <v>2756.8700000000008</v>
      </c>
    </row>
    <row r="5001" spans="1:10" x14ac:dyDescent="0.35">
      <c r="A5001">
        <v>4985</v>
      </c>
      <c r="B5001" s="75">
        <v>88.93</v>
      </c>
      <c r="C5001" s="75">
        <v>99.51</v>
      </c>
      <c r="D5001" s="75">
        <v>92.89</v>
      </c>
      <c r="E5001" s="75">
        <v>93.55</v>
      </c>
      <c r="F5001">
        <v>2069.4299999999998</v>
      </c>
      <c r="G5001">
        <v>-1954.05</v>
      </c>
      <c r="H5001">
        <v>-148</v>
      </c>
      <c r="I5001">
        <v>-168.5</v>
      </c>
      <c r="J5001">
        <v>-201.12000000000012</v>
      </c>
    </row>
    <row r="5002" spans="1:10" x14ac:dyDescent="0.35">
      <c r="A5002">
        <v>4986</v>
      </c>
      <c r="B5002" s="75">
        <v>90.905299999999997</v>
      </c>
      <c r="C5002" s="75">
        <v>97.874099999999999</v>
      </c>
      <c r="D5002" s="75">
        <v>91.7851</v>
      </c>
      <c r="E5002" s="75">
        <v>92.933099999999996</v>
      </c>
      <c r="F5002">
        <v>-4460.6099999999997</v>
      </c>
      <c r="G5002">
        <v>503.7</v>
      </c>
      <c r="H5002">
        <v>2062</v>
      </c>
      <c r="I5002">
        <v>447.5</v>
      </c>
      <c r="J5002">
        <v>-1447.4099999999999</v>
      </c>
    </row>
    <row r="5003" spans="1:10" x14ac:dyDescent="0.35">
      <c r="A5003">
        <v>4987</v>
      </c>
      <c r="B5003" s="75">
        <v>90.08</v>
      </c>
      <c r="C5003" s="75">
        <v>97.56</v>
      </c>
      <c r="D5003" s="75">
        <v>92.46</v>
      </c>
      <c r="E5003" s="75">
        <v>92.95</v>
      </c>
      <c r="F5003">
        <v>-1722.2700000000002</v>
      </c>
      <c r="G5003">
        <v>979.5</v>
      </c>
      <c r="H5003">
        <v>715.19999999999993</v>
      </c>
      <c r="I5003">
        <v>433.3</v>
      </c>
      <c r="J5003">
        <v>405.72999999999973</v>
      </c>
    </row>
    <row r="5004" spans="1:10" x14ac:dyDescent="0.35">
      <c r="A5004">
        <v>4988</v>
      </c>
      <c r="B5004" s="75">
        <v>89.292599999999993</v>
      </c>
      <c r="C5004" s="75">
        <v>99.138000000000005</v>
      </c>
      <c r="D5004" s="75">
        <v>92.232100000000003</v>
      </c>
      <c r="E5004" s="75">
        <v>94.176699999999997</v>
      </c>
      <c r="F5004">
        <v>861.30000000000007</v>
      </c>
      <c r="G5004">
        <v>-1392.15</v>
      </c>
      <c r="H5004">
        <v>1168</v>
      </c>
      <c r="I5004">
        <v>-796.1</v>
      </c>
      <c r="J5004">
        <v>-158.95000000000005</v>
      </c>
    </row>
    <row r="5005" spans="1:10" x14ac:dyDescent="0.35">
      <c r="A5005">
        <v>4989</v>
      </c>
      <c r="B5005" s="75">
        <v>90.02</v>
      </c>
      <c r="C5005" s="75">
        <v>99.05</v>
      </c>
      <c r="D5005" s="75">
        <v>92.65</v>
      </c>
      <c r="E5005" s="75">
        <v>94.16</v>
      </c>
      <c r="F5005">
        <v>-1525.59</v>
      </c>
      <c r="G5005">
        <v>-1267.3499999999999</v>
      </c>
      <c r="H5005">
        <v>335.6</v>
      </c>
      <c r="I5005">
        <v>-783.80000000000007</v>
      </c>
      <c r="J5005">
        <v>-3241.14</v>
      </c>
    </row>
    <row r="5006" spans="1:10" x14ac:dyDescent="0.35">
      <c r="A5006">
        <v>4990</v>
      </c>
      <c r="B5006" s="75">
        <v>89.091099999999997</v>
      </c>
      <c r="C5006" s="75">
        <v>99.854500000000002</v>
      </c>
      <c r="D5006" s="75">
        <v>92.300299999999993</v>
      </c>
      <c r="E5006" s="75">
        <v>95.204400000000007</v>
      </c>
      <c r="F5006">
        <v>1526.25</v>
      </c>
      <c r="G5006">
        <v>-2466.9</v>
      </c>
      <c r="H5006">
        <v>1031.6000000000001</v>
      </c>
      <c r="I5006">
        <v>-1823.8000000000002</v>
      </c>
      <c r="J5006">
        <v>-1732.8500000000001</v>
      </c>
    </row>
    <row r="5007" spans="1:10" x14ac:dyDescent="0.35">
      <c r="A5007">
        <v>4991</v>
      </c>
      <c r="B5007" s="75">
        <v>89.95</v>
      </c>
      <c r="C5007" s="75">
        <v>97.04</v>
      </c>
      <c r="D5007" s="75">
        <v>91.57</v>
      </c>
      <c r="E5007" s="75">
        <v>94.29</v>
      </c>
      <c r="F5007">
        <v>-1321.98</v>
      </c>
      <c r="G5007">
        <v>1748.55</v>
      </c>
      <c r="H5007">
        <v>2500.1999999999998</v>
      </c>
      <c r="I5007">
        <v>-910.69999999999993</v>
      </c>
      <c r="J5007">
        <v>2016.0699999999997</v>
      </c>
    </row>
    <row r="5008" spans="1:10" x14ac:dyDescent="0.35">
      <c r="A5008">
        <v>4992</v>
      </c>
      <c r="B5008" s="75">
        <v>89.503699999999995</v>
      </c>
      <c r="C5008" s="75">
        <v>99.498099999999994</v>
      </c>
      <c r="D5008" s="75">
        <v>94.611000000000004</v>
      </c>
      <c r="E5008" s="75">
        <v>93.25</v>
      </c>
      <c r="F5008">
        <v>164.67</v>
      </c>
      <c r="G5008">
        <v>-1932.3</v>
      </c>
      <c r="H5008">
        <v>-3589.7999999999997</v>
      </c>
      <c r="I5008">
        <v>130.6</v>
      </c>
      <c r="J5008">
        <v>-5226.829999999999</v>
      </c>
    </row>
    <row r="5009" spans="1:10" x14ac:dyDescent="0.35">
      <c r="A5009">
        <v>4993</v>
      </c>
      <c r="B5009" s="75">
        <v>89.35</v>
      </c>
      <c r="C5009" s="75">
        <v>98.33</v>
      </c>
      <c r="D5009" s="75">
        <v>93.07</v>
      </c>
      <c r="E5009" s="75">
        <v>93.88</v>
      </c>
      <c r="F5009">
        <v>676.17</v>
      </c>
      <c r="G5009">
        <v>-173.54999999999998</v>
      </c>
      <c r="H5009">
        <v>-506</v>
      </c>
      <c r="I5009">
        <v>-499.59999999999997</v>
      </c>
      <c r="J5009">
        <v>-502.97999999999996</v>
      </c>
    </row>
    <row r="5010" spans="1:10" x14ac:dyDescent="0.35">
      <c r="A5010">
        <v>4994</v>
      </c>
      <c r="B5010" s="75">
        <v>90.312200000000004</v>
      </c>
      <c r="C5010" s="75">
        <v>98.4392</v>
      </c>
      <c r="D5010" s="75">
        <v>93.641900000000007</v>
      </c>
      <c r="E5010" s="75">
        <v>93.364699999999999</v>
      </c>
      <c r="F5010">
        <v>-2503.38</v>
      </c>
      <c r="G5010">
        <v>-343.95</v>
      </c>
      <c r="H5010">
        <v>-1651.6</v>
      </c>
      <c r="I5010">
        <v>15.9</v>
      </c>
      <c r="J5010">
        <v>-4483.0300000000007</v>
      </c>
    </row>
    <row r="5011" spans="1:10" x14ac:dyDescent="0.35">
      <c r="A5011">
        <v>4995</v>
      </c>
      <c r="B5011" s="75">
        <v>90.02</v>
      </c>
      <c r="C5011" s="75">
        <v>97.42</v>
      </c>
      <c r="D5011" s="75">
        <v>90.09</v>
      </c>
      <c r="E5011" s="75">
        <v>90.22</v>
      </c>
      <c r="F5011">
        <v>-1537.1399999999999</v>
      </c>
      <c r="G5011">
        <v>1178.3999999999999</v>
      </c>
      <c r="H5011">
        <v>5456.2</v>
      </c>
      <c r="I5011">
        <v>3159.3</v>
      </c>
      <c r="J5011">
        <v>8256.76</v>
      </c>
    </row>
    <row r="5012" spans="1:10" x14ac:dyDescent="0.35">
      <c r="A5012">
        <v>4996</v>
      </c>
      <c r="B5012" s="75">
        <v>88.967600000000004</v>
      </c>
      <c r="C5012" s="75">
        <v>98.270200000000003</v>
      </c>
      <c r="D5012" s="75">
        <v>93.178200000000004</v>
      </c>
      <c r="E5012" s="75">
        <v>92.823999999999998</v>
      </c>
      <c r="F5012">
        <v>1933.8</v>
      </c>
      <c r="G5012">
        <v>-90.45</v>
      </c>
      <c r="H5012">
        <v>-724.19999999999993</v>
      </c>
      <c r="I5012">
        <v>556.6</v>
      </c>
      <c r="J5012">
        <v>1675.75</v>
      </c>
    </row>
    <row r="5013" spans="1:10" x14ac:dyDescent="0.35">
      <c r="A5013">
        <v>4997</v>
      </c>
      <c r="B5013" s="75">
        <v>88.65</v>
      </c>
      <c r="C5013" s="75">
        <v>97.8</v>
      </c>
      <c r="D5013" s="75">
        <v>90.82</v>
      </c>
      <c r="E5013" s="75">
        <v>93.9</v>
      </c>
      <c r="F5013">
        <v>2989.8</v>
      </c>
      <c r="G5013">
        <v>613.95000000000005</v>
      </c>
      <c r="H5013">
        <v>4000.7999999999997</v>
      </c>
      <c r="I5013">
        <v>-516.5</v>
      </c>
      <c r="J5013">
        <v>7088.0499999999993</v>
      </c>
    </row>
    <row r="5014" spans="1:10" x14ac:dyDescent="0.35">
      <c r="A5014">
        <v>4998</v>
      </c>
      <c r="B5014" s="75">
        <v>89.558999999999997</v>
      </c>
      <c r="C5014" s="75">
        <v>96.353700000000003</v>
      </c>
      <c r="D5014" s="75">
        <v>94.186099999999996</v>
      </c>
      <c r="E5014" s="75">
        <v>95.396199999999993</v>
      </c>
      <c r="F5014">
        <v>-17.82</v>
      </c>
      <c r="G5014">
        <v>2784.3</v>
      </c>
      <c r="H5014">
        <v>-2740</v>
      </c>
      <c r="I5014">
        <v>-2015.6000000000001</v>
      </c>
      <c r="J5014">
        <v>-1989.1200000000001</v>
      </c>
    </row>
    <row r="5015" spans="1:10" x14ac:dyDescent="0.35">
      <c r="A5015">
        <v>4999</v>
      </c>
      <c r="B5015" s="75">
        <v>89.94</v>
      </c>
      <c r="C5015" s="75">
        <v>97.96</v>
      </c>
      <c r="D5015" s="75">
        <v>91.2</v>
      </c>
      <c r="E5015" s="75">
        <v>94.07</v>
      </c>
      <c r="F5015">
        <v>-1290.3</v>
      </c>
      <c r="G5015">
        <v>380.25</v>
      </c>
      <c r="H5015">
        <v>3232</v>
      </c>
      <c r="I5015">
        <v>-688.6</v>
      </c>
      <c r="J5015">
        <v>1633.35</v>
      </c>
    </row>
    <row r="5016" spans="1:10" x14ac:dyDescent="0.35">
      <c r="A5016">
        <v>5000</v>
      </c>
      <c r="B5016" s="75">
        <v>89.3827</v>
      </c>
      <c r="C5016" s="75">
        <v>97.952500000000001</v>
      </c>
      <c r="D5016" s="75">
        <v>92.399199999999993</v>
      </c>
      <c r="E5016" s="75">
        <v>95.106700000000004</v>
      </c>
      <c r="F5016">
        <v>563.97</v>
      </c>
      <c r="G5016">
        <v>386.1</v>
      </c>
      <c r="H5016">
        <v>833.8</v>
      </c>
      <c r="I5016">
        <v>-1726.1</v>
      </c>
      <c r="J5016">
        <v>57.769999999999982</v>
      </c>
    </row>
  </sheetData>
  <mergeCells count="2">
    <mergeCell ref="B15:E15"/>
    <mergeCell ref="F15:I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VaR_Simulaciones">
                <anchor moveWithCells="1" sizeWithCells="1">
                  <from>
                    <xdr:col>6</xdr:col>
                    <xdr:colOff>317500</xdr:colOff>
                    <xdr:row>6</xdr:row>
                    <xdr:rowOff>127000</xdr:rowOff>
                  </from>
                  <to>
                    <xdr:col>8</xdr:col>
                    <xdr:colOff>558800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Portafolio</vt:lpstr>
      <vt:lpstr>VaR Parmétrico</vt:lpstr>
      <vt:lpstr>VaR Histórico</vt:lpstr>
      <vt:lpstr>Histograma Var Historico</vt:lpstr>
      <vt:lpstr>Histograma Var Simulaciones</vt:lpstr>
      <vt:lpstr>VaR por simulaciones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Daniel Tapia</cp:lastModifiedBy>
  <dcterms:created xsi:type="dcterms:W3CDTF">2013-04-03T15:49:21Z</dcterms:created>
  <dcterms:modified xsi:type="dcterms:W3CDTF">2024-04-06T01:44:04Z</dcterms:modified>
</cp:coreProperties>
</file>